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er\Desktop\projects\DEUSTO_iDesign_RES\ElectricalProfile\data\"/>
    </mc:Choice>
  </mc:AlternateContent>
  <xr:revisionPtr revIDLastSave="0" documentId="13_ncr:1_{F27E2A0B-86CF-4353-9B40-44CF9DB46D35}" xr6:coauthVersionLast="47" xr6:coauthVersionMax="47" xr10:uidLastSave="{00000000-0000-0000-0000-000000000000}"/>
  <bookViews>
    <workbookView xWindow="-108" yWindow="-108" windowWidth="23256" windowHeight="13176" xr2:uid="{54DC0113-795E-49DE-8399-3EA2CE358E95}"/>
  </bookViews>
  <sheets>
    <sheet name="Electric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3" l="1"/>
  <c r="T34" i="3"/>
  <c r="T33" i="3"/>
  <c r="T32" i="3"/>
  <c r="T31" i="3"/>
  <c r="T30" i="3"/>
  <c r="T29" i="3"/>
  <c r="T28" i="3"/>
  <c r="T27" i="3"/>
  <c r="T26" i="3"/>
  <c r="T25" i="3"/>
  <c r="T24" i="3"/>
  <c r="T23" i="3"/>
  <c r="T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asandhaa</author>
  </authors>
  <commentList>
    <comment ref="P3" authorId="0" shapeId="0" xr:uid="{6007B5A9-8231-4558-BD27-F790238674F1}">
      <text>
        <r>
          <rPr>
            <b/>
            <sz val="9"/>
            <color indexed="81"/>
            <rFont val="Segoe UI"/>
            <family val="2"/>
          </rPr>
          <t>asandhaa:
keine Realdaten vorhanden
19 % Durchschnitt aller Fluktuationen</t>
        </r>
      </text>
    </comment>
    <comment ref="P11" authorId="0" shapeId="0" xr:uid="{A77DE12B-A370-4070-8E47-C096DC9460FE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keine Realdaten vorhanden
19 % Durchschnitt aller Fluktuationen</t>
        </r>
      </text>
    </comment>
    <comment ref="P16" authorId="0" shapeId="0" xr:uid="{EBA77966-3675-48EE-8E0A-ED0049EEE0B9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keine Realdaten vorhanden
19 % Durchschnitt aller Fluktuationen</t>
        </r>
      </text>
    </comment>
  </commentList>
</comments>
</file>

<file path=xl/sharedStrings.xml><?xml version="1.0" encoding="utf-8"?>
<sst xmlns="http://schemas.openxmlformats.org/spreadsheetml/2006/main" count="57" uniqueCount="48">
  <si>
    <t>Name</t>
  </si>
  <si>
    <t>WZ_ID</t>
  </si>
  <si>
    <t>28</t>
  </si>
  <si>
    <t>20.1</t>
  </si>
  <si>
    <t>%</t>
  </si>
  <si>
    <t>24.1</t>
  </si>
  <si>
    <t>24.4, 24.5</t>
  </si>
  <si>
    <t>17</t>
  </si>
  <si>
    <t>10, 11, 12</t>
  </si>
  <si>
    <t>24.2, 24.3, 25</t>
  </si>
  <si>
    <t>29, 30</t>
  </si>
  <si>
    <t>industry_number</t>
  </si>
  <si>
    <t>in % (rel. 100 kW)</t>
  </si>
  <si>
    <t>Quelle: https://ag-energiebilanzen.de/7-0-Bilanzen-1990-2019.html</t>
  </si>
  <si>
    <t>13. 14, 15, 16, 18, 26, 27, 31, 32, 33</t>
  </si>
  <si>
    <t>Quelle: Fraunhofer ISI 2020 (2018) Erstellung von Anwendungsbilanzen für die Jahre 2018 bis 2020: für die Sektoren Industrie und GHD, Karlsruhe</t>
  </si>
  <si>
    <t>Hot water</t>
  </si>
  <si>
    <t>Process heat</t>
  </si>
  <si>
    <t>Process cooling</t>
  </si>
  <si>
    <t>Lighting</t>
  </si>
  <si>
    <t>ICT</t>
  </si>
  <si>
    <t>Mechanical drive</t>
  </si>
  <si>
    <t>Fluctuation</t>
  </si>
  <si>
    <t>Peak_factor</t>
  </si>
  <si>
    <t>Base_factor</t>
  </si>
  <si>
    <t>Energy consumption 2018</t>
  </si>
  <si>
    <t>Energy consumption 2019</t>
  </si>
  <si>
    <t>Electricity in 1000 MWh/a</t>
  </si>
  <si>
    <t>Energy consumption 2020</t>
  </si>
  <si>
    <t>Space heating</t>
  </si>
  <si>
    <t>Space cooling</t>
  </si>
  <si>
    <t>Mining and quarrying of stones and earth</t>
  </si>
  <si>
    <t>Food and tobacco</t>
  </si>
  <si>
    <t>Paper manufacturing</t>
  </si>
  <si>
    <t>Basic chemicals</t>
  </si>
  <si>
    <t>Other chemical industry</t>
  </si>
  <si>
    <t>Rubber and plastic goods</t>
  </si>
  <si>
    <t>Glass and ceramics</t>
  </si>
  <si>
    <t>Processing of stone and earth</t>
  </si>
  <si>
    <t>Metal production</t>
  </si>
  <si>
    <t>Non-ferrous metals and foundries</t>
  </si>
  <si>
    <t>Metal processing</t>
  </si>
  <si>
    <t>Machinery manufacturing</t>
  </si>
  <si>
    <t>Vehicle manufacturing</t>
  </si>
  <si>
    <t>Other economic sectors</t>
  </si>
  <si>
    <t xml:space="preserve"> </t>
  </si>
  <si>
    <t>23.1 until 23.3</t>
  </si>
  <si>
    <t>23 without 23.1 and 23.3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</si>
</sst>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7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2"/>
    <xf numFmtId="0" fontId="3" fillId="0" borderId="0" xfId="2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3" xfId="0" applyFont="1" applyBorder="1"/>
  </cellXfs>
  <cellStyles count="3">
    <cellStyle name="Normal" xfId="0" builtinId="0"/>
    <cellStyle name="Standard 2" xfId="2" xr:uid="{EAC31C09-B525-4B9A-81BB-130AD7B00DE7}"/>
    <cellStyle name="Standard 3" xfId="1" xr:uid="{11EBD630-1DF8-43D3-A7FF-8F901EAB8F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CB71-B299-4BB7-BBBC-7902D9F80C89}">
  <dimension ref="A1:T35"/>
  <sheetViews>
    <sheetView tabSelected="1" workbookViewId="0">
      <selection activeCell="D1" sqref="D1:K1"/>
    </sheetView>
  </sheetViews>
  <sheetFormatPr baseColWidth="10" defaultRowHeight="14.4" x14ac:dyDescent="0.3"/>
  <cols>
    <col min="1" max="1" width="18.44140625" customWidth="1"/>
    <col min="2" max="2" width="29" customWidth="1"/>
    <col min="3" max="3" width="36.44140625" customWidth="1"/>
    <col min="4" max="4" width="14.109375" customWidth="1"/>
    <col min="5" max="5" width="12.6640625" customWidth="1"/>
    <col min="6" max="6" width="13.88671875" bestFit="1" customWidth="1"/>
    <col min="7" max="7" width="14.21875" customWidth="1"/>
    <col min="8" max="8" width="15.77734375" customWidth="1"/>
    <col min="9" max="9" width="12.44140625" customWidth="1"/>
    <col min="10" max="10" width="11.33203125" customWidth="1"/>
    <col min="11" max="11" width="17.88671875" customWidth="1"/>
    <col min="13" max="13" width="13.109375" customWidth="1"/>
    <col min="14" max="14" width="12.5546875" customWidth="1"/>
    <col min="15" max="15" width="11.44140625"/>
    <col min="16" max="16" width="16.21875" customWidth="1"/>
    <col min="18" max="18" width="27.109375" customWidth="1"/>
    <col min="19" max="19" width="26.33203125" customWidth="1"/>
    <col min="20" max="20" width="26.6640625" customWidth="1"/>
  </cols>
  <sheetData>
    <row r="1" spans="1:20" ht="24" customHeight="1" x14ac:dyDescent="0.3">
      <c r="A1" s="9" t="s">
        <v>11</v>
      </c>
      <c r="B1" s="10" t="s">
        <v>1</v>
      </c>
      <c r="C1" s="9" t="s">
        <v>0</v>
      </c>
      <c r="D1" s="14" t="s">
        <v>29</v>
      </c>
      <c r="E1" s="16" t="s">
        <v>16</v>
      </c>
      <c r="F1" s="16" t="s">
        <v>17</v>
      </c>
      <c r="G1" s="16" t="s">
        <v>30</v>
      </c>
      <c r="H1" s="16" t="s">
        <v>18</v>
      </c>
      <c r="I1" s="16" t="s">
        <v>19</v>
      </c>
      <c r="J1" s="14" t="s">
        <v>20</v>
      </c>
      <c r="K1" s="9" t="s">
        <v>21</v>
      </c>
      <c r="M1" s="14" t="s">
        <v>23</v>
      </c>
      <c r="N1" s="9" t="s">
        <v>24</v>
      </c>
      <c r="P1" s="9" t="s">
        <v>22</v>
      </c>
      <c r="R1" s="14" t="s">
        <v>25</v>
      </c>
      <c r="S1" s="16" t="s">
        <v>26</v>
      </c>
      <c r="T1" s="9" t="s">
        <v>28</v>
      </c>
    </row>
    <row r="2" spans="1:20" x14ac:dyDescent="0.3">
      <c r="A2" s="12"/>
      <c r="B2" s="25"/>
      <c r="C2" s="26"/>
      <c r="D2" s="22" t="s">
        <v>4</v>
      </c>
      <c r="E2" s="23" t="s">
        <v>4</v>
      </c>
      <c r="F2" s="23" t="s">
        <v>4</v>
      </c>
      <c r="G2" s="23" t="s">
        <v>4</v>
      </c>
      <c r="H2" s="23" t="s">
        <v>4</v>
      </c>
      <c r="I2" s="23" t="s">
        <v>4</v>
      </c>
      <c r="J2" s="22" t="s">
        <v>4</v>
      </c>
      <c r="K2" s="24" t="s">
        <v>4</v>
      </c>
      <c r="L2" s="12"/>
      <c r="M2" s="22"/>
      <c r="N2" s="24"/>
      <c r="O2" s="13"/>
      <c r="P2" s="24" t="s">
        <v>12</v>
      </c>
      <c r="Q2" s="13"/>
      <c r="R2" s="22" t="s">
        <v>27</v>
      </c>
      <c r="S2" s="23" t="s">
        <v>27</v>
      </c>
      <c r="T2" s="24" t="s">
        <v>27</v>
      </c>
    </row>
    <row r="3" spans="1:20" x14ac:dyDescent="0.3">
      <c r="A3" s="5">
        <v>1</v>
      </c>
      <c r="B3" s="7">
        <v>8</v>
      </c>
      <c r="C3" s="4" t="s">
        <v>31</v>
      </c>
      <c r="D3" s="15">
        <v>0</v>
      </c>
      <c r="E3" s="17">
        <v>0</v>
      </c>
      <c r="F3" s="17">
        <v>4.6875</v>
      </c>
      <c r="G3" s="17">
        <v>1.5625000000000004</v>
      </c>
      <c r="H3" s="17">
        <v>0</v>
      </c>
      <c r="I3" s="17">
        <v>3.1250000000000009</v>
      </c>
      <c r="J3" s="15">
        <v>1.5625000000000004</v>
      </c>
      <c r="K3" s="6">
        <v>89.0625</v>
      </c>
      <c r="M3" s="15"/>
      <c r="N3" s="6"/>
      <c r="O3" s="5"/>
      <c r="P3" s="11">
        <v>19</v>
      </c>
      <c r="Q3" s="5"/>
      <c r="R3" s="18">
        <v>1777.7919999999999</v>
      </c>
      <c r="S3" s="20">
        <v>1788</v>
      </c>
      <c r="T3" s="11">
        <v>1</v>
      </c>
    </row>
    <row r="4" spans="1:20" x14ac:dyDescent="0.3">
      <c r="A4" s="5">
        <v>2</v>
      </c>
      <c r="B4" s="8" t="s">
        <v>8</v>
      </c>
      <c r="C4" s="4" t="s">
        <v>32</v>
      </c>
      <c r="D4" s="15">
        <v>0.29985007496251875</v>
      </c>
      <c r="E4" s="17">
        <v>0.29985007496251875</v>
      </c>
      <c r="F4" s="17">
        <v>13.043478260869565</v>
      </c>
      <c r="G4" s="17">
        <v>4.197901049475262</v>
      </c>
      <c r="H4" s="17">
        <v>18.140929535232384</v>
      </c>
      <c r="I4" s="17">
        <v>4.197901049475262</v>
      </c>
      <c r="J4" s="15">
        <v>3.2983508245877062</v>
      </c>
      <c r="K4" s="6">
        <v>56.521739130434788</v>
      </c>
      <c r="M4" s="15">
        <v>1.51</v>
      </c>
      <c r="N4" s="6">
        <v>0.42</v>
      </c>
      <c r="O4" s="6"/>
      <c r="P4" s="11">
        <v>32</v>
      </c>
      <c r="Q4" s="5"/>
      <c r="R4" s="18">
        <v>18972.373999999996</v>
      </c>
      <c r="S4" s="20">
        <v>18677</v>
      </c>
      <c r="T4" s="11">
        <v>1</v>
      </c>
    </row>
    <row r="5" spans="1:20" x14ac:dyDescent="0.3">
      <c r="A5" s="5">
        <v>3</v>
      </c>
      <c r="B5" s="8" t="s">
        <v>7</v>
      </c>
      <c r="C5" s="4" t="s">
        <v>33</v>
      </c>
      <c r="D5" s="15">
        <v>0</v>
      </c>
      <c r="E5" s="17">
        <v>0</v>
      </c>
      <c r="F5" s="17">
        <v>0</v>
      </c>
      <c r="G5" s="17">
        <v>1.6320474777448075</v>
      </c>
      <c r="H5" s="17">
        <v>1.0385756676557865</v>
      </c>
      <c r="I5" s="17">
        <v>1.1869436201780417</v>
      </c>
      <c r="J5" s="15">
        <v>0.89020771513353114</v>
      </c>
      <c r="K5" s="6">
        <v>95.252225519287848</v>
      </c>
      <c r="M5" s="15">
        <v>4.21</v>
      </c>
      <c r="N5" s="6">
        <v>0.49</v>
      </c>
      <c r="O5" s="5"/>
      <c r="P5" s="11">
        <v>28</v>
      </c>
      <c r="Q5" s="5"/>
      <c r="R5" s="18">
        <v>18305.702000000001</v>
      </c>
      <c r="S5" s="20">
        <v>17723</v>
      </c>
      <c r="T5" s="11">
        <v>1</v>
      </c>
    </row>
    <row r="6" spans="1:20" x14ac:dyDescent="0.3">
      <c r="A6" s="5">
        <v>4</v>
      </c>
      <c r="B6" s="8" t="s">
        <v>3</v>
      </c>
      <c r="C6" s="4" t="s">
        <v>34</v>
      </c>
      <c r="D6" s="15">
        <v>6.097560975609756E-2</v>
      </c>
      <c r="E6" s="17">
        <v>6.097560975609756E-2</v>
      </c>
      <c r="F6" s="17">
        <v>24.207317073170735</v>
      </c>
      <c r="G6" s="17">
        <v>0.6097560975609756</v>
      </c>
      <c r="H6" s="17">
        <v>12.5</v>
      </c>
      <c r="I6" s="17">
        <v>0.48780487804878048</v>
      </c>
      <c r="J6" s="15">
        <v>0.67073170731707321</v>
      </c>
      <c r="K6" s="6">
        <v>61.402439024390233</v>
      </c>
      <c r="M6" s="15">
        <v>1.1200000000000001</v>
      </c>
      <c r="N6" s="6">
        <v>0.77</v>
      </c>
      <c r="O6" s="6"/>
      <c r="P6" s="11">
        <v>21</v>
      </c>
      <c r="Q6" s="5"/>
      <c r="R6" s="18">
        <v>46555.927999999993</v>
      </c>
      <c r="S6" s="20">
        <v>45940</v>
      </c>
      <c r="T6" s="11">
        <v>1</v>
      </c>
    </row>
    <row r="7" spans="1:20" x14ac:dyDescent="0.3">
      <c r="A7" s="5">
        <v>5</v>
      </c>
      <c r="B7" s="8" t="s">
        <v>45</v>
      </c>
      <c r="C7" s="4" t="s">
        <v>35</v>
      </c>
      <c r="D7" s="15">
        <v>0.39215686274509803</v>
      </c>
      <c r="E7" s="17">
        <v>0.39215686274509803</v>
      </c>
      <c r="F7" s="17">
        <v>0.78431372549019607</v>
      </c>
      <c r="G7" s="17">
        <v>5.8823529411764701</v>
      </c>
      <c r="H7" s="17">
        <v>5.0980392156862742</v>
      </c>
      <c r="I7" s="17">
        <v>4.7058823529411766</v>
      </c>
      <c r="J7" s="15">
        <v>7.8431372549019605</v>
      </c>
      <c r="K7" s="6">
        <v>74.901960784313729</v>
      </c>
      <c r="M7" s="15">
        <v>1.21</v>
      </c>
      <c r="N7" s="6">
        <v>0.53</v>
      </c>
      <c r="O7" s="5"/>
      <c r="P7" s="11">
        <v>15</v>
      </c>
      <c r="Q7" s="5"/>
      <c r="R7" s="18">
        <v>7027.8339999999998</v>
      </c>
      <c r="S7" s="20">
        <v>6768</v>
      </c>
      <c r="T7" s="11">
        <v>1</v>
      </c>
    </row>
    <row r="8" spans="1:20" x14ac:dyDescent="0.3">
      <c r="A8" s="5">
        <v>6</v>
      </c>
      <c r="B8" s="7">
        <v>22</v>
      </c>
      <c r="C8" s="4" t="s">
        <v>36</v>
      </c>
      <c r="D8" s="15">
        <v>0.19342359767891684</v>
      </c>
      <c r="E8" s="17">
        <v>0.19342359767891684</v>
      </c>
      <c r="F8" s="17">
        <v>4.8355899419729207</v>
      </c>
      <c r="G8" s="17">
        <v>3.8684719535783363</v>
      </c>
      <c r="H8" s="17">
        <v>0.96711798839458407</v>
      </c>
      <c r="I8" s="17">
        <v>4.6421663442940035</v>
      </c>
      <c r="J8" s="15">
        <v>2.9013539651837523</v>
      </c>
      <c r="K8" s="6">
        <v>82.398452611218559</v>
      </c>
      <c r="M8" s="15">
        <v>2.09</v>
      </c>
      <c r="N8" s="6">
        <v>0.15</v>
      </c>
      <c r="O8" s="6"/>
      <c r="P8" s="11">
        <v>16</v>
      </c>
      <c r="Q8" s="5"/>
      <c r="R8" s="18">
        <v>14166.779999999999</v>
      </c>
      <c r="S8" s="20">
        <v>13628</v>
      </c>
      <c r="T8" s="11">
        <v>1</v>
      </c>
    </row>
    <row r="9" spans="1:20" x14ac:dyDescent="0.3">
      <c r="A9" s="5">
        <v>7</v>
      </c>
      <c r="B9" s="8" t="s">
        <v>46</v>
      </c>
      <c r="C9" s="4" t="s">
        <v>37</v>
      </c>
      <c r="D9" s="15">
        <v>0</v>
      </c>
      <c r="E9" s="17">
        <v>0</v>
      </c>
      <c r="F9" s="17">
        <v>0</v>
      </c>
      <c r="G9" s="17">
        <v>1.1235955056179778</v>
      </c>
      <c r="H9" s="17">
        <v>1.6853932584269666</v>
      </c>
      <c r="I9" s="17">
        <v>2.8089887640449445</v>
      </c>
      <c r="J9" s="15">
        <v>2.2471910112359557</v>
      </c>
      <c r="K9" s="6">
        <v>92.134831460674164</v>
      </c>
      <c r="M9" s="15">
        <v>1.39</v>
      </c>
      <c r="N9" s="6">
        <v>0.32</v>
      </c>
      <c r="O9" s="5"/>
      <c r="P9" s="11">
        <v>35</v>
      </c>
      <c r="Q9" s="5"/>
      <c r="R9" s="18">
        <v>4833.3719999999994</v>
      </c>
      <c r="S9" s="20">
        <v>4745</v>
      </c>
      <c r="T9" s="11">
        <v>1</v>
      </c>
    </row>
    <row r="10" spans="1:20" x14ac:dyDescent="0.3">
      <c r="A10" s="5">
        <v>8</v>
      </c>
      <c r="B10" s="8" t="s">
        <v>47</v>
      </c>
      <c r="C10" s="4" t="s">
        <v>38</v>
      </c>
      <c r="D10" s="15">
        <v>0</v>
      </c>
      <c r="E10" s="17">
        <v>0</v>
      </c>
      <c r="F10" s="17">
        <v>0</v>
      </c>
      <c r="G10" s="17">
        <v>1.0600706713780919</v>
      </c>
      <c r="H10" s="17">
        <v>0</v>
      </c>
      <c r="I10" s="17">
        <v>2.1201413427561837</v>
      </c>
      <c r="J10" s="15">
        <v>2.1201413427561837</v>
      </c>
      <c r="K10" s="6">
        <v>94.699646643109531</v>
      </c>
      <c r="M10" s="15">
        <v>2.11</v>
      </c>
      <c r="N10" s="6">
        <v>0.42</v>
      </c>
      <c r="O10" s="6"/>
      <c r="P10" s="11">
        <v>34</v>
      </c>
      <c r="Q10" s="5"/>
      <c r="R10" s="18">
        <v>7861.1739999999991</v>
      </c>
      <c r="S10" s="20">
        <v>7747</v>
      </c>
      <c r="T10" s="11">
        <v>1</v>
      </c>
    </row>
    <row r="11" spans="1:20" x14ac:dyDescent="0.3">
      <c r="A11" s="5">
        <v>9</v>
      </c>
      <c r="B11" s="8" t="s">
        <v>5</v>
      </c>
      <c r="C11" s="4" t="s">
        <v>39</v>
      </c>
      <c r="D11" s="15">
        <v>0</v>
      </c>
      <c r="E11" s="17">
        <v>0</v>
      </c>
      <c r="F11" s="17">
        <v>33.704735376044567</v>
      </c>
      <c r="G11" s="17">
        <v>0.27855153203342625</v>
      </c>
      <c r="H11" s="17">
        <v>0</v>
      </c>
      <c r="I11" s="17">
        <v>0.69637883008356549</v>
      </c>
      <c r="J11" s="15">
        <v>0.4178272980501393</v>
      </c>
      <c r="K11" s="6">
        <v>64.902506963788312</v>
      </c>
      <c r="M11" s="15"/>
      <c r="N11" s="6"/>
      <c r="O11" s="5"/>
      <c r="P11" s="11">
        <v>19</v>
      </c>
      <c r="Q11" s="5"/>
      <c r="R11" s="18">
        <v>20166.827999999998</v>
      </c>
      <c r="S11" s="20">
        <v>18710</v>
      </c>
      <c r="T11" s="11">
        <v>1</v>
      </c>
    </row>
    <row r="12" spans="1:20" x14ac:dyDescent="0.3">
      <c r="A12" s="5">
        <v>10</v>
      </c>
      <c r="B12" s="8" t="s">
        <v>6</v>
      </c>
      <c r="C12" s="4" t="s">
        <v>40</v>
      </c>
      <c r="D12" s="15">
        <v>0.13440860215053765</v>
      </c>
      <c r="E12" s="17">
        <v>0</v>
      </c>
      <c r="F12" s="17">
        <v>55.376344086021511</v>
      </c>
      <c r="G12" s="17">
        <v>0.53763440860215062</v>
      </c>
      <c r="H12" s="17">
        <v>0</v>
      </c>
      <c r="I12" s="17">
        <v>1.2096774193548387</v>
      </c>
      <c r="J12" s="15">
        <v>0.53763440860215062</v>
      </c>
      <c r="K12" s="6">
        <v>42.204301075268816</v>
      </c>
      <c r="M12" s="15">
        <v>3.86</v>
      </c>
      <c r="N12" s="6">
        <v>0.23</v>
      </c>
      <c r="O12" s="6"/>
      <c r="P12" s="11">
        <v>18</v>
      </c>
      <c r="Q12" s="5"/>
      <c r="R12" s="18">
        <v>20000.159999999996</v>
      </c>
      <c r="S12" s="20">
        <v>19105</v>
      </c>
      <c r="T12" s="11">
        <v>1</v>
      </c>
    </row>
    <row r="13" spans="1:20" x14ac:dyDescent="0.3">
      <c r="A13" s="5">
        <v>11</v>
      </c>
      <c r="B13" s="8" t="s">
        <v>9</v>
      </c>
      <c r="C13" s="4" t="s">
        <v>41</v>
      </c>
      <c r="D13" s="15">
        <v>0.53380782918149472</v>
      </c>
      <c r="E13" s="17">
        <v>0.35587188612099646</v>
      </c>
      <c r="F13" s="17">
        <v>9.6085409252669045</v>
      </c>
      <c r="G13" s="17">
        <v>3.9145907473309616</v>
      </c>
      <c r="H13" s="17">
        <v>0</v>
      </c>
      <c r="I13" s="17">
        <v>8.007117437722421</v>
      </c>
      <c r="J13" s="15">
        <v>4.4483985765124556</v>
      </c>
      <c r="K13" s="6">
        <v>73.131672597864764</v>
      </c>
      <c r="M13" s="15">
        <v>2.1800000000000002</v>
      </c>
      <c r="N13" s="6">
        <v>0.25</v>
      </c>
      <c r="O13" s="6"/>
      <c r="P13" s="11">
        <v>14</v>
      </c>
      <c r="Q13" s="5"/>
      <c r="R13" s="18">
        <v>15361.233999999999</v>
      </c>
      <c r="S13" s="20">
        <v>14852</v>
      </c>
      <c r="T13" s="11">
        <v>1</v>
      </c>
    </row>
    <row r="14" spans="1:20" x14ac:dyDescent="0.3">
      <c r="A14" s="5">
        <v>12</v>
      </c>
      <c r="B14" s="8" t="s">
        <v>2</v>
      </c>
      <c r="C14" s="4" t="s">
        <v>42</v>
      </c>
      <c r="D14" s="15">
        <v>0.73349633251833746</v>
      </c>
      <c r="E14" s="17">
        <v>0.73349633251833746</v>
      </c>
      <c r="F14" s="17">
        <v>9.5354523227383883</v>
      </c>
      <c r="G14" s="17">
        <v>4.4009779951100256</v>
      </c>
      <c r="H14" s="17">
        <v>1.7114914425427876</v>
      </c>
      <c r="I14" s="17">
        <v>13.202933985330075</v>
      </c>
      <c r="J14" s="15">
        <v>15.158924205378977</v>
      </c>
      <c r="K14" s="6">
        <v>54.52322738386308</v>
      </c>
      <c r="M14" s="15">
        <v>1.34</v>
      </c>
      <c r="N14" s="6">
        <v>0.43</v>
      </c>
      <c r="O14" s="6"/>
      <c r="P14" s="11">
        <v>11</v>
      </c>
      <c r="Q14" s="5"/>
      <c r="R14" s="18">
        <v>11250.089999999998</v>
      </c>
      <c r="S14" s="20">
        <v>10847</v>
      </c>
      <c r="T14" s="11">
        <v>1</v>
      </c>
    </row>
    <row r="15" spans="1:20" x14ac:dyDescent="0.3">
      <c r="A15" s="5">
        <v>13</v>
      </c>
      <c r="B15" s="8" t="s">
        <v>10</v>
      </c>
      <c r="C15" s="4" t="s">
        <v>43</v>
      </c>
      <c r="D15" s="15">
        <v>0.4709576138147567</v>
      </c>
      <c r="E15" s="17">
        <v>0.4709576138147567</v>
      </c>
      <c r="F15" s="17">
        <v>9.733124018838307</v>
      </c>
      <c r="G15" s="17">
        <v>2.8257456828885403</v>
      </c>
      <c r="H15" s="17">
        <v>0</v>
      </c>
      <c r="I15" s="17">
        <v>8.6342229199372067</v>
      </c>
      <c r="J15" s="15">
        <v>7.6923076923076943</v>
      </c>
      <c r="K15" s="6">
        <v>70.172684458398749</v>
      </c>
      <c r="M15" s="15">
        <v>1.37</v>
      </c>
      <c r="N15" s="6">
        <v>0.67</v>
      </c>
      <c r="O15" s="6"/>
      <c r="P15" s="11">
        <v>20</v>
      </c>
      <c r="Q15" s="5"/>
      <c r="R15" s="18">
        <v>17750.141999999996</v>
      </c>
      <c r="S15" s="20">
        <v>16978</v>
      </c>
      <c r="T15" s="11">
        <v>1</v>
      </c>
    </row>
    <row r="16" spans="1:20" x14ac:dyDescent="0.3">
      <c r="A16" s="5">
        <v>14</v>
      </c>
      <c r="B16" s="7" t="s">
        <v>14</v>
      </c>
      <c r="C16" s="4" t="s">
        <v>44</v>
      </c>
      <c r="D16" s="15">
        <v>0.62034739454094268</v>
      </c>
      <c r="E16" s="17">
        <v>0.62034739454094268</v>
      </c>
      <c r="F16" s="17">
        <v>9.5533498759305182</v>
      </c>
      <c r="G16" s="17">
        <v>2.9776674937965248</v>
      </c>
      <c r="H16" s="17">
        <v>0.86848635235731975</v>
      </c>
      <c r="I16" s="17">
        <v>9.3052109181141418</v>
      </c>
      <c r="J16" s="15">
        <v>12.282878411910666</v>
      </c>
      <c r="K16" s="6">
        <v>63.771712158808924</v>
      </c>
      <c r="M16" s="15"/>
      <c r="N16" s="6"/>
      <c r="O16" s="5"/>
      <c r="P16" s="11">
        <v>19</v>
      </c>
      <c r="Q16" s="5"/>
      <c r="R16" s="18">
        <v>22055.732</v>
      </c>
      <c r="S16" s="20">
        <v>20940</v>
      </c>
      <c r="T16" s="11">
        <v>1</v>
      </c>
    </row>
    <row r="17" spans="3:20" x14ac:dyDescent="0.3">
      <c r="C17" s="3"/>
      <c r="E17" s="1"/>
      <c r="F17" s="1"/>
      <c r="G17" s="1"/>
      <c r="H17" s="1"/>
      <c r="I17" s="1"/>
      <c r="J17" s="1"/>
      <c r="K17" s="1"/>
      <c r="M17" s="5"/>
      <c r="N17" s="5"/>
      <c r="O17" s="5"/>
      <c r="P17" s="5"/>
      <c r="Q17" s="5"/>
      <c r="R17" s="19"/>
      <c r="S17" s="21"/>
      <c r="T17" s="11">
        <v>1</v>
      </c>
    </row>
    <row r="19" spans="3:20" x14ac:dyDescent="0.3">
      <c r="D19" s="1" t="s">
        <v>15</v>
      </c>
      <c r="S19" t="s">
        <v>13</v>
      </c>
    </row>
    <row r="22" spans="3:20" x14ac:dyDescent="0.3">
      <c r="T22" s="2">
        <f>6.1*277.78</f>
        <v>1694.4579999999996</v>
      </c>
    </row>
    <row r="23" spans="3:20" x14ac:dyDescent="0.3">
      <c r="T23" s="2">
        <f>66.3*277.78</f>
        <v>18416.813999999998</v>
      </c>
    </row>
    <row r="24" spans="3:20" x14ac:dyDescent="0.3">
      <c r="T24" s="2">
        <f>61.1*277.78</f>
        <v>16972.358</v>
      </c>
    </row>
    <row r="25" spans="3:20" x14ac:dyDescent="0.3">
      <c r="T25" s="2">
        <f>164.9*277.78</f>
        <v>45805.921999999999</v>
      </c>
    </row>
    <row r="26" spans="3:20" x14ac:dyDescent="0.3">
      <c r="T26" s="2">
        <f>23.7*277.78</f>
        <v>6583.3859999999995</v>
      </c>
    </row>
    <row r="27" spans="3:20" x14ac:dyDescent="0.3">
      <c r="T27" s="2">
        <f>44.8*277.78</f>
        <v>12444.543999999998</v>
      </c>
    </row>
    <row r="28" spans="3:20" x14ac:dyDescent="0.3">
      <c r="T28" s="2">
        <f>15.7*277.78</f>
        <v>4361.1459999999997</v>
      </c>
    </row>
    <row r="29" spans="3:20" x14ac:dyDescent="0.3">
      <c r="T29" s="2">
        <f>28.2*277.78</f>
        <v>7833.3959999999988</v>
      </c>
    </row>
    <row r="30" spans="3:20" x14ac:dyDescent="0.3">
      <c r="T30" s="2">
        <f>60*277.78</f>
        <v>16666.8</v>
      </c>
    </row>
    <row r="31" spans="3:20" x14ac:dyDescent="0.3">
      <c r="T31" s="2">
        <f>60.2*277.78</f>
        <v>16722.356</v>
      </c>
    </row>
    <row r="32" spans="3:20" x14ac:dyDescent="0.3">
      <c r="T32" s="2">
        <f>47.4*277.78</f>
        <v>13166.771999999999</v>
      </c>
    </row>
    <row r="33" spans="20:20" x14ac:dyDescent="0.3">
      <c r="T33" s="2">
        <f>33.9*277.78</f>
        <v>9416.7419999999984</v>
      </c>
    </row>
    <row r="34" spans="20:20" x14ac:dyDescent="0.3">
      <c r="T34" s="2">
        <f>47.5*277.78</f>
        <v>13194.55</v>
      </c>
    </row>
    <row r="35" spans="20:20" x14ac:dyDescent="0.3">
      <c r="T35" s="2">
        <f>70.4*277.78</f>
        <v>19555.712</v>
      </c>
    </row>
  </sheetData>
  <sortState xmlns:xlrd2="http://schemas.microsoft.com/office/spreadsheetml/2017/richdata2" ref="A3:N15">
    <sortCondition ref="A3:A15"/>
  </sortState>
  <conditionalFormatting sqref="M4">
    <cfRule type="colorScale" priority="53">
      <colorScale>
        <cfvo type="min"/>
        <cfvo type="max"/>
        <color rgb="FFFCFCFF"/>
        <color rgb="FFF8696B"/>
      </colorScale>
    </cfRule>
  </conditionalFormatting>
  <conditionalFormatting sqref="M5">
    <cfRule type="colorScale" priority="31">
      <colorScale>
        <cfvo type="min"/>
        <cfvo type="max"/>
        <color rgb="FFFCFCFF"/>
        <color rgb="FFF8696B"/>
      </colorScale>
    </cfRule>
  </conditionalFormatting>
  <conditionalFormatting sqref="M6">
    <cfRule type="colorScale" priority="35">
      <colorScale>
        <cfvo type="min"/>
        <cfvo type="max"/>
        <color rgb="FFFCFCFF"/>
        <color rgb="FFF8696B"/>
      </colorScale>
    </cfRule>
  </conditionalFormatting>
  <conditionalFormatting sqref="M8">
    <cfRule type="colorScale" priority="38">
      <colorScale>
        <cfvo type="min"/>
        <cfvo type="max"/>
        <color rgb="FFFCFCFF"/>
        <color rgb="FFF8696B"/>
      </colorScale>
    </cfRule>
  </conditionalFormatting>
  <conditionalFormatting sqref="M9">
    <cfRule type="colorScale" priority="41">
      <colorScale>
        <cfvo type="min"/>
        <cfvo type="max"/>
        <color rgb="FFFCFCFF"/>
        <color rgb="FFF8696B"/>
      </colorScale>
    </cfRule>
  </conditionalFormatting>
  <conditionalFormatting sqref="M14">
    <cfRule type="colorScale" priority="50">
      <colorScale>
        <cfvo type="min"/>
        <cfvo type="max"/>
        <color rgb="FFFCFCFF"/>
        <color rgb="FFF8696B"/>
      </colorScale>
    </cfRule>
  </conditionalFormatting>
  <conditionalFormatting sqref="M3:N1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N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6:N6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8:N8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9:N9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4:P4 P5 P3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0:P13 D19 D3:K16 E17:K17 M3:N1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:P14 P15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5">
    <cfRule type="colorScale" priority="32">
      <colorScale>
        <cfvo type="min"/>
        <cfvo type="max"/>
        <color rgb="FFFCFCFF"/>
        <color rgb="FFF8696B"/>
      </colorScale>
    </cfRule>
  </conditionalFormatting>
  <conditionalFormatting sqref="N6">
    <cfRule type="colorScale" priority="36">
      <colorScale>
        <cfvo type="min"/>
        <cfvo type="max"/>
        <color rgb="FFFCFCFF"/>
        <color rgb="FFF8696B"/>
      </colorScale>
    </cfRule>
  </conditionalFormatting>
  <conditionalFormatting sqref="N8">
    <cfRule type="colorScale" priority="39">
      <colorScale>
        <cfvo type="min"/>
        <cfvo type="max"/>
        <color rgb="FFFCFCFF"/>
        <color rgb="FFF8696B"/>
      </colorScale>
    </cfRule>
  </conditionalFormatting>
  <conditionalFormatting sqref="N9">
    <cfRule type="colorScale" priority="42">
      <colorScale>
        <cfvo type="min"/>
        <cfvo type="max"/>
        <color rgb="FFFCFCFF"/>
        <color rgb="FFF8696B"/>
      </colorScale>
    </cfRule>
  </conditionalFormatting>
  <conditionalFormatting sqref="N4:P4 P5 P3">
    <cfRule type="colorScale" priority="54">
      <colorScale>
        <cfvo type="min"/>
        <cfvo type="max"/>
        <color rgb="FFFCFCFF"/>
        <color rgb="FFF8696B"/>
      </colorScale>
    </cfRule>
  </conditionalFormatting>
  <conditionalFormatting sqref="N14:P14 P15">
    <cfRule type="colorScale" priority="51">
      <colorScale>
        <cfvo type="min"/>
        <cfvo type="max"/>
        <color rgb="FFFCFCFF"/>
        <color rgb="FFF8696B"/>
      </colorScale>
    </cfRule>
  </conditionalFormatting>
  <conditionalFormatting sqref="O6:P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5">
    <cfRule type="colorScale" priority="12">
      <colorScale>
        <cfvo type="min"/>
        <cfvo type="max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6:R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:R1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:R15"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5">
    <cfRule type="colorScale" priority="27">
      <colorScale>
        <cfvo type="min"/>
        <cfvo type="max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6:S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:S13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4:S15">
    <cfRule type="colorScale" priority="25">
      <colorScale>
        <cfvo type="min"/>
        <cfvo type="max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7">
    <cfRule type="colorScale" priority="19">
      <colorScale>
        <cfvo type="min"/>
        <cfvo type="max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22:T24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25:T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9:T3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:T34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Electrical</vt:lpstr>
    </vt:vector>
  </TitlesOfParts>
  <Company>Hochschule Offenburg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asandhaa</dc:creator>
  <cp:lastModifiedBy>acuña casal asier</cp:lastModifiedBy>
  <dcterms:created xsi:type="dcterms:W3CDTF">2021-03-30T14:24:30Z</dcterms:created>
  <dcterms:modified xsi:type="dcterms:W3CDTF">2026-02-08T21:24:00Z</dcterms:modified>
</cp:coreProperties>
</file>