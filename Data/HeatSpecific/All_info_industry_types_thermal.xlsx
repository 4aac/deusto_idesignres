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er\Desktop\projects\DEUSTO_iDesign_RES\Data\HeatSpecific\"/>
    </mc:Choice>
  </mc:AlternateContent>
  <xr:revisionPtr revIDLastSave="0" documentId="13_ncr:1_{4A1A4022-1CE2-40C0-9902-FD6ED31999A4}" xr6:coauthVersionLast="47" xr6:coauthVersionMax="47" xr10:uidLastSave="{00000000-0000-0000-0000-000000000000}"/>
  <bookViews>
    <workbookView xWindow="-108" yWindow="-108" windowWidth="23256" windowHeight="13176" xr2:uid="{612B240B-EA99-41DA-B7DC-32C187B817CA}"/>
  </bookViews>
  <sheets>
    <sheet name="Thermal" sheetId="5" r:id="rId1"/>
    <sheet name="englisch" sheetId="1" r:id="rId2"/>
    <sheet name="Thermal_Hauptprozesse" sheetId="4" r:id="rId3"/>
    <sheet name="Thermal_Entwurf (2)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6" i="4" l="1"/>
  <c r="T17" i="4"/>
  <c r="S17" i="4"/>
  <c r="S3" i="4"/>
  <c r="T3" i="4"/>
  <c r="S4" i="4"/>
  <c r="T4" i="4"/>
  <c r="S5" i="4"/>
  <c r="T5" i="4"/>
  <c r="S6" i="4"/>
  <c r="T6" i="4"/>
  <c r="S7" i="4"/>
  <c r="T7" i="4"/>
  <c r="S8" i="4"/>
  <c r="T8" i="4"/>
  <c r="S9" i="4"/>
  <c r="T9" i="4"/>
  <c r="S10" i="4"/>
  <c r="T10" i="4"/>
  <c r="S11" i="4"/>
  <c r="T11" i="4"/>
  <c r="S12" i="4"/>
  <c r="T12" i="4"/>
  <c r="S13" i="4"/>
  <c r="T13" i="4"/>
  <c r="S14" i="4"/>
  <c r="T14" i="4"/>
  <c r="S15" i="4"/>
  <c r="T15" i="4"/>
  <c r="S16" i="4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3" i="4"/>
  <c r="R17" i="4"/>
  <c r="J75" i="2"/>
  <c r="I75" i="2"/>
  <c r="H75" i="2"/>
  <c r="G75" i="2"/>
  <c r="F75" i="2"/>
  <c r="J71" i="2"/>
  <c r="I71" i="2"/>
  <c r="H71" i="2"/>
  <c r="G71" i="2"/>
  <c r="F71" i="2"/>
  <c r="J70" i="2"/>
  <c r="I70" i="2"/>
  <c r="H70" i="2"/>
  <c r="G70" i="2"/>
  <c r="F70" i="2"/>
  <c r="J69" i="2"/>
  <c r="I69" i="2"/>
  <c r="H69" i="2"/>
  <c r="G69" i="2"/>
  <c r="F69" i="2"/>
  <c r="J65" i="2"/>
  <c r="I65" i="2"/>
  <c r="H65" i="2"/>
  <c r="G65" i="2"/>
  <c r="F65" i="2"/>
  <c r="J64" i="2"/>
  <c r="I64" i="2"/>
  <c r="H64" i="2"/>
  <c r="G64" i="2"/>
  <c r="F64" i="2"/>
  <c r="J63" i="2"/>
  <c r="I63" i="2"/>
  <c r="H63" i="2"/>
  <c r="G63" i="2"/>
  <c r="F63" i="2"/>
  <c r="Q57" i="2"/>
  <c r="K57" i="2" s="1"/>
  <c r="Q56" i="2"/>
  <c r="K56" i="2"/>
  <c r="J56" i="2"/>
  <c r="I56" i="2"/>
  <c r="Q55" i="2"/>
  <c r="K55" i="2" s="1"/>
  <c r="Q54" i="2"/>
  <c r="K54" i="2"/>
  <c r="J54" i="2"/>
  <c r="I54" i="2"/>
  <c r="Q53" i="2"/>
  <c r="K53" i="2" s="1"/>
  <c r="Q52" i="2"/>
  <c r="J52" i="2" s="1"/>
  <c r="K52" i="2"/>
  <c r="I52" i="2"/>
  <c r="Q51" i="2"/>
  <c r="K51" i="2" s="1"/>
  <c r="Q50" i="2"/>
  <c r="K50" i="2"/>
  <c r="J50" i="2"/>
  <c r="I50" i="2"/>
  <c r="Q49" i="2"/>
  <c r="K49" i="2" s="1"/>
  <c r="Q48" i="2"/>
  <c r="K48" i="2"/>
  <c r="J48" i="2"/>
  <c r="I48" i="2"/>
  <c r="Q47" i="2"/>
  <c r="K47" i="2" s="1"/>
  <c r="Q46" i="2"/>
  <c r="I46" i="2" s="1"/>
  <c r="K46" i="2"/>
  <c r="J46" i="2"/>
  <c r="Q45" i="2"/>
  <c r="K45" i="2" s="1"/>
  <c r="Q44" i="2"/>
  <c r="K44" i="2"/>
  <c r="J44" i="2"/>
  <c r="I44" i="2"/>
  <c r="J36" i="2"/>
  <c r="I36" i="2"/>
  <c r="H36" i="2"/>
  <c r="G36" i="2"/>
  <c r="J35" i="2"/>
  <c r="I35" i="2"/>
  <c r="H35" i="2"/>
  <c r="G35" i="2"/>
  <c r="J34" i="2"/>
  <c r="I34" i="2"/>
  <c r="H34" i="2"/>
  <c r="G34" i="2"/>
  <c r="J33" i="2"/>
  <c r="I33" i="2"/>
  <c r="H33" i="2"/>
  <c r="G33" i="2"/>
  <c r="J32" i="2"/>
  <c r="I32" i="2"/>
  <c r="H32" i="2"/>
  <c r="G32" i="2"/>
  <c r="J31" i="2"/>
  <c r="I31" i="2"/>
  <c r="H31" i="2"/>
  <c r="G31" i="2"/>
  <c r="J30" i="2"/>
  <c r="I30" i="2"/>
  <c r="H30" i="2"/>
  <c r="G30" i="2"/>
  <c r="J29" i="2"/>
  <c r="I29" i="2"/>
  <c r="H29" i="2"/>
  <c r="G29" i="2"/>
  <c r="J28" i="2"/>
  <c r="I28" i="2"/>
  <c r="H28" i="2"/>
  <c r="G28" i="2"/>
  <c r="J27" i="2"/>
  <c r="I27" i="2"/>
  <c r="H27" i="2"/>
  <c r="G27" i="2"/>
  <c r="J26" i="2"/>
  <c r="I26" i="2"/>
  <c r="H26" i="2"/>
  <c r="G26" i="2"/>
  <c r="J25" i="2"/>
  <c r="I25" i="2"/>
  <c r="H25" i="2"/>
  <c r="G25" i="2"/>
  <c r="J24" i="2"/>
  <c r="I24" i="2"/>
  <c r="H24" i="2"/>
  <c r="G24" i="2"/>
  <c r="J23" i="2"/>
  <c r="I23" i="2"/>
  <c r="H23" i="2"/>
  <c r="G23" i="2"/>
  <c r="Q18" i="2"/>
  <c r="Q17" i="2"/>
  <c r="Q16" i="2"/>
  <c r="Q15" i="2"/>
  <c r="Q14" i="2"/>
  <c r="Q13" i="2"/>
  <c r="Q12" i="2"/>
  <c r="Q11" i="2"/>
  <c r="Q10" i="2"/>
  <c r="Q9" i="2"/>
  <c r="Q8" i="2"/>
  <c r="Q7" i="2"/>
  <c r="Q6" i="2"/>
  <c r="Q5" i="2"/>
  <c r="I45" i="2" l="1"/>
  <c r="I47" i="2"/>
  <c r="I49" i="2"/>
  <c r="I51" i="2"/>
  <c r="I53" i="2"/>
  <c r="I55" i="2"/>
  <c r="I57" i="2"/>
  <c r="J45" i="2"/>
  <c r="J47" i="2"/>
  <c r="J49" i="2"/>
  <c r="J51" i="2"/>
  <c r="J53" i="2"/>
  <c r="J55" i="2"/>
  <c r="J5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asandhaa</author>
  </authors>
  <commentList>
    <comment ref="D1" authorId="0" shapeId="0" xr:uid="{0B8AB0FF-BBE9-42F7-A99B-B1F1B68D63D7}">
      <text>
        <r>
          <rPr>
            <b/>
            <sz val="9"/>
            <color indexed="81"/>
            <rFont val="Segoe UI"/>
            <family val="2"/>
          </rPr>
          <t>asandhaa:</t>
        </r>
        <r>
          <rPr>
            <sz val="9"/>
            <color indexed="81"/>
            <rFont val="Segoe UI"/>
            <family val="2"/>
          </rPr>
          <t xml:space="preserve">
*</t>
        </r>
      </text>
    </comment>
    <comment ref="E1" authorId="0" shapeId="0" xr:uid="{1FEFEE81-0ED2-488D-BF25-0BBA7E2F3B8D}">
      <text>
        <r>
          <rPr>
            <b/>
            <sz val="9"/>
            <color indexed="81"/>
            <rFont val="Segoe UI"/>
            <family val="2"/>
          </rPr>
          <t>asandhaa:</t>
        </r>
        <r>
          <rPr>
            <sz val="9"/>
            <color indexed="81"/>
            <rFont val="Segoe UI"/>
            <family val="2"/>
          </rPr>
          <t xml:space="preserve">
*</t>
        </r>
      </text>
    </comment>
    <comment ref="F1" authorId="0" shapeId="0" xr:uid="{4E915AE6-52C3-4F98-9018-50A079079C57}">
      <text>
        <r>
          <rPr>
            <b/>
            <sz val="9"/>
            <color indexed="81"/>
            <rFont val="Segoe UI"/>
            <family val="2"/>
          </rPr>
          <t>asandhaa:</t>
        </r>
        <r>
          <rPr>
            <sz val="9"/>
            <color indexed="81"/>
            <rFont val="Segoe UI"/>
            <family val="2"/>
          </rPr>
          <t xml:space="preserve">
**</t>
        </r>
      </text>
    </comment>
    <comment ref="G1" authorId="0" shapeId="0" xr:uid="{DBC74C3A-FB5E-4EB7-86EC-ECA4E407261A}">
      <text>
        <r>
          <rPr>
            <b/>
            <sz val="9"/>
            <color indexed="81"/>
            <rFont val="Segoe UI"/>
            <family val="2"/>
          </rPr>
          <t>asandhaa:</t>
        </r>
        <r>
          <rPr>
            <sz val="9"/>
            <color indexed="81"/>
            <rFont val="Segoe UI"/>
            <family val="2"/>
          </rPr>
          <t xml:space="preserve">
**</t>
        </r>
      </text>
    </comment>
    <comment ref="H1" authorId="0" shapeId="0" xr:uid="{F3BE250D-7031-4B33-B018-57FCE1A4A8AB}">
      <text>
        <r>
          <rPr>
            <b/>
            <sz val="9"/>
            <color indexed="81"/>
            <rFont val="Segoe UI"/>
            <family val="2"/>
          </rPr>
          <t>asandhaa:</t>
        </r>
        <r>
          <rPr>
            <sz val="9"/>
            <color indexed="81"/>
            <rFont val="Segoe UI"/>
            <family val="2"/>
          </rPr>
          <t xml:space="preserve">
**</t>
        </r>
      </text>
    </comment>
    <comment ref="I1" authorId="0" shapeId="0" xr:uid="{449BBA56-98FC-4696-9C5C-0E88310714F6}">
      <text>
        <r>
          <rPr>
            <b/>
            <sz val="9"/>
            <color indexed="81"/>
            <rFont val="Segoe UI"/>
            <family val="2"/>
          </rPr>
          <t>asandhaa:</t>
        </r>
        <r>
          <rPr>
            <sz val="9"/>
            <color indexed="81"/>
            <rFont val="Segoe UI"/>
            <family val="2"/>
          </rPr>
          <t xml:space="preserve">
**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asandhaa</author>
  </authors>
  <commentList>
    <comment ref="D1" authorId="0" shapeId="0" xr:uid="{AE8B7347-1673-430B-864F-4CE38BD72C45}">
      <text>
        <r>
          <rPr>
            <b/>
            <sz val="9"/>
            <color indexed="81"/>
            <rFont val="Segoe UI"/>
            <family val="2"/>
          </rPr>
          <t>asandhaa:</t>
        </r>
        <r>
          <rPr>
            <sz val="9"/>
            <color indexed="81"/>
            <rFont val="Segoe UI"/>
            <family val="2"/>
          </rPr>
          <t xml:space="preserve">
*</t>
        </r>
      </text>
    </comment>
    <comment ref="E1" authorId="0" shapeId="0" xr:uid="{0F133EC5-7947-4505-ABB8-61AC29A33BA1}">
      <text>
        <r>
          <rPr>
            <b/>
            <sz val="9"/>
            <color indexed="81"/>
            <rFont val="Segoe UI"/>
            <family val="2"/>
          </rPr>
          <t>asandhaa:</t>
        </r>
        <r>
          <rPr>
            <sz val="9"/>
            <color indexed="81"/>
            <rFont val="Segoe UI"/>
            <family val="2"/>
          </rPr>
          <t xml:space="preserve">
*</t>
        </r>
      </text>
    </comment>
    <comment ref="F1" authorId="0" shapeId="0" xr:uid="{E7E849DB-3F63-4433-B192-D03BB5B7AD23}">
      <text>
        <r>
          <rPr>
            <b/>
            <sz val="9"/>
            <color indexed="81"/>
            <rFont val="Segoe UI"/>
            <family val="2"/>
          </rPr>
          <t>asandhaa:</t>
        </r>
        <r>
          <rPr>
            <sz val="9"/>
            <color indexed="81"/>
            <rFont val="Segoe UI"/>
            <family val="2"/>
          </rPr>
          <t xml:space="preserve">
**</t>
        </r>
      </text>
    </comment>
    <comment ref="G1" authorId="0" shapeId="0" xr:uid="{2899E9AE-EC7C-4942-B28F-0D22A42CF88F}">
      <text>
        <r>
          <rPr>
            <b/>
            <sz val="9"/>
            <color indexed="81"/>
            <rFont val="Segoe UI"/>
            <family val="2"/>
          </rPr>
          <t>asandhaa:</t>
        </r>
        <r>
          <rPr>
            <sz val="9"/>
            <color indexed="81"/>
            <rFont val="Segoe UI"/>
            <family val="2"/>
          </rPr>
          <t xml:space="preserve">
**</t>
        </r>
      </text>
    </comment>
    <comment ref="H1" authorId="0" shapeId="0" xr:uid="{62F6BE39-11F6-4A9E-8676-086A33B215CC}">
      <text>
        <r>
          <rPr>
            <b/>
            <sz val="9"/>
            <color indexed="81"/>
            <rFont val="Segoe UI"/>
            <family val="2"/>
          </rPr>
          <t>asandhaa:</t>
        </r>
        <r>
          <rPr>
            <sz val="9"/>
            <color indexed="81"/>
            <rFont val="Segoe UI"/>
            <family val="2"/>
          </rPr>
          <t xml:space="preserve">
**</t>
        </r>
      </text>
    </comment>
    <comment ref="I1" authorId="0" shapeId="0" xr:uid="{F73BFD02-D9FB-4492-BCD1-2B49EB611643}">
      <text>
        <r>
          <rPr>
            <b/>
            <sz val="9"/>
            <color indexed="81"/>
            <rFont val="Segoe UI"/>
            <family val="2"/>
          </rPr>
          <t>asandhaa:</t>
        </r>
        <r>
          <rPr>
            <sz val="9"/>
            <color indexed="81"/>
            <rFont val="Segoe UI"/>
            <family val="2"/>
          </rPr>
          <t xml:space="preserve">
**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asandhaa</author>
  </authors>
  <commentList>
    <comment ref="I6" authorId="0" shapeId="0" xr:uid="{E51126A5-BE89-4725-AC5D-03F62A95217B}">
      <text>
        <r>
          <rPr>
            <b/>
            <sz val="9"/>
            <color indexed="81"/>
            <rFont val="Segoe UI"/>
            <family val="2"/>
          </rPr>
          <t>asandhaa:</t>
        </r>
        <r>
          <rPr>
            <sz val="9"/>
            <color indexed="81"/>
            <rFont val="Segoe UI"/>
            <family val="2"/>
          </rPr>
          <t xml:space="preserve">
Brennstoff(Ethylen)/ Brennstoff total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cdejesu1</author>
    <author>asandhaa</author>
  </authors>
  <commentList>
    <comment ref="Q2" authorId="0" shapeId="0" xr:uid="{67192794-6653-4EC8-9774-6D26463B037A}">
      <text>
        <r>
          <rPr>
            <b/>
            <sz val="9"/>
            <color indexed="81"/>
            <rFont val="Segoe UI"/>
            <family val="2"/>
          </rPr>
          <t>cdejesu1:</t>
        </r>
        <r>
          <rPr>
            <sz val="9"/>
            <color indexed="81"/>
            <rFont val="Segoe UI"/>
            <family val="2"/>
          </rPr>
          <t xml:space="preserve">
Brennstoffe, inkl. Fernwärme, nach Anwendungs und Branchen. Anwendungs: Prozesswärme, Raumwärme, Warmwasser</t>
        </r>
      </text>
    </comment>
    <comment ref="R2" authorId="0" shapeId="0" xr:uid="{35B6D591-26D5-47B6-A8C5-553093CE45DD}">
      <text>
        <r>
          <rPr>
            <b/>
            <sz val="9"/>
            <color indexed="81"/>
            <rFont val="Segoe UI"/>
            <family val="2"/>
          </rPr>
          <t>cdejesu1:</t>
        </r>
        <r>
          <rPr>
            <sz val="9"/>
            <color indexed="81"/>
            <rFont val="Segoe UI"/>
            <family val="2"/>
          </rPr>
          <t xml:space="preserve">
Serious inconsistencies when just using heat</t>
        </r>
      </text>
    </comment>
    <comment ref="O5" authorId="1" shapeId="0" xr:uid="{F52B3C7F-BED4-4BA4-8BFB-F576F530E418}">
      <text>
        <r>
          <rPr>
            <b/>
            <sz val="9"/>
            <color indexed="81"/>
            <rFont val="Segoe UI"/>
            <family val="2"/>
          </rPr>
          <t>asandhaa:
keine Realdaten vorhanden
19 % Durchschnitt aller Fluktuationen</t>
        </r>
      </text>
    </comment>
    <comment ref="O13" authorId="1" shapeId="0" xr:uid="{E40F118C-C685-4008-9CE7-53E311497272}">
      <text>
        <r>
          <rPr>
            <b/>
            <sz val="9"/>
            <color indexed="81"/>
            <rFont val="Segoe UI"/>
            <family val="2"/>
          </rPr>
          <t>asandhaa:</t>
        </r>
        <r>
          <rPr>
            <sz val="9"/>
            <color indexed="81"/>
            <rFont val="Segoe UI"/>
            <family val="2"/>
          </rPr>
          <t xml:space="preserve">
keine Realdaten vorhanden
19 % Durchschnitt aller Fluktuationen</t>
        </r>
      </text>
    </comment>
    <comment ref="O18" authorId="1" shapeId="0" xr:uid="{7045F446-8958-41B2-82A9-FD47BE577F13}">
      <text>
        <r>
          <rPr>
            <b/>
            <sz val="9"/>
            <color indexed="81"/>
            <rFont val="Segoe UI"/>
            <family val="2"/>
          </rPr>
          <t>asandhaa:</t>
        </r>
        <r>
          <rPr>
            <sz val="9"/>
            <color indexed="81"/>
            <rFont val="Segoe UI"/>
            <family val="2"/>
          </rPr>
          <t xml:space="preserve">
keine Realdaten vorhanden
19 % Durchschnitt aller Fluktuationen</t>
        </r>
      </text>
    </comment>
    <comment ref="Q41" authorId="0" shapeId="0" xr:uid="{89B6A242-06A3-44FA-9E5D-AE002DB73E8D}">
      <text>
        <r>
          <rPr>
            <b/>
            <sz val="9"/>
            <color indexed="81"/>
            <rFont val="Segoe UI"/>
            <family val="2"/>
          </rPr>
          <t>cdejesu1:</t>
        </r>
        <r>
          <rPr>
            <sz val="9"/>
            <color indexed="81"/>
            <rFont val="Segoe UI"/>
            <family val="2"/>
          </rPr>
          <t xml:space="preserve">
Brennstoffe, inkl. Fernwärme, nach Anwendungs und Branchen. Anwendungsbereiche: Prozesswärme, Raumwärme, Warmwasser</t>
        </r>
      </text>
    </comment>
    <comment ref="K42" authorId="0" shapeId="0" xr:uid="{031EEDAA-5348-4E78-B1A6-B37DD4F58771}">
      <text>
        <r>
          <rPr>
            <b/>
            <sz val="9"/>
            <color indexed="81"/>
            <rFont val="Segoe UI"/>
            <family val="2"/>
          </rPr>
          <t>cdejesu1:</t>
        </r>
        <r>
          <rPr>
            <sz val="9"/>
            <color indexed="81"/>
            <rFont val="Segoe UI"/>
            <family val="2"/>
          </rPr>
          <t xml:space="preserve">
40 - 1000 °C
</t>
        </r>
      </text>
    </comment>
  </commentList>
</comments>
</file>

<file path=xl/sharedStrings.xml><?xml version="1.0" encoding="utf-8"?>
<sst xmlns="http://schemas.openxmlformats.org/spreadsheetml/2006/main" count="562" uniqueCount="227">
  <si>
    <t>Quelle: Fraunhofer ISI 2020 (2018) Erstellung von Anwendungsbilanzen für die Jahre 2018 bis 2020: für die Sektoren Industrie und GHD, Karlsruhe</t>
  </si>
  <si>
    <t>Sonstige Wirtschaftszweige</t>
  </si>
  <si>
    <t>13. 14, 15, 16, 18, 26, 27, 31, 32, 33</t>
  </si>
  <si>
    <t>Fahrzeugbau</t>
  </si>
  <si>
    <t>29, 30</t>
  </si>
  <si>
    <t>Maschinenbau</t>
  </si>
  <si>
    <t>28</t>
  </si>
  <si>
    <t>Metallbearbeitung</t>
  </si>
  <si>
    <t>24.2, 24.3, 25</t>
  </si>
  <si>
    <t>NE-Metalle, -gießereien</t>
  </si>
  <si>
    <t>24.4, 24.5</t>
  </si>
  <si>
    <t>Metallerzeugung</t>
  </si>
  <si>
    <t>24.1</t>
  </si>
  <si>
    <t>Verarb. v. Steine u. Erden</t>
  </si>
  <si>
    <t>23 ohne 23.1 und 23.3</t>
  </si>
  <si>
    <t>Glas u. Keramik</t>
  </si>
  <si>
    <t>23.1 bis 23.3</t>
  </si>
  <si>
    <t>Gummi- u. Kunststoffwaren</t>
  </si>
  <si>
    <t>Sonst. chemische Industrie</t>
  </si>
  <si>
    <t>20, 21  ohne 20.1</t>
  </si>
  <si>
    <t>Grundstoffchemie</t>
  </si>
  <si>
    <t>20.1</t>
  </si>
  <si>
    <t>Papiergewerbe</t>
  </si>
  <si>
    <t>17</t>
  </si>
  <si>
    <t>Ernährung und Tabak</t>
  </si>
  <si>
    <t>10, 11, 12</t>
  </si>
  <si>
    <t>Gew. v. Steinen u. Erden</t>
  </si>
  <si>
    <t>in % (rel. 100 kW)</t>
  </si>
  <si>
    <t>%</t>
  </si>
  <si>
    <t>&gt;1000 °C</t>
  </si>
  <si>
    <t>100 °C - 500 °C</t>
  </si>
  <si>
    <t>&lt; 100 °C</t>
  </si>
  <si>
    <t>Name</t>
  </si>
  <si>
    <t>WZ_ID</t>
  </si>
  <si>
    <t>industry_number</t>
  </si>
  <si>
    <t>Energieverbrauch 2019</t>
  </si>
  <si>
    <t>500 °C - 1000 °C</t>
  </si>
  <si>
    <t>Raumwärme</t>
  </si>
  <si>
    <t>Warmwasser</t>
  </si>
  <si>
    <t>Energieverbrauch 2018</t>
  </si>
  <si>
    <t>Energieverbrauch 2020</t>
  </si>
  <si>
    <t>Wärme in GWh/a</t>
  </si>
  <si>
    <t>* Space heating + Hot Water shares berechnet in Anlehnung an Farunhofer ISI, 2021 Erstelleng v. Anwendungsbilanzen Tabelle 12 ohne Mech. Energie</t>
  </si>
  <si>
    <t>** Bezogen von Fraunhofer ISI, 2021 &amp; Naegler T. et al. (Siehe details in Blatt Thermal_Entwurf (2))</t>
  </si>
  <si>
    <t>In Anlehnung an Naegler, T. Quantification of the European… Figure 3, Seite 2025</t>
  </si>
  <si>
    <t>ISI - AGEB Erstellung v …</t>
  </si>
  <si>
    <t>eurostat *!!!!</t>
  </si>
  <si>
    <t>undata *!!!!</t>
  </si>
  <si>
    <t>AGEB</t>
  </si>
  <si>
    <t>eurostat</t>
  </si>
  <si>
    <t>undata</t>
  </si>
  <si>
    <t>Name Naegler, T. et al_ENG</t>
  </si>
  <si>
    <t>SH+HW</t>
  </si>
  <si>
    <t>Wärme in PJ/a</t>
  </si>
  <si>
    <t>mining and quarrying</t>
  </si>
  <si>
    <t>food and tobacco</t>
  </si>
  <si>
    <t>paper, pulp and print</t>
  </si>
  <si>
    <t>basic chemicals</t>
  </si>
  <si>
    <t>other chemical industry</t>
  </si>
  <si>
    <t>rubber and plastics</t>
  </si>
  <si>
    <t>glass and  ceramics</t>
  </si>
  <si>
    <t>manufacture of non-metallic minerals</t>
  </si>
  <si>
    <t>metal production</t>
  </si>
  <si>
    <t>non-ferrous metals, foundries</t>
  </si>
  <si>
    <t>metal working</t>
  </si>
  <si>
    <t>machinery</t>
  </si>
  <si>
    <t>transport equipment</t>
  </si>
  <si>
    <t>other manufacturing</t>
  </si>
  <si>
    <t>Mining and quarrying</t>
  </si>
  <si>
    <t>Steel</t>
  </si>
  <si>
    <t>0.91</t>
  </si>
  <si>
    <t>0.09</t>
  </si>
  <si>
    <t>Food and tobacco</t>
  </si>
  <si>
    <t>NF-metals</t>
  </si>
  <si>
    <t>0.95</t>
  </si>
  <si>
    <t>0.05</t>
  </si>
  <si>
    <t>Paper, pulp and print</t>
  </si>
  <si>
    <t>Chemical</t>
  </si>
  <si>
    <t>0.80</t>
  </si>
  <si>
    <t>0.20</t>
  </si>
  <si>
    <t>Basic chemicals</t>
  </si>
  <si>
    <t>Minerals</t>
  </si>
  <si>
    <t>0.33</t>
  </si>
  <si>
    <t>0.67</t>
  </si>
  <si>
    <t>Other chemical industry</t>
  </si>
  <si>
    <t>Mining</t>
  </si>
  <si>
    <t>1.00</t>
  </si>
  <si>
    <t>Rubber and plastics</t>
  </si>
  <si>
    <t>Same as other</t>
  </si>
  <si>
    <t>Food</t>
  </si>
  <si>
    <t>Glass and ceramics</t>
  </si>
  <si>
    <t>Same as Mining</t>
  </si>
  <si>
    <t>Textile</t>
  </si>
  <si>
    <t>Manufacture of non metallic minerals</t>
  </si>
  <si>
    <t>Paper and Print</t>
  </si>
  <si>
    <t>0.00</t>
  </si>
  <si>
    <t>Iron and steel production</t>
  </si>
  <si>
    <t>Transport</t>
  </si>
  <si>
    <t>Non-ferrous metals, foundries</t>
  </si>
  <si>
    <t>Machinery</t>
  </si>
  <si>
    <t>0.23</t>
  </si>
  <si>
    <t>0.38</t>
  </si>
  <si>
    <t>0.39</t>
  </si>
  <si>
    <t>Metal processing</t>
  </si>
  <si>
    <t>Wood</t>
  </si>
  <si>
    <t>Construction</t>
  </si>
  <si>
    <t>Automotive engineering</t>
  </si>
  <si>
    <t>Other</t>
  </si>
  <si>
    <t>0.28</t>
  </si>
  <si>
    <t>0.08</t>
  </si>
  <si>
    <t>0.16</t>
  </si>
  <si>
    <t>0.12</t>
  </si>
  <si>
    <t>0.36</t>
  </si>
  <si>
    <t>Other manufacturing industry</t>
  </si>
  <si>
    <t>Angenommen von ISI AGEB &amp; Naegler, T.</t>
  </si>
  <si>
    <t>Space heating</t>
  </si>
  <si>
    <t>How water</t>
  </si>
  <si>
    <t>In Anlehnung an Fraunhofer ISI, Erstellung v. Anwendungsbilanzen für die Jahre 2018 bis 2020… Tabelle 12, Seite 22</t>
  </si>
  <si>
    <t>Name_ENG</t>
  </si>
  <si>
    <t>Prozesswärme</t>
  </si>
  <si>
    <t>PJ</t>
  </si>
  <si>
    <t>In Anlehnung an Hotmaps D2.3 WP2 Report - Open Data Set for the EU28</t>
  </si>
  <si>
    <t>Iron &amp; Steel</t>
  </si>
  <si>
    <t>Non-ferrous metals</t>
  </si>
  <si>
    <t>Pulp and paper</t>
  </si>
  <si>
    <t>Non-metallic minerals</t>
  </si>
  <si>
    <t>Food, beverages and tobacco</t>
  </si>
  <si>
    <t>Other industries</t>
  </si>
  <si>
    <t xml:space="preserve"> </t>
  </si>
  <si>
    <t>&lt;100°C</t>
  </si>
  <si>
    <t>100 - 200°C</t>
  </si>
  <si>
    <t>200-500°C</t>
  </si>
  <si>
    <t>500 - 1000°C</t>
  </si>
  <si>
    <t>&gt;1000°C</t>
  </si>
  <si>
    <t>Process</t>
  </si>
  <si>
    <t xml:space="preserve">Sinter </t>
  </si>
  <si>
    <t>Al, Primary</t>
  </si>
  <si>
    <t>Paper</t>
  </si>
  <si>
    <t>Container glass</t>
  </si>
  <si>
    <t>Adipic acid</t>
  </si>
  <si>
    <t>Sugar</t>
  </si>
  <si>
    <t>Extrusion</t>
  </si>
  <si>
    <t>Blast Furnace</t>
  </si>
  <si>
    <t>Al, Secondary</t>
  </si>
  <si>
    <t>Chemical pulp</t>
  </si>
  <si>
    <t>Flat glass</t>
  </si>
  <si>
    <t>Ammonia</t>
  </si>
  <si>
    <t>Dairy</t>
  </si>
  <si>
    <t>Inject moulding</t>
  </si>
  <si>
    <t>Rolled Steel</t>
  </si>
  <si>
    <t>Al extruding</t>
  </si>
  <si>
    <t>Recovered fibers</t>
  </si>
  <si>
    <t>Fiber glass</t>
  </si>
  <si>
    <t>Calcium carbide</t>
  </si>
  <si>
    <t>Brewing</t>
  </si>
  <si>
    <t>Blow moulding</t>
  </si>
  <si>
    <t>Coke Oven</t>
  </si>
  <si>
    <t>Al foundries</t>
  </si>
  <si>
    <t>Other glass</t>
  </si>
  <si>
    <t>Carbon black</t>
  </si>
  <si>
    <t>Meat processing</t>
  </si>
  <si>
    <t>Smelting reduction</t>
  </si>
  <si>
    <t>Al rolling</t>
  </si>
  <si>
    <t>Houseware, sanitary ware</t>
  </si>
  <si>
    <t>Chlorine, membrane</t>
  </si>
  <si>
    <t>Bread and bakery</t>
  </si>
  <si>
    <t>Direct reduction</t>
  </si>
  <si>
    <t>Cu, Primary</t>
  </si>
  <si>
    <t>Technical, other ceramics</t>
  </si>
  <si>
    <t>Ethylene</t>
  </si>
  <si>
    <t>Starch</t>
  </si>
  <si>
    <t>Cu, Secondary</t>
  </si>
  <si>
    <t>Tiles, plates, refractories</t>
  </si>
  <si>
    <t>Methanol</t>
  </si>
  <si>
    <t>Cu further treatment</t>
  </si>
  <si>
    <t>Clinker calcination dry</t>
  </si>
  <si>
    <t>Poly carbonate</t>
  </si>
  <si>
    <t>Zn, primary</t>
  </si>
  <si>
    <t>Clinker calcination-semidry</t>
  </si>
  <si>
    <t>Poly ethylene</t>
  </si>
  <si>
    <t>Zn, secondary</t>
  </si>
  <si>
    <t>Clinker calcination -wet</t>
  </si>
  <si>
    <t>Poly propylene</t>
  </si>
  <si>
    <t>Preparation of limestone</t>
  </si>
  <si>
    <t>Poly sulfones</t>
  </si>
  <si>
    <t>Gypsum</t>
  </si>
  <si>
    <t>Soda ash</t>
  </si>
  <si>
    <t>Cement grinding</t>
  </si>
  <si>
    <t>TDI</t>
  </si>
  <si>
    <t>Lime milling</t>
  </si>
  <si>
    <t>Titanium dioxide</t>
  </si>
  <si>
    <t>Bricks</t>
  </si>
  <si>
    <t>Lime burning</t>
  </si>
  <si>
    <t>Wärme in TWh/a</t>
  </si>
  <si>
    <t>Hochofen (Stoy, 2017)</t>
  </si>
  <si>
    <t>ind_number</t>
  </si>
  <si>
    <t>Vorheizen und Vorkalzinierung (Stoy, 2018)</t>
  </si>
  <si>
    <t>Steam Cracking (Ethylen)</t>
  </si>
  <si>
    <t>Quelle</t>
  </si>
  <si>
    <t>Energieverbrauch und CO2-Emissionen industrieller Prozesstechnologien: Einsparpotenziale, Hemmnisse und Instrumente; Fleiter, T.; Schlomann, B., Eds.; Fraunhofer-Verl.: Stuttgart, 2013, ISBN 9783839605158. S.107, Tabelle</t>
  </si>
  <si>
    <t>Trocknen</t>
  </si>
  <si>
    <t>Fraunhofer IWU. Energieeffizienzpotenzial in der Planung am Beispiel der Papierherstellung: Studie im Auftrag des Sächsischen Staatsministeriums für Umwelt und Landwirtschaft. S.23</t>
  </si>
  <si>
    <t>Prozesswärme 500 °C - 1000 °C</t>
  </si>
  <si>
    <t>Prozesswärme 100 °C - 500 °C</t>
  </si>
  <si>
    <t>Prozesswärme &gt; 1000 °C</t>
  </si>
  <si>
    <t>Prozesswärme &lt; 100 °C</t>
  </si>
  <si>
    <t>Hauptprozess</t>
  </si>
  <si>
    <t>Space Heating</t>
  </si>
  <si>
    <t>Hot Water</t>
  </si>
  <si>
    <t>Process Heat &lt; 100 °C</t>
  </si>
  <si>
    <t>Process Heat 100 °C - 500 °C</t>
  </si>
  <si>
    <t>Process Heat 500 °C - 1000 °C</t>
  </si>
  <si>
    <t>Process Heat &gt; 1000 °C</t>
  </si>
  <si>
    <t>Extraction of stones and earths</t>
  </si>
  <si>
    <t>Paper industry</t>
  </si>
  <si>
    <t>Other Chemical industry</t>
  </si>
  <si>
    <t>Rubber and plastic products</t>
  </si>
  <si>
    <t>Glass and Ceramics</t>
  </si>
  <si>
    <t>Processing of stones and earths</t>
  </si>
  <si>
    <t>Metal production</t>
  </si>
  <si>
    <t>Non-ferrous metals and foundries</t>
  </si>
  <si>
    <t>Metalworking</t>
  </si>
  <si>
    <t>Vehicle construction</t>
  </si>
  <si>
    <t>in %</t>
  </si>
  <si>
    <t>Peak_factor</t>
  </si>
  <si>
    <t>Base_factor</t>
  </si>
  <si>
    <t>Fluctuation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</si>
</sst>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sz val="11"/>
      <color rgb="FF3F3F76"/>
      <name val="Calibri"/>
      <family val="2"/>
      <scheme val="minor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7F7F7F"/>
      </left>
      <right/>
      <top/>
      <bottom/>
      <diagonal/>
    </border>
  </borders>
  <cellStyleXfs count="4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5" fillId="2" borderId="1" applyNumberFormat="0" applyAlignment="0" applyProtection="0"/>
  </cellStyleXfs>
  <cellXfs count="23">
    <xf numFmtId="0" fontId="0" fillId="0" borderId="0" xfId="0"/>
    <xf numFmtId="2" fontId="0" fillId="0" borderId="0" xfId="0" applyNumberFormat="1"/>
    <xf numFmtId="0" fontId="1" fillId="0" borderId="0" xfId="1"/>
    <xf numFmtId="1" fontId="0" fillId="0" borderId="0" xfId="0" applyNumberFormat="1"/>
    <xf numFmtId="0" fontId="2" fillId="0" borderId="0" xfId="1" applyFont="1"/>
    <xf numFmtId="49" fontId="0" fillId="0" borderId="0" xfId="0" applyNumberFormat="1"/>
    <xf numFmtId="164" fontId="0" fillId="0" borderId="0" xfId="0" applyNumberFormat="1"/>
    <xf numFmtId="0" fontId="0" fillId="0" borderId="0" xfId="0" applyAlignment="1">
      <alignment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justify" vertical="center" textRotation="90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justify" vertical="center"/>
    </xf>
    <xf numFmtId="10" fontId="0" fillId="0" borderId="0" xfId="2" applyNumberFormat="1" applyFont="1"/>
    <xf numFmtId="9" fontId="0" fillId="0" borderId="0" xfId="2" applyFont="1"/>
    <xf numFmtId="164" fontId="0" fillId="0" borderId="0" xfId="2" applyNumberFormat="1" applyFont="1"/>
    <xf numFmtId="2" fontId="0" fillId="0" borderId="0" xfId="2" applyNumberFormat="1" applyFont="1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5" fillId="2" borderId="1" xfId="3" applyAlignment="1">
      <alignment horizontal="center"/>
    </xf>
    <xf numFmtId="0" fontId="0" fillId="0" borderId="0" xfId="0" applyAlignment="1">
      <alignment horizontal="center"/>
    </xf>
    <xf numFmtId="0" fontId="5" fillId="2" borderId="6" xfId="3" applyBorder="1" applyAlignment="1">
      <alignment horizontal="center"/>
    </xf>
    <xf numFmtId="0" fontId="5" fillId="2" borderId="0" xfId="3" applyBorder="1" applyAlignment="1">
      <alignment horizontal="center"/>
    </xf>
  </cellXfs>
  <cellStyles count="4">
    <cellStyle name="Entrada" xfId="3" builtinId="20"/>
    <cellStyle name="Normal" xfId="0" builtinId="0"/>
    <cellStyle name="Porcentaje" xfId="2" builtinId="5"/>
    <cellStyle name="Standard 2" xfId="1" xr:uid="{FF74DD50-7266-404B-9956-06E0069CDA9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DD4C7-DFED-4914-A25C-702564917950}">
  <dimension ref="A1:R19"/>
  <sheetViews>
    <sheetView tabSelected="1" zoomScaleNormal="100" workbookViewId="0">
      <selection activeCell="L1" sqref="L1"/>
    </sheetView>
  </sheetViews>
  <sheetFormatPr baseColWidth="10" defaultRowHeight="14.4" x14ac:dyDescent="0.3"/>
  <cols>
    <col min="1" max="1" width="16.44140625" bestFit="1" customWidth="1"/>
    <col min="2" max="2" width="20" bestFit="1" customWidth="1"/>
    <col min="3" max="3" width="25.6640625" bestFit="1" customWidth="1"/>
    <col min="4" max="4" width="12.109375" customWidth="1"/>
    <col min="5" max="5" width="12.6640625" customWidth="1"/>
    <col min="6" max="6" width="14" customWidth="1"/>
    <col min="7" max="7" width="13.88671875" bestFit="1" customWidth="1"/>
    <col min="8" max="8" width="14.88671875" customWidth="1"/>
    <col min="9" max="9" width="14.109375" customWidth="1"/>
    <col min="16" max="18" width="21.33203125" bestFit="1" customWidth="1"/>
  </cols>
  <sheetData>
    <row r="1" spans="1:18" ht="28.8" x14ac:dyDescent="0.3">
      <c r="A1" t="s">
        <v>34</v>
      </c>
      <c r="B1" s="5" t="s">
        <v>33</v>
      </c>
      <c r="C1" t="s">
        <v>32</v>
      </c>
      <c r="D1" s="7" t="s">
        <v>37</v>
      </c>
      <c r="E1" s="7" t="s">
        <v>38</v>
      </c>
      <c r="F1" s="7" t="s">
        <v>205</v>
      </c>
      <c r="G1" s="7" t="s">
        <v>203</v>
      </c>
      <c r="H1" s="7" t="s">
        <v>202</v>
      </c>
      <c r="I1" s="7" t="s">
        <v>204</v>
      </c>
      <c r="K1" t="s">
        <v>224</v>
      </c>
      <c r="L1" t="s">
        <v>225</v>
      </c>
      <c r="P1" t="s">
        <v>39</v>
      </c>
      <c r="Q1" t="s">
        <v>35</v>
      </c>
      <c r="R1" t="s">
        <v>40</v>
      </c>
    </row>
    <row r="2" spans="1:18" x14ac:dyDescent="0.3">
      <c r="D2" t="s">
        <v>28</v>
      </c>
      <c r="E2" t="s">
        <v>28</v>
      </c>
      <c r="F2" t="s">
        <v>28</v>
      </c>
      <c r="G2" t="s">
        <v>28</v>
      </c>
      <c r="H2" t="s">
        <v>28</v>
      </c>
      <c r="I2" t="s">
        <v>28</v>
      </c>
      <c r="P2" t="s">
        <v>41</v>
      </c>
      <c r="Q2" t="s">
        <v>41</v>
      </c>
      <c r="R2" t="s">
        <v>41</v>
      </c>
    </row>
    <row r="3" spans="1:18" x14ac:dyDescent="0.3">
      <c r="A3">
        <v>1</v>
      </c>
      <c r="B3">
        <v>8</v>
      </c>
      <c r="C3" s="4" t="s">
        <v>26</v>
      </c>
      <c r="D3" s="3">
        <v>7.0000000000000009</v>
      </c>
      <c r="E3" s="3">
        <v>1.2195121951219512</v>
      </c>
      <c r="F3" s="3">
        <v>0.9527439024390244</v>
      </c>
      <c r="G3" s="3">
        <v>1.9054878048780488</v>
      </c>
      <c r="H3" s="3">
        <v>29.535060975609756</v>
      </c>
      <c r="I3" s="3">
        <v>59.070121951219512</v>
      </c>
      <c r="K3" s="1"/>
      <c r="L3" s="1"/>
      <c r="N3" s="3"/>
      <c r="P3" s="6">
        <v>2361.1299999999997</v>
      </c>
      <c r="Q3" s="6">
        <v>2250.0179999999996</v>
      </c>
      <c r="R3" s="6">
        <v>2166.6840000000002</v>
      </c>
    </row>
    <row r="4" spans="1:18" x14ac:dyDescent="0.3">
      <c r="A4">
        <v>2</v>
      </c>
      <c r="B4" s="5" t="s">
        <v>25</v>
      </c>
      <c r="C4" s="4" t="s">
        <v>24</v>
      </c>
      <c r="D4" s="3">
        <v>10.251046025104602</v>
      </c>
      <c r="E4" s="3">
        <v>0.97629009762900976</v>
      </c>
      <c r="F4" s="3">
        <v>40.180381218038121</v>
      </c>
      <c r="G4" s="3">
        <v>48.45281264528127</v>
      </c>
      <c r="H4" s="3">
        <v>0</v>
      </c>
      <c r="I4" s="3">
        <v>0</v>
      </c>
      <c r="K4" s="1">
        <v>1.51</v>
      </c>
      <c r="L4" s="1">
        <v>0.42</v>
      </c>
      <c r="M4" s="1"/>
      <c r="N4" s="3"/>
      <c r="P4" s="6">
        <v>39666.983999999989</v>
      </c>
      <c r="Q4" s="6">
        <v>39222.535999999993</v>
      </c>
      <c r="R4" s="6">
        <v>38444.752</v>
      </c>
    </row>
    <row r="5" spans="1:18" x14ac:dyDescent="0.3">
      <c r="A5">
        <v>3</v>
      </c>
      <c r="B5" s="5" t="s">
        <v>23</v>
      </c>
      <c r="C5" s="4" t="s">
        <v>22</v>
      </c>
      <c r="D5" s="3">
        <v>2.0942408376963351</v>
      </c>
      <c r="E5" s="3">
        <v>0.1963350785340314</v>
      </c>
      <c r="F5" s="3">
        <v>16.470068756702201</v>
      </c>
      <c r="G5" s="3">
        <v>81.173910300889403</v>
      </c>
      <c r="H5" s="3">
        <v>0</v>
      </c>
      <c r="I5" s="3">
        <v>0</v>
      </c>
      <c r="K5" s="1">
        <v>4.21</v>
      </c>
      <c r="L5" s="1">
        <v>0.49</v>
      </c>
      <c r="N5" s="3"/>
      <c r="P5" s="6">
        <v>39750.317999999992</v>
      </c>
      <c r="Q5" s="6">
        <v>38972.533999999992</v>
      </c>
      <c r="R5" s="6">
        <v>38111.41599999999</v>
      </c>
    </row>
    <row r="6" spans="1:18" x14ac:dyDescent="0.3">
      <c r="A6">
        <v>4</v>
      </c>
      <c r="B6" s="5" t="s">
        <v>21</v>
      </c>
      <c r="C6" s="4" t="s">
        <v>20</v>
      </c>
      <c r="D6" s="3">
        <v>0.99261898701959783</v>
      </c>
      <c r="E6" s="3">
        <v>0.10180707559175363</v>
      </c>
      <c r="F6" s="3">
        <v>13.972191175982381</v>
      </c>
      <c r="G6" s="3">
        <v>21.495678732280588</v>
      </c>
      <c r="H6" s="3">
        <v>49.44006108424535</v>
      </c>
      <c r="I6" s="3">
        <v>13.972191175982381</v>
      </c>
      <c r="K6" s="1">
        <v>1.1200000000000001</v>
      </c>
      <c r="L6" s="1">
        <v>0.77</v>
      </c>
      <c r="M6" s="1"/>
      <c r="N6" s="3"/>
      <c r="P6" s="6">
        <v>98611.9</v>
      </c>
      <c r="Q6" s="6">
        <v>95306.317999999985</v>
      </c>
      <c r="R6" s="6">
        <v>95195.205999999991</v>
      </c>
    </row>
    <row r="7" spans="1:18" x14ac:dyDescent="0.3">
      <c r="A7">
        <v>5</v>
      </c>
      <c r="B7" s="5" t="s">
        <v>19</v>
      </c>
      <c r="C7" s="4" t="s">
        <v>18</v>
      </c>
      <c r="D7" s="3">
        <v>8.9905362776025246</v>
      </c>
      <c r="E7" s="3">
        <v>0.94637223974763407</v>
      </c>
      <c r="F7" s="3">
        <v>12.726306405157043</v>
      </c>
      <c r="G7" s="3">
        <v>19.578932931010833</v>
      </c>
      <c r="H7" s="3">
        <v>45.031545741324926</v>
      </c>
      <c r="I7" s="3">
        <v>12.726306405157043</v>
      </c>
      <c r="K7" s="1">
        <v>1.21</v>
      </c>
      <c r="L7" s="1">
        <v>0.53</v>
      </c>
      <c r="N7" s="3"/>
      <c r="P7" s="6">
        <v>16916.802</v>
      </c>
      <c r="Q7" s="6">
        <v>15722.347999999998</v>
      </c>
      <c r="R7" s="6">
        <v>15583.457999999999</v>
      </c>
    </row>
    <row r="8" spans="1:18" x14ac:dyDescent="0.3">
      <c r="A8">
        <v>6</v>
      </c>
      <c r="B8">
        <v>22</v>
      </c>
      <c r="C8" s="4" t="s">
        <v>17</v>
      </c>
      <c r="D8" s="3">
        <v>32.58064516129032</v>
      </c>
      <c r="E8" s="3">
        <v>3.225806451612903</v>
      </c>
      <c r="F8" s="3">
        <v>6.1136712749615967</v>
      </c>
      <c r="G8" s="3">
        <v>19.105222734254991</v>
      </c>
      <c r="H8" s="3">
        <v>12.227342549923193</v>
      </c>
      <c r="I8" s="3">
        <v>26.747311827956988</v>
      </c>
      <c r="K8" s="1">
        <v>2.09</v>
      </c>
      <c r="L8" s="1">
        <v>0.15</v>
      </c>
      <c r="M8" s="1"/>
      <c r="N8" s="3"/>
      <c r="P8" s="6">
        <v>8166.732</v>
      </c>
      <c r="Q8" s="6">
        <v>8083.3979999999992</v>
      </c>
      <c r="R8" s="6">
        <v>7472.2819999999992</v>
      </c>
    </row>
    <row r="9" spans="1:18" x14ac:dyDescent="0.3">
      <c r="A9">
        <v>7</v>
      </c>
      <c r="B9" s="5" t="s">
        <v>16</v>
      </c>
      <c r="C9" s="4" t="s">
        <v>15</v>
      </c>
      <c r="D9" s="3">
        <v>3.0349013657056143</v>
      </c>
      <c r="E9" s="3">
        <v>0.30349013657056145</v>
      </c>
      <c r="F9" s="3">
        <v>1.006891755184623</v>
      </c>
      <c r="G9" s="3">
        <v>2.0137835103692461</v>
      </c>
      <c r="H9" s="3">
        <v>31.213644410723312</v>
      </c>
      <c r="I9" s="3">
        <v>62.427288821446624</v>
      </c>
      <c r="K9" s="1">
        <v>1.39</v>
      </c>
      <c r="L9" s="1">
        <v>0.32</v>
      </c>
      <c r="N9" s="3"/>
      <c r="P9" s="6">
        <v>18333.48</v>
      </c>
      <c r="Q9" s="6">
        <v>17777.919999999998</v>
      </c>
      <c r="R9" s="6">
        <v>16833.467999999997</v>
      </c>
    </row>
    <row r="10" spans="1:18" x14ac:dyDescent="0.3">
      <c r="A10">
        <v>8</v>
      </c>
      <c r="B10" s="5" t="s">
        <v>14</v>
      </c>
      <c r="C10" s="4" t="s">
        <v>13</v>
      </c>
      <c r="D10" s="3">
        <v>1.5615615615615617</v>
      </c>
      <c r="E10" s="3">
        <v>0.18018018018018017</v>
      </c>
      <c r="F10" s="3">
        <v>1.0235235235235234</v>
      </c>
      <c r="G10" s="3">
        <v>2.0470470470470468</v>
      </c>
      <c r="H10" s="3">
        <v>31.729229229229226</v>
      </c>
      <c r="I10" s="3">
        <v>63.458458458458452</v>
      </c>
      <c r="K10" s="1">
        <v>2.11</v>
      </c>
      <c r="L10" s="1">
        <v>0.42</v>
      </c>
      <c r="M10" s="1"/>
      <c r="N10" s="3"/>
      <c r="P10" s="6">
        <v>47555.936000000002</v>
      </c>
      <c r="Q10" s="6">
        <v>46555.927999999993</v>
      </c>
      <c r="R10" s="6">
        <v>47361.49</v>
      </c>
    </row>
    <row r="11" spans="1:18" x14ac:dyDescent="0.3">
      <c r="A11">
        <v>9</v>
      </c>
      <c r="B11" s="5" t="s">
        <v>12</v>
      </c>
      <c r="C11" s="4" t="s">
        <v>11</v>
      </c>
      <c r="D11" s="3">
        <v>0.38676407391491191</v>
      </c>
      <c r="E11" s="3">
        <v>4.2973785990545771E-2</v>
      </c>
      <c r="F11" s="3">
        <v>1.0264975478360261</v>
      </c>
      <c r="G11" s="3">
        <v>1.0264975478360261</v>
      </c>
      <c r="H11" s="3">
        <v>20.529950956720523</v>
      </c>
      <c r="I11" s="3">
        <v>76.987316087701956</v>
      </c>
      <c r="K11" s="1"/>
      <c r="L11" s="1"/>
      <c r="N11" s="3"/>
      <c r="P11" s="6">
        <v>133167.73199999999</v>
      </c>
      <c r="Q11" s="6">
        <v>125889.89599999998</v>
      </c>
      <c r="R11" s="6">
        <v>112473.12199999999</v>
      </c>
    </row>
    <row r="12" spans="1:18" x14ac:dyDescent="0.3">
      <c r="A12">
        <v>10</v>
      </c>
      <c r="B12" s="5" t="s">
        <v>10</v>
      </c>
      <c r="C12" s="4" t="s">
        <v>9</v>
      </c>
      <c r="D12" s="3">
        <v>6.3868613138686126</v>
      </c>
      <c r="E12" s="3">
        <v>0.54744525547445244</v>
      </c>
      <c r="F12" s="3">
        <v>0.95755888328692906</v>
      </c>
      <c r="G12" s="3">
        <v>0.95755888328692906</v>
      </c>
      <c r="H12" s="3">
        <v>19.151177665738579</v>
      </c>
      <c r="I12" s="3">
        <v>71.816916246519668</v>
      </c>
      <c r="K12" s="1">
        <v>3.86</v>
      </c>
      <c r="L12" s="1">
        <v>0.23</v>
      </c>
      <c r="M12" s="1"/>
      <c r="N12" s="3"/>
      <c r="P12" s="6">
        <v>15139.009999999998</v>
      </c>
      <c r="Q12" s="6">
        <v>14500.116</v>
      </c>
      <c r="R12" s="6">
        <v>12888.991999999998</v>
      </c>
    </row>
    <row r="13" spans="1:18" x14ac:dyDescent="0.3">
      <c r="A13">
        <v>11</v>
      </c>
      <c r="B13" s="5" t="s">
        <v>8</v>
      </c>
      <c r="C13" s="4" t="s">
        <v>7</v>
      </c>
      <c r="D13" s="3">
        <v>33.577981651376149</v>
      </c>
      <c r="E13" s="3">
        <v>3.3027522935779818</v>
      </c>
      <c r="F13" s="3">
        <v>18.03407601572739</v>
      </c>
      <c r="G13" s="3">
        <v>16.745927728889718</v>
      </c>
      <c r="H13" s="3">
        <v>6.4407414341883529</v>
      </c>
      <c r="I13" s="3">
        <v>21.898520876240401</v>
      </c>
      <c r="K13" s="1">
        <v>2.1800000000000002</v>
      </c>
      <c r="L13" s="1">
        <v>0.25</v>
      </c>
      <c r="M13" s="1"/>
      <c r="N13" s="3"/>
      <c r="P13" s="6">
        <v>13083.437999999998</v>
      </c>
      <c r="Q13" s="6">
        <v>12638.989999999998</v>
      </c>
      <c r="R13" s="6">
        <v>11083.421999999999</v>
      </c>
    </row>
    <row r="14" spans="1:18" x14ac:dyDescent="0.3">
      <c r="A14">
        <v>12</v>
      </c>
      <c r="B14" s="5" t="s">
        <v>6</v>
      </c>
      <c r="C14" s="4" t="s">
        <v>5</v>
      </c>
      <c r="D14" s="3">
        <v>70.118343195266277</v>
      </c>
      <c r="E14" s="3">
        <v>7.6923076923076925</v>
      </c>
      <c r="F14" s="3">
        <v>5.6923076923076934</v>
      </c>
      <c r="G14" s="3">
        <v>5.6923076923076934</v>
      </c>
      <c r="H14" s="3">
        <v>3.0650887573964503</v>
      </c>
      <c r="I14" s="3">
        <v>7.4437869822485219</v>
      </c>
      <c r="K14" s="1">
        <v>1.34</v>
      </c>
      <c r="L14" s="1">
        <v>0.43</v>
      </c>
      <c r="M14" s="1"/>
      <c r="N14" s="3"/>
      <c r="P14" s="6">
        <v>8972.2939999999981</v>
      </c>
      <c r="Q14" s="6">
        <v>8888.9599999999991</v>
      </c>
      <c r="R14" s="6">
        <v>7777.8399999999992</v>
      </c>
    </row>
    <row r="15" spans="1:18" x14ac:dyDescent="0.3">
      <c r="A15">
        <v>13</v>
      </c>
      <c r="B15" s="5" t="s">
        <v>4</v>
      </c>
      <c r="C15" s="4" t="s">
        <v>3</v>
      </c>
      <c r="D15" s="3">
        <v>37.458745874587464</v>
      </c>
      <c r="E15" s="3">
        <v>3.6303630363036312</v>
      </c>
      <c r="F15" s="3">
        <v>17.182343234323437</v>
      </c>
      <c r="G15" s="3">
        <v>15.955033003300331</v>
      </c>
      <c r="H15" s="3">
        <v>6.1365511551155123</v>
      </c>
      <c r="I15" s="3">
        <v>19.636963696369637</v>
      </c>
      <c r="K15" s="1">
        <v>1.37</v>
      </c>
      <c r="L15" s="1">
        <v>0.67</v>
      </c>
      <c r="M15" s="1"/>
      <c r="N15" s="3"/>
      <c r="P15" s="6">
        <v>16472.353999999999</v>
      </c>
      <c r="Q15" s="6">
        <v>16361.241999999998</v>
      </c>
      <c r="R15" s="6">
        <v>12777.88</v>
      </c>
    </row>
    <row r="16" spans="1:18" x14ac:dyDescent="0.3">
      <c r="A16">
        <v>14</v>
      </c>
      <c r="B16" t="s">
        <v>2</v>
      </c>
      <c r="C16" s="4" t="s">
        <v>1</v>
      </c>
      <c r="D16" s="3">
        <v>28.509532062391678</v>
      </c>
      <c r="E16" s="3">
        <v>3.0329289428076254</v>
      </c>
      <c r="F16" s="3">
        <v>4.1742401826097977</v>
      </c>
      <c r="G16" s="3">
        <v>15.862112693917233</v>
      </c>
      <c r="H16" s="3">
        <v>13.357568584351354</v>
      </c>
      <c r="I16" s="3">
        <v>35.063617533922312</v>
      </c>
      <c r="K16" s="1"/>
      <c r="L16" s="1"/>
      <c r="N16" s="3"/>
      <c r="P16" s="6">
        <v>30972.469999999998</v>
      </c>
      <c r="Q16" s="6">
        <v>30083.573999999997</v>
      </c>
      <c r="R16" s="6">
        <v>29111.343999999997</v>
      </c>
    </row>
    <row r="17" spans="1:18" x14ac:dyDescent="0.3">
      <c r="C17" s="4"/>
      <c r="D17" s="4"/>
      <c r="E17" s="1"/>
      <c r="F17" s="1"/>
      <c r="G17" s="1"/>
      <c r="H17" s="1"/>
      <c r="I17" s="1"/>
      <c r="K17" s="1"/>
      <c r="L17" s="1"/>
      <c r="N17" s="3"/>
      <c r="P17" s="6">
        <v>489170.5799999999</v>
      </c>
      <c r="Q17" s="6">
        <v>472253.77799999999</v>
      </c>
      <c r="R17" s="6">
        <v>447281.35599999997</v>
      </c>
    </row>
    <row r="18" spans="1:18" x14ac:dyDescent="0.3">
      <c r="A18" s="18" t="s">
        <v>42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P18" s="3"/>
    </row>
    <row r="19" spans="1:18" x14ac:dyDescent="0.3">
      <c r="A19" s="18" t="s">
        <v>43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</row>
  </sheetData>
  <mergeCells count="2">
    <mergeCell ref="A18:K18"/>
    <mergeCell ref="A19:K19"/>
  </mergeCells>
  <conditionalFormatting sqref="D3:I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:I1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4">
    <cfRule type="colorScale" priority="24">
      <colorScale>
        <cfvo type="min"/>
        <cfvo type="max"/>
        <color rgb="FFFCFCFF"/>
        <color rgb="FFF8696B"/>
      </colorScale>
    </cfRule>
  </conditionalFormatting>
  <conditionalFormatting sqref="K5">
    <cfRule type="colorScale" priority="8">
      <colorScale>
        <cfvo type="min"/>
        <cfvo type="max"/>
        <color rgb="FFFCFCFF"/>
        <color rgb="FFF8696B"/>
      </colorScale>
    </cfRule>
  </conditionalFormatting>
  <conditionalFormatting sqref="K6">
    <cfRule type="colorScale" priority="12">
      <colorScale>
        <cfvo type="min"/>
        <cfvo type="max"/>
        <color rgb="FFFCFCFF"/>
        <color rgb="FFF8696B"/>
      </colorScale>
    </cfRule>
  </conditionalFormatting>
  <conditionalFormatting sqref="K8">
    <cfRule type="colorScale" priority="15">
      <colorScale>
        <cfvo type="min"/>
        <cfvo type="max"/>
        <color rgb="FFFCFCFF"/>
        <color rgb="FFF8696B"/>
      </colorScale>
    </cfRule>
  </conditionalFormatting>
  <conditionalFormatting sqref="K9">
    <cfRule type="colorScale" priority="18">
      <colorScale>
        <cfvo type="min"/>
        <cfvo type="max"/>
        <color rgb="FFFCFCFF"/>
        <color rgb="FFF8696B"/>
      </colorScale>
    </cfRule>
  </conditionalFormatting>
  <conditionalFormatting sqref="K14">
    <cfRule type="colorScale" priority="21">
      <colorScale>
        <cfvo type="min"/>
        <cfvo type="max"/>
        <color rgb="FFFCFCFF"/>
        <color rgb="FFF8696B"/>
      </colorScale>
    </cfRule>
  </conditionalFormatting>
  <conditionalFormatting sqref="K3:L17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:L5">
    <cfRule type="colorScale" priority="1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6:L6">
    <cfRule type="colorScale" priority="1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8:L8">
    <cfRule type="colorScale" priority="1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9:L9">
    <cfRule type="colorScale" priority="2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4:N4 N5 N3">
    <cfRule type="colorScale" priority="2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10:N13 K3:L9 K14:L17 E17:I17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4:N14 N15">
    <cfRule type="colorScale" priority="2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L5">
    <cfRule type="colorScale" priority="9">
      <colorScale>
        <cfvo type="min"/>
        <cfvo type="max"/>
        <color rgb="FFFCFCFF"/>
        <color rgb="FFF8696B"/>
      </colorScale>
    </cfRule>
  </conditionalFormatting>
  <conditionalFormatting sqref="L6">
    <cfRule type="colorScale" priority="13">
      <colorScale>
        <cfvo type="min"/>
        <cfvo type="max"/>
        <color rgb="FFFCFCFF"/>
        <color rgb="FFF8696B"/>
      </colorScale>
    </cfRule>
  </conditionalFormatting>
  <conditionalFormatting sqref="L8">
    <cfRule type="colorScale" priority="16">
      <colorScale>
        <cfvo type="min"/>
        <cfvo type="max"/>
        <color rgb="FFFCFCFF"/>
        <color rgb="FFF8696B"/>
      </colorScale>
    </cfRule>
  </conditionalFormatting>
  <conditionalFormatting sqref="L9">
    <cfRule type="colorScale" priority="19">
      <colorScale>
        <cfvo type="min"/>
        <cfvo type="max"/>
        <color rgb="FFFCFCFF"/>
        <color rgb="FFF8696B"/>
      </colorScale>
    </cfRule>
  </conditionalFormatting>
  <conditionalFormatting sqref="L4:N4 N5 N3">
    <cfRule type="colorScale" priority="25">
      <colorScale>
        <cfvo type="min"/>
        <cfvo type="max"/>
        <color rgb="FFFCFCFF"/>
        <color rgb="FFF8696B"/>
      </colorScale>
    </cfRule>
  </conditionalFormatting>
  <conditionalFormatting sqref="L14:N14 N15">
    <cfRule type="colorScale" priority="22">
      <colorScale>
        <cfvo type="min"/>
        <cfvo type="max"/>
        <color rgb="FFFCFCFF"/>
        <color rgb="FFF8696B"/>
      </colorScale>
    </cfRule>
  </conditionalFormatting>
  <conditionalFormatting sqref="M6:N9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6:N17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3:P16 P18">
    <cfRule type="colorScale" priority="5">
      <colorScale>
        <cfvo type="min"/>
        <cfvo type="max"/>
        <color rgb="FFFCFCFF"/>
        <color rgb="FFF8696B"/>
      </colorScale>
    </cfRule>
    <cfRule type="colorScale" priority="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P3:R16">
    <cfRule type="colorScale" priority="3">
      <colorScale>
        <cfvo type="min"/>
        <cfvo type="max"/>
        <color rgb="FFFCFCFF"/>
        <color rgb="FFF8696B"/>
      </colorScale>
    </cfRule>
  </conditionalFormatting>
  <pageMargins left="0.7" right="0.7" top="0.78740157499999996" bottom="0.78740157499999996" header="0.3" footer="0.3"/>
  <pageSetup paperSize="9" orientation="portrait" horizontalDpi="4294967293" verticalDpi="4294967293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6CCFC-7386-4668-B0CD-C6FEDB5C100E}">
  <dimension ref="A1:R19"/>
  <sheetViews>
    <sheetView zoomScaleNormal="100" workbookViewId="0">
      <selection activeCell="K2" sqref="K2"/>
    </sheetView>
  </sheetViews>
  <sheetFormatPr baseColWidth="10" defaultRowHeight="14.4" x14ac:dyDescent="0.3"/>
  <cols>
    <col min="1" max="1" width="16.44140625" bestFit="1" customWidth="1"/>
    <col min="2" max="2" width="20" bestFit="1" customWidth="1"/>
    <col min="3" max="3" width="25.6640625" bestFit="1" customWidth="1"/>
    <col min="4" max="4" width="12.109375" customWidth="1"/>
    <col min="5" max="5" width="12.6640625" customWidth="1"/>
    <col min="6" max="6" width="14" customWidth="1"/>
    <col min="7" max="7" width="13.88671875" bestFit="1" customWidth="1"/>
    <col min="8" max="8" width="14.88671875" customWidth="1"/>
    <col min="9" max="9" width="14.109375" customWidth="1"/>
    <col min="16" max="18" width="21.33203125" bestFit="1" customWidth="1"/>
  </cols>
  <sheetData>
    <row r="1" spans="1:18" ht="28.8" x14ac:dyDescent="0.3">
      <c r="A1" t="s">
        <v>34</v>
      </c>
      <c r="B1" s="5" t="s">
        <v>33</v>
      </c>
      <c r="C1" t="s">
        <v>32</v>
      </c>
      <c r="D1" s="7" t="s">
        <v>207</v>
      </c>
      <c r="E1" s="7" t="s">
        <v>208</v>
      </c>
      <c r="F1" s="7" t="s">
        <v>209</v>
      </c>
      <c r="G1" s="7" t="s">
        <v>210</v>
      </c>
      <c r="H1" s="7" t="s">
        <v>211</v>
      </c>
      <c r="I1" s="7" t="s">
        <v>212</v>
      </c>
      <c r="K1" t="s">
        <v>224</v>
      </c>
      <c r="L1" t="s">
        <v>225</v>
      </c>
      <c r="P1" t="s">
        <v>39</v>
      </c>
      <c r="Q1" t="s">
        <v>35</v>
      </c>
      <c r="R1" t="s">
        <v>40</v>
      </c>
    </row>
    <row r="2" spans="1:18" x14ac:dyDescent="0.3">
      <c r="D2" t="s">
        <v>223</v>
      </c>
      <c r="E2" t="s">
        <v>223</v>
      </c>
      <c r="F2" t="s">
        <v>223</v>
      </c>
      <c r="G2" t="s">
        <v>223</v>
      </c>
      <c r="H2" t="s">
        <v>223</v>
      </c>
      <c r="I2" t="s">
        <v>223</v>
      </c>
      <c r="P2" t="s">
        <v>41</v>
      </c>
      <c r="Q2" t="s">
        <v>41</v>
      </c>
      <c r="R2" t="s">
        <v>41</v>
      </c>
    </row>
    <row r="3" spans="1:18" x14ac:dyDescent="0.3">
      <c r="A3">
        <v>1</v>
      </c>
      <c r="B3">
        <v>8</v>
      </c>
      <c r="C3" s="4" t="s">
        <v>213</v>
      </c>
      <c r="D3" s="3">
        <v>7.0000000000000009</v>
      </c>
      <c r="E3" s="3">
        <v>1.2195121951219512</v>
      </c>
      <c r="F3" s="3">
        <v>0.9527439024390244</v>
      </c>
      <c r="G3" s="3">
        <v>1.9054878048780488</v>
      </c>
      <c r="H3" s="3">
        <v>29.535060975609756</v>
      </c>
      <c r="I3" s="3">
        <v>59.070121951219512</v>
      </c>
      <c r="K3" s="1"/>
      <c r="L3" s="1"/>
      <c r="N3" s="3"/>
      <c r="P3" s="6">
        <v>2361.1299999999997</v>
      </c>
      <c r="Q3" s="6">
        <v>2250.0179999999996</v>
      </c>
      <c r="R3" s="6">
        <v>2166.6840000000002</v>
      </c>
    </row>
    <row r="4" spans="1:18" x14ac:dyDescent="0.3">
      <c r="A4">
        <v>2</v>
      </c>
      <c r="B4" s="5" t="s">
        <v>25</v>
      </c>
      <c r="C4" s="4" t="s">
        <v>72</v>
      </c>
      <c r="D4" s="3">
        <v>10.251046025104602</v>
      </c>
      <c r="E4" s="3">
        <v>0.97629009762900976</v>
      </c>
      <c r="F4" s="3">
        <v>40.180381218038121</v>
      </c>
      <c r="G4" s="3">
        <v>48.45281264528127</v>
      </c>
      <c r="H4" s="3">
        <v>0</v>
      </c>
      <c r="I4" s="3">
        <v>0</v>
      </c>
      <c r="K4" s="1">
        <v>1.51</v>
      </c>
      <c r="L4" s="1">
        <v>0.42</v>
      </c>
      <c r="M4" s="1"/>
      <c r="N4" s="3"/>
      <c r="P4" s="6">
        <v>39666.983999999989</v>
      </c>
      <c r="Q4" s="6">
        <v>39222.535999999993</v>
      </c>
      <c r="R4" s="6">
        <v>38444.752</v>
      </c>
    </row>
    <row r="5" spans="1:18" x14ac:dyDescent="0.3">
      <c r="A5">
        <v>3</v>
      </c>
      <c r="B5" s="5" t="s">
        <v>23</v>
      </c>
      <c r="C5" s="4" t="s">
        <v>214</v>
      </c>
      <c r="D5" s="3">
        <v>2.0942408376963351</v>
      </c>
      <c r="E5" s="3">
        <v>0.1963350785340314</v>
      </c>
      <c r="F5" s="3">
        <v>16.470068756702201</v>
      </c>
      <c r="G5" s="3">
        <v>81.173910300889403</v>
      </c>
      <c r="H5" s="3">
        <v>0</v>
      </c>
      <c r="I5" s="3">
        <v>0</v>
      </c>
      <c r="K5" s="1">
        <v>4.21</v>
      </c>
      <c r="L5" s="1">
        <v>0.49</v>
      </c>
      <c r="N5" s="3"/>
      <c r="P5" s="6">
        <v>39750.317999999992</v>
      </c>
      <c r="Q5" s="6">
        <v>38972.533999999992</v>
      </c>
      <c r="R5" s="6">
        <v>38111.41599999999</v>
      </c>
    </row>
    <row r="6" spans="1:18" x14ac:dyDescent="0.3">
      <c r="A6">
        <v>4</v>
      </c>
      <c r="B6" s="5" t="s">
        <v>21</v>
      </c>
      <c r="C6" s="4" t="s">
        <v>80</v>
      </c>
      <c r="D6" s="3">
        <v>0.99261898701959783</v>
      </c>
      <c r="E6" s="3">
        <v>0.10180707559175363</v>
      </c>
      <c r="F6" s="3">
        <v>13.972191175982381</v>
      </c>
      <c r="G6" s="3">
        <v>21.495678732280588</v>
      </c>
      <c r="H6" s="3">
        <v>49.44006108424535</v>
      </c>
      <c r="I6" s="3">
        <v>13.972191175982381</v>
      </c>
      <c r="K6" s="1">
        <v>1.1200000000000001</v>
      </c>
      <c r="L6" s="1">
        <v>0.77</v>
      </c>
      <c r="M6" s="1"/>
      <c r="N6" s="3"/>
      <c r="P6" s="6">
        <v>98611.9</v>
      </c>
      <c r="Q6" s="6">
        <v>95306.317999999985</v>
      </c>
      <c r="R6" s="6">
        <v>95195.205999999991</v>
      </c>
    </row>
    <row r="7" spans="1:18" x14ac:dyDescent="0.3">
      <c r="A7">
        <v>5</v>
      </c>
      <c r="B7" s="5" t="s">
        <v>19</v>
      </c>
      <c r="C7" s="4" t="s">
        <v>215</v>
      </c>
      <c r="D7" s="3">
        <v>8.9905362776025246</v>
      </c>
      <c r="E7" s="3">
        <v>0.94637223974763407</v>
      </c>
      <c r="F7" s="3">
        <v>12.726306405157043</v>
      </c>
      <c r="G7" s="3">
        <v>19.578932931010833</v>
      </c>
      <c r="H7" s="3">
        <v>45.031545741324926</v>
      </c>
      <c r="I7" s="3">
        <v>12.726306405157043</v>
      </c>
      <c r="K7" s="1">
        <v>1.21</v>
      </c>
      <c r="L7" s="1">
        <v>0.53</v>
      </c>
      <c r="N7" s="3"/>
      <c r="P7" s="6">
        <v>16916.802</v>
      </c>
      <c r="Q7" s="6">
        <v>15722.347999999998</v>
      </c>
      <c r="R7" s="6">
        <v>15583.457999999999</v>
      </c>
    </row>
    <row r="8" spans="1:18" x14ac:dyDescent="0.3">
      <c r="A8">
        <v>6</v>
      </c>
      <c r="B8">
        <v>22</v>
      </c>
      <c r="C8" s="4" t="s">
        <v>216</v>
      </c>
      <c r="D8" s="3">
        <v>32.58064516129032</v>
      </c>
      <c r="E8" s="3">
        <v>3.225806451612903</v>
      </c>
      <c r="F8" s="3">
        <v>6.1136712749615967</v>
      </c>
      <c r="G8" s="3">
        <v>19.105222734254991</v>
      </c>
      <c r="H8" s="3">
        <v>12.227342549923193</v>
      </c>
      <c r="I8" s="3">
        <v>26.747311827956988</v>
      </c>
      <c r="K8" s="1">
        <v>2.09</v>
      </c>
      <c r="L8" s="1">
        <v>0.15</v>
      </c>
      <c r="M8" s="1"/>
      <c r="N8" s="3"/>
      <c r="P8" s="6">
        <v>8166.732</v>
      </c>
      <c r="Q8" s="6">
        <v>8083.3979999999992</v>
      </c>
      <c r="R8" s="6">
        <v>7472.2819999999992</v>
      </c>
    </row>
    <row r="9" spans="1:18" x14ac:dyDescent="0.3">
      <c r="A9">
        <v>7</v>
      </c>
      <c r="B9" s="5" t="s">
        <v>16</v>
      </c>
      <c r="C9" s="4" t="s">
        <v>217</v>
      </c>
      <c r="D9" s="3">
        <v>3.0349013657056143</v>
      </c>
      <c r="E9" s="3">
        <v>0.30349013657056145</v>
      </c>
      <c r="F9" s="3">
        <v>1.006891755184623</v>
      </c>
      <c r="G9" s="3">
        <v>2.0137835103692461</v>
      </c>
      <c r="H9" s="3">
        <v>31.213644410723312</v>
      </c>
      <c r="I9" s="3">
        <v>62.427288821446624</v>
      </c>
      <c r="K9" s="1">
        <v>1.39</v>
      </c>
      <c r="L9" s="1">
        <v>0.32</v>
      </c>
      <c r="N9" s="3"/>
      <c r="P9" s="6">
        <v>18333.48</v>
      </c>
      <c r="Q9" s="6">
        <v>17777.919999999998</v>
      </c>
      <c r="R9" s="6">
        <v>16833.467999999997</v>
      </c>
    </row>
    <row r="10" spans="1:18" x14ac:dyDescent="0.3">
      <c r="A10">
        <v>8</v>
      </c>
      <c r="B10" s="5" t="s">
        <v>14</v>
      </c>
      <c r="C10" s="4" t="s">
        <v>218</v>
      </c>
      <c r="D10" s="3">
        <v>1.5615615615615617</v>
      </c>
      <c r="E10" s="3">
        <v>0.18018018018018017</v>
      </c>
      <c r="F10" s="3">
        <v>1.0235235235235234</v>
      </c>
      <c r="G10" s="3">
        <v>2.0470470470470468</v>
      </c>
      <c r="H10" s="3">
        <v>31.729229229229226</v>
      </c>
      <c r="I10" s="3">
        <v>63.458458458458452</v>
      </c>
      <c r="K10" s="1">
        <v>2.11</v>
      </c>
      <c r="L10" s="1">
        <v>0.42</v>
      </c>
      <c r="M10" s="1"/>
      <c r="N10" s="3"/>
      <c r="P10" s="6">
        <v>47555.936000000002</v>
      </c>
      <c r="Q10" s="6">
        <v>46555.927999999993</v>
      </c>
      <c r="R10" s="6">
        <v>47361.49</v>
      </c>
    </row>
    <row r="11" spans="1:18" x14ac:dyDescent="0.3">
      <c r="A11">
        <v>9</v>
      </c>
      <c r="B11" s="5" t="s">
        <v>12</v>
      </c>
      <c r="C11" s="4" t="s">
        <v>219</v>
      </c>
      <c r="D11" s="3">
        <v>0.38676407391491191</v>
      </c>
      <c r="E11" s="3">
        <v>4.2973785990545771E-2</v>
      </c>
      <c r="F11" s="3">
        <v>1.0264975478360261</v>
      </c>
      <c r="G11" s="3">
        <v>1.0264975478360261</v>
      </c>
      <c r="H11" s="3">
        <v>20.529950956720523</v>
      </c>
      <c r="I11" s="3">
        <v>76.987316087701956</v>
      </c>
      <c r="K11" s="1"/>
      <c r="L11" s="1"/>
      <c r="N11" s="3"/>
      <c r="P11" s="6">
        <v>133167.73199999999</v>
      </c>
      <c r="Q11" s="6">
        <v>125889.89599999998</v>
      </c>
      <c r="R11" s="6">
        <v>112473.12199999999</v>
      </c>
    </row>
    <row r="12" spans="1:18" x14ac:dyDescent="0.3">
      <c r="A12">
        <v>10</v>
      </c>
      <c r="B12" s="5" t="s">
        <v>10</v>
      </c>
      <c r="C12" s="4" t="s">
        <v>220</v>
      </c>
      <c r="D12" s="3">
        <v>6.3868613138686126</v>
      </c>
      <c r="E12" s="3">
        <v>0.54744525547445244</v>
      </c>
      <c r="F12" s="3">
        <v>0.95755888328692906</v>
      </c>
      <c r="G12" s="3">
        <v>0.95755888328692906</v>
      </c>
      <c r="H12" s="3">
        <v>19.151177665738579</v>
      </c>
      <c r="I12" s="3">
        <v>71.816916246519668</v>
      </c>
      <c r="K12" s="1">
        <v>3.86</v>
      </c>
      <c r="L12" s="1">
        <v>0.23</v>
      </c>
      <c r="M12" s="1"/>
      <c r="N12" s="3"/>
      <c r="P12" s="6">
        <v>15139.009999999998</v>
      </c>
      <c r="Q12" s="6">
        <v>14500.116</v>
      </c>
      <c r="R12" s="6">
        <v>12888.991999999998</v>
      </c>
    </row>
    <row r="13" spans="1:18" x14ac:dyDescent="0.3">
      <c r="A13">
        <v>11</v>
      </c>
      <c r="B13" s="5" t="s">
        <v>8</v>
      </c>
      <c r="C13" s="4" t="s">
        <v>221</v>
      </c>
      <c r="D13" s="3">
        <v>33.577981651376149</v>
      </c>
      <c r="E13" s="3">
        <v>3.3027522935779818</v>
      </c>
      <c r="F13" s="3">
        <v>18.03407601572739</v>
      </c>
      <c r="G13" s="3">
        <v>16.745927728889718</v>
      </c>
      <c r="H13" s="3">
        <v>6.4407414341883529</v>
      </c>
      <c r="I13" s="3">
        <v>21.898520876240401</v>
      </c>
      <c r="K13" s="1">
        <v>2.1800000000000002</v>
      </c>
      <c r="L13" s="1">
        <v>0.25</v>
      </c>
      <c r="M13" s="1"/>
      <c r="N13" s="3"/>
      <c r="P13" s="6">
        <v>13083.437999999998</v>
      </c>
      <c r="Q13" s="6">
        <v>12638.989999999998</v>
      </c>
      <c r="R13" s="6">
        <v>11083.421999999999</v>
      </c>
    </row>
    <row r="14" spans="1:18" x14ac:dyDescent="0.3">
      <c r="A14">
        <v>12</v>
      </c>
      <c r="B14" s="5" t="s">
        <v>6</v>
      </c>
      <c r="C14" s="4" t="s">
        <v>99</v>
      </c>
      <c r="D14" s="3">
        <v>70.118343195266277</v>
      </c>
      <c r="E14" s="3">
        <v>7.6923076923076925</v>
      </c>
      <c r="F14" s="3">
        <v>5.6923076923076934</v>
      </c>
      <c r="G14" s="3">
        <v>5.6923076923076934</v>
      </c>
      <c r="H14" s="3">
        <v>3.0650887573964503</v>
      </c>
      <c r="I14" s="3">
        <v>7.4437869822485219</v>
      </c>
      <c r="K14" s="1">
        <v>1.34</v>
      </c>
      <c r="L14" s="1">
        <v>0.43</v>
      </c>
      <c r="M14" s="1"/>
      <c r="N14" s="3"/>
      <c r="P14" s="6">
        <v>8972.2939999999981</v>
      </c>
      <c r="Q14" s="6">
        <v>8888.9599999999991</v>
      </c>
      <c r="R14" s="6">
        <v>7777.8399999999992</v>
      </c>
    </row>
    <row r="15" spans="1:18" x14ac:dyDescent="0.3">
      <c r="A15">
        <v>13</v>
      </c>
      <c r="B15" s="5" t="s">
        <v>4</v>
      </c>
      <c r="C15" s="4" t="s">
        <v>222</v>
      </c>
      <c r="D15" s="3">
        <v>37.458745874587464</v>
      </c>
      <c r="E15" s="3">
        <v>3.6303630363036312</v>
      </c>
      <c r="F15" s="3">
        <v>17.182343234323437</v>
      </c>
      <c r="G15" s="3">
        <v>15.955033003300331</v>
      </c>
      <c r="H15" s="3">
        <v>6.1365511551155123</v>
      </c>
      <c r="I15" s="3">
        <v>19.636963696369637</v>
      </c>
      <c r="K15" s="1">
        <v>1.37</v>
      </c>
      <c r="L15" s="1">
        <v>0.67</v>
      </c>
      <c r="M15" s="1"/>
      <c r="N15" s="3"/>
      <c r="P15" s="6">
        <v>16472.353999999999</v>
      </c>
      <c r="Q15" s="6">
        <v>16361.241999999998</v>
      </c>
      <c r="R15" s="6">
        <v>12777.88</v>
      </c>
    </row>
    <row r="16" spans="1:18" x14ac:dyDescent="0.3">
      <c r="A16">
        <v>14</v>
      </c>
      <c r="B16" t="s">
        <v>2</v>
      </c>
      <c r="C16" s="4" t="s">
        <v>127</v>
      </c>
      <c r="D16" s="3">
        <v>28.509532062391678</v>
      </c>
      <c r="E16" s="3">
        <v>3.0329289428076254</v>
      </c>
      <c r="F16" s="3">
        <v>4.1742401826097977</v>
      </c>
      <c r="G16" s="3">
        <v>15.862112693917233</v>
      </c>
      <c r="H16" s="3">
        <v>13.357568584351354</v>
      </c>
      <c r="I16" s="3">
        <v>35.063617533922312</v>
      </c>
      <c r="K16" s="1"/>
      <c r="L16" s="1"/>
      <c r="N16" s="3"/>
      <c r="P16" s="6">
        <v>30972.469999999998</v>
      </c>
      <c r="Q16" s="6">
        <v>30083.573999999997</v>
      </c>
      <c r="R16" s="6">
        <v>29111.343999999997</v>
      </c>
    </row>
    <row r="17" spans="1:18" x14ac:dyDescent="0.3">
      <c r="C17" s="4"/>
      <c r="D17" s="4"/>
      <c r="E17" s="1"/>
      <c r="F17" s="1"/>
      <c r="G17" s="1"/>
      <c r="H17" s="1"/>
      <c r="I17" s="1"/>
      <c r="K17" s="1"/>
      <c r="L17" s="1"/>
      <c r="N17" s="3"/>
      <c r="P17" s="6">
        <v>489170.5799999999</v>
      </c>
      <c r="Q17" s="6">
        <v>472253.77799999999</v>
      </c>
      <c r="R17" s="6">
        <v>447281.35599999997</v>
      </c>
    </row>
    <row r="18" spans="1:18" x14ac:dyDescent="0.3">
      <c r="A18" s="18" t="s">
        <v>42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P18" s="3"/>
    </row>
    <row r="19" spans="1:18" x14ac:dyDescent="0.3">
      <c r="A19" s="18" t="s">
        <v>43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</row>
  </sheetData>
  <mergeCells count="2">
    <mergeCell ref="A18:K18"/>
    <mergeCell ref="A19:K19"/>
  </mergeCells>
  <conditionalFormatting sqref="D3:I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:I1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4">
    <cfRule type="colorScale" priority="30">
      <colorScale>
        <cfvo type="min"/>
        <cfvo type="max"/>
        <color rgb="FFFCFCFF"/>
        <color rgb="FFF8696B"/>
      </colorScale>
    </cfRule>
  </conditionalFormatting>
  <conditionalFormatting sqref="K5">
    <cfRule type="colorScale" priority="14">
      <colorScale>
        <cfvo type="min"/>
        <cfvo type="max"/>
        <color rgb="FFFCFCFF"/>
        <color rgb="FFF8696B"/>
      </colorScale>
    </cfRule>
  </conditionalFormatting>
  <conditionalFormatting sqref="K6">
    <cfRule type="colorScale" priority="18">
      <colorScale>
        <cfvo type="min"/>
        <cfvo type="max"/>
        <color rgb="FFFCFCFF"/>
        <color rgb="FFF8696B"/>
      </colorScale>
    </cfRule>
  </conditionalFormatting>
  <conditionalFormatting sqref="K8">
    <cfRule type="colorScale" priority="21">
      <colorScale>
        <cfvo type="min"/>
        <cfvo type="max"/>
        <color rgb="FFFCFCFF"/>
        <color rgb="FFF8696B"/>
      </colorScale>
    </cfRule>
  </conditionalFormatting>
  <conditionalFormatting sqref="K9">
    <cfRule type="colorScale" priority="24">
      <colorScale>
        <cfvo type="min"/>
        <cfvo type="max"/>
        <color rgb="FFFCFCFF"/>
        <color rgb="FFF8696B"/>
      </colorScale>
    </cfRule>
  </conditionalFormatting>
  <conditionalFormatting sqref="K14">
    <cfRule type="colorScale" priority="27">
      <colorScale>
        <cfvo type="min"/>
        <cfvo type="max"/>
        <color rgb="FFFCFCFF"/>
        <color rgb="FFF8696B"/>
      </colorScale>
    </cfRule>
  </conditionalFormatting>
  <conditionalFormatting sqref="K3:L17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:L5">
    <cfRule type="colorScale" priority="1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6:L6">
    <cfRule type="colorScale" priority="2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8:L8">
    <cfRule type="colorScale" priority="2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9:L9">
    <cfRule type="colorScale" priority="2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4:N4 N5 N3">
    <cfRule type="colorScale" priority="3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10:N13 K3:L9 K14:L17 E17:I17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4:N14 N15">
    <cfRule type="colorScale" priority="2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L5">
    <cfRule type="colorScale" priority="15">
      <colorScale>
        <cfvo type="min"/>
        <cfvo type="max"/>
        <color rgb="FFFCFCFF"/>
        <color rgb="FFF8696B"/>
      </colorScale>
    </cfRule>
  </conditionalFormatting>
  <conditionalFormatting sqref="L6">
    <cfRule type="colorScale" priority="19">
      <colorScale>
        <cfvo type="min"/>
        <cfvo type="max"/>
        <color rgb="FFFCFCFF"/>
        <color rgb="FFF8696B"/>
      </colorScale>
    </cfRule>
  </conditionalFormatting>
  <conditionalFormatting sqref="L8">
    <cfRule type="colorScale" priority="22">
      <colorScale>
        <cfvo type="min"/>
        <cfvo type="max"/>
        <color rgb="FFFCFCFF"/>
        <color rgb="FFF8696B"/>
      </colorScale>
    </cfRule>
  </conditionalFormatting>
  <conditionalFormatting sqref="L9">
    <cfRule type="colorScale" priority="25">
      <colorScale>
        <cfvo type="min"/>
        <cfvo type="max"/>
        <color rgb="FFFCFCFF"/>
        <color rgb="FFF8696B"/>
      </colorScale>
    </cfRule>
  </conditionalFormatting>
  <conditionalFormatting sqref="L4:N4 N5 N3">
    <cfRule type="colorScale" priority="31">
      <colorScale>
        <cfvo type="min"/>
        <cfvo type="max"/>
        <color rgb="FFFCFCFF"/>
        <color rgb="FFF8696B"/>
      </colorScale>
    </cfRule>
  </conditionalFormatting>
  <conditionalFormatting sqref="L14:N14 N15">
    <cfRule type="colorScale" priority="28">
      <colorScale>
        <cfvo type="min"/>
        <cfvo type="max"/>
        <color rgb="FFFCFCFF"/>
        <color rgb="FFF8696B"/>
      </colorScale>
    </cfRule>
  </conditionalFormatting>
  <conditionalFormatting sqref="M6:N9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6:N17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3:P16 P18">
    <cfRule type="colorScale" priority="10">
      <colorScale>
        <cfvo type="min"/>
        <cfvo type="max"/>
        <color rgb="FFFCFCFF"/>
        <color rgb="FFF8696B"/>
      </colorScale>
    </cfRule>
    <cfRule type="colorScale" priority="1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P3:R16">
    <cfRule type="colorScale" priority="3">
      <colorScale>
        <cfvo type="min"/>
        <cfvo type="max"/>
        <color rgb="FFFCFCFF"/>
        <color rgb="FFF8696B"/>
      </colorScale>
    </cfRule>
  </conditionalFormatting>
  <pageMargins left="0.7" right="0.7" top="0.78740157499999996" bottom="0.78740157499999996" header="0.3" footer="0.3"/>
  <pageSetup paperSize="9" orientation="portrait" horizontalDpi="4294967293" verticalDpi="4294967293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8594C-4266-48E1-8A88-147D313A9405}">
  <dimension ref="A1:V20"/>
  <sheetViews>
    <sheetView zoomScaleNormal="100" workbookViewId="0">
      <selection activeCell="S10" sqref="S10"/>
    </sheetView>
  </sheetViews>
  <sheetFormatPr baseColWidth="10" defaultRowHeight="14.4" x14ac:dyDescent="0.3"/>
  <cols>
    <col min="1" max="1" width="16.44140625" bestFit="1" customWidth="1"/>
    <col min="2" max="2" width="20" bestFit="1" customWidth="1"/>
    <col min="3" max="3" width="25.6640625" bestFit="1" customWidth="1"/>
    <col min="4" max="4" width="25.6640625" customWidth="1"/>
    <col min="5" max="5" width="12.109375" customWidth="1"/>
    <col min="6" max="6" width="12.6640625" customWidth="1"/>
    <col min="7" max="7" width="14" customWidth="1"/>
    <col min="8" max="8" width="13.88671875" bestFit="1" customWidth="1"/>
    <col min="9" max="9" width="14.88671875" customWidth="1"/>
    <col min="10" max="10" width="14.88671875" bestFit="1" customWidth="1"/>
    <col min="11" max="12" width="11.44140625" customWidth="1"/>
    <col min="13" max="15" width="21.33203125" customWidth="1"/>
    <col min="16" max="16" width="11.44140625" customWidth="1"/>
    <col min="17" max="17" width="11.88671875" bestFit="1" customWidth="1"/>
    <col min="18" max="20" width="15.88671875" bestFit="1" customWidth="1"/>
  </cols>
  <sheetData>
    <row r="1" spans="1:22" ht="30" customHeight="1" x14ac:dyDescent="0.3">
      <c r="A1" s="16" t="s">
        <v>34</v>
      </c>
      <c r="B1" s="17" t="s">
        <v>33</v>
      </c>
      <c r="C1" s="16" t="s">
        <v>32</v>
      </c>
      <c r="E1" s="7" t="s">
        <v>37</v>
      </c>
      <c r="F1" s="7" t="s">
        <v>38</v>
      </c>
      <c r="G1" s="7" t="s">
        <v>205</v>
      </c>
      <c r="H1" s="7" t="s">
        <v>203</v>
      </c>
      <c r="I1" s="7" t="s">
        <v>202</v>
      </c>
      <c r="J1" s="7" t="s">
        <v>204</v>
      </c>
      <c r="M1" t="s">
        <v>39</v>
      </c>
      <c r="N1" t="s">
        <v>35</v>
      </c>
      <c r="O1" t="s">
        <v>40</v>
      </c>
      <c r="R1">
        <v>2018</v>
      </c>
      <c r="S1">
        <v>2019</v>
      </c>
      <c r="T1">
        <v>2020</v>
      </c>
      <c r="V1" t="s">
        <v>198</v>
      </c>
    </row>
    <row r="2" spans="1:22" x14ac:dyDescent="0.3">
      <c r="D2" s="16" t="s">
        <v>206</v>
      </c>
      <c r="E2" t="s">
        <v>28</v>
      </c>
      <c r="F2" t="s">
        <v>28</v>
      </c>
      <c r="G2" t="s">
        <v>28</v>
      </c>
      <c r="H2" t="s">
        <v>28</v>
      </c>
      <c r="I2" t="s">
        <v>28</v>
      </c>
      <c r="J2" t="s">
        <v>28</v>
      </c>
      <c r="M2" t="s">
        <v>41</v>
      </c>
      <c r="N2" t="s">
        <v>41</v>
      </c>
      <c r="O2" t="s">
        <v>41</v>
      </c>
      <c r="Q2" t="s">
        <v>195</v>
      </c>
      <c r="R2" t="s">
        <v>193</v>
      </c>
      <c r="S2" t="s">
        <v>193</v>
      </c>
      <c r="T2" t="s">
        <v>193</v>
      </c>
    </row>
    <row r="3" spans="1:22" x14ac:dyDescent="0.3">
      <c r="A3">
        <v>1</v>
      </c>
      <c r="B3">
        <v>8</v>
      </c>
      <c r="C3" s="4" t="s">
        <v>26</v>
      </c>
      <c r="D3" s="4"/>
      <c r="E3" s="3"/>
      <c r="F3" s="3"/>
      <c r="G3" s="3"/>
      <c r="H3" s="3"/>
      <c r="I3" s="3"/>
      <c r="M3" s="6">
        <v>2361.13</v>
      </c>
      <c r="N3" s="6">
        <v>2250.0179999999996</v>
      </c>
      <c r="O3" s="6">
        <v>2166.6840000000002</v>
      </c>
      <c r="Q3">
        <v>1</v>
      </c>
      <c r="R3" s="6">
        <f>M3/1000</f>
        <v>2.3611300000000002</v>
      </c>
      <c r="S3" s="6">
        <f t="shared" ref="S3:T17" si="0">N3/1000</f>
        <v>2.2500179999999994</v>
      </c>
      <c r="T3" s="6">
        <f t="shared" si="0"/>
        <v>2.1666840000000001</v>
      </c>
    </row>
    <row r="4" spans="1:22" x14ac:dyDescent="0.3">
      <c r="A4">
        <v>2</v>
      </c>
      <c r="B4" s="5" t="s">
        <v>25</v>
      </c>
      <c r="C4" s="4" t="s">
        <v>24</v>
      </c>
      <c r="D4" s="4"/>
      <c r="E4" s="3"/>
      <c r="F4" s="3"/>
      <c r="G4" s="3"/>
      <c r="H4" s="3"/>
      <c r="I4" s="3"/>
      <c r="K4" s="1"/>
      <c r="M4" s="6">
        <v>39666.983999999989</v>
      </c>
      <c r="N4" s="6">
        <v>39222.535999999993</v>
      </c>
      <c r="O4" s="6">
        <v>38444.752</v>
      </c>
      <c r="Q4">
        <v>2</v>
      </c>
      <c r="R4" s="6">
        <f t="shared" ref="R4:R16" si="1">M4/1000</f>
        <v>39.666983999999992</v>
      </c>
      <c r="S4" s="6">
        <f t="shared" si="0"/>
        <v>39.222535999999991</v>
      </c>
      <c r="T4" s="6">
        <f t="shared" si="0"/>
        <v>38.444752000000001</v>
      </c>
    </row>
    <row r="5" spans="1:22" x14ac:dyDescent="0.3">
      <c r="A5">
        <v>3</v>
      </c>
      <c r="B5" s="5" t="s">
        <v>23</v>
      </c>
      <c r="C5" s="4" t="s">
        <v>22</v>
      </c>
      <c r="D5" s="4" t="s">
        <v>200</v>
      </c>
      <c r="E5" s="3"/>
      <c r="F5" s="3"/>
      <c r="G5" s="3"/>
      <c r="H5" s="3">
        <v>59</v>
      </c>
      <c r="I5" s="3"/>
      <c r="M5" s="6">
        <v>39750.317999999992</v>
      </c>
      <c r="N5" s="6">
        <v>38972.533999999992</v>
      </c>
      <c r="O5" s="6">
        <v>38111.41599999999</v>
      </c>
      <c r="Q5">
        <v>3</v>
      </c>
      <c r="R5" s="6">
        <f t="shared" si="1"/>
        <v>39.750317999999993</v>
      </c>
      <c r="S5" s="6">
        <f t="shared" si="0"/>
        <v>38.972533999999989</v>
      </c>
      <c r="T5" s="6">
        <f t="shared" si="0"/>
        <v>38.111415999999991</v>
      </c>
      <c r="V5" t="s">
        <v>201</v>
      </c>
    </row>
    <row r="6" spans="1:22" x14ac:dyDescent="0.3">
      <c r="A6">
        <v>4</v>
      </c>
      <c r="B6" s="5" t="s">
        <v>21</v>
      </c>
      <c r="C6" s="4" t="s">
        <v>20</v>
      </c>
      <c r="D6" s="4" t="s">
        <v>197</v>
      </c>
      <c r="E6" s="3"/>
      <c r="F6" s="3"/>
      <c r="G6" s="3"/>
      <c r="H6" s="3"/>
      <c r="I6" s="3">
        <v>49</v>
      </c>
      <c r="K6" s="1"/>
      <c r="M6" s="6">
        <v>98611.9</v>
      </c>
      <c r="N6" s="6">
        <v>95306.317999999985</v>
      </c>
      <c r="O6" s="6">
        <v>95195.205999999991</v>
      </c>
      <c r="Q6">
        <v>4</v>
      </c>
      <c r="R6" s="6">
        <f t="shared" si="1"/>
        <v>98.611899999999991</v>
      </c>
      <c r="S6" s="6">
        <f t="shared" si="0"/>
        <v>95.30631799999999</v>
      </c>
      <c r="T6" s="6">
        <f t="shared" si="0"/>
        <v>95.195205999999985</v>
      </c>
      <c r="V6" t="s">
        <v>199</v>
      </c>
    </row>
    <row r="7" spans="1:22" x14ac:dyDescent="0.3">
      <c r="A7">
        <v>5</v>
      </c>
      <c r="B7" s="5" t="s">
        <v>19</v>
      </c>
      <c r="C7" s="4" t="s">
        <v>18</v>
      </c>
      <c r="D7" s="4"/>
      <c r="E7" s="3"/>
      <c r="F7" s="3"/>
      <c r="G7" s="3"/>
      <c r="H7" s="3"/>
      <c r="I7" s="3"/>
      <c r="M7" s="6">
        <v>16916.802</v>
      </c>
      <c r="N7" s="6">
        <v>15722.347999999998</v>
      </c>
      <c r="O7" s="6">
        <v>15583.457999999999</v>
      </c>
      <c r="Q7">
        <v>5</v>
      </c>
      <c r="R7" s="6">
        <f t="shared" si="1"/>
        <v>16.916802000000001</v>
      </c>
      <c r="S7" s="6">
        <f t="shared" si="0"/>
        <v>15.722347999999998</v>
      </c>
      <c r="T7" s="6">
        <f t="shared" si="0"/>
        <v>15.583457999999998</v>
      </c>
    </row>
    <row r="8" spans="1:22" x14ac:dyDescent="0.3">
      <c r="A8">
        <v>6</v>
      </c>
      <c r="B8">
        <v>22</v>
      </c>
      <c r="C8" s="4" t="s">
        <v>17</v>
      </c>
      <c r="D8" s="4"/>
      <c r="E8" s="3"/>
      <c r="F8" s="3"/>
      <c r="G8" s="3"/>
      <c r="H8" s="3"/>
      <c r="I8" s="3"/>
      <c r="K8" s="1"/>
      <c r="M8" s="6">
        <v>8166.732</v>
      </c>
      <c r="N8" s="6">
        <v>8083.3979999999992</v>
      </c>
      <c r="O8" s="6">
        <v>7472.2819999999992</v>
      </c>
      <c r="Q8">
        <v>6</v>
      </c>
      <c r="R8" s="6">
        <f t="shared" si="1"/>
        <v>8.1667319999999997</v>
      </c>
      <c r="S8" s="6">
        <f t="shared" si="0"/>
        <v>8.083397999999999</v>
      </c>
      <c r="T8" s="6">
        <f t="shared" si="0"/>
        <v>7.472281999999999</v>
      </c>
    </row>
    <row r="9" spans="1:22" x14ac:dyDescent="0.3">
      <c r="A9">
        <v>7</v>
      </c>
      <c r="B9" s="5" t="s">
        <v>16</v>
      </c>
      <c r="C9" s="4" t="s">
        <v>15</v>
      </c>
      <c r="D9" s="4"/>
      <c r="E9" s="3"/>
      <c r="F9" s="3"/>
      <c r="G9" s="3"/>
      <c r="H9" s="3"/>
      <c r="I9" s="3"/>
      <c r="M9" s="6">
        <v>18333.48</v>
      </c>
      <c r="N9" s="6">
        <v>17777.919999999998</v>
      </c>
      <c r="O9" s="6">
        <v>16833.467999999997</v>
      </c>
      <c r="Q9">
        <v>7</v>
      </c>
      <c r="R9" s="6">
        <f t="shared" si="1"/>
        <v>18.333479999999998</v>
      </c>
      <c r="S9" s="6">
        <f t="shared" si="0"/>
        <v>17.777919999999998</v>
      </c>
      <c r="T9" s="6">
        <f t="shared" si="0"/>
        <v>16.833467999999996</v>
      </c>
    </row>
    <row r="10" spans="1:22" x14ac:dyDescent="0.3">
      <c r="A10">
        <v>8</v>
      </c>
      <c r="B10" s="5" t="s">
        <v>14</v>
      </c>
      <c r="C10" s="4" t="s">
        <v>13</v>
      </c>
      <c r="D10" s="4" t="s">
        <v>196</v>
      </c>
      <c r="E10" s="3"/>
      <c r="F10" s="3"/>
      <c r="G10" s="3"/>
      <c r="H10" s="3"/>
      <c r="I10" s="3">
        <v>20</v>
      </c>
      <c r="K10" s="1"/>
      <c r="M10" s="6">
        <v>47555.936000000002</v>
      </c>
      <c r="N10" s="6">
        <v>46555.927999999993</v>
      </c>
      <c r="O10" s="6">
        <v>47361.49</v>
      </c>
      <c r="Q10">
        <v>8</v>
      </c>
      <c r="R10" s="6">
        <f t="shared" si="1"/>
        <v>47.555936000000003</v>
      </c>
      <c r="S10" s="6">
        <f t="shared" si="0"/>
        <v>46.555927999999994</v>
      </c>
      <c r="T10" s="6">
        <f t="shared" si="0"/>
        <v>47.361489999999996</v>
      </c>
    </row>
    <row r="11" spans="1:22" x14ac:dyDescent="0.3">
      <c r="A11">
        <v>9</v>
      </c>
      <c r="B11" s="5" t="s">
        <v>12</v>
      </c>
      <c r="C11" s="4" t="s">
        <v>11</v>
      </c>
      <c r="D11" s="4" t="s">
        <v>194</v>
      </c>
      <c r="E11" s="3"/>
      <c r="F11" s="3"/>
      <c r="G11" s="3"/>
      <c r="H11" s="3"/>
      <c r="I11" s="3"/>
      <c r="J11" s="3">
        <v>90</v>
      </c>
      <c r="M11" s="6">
        <v>133167.73199999999</v>
      </c>
      <c r="N11" s="6">
        <v>125889.89599999998</v>
      </c>
      <c r="O11" s="6">
        <v>112473.12199999999</v>
      </c>
      <c r="Q11">
        <v>9</v>
      </c>
      <c r="R11" s="6">
        <f t="shared" si="1"/>
        <v>133.167732</v>
      </c>
      <c r="S11" s="6">
        <f t="shared" si="0"/>
        <v>125.88989599999998</v>
      </c>
      <c r="T11" s="6">
        <f t="shared" si="0"/>
        <v>112.47312199999999</v>
      </c>
    </row>
    <row r="12" spans="1:22" x14ac:dyDescent="0.3">
      <c r="A12">
        <v>9</v>
      </c>
      <c r="B12" s="5" t="s">
        <v>12</v>
      </c>
      <c r="C12" s="4" t="s">
        <v>11</v>
      </c>
      <c r="D12" s="4"/>
      <c r="E12" s="3"/>
      <c r="F12" s="3"/>
      <c r="G12" s="3"/>
      <c r="H12" s="3"/>
      <c r="I12" s="3"/>
      <c r="M12" s="6">
        <v>15139.009999999998</v>
      </c>
      <c r="N12" s="6">
        <v>14500.116</v>
      </c>
      <c r="O12" s="6">
        <v>12888.991999999998</v>
      </c>
      <c r="Q12">
        <v>10</v>
      </c>
      <c r="R12" s="6">
        <f t="shared" si="1"/>
        <v>15.139009999999999</v>
      </c>
      <c r="S12" s="6">
        <f t="shared" si="0"/>
        <v>14.500116</v>
      </c>
      <c r="T12" s="6">
        <f t="shared" si="0"/>
        <v>12.888991999999998</v>
      </c>
    </row>
    <row r="13" spans="1:22" x14ac:dyDescent="0.3">
      <c r="A13">
        <v>10</v>
      </c>
      <c r="B13" s="5" t="s">
        <v>10</v>
      </c>
      <c r="C13" s="4" t="s">
        <v>9</v>
      </c>
      <c r="D13" s="4"/>
      <c r="E13" s="3"/>
      <c r="F13" s="3"/>
      <c r="G13" s="3"/>
      <c r="H13" s="3"/>
      <c r="I13" s="3"/>
      <c r="K13" s="1"/>
      <c r="M13" s="6">
        <v>13083.437999999998</v>
      </c>
      <c r="N13" s="6">
        <v>12638.989999999998</v>
      </c>
      <c r="O13" s="6">
        <v>11083.421999999999</v>
      </c>
      <c r="Q13">
        <v>11</v>
      </c>
      <c r="R13" s="6">
        <f t="shared" si="1"/>
        <v>13.083437999999997</v>
      </c>
      <c r="S13" s="6">
        <f t="shared" si="0"/>
        <v>12.638989999999998</v>
      </c>
      <c r="T13" s="6">
        <f t="shared" si="0"/>
        <v>11.083421999999999</v>
      </c>
    </row>
    <row r="14" spans="1:22" x14ac:dyDescent="0.3">
      <c r="A14">
        <v>11</v>
      </c>
      <c r="B14" s="5" t="s">
        <v>8</v>
      </c>
      <c r="C14" s="4" t="s">
        <v>7</v>
      </c>
      <c r="D14" s="4"/>
      <c r="E14" s="3"/>
      <c r="F14" s="3"/>
      <c r="G14" s="3"/>
      <c r="H14" s="3"/>
      <c r="I14" s="3"/>
      <c r="K14" s="1"/>
      <c r="M14" s="6">
        <v>8972.2939999999981</v>
      </c>
      <c r="N14" s="6">
        <v>8888.9599999999991</v>
      </c>
      <c r="O14" s="6">
        <v>7777.8399999999992</v>
      </c>
      <c r="Q14">
        <v>12</v>
      </c>
      <c r="R14" s="6">
        <f t="shared" si="1"/>
        <v>8.972293999999998</v>
      </c>
      <c r="S14" s="6">
        <f t="shared" si="0"/>
        <v>8.8889599999999991</v>
      </c>
      <c r="T14" s="6">
        <f t="shared" si="0"/>
        <v>7.7778399999999994</v>
      </c>
    </row>
    <row r="15" spans="1:22" x14ac:dyDescent="0.3">
      <c r="A15">
        <v>12</v>
      </c>
      <c r="B15" s="5" t="s">
        <v>6</v>
      </c>
      <c r="C15" s="4" t="s">
        <v>5</v>
      </c>
      <c r="D15" s="4"/>
      <c r="E15" s="3"/>
      <c r="F15" s="3"/>
      <c r="G15" s="3"/>
      <c r="H15" s="3"/>
      <c r="I15" s="3"/>
      <c r="K15" s="1"/>
      <c r="M15" s="6">
        <v>16472.353999999999</v>
      </c>
      <c r="N15" s="6">
        <v>16361.241999999998</v>
      </c>
      <c r="O15" s="6">
        <v>12777.88</v>
      </c>
      <c r="Q15">
        <v>13</v>
      </c>
      <c r="R15" s="6">
        <f t="shared" si="1"/>
        <v>16.472353999999999</v>
      </c>
      <c r="S15" s="6">
        <f t="shared" si="0"/>
        <v>16.361241999999997</v>
      </c>
      <c r="T15" s="6">
        <f t="shared" si="0"/>
        <v>12.77788</v>
      </c>
    </row>
    <row r="16" spans="1:22" x14ac:dyDescent="0.3">
      <c r="A16">
        <v>13</v>
      </c>
      <c r="B16" s="5" t="s">
        <v>4</v>
      </c>
      <c r="C16" s="4" t="s">
        <v>3</v>
      </c>
      <c r="D16" s="4"/>
      <c r="E16" s="3"/>
      <c r="F16" s="3"/>
      <c r="G16" s="3"/>
      <c r="H16" s="3"/>
      <c r="I16" s="3"/>
      <c r="K16" s="1"/>
      <c r="M16" s="6">
        <v>30972.469999999998</v>
      </c>
      <c r="N16" s="6">
        <v>30083.573999999997</v>
      </c>
      <c r="O16" s="6">
        <v>29111.343999999997</v>
      </c>
      <c r="Q16">
        <v>14</v>
      </c>
      <c r="R16" s="6">
        <f t="shared" si="1"/>
        <v>30.972469999999998</v>
      </c>
      <c r="S16" s="6">
        <f t="shared" si="0"/>
        <v>30.083573999999995</v>
      </c>
      <c r="T16" s="6">
        <f t="shared" si="0"/>
        <v>29.111343999999999</v>
      </c>
    </row>
    <row r="17" spans="1:20" x14ac:dyDescent="0.3">
      <c r="A17">
        <v>14</v>
      </c>
      <c r="B17" t="s">
        <v>2</v>
      </c>
      <c r="C17" s="4" t="s">
        <v>1</v>
      </c>
      <c r="D17" s="4"/>
      <c r="E17" s="3"/>
      <c r="F17" s="3"/>
      <c r="G17" s="3"/>
      <c r="H17" s="3"/>
      <c r="I17" s="3"/>
      <c r="M17" s="6">
        <v>489170.5799999999</v>
      </c>
      <c r="N17" s="6">
        <v>472253.77799999999</v>
      </c>
      <c r="O17" s="6">
        <v>447281.35599999997</v>
      </c>
      <c r="R17" s="6">
        <f t="shared" ref="R17" si="2">M17/1000</f>
        <v>489.17057999999992</v>
      </c>
      <c r="S17" s="6">
        <f t="shared" si="0"/>
        <v>472.25377800000001</v>
      </c>
      <c r="T17" s="6">
        <f t="shared" si="0"/>
        <v>447.28135599999996</v>
      </c>
    </row>
    <row r="18" spans="1:20" x14ac:dyDescent="0.3">
      <c r="C18" s="4"/>
      <c r="D18" s="4"/>
      <c r="E18" s="4"/>
      <c r="F18" s="1"/>
      <c r="G18" s="1"/>
      <c r="H18" s="1"/>
      <c r="I18" s="1"/>
    </row>
    <row r="19" spans="1:20" x14ac:dyDescent="0.3">
      <c r="A19" s="18"/>
      <c r="B19" s="18"/>
      <c r="C19" s="18"/>
      <c r="D19" s="18"/>
      <c r="E19" s="18"/>
      <c r="F19" s="18"/>
      <c r="G19" s="18"/>
      <c r="H19" s="18"/>
      <c r="I19" s="18"/>
      <c r="J19" s="18"/>
      <c r="M19" s="3"/>
    </row>
    <row r="20" spans="1:20" x14ac:dyDescent="0.3">
      <c r="A20" s="18"/>
      <c r="B20" s="18"/>
      <c r="C20" s="18"/>
      <c r="D20" s="18"/>
      <c r="E20" s="18"/>
      <c r="F20" s="18"/>
      <c r="G20" s="18"/>
      <c r="H20" s="18"/>
      <c r="I20" s="18"/>
      <c r="J20" s="18"/>
    </row>
  </sheetData>
  <mergeCells count="2">
    <mergeCell ref="A19:J19"/>
    <mergeCell ref="A20:J20"/>
  </mergeCells>
  <conditionalFormatting sqref="E3:I17">
    <cfRule type="colorScale" priority="1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:I17">
    <cfRule type="colorScale" priority="1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4">
    <cfRule type="colorScale" priority="75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76">
      <colorScale>
        <cfvo type="min"/>
        <cfvo type="max"/>
        <color rgb="FFFCFCFF"/>
        <color rgb="FFF8696B"/>
      </colorScale>
    </cfRule>
  </conditionalFormatting>
  <conditionalFormatting sqref="K6:K9">
    <cfRule type="colorScale" priority="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0:K14 F18:I18">
    <cfRule type="colorScale" priority="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5">
    <cfRule type="colorScale" priority="77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78">
      <colorScale>
        <cfvo type="min"/>
        <cfvo type="max"/>
        <color rgb="FFFCFCFF"/>
        <color rgb="FFF8696B"/>
      </colorScale>
    </cfRule>
  </conditionalFormatting>
  <conditionalFormatting sqref="M3:M16 M19">
    <cfRule type="colorScale" priority="8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86">
      <colorScale>
        <cfvo type="min"/>
        <cfvo type="max"/>
        <color rgb="FFFCFCFF"/>
        <color rgb="FFF8696B"/>
      </colorScale>
    </cfRule>
  </conditionalFormatting>
  <conditionalFormatting sqref="M3:O16">
    <cfRule type="colorScale" priority="4">
      <colorScale>
        <cfvo type="min"/>
        <cfvo type="max"/>
        <color rgb="FFFCFCFF"/>
        <color rgb="FFF8696B"/>
      </colorScale>
    </cfRule>
  </conditionalFormatting>
  <conditionalFormatting sqref="T3:T1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8740157499999996" bottom="0.78740157499999996" header="0.3" footer="0.3"/>
  <pageSetup paperSize="9" orientation="portrait" horizontalDpi="4294967293" verticalDpi="4294967293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6E2A4-5DFF-40D6-B4BA-65C7343DBE30}">
  <dimension ref="A1:BB76"/>
  <sheetViews>
    <sheetView topLeftCell="A10" zoomScaleNormal="100" workbookViewId="0">
      <selection activeCell="O3" sqref="O3"/>
    </sheetView>
  </sheetViews>
  <sheetFormatPr baseColWidth="10" defaultRowHeight="14.4" x14ac:dyDescent="0.3"/>
  <cols>
    <col min="1" max="1" width="16.44140625" bestFit="1" customWidth="1"/>
    <col min="2" max="2" width="20" bestFit="1" customWidth="1"/>
    <col min="3" max="3" width="25.6640625" bestFit="1" customWidth="1"/>
    <col min="4" max="4" width="34.5546875" customWidth="1"/>
    <col min="5" max="5" width="15.44140625" customWidth="1"/>
    <col min="6" max="6" width="12.6640625" customWidth="1"/>
    <col min="7" max="7" width="14" customWidth="1"/>
    <col min="8" max="8" width="13.88671875" bestFit="1" customWidth="1"/>
    <col min="9" max="10" width="12.6640625" customWidth="1"/>
    <col min="11" max="11" width="14.88671875" bestFit="1" customWidth="1"/>
    <col min="13" max="13" width="18.44140625" customWidth="1"/>
    <col min="17" max="17" width="22" bestFit="1" customWidth="1"/>
    <col min="18" max="18" width="22" customWidth="1"/>
    <col min="19" max="19" width="19.5546875" bestFit="1" customWidth="1"/>
    <col min="20" max="20" width="10.44140625" bestFit="1" customWidth="1"/>
    <col min="21" max="21" width="9.5546875" bestFit="1" customWidth="1"/>
    <col min="25" max="25" width="16.109375" bestFit="1" customWidth="1"/>
    <col min="26" max="26" width="15.88671875" customWidth="1"/>
    <col min="27" max="27" width="11" customWidth="1"/>
    <col min="28" max="28" width="11.5546875" customWidth="1"/>
    <col min="29" max="29" width="14" customWidth="1"/>
    <col min="30" max="30" width="13" bestFit="1" customWidth="1"/>
    <col min="31" max="31" width="25.33203125" customWidth="1"/>
    <col min="32" max="32" width="9.109375" customWidth="1"/>
    <col min="33" max="33" width="12.33203125" customWidth="1"/>
    <col min="34" max="34" width="10.5546875" bestFit="1" customWidth="1"/>
    <col min="35" max="35" width="12.88671875" customWidth="1"/>
    <col min="36" max="36" width="10.5546875" bestFit="1" customWidth="1"/>
    <col min="37" max="37" width="20.109375" bestFit="1" customWidth="1"/>
    <col min="38" max="38" width="8.88671875" customWidth="1"/>
    <col min="39" max="39" width="11.6640625" customWidth="1"/>
    <col min="40" max="40" width="10.44140625" customWidth="1"/>
    <col min="41" max="41" width="11.88671875" customWidth="1"/>
    <col min="43" max="43" width="16.44140625" bestFit="1" customWidth="1"/>
    <col min="49" max="49" width="14.88671875" bestFit="1" customWidth="1"/>
  </cols>
  <sheetData>
    <row r="1" spans="1:40" x14ac:dyDescent="0.3">
      <c r="A1" s="20" t="s">
        <v>44</v>
      </c>
      <c r="B1" s="20"/>
      <c r="C1" s="20"/>
      <c r="D1" s="20"/>
      <c r="E1" s="20"/>
      <c r="F1" s="20"/>
      <c r="G1" s="20"/>
      <c r="H1" s="20"/>
      <c r="I1" s="20"/>
      <c r="J1" s="20"/>
    </row>
    <row r="2" spans="1:40" x14ac:dyDescent="0.3">
      <c r="Q2" t="s">
        <v>45</v>
      </c>
      <c r="R2" t="s">
        <v>46</v>
      </c>
      <c r="S2" t="s">
        <v>47</v>
      </c>
      <c r="T2" t="s">
        <v>48</v>
      </c>
      <c r="U2" t="s">
        <v>49</v>
      </c>
      <c r="V2" t="s">
        <v>50</v>
      </c>
    </row>
    <row r="3" spans="1:40" ht="15" thickBot="1" x14ac:dyDescent="0.35">
      <c r="A3" t="s">
        <v>34</v>
      </c>
      <c r="B3" s="5" t="s">
        <v>33</v>
      </c>
      <c r="C3" t="s">
        <v>32</v>
      </c>
      <c r="D3" t="s">
        <v>51</v>
      </c>
      <c r="F3" t="s">
        <v>52</v>
      </c>
      <c r="G3" t="s">
        <v>31</v>
      </c>
      <c r="H3" t="s">
        <v>30</v>
      </c>
      <c r="I3" t="s">
        <v>36</v>
      </c>
      <c r="J3" t="s">
        <v>29</v>
      </c>
      <c r="L3" t="s">
        <v>224</v>
      </c>
      <c r="M3" t="s">
        <v>225</v>
      </c>
      <c r="O3" t="s">
        <v>226</v>
      </c>
      <c r="Q3" s="20" t="s">
        <v>39</v>
      </c>
      <c r="R3" s="20"/>
      <c r="S3" s="20"/>
      <c r="T3" s="20" t="s">
        <v>35</v>
      </c>
      <c r="U3" s="20"/>
      <c r="V3" s="20"/>
    </row>
    <row r="4" spans="1:40" ht="96" customHeight="1" thickBot="1" x14ac:dyDescent="0.35">
      <c r="F4" t="s">
        <v>28</v>
      </c>
      <c r="G4" t="s">
        <v>28</v>
      </c>
      <c r="H4" t="s">
        <v>28</v>
      </c>
      <c r="I4" t="s">
        <v>28</v>
      </c>
      <c r="J4" t="s">
        <v>28</v>
      </c>
      <c r="O4" t="s">
        <v>27</v>
      </c>
      <c r="Q4" s="20" t="s">
        <v>53</v>
      </c>
      <c r="R4" s="20"/>
      <c r="S4" s="20"/>
      <c r="T4" s="20" t="s">
        <v>53</v>
      </c>
      <c r="U4" s="20"/>
      <c r="V4" s="20"/>
      <c r="Z4" s="8"/>
      <c r="AA4" s="9" t="s">
        <v>54</v>
      </c>
      <c r="AB4" s="9" t="s">
        <v>55</v>
      </c>
      <c r="AC4" s="9" t="s">
        <v>56</v>
      </c>
      <c r="AD4" s="9" t="s">
        <v>57</v>
      </c>
      <c r="AE4" s="9" t="s">
        <v>58</v>
      </c>
      <c r="AF4" s="9" t="s">
        <v>59</v>
      </c>
      <c r="AG4" s="9" t="s">
        <v>60</v>
      </c>
      <c r="AH4" s="9" t="s">
        <v>61</v>
      </c>
      <c r="AI4" s="9" t="s">
        <v>62</v>
      </c>
      <c r="AJ4" s="9" t="s">
        <v>63</v>
      </c>
      <c r="AK4" s="9" t="s">
        <v>64</v>
      </c>
      <c r="AL4" s="9" t="s">
        <v>65</v>
      </c>
      <c r="AM4" s="9" t="s">
        <v>66</v>
      </c>
      <c r="AN4" s="9" t="s">
        <v>67</v>
      </c>
    </row>
    <row r="5" spans="1:40" ht="15" thickBot="1" x14ac:dyDescent="0.35">
      <c r="A5">
        <v>1</v>
      </c>
      <c r="B5">
        <v>8</v>
      </c>
      <c r="C5" s="4" t="s">
        <v>26</v>
      </c>
      <c r="D5" t="s">
        <v>68</v>
      </c>
      <c r="F5" s="1">
        <v>4</v>
      </c>
      <c r="G5" s="1">
        <v>1</v>
      </c>
      <c r="H5" s="1">
        <v>2</v>
      </c>
      <c r="I5" s="1">
        <v>31</v>
      </c>
      <c r="J5" s="1">
        <v>62</v>
      </c>
      <c r="L5" s="1"/>
      <c r="M5" s="1"/>
      <c r="O5" s="3">
        <v>19</v>
      </c>
      <c r="Q5" s="6">
        <f>8.3-0.1</f>
        <v>8.2000000000000011</v>
      </c>
      <c r="R5" s="6">
        <v>0.18</v>
      </c>
      <c r="S5" s="3"/>
      <c r="Z5" s="10" t="s">
        <v>69</v>
      </c>
      <c r="AA5" s="11"/>
      <c r="AB5" s="11"/>
      <c r="AC5" s="11"/>
      <c r="AD5" s="11"/>
      <c r="AE5" s="11"/>
      <c r="AF5" s="11"/>
      <c r="AG5" s="11"/>
      <c r="AH5" s="11"/>
      <c r="AI5" s="11" t="s">
        <v>70</v>
      </c>
      <c r="AJ5" s="11"/>
      <c r="AK5" s="11" t="s">
        <v>71</v>
      </c>
      <c r="AL5" s="11"/>
      <c r="AM5" s="11"/>
      <c r="AN5" s="11"/>
    </row>
    <row r="6" spans="1:40" ht="15" thickBot="1" x14ac:dyDescent="0.35">
      <c r="A6">
        <v>2</v>
      </c>
      <c r="B6" s="5" t="s">
        <v>25</v>
      </c>
      <c r="C6" s="4" t="s">
        <v>24</v>
      </c>
      <c r="D6" t="s">
        <v>72</v>
      </c>
      <c r="F6" s="1">
        <v>25</v>
      </c>
      <c r="G6" s="1">
        <v>34</v>
      </c>
      <c r="H6" s="1">
        <v>41</v>
      </c>
      <c r="I6" s="1">
        <v>0</v>
      </c>
      <c r="J6" s="1">
        <v>0</v>
      </c>
      <c r="L6" s="1">
        <v>1.51</v>
      </c>
      <c r="M6" s="1">
        <v>0.42</v>
      </c>
      <c r="N6" s="1"/>
      <c r="O6" s="3">
        <v>32</v>
      </c>
      <c r="Q6" s="6">
        <f>145.3-1.9</f>
        <v>143.4</v>
      </c>
      <c r="R6" s="6">
        <v>12</v>
      </c>
      <c r="S6" s="3"/>
      <c r="Z6" s="10" t="s">
        <v>73</v>
      </c>
      <c r="AA6" s="11"/>
      <c r="AB6" s="11"/>
      <c r="AC6" s="11"/>
      <c r="AD6" s="11"/>
      <c r="AE6" s="11"/>
      <c r="AF6" s="11"/>
      <c r="AG6" s="11"/>
      <c r="AH6" s="11"/>
      <c r="AI6" s="11"/>
      <c r="AJ6" s="11" t="s">
        <v>74</v>
      </c>
      <c r="AK6" s="11" t="s">
        <v>75</v>
      </c>
      <c r="AL6" s="11"/>
      <c r="AM6" s="11"/>
      <c r="AN6" s="11"/>
    </row>
    <row r="7" spans="1:40" ht="15" thickBot="1" x14ac:dyDescent="0.35">
      <c r="A7">
        <v>3</v>
      </c>
      <c r="B7" s="5" t="s">
        <v>23</v>
      </c>
      <c r="C7" s="4" t="s">
        <v>22</v>
      </c>
      <c r="D7" t="s">
        <v>76</v>
      </c>
      <c r="F7" s="1">
        <v>17</v>
      </c>
      <c r="G7" s="1">
        <v>14</v>
      </c>
      <c r="H7" s="1">
        <v>69</v>
      </c>
      <c r="I7" s="1">
        <v>0</v>
      </c>
      <c r="J7" s="1">
        <v>0</v>
      </c>
      <c r="L7" s="1">
        <v>4.21</v>
      </c>
      <c r="M7" s="1">
        <v>0.49</v>
      </c>
      <c r="O7" s="3">
        <v>28</v>
      </c>
      <c r="Q7" s="6">
        <f>154.3-1.5</f>
        <v>152.80000000000001</v>
      </c>
      <c r="R7" s="6">
        <v>28</v>
      </c>
      <c r="S7" s="3"/>
      <c r="Z7" s="10" t="s">
        <v>77</v>
      </c>
      <c r="AA7" s="11"/>
      <c r="AB7" s="11"/>
      <c r="AC7" s="11"/>
      <c r="AD7" s="11" t="s">
        <v>78</v>
      </c>
      <c r="AE7" s="11" t="s">
        <v>79</v>
      </c>
      <c r="AF7" s="11"/>
      <c r="AG7" s="11"/>
      <c r="AH7" s="11"/>
      <c r="AI7" s="11"/>
      <c r="AJ7" s="11"/>
      <c r="AK7" s="11"/>
      <c r="AL7" s="11"/>
      <c r="AM7" s="11"/>
      <c r="AN7" s="11"/>
    </row>
    <row r="8" spans="1:40" ht="15" thickBot="1" x14ac:dyDescent="0.35">
      <c r="A8">
        <v>4</v>
      </c>
      <c r="B8" s="5" t="s">
        <v>21</v>
      </c>
      <c r="C8" s="4" t="s">
        <v>20</v>
      </c>
      <c r="D8" t="s">
        <v>80</v>
      </c>
      <c r="F8" s="1">
        <v>8</v>
      </c>
      <c r="G8" s="1">
        <v>13</v>
      </c>
      <c r="H8" s="1">
        <v>20</v>
      </c>
      <c r="I8" s="1">
        <v>46</v>
      </c>
      <c r="J8" s="1">
        <v>13</v>
      </c>
      <c r="L8" s="1">
        <v>1.1200000000000001</v>
      </c>
      <c r="M8" s="1">
        <v>0.77</v>
      </c>
      <c r="N8" s="1"/>
      <c r="O8" s="3">
        <v>21</v>
      </c>
      <c r="Q8" s="6">
        <f>400.1-7.2</f>
        <v>392.90000000000003</v>
      </c>
      <c r="R8" s="6">
        <v>112</v>
      </c>
      <c r="S8" s="3">
        <v>112</v>
      </c>
      <c r="U8">
        <v>105</v>
      </c>
      <c r="V8">
        <v>105</v>
      </c>
      <c r="Z8" s="10" t="s">
        <v>81</v>
      </c>
      <c r="AA8" s="11"/>
      <c r="AB8" s="11"/>
      <c r="AC8" s="11"/>
      <c r="AD8" s="11"/>
      <c r="AE8" s="11"/>
      <c r="AF8" s="11"/>
      <c r="AG8" s="11" t="s">
        <v>82</v>
      </c>
      <c r="AH8" s="11" t="s">
        <v>83</v>
      </c>
      <c r="AI8" s="11"/>
      <c r="AJ8" s="11"/>
      <c r="AK8" s="11"/>
      <c r="AL8" s="11"/>
      <c r="AM8" s="11"/>
      <c r="AN8" s="11"/>
    </row>
    <row r="9" spans="1:40" ht="15" thickBot="1" x14ac:dyDescent="0.35">
      <c r="A9">
        <v>5</v>
      </c>
      <c r="B9" s="5" t="s">
        <v>19</v>
      </c>
      <c r="C9" s="4" t="s">
        <v>18</v>
      </c>
      <c r="D9" t="s">
        <v>84</v>
      </c>
      <c r="F9" s="1">
        <v>8</v>
      </c>
      <c r="G9" s="1">
        <v>13</v>
      </c>
      <c r="H9" s="1">
        <v>20</v>
      </c>
      <c r="I9" s="1">
        <v>46</v>
      </c>
      <c r="J9" s="1">
        <v>13</v>
      </c>
      <c r="L9" s="1">
        <v>1.21</v>
      </c>
      <c r="M9" s="1">
        <v>0.53</v>
      </c>
      <c r="O9" s="3">
        <v>15</v>
      </c>
      <c r="Q9" s="6">
        <f>64.5-1.1</f>
        <v>63.4</v>
      </c>
      <c r="R9" s="6"/>
      <c r="S9" s="3"/>
      <c r="Z9" s="10" t="s">
        <v>85</v>
      </c>
      <c r="AA9" s="11" t="s">
        <v>86</v>
      </c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</row>
    <row r="10" spans="1:40" ht="15" thickBot="1" x14ac:dyDescent="0.35">
      <c r="A10">
        <v>6</v>
      </c>
      <c r="B10">
        <v>22</v>
      </c>
      <c r="C10" s="4" t="s">
        <v>17</v>
      </c>
      <c r="D10" t="s">
        <v>87</v>
      </c>
      <c r="F10" s="1">
        <v>16</v>
      </c>
      <c r="G10" s="1">
        <v>8</v>
      </c>
      <c r="H10" s="1">
        <v>25</v>
      </c>
      <c r="I10" s="1">
        <v>16</v>
      </c>
      <c r="J10" s="1">
        <v>35</v>
      </c>
      <c r="K10" t="s">
        <v>88</v>
      </c>
      <c r="L10" s="1">
        <v>2.09</v>
      </c>
      <c r="M10" s="1">
        <v>0.15</v>
      </c>
      <c r="N10" s="1"/>
      <c r="O10" s="3">
        <v>16</v>
      </c>
      <c r="Q10" s="6">
        <f>31.4-0.4</f>
        <v>31</v>
      </c>
      <c r="R10" s="6"/>
      <c r="S10" s="3"/>
      <c r="Z10" s="10" t="s">
        <v>89</v>
      </c>
      <c r="AA10" s="11"/>
      <c r="AB10" s="11" t="s">
        <v>86</v>
      </c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</row>
    <row r="11" spans="1:40" ht="15" thickBot="1" x14ac:dyDescent="0.35">
      <c r="A11">
        <v>7</v>
      </c>
      <c r="B11" s="5" t="s">
        <v>16</v>
      </c>
      <c r="C11" s="4" t="s">
        <v>15</v>
      </c>
      <c r="D11" t="s">
        <v>90</v>
      </c>
      <c r="F11" s="1">
        <v>4</v>
      </c>
      <c r="G11" s="1">
        <v>1</v>
      </c>
      <c r="H11" s="1">
        <v>2</v>
      </c>
      <c r="I11" s="1">
        <v>31</v>
      </c>
      <c r="J11" s="1">
        <v>62</v>
      </c>
      <c r="K11" t="s">
        <v>91</v>
      </c>
      <c r="L11" s="1">
        <v>1.39</v>
      </c>
      <c r="M11" s="1">
        <v>0.32</v>
      </c>
      <c r="O11" s="3">
        <v>35</v>
      </c>
      <c r="Q11" s="6">
        <f>66.9-1</f>
        <v>65.900000000000006</v>
      </c>
      <c r="R11" s="6"/>
      <c r="S11" s="3"/>
      <c r="Z11" s="10" t="s">
        <v>92</v>
      </c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 t="s">
        <v>86</v>
      </c>
    </row>
    <row r="12" spans="1:40" ht="15" thickBot="1" x14ac:dyDescent="0.35">
      <c r="A12">
        <v>8</v>
      </c>
      <c r="B12" s="5" t="s">
        <v>14</v>
      </c>
      <c r="C12" s="4" t="s">
        <v>13</v>
      </c>
      <c r="D12" t="s">
        <v>93</v>
      </c>
      <c r="F12" s="1">
        <v>4</v>
      </c>
      <c r="G12" s="1">
        <v>1</v>
      </c>
      <c r="H12" s="1">
        <v>2</v>
      </c>
      <c r="I12" s="1">
        <v>31</v>
      </c>
      <c r="J12" s="1">
        <v>62</v>
      </c>
      <c r="K12" t="s">
        <v>91</v>
      </c>
      <c r="L12" s="1">
        <v>2.11</v>
      </c>
      <c r="M12" s="1">
        <v>0.42</v>
      </c>
      <c r="N12" s="1"/>
      <c r="O12" s="3">
        <v>34</v>
      </c>
      <c r="Q12" s="6">
        <f>169.5-3</f>
        <v>166.5</v>
      </c>
      <c r="R12" s="6">
        <v>4.3</v>
      </c>
      <c r="S12" s="3"/>
      <c r="Z12" s="10" t="s">
        <v>94</v>
      </c>
      <c r="AA12" s="11"/>
      <c r="AB12" s="11"/>
      <c r="AC12" s="11" t="s">
        <v>86</v>
      </c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 t="s">
        <v>95</v>
      </c>
    </row>
    <row r="13" spans="1:40" ht="15" thickBot="1" x14ac:dyDescent="0.35">
      <c r="A13">
        <v>9</v>
      </c>
      <c r="B13" s="5" t="s">
        <v>12</v>
      </c>
      <c r="C13" s="4" t="s">
        <v>11</v>
      </c>
      <c r="D13" t="s">
        <v>96</v>
      </c>
      <c r="F13" s="1">
        <v>3</v>
      </c>
      <c r="G13" s="1">
        <v>1</v>
      </c>
      <c r="H13" s="1">
        <v>1</v>
      </c>
      <c r="I13" s="1">
        <v>20</v>
      </c>
      <c r="J13" s="1">
        <v>75</v>
      </c>
      <c r="L13" s="1"/>
      <c r="M13" s="1"/>
      <c r="O13" s="3">
        <v>19</v>
      </c>
      <c r="Q13" s="6">
        <f>471.6-6.2</f>
        <v>465.40000000000003</v>
      </c>
      <c r="R13" s="6">
        <v>1.4</v>
      </c>
      <c r="S13" s="6">
        <v>1.4</v>
      </c>
      <c r="V13">
        <v>1.4</v>
      </c>
      <c r="Z13" s="10" t="s">
        <v>97</v>
      </c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 t="s">
        <v>86</v>
      </c>
      <c r="AN13" s="11"/>
    </row>
    <row r="14" spans="1:40" ht="15" thickBot="1" x14ac:dyDescent="0.35">
      <c r="A14">
        <v>10</v>
      </c>
      <c r="B14" s="5" t="s">
        <v>10</v>
      </c>
      <c r="C14" s="4" t="s">
        <v>9</v>
      </c>
      <c r="D14" t="s">
        <v>98</v>
      </c>
      <c r="F14" s="1">
        <v>3</v>
      </c>
      <c r="G14" s="1">
        <v>1</v>
      </c>
      <c r="H14" s="1">
        <v>1</v>
      </c>
      <c r="I14" s="1">
        <v>20</v>
      </c>
      <c r="J14" s="1">
        <v>75</v>
      </c>
      <c r="L14" s="1">
        <v>3.86</v>
      </c>
      <c r="M14" s="1">
        <v>0.23</v>
      </c>
      <c r="N14" s="1"/>
      <c r="O14" s="3">
        <v>18</v>
      </c>
      <c r="Q14" s="6">
        <f>55.6-0.8</f>
        <v>54.800000000000004</v>
      </c>
      <c r="R14" s="6">
        <v>1</v>
      </c>
      <c r="S14" s="3"/>
      <c r="Z14" s="10" t="s">
        <v>99</v>
      </c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 t="s">
        <v>100</v>
      </c>
      <c r="AL14" s="11" t="s">
        <v>101</v>
      </c>
      <c r="AM14" s="11"/>
      <c r="AN14" s="11" t="s">
        <v>102</v>
      </c>
    </row>
    <row r="15" spans="1:40" ht="15" thickBot="1" x14ac:dyDescent="0.35">
      <c r="A15">
        <v>11</v>
      </c>
      <c r="B15" s="5" t="s">
        <v>8</v>
      </c>
      <c r="C15" s="4" t="s">
        <v>7</v>
      </c>
      <c r="D15" t="s">
        <v>103</v>
      </c>
      <c r="F15" s="1">
        <v>51</v>
      </c>
      <c r="G15" s="1">
        <v>14</v>
      </c>
      <c r="H15" s="1">
        <v>13</v>
      </c>
      <c r="I15" s="1">
        <v>5</v>
      </c>
      <c r="J15" s="1">
        <v>17</v>
      </c>
      <c r="K15" t="s">
        <v>99</v>
      </c>
      <c r="L15" s="1">
        <v>2.1800000000000002</v>
      </c>
      <c r="M15" s="1">
        <v>0.25</v>
      </c>
      <c r="N15" s="1"/>
      <c r="O15" s="3">
        <v>14</v>
      </c>
      <c r="Q15" s="6">
        <f>55.2-0.7</f>
        <v>54.5</v>
      </c>
      <c r="R15" s="6"/>
      <c r="S15" s="3"/>
      <c r="Z15" s="10" t="s">
        <v>104</v>
      </c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 t="s">
        <v>86</v>
      </c>
    </row>
    <row r="16" spans="1:40" ht="15" thickBot="1" x14ac:dyDescent="0.35">
      <c r="A16">
        <v>12</v>
      </c>
      <c r="B16" s="5" t="s">
        <v>6</v>
      </c>
      <c r="C16" s="4" t="s">
        <v>5</v>
      </c>
      <c r="D16" t="s">
        <v>99</v>
      </c>
      <c r="F16" s="1">
        <v>50</v>
      </c>
      <c r="G16" s="1">
        <v>13</v>
      </c>
      <c r="H16" s="1">
        <v>13</v>
      </c>
      <c r="I16" s="1">
        <v>7</v>
      </c>
      <c r="J16" s="1">
        <v>17</v>
      </c>
      <c r="K16" t="s">
        <v>99</v>
      </c>
      <c r="L16" s="1">
        <v>1.34</v>
      </c>
      <c r="M16" s="1">
        <v>0.43</v>
      </c>
      <c r="N16" s="1"/>
      <c r="O16" s="3">
        <v>11</v>
      </c>
      <c r="Q16" s="6">
        <f>34.3-0.5</f>
        <v>33.799999999999997</v>
      </c>
      <c r="R16" s="6">
        <v>10.6</v>
      </c>
      <c r="S16" s="3"/>
      <c r="Z16" s="10" t="s">
        <v>105</v>
      </c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 t="s">
        <v>86</v>
      </c>
    </row>
    <row r="17" spans="1:40" ht="15" thickBot="1" x14ac:dyDescent="0.35">
      <c r="A17">
        <v>13</v>
      </c>
      <c r="B17" s="5" t="s">
        <v>4</v>
      </c>
      <c r="C17" s="4" t="s">
        <v>3</v>
      </c>
      <c r="D17" t="s">
        <v>106</v>
      </c>
      <c r="F17" s="1">
        <v>52</v>
      </c>
      <c r="G17" s="1">
        <v>14</v>
      </c>
      <c r="H17" s="1">
        <v>13</v>
      </c>
      <c r="I17" s="1">
        <v>5</v>
      </c>
      <c r="J17" s="1">
        <v>16</v>
      </c>
      <c r="K17" t="s">
        <v>99</v>
      </c>
      <c r="L17" s="1">
        <v>1.37</v>
      </c>
      <c r="M17" s="1">
        <v>0.67</v>
      </c>
      <c r="N17" s="1"/>
      <c r="O17" s="3">
        <v>20</v>
      </c>
      <c r="Q17" s="6">
        <f>61.3-0.7</f>
        <v>60.599999999999994</v>
      </c>
      <c r="R17" s="6">
        <v>13</v>
      </c>
      <c r="S17" s="3"/>
      <c r="Z17" s="10" t="s">
        <v>107</v>
      </c>
      <c r="AA17" s="11"/>
      <c r="AB17" s="11"/>
      <c r="AC17" s="11"/>
      <c r="AD17" s="11"/>
      <c r="AE17" s="11"/>
      <c r="AF17" s="11" t="s">
        <v>108</v>
      </c>
      <c r="AG17" s="11"/>
      <c r="AH17" s="11" t="s">
        <v>109</v>
      </c>
      <c r="AI17" s="11"/>
      <c r="AJ17" s="11" t="s">
        <v>110</v>
      </c>
      <c r="AK17" s="11"/>
      <c r="AL17" s="11" t="s">
        <v>111</v>
      </c>
      <c r="AM17" s="11"/>
      <c r="AN17" s="11" t="s">
        <v>112</v>
      </c>
    </row>
    <row r="18" spans="1:40" ht="15" thickBot="1" x14ac:dyDescent="0.35">
      <c r="A18">
        <v>14</v>
      </c>
      <c r="B18" t="s">
        <v>2</v>
      </c>
      <c r="C18" s="4" t="s">
        <v>1</v>
      </c>
      <c r="D18" t="s">
        <v>113</v>
      </c>
      <c r="F18" s="1">
        <v>18</v>
      </c>
      <c r="G18" s="1">
        <v>5</v>
      </c>
      <c r="H18" s="1">
        <v>19</v>
      </c>
      <c r="I18" s="1">
        <v>16</v>
      </c>
      <c r="J18" s="1">
        <v>42</v>
      </c>
      <c r="K18" t="s">
        <v>88</v>
      </c>
      <c r="L18" s="1"/>
      <c r="M18" s="1"/>
      <c r="O18" s="3">
        <v>19</v>
      </c>
      <c r="Q18" s="6">
        <f>117-1.6</f>
        <v>115.4</v>
      </c>
      <c r="R18" s="6">
        <v>6.7</v>
      </c>
      <c r="S18" s="3"/>
      <c r="Z18" s="10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</row>
    <row r="19" spans="1:40" x14ac:dyDescent="0.3">
      <c r="C19" s="2"/>
      <c r="D19" s="2"/>
      <c r="E19" s="2"/>
      <c r="F19" s="1" t="s">
        <v>0</v>
      </c>
      <c r="G19" s="1"/>
      <c r="H19" s="1"/>
      <c r="I19" s="1"/>
      <c r="J19" s="1"/>
      <c r="Q19" s="3"/>
      <c r="R19" s="3"/>
      <c r="S19" s="3"/>
    </row>
    <row r="21" spans="1:40" x14ac:dyDescent="0.3">
      <c r="A21" s="20" t="s">
        <v>114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</row>
    <row r="22" spans="1:40" x14ac:dyDescent="0.3">
      <c r="E22" t="s">
        <v>115</v>
      </c>
      <c r="F22" t="s">
        <v>116</v>
      </c>
      <c r="G22" t="s">
        <v>31</v>
      </c>
      <c r="H22" t="s">
        <v>30</v>
      </c>
      <c r="I22" t="s">
        <v>36</v>
      </c>
      <c r="J22" t="s">
        <v>29</v>
      </c>
    </row>
    <row r="23" spans="1:40" x14ac:dyDescent="0.3">
      <c r="A23">
        <v>1</v>
      </c>
      <c r="B23">
        <v>8</v>
      </c>
      <c r="C23" s="4" t="s">
        <v>26</v>
      </c>
      <c r="D23" t="s">
        <v>68</v>
      </c>
      <c r="E23" s="12">
        <v>7.3170731707317055E-2</v>
      </c>
      <c r="F23" s="12">
        <v>1.2195121951219511E-2</v>
      </c>
      <c r="G23" s="13">
        <f>G5*$L23/SUM($G5:$J5)</f>
        <v>9.5274390243902437E-3</v>
      </c>
      <c r="H23" s="13">
        <f t="shared" ref="H23:J23" si="0">H5*$L23/SUM($G5:$J5)</f>
        <v>1.9054878048780487E-2</v>
      </c>
      <c r="I23" s="13">
        <f t="shared" si="0"/>
        <v>0.29535060975609756</v>
      </c>
      <c r="J23" s="13">
        <f t="shared" si="0"/>
        <v>0.59070121951219512</v>
      </c>
      <c r="L23" s="12">
        <v>0.91463414634146334</v>
      </c>
    </row>
    <row r="24" spans="1:40" x14ac:dyDescent="0.3">
      <c r="A24">
        <v>2</v>
      </c>
      <c r="B24" s="5" t="s">
        <v>25</v>
      </c>
      <c r="C24" s="4" t="s">
        <v>24</v>
      </c>
      <c r="D24" t="s">
        <v>72</v>
      </c>
      <c r="E24" s="12">
        <v>0.10251046025104602</v>
      </c>
      <c r="F24" s="12">
        <v>9.7629009762900971E-3</v>
      </c>
      <c r="G24" s="13">
        <f>G6*$L24/SUM($G6:$J6)</f>
        <v>0.40180381218038119</v>
      </c>
      <c r="H24" s="13">
        <f t="shared" ref="H24:J24" si="1">H6*$L24/SUM($G6:$J6)</f>
        <v>0.48452812645281268</v>
      </c>
      <c r="I24" s="13">
        <f t="shared" si="1"/>
        <v>0</v>
      </c>
      <c r="J24" s="13">
        <f t="shared" si="1"/>
        <v>0</v>
      </c>
      <c r="L24" s="12">
        <v>0.88633193863319382</v>
      </c>
    </row>
    <row r="25" spans="1:40" x14ac:dyDescent="0.3">
      <c r="A25">
        <v>3</v>
      </c>
      <c r="B25" s="5" t="s">
        <v>23</v>
      </c>
      <c r="C25" s="4" t="s">
        <v>22</v>
      </c>
      <c r="D25" t="s">
        <v>76</v>
      </c>
      <c r="E25" s="12">
        <v>2.0942408376963352E-2</v>
      </c>
      <c r="F25" s="12">
        <v>1.963350785340314E-3</v>
      </c>
      <c r="G25" s="13">
        <f t="shared" ref="G25:J36" si="2">G7*$L25/SUM($G7:$J7)</f>
        <v>0.164700687567022</v>
      </c>
      <c r="H25" s="13">
        <f t="shared" si="2"/>
        <v>0.81173910300889407</v>
      </c>
      <c r="I25" s="13">
        <f t="shared" si="2"/>
        <v>0</v>
      </c>
      <c r="J25" s="13">
        <f t="shared" si="2"/>
        <v>0</v>
      </c>
      <c r="L25" s="12">
        <v>0.97643979057591612</v>
      </c>
      <c r="Q25" s="3"/>
      <c r="R25" s="3"/>
      <c r="S25" s="3"/>
    </row>
    <row r="26" spans="1:40" x14ac:dyDescent="0.3">
      <c r="A26">
        <v>4</v>
      </c>
      <c r="B26" s="5" t="s">
        <v>21</v>
      </c>
      <c r="C26" s="4" t="s">
        <v>20</v>
      </c>
      <c r="D26" t="s">
        <v>80</v>
      </c>
      <c r="E26" s="12">
        <v>9.926189870195978E-3</v>
      </c>
      <c r="F26" s="12">
        <v>1.0180707559175363E-3</v>
      </c>
      <c r="G26" s="13">
        <f t="shared" si="2"/>
        <v>0.13972191175982382</v>
      </c>
      <c r="H26" s="13">
        <f t="shared" si="2"/>
        <v>0.21495678732280588</v>
      </c>
      <c r="I26" s="13">
        <f t="shared" si="2"/>
        <v>0.49440061084245351</v>
      </c>
      <c r="J26" s="13">
        <f t="shared" si="2"/>
        <v>0.13972191175982382</v>
      </c>
      <c r="L26" s="12">
        <v>0.98880122168490703</v>
      </c>
      <c r="Q26" s="3"/>
      <c r="R26" s="3"/>
      <c r="S26" s="3"/>
    </row>
    <row r="27" spans="1:40" x14ac:dyDescent="0.3">
      <c r="A27">
        <v>5</v>
      </c>
      <c r="B27" s="5" t="s">
        <v>19</v>
      </c>
      <c r="C27" s="4" t="s">
        <v>18</v>
      </c>
      <c r="D27" t="s">
        <v>84</v>
      </c>
      <c r="E27" s="12">
        <v>8.9905362776025247E-2</v>
      </c>
      <c r="F27" s="12">
        <v>9.4637223974763408E-3</v>
      </c>
      <c r="G27" s="13">
        <f t="shared" si="2"/>
        <v>0.12726306405157042</v>
      </c>
      <c r="H27" s="13">
        <f t="shared" si="2"/>
        <v>0.19578932931010834</v>
      </c>
      <c r="I27" s="13">
        <f t="shared" si="2"/>
        <v>0.45031545741324924</v>
      </c>
      <c r="J27" s="13">
        <f t="shared" si="2"/>
        <v>0.12726306405157042</v>
      </c>
      <c r="L27" s="12">
        <v>0.90063091482649849</v>
      </c>
      <c r="Q27" s="3"/>
      <c r="R27" s="3"/>
      <c r="S27" s="3"/>
    </row>
    <row r="28" spans="1:40" x14ac:dyDescent="0.3">
      <c r="A28">
        <v>6</v>
      </c>
      <c r="B28">
        <v>22</v>
      </c>
      <c r="C28" s="4" t="s">
        <v>17</v>
      </c>
      <c r="D28" t="s">
        <v>87</v>
      </c>
      <c r="E28" s="12">
        <v>0.32580645161290323</v>
      </c>
      <c r="F28" s="12">
        <v>3.2258064516129031E-2</v>
      </c>
      <c r="G28" s="13">
        <f t="shared" si="2"/>
        <v>6.1136712749615969E-2</v>
      </c>
      <c r="H28" s="13">
        <f t="shared" si="2"/>
        <v>0.1910522273425499</v>
      </c>
      <c r="I28" s="13">
        <f t="shared" si="2"/>
        <v>0.12227342549923194</v>
      </c>
      <c r="J28" s="13">
        <f t="shared" si="2"/>
        <v>0.26747311827956988</v>
      </c>
      <c r="L28" s="12">
        <v>0.64193548387096766</v>
      </c>
      <c r="Q28" s="3"/>
      <c r="R28" s="3"/>
      <c r="S28" s="3"/>
    </row>
    <row r="29" spans="1:40" x14ac:dyDescent="0.3">
      <c r="A29">
        <v>7</v>
      </c>
      <c r="B29" s="5" t="s">
        <v>16</v>
      </c>
      <c r="C29" s="4" t="s">
        <v>15</v>
      </c>
      <c r="D29" t="s">
        <v>90</v>
      </c>
      <c r="E29" s="12">
        <v>3.0349013657056143E-2</v>
      </c>
      <c r="F29" s="12">
        <v>3.0349013657056147E-3</v>
      </c>
      <c r="G29" s="13">
        <f t="shared" si="2"/>
        <v>1.006891755184623E-2</v>
      </c>
      <c r="H29" s="13">
        <f t="shared" si="2"/>
        <v>2.0137835103692461E-2</v>
      </c>
      <c r="I29" s="13">
        <f t="shared" si="2"/>
        <v>0.31213644410723312</v>
      </c>
      <c r="J29" s="13">
        <f t="shared" si="2"/>
        <v>0.62427288821446625</v>
      </c>
      <c r="L29" s="12">
        <v>0.96661608497723817</v>
      </c>
      <c r="Q29" s="3"/>
      <c r="R29" s="3"/>
      <c r="S29" s="3"/>
    </row>
    <row r="30" spans="1:40" x14ac:dyDescent="0.3">
      <c r="A30">
        <v>8</v>
      </c>
      <c r="B30" s="5" t="s">
        <v>14</v>
      </c>
      <c r="C30" s="4" t="s">
        <v>13</v>
      </c>
      <c r="D30" t="s">
        <v>93</v>
      </c>
      <c r="E30" s="12">
        <v>1.5615615615615617E-2</v>
      </c>
      <c r="F30" s="12">
        <v>1.8018018018018018E-3</v>
      </c>
      <c r="G30" s="13">
        <f t="shared" si="2"/>
        <v>1.0235235235235235E-2</v>
      </c>
      <c r="H30" s="13">
        <f t="shared" si="2"/>
        <v>2.0470470470470469E-2</v>
      </c>
      <c r="I30" s="13">
        <f t="shared" si="2"/>
        <v>0.31729229229229228</v>
      </c>
      <c r="J30" s="13">
        <f t="shared" si="2"/>
        <v>0.63458458458458455</v>
      </c>
      <c r="L30" s="12">
        <v>0.98258258258258258</v>
      </c>
      <c r="Q30" s="3"/>
      <c r="R30" s="3"/>
      <c r="S30" s="3"/>
    </row>
    <row r="31" spans="1:40" x14ac:dyDescent="0.3">
      <c r="A31">
        <v>9</v>
      </c>
      <c r="B31" s="5" t="s">
        <v>12</v>
      </c>
      <c r="C31" s="4" t="s">
        <v>11</v>
      </c>
      <c r="D31" t="s">
        <v>96</v>
      </c>
      <c r="E31" s="12">
        <v>3.867640739149119E-3</v>
      </c>
      <c r="F31" s="12">
        <v>4.2973785990545768E-4</v>
      </c>
      <c r="G31" s="13">
        <f t="shared" si="2"/>
        <v>1.0264975478360262E-2</v>
      </c>
      <c r="H31" s="13">
        <f t="shared" si="2"/>
        <v>1.0264975478360262E-2</v>
      </c>
      <c r="I31" s="13">
        <f t="shared" si="2"/>
        <v>0.20529950956720522</v>
      </c>
      <c r="J31" s="13">
        <f t="shared" si="2"/>
        <v>0.76987316087701962</v>
      </c>
      <c r="L31" s="12">
        <v>0.99570262140094534</v>
      </c>
      <c r="Q31" s="3"/>
      <c r="R31" s="3"/>
      <c r="S31" s="3"/>
    </row>
    <row r="32" spans="1:40" x14ac:dyDescent="0.3">
      <c r="A32">
        <v>10</v>
      </c>
      <c r="B32" s="5" t="s">
        <v>10</v>
      </c>
      <c r="C32" s="4" t="s">
        <v>9</v>
      </c>
      <c r="D32" t="s">
        <v>98</v>
      </c>
      <c r="E32" s="12">
        <v>6.3868613138686123E-2</v>
      </c>
      <c r="F32" s="12">
        <v>5.4744525547445249E-3</v>
      </c>
      <c r="G32" s="13">
        <f t="shared" si="2"/>
        <v>9.5755888328692904E-3</v>
      </c>
      <c r="H32" s="13">
        <f t="shared" si="2"/>
        <v>9.5755888328692904E-3</v>
      </c>
      <c r="I32" s="13">
        <f t="shared" si="2"/>
        <v>0.19151177665738581</v>
      </c>
      <c r="J32" s="13">
        <f t="shared" si="2"/>
        <v>0.71816916246519669</v>
      </c>
      <c r="L32" s="12">
        <v>0.92883211678832112</v>
      </c>
      <c r="Q32" s="3"/>
      <c r="R32" s="3"/>
      <c r="S32" s="3"/>
    </row>
    <row r="33" spans="1:19" x14ac:dyDescent="0.3">
      <c r="A33">
        <v>11</v>
      </c>
      <c r="B33" s="5" t="s">
        <v>8</v>
      </c>
      <c r="C33" s="4" t="s">
        <v>7</v>
      </c>
      <c r="D33" t="s">
        <v>103</v>
      </c>
      <c r="E33" s="12">
        <v>0.33577981651376149</v>
      </c>
      <c r="F33" s="12">
        <v>3.3027522935779818E-2</v>
      </c>
      <c r="G33" s="13">
        <f t="shared" si="2"/>
        <v>0.1803407601572739</v>
      </c>
      <c r="H33" s="13">
        <f t="shared" si="2"/>
        <v>0.1674592772888972</v>
      </c>
      <c r="I33" s="13">
        <f t="shared" si="2"/>
        <v>6.4407414341883532E-2</v>
      </c>
      <c r="J33" s="13">
        <f t="shared" si="2"/>
        <v>0.21898520876240402</v>
      </c>
      <c r="L33" s="12">
        <v>0.63119266055045864</v>
      </c>
      <c r="Q33" s="3"/>
      <c r="R33" s="3"/>
      <c r="S33" s="3"/>
    </row>
    <row r="34" spans="1:19" x14ac:dyDescent="0.3">
      <c r="A34">
        <v>12</v>
      </c>
      <c r="B34" s="5" t="s">
        <v>6</v>
      </c>
      <c r="C34" s="4" t="s">
        <v>5</v>
      </c>
      <c r="D34" t="s">
        <v>99</v>
      </c>
      <c r="E34" s="12">
        <v>0.70118343195266275</v>
      </c>
      <c r="F34" s="12">
        <v>7.6923076923076927E-2</v>
      </c>
      <c r="G34" s="13">
        <f t="shared" si="2"/>
        <v>5.6923076923076937E-2</v>
      </c>
      <c r="H34" s="13">
        <f t="shared" si="2"/>
        <v>5.6923076923076937E-2</v>
      </c>
      <c r="I34" s="13">
        <f t="shared" si="2"/>
        <v>3.0650887573964503E-2</v>
      </c>
      <c r="J34" s="13">
        <f t="shared" si="2"/>
        <v>7.4437869822485223E-2</v>
      </c>
      <c r="L34" s="12">
        <v>0.21893491124260359</v>
      </c>
      <c r="Q34" s="3"/>
      <c r="R34" s="3"/>
      <c r="S34" s="3"/>
    </row>
    <row r="35" spans="1:19" x14ac:dyDescent="0.3">
      <c r="A35">
        <v>13</v>
      </c>
      <c r="B35" s="5" t="s">
        <v>4</v>
      </c>
      <c r="C35" s="4" t="s">
        <v>3</v>
      </c>
      <c r="D35" t="s">
        <v>106</v>
      </c>
      <c r="E35" s="12">
        <v>0.37458745874587462</v>
      </c>
      <c r="F35" s="12">
        <v>3.6303630363036313E-2</v>
      </c>
      <c r="G35" s="13">
        <f t="shared" si="2"/>
        <v>0.17182343234323436</v>
      </c>
      <c r="H35" s="13">
        <f t="shared" si="2"/>
        <v>0.15955033003300331</v>
      </c>
      <c r="I35" s="13">
        <f t="shared" si="2"/>
        <v>6.1365511551155126E-2</v>
      </c>
      <c r="J35" s="13">
        <f t="shared" si="2"/>
        <v>0.19636963696369639</v>
      </c>
      <c r="L35" s="12">
        <v>0.58910891089108919</v>
      </c>
      <c r="Q35" s="3"/>
      <c r="R35" s="3"/>
      <c r="S35" s="3"/>
    </row>
    <row r="36" spans="1:19" x14ac:dyDescent="0.3">
      <c r="A36">
        <v>14</v>
      </c>
      <c r="B36" t="s">
        <v>2</v>
      </c>
      <c r="C36" s="4" t="s">
        <v>1</v>
      </c>
      <c r="D36" t="s">
        <v>113</v>
      </c>
      <c r="E36" s="12">
        <v>0.28509532062391679</v>
      </c>
      <c r="F36" s="12">
        <v>3.0329289428076254E-2</v>
      </c>
      <c r="G36" s="13">
        <f t="shared" si="2"/>
        <v>4.174240182609798E-2</v>
      </c>
      <c r="H36" s="13">
        <f t="shared" si="2"/>
        <v>0.15862112693917232</v>
      </c>
      <c r="I36" s="13">
        <f t="shared" si="2"/>
        <v>0.13357568584351354</v>
      </c>
      <c r="J36" s="13">
        <f t="shared" si="2"/>
        <v>0.35063617533922309</v>
      </c>
      <c r="L36" s="12">
        <v>0.68457538994800693</v>
      </c>
      <c r="Q36" s="3"/>
      <c r="R36" s="3"/>
      <c r="S36" s="3"/>
    </row>
    <row r="37" spans="1:19" x14ac:dyDescent="0.3">
      <c r="B37" s="5"/>
      <c r="C37" s="4"/>
      <c r="F37" s="13"/>
      <c r="G37" s="13"/>
      <c r="H37" s="13"/>
      <c r="I37" s="1"/>
      <c r="J37" s="1"/>
      <c r="Q37" s="3"/>
      <c r="R37" s="3"/>
      <c r="S37" s="3"/>
    </row>
    <row r="38" spans="1:19" x14ac:dyDescent="0.3">
      <c r="C38" s="4"/>
      <c r="F38" s="13"/>
      <c r="G38" s="13"/>
      <c r="H38" s="13"/>
      <c r="I38" s="1"/>
      <c r="J38" s="1"/>
      <c r="Q38" s="3"/>
      <c r="R38" s="3"/>
      <c r="S38" s="3"/>
    </row>
    <row r="39" spans="1:19" x14ac:dyDescent="0.3">
      <c r="Q39" s="3"/>
      <c r="R39" s="3"/>
      <c r="S39" s="3"/>
    </row>
    <row r="41" spans="1:19" x14ac:dyDescent="0.3">
      <c r="A41" s="20" t="s">
        <v>117</v>
      </c>
      <c r="B41" s="20"/>
      <c r="C41" s="20"/>
      <c r="D41" s="20"/>
      <c r="E41" s="20"/>
      <c r="F41" s="20"/>
      <c r="G41" s="20"/>
      <c r="H41" s="20"/>
      <c r="Q41" t="s">
        <v>45</v>
      </c>
      <c r="R41" t="s">
        <v>49</v>
      </c>
      <c r="S41" t="s">
        <v>50</v>
      </c>
    </row>
    <row r="42" spans="1:19" x14ac:dyDescent="0.3">
      <c r="A42" t="s">
        <v>34</v>
      </c>
      <c r="B42" s="5" t="s">
        <v>33</v>
      </c>
      <c r="C42" t="s">
        <v>32</v>
      </c>
      <c r="D42" t="s">
        <v>118</v>
      </c>
      <c r="F42" t="s">
        <v>37</v>
      </c>
      <c r="G42" t="s">
        <v>38</v>
      </c>
      <c r="H42" t="s">
        <v>119</v>
      </c>
      <c r="I42" t="s">
        <v>37</v>
      </c>
      <c r="J42" t="s">
        <v>38</v>
      </c>
      <c r="K42" t="s">
        <v>119</v>
      </c>
      <c r="Q42" s="20" t="s">
        <v>39</v>
      </c>
      <c r="R42" s="20"/>
      <c r="S42" s="20"/>
    </row>
    <row r="43" spans="1:19" x14ac:dyDescent="0.3">
      <c r="F43" t="s">
        <v>120</v>
      </c>
      <c r="G43" t="s">
        <v>120</v>
      </c>
      <c r="H43" t="s">
        <v>120</v>
      </c>
      <c r="I43" t="s">
        <v>28</v>
      </c>
      <c r="J43" t="s">
        <v>28</v>
      </c>
      <c r="K43" t="s">
        <v>28</v>
      </c>
      <c r="Q43" s="20" t="s">
        <v>53</v>
      </c>
      <c r="R43" s="20"/>
      <c r="S43" s="20"/>
    </row>
    <row r="44" spans="1:19" x14ac:dyDescent="0.3">
      <c r="A44">
        <v>1</v>
      </c>
      <c r="B44">
        <v>8</v>
      </c>
      <c r="C44" s="4" t="s">
        <v>26</v>
      </c>
      <c r="D44" t="s">
        <v>68</v>
      </c>
      <c r="F44" s="14">
        <v>0.6</v>
      </c>
      <c r="G44" s="14">
        <v>0.1</v>
      </c>
      <c r="H44" s="14">
        <v>7.5</v>
      </c>
      <c r="I44" s="12">
        <f>F44/Q44</f>
        <v>7.3170731707317055E-2</v>
      </c>
      <c r="J44" s="12">
        <f>G44/Q44</f>
        <v>1.2195121951219511E-2</v>
      </c>
      <c r="K44" s="12">
        <f>H44/Q44</f>
        <v>0.91463414634146334</v>
      </c>
      <c r="L44" s="13"/>
      <c r="M44" s="15"/>
      <c r="N44" s="13"/>
      <c r="Q44" s="6">
        <f>8.3-0.1</f>
        <v>8.2000000000000011</v>
      </c>
      <c r="R44" s="3"/>
      <c r="S44" s="3"/>
    </row>
    <row r="45" spans="1:19" x14ac:dyDescent="0.3">
      <c r="A45">
        <v>2</v>
      </c>
      <c r="B45" s="5" t="s">
        <v>25</v>
      </c>
      <c r="C45" s="4" t="s">
        <v>24</v>
      </c>
      <c r="D45" t="s">
        <v>72</v>
      </c>
      <c r="F45" s="14">
        <v>14.7</v>
      </c>
      <c r="G45" s="14">
        <v>1.4</v>
      </c>
      <c r="H45" s="14">
        <v>127.1</v>
      </c>
      <c r="I45" s="12">
        <f t="shared" ref="I45:I57" si="3">F45/Q45</f>
        <v>0.10251046025104602</v>
      </c>
      <c r="J45" s="12">
        <f t="shared" ref="J45:J57" si="4">G45/Q45</f>
        <v>9.7629009762900971E-3</v>
      </c>
      <c r="K45" s="12">
        <f t="shared" ref="K45:K57" si="5">H45/Q45</f>
        <v>0.88633193863319382</v>
      </c>
      <c r="L45" s="13"/>
      <c r="M45" s="15"/>
      <c r="N45" s="13"/>
      <c r="Q45" s="6">
        <f>145.3-1.9</f>
        <v>143.4</v>
      </c>
      <c r="R45" s="3"/>
      <c r="S45" s="3"/>
    </row>
    <row r="46" spans="1:19" x14ac:dyDescent="0.3">
      <c r="A46">
        <v>3</v>
      </c>
      <c r="B46" s="5" t="s">
        <v>23</v>
      </c>
      <c r="C46" s="4" t="s">
        <v>22</v>
      </c>
      <c r="D46" t="s">
        <v>76</v>
      </c>
      <c r="F46" s="14">
        <v>3.2</v>
      </c>
      <c r="G46" s="14">
        <v>0.3</v>
      </c>
      <c r="H46" s="14">
        <v>149.19999999999999</v>
      </c>
      <c r="I46" s="12">
        <f t="shared" si="3"/>
        <v>2.0942408376963352E-2</v>
      </c>
      <c r="J46" s="12">
        <f t="shared" si="4"/>
        <v>1.963350785340314E-3</v>
      </c>
      <c r="K46" s="12">
        <f t="shared" si="5"/>
        <v>0.97643979057591612</v>
      </c>
      <c r="L46" s="13"/>
      <c r="M46" s="15"/>
      <c r="N46" s="13"/>
      <c r="Q46" s="6">
        <f>154.3-1.5</f>
        <v>152.80000000000001</v>
      </c>
      <c r="R46" s="3"/>
      <c r="S46" s="3"/>
    </row>
    <row r="47" spans="1:19" x14ac:dyDescent="0.3">
      <c r="A47">
        <v>4</v>
      </c>
      <c r="B47" s="5" t="s">
        <v>21</v>
      </c>
      <c r="C47" s="4" t="s">
        <v>20</v>
      </c>
      <c r="D47" t="s">
        <v>80</v>
      </c>
      <c r="F47" s="14">
        <v>3.9</v>
      </c>
      <c r="G47" s="14">
        <v>0.4</v>
      </c>
      <c r="H47" s="14">
        <v>388.5</v>
      </c>
      <c r="I47" s="12">
        <f t="shared" si="3"/>
        <v>9.926189870195978E-3</v>
      </c>
      <c r="J47" s="12">
        <f t="shared" si="4"/>
        <v>1.0180707559175363E-3</v>
      </c>
      <c r="K47" s="12">
        <f t="shared" si="5"/>
        <v>0.98880122168490703</v>
      </c>
      <c r="L47" s="13"/>
      <c r="M47" s="15"/>
      <c r="N47" s="13"/>
      <c r="Q47" s="6">
        <f>400.1-7.2</f>
        <v>392.90000000000003</v>
      </c>
      <c r="R47" s="3"/>
      <c r="S47" s="3"/>
    </row>
    <row r="48" spans="1:19" x14ac:dyDescent="0.3">
      <c r="A48">
        <v>5</v>
      </c>
      <c r="B48" s="5" t="s">
        <v>19</v>
      </c>
      <c r="C48" s="4" t="s">
        <v>18</v>
      </c>
      <c r="D48" t="s">
        <v>84</v>
      </c>
      <c r="F48" s="14">
        <v>5.7</v>
      </c>
      <c r="G48" s="14">
        <v>0.6</v>
      </c>
      <c r="H48" s="14">
        <v>57.1</v>
      </c>
      <c r="I48" s="12">
        <f t="shared" si="3"/>
        <v>8.9905362776025247E-2</v>
      </c>
      <c r="J48" s="12">
        <f t="shared" si="4"/>
        <v>9.4637223974763408E-3</v>
      </c>
      <c r="K48" s="12">
        <f t="shared" si="5"/>
        <v>0.90063091482649849</v>
      </c>
      <c r="L48" s="13"/>
      <c r="M48" s="15"/>
      <c r="N48" s="13"/>
      <c r="Q48" s="6">
        <f>64.5-1.1</f>
        <v>63.4</v>
      </c>
      <c r="R48" s="3"/>
      <c r="S48" s="3"/>
    </row>
    <row r="49" spans="1:54" x14ac:dyDescent="0.3">
      <c r="A49">
        <v>6</v>
      </c>
      <c r="B49">
        <v>22</v>
      </c>
      <c r="C49" s="4" t="s">
        <v>17</v>
      </c>
      <c r="D49" t="s">
        <v>87</v>
      </c>
      <c r="F49" s="14">
        <v>10.1</v>
      </c>
      <c r="G49" s="14">
        <v>1</v>
      </c>
      <c r="H49" s="14">
        <v>19.899999999999999</v>
      </c>
      <c r="I49" s="12">
        <f t="shared" si="3"/>
        <v>0.32580645161290323</v>
      </c>
      <c r="J49" s="12">
        <f t="shared" si="4"/>
        <v>3.2258064516129031E-2</v>
      </c>
      <c r="K49" s="12">
        <f t="shared" si="5"/>
        <v>0.64193548387096766</v>
      </c>
      <c r="L49" s="13"/>
      <c r="M49" s="15"/>
      <c r="N49" s="13"/>
      <c r="Q49" s="6">
        <f>31.4-0.4</f>
        <v>31</v>
      </c>
      <c r="R49" s="3"/>
      <c r="S49" s="3"/>
    </row>
    <row r="50" spans="1:54" x14ac:dyDescent="0.3">
      <c r="A50">
        <v>7</v>
      </c>
      <c r="B50" s="5" t="s">
        <v>16</v>
      </c>
      <c r="C50" s="4" t="s">
        <v>15</v>
      </c>
      <c r="D50" t="s">
        <v>90</v>
      </c>
      <c r="F50" s="14">
        <v>2</v>
      </c>
      <c r="G50" s="14">
        <v>0.2</v>
      </c>
      <c r="H50" s="14">
        <v>63.7</v>
      </c>
      <c r="I50" s="12">
        <f t="shared" si="3"/>
        <v>3.0349013657056143E-2</v>
      </c>
      <c r="J50" s="12">
        <f t="shared" si="4"/>
        <v>3.0349013657056147E-3</v>
      </c>
      <c r="K50" s="12">
        <f t="shared" si="5"/>
        <v>0.96661608497723817</v>
      </c>
      <c r="L50" s="13"/>
      <c r="M50" s="15"/>
      <c r="N50" s="13"/>
      <c r="Q50" s="6">
        <f>66.9-1</f>
        <v>65.900000000000006</v>
      </c>
      <c r="R50" s="3"/>
      <c r="S50" s="3"/>
    </row>
    <row r="51" spans="1:54" x14ac:dyDescent="0.3">
      <c r="A51">
        <v>8</v>
      </c>
      <c r="B51" s="5" t="s">
        <v>14</v>
      </c>
      <c r="C51" s="4" t="s">
        <v>13</v>
      </c>
      <c r="D51" t="s">
        <v>93</v>
      </c>
      <c r="F51" s="14">
        <v>2.6</v>
      </c>
      <c r="G51" s="14">
        <v>0.3</v>
      </c>
      <c r="H51" s="14">
        <v>163.6</v>
      </c>
      <c r="I51" s="12">
        <f t="shared" si="3"/>
        <v>1.5615615615615617E-2</v>
      </c>
      <c r="J51" s="12">
        <f t="shared" si="4"/>
        <v>1.8018018018018018E-3</v>
      </c>
      <c r="K51" s="12">
        <f t="shared" si="5"/>
        <v>0.98258258258258258</v>
      </c>
      <c r="L51" s="13"/>
      <c r="M51" s="15"/>
      <c r="N51" s="13"/>
      <c r="Q51" s="6">
        <f>169.5-3</f>
        <v>166.5</v>
      </c>
      <c r="R51" s="3"/>
      <c r="S51" s="3"/>
    </row>
    <row r="52" spans="1:54" x14ac:dyDescent="0.3">
      <c r="A52">
        <v>9</v>
      </c>
      <c r="B52" s="5" t="s">
        <v>12</v>
      </c>
      <c r="C52" s="4" t="s">
        <v>11</v>
      </c>
      <c r="D52" t="s">
        <v>96</v>
      </c>
      <c r="F52" s="14">
        <v>1.8</v>
      </c>
      <c r="G52" s="14">
        <v>0.2</v>
      </c>
      <c r="H52" s="14">
        <v>463.4</v>
      </c>
      <c r="I52" s="12">
        <f t="shared" si="3"/>
        <v>3.867640739149119E-3</v>
      </c>
      <c r="J52" s="12">
        <f t="shared" si="4"/>
        <v>4.2973785990545768E-4</v>
      </c>
      <c r="K52" s="12">
        <f t="shared" si="5"/>
        <v>0.99570262140094534</v>
      </c>
      <c r="L52" s="13"/>
      <c r="M52" s="15"/>
      <c r="N52" s="13"/>
      <c r="Q52" s="6">
        <f>471.6-6.2</f>
        <v>465.40000000000003</v>
      </c>
      <c r="R52" s="3"/>
      <c r="S52" s="3"/>
    </row>
    <row r="53" spans="1:54" x14ac:dyDescent="0.3">
      <c r="A53">
        <v>10</v>
      </c>
      <c r="B53" s="5" t="s">
        <v>10</v>
      </c>
      <c r="C53" s="4" t="s">
        <v>9</v>
      </c>
      <c r="D53" t="s">
        <v>98</v>
      </c>
      <c r="F53" s="14">
        <v>3.5</v>
      </c>
      <c r="G53" s="14">
        <v>0.3</v>
      </c>
      <c r="H53" s="14">
        <v>50.9</v>
      </c>
      <c r="I53" s="12">
        <f t="shared" si="3"/>
        <v>6.3868613138686123E-2</v>
      </c>
      <c r="J53" s="12">
        <f t="shared" si="4"/>
        <v>5.4744525547445249E-3</v>
      </c>
      <c r="K53" s="12">
        <f t="shared" si="5"/>
        <v>0.92883211678832112</v>
      </c>
      <c r="L53" s="13"/>
      <c r="M53" s="15"/>
      <c r="N53" s="13"/>
      <c r="Q53" s="6">
        <f>55.6-0.8</f>
        <v>54.800000000000004</v>
      </c>
      <c r="R53" s="3"/>
      <c r="S53" s="3"/>
    </row>
    <row r="54" spans="1:54" x14ac:dyDescent="0.3">
      <c r="A54">
        <v>11</v>
      </c>
      <c r="B54" s="5" t="s">
        <v>8</v>
      </c>
      <c r="C54" s="4" t="s">
        <v>7</v>
      </c>
      <c r="D54" t="s">
        <v>103</v>
      </c>
      <c r="F54" s="14">
        <v>18.3</v>
      </c>
      <c r="G54" s="14">
        <v>1.8</v>
      </c>
      <c r="H54" s="14">
        <v>34.4</v>
      </c>
      <c r="I54" s="12">
        <f t="shared" si="3"/>
        <v>0.33577981651376149</v>
      </c>
      <c r="J54" s="12">
        <f t="shared" si="4"/>
        <v>3.3027522935779818E-2</v>
      </c>
      <c r="K54" s="12">
        <f t="shared" si="5"/>
        <v>0.63119266055045864</v>
      </c>
      <c r="L54" s="13"/>
      <c r="M54" s="15"/>
      <c r="N54" s="13"/>
      <c r="Q54" s="6">
        <f>55.2-0.7</f>
        <v>54.5</v>
      </c>
      <c r="R54" s="3"/>
      <c r="S54" s="3"/>
    </row>
    <row r="55" spans="1:54" x14ac:dyDescent="0.3">
      <c r="A55">
        <v>12</v>
      </c>
      <c r="B55" s="5" t="s">
        <v>6</v>
      </c>
      <c r="C55" s="4" t="s">
        <v>5</v>
      </c>
      <c r="D55" t="s">
        <v>99</v>
      </c>
      <c r="F55" s="14">
        <v>23.7</v>
      </c>
      <c r="G55" s="14">
        <v>2.6</v>
      </c>
      <c r="H55" s="14">
        <v>7.4</v>
      </c>
      <c r="I55" s="12">
        <f t="shared" si="3"/>
        <v>0.70118343195266275</v>
      </c>
      <c r="J55" s="12">
        <f t="shared" si="4"/>
        <v>7.6923076923076927E-2</v>
      </c>
      <c r="K55" s="12">
        <f t="shared" si="5"/>
        <v>0.21893491124260359</v>
      </c>
      <c r="L55" s="13"/>
      <c r="M55" s="15"/>
      <c r="N55" s="13"/>
      <c r="Q55" s="6">
        <f>34.3-0.5</f>
        <v>33.799999999999997</v>
      </c>
      <c r="R55" s="3"/>
      <c r="S55" s="3"/>
    </row>
    <row r="56" spans="1:54" x14ac:dyDescent="0.3">
      <c r="A56">
        <v>13</v>
      </c>
      <c r="B56" s="5" t="s">
        <v>4</v>
      </c>
      <c r="C56" s="4" t="s">
        <v>3</v>
      </c>
      <c r="D56" t="s">
        <v>106</v>
      </c>
      <c r="F56" s="14">
        <v>22.7</v>
      </c>
      <c r="G56" s="14">
        <v>2.2000000000000002</v>
      </c>
      <c r="H56" s="14">
        <v>35.700000000000003</v>
      </c>
      <c r="I56" s="12">
        <f t="shared" si="3"/>
        <v>0.37458745874587462</v>
      </c>
      <c r="J56" s="12">
        <f t="shared" si="4"/>
        <v>3.6303630363036313E-2</v>
      </c>
      <c r="K56" s="12">
        <f t="shared" si="5"/>
        <v>0.58910891089108919</v>
      </c>
      <c r="L56" s="13"/>
      <c r="M56" s="15"/>
      <c r="N56" s="13"/>
      <c r="Q56" s="6">
        <f>61.3-0.7</f>
        <v>60.599999999999994</v>
      </c>
      <c r="R56" s="3"/>
      <c r="S56" s="3"/>
    </row>
    <row r="57" spans="1:54" x14ac:dyDescent="0.3">
      <c r="A57">
        <v>14</v>
      </c>
      <c r="B57" t="s">
        <v>2</v>
      </c>
      <c r="C57" s="4" t="s">
        <v>1</v>
      </c>
      <c r="D57" t="s">
        <v>113</v>
      </c>
      <c r="F57" s="14">
        <v>32.9</v>
      </c>
      <c r="G57" s="14">
        <v>3.5</v>
      </c>
      <c r="H57" s="14">
        <v>79</v>
      </c>
      <c r="I57" s="12">
        <f t="shared" si="3"/>
        <v>0.28509532062391679</v>
      </c>
      <c r="J57" s="12">
        <f t="shared" si="4"/>
        <v>3.0329289428076254E-2</v>
      </c>
      <c r="K57" s="12">
        <f t="shared" si="5"/>
        <v>0.68457538994800693</v>
      </c>
      <c r="L57" s="13"/>
      <c r="M57" s="15"/>
      <c r="N57" s="13"/>
      <c r="Q57" s="6">
        <f>117-1.6</f>
        <v>115.4</v>
      </c>
      <c r="R57" s="3"/>
      <c r="S57" s="3"/>
    </row>
    <row r="59" spans="1:54" x14ac:dyDescent="0.3">
      <c r="A59" s="20" t="s">
        <v>121</v>
      </c>
      <c r="B59" s="20"/>
      <c r="C59" s="20"/>
      <c r="D59" s="20"/>
      <c r="E59" s="20"/>
      <c r="F59" s="20"/>
      <c r="G59" s="20"/>
      <c r="H59" s="20"/>
      <c r="M59" s="19" t="s">
        <v>122</v>
      </c>
      <c r="N59" s="19"/>
      <c r="O59" s="19"/>
      <c r="P59" s="19"/>
      <c r="Q59" s="19"/>
      <c r="R59" s="19"/>
      <c r="S59" s="21" t="s">
        <v>123</v>
      </c>
      <c r="T59" s="22"/>
      <c r="U59" s="22"/>
      <c r="V59" s="22"/>
      <c r="W59" s="22"/>
      <c r="X59" s="22"/>
      <c r="Y59" s="19" t="s">
        <v>124</v>
      </c>
      <c r="Z59" s="19"/>
      <c r="AA59" s="19"/>
      <c r="AB59" s="19"/>
      <c r="AC59" s="19"/>
      <c r="AD59" s="19"/>
      <c r="AE59" s="19" t="s">
        <v>125</v>
      </c>
      <c r="AF59" s="19"/>
      <c r="AG59" s="19"/>
      <c r="AH59" s="19"/>
      <c r="AI59" s="19"/>
      <c r="AJ59" s="19"/>
      <c r="AK59" s="19" t="s">
        <v>80</v>
      </c>
      <c r="AL59" s="19"/>
      <c r="AM59" s="19"/>
      <c r="AN59" s="19"/>
      <c r="AO59" s="19"/>
      <c r="AP59" s="19"/>
      <c r="AQ59" s="19" t="s">
        <v>126</v>
      </c>
      <c r="AR59" s="19"/>
      <c r="AS59" s="19"/>
      <c r="AT59" s="19"/>
      <c r="AU59" s="19"/>
      <c r="AV59" s="19"/>
      <c r="AW59" s="19" t="s">
        <v>127</v>
      </c>
      <c r="AX59" s="19"/>
      <c r="AY59" s="19"/>
      <c r="AZ59" s="19"/>
      <c r="BA59" s="19"/>
      <c r="BB59" s="19"/>
    </row>
    <row r="60" spans="1:54" x14ac:dyDescent="0.3">
      <c r="A60" t="s">
        <v>128</v>
      </c>
      <c r="B60" s="5" t="s">
        <v>33</v>
      </c>
      <c r="C60" t="s">
        <v>32</v>
      </c>
      <c r="D60" t="s">
        <v>118</v>
      </c>
      <c r="F60" t="s">
        <v>129</v>
      </c>
      <c r="G60" t="s">
        <v>130</v>
      </c>
      <c r="H60" t="s">
        <v>131</v>
      </c>
      <c r="I60" t="s">
        <v>132</v>
      </c>
      <c r="J60" t="s">
        <v>133</v>
      </c>
      <c r="M60" t="s">
        <v>134</v>
      </c>
      <c r="N60" t="s">
        <v>129</v>
      </c>
      <c r="O60" t="s">
        <v>130</v>
      </c>
      <c r="P60" t="s">
        <v>131</v>
      </c>
      <c r="Q60" t="s">
        <v>132</v>
      </c>
      <c r="R60" t="s">
        <v>133</v>
      </c>
      <c r="S60" t="s">
        <v>134</v>
      </c>
      <c r="T60" t="s">
        <v>129</v>
      </c>
      <c r="U60" t="s">
        <v>130</v>
      </c>
      <c r="V60" t="s">
        <v>131</v>
      </c>
      <c r="W60" t="s">
        <v>132</v>
      </c>
      <c r="X60" t="s">
        <v>133</v>
      </c>
      <c r="Y60" t="s">
        <v>134</v>
      </c>
      <c r="Z60" t="s">
        <v>129</v>
      </c>
      <c r="AA60" t="s">
        <v>130</v>
      </c>
      <c r="AB60" t="s">
        <v>131</v>
      </c>
      <c r="AC60" t="s">
        <v>132</v>
      </c>
      <c r="AD60" t="s">
        <v>133</v>
      </c>
      <c r="AE60" t="s">
        <v>134</v>
      </c>
      <c r="AF60" t="s">
        <v>129</v>
      </c>
      <c r="AG60" t="s">
        <v>130</v>
      </c>
      <c r="AH60" t="s">
        <v>131</v>
      </c>
      <c r="AI60" t="s">
        <v>132</v>
      </c>
      <c r="AJ60" t="s">
        <v>133</v>
      </c>
      <c r="AK60" t="s">
        <v>134</v>
      </c>
      <c r="AL60" t="s">
        <v>129</v>
      </c>
      <c r="AM60" t="s">
        <v>130</v>
      </c>
      <c r="AN60" t="s">
        <v>131</v>
      </c>
      <c r="AO60" t="s">
        <v>132</v>
      </c>
      <c r="AP60" t="s">
        <v>133</v>
      </c>
      <c r="AQ60" t="s">
        <v>134</v>
      </c>
      <c r="AR60" t="s">
        <v>129</v>
      </c>
      <c r="AS60" t="s">
        <v>130</v>
      </c>
      <c r="AT60" t="s">
        <v>131</v>
      </c>
      <c r="AU60" t="s">
        <v>132</v>
      </c>
      <c r="AV60" t="s">
        <v>133</v>
      </c>
      <c r="AW60" t="s">
        <v>134</v>
      </c>
      <c r="AX60" t="s">
        <v>129</v>
      </c>
      <c r="AY60" t="s">
        <v>130</v>
      </c>
      <c r="AZ60" t="s">
        <v>131</v>
      </c>
      <c r="BA60" t="s">
        <v>132</v>
      </c>
      <c r="BB60" t="s">
        <v>133</v>
      </c>
    </row>
    <row r="61" spans="1:54" x14ac:dyDescent="0.3">
      <c r="F61" t="s">
        <v>28</v>
      </c>
      <c r="G61" t="s">
        <v>28</v>
      </c>
      <c r="H61" t="s">
        <v>28</v>
      </c>
      <c r="I61" t="s">
        <v>28</v>
      </c>
      <c r="J61" t="s">
        <v>28</v>
      </c>
      <c r="M61" t="s">
        <v>135</v>
      </c>
      <c r="N61">
        <v>0</v>
      </c>
      <c r="O61">
        <v>0</v>
      </c>
      <c r="P61">
        <v>0.2</v>
      </c>
      <c r="Q61">
        <v>0.8</v>
      </c>
      <c r="R61">
        <v>0</v>
      </c>
      <c r="S61" t="s">
        <v>136</v>
      </c>
      <c r="T61">
        <v>0</v>
      </c>
      <c r="U61">
        <v>0</v>
      </c>
      <c r="V61">
        <v>0</v>
      </c>
      <c r="W61">
        <v>1</v>
      </c>
      <c r="X61">
        <v>0</v>
      </c>
      <c r="Y61" t="s">
        <v>137</v>
      </c>
      <c r="Z61">
        <v>0.05</v>
      </c>
      <c r="AA61">
        <v>0.88</v>
      </c>
      <c r="AB61">
        <v>0.05</v>
      </c>
      <c r="AC61">
        <v>0.02</v>
      </c>
      <c r="AD61">
        <v>0</v>
      </c>
      <c r="AE61" t="s">
        <v>138</v>
      </c>
      <c r="AF61">
        <v>0.02</v>
      </c>
      <c r="AG61">
        <v>0.19</v>
      </c>
      <c r="AH61">
        <v>0.19</v>
      </c>
      <c r="AI61">
        <v>0.3</v>
      </c>
      <c r="AJ61">
        <v>0.3</v>
      </c>
      <c r="AK61" t="s">
        <v>139</v>
      </c>
      <c r="AL61">
        <v>0</v>
      </c>
      <c r="AM61">
        <v>0.5</v>
      </c>
      <c r="AN61">
        <v>0.25</v>
      </c>
      <c r="AO61">
        <v>0.25</v>
      </c>
      <c r="AP61">
        <v>0</v>
      </c>
      <c r="AQ61" t="s">
        <v>140</v>
      </c>
      <c r="AR61">
        <v>0.1</v>
      </c>
      <c r="AS61">
        <v>0.6</v>
      </c>
      <c r="AT61">
        <v>0</v>
      </c>
      <c r="AU61">
        <v>0.3</v>
      </c>
      <c r="AV61">
        <v>0</v>
      </c>
      <c r="AW61" t="s">
        <v>141</v>
      </c>
      <c r="AX61">
        <v>0.2</v>
      </c>
      <c r="AY61">
        <v>0.5</v>
      </c>
      <c r="AZ61">
        <v>0.3</v>
      </c>
      <c r="BA61">
        <v>0</v>
      </c>
      <c r="BB61">
        <v>0</v>
      </c>
    </row>
    <row r="62" spans="1:54" x14ac:dyDescent="0.3">
      <c r="A62">
        <v>1</v>
      </c>
      <c r="B62">
        <v>8</v>
      </c>
      <c r="C62" s="4" t="s">
        <v>26</v>
      </c>
      <c r="D62" t="s">
        <v>68</v>
      </c>
      <c r="F62" s="14"/>
      <c r="G62" s="14"/>
      <c r="H62" s="14"/>
      <c r="I62" s="12"/>
      <c r="J62" s="12"/>
      <c r="K62" s="12"/>
      <c r="M62" t="s">
        <v>142</v>
      </c>
      <c r="N62">
        <v>0.01</v>
      </c>
      <c r="O62">
        <v>0.01</v>
      </c>
      <c r="P62">
        <v>0.11</v>
      </c>
      <c r="Q62">
        <v>0.2</v>
      </c>
      <c r="R62">
        <v>0.67</v>
      </c>
      <c r="S62" t="s">
        <v>143</v>
      </c>
      <c r="T62">
        <v>0.28000000000000003</v>
      </c>
      <c r="U62">
        <v>0</v>
      </c>
      <c r="V62">
        <v>0.3</v>
      </c>
      <c r="W62">
        <v>0.42</v>
      </c>
      <c r="X62">
        <v>0</v>
      </c>
      <c r="Y62" t="s">
        <v>144</v>
      </c>
      <c r="Z62">
        <v>0</v>
      </c>
      <c r="AA62">
        <v>1</v>
      </c>
      <c r="AB62">
        <v>0</v>
      </c>
      <c r="AC62">
        <v>0</v>
      </c>
      <c r="AD62">
        <v>0</v>
      </c>
      <c r="AE62" t="s">
        <v>145</v>
      </c>
      <c r="AF62">
        <v>0.02</v>
      </c>
      <c r="AG62">
        <v>0.21</v>
      </c>
      <c r="AH62">
        <v>0.43</v>
      </c>
      <c r="AI62">
        <v>0.12</v>
      </c>
      <c r="AJ62">
        <v>0.22</v>
      </c>
      <c r="AK62" t="s">
        <v>146</v>
      </c>
      <c r="AL62">
        <v>0</v>
      </c>
      <c r="AM62">
        <v>0</v>
      </c>
      <c r="AN62">
        <v>0</v>
      </c>
      <c r="AO62">
        <v>0.66</v>
      </c>
      <c r="AP62">
        <v>0.33</v>
      </c>
      <c r="AQ62" t="s">
        <v>147</v>
      </c>
      <c r="AR62">
        <v>0.9</v>
      </c>
      <c r="AS62">
        <v>0.1</v>
      </c>
      <c r="AT62">
        <v>0</v>
      </c>
      <c r="AU62">
        <v>0</v>
      </c>
      <c r="AV62">
        <v>0</v>
      </c>
      <c r="AW62" t="s">
        <v>148</v>
      </c>
      <c r="AX62">
        <v>0.2</v>
      </c>
      <c r="AY62">
        <v>0.5</v>
      </c>
      <c r="AZ62">
        <v>0.3</v>
      </c>
      <c r="BA62">
        <v>0</v>
      </c>
      <c r="BB62">
        <v>0</v>
      </c>
    </row>
    <row r="63" spans="1:54" x14ac:dyDescent="0.3">
      <c r="A63">
        <v>2</v>
      </c>
      <c r="B63" s="5" t="s">
        <v>25</v>
      </c>
      <c r="C63" s="4" t="s">
        <v>24</v>
      </c>
      <c r="D63" t="s">
        <v>72</v>
      </c>
      <c r="F63" s="13">
        <f>AVERAGE(AR61:AR66)</f>
        <v>0.52500000000000002</v>
      </c>
      <c r="G63" s="13">
        <f t="shared" ref="G63:J63" si="6">AVERAGE(AS61:AS66)</f>
        <v>0.30833333333333329</v>
      </c>
      <c r="H63" s="13">
        <f t="shared" si="6"/>
        <v>0.23</v>
      </c>
      <c r="I63" s="13">
        <f t="shared" si="6"/>
        <v>0.12833333333333333</v>
      </c>
      <c r="J63" s="13">
        <f t="shared" si="6"/>
        <v>0</v>
      </c>
      <c r="K63" s="12"/>
      <c r="M63" t="s">
        <v>149</v>
      </c>
      <c r="N63">
        <v>0</v>
      </c>
      <c r="O63">
        <v>0</v>
      </c>
      <c r="P63">
        <v>0</v>
      </c>
      <c r="Q63">
        <v>0.2</v>
      </c>
      <c r="R63">
        <v>0.8</v>
      </c>
      <c r="S63" t="s">
        <v>150</v>
      </c>
      <c r="T63">
        <v>0</v>
      </c>
      <c r="U63">
        <v>0</v>
      </c>
      <c r="V63">
        <v>1</v>
      </c>
      <c r="W63">
        <v>0</v>
      </c>
      <c r="X63">
        <v>0</v>
      </c>
      <c r="Y63" t="s">
        <v>151</v>
      </c>
      <c r="Z63">
        <v>0</v>
      </c>
      <c r="AA63">
        <v>1</v>
      </c>
      <c r="AB63">
        <v>0</v>
      </c>
      <c r="AC63">
        <v>0</v>
      </c>
      <c r="AD63">
        <v>0</v>
      </c>
      <c r="AE63" t="s">
        <v>152</v>
      </c>
      <c r="AF63">
        <v>0.02</v>
      </c>
      <c r="AG63">
        <v>0.19</v>
      </c>
      <c r="AH63">
        <v>0.19</v>
      </c>
      <c r="AI63">
        <v>0.3</v>
      </c>
      <c r="AJ63">
        <v>0.3</v>
      </c>
      <c r="AK63" t="s">
        <v>153</v>
      </c>
      <c r="AL63">
        <v>0</v>
      </c>
      <c r="AM63">
        <v>0</v>
      </c>
      <c r="AN63">
        <v>0</v>
      </c>
      <c r="AO63">
        <v>0</v>
      </c>
      <c r="AP63">
        <v>1</v>
      </c>
      <c r="AQ63" t="s">
        <v>154</v>
      </c>
      <c r="AR63">
        <v>0.55000000000000004</v>
      </c>
      <c r="AS63">
        <v>0.55000000000000004</v>
      </c>
      <c r="AT63">
        <v>0.45</v>
      </c>
      <c r="AU63">
        <v>0</v>
      </c>
      <c r="AV63">
        <v>0</v>
      </c>
      <c r="AW63" t="s">
        <v>155</v>
      </c>
      <c r="AX63">
        <v>0.2</v>
      </c>
      <c r="AY63">
        <v>0.5</v>
      </c>
      <c r="AZ63">
        <v>0.3</v>
      </c>
      <c r="BA63">
        <v>0</v>
      </c>
      <c r="BB63">
        <v>0</v>
      </c>
    </row>
    <row r="64" spans="1:54" x14ac:dyDescent="0.3">
      <c r="A64">
        <v>3</v>
      </c>
      <c r="B64" s="5" t="s">
        <v>23</v>
      </c>
      <c r="C64" s="4" t="s">
        <v>22</v>
      </c>
      <c r="D64" t="s">
        <v>76</v>
      </c>
      <c r="F64" s="13">
        <f>AVERAGE(Z61:Z63)</f>
        <v>1.6666666666666666E-2</v>
      </c>
      <c r="G64" s="13">
        <f t="shared" ref="G64:J64" si="7">AVERAGE(AA61:AA63)</f>
        <v>0.96</v>
      </c>
      <c r="H64" s="13">
        <f t="shared" si="7"/>
        <v>1.6666666666666666E-2</v>
      </c>
      <c r="I64" s="13">
        <f t="shared" si="7"/>
        <v>6.6666666666666671E-3</v>
      </c>
      <c r="J64" s="13">
        <f t="shared" si="7"/>
        <v>0</v>
      </c>
      <c r="K64" s="12"/>
      <c r="M64" t="s">
        <v>156</v>
      </c>
      <c r="N64">
        <v>0</v>
      </c>
      <c r="O64">
        <v>0</v>
      </c>
      <c r="P64">
        <v>0</v>
      </c>
      <c r="Q64">
        <v>0.2</v>
      </c>
      <c r="R64">
        <v>0.8</v>
      </c>
      <c r="S64" t="s">
        <v>157</v>
      </c>
      <c r="T64">
        <v>0</v>
      </c>
      <c r="U64">
        <v>0</v>
      </c>
      <c r="V64">
        <v>0</v>
      </c>
      <c r="W64">
        <v>1</v>
      </c>
      <c r="X64">
        <v>0</v>
      </c>
      <c r="AE64" t="s">
        <v>158</v>
      </c>
      <c r="AF64">
        <v>0.02</v>
      </c>
      <c r="AG64">
        <v>0.22</v>
      </c>
      <c r="AH64">
        <v>0.22</v>
      </c>
      <c r="AI64">
        <v>0.22</v>
      </c>
      <c r="AJ64">
        <v>0.32</v>
      </c>
      <c r="AK64" t="s">
        <v>159</v>
      </c>
      <c r="AL64">
        <v>0</v>
      </c>
      <c r="AM64">
        <v>0</v>
      </c>
      <c r="AN64">
        <v>0</v>
      </c>
      <c r="AO64">
        <v>0</v>
      </c>
      <c r="AP64">
        <v>1</v>
      </c>
      <c r="AQ64" t="s">
        <v>160</v>
      </c>
      <c r="AR64">
        <v>0.4</v>
      </c>
      <c r="AS64">
        <v>0.4</v>
      </c>
      <c r="AT64">
        <v>0.6</v>
      </c>
      <c r="AU64">
        <v>0</v>
      </c>
      <c r="AV64">
        <v>0</v>
      </c>
    </row>
    <row r="65" spans="1:48" x14ac:dyDescent="0.3">
      <c r="A65">
        <v>4</v>
      </c>
      <c r="B65" s="5" t="s">
        <v>21</v>
      </c>
      <c r="C65" s="4" t="s">
        <v>20</v>
      </c>
      <c r="D65" t="s">
        <v>80</v>
      </c>
      <c r="F65" s="13">
        <f>AVERAGE(AL61:AL74)</f>
        <v>2.1428571428571429E-2</v>
      </c>
      <c r="G65" s="13">
        <f>AVERAGE(AM61:AM74)</f>
        <v>0.51428571428571435</v>
      </c>
      <c r="H65" s="13">
        <f>AVERAGE(AN61:AN74)</f>
        <v>3.4285714285714287E-2</v>
      </c>
      <c r="I65" s="13">
        <f>AVERAGE(AO61:AO74)</f>
        <v>0.17714285714285719</v>
      </c>
      <c r="J65" s="13">
        <f>AVERAGE(AP61:AP74)</f>
        <v>0.25214285714285717</v>
      </c>
      <c r="K65" s="12"/>
      <c r="M65" t="s">
        <v>161</v>
      </c>
      <c r="N65">
        <v>0</v>
      </c>
      <c r="O65">
        <v>0</v>
      </c>
      <c r="P65">
        <v>0</v>
      </c>
      <c r="Q65">
        <v>0.2</v>
      </c>
      <c r="R65">
        <v>0.8</v>
      </c>
      <c r="S65" t="s">
        <v>162</v>
      </c>
      <c r="T65">
        <v>0</v>
      </c>
      <c r="U65">
        <v>0</v>
      </c>
      <c r="V65">
        <v>1</v>
      </c>
      <c r="W65">
        <v>0</v>
      </c>
      <c r="X65">
        <v>0</v>
      </c>
      <c r="AE65" t="s">
        <v>163</v>
      </c>
      <c r="AF65">
        <v>0.3</v>
      </c>
      <c r="AG65">
        <v>0</v>
      </c>
      <c r="AH65">
        <v>0</v>
      </c>
      <c r="AI65">
        <v>0.05</v>
      </c>
      <c r="AJ65">
        <v>0.65</v>
      </c>
      <c r="AK65" t="s">
        <v>164</v>
      </c>
      <c r="AL65">
        <v>0</v>
      </c>
      <c r="AM65">
        <v>1</v>
      </c>
      <c r="AN65">
        <v>0</v>
      </c>
      <c r="AO65">
        <v>0</v>
      </c>
      <c r="AP65">
        <v>0</v>
      </c>
      <c r="AQ65" t="s">
        <v>165</v>
      </c>
      <c r="AR65">
        <v>0.2</v>
      </c>
      <c r="AS65">
        <v>0.2</v>
      </c>
      <c r="AT65">
        <v>0.33</v>
      </c>
      <c r="AU65">
        <v>0.47</v>
      </c>
      <c r="AV65">
        <v>0</v>
      </c>
    </row>
    <row r="66" spans="1:48" x14ac:dyDescent="0.3">
      <c r="A66">
        <v>5</v>
      </c>
      <c r="B66" s="5" t="s">
        <v>19</v>
      </c>
      <c r="C66" s="4" t="s">
        <v>18</v>
      </c>
      <c r="D66" t="s">
        <v>84</v>
      </c>
      <c r="F66" s="14"/>
      <c r="G66" s="14"/>
      <c r="H66" s="14"/>
      <c r="I66" s="12"/>
      <c r="J66" s="12"/>
      <c r="K66" s="12"/>
      <c r="M66" t="s">
        <v>166</v>
      </c>
      <c r="N66">
        <v>0</v>
      </c>
      <c r="O66">
        <v>0</v>
      </c>
      <c r="P66">
        <v>0.2</v>
      </c>
      <c r="Q66">
        <v>0.8</v>
      </c>
      <c r="R66">
        <v>0</v>
      </c>
      <c r="S66" t="s">
        <v>167</v>
      </c>
      <c r="T66">
        <v>0</v>
      </c>
      <c r="U66">
        <v>0</v>
      </c>
      <c r="V66">
        <v>0</v>
      </c>
      <c r="W66">
        <v>0</v>
      </c>
      <c r="X66">
        <v>1</v>
      </c>
      <c r="AE66" t="s">
        <v>168</v>
      </c>
      <c r="AF66">
        <v>0.3</v>
      </c>
      <c r="AG66">
        <v>0.15</v>
      </c>
      <c r="AH66">
        <v>0.15</v>
      </c>
      <c r="AI66">
        <v>0.25</v>
      </c>
      <c r="AJ66">
        <v>0.15</v>
      </c>
      <c r="AK66" t="s">
        <v>169</v>
      </c>
      <c r="AL66">
        <v>0</v>
      </c>
      <c r="AM66">
        <v>0</v>
      </c>
      <c r="AN66">
        <v>0</v>
      </c>
      <c r="AO66">
        <v>1</v>
      </c>
      <c r="AP66">
        <v>0</v>
      </c>
      <c r="AQ66" t="s">
        <v>170</v>
      </c>
      <c r="AR66">
        <v>1</v>
      </c>
      <c r="AS66">
        <v>0</v>
      </c>
      <c r="AT66">
        <v>0</v>
      </c>
      <c r="AU66">
        <v>0</v>
      </c>
      <c r="AV66">
        <v>0</v>
      </c>
    </row>
    <row r="67" spans="1:48" x14ac:dyDescent="0.3">
      <c r="A67">
        <v>6</v>
      </c>
      <c r="B67">
        <v>22</v>
      </c>
      <c r="C67" s="4" t="s">
        <v>17</v>
      </c>
      <c r="D67" t="s">
        <v>87</v>
      </c>
      <c r="F67" s="14"/>
      <c r="G67" s="14"/>
      <c r="H67" s="14"/>
      <c r="I67" s="12"/>
      <c r="J67" s="12"/>
      <c r="K67" s="12"/>
      <c r="S67" t="s">
        <v>171</v>
      </c>
      <c r="T67">
        <v>0</v>
      </c>
      <c r="U67">
        <v>0</v>
      </c>
      <c r="V67">
        <v>0</v>
      </c>
      <c r="W67">
        <v>1</v>
      </c>
      <c r="X67">
        <v>0</v>
      </c>
      <c r="AE67" t="s">
        <v>172</v>
      </c>
      <c r="AF67">
        <v>7.0000000000000007E-2</v>
      </c>
      <c r="AG67">
        <v>0.11</v>
      </c>
      <c r="AH67">
        <v>7.0000000000000007E-2</v>
      </c>
      <c r="AI67">
        <v>0.18</v>
      </c>
      <c r="AJ67">
        <v>0.56999999999999995</v>
      </c>
      <c r="AK67" t="s">
        <v>173</v>
      </c>
      <c r="AL67">
        <v>0</v>
      </c>
      <c r="AM67">
        <v>0</v>
      </c>
      <c r="AN67">
        <v>0</v>
      </c>
      <c r="AO67">
        <v>0.22</v>
      </c>
      <c r="AP67">
        <v>0.78</v>
      </c>
    </row>
    <row r="68" spans="1:48" x14ac:dyDescent="0.3">
      <c r="A68">
        <v>7</v>
      </c>
      <c r="B68" s="5" t="s">
        <v>16</v>
      </c>
      <c r="C68" s="4" t="s">
        <v>15</v>
      </c>
      <c r="D68" t="s">
        <v>90</v>
      </c>
      <c r="F68" s="14"/>
      <c r="G68" s="14"/>
      <c r="H68" s="14"/>
      <c r="I68" s="12"/>
      <c r="J68" s="12"/>
      <c r="K68" s="12"/>
      <c r="S68" t="s">
        <v>174</v>
      </c>
      <c r="T68">
        <v>0</v>
      </c>
      <c r="U68">
        <v>0</v>
      </c>
      <c r="V68">
        <v>1</v>
      </c>
      <c r="W68">
        <v>0</v>
      </c>
      <c r="X68">
        <v>0</v>
      </c>
      <c r="AE68" t="s">
        <v>175</v>
      </c>
      <c r="AF68">
        <v>0</v>
      </c>
      <c r="AG68">
        <v>0</v>
      </c>
      <c r="AH68">
        <v>0.1</v>
      </c>
      <c r="AI68">
        <v>0.6</v>
      </c>
      <c r="AJ68">
        <v>0.3</v>
      </c>
      <c r="AK68" t="s">
        <v>176</v>
      </c>
      <c r="AL68">
        <v>0</v>
      </c>
      <c r="AM68">
        <v>1</v>
      </c>
      <c r="AN68">
        <v>0</v>
      </c>
      <c r="AO68">
        <v>0</v>
      </c>
      <c r="AP68">
        <v>0</v>
      </c>
    </row>
    <row r="69" spans="1:48" x14ac:dyDescent="0.3">
      <c r="A69">
        <v>8</v>
      </c>
      <c r="B69" s="5" t="s">
        <v>14</v>
      </c>
      <c r="C69" s="4" t="s">
        <v>13</v>
      </c>
      <c r="D69" t="s">
        <v>93</v>
      </c>
      <c r="F69" s="13">
        <f>AVERAGE(AF61:AF76)</f>
        <v>0.24687500000000001</v>
      </c>
      <c r="G69" s="13">
        <f t="shared" ref="G69:J69" si="8">AVERAGE(AG61:AG76)</f>
        <v>9.8125000000000004E-2</v>
      </c>
      <c r="H69" s="13">
        <f t="shared" si="8"/>
        <v>0.11562500000000002</v>
      </c>
      <c r="I69" s="13">
        <f t="shared" si="8"/>
        <v>0.27625000000000005</v>
      </c>
      <c r="J69" s="13">
        <f t="shared" si="8"/>
        <v>0.26312499999999994</v>
      </c>
      <c r="K69" s="12"/>
      <c r="S69" t="s">
        <v>177</v>
      </c>
      <c r="T69">
        <v>0</v>
      </c>
      <c r="U69">
        <v>0</v>
      </c>
      <c r="V69">
        <v>0</v>
      </c>
      <c r="W69">
        <v>0</v>
      </c>
      <c r="X69">
        <v>1</v>
      </c>
      <c r="AE69" t="s">
        <v>178</v>
      </c>
      <c r="AF69">
        <v>0</v>
      </c>
      <c r="AG69">
        <v>0</v>
      </c>
      <c r="AH69">
        <v>0.1</v>
      </c>
      <c r="AI69">
        <v>0.6</v>
      </c>
      <c r="AJ69">
        <v>0.3</v>
      </c>
      <c r="AK69" t="s">
        <v>179</v>
      </c>
      <c r="AL69">
        <v>0</v>
      </c>
      <c r="AM69">
        <v>1</v>
      </c>
      <c r="AN69">
        <v>0</v>
      </c>
      <c r="AO69">
        <v>0</v>
      </c>
      <c r="AP69">
        <v>0</v>
      </c>
    </row>
    <row r="70" spans="1:48" x14ac:dyDescent="0.3">
      <c r="A70">
        <v>9</v>
      </c>
      <c r="B70" s="5" t="s">
        <v>12</v>
      </c>
      <c r="C70" s="4" t="s">
        <v>11</v>
      </c>
      <c r="D70" t="s">
        <v>96</v>
      </c>
      <c r="F70" s="13">
        <f>AVERAGE(N61:N66)</f>
        <v>1.6666666666666668E-3</v>
      </c>
      <c r="G70" s="13">
        <f t="shared" ref="G70:J70" si="9">AVERAGE(O61:O66)</f>
        <v>1.6666666666666668E-3</v>
      </c>
      <c r="H70" s="13">
        <f t="shared" si="9"/>
        <v>8.5000000000000006E-2</v>
      </c>
      <c r="I70" s="13">
        <f t="shared" si="9"/>
        <v>0.39999999999999997</v>
      </c>
      <c r="J70" s="13">
        <f t="shared" si="9"/>
        <v>0.51166666666666671</v>
      </c>
      <c r="K70" s="12"/>
      <c r="S70" t="s">
        <v>180</v>
      </c>
      <c r="T70">
        <v>0</v>
      </c>
      <c r="U70">
        <v>0</v>
      </c>
      <c r="V70">
        <v>1</v>
      </c>
      <c r="W70">
        <v>0</v>
      </c>
      <c r="X70">
        <v>0</v>
      </c>
      <c r="AE70" t="s">
        <v>181</v>
      </c>
      <c r="AF70">
        <v>0</v>
      </c>
      <c r="AG70">
        <v>0</v>
      </c>
      <c r="AH70">
        <v>0.1</v>
      </c>
      <c r="AI70">
        <v>0.6</v>
      </c>
      <c r="AJ70">
        <v>0.3</v>
      </c>
      <c r="AK70" t="s">
        <v>182</v>
      </c>
      <c r="AL70">
        <v>0</v>
      </c>
      <c r="AM70">
        <v>1</v>
      </c>
      <c r="AN70">
        <v>0</v>
      </c>
      <c r="AO70">
        <v>0</v>
      </c>
      <c r="AP70">
        <v>0</v>
      </c>
    </row>
    <row r="71" spans="1:48" x14ac:dyDescent="0.3">
      <c r="A71">
        <v>10</v>
      </c>
      <c r="B71" s="5" t="s">
        <v>10</v>
      </c>
      <c r="C71" s="4" t="s">
        <v>9</v>
      </c>
      <c r="D71" t="s">
        <v>98</v>
      </c>
      <c r="F71" s="13">
        <f>AVERAGE(T61:T70)</f>
        <v>2.8000000000000004E-2</v>
      </c>
      <c r="G71" s="13">
        <f t="shared" ref="G71:J71" si="10">AVERAGE(U61:U70)</f>
        <v>0</v>
      </c>
      <c r="H71" s="13">
        <f t="shared" si="10"/>
        <v>0.43</v>
      </c>
      <c r="I71" s="13">
        <f t="shared" si="10"/>
        <v>0.34199999999999997</v>
      </c>
      <c r="J71" s="13">
        <f t="shared" si="10"/>
        <v>0.2</v>
      </c>
      <c r="K71" s="12"/>
      <c r="AE71" t="s">
        <v>183</v>
      </c>
      <c r="AF71">
        <v>1</v>
      </c>
      <c r="AG71">
        <v>0</v>
      </c>
      <c r="AH71">
        <v>0</v>
      </c>
      <c r="AI71">
        <v>0</v>
      </c>
      <c r="AJ71">
        <v>0</v>
      </c>
      <c r="AK71" t="s">
        <v>184</v>
      </c>
      <c r="AL71">
        <v>0</v>
      </c>
      <c r="AM71">
        <v>1</v>
      </c>
      <c r="AN71">
        <v>0</v>
      </c>
      <c r="AO71">
        <v>0</v>
      </c>
      <c r="AP71">
        <v>0</v>
      </c>
    </row>
    <row r="72" spans="1:48" x14ac:dyDescent="0.3">
      <c r="A72">
        <v>11</v>
      </c>
      <c r="B72" s="5" t="s">
        <v>8</v>
      </c>
      <c r="C72" s="4" t="s">
        <v>7</v>
      </c>
      <c r="D72" t="s">
        <v>103</v>
      </c>
      <c r="F72" s="14"/>
      <c r="G72" s="14"/>
      <c r="H72" s="14"/>
      <c r="I72" s="12"/>
      <c r="J72" s="12"/>
      <c r="K72" s="12"/>
      <c r="AE72" t="s">
        <v>185</v>
      </c>
      <c r="AF72">
        <v>0</v>
      </c>
      <c r="AG72">
        <v>0.5</v>
      </c>
      <c r="AH72">
        <v>0.3</v>
      </c>
      <c r="AI72">
        <v>0.2</v>
      </c>
      <c r="AJ72">
        <v>0</v>
      </c>
      <c r="AK72" t="s">
        <v>186</v>
      </c>
      <c r="AL72">
        <v>0.3</v>
      </c>
      <c r="AM72">
        <v>0.4</v>
      </c>
      <c r="AN72">
        <v>0</v>
      </c>
      <c r="AO72">
        <v>0</v>
      </c>
      <c r="AP72">
        <v>0.3</v>
      </c>
    </row>
    <row r="73" spans="1:48" x14ac:dyDescent="0.3">
      <c r="A73">
        <v>12</v>
      </c>
      <c r="B73" s="5" t="s">
        <v>6</v>
      </c>
      <c r="C73" s="4" t="s">
        <v>5</v>
      </c>
      <c r="D73" t="s">
        <v>99</v>
      </c>
      <c r="F73" s="14"/>
      <c r="G73" s="14"/>
      <c r="H73" s="14"/>
      <c r="I73" s="12"/>
      <c r="J73" s="12"/>
      <c r="K73" s="12"/>
      <c r="AE73" t="s">
        <v>187</v>
      </c>
      <c r="AF73">
        <v>1</v>
      </c>
      <c r="AG73">
        <v>0</v>
      </c>
      <c r="AH73">
        <v>0</v>
      </c>
      <c r="AI73">
        <v>0</v>
      </c>
      <c r="AJ73">
        <v>0</v>
      </c>
      <c r="AK73" t="s">
        <v>188</v>
      </c>
      <c r="AL73">
        <v>0</v>
      </c>
      <c r="AM73">
        <v>1</v>
      </c>
      <c r="AN73">
        <v>0</v>
      </c>
      <c r="AO73">
        <v>0</v>
      </c>
      <c r="AP73">
        <v>0</v>
      </c>
    </row>
    <row r="74" spans="1:48" x14ac:dyDescent="0.3">
      <c r="A74">
        <v>13</v>
      </c>
      <c r="B74" s="5" t="s">
        <v>4</v>
      </c>
      <c r="C74" s="4" t="s">
        <v>3</v>
      </c>
      <c r="D74" t="s">
        <v>106</v>
      </c>
      <c r="F74" s="14"/>
      <c r="G74" s="14"/>
      <c r="H74" s="14"/>
      <c r="I74" s="12"/>
      <c r="J74" s="12"/>
      <c r="K74" s="12"/>
      <c r="AE74" t="s">
        <v>189</v>
      </c>
      <c r="AF74">
        <v>1</v>
      </c>
      <c r="AG74">
        <v>0</v>
      </c>
      <c r="AH74">
        <v>0</v>
      </c>
      <c r="AI74">
        <v>0</v>
      </c>
      <c r="AJ74">
        <v>0</v>
      </c>
      <c r="AK74" t="s">
        <v>190</v>
      </c>
      <c r="AL74">
        <v>0</v>
      </c>
      <c r="AM74">
        <v>0.3</v>
      </c>
      <c r="AN74">
        <v>0.23</v>
      </c>
      <c r="AO74">
        <v>0.35</v>
      </c>
      <c r="AP74">
        <v>0.12</v>
      </c>
    </row>
    <row r="75" spans="1:48" x14ac:dyDescent="0.3">
      <c r="A75">
        <v>14</v>
      </c>
      <c r="B75" t="s">
        <v>2</v>
      </c>
      <c r="C75" s="4" t="s">
        <v>1</v>
      </c>
      <c r="D75" t="s">
        <v>113</v>
      </c>
      <c r="F75" s="13">
        <f>AVERAGE(AX61:AX63)</f>
        <v>0.20000000000000004</v>
      </c>
      <c r="G75" s="13">
        <f t="shared" ref="G75:J75" si="11">AVERAGE(AY61:AY63)</f>
        <v>0.5</v>
      </c>
      <c r="H75" s="13">
        <f t="shared" si="11"/>
        <v>0.3</v>
      </c>
      <c r="I75" s="13">
        <f t="shared" si="11"/>
        <v>0</v>
      </c>
      <c r="J75" s="13">
        <f t="shared" si="11"/>
        <v>0</v>
      </c>
      <c r="K75" s="12"/>
      <c r="AE75" t="s">
        <v>191</v>
      </c>
      <c r="AF75">
        <v>0.2</v>
      </c>
      <c r="AG75">
        <v>0</v>
      </c>
      <c r="AH75">
        <v>0</v>
      </c>
      <c r="AI75">
        <v>0.6</v>
      </c>
      <c r="AJ75">
        <v>0.2</v>
      </c>
    </row>
    <row r="76" spans="1:48" x14ac:dyDescent="0.3">
      <c r="AE76" t="s">
        <v>192</v>
      </c>
      <c r="AF76">
        <v>0</v>
      </c>
      <c r="AG76">
        <v>0</v>
      </c>
      <c r="AH76">
        <v>0</v>
      </c>
      <c r="AI76">
        <v>0.4</v>
      </c>
      <c r="AJ76">
        <v>0.6</v>
      </c>
    </row>
  </sheetData>
  <mergeCells count="17">
    <mergeCell ref="A21:L21"/>
    <mergeCell ref="A1:J1"/>
    <mergeCell ref="Q3:S3"/>
    <mergeCell ref="T3:V3"/>
    <mergeCell ref="Q4:S4"/>
    <mergeCell ref="T4:V4"/>
    <mergeCell ref="A41:H41"/>
    <mergeCell ref="Q42:S42"/>
    <mergeCell ref="Q43:S43"/>
    <mergeCell ref="A59:H59"/>
    <mergeCell ref="M59:R59"/>
    <mergeCell ref="S59:X59"/>
    <mergeCell ref="Y59:AD59"/>
    <mergeCell ref="AE59:AJ59"/>
    <mergeCell ref="AK59:AP59"/>
    <mergeCell ref="AQ59:AV59"/>
    <mergeCell ref="AW59:BB59"/>
  </mergeCells>
  <conditionalFormatting sqref="E23:F3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3:J3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7:J38 F25:F36">
    <cfRule type="colorScale" priority="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62:J75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44:I57">
    <cfRule type="colorScale" priority="3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72:I74 I62 I66:I68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72:I74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44:K57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62:K62 I72:K74 I66:K68 K69:K71 K63:K65 K75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62:K62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44:M57">
    <cfRule type="colorScale" priority="4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44:J57">
    <cfRule type="colorScale" priority="3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72:J74 J62 J66:J68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72:J74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44:K57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62:K75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6">
    <cfRule type="colorScale" priority="66">
      <colorScale>
        <cfvo type="min"/>
        <cfvo type="max"/>
        <color rgb="FFFCFCFF"/>
        <color rgb="FFF8696B"/>
      </colorScale>
    </cfRule>
  </conditionalFormatting>
  <conditionalFormatting sqref="L7">
    <cfRule type="colorScale" priority="50">
      <colorScale>
        <cfvo type="min"/>
        <cfvo type="max"/>
        <color rgb="FFFCFCFF"/>
        <color rgb="FFF8696B"/>
      </colorScale>
    </cfRule>
  </conditionalFormatting>
  <conditionalFormatting sqref="L8">
    <cfRule type="colorScale" priority="54">
      <colorScale>
        <cfvo type="min"/>
        <cfvo type="max"/>
        <color rgb="FFFCFCFF"/>
        <color rgb="FFF8696B"/>
      </colorScale>
    </cfRule>
  </conditionalFormatting>
  <conditionalFormatting sqref="L10">
    <cfRule type="colorScale" priority="57">
      <colorScale>
        <cfvo type="min"/>
        <cfvo type="max"/>
        <color rgb="FFFCFCFF"/>
        <color rgb="FFF8696B"/>
      </colorScale>
    </cfRule>
  </conditionalFormatting>
  <conditionalFormatting sqref="L11">
    <cfRule type="colorScale" priority="60">
      <colorScale>
        <cfvo type="min"/>
        <cfvo type="max"/>
        <color rgb="FFFCFCFF"/>
        <color rgb="FFF8696B"/>
      </colorScale>
    </cfRule>
  </conditionalFormatting>
  <conditionalFormatting sqref="L16">
    <cfRule type="colorScale" priority="63">
      <colorScale>
        <cfvo type="min"/>
        <cfvo type="max"/>
        <color rgb="FFFCFCFF"/>
        <color rgb="FFF8696B"/>
      </colorScale>
    </cfRule>
  </conditionalFormatting>
  <conditionalFormatting sqref="L44:L57"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:M18">
    <cfRule type="colorScale" priority="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7:M7">
    <cfRule type="colorScale" priority="5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L8:M8">
    <cfRule type="colorScale" priority="5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L10:M10">
    <cfRule type="colorScale" priority="5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L11:M11">
    <cfRule type="colorScale" priority="6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L6:O6 O7 O5">
    <cfRule type="colorScale" priority="6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L12:O15 L5:M11 L16:M18 F5:J19">
    <cfRule type="colorScale" priority="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6:O16 O17">
    <cfRule type="colorScale" priority="6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M7">
    <cfRule type="colorScale" priority="51">
      <colorScale>
        <cfvo type="min"/>
        <cfvo type="max"/>
        <color rgb="FFFCFCFF"/>
        <color rgb="FFF8696B"/>
      </colorScale>
    </cfRule>
  </conditionalFormatting>
  <conditionalFormatting sqref="M8">
    <cfRule type="colorScale" priority="55">
      <colorScale>
        <cfvo type="min"/>
        <cfvo type="max"/>
        <color rgb="FFFCFCFF"/>
        <color rgb="FFF8696B"/>
      </colorScale>
    </cfRule>
  </conditionalFormatting>
  <conditionalFormatting sqref="M10">
    <cfRule type="colorScale" priority="58">
      <colorScale>
        <cfvo type="min"/>
        <cfvo type="max"/>
        <color rgb="FFFCFCFF"/>
        <color rgb="FFF8696B"/>
      </colorScale>
    </cfRule>
  </conditionalFormatting>
  <conditionalFormatting sqref="M11">
    <cfRule type="colorScale" priority="61">
      <colorScale>
        <cfvo type="min"/>
        <cfvo type="max"/>
        <color rgb="FFFCFCFF"/>
        <color rgb="FFF8696B"/>
      </colorScale>
    </cfRule>
  </conditionalFormatting>
  <conditionalFormatting sqref="M44:M57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6:O6 O7 O5">
    <cfRule type="colorScale" priority="67">
      <colorScale>
        <cfvo type="min"/>
        <cfvo type="max"/>
        <color rgb="FFFCFCFF"/>
        <color rgb="FFF8696B"/>
      </colorScale>
    </cfRule>
  </conditionalFormatting>
  <conditionalFormatting sqref="M16:O16 O17">
    <cfRule type="colorScale" priority="64">
      <colorScale>
        <cfvo type="min"/>
        <cfvo type="max"/>
        <color rgb="FFFCFCFF"/>
        <color rgb="FFF8696B"/>
      </colorScale>
    </cfRule>
  </conditionalFormatting>
  <conditionalFormatting sqref="N44:N57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8:O11">
    <cfRule type="colorScale" priority="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8">
    <cfRule type="colorScale" priority="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:Q18">
    <cfRule type="colorScale" priority="18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7">
      <colorScale>
        <cfvo type="min"/>
        <cfvo type="max"/>
        <color rgb="FFFCFCFF"/>
        <color rgb="FFF8696B"/>
      </colorScale>
    </cfRule>
  </conditionalFormatting>
  <conditionalFormatting sqref="Q19:S19 R5:S18">
    <cfRule type="colorScale" priority="47">
      <colorScale>
        <cfvo type="min"/>
        <cfvo type="max"/>
        <color rgb="FFFCFCFF"/>
        <color rgb="FFF8696B"/>
      </colorScale>
    </cfRule>
    <cfRule type="colorScale" priority="4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Q25:S38">
    <cfRule type="colorScale" priority="43">
      <colorScale>
        <cfvo type="min"/>
        <cfvo type="max"/>
        <color rgb="FFFCFCFF"/>
        <color rgb="FFF8696B"/>
      </colorScale>
    </cfRule>
    <cfRule type="colorScale" priority="4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Q44:S57">
    <cfRule type="colorScale" priority="38">
      <colorScale>
        <cfvo type="min"/>
        <cfvo type="max"/>
        <color rgb="FFFCFCFF"/>
        <color rgb="FFF8696B"/>
      </colorScale>
    </cfRule>
    <cfRule type="colorScale" priority="3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8740157499999996" bottom="0.78740157499999996" header="0.3" footer="0.3"/>
  <pageSetup paperSize="9" orientation="portrait" horizontalDpi="4294967293" verticalDpi="4294967293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Thermal</vt:lpstr>
      <vt:lpstr>englisch</vt:lpstr>
      <vt:lpstr>Thermal_Hauptprozesse</vt:lpstr>
      <vt:lpstr>Thermal_Entwurf (2)</vt:lpstr>
    </vt:vector>
  </TitlesOfParts>
  <Company>Hochschule Offenburg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asandhaa</dc:creator>
  <cp:lastModifiedBy>acuña casal asier</cp:lastModifiedBy>
  <dcterms:created xsi:type="dcterms:W3CDTF">2022-05-05T11:32:51Z</dcterms:created>
  <dcterms:modified xsi:type="dcterms:W3CDTF">2026-03-06T20:10:15Z</dcterms:modified>
</cp:coreProperties>
</file>