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R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X67" i="6"/>
  <c r="Y27" i="6"/>
  <c r="Y119" i="6"/>
  <c r="Y173" i="6" s="1"/>
  <c r="X119" i="6"/>
  <c r="X173" i="6" s="1"/>
  <c r="X26" i="12"/>
  <c r="Y14" i="13"/>
  <c r="X13" i="12"/>
  <c r="X21" i="12"/>
  <c r="X20" i="12"/>
  <c r="X16" i="8"/>
  <c r="Y14" i="12"/>
  <c r="X8" i="12"/>
  <c r="Y6" i="12"/>
  <c r="Y33" i="10"/>
  <c r="X33" i="10"/>
  <c r="X30" i="13"/>
  <c r="Y22" i="13"/>
  <c r="X22" i="13"/>
  <c r="Y21" i="13"/>
  <c r="X21" i="13"/>
  <c r="Y20" i="13"/>
  <c r="Y18" i="13"/>
  <c r="Y17" i="13"/>
  <c r="X17" i="10"/>
  <c r="X12" i="13"/>
  <c r="Y6" i="13"/>
  <c r="X18" i="10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X28" i="23"/>
  <c r="Y26" i="23"/>
  <c r="Y24" i="25"/>
  <c r="Y24" i="28" s="1"/>
  <c r="Y14" i="24"/>
  <c r="X13" i="23"/>
  <c r="Y10" i="24"/>
  <c r="X9" i="23"/>
  <c r="Y7" i="25"/>
  <c r="X24" i="23"/>
  <c r="Y23" i="23"/>
  <c r="X23" i="23"/>
  <c r="Y22" i="23"/>
  <c r="Y20" i="23"/>
  <c r="Y20" i="26" s="1"/>
  <c r="X5" i="21"/>
  <c r="Y22" i="24"/>
  <c r="X18" i="24"/>
  <c r="Y17" i="24"/>
  <c r="X12" i="24"/>
  <c r="Y20" i="21"/>
  <c r="X20" i="21"/>
  <c r="Y18" i="21"/>
  <c r="Y33" i="25"/>
  <c r="Y33" i="28" s="1"/>
  <c r="X33" i="25"/>
  <c r="X33" i="28" s="1"/>
  <c r="Y26" i="25"/>
  <c r="Y26" i="28" s="1"/>
  <c r="X26" i="25"/>
  <c r="X26" i="28" s="1"/>
  <c r="X25" i="25"/>
  <c r="X25" i="28" s="1"/>
  <c r="X24" i="25"/>
  <c r="Y23" i="25"/>
  <c r="X23" i="25"/>
  <c r="Y22" i="25"/>
  <c r="Y19" i="22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8" i="23"/>
  <c r="Y33" i="24"/>
  <c r="Y33" i="27" s="1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Y25" i="25"/>
  <c r="Y25" i="28" s="1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X13" i="29"/>
  <c r="X12" i="29"/>
  <c r="X5" i="30" s="1"/>
  <c r="Y10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7" i="28" l="1"/>
  <c r="Y17" i="10"/>
  <c r="Y18" i="10"/>
  <c r="X7" i="12"/>
  <c r="Y24" i="23"/>
  <c r="Y5" i="10"/>
  <c r="X25" i="23"/>
  <c r="Y24" i="12"/>
  <c r="X25" i="12"/>
  <c r="X7" i="21"/>
  <c r="X23" i="21"/>
  <c r="Y7" i="24"/>
  <c r="Y23" i="10"/>
  <c r="Y10" i="12"/>
  <c r="X8" i="24"/>
  <c r="X8" i="27" s="1"/>
  <c r="X8" i="13"/>
  <c r="X11" i="12"/>
  <c r="Y8" i="13"/>
  <c r="X5" i="10"/>
  <c r="Y8" i="24"/>
  <c r="Y8" i="27" s="1"/>
  <c r="X9" i="21"/>
  <c r="X25" i="24"/>
  <c r="X17" i="24"/>
  <c r="X17" i="27" s="1"/>
  <c r="X25" i="13"/>
  <c r="X12" i="12"/>
  <c r="X8" i="30"/>
  <c r="Y23" i="28"/>
  <c r="X7" i="14"/>
  <c r="Y25" i="13"/>
  <c r="X16" i="7"/>
  <c r="X16" i="12" s="1"/>
  <c r="X31" i="23"/>
  <c r="X31" i="26" s="1"/>
  <c r="X26" i="13"/>
  <c r="Y16" i="7"/>
  <c r="Y26" i="24"/>
  <c r="Y31" i="23"/>
  <c r="Y10" i="13"/>
  <c r="Y26" i="13"/>
  <c r="X8" i="25"/>
  <c r="X27" i="21"/>
  <c r="X32" i="23"/>
  <c r="X11" i="13"/>
  <c r="Y67" i="6"/>
  <c r="Y8" i="25"/>
  <c r="Y8" i="28" s="1"/>
  <c r="Y11" i="24"/>
  <c r="Y11" i="27" s="1"/>
  <c r="Y13" i="29"/>
  <c r="Y5" i="31" s="1"/>
  <c r="Y9" i="25"/>
  <c r="Y9" i="28" s="1"/>
  <c r="Y12" i="24"/>
  <c r="Y21" i="25"/>
  <c r="Y21" i="28" s="1"/>
  <c r="X10" i="14"/>
  <c r="X30" i="14"/>
  <c r="Y12" i="13"/>
  <c r="Y52" i="38"/>
  <c r="X14" i="29"/>
  <c r="X5" i="32" s="1"/>
  <c r="X10" i="25"/>
  <c r="X10" i="28" s="1"/>
  <c r="X13" i="21"/>
  <c r="X31" i="24"/>
  <c r="X17" i="23"/>
  <c r="X22" i="24"/>
  <c r="Y10" i="14"/>
  <c r="X31" i="13"/>
  <c r="Y33" i="12"/>
  <c r="Y17" i="23"/>
  <c r="X31" i="14"/>
  <c r="Y31" i="13"/>
  <c r="X9" i="36"/>
  <c r="Y53" i="38"/>
  <c r="Y31" i="14"/>
  <c r="X32" i="10"/>
  <c r="X21" i="21"/>
  <c r="Y14" i="21"/>
  <c r="Y32" i="21"/>
  <c r="X17" i="13"/>
  <c r="Y45" i="37"/>
  <c r="X15" i="21"/>
  <c r="X33" i="21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17" i="25"/>
  <c r="Y31" i="21"/>
  <c r="Y6" i="23"/>
  <c r="Y6" i="26" s="1"/>
  <c r="Y10" i="23"/>
  <c r="Y10" i="26" s="1"/>
  <c r="Y14" i="23"/>
  <c r="Y14" i="26" s="1"/>
  <c r="Y19" i="19"/>
  <c r="Y5" i="23"/>
  <c r="Y5" i="26" s="1"/>
  <c r="X14" i="36"/>
  <c r="X22" i="25"/>
  <c r="X22" i="28" s="1"/>
  <c r="X17" i="21"/>
  <c r="X32" i="21"/>
  <c r="X7" i="23"/>
  <c r="X7" i="26" s="1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X18" i="27" s="1"/>
  <c r="Y8" i="14"/>
  <c r="Y12" i="12"/>
  <c r="Y18" i="12"/>
  <c r="Y28" i="12"/>
  <c r="X82" i="6"/>
  <c r="X81" i="6" s="1"/>
  <c r="X93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139" i="6" s="1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Y12" i="27"/>
  <c r="X21" i="27"/>
  <c r="X29" i="8"/>
  <c r="X30" i="12"/>
  <c r="X30" i="10"/>
  <c r="X4" i="7"/>
  <c r="X3" i="7" s="1"/>
  <c r="X5" i="12"/>
  <c r="X32" i="14"/>
  <c r="X29" i="11"/>
  <c r="Y20" i="12"/>
  <c r="Y20" i="10"/>
  <c r="X33" i="6"/>
  <c r="X5" i="24"/>
  <c r="X5" i="27" s="1"/>
  <c r="X5" i="23"/>
  <c r="X5" i="26" s="1"/>
  <c r="X30" i="23"/>
  <c r="X30" i="26" s="1"/>
  <c r="X18" i="13"/>
  <c r="X20" i="10"/>
  <c r="X10" i="13"/>
  <c r="X14" i="10"/>
  <c r="X19" i="9"/>
  <c r="X24" i="13"/>
  <c r="X29" i="9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7" i="26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28" i="13"/>
  <c r="Y9" i="13"/>
  <c r="Y16" i="9"/>
  <c r="Y16" i="13" s="1"/>
  <c r="Y9" i="39"/>
  <c r="Y17" i="38"/>
  <c r="Y46" i="37"/>
  <c r="Y17" i="27"/>
  <c r="X6" i="25"/>
  <c r="X6" i="28" s="1"/>
  <c r="Y15" i="21"/>
  <c r="X51" i="39"/>
  <c r="Y32" i="24"/>
  <c r="Y32" i="27" s="1"/>
  <c r="Y16" i="22"/>
  <c r="X6" i="24"/>
  <c r="X24" i="24"/>
  <c r="X30" i="24"/>
  <c r="X6" i="13"/>
  <c r="Y11" i="10"/>
  <c r="Y15" i="10"/>
  <c r="X8" i="14"/>
  <c r="Y22" i="26"/>
  <c r="X13" i="13"/>
  <c r="X9" i="39"/>
  <c r="X46" i="37"/>
  <c r="X21" i="23"/>
  <c r="Y13" i="13"/>
  <c r="X19" i="7"/>
  <c r="X27" i="12" s="1"/>
  <c r="X29" i="7"/>
  <c r="Y19" i="18"/>
  <c r="Y31" i="25"/>
  <c r="Y31" i="28" s="1"/>
  <c r="Y9" i="38"/>
  <c r="Y52" i="37"/>
  <c r="X32" i="24"/>
  <c r="Y51" i="39"/>
  <c r="Y6" i="24"/>
  <c r="Y6" i="27" s="1"/>
  <c r="Y24" i="24"/>
  <c r="Y24" i="27" s="1"/>
  <c r="Y18" i="23"/>
  <c r="Y18" i="26" s="1"/>
  <c r="X16" i="9"/>
  <c r="X16" i="10" s="1"/>
  <c r="X19" i="8"/>
  <c r="Y33" i="6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5" i="28"/>
  <c r="X10" i="21"/>
  <c r="X26" i="21"/>
  <c r="X14" i="23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Y16" i="11"/>
  <c r="Y16" i="14" s="1"/>
  <c r="Y6" i="10"/>
  <c r="X25" i="10"/>
  <c r="X8" i="28"/>
  <c r="X16" i="19"/>
  <c r="X7" i="10"/>
  <c r="Y25" i="10"/>
  <c r="Y19" i="9"/>
  <c r="X12" i="23"/>
  <c r="X12" i="26" s="1"/>
  <c r="Y22" i="21"/>
  <c r="Y13" i="21"/>
  <c r="Y16" i="19"/>
  <c r="X8" i="10"/>
  <c r="X26" i="10"/>
  <c r="X30" i="25"/>
  <c r="X30" i="28" s="1"/>
  <c r="X22" i="27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23" i="28"/>
  <c r="X17" i="38"/>
  <c r="X53" i="37"/>
  <c r="X17" i="39"/>
  <c r="X5" i="39" s="1"/>
  <c r="X47" i="38"/>
  <c r="Y14" i="29"/>
  <c r="X7" i="24"/>
  <c r="X26" i="24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3" i="19" s="1"/>
  <c r="X26" i="23"/>
  <c r="Y9" i="14"/>
  <c r="Y25" i="6"/>
  <c r="Y49" i="37"/>
  <c r="X16" i="29"/>
  <c r="Y9" i="23"/>
  <c r="Y9" i="26" s="1"/>
  <c r="X26" i="6"/>
  <c r="Y10" i="17"/>
  <c r="X33" i="39"/>
  <c r="Y51" i="38"/>
  <c r="X9" i="38"/>
  <c r="X52" i="38"/>
  <c r="X68" i="29"/>
  <c r="X6" i="30" s="1"/>
  <c r="X10" i="23"/>
  <c r="X5" i="31"/>
  <c r="X5" i="29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X6" i="26" s="1"/>
  <c r="Y32" i="14"/>
  <c r="Y29" i="11"/>
  <c r="Y29" i="8"/>
  <c r="Y30" i="12"/>
  <c r="X69" i="29"/>
  <c r="X6" i="31" s="1"/>
  <c r="Y22" i="28"/>
  <c r="Y8" i="26"/>
  <c r="Y24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X22" i="26" s="1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49" i="6"/>
  <c r="X14" i="24"/>
  <c r="Y10" i="27"/>
  <c r="Y14" i="27"/>
  <c r="Y18" i="27"/>
  <c r="Y22" i="27"/>
  <c r="Y26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7" i="28" l="1"/>
  <c r="X32" i="26"/>
  <c r="X31" i="28"/>
  <c r="Y15" i="13"/>
  <c r="X17" i="26"/>
  <c r="X10" i="27"/>
  <c r="X21" i="26"/>
  <c r="X25" i="26"/>
  <c r="X18" i="26"/>
  <c r="X33" i="26"/>
  <c r="X29" i="23"/>
  <c r="X94" i="6"/>
  <c r="Y5" i="29"/>
  <c r="Y16" i="23"/>
  <c r="Y16" i="26" s="1"/>
  <c r="X90" i="6"/>
  <c r="X19" i="10"/>
  <c r="X29" i="26"/>
  <c r="Y5" i="37"/>
  <c r="X12" i="36"/>
  <c r="Y19" i="23"/>
  <c r="Y19" i="26" s="1"/>
  <c r="X29" i="13"/>
  <c r="X29" i="16" s="1"/>
  <c r="X114" i="6"/>
  <c r="X144" i="6" s="1"/>
  <c r="X16" i="14"/>
  <c r="X16" i="17" s="1"/>
  <c r="X14" i="27"/>
  <c r="X32" i="27"/>
  <c r="Y30" i="15"/>
  <c r="X91" i="6"/>
  <c r="Y5" i="39"/>
  <c r="Y37" i="39" s="1"/>
  <c r="X6" i="29"/>
  <c r="X3" i="32" s="1"/>
  <c r="X17" i="28"/>
  <c r="Y10" i="16"/>
  <c r="X14" i="26"/>
  <c r="X163" i="6"/>
  <c r="X26" i="26"/>
  <c r="Y16" i="25"/>
  <c r="Y16" i="28" s="1"/>
  <c r="X22" i="15"/>
  <c r="Y29" i="12"/>
  <c r="Y29" i="15" s="1"/>
  <c r="Y29" i="14"/>
  <c r="Y29" i="17" s="1"/>
  <c r="X15" i="12"/>
  <c r="X15" i="15" s="1"/>
  <c r="Y31" i="6"/>
  <c r="X16" i="13"/>
  <c r="X16" i="16" s="1"/>
  <c r="X31" i="6"/>
  <c r="X4" i="23"/>
  <c r="X4" i="26" s="1"/>
  <c r="X29" i="10"/>
  <c r="X3" i="8"/>
  <c r="X9" i="29"/>
  <c r="X3" i="35" s="1"/>
  <c r="X25" i="27"/>
  <c r="Y27" i="24"/>
  <c r="Y27" i="27" s="1"/>
  <c r="Y24" i="15"/>
  <c r="X13" i="26"/>
  <c r="X11" i="27"/>
  <c r="X92" i="6"/>
  <c r="X10" i="26"/>
  <c r="X27" i="13"/>
  <c r="X27" i="16" s="1"/>
  <c r="X28" i="26"/>
  <c r="X33" i="27"/>
  <c r="X9" i="27"/>
  <c r="X13" i="27"/>
  <c r="X113" i="6"/>
  <c r="X143" i="6" s="1"/>
  <c r="X6" i="27"/>
  <c r="X89" i="6"/>
  <c r="X26" i="27"/>
  <c r="X21" i="28"/>
  <c r="X4" i="12"/>
  <c r="X4" i="15" s="1"/>
  <c r="X7" i="27"/>
  <c r="X30" i="27"/>
  <c r="X24" i="27"/>
  <c r="X4" i="14"/>
  <c r="X4" i="17" s="1"/>
  <c r="X4" i="13"/>
  <c r="X4" i="16" s="1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9" i="6" s="1"/>
  <c r="X12" i="27"/>
  <c r="X24" i="26"/>
  <c r="X58" i="6"/>
  <c r="Y50" i="39"/>
  <c r="Y48" i="38"/>
  <c r="X19" i="14"/>
  <c r="X19" i="17" s="1"/>
  <c r="X31" i="27"/>
  <c r="X16" i="23"/>
  <c r="X16" i="26" s="1"/>
  <c r="X5" i="37"/>
  <c r="X48" i="39"/>
  <c r="Y27" i="23"/>
  <c r="Y27" i="26" s="1"/>
  <c r="X55" i="6"/>
  <c r="X32" i="28"/>
  <c r="X161" i="6"/>
  <c r="Y5" i="16"/>
  <c r="X169" i="6"/>
  <c r="X159" i="6"/>
  <c r="X155" i="6"/>
  <c r="X171" i="6"/>
  <c r="X131" i="6"/>
  <c r="X165" i="6"/>
  <c r="Y14" i="15"/>
  <c r="Y9" i="17"/>
  <c r="Y23" i="16"/>
  <c r="X156" i="6"/>
  <c r="X11" i="29"/>
  <c r="Y147" i="6"/>
  <c r="X168" i="6"/>
  <c r="Y11" i="15"/>
  <c r="Y158" i="6"/>
  <c r="X164" i="6"/>
  <c r="X172" i="6"/>
  <c r="Y12" i="15"/>
  <c r="X170" i="6"/>
  <c r="Y24" i="17"/>
  <c r="Y10" i="15"/>
  <c r="Y6" i="16"/>
  <c r="Y138" i="6"/>
  <c r="Y7" i="15"/>
  <c r="Y16" i="17"/>
  <c r="Y24" i="16"/>
  <c r="Y15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23"/>
  <c r="X3" i="11"/>
  <c r="Y159" i="6"/>
  <c r="Y135" i="6"/>
  <c r="X5" i="38"/>
  <c r="X38" i="38" s="1"/>
  <c r="X44" i="37"/>
  <c r="X3" i="31"/>
  <c r="Y163" i="6"/>
  <c r="Y165" i="6"/>
  <c r="Y3" i="31"/>
  <c r="X158" i="6"/>
  <c r="X125" i="6"/>
  <c r="Y164" i="6"/>
  <c r="X3" i="30"/>
  <c r="X3" i="33"/>
  <c r="Y171" i="6"/>
  <c r="Y162" i="6"/>
  <c r="Y38" i="37"/>
  <c r="Y157" i="6"/>
  <c r="Y124" i="6"/>
  <c r="Y134" i="6"/>
  <c r="Y125" i="6"/>
  <c r="X12" i="15"/>
  <c r="X13" i="16"/>
  <c r="Y169" i="6"/>
  <c r="X35" i="39"/>
  <c r="X16" i="25"/>
  <c r="X16" i="28" s="1"/>
  <c r="X30" i="16"/>
  <c r="X9" i="17"/>
  <c r="X31" i="17"/>
  <c r="X147" i="6"/>
  <c r="X26" i="15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Y123" i="6"/>
  <c r="Y132" i="6"/>
  <c r="Y156" i="6"/>
  <c r="Y16" i="10"/>
  <c r="X38" i="39"/>
  <c r="X37" i="39"/>
  <c r="Y34" i="37" l="1"/>
  <c r="X153" i="6"/>
  <c r="Y39" i="37"/>
  <c r="Y32" i="37"/>
  <c r="X34" i="36"/>
  <c r="Y37" i="37"/>
  <c r="X32" i="36"/>
  <c r="X31" i="36"/>
  <c r="Y33" i="37"/>
  <c r="Y40" i="37"/>
  <c r="Y35" i="37"/>
  <c r="Y36" i="37"/>
  <c r="X3" i="14"/>
  <c r="X34" i="37"/>
  <c r="Y35" i="39"/>
  <c r="X3" i="12"/>
  <c r="X44" i="39"/>
  <c r="Y38" i="39"/>
  <c r="X32" i="37"/>
  <c r="X38" i="37"/>
  <c r="Y44" i="39"/>
  <c r="X39" i="37"/>
  <c r="Y36" i="39"/>
  <c r="X37" i="37"/>
  <c r="X40" i="37"/>
  <c r="Y39" i="38"/>
  <c r="Y44" i="38"/>
  <c r="X36" i="37"/>
  <c r="X35" i="37"/>
  <c r="X3" i="29"/>
  <c r="X167" i="6"/>
  <c r="X33" i="37"/>
  <c r="X3" i="13"/>
  <c r="X3" i="10"/>
  <c r="X154" i="6"/>
  <c r="X121" i="6"/>
  <c r="X31" i="39"/>
  <c r="Y33" i="38"/>
  <c r="Y34" i="38"/>
  <c r="Y35" i="38"/>
  <c r="Y32" i="38"/>
  <c r="Y36" i="38"/>
  <c r="Y40" i="38"/>
  <c r="Y38" i="38"/>
  <c r="Y37" i="38"/>
  <c r="Y3" i="32"/>
  <c r="Y3" i="12"/>
  <c r="Y3" i="33"/>
  <c r="X36" i="38"/>
  <c r="X35" i="38"/>
  <c r="X44" i="38"/>
  <c r="X33" i="38"/>
  <c r="Y121" i="6"/>
  <c r="X3" i="26"/>
  <c r="X39" i="38"/>
  <c r="X37" i="38"/>
  <c r="Y3" i="35"/>
  <c r="X32" i="38"/>
  <c r="Y3" i="14"/>
  <c r="Y3" i="34"/>
  <c r="Y3" i="2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" i="17" l="1"/>
  <c r="Y31" i="39"/>
  <c r="X3" i="15"/>
  <c r="X31" i="37"/>
  <c r="X3" i="16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4" i="29" l="1"/>
  <c r="T7" i="29"/>
  <c r="R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8" i="32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U3" i="34"/>
  <c r="S8" i="34"/>
  <c r="W3" i="33"/>
  <c r="W8" i="32"/>
  <c r="S3" i="31"/>
  <c r="S8" i="30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S3" i="35" l="1"/>
  <c r="U19" i="23"/>
  <c r="R3" i="35"/>
  <c r="W3" i="31"/>
  <c r="T3" i="35"/>
  <c r="U3" i="32"/>
  <c r="G3" i="29"/>
  <c r="S3" i="33"/>
  <c r="N3" i="29"/>
  <c r="T3" i="31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2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29" i="13" l="1"/>
  <c r="K16" i="24"/>
  <c r="J19" i="24"/>
  <c r="K29" i="12"/>
  <c r="E4" i="24"/>
  <c r="O4" i="24"/>
  <c r="P29" i="25"/>
  <c r="P29" i="28" s="1"/>
  <c r="F29" i="23"/>
  <c r="C4" i="24"/>
  <c r="N19" i="24"/>
  <c r="E19" i="14"/>
  <c r="O4" i="23"/>
  <c r="C16" i="13"/>
  <c r="N19" i="23"/>
  <c r="G16" i="12"/>
  <c r="C4" i="13"/>
  <c r="O4" i="12"/>
  <c r="E4" i="23"/>
  <c r="H4" i="12"/>
  <c r="J29" i="13"/>
  <c r="C4" i="12"/>
  <c r="F4" i="24"/>
  <c r="G19" i="24"/>
  <c r="P29" i="12"/>
  <c r="H29" i="23"/>
  <c r="H29" i="26" s="1"/>
  <c r="O29" i="13"/>
  <c r="P19" i="24"/>
  <c r="P19" i="27" s="1"/>
  <c r="J19" i="23"/>
  <c r="J19" i="26" s="1"/>
  <c r="P29" i="13"/>
  <c r="P29" i="16" s="1"/>
  <c r="H29" i="24"/>
  <c r="G19" i="23"/>
  <c r="G19" i="26" s="1"/>
  <c r="O29" i="23"/>
  <c r="O29" i="26" s="1"/>
  <c r="O29" i="12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I29" i="26" s="1"/>
  <c r="C19" i="23"/>
  <c r="C19" i="26" s="1"/>
  <c r="F4" i="12"/>
  <c r="F4" i="15" s="1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N27" i="16" s="1"/>
  <c r="E29" i="23"/>
  <c r="E29" i="26" s="1"/>
  <c r="N19" i="13"/>
  <c r="N19" i="16" s="1"/>
  <c r="M16" i="12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6" s="1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6" s="1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J27" i="26" s="1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D27" i="27" s="1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3" i="8"/>
  <c r="F16" i="15"/>
  <c r="G16" i="21"/>
  <c r="G16" i="27"/>
  <c r="O3" i="19"/>
  <c r="O4" i="26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1"/>
  <c r="D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21" i="4"/>
  <c r="B33" i="4"/>
  <c r="B36" i="4"/>
  <c r="B29" i="4"/>
  <c r="B25" i="4"/>
  <c r="B30" i="4"/>
  <c r="B37" i="4"/>
  <c r="B43" i="4"/>
  <c r="B15" i="4"/>
  <c r="B10" i="4"/>
  <c r="B44" i="4"/>
  <c r="B13" i="4"/>
  <c r="B23" i="4"/>
  <c r="B28" i="4"/>
  <c r="B22" i="4"/>
  <c r="B35" i="4"/>
  <c r="B11" i="4"/>
  <c r="B38" i="4"/>
  <c r="B34" i="4"/>
  <c r="B7" i="4"/>
  <c r="B24" i="4"/>
  <c r="B8" i="4"/>
  <c r="B9" i="4"/>
  <c r="B27" i="4"/>
  <c r="B16" i="4"/>
  <c r="B39" i="4"/>
  <c r="B20" i="4"/>
  <c r="B17" i="4"/>
  <c r="B12" i="4"/>
  <c r="B26" i="4"/>
  <c r="B42" i="4"/>
  <c r="B4" i="4"/>
  <c r="B14" i="4"/>
  <c r="B45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<sst xmlns="http://schemas.openxmlformats.org/spreadsheetml/2006/main" count="2101" uniqueCount="1057">
  <si>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</si>
  <si>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</si>
  <si>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</si>
  <si>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</si>
  <si>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</si>
  <si>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</si>
  <si>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</si>
  <si>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</si>
  <si>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</si>
  <si>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</si>
  <si>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</si>
  <si>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</si>
  <si>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</si>
  <si>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</si>
  <si>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</si>
  <si>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</si>
  <si>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</si>
  <si>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</si>
  <si>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</si>
  <si>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</si>
  <si>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</si>
  <si>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</si>
  <si>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</si>
  <si>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</si>
  <si>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</si>
  <si>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</si>
  <si>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</si>
  <si>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</si>
  <si>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</si>
  <si>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</si>
  <si>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</si>
  <si>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</si>
  <si>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</si>
  <si>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</si>
  <si>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</si>
  <si>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</si>
  <si>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</si>
  <si>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</si>
  <si>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</si>
  <si>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</si>
  <si>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</si>
  <si>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</si>
  <si>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</si>
  <si>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</si>
  <si>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</si>
  <si>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</si>
  <si>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</si>
  <si>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</si>
  <si>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</si>
  <si>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</si>
  <si>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</si>
  <si>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</si>
  <si>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</si>
  <si>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</si>
  <si>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</si>
  <si>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</si>
  <si>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</si>
  <si>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</si>
  <si>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</si>
  <si>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</si>
  <si>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</si>
  <si>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</si>
  <si>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</si>
  <si>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</si>
  <si>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</si>
  <si>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</si>
  <si>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</si>
  <si>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</si>
  <si>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</si>
  <si>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</si>
  <si>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</si>
  <si>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</si>
  <si>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</si>
  <si>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</si>
  <si>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</si>
  <si>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</si>
  <si>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</si>
  <si>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</si>
  <si>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</si>
  <si>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</si>
  <si>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</si>
  <si>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</si>
  <si>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</si>
  <si>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</si>
  <si>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</si>
  <si>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</si>
  <si>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</si>
  <si>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</si>
  <si>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</si>
  <si>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</si>
  <si>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</si>
  <si>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</si>
  <si>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</si>
  <si>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</si>
  <si>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</si>
  <si>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</si>
  <si>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</si>
  <si>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</si>
  <si>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</si>
  <si>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</si>
  <si>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</si>
  <si>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</si>
  <si>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</si>
  <si>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</si>
  <si>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</si>
  <si>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</si>
  <si>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</si>
  <si>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</si>
  <si>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</si>
  <si>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</si>
  <si>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</si>
  <si>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</si>
  <si>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</si>
  <si>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</si>
  <si>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</si>
  <si>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</si>
  <si>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</si>
  <si>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</si>
  <si>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</si>
  <si>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</si>
  <si>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</si>
  <si>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</si>
  <si>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</si>
  <si>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</si>
  <si>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</si>
  <si>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</si>
  <si>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</si>
  <si>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</si>
  <si>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</si>
  <si>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</si>
  <si>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</si>
  <si>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</si>
  <si>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</si>
  <si>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</si>
  <si>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</si>
  <si>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</si>
  <si>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</si>
  <si>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</si>
  <si>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</si>
  <si>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</si>
  <si>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</si>
  <si>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</si>
  <si>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</si>
  <si>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</si>
  <si>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</si>
  <si>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</si>
  <si>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</si>
  <si>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</si>
  <si>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</si>
  <si>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</si>
  <si>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</si>
  <si>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</si>
  <si>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</si>
  <si>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</si>
  <si>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</si>
  <si>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</si>
  <si>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</si>
  <si>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</si>
  <si>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</si>
  <si>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</si>
  <si>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</si>
  <si>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</si>
  <si>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</si>
  <si>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</si>
  <si>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</si>
  <si>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</si>
  <si>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</si>
  <si>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</si>
  <si>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</si>
  <si>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</si>
  <si>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</si>
  <si>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</si>
  <si>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</si>
  <si>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</si>
  <si>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</si>
  <si>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</si>
  <si>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</si>
  <si>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</si>
  <si>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</si>
  <si>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</si>
  <si>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</si>
  <si>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</si>
  <si>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</si>
  <si>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</si>
  <si>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</si>
  <si>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HR</t>
  </si>
  <si>
    <t>Croatia</t>
  </si>
  <si>
    <t>HR - Services sector summary</t>
  </si>
  <si>
    <t>Macro.number.HR.Population</t>
  </si>
  <si>
    <t>Macro.Meuro2015.HR.GDP</t>
  </si>
  <si>
    <t>Macro.Meuro2015.HR.VA</t>
  </si>
  <si>
    <t>Macro.number.HR.Employees</t>
  </si>
  <si>
    <t>NUM.number.HR.Ser.Bld</t>
  </si>
  <si>
    <t>SurfaceArea.ksqm.HR.Ser.Bld</t>
  </si>
  <si>
    <t>NUM.number.HR.Ser.BldNew</t>
  </si>
  <si>
    <t>SurfaceArea.ksqm.HR.Ser.BldNew</t>
  </si>
  <si>
    <t>HDD.Celsius.HR.Actual</t>
  </si>
  <si>
    <t>HDD.Celsius.HR.Mean</t>
  </si>
  <si>
    <t>HDD.ratio.HR.Relative</t>
  </si>
  <si>
    <t>FEC.ktoe.HR.ES.Ser</t>
  </si>
  <si>
    <t>FEC.ktoe.HR.ES.Ser.Solids</t>
  </si>
  <si>
    <t>FEC.ktoe.HR.ES.Ser.LPG</t>
  </si>
  <si>
    <t>FEC.ktoe.HR.ES.Ser.Oil</t>
  </si>
  <si>
    <t>FEC.ktoe.HR.ES.Ser.NG</t>
  </si>
  <si>
    <t>FEC.ktoe.HR.ES.Ser.Biomass_Waste</t>
  </si>
  <si>
    <t>FEC.ktoe.HR.ES.Ser.Biogas</t>
  </si>
  <si>
    <t>FEC.ktoe.HR.ES.Ser.LiqBio</t>
  </si>
  <si>
    <t>FEC.ktoe.HR.ES.Ser.Solar</t>
  </si>
  <si>
    <t>FEC.ktoe.HR.ES.Ser.Geo</t>
  </si>
  <si>
    <t>FEC.ktoe.HR.ES.Ser.Ambient</t>
  </si>
  <si>
    <t>FEC.ktoe.HR.ES.Ser.Steam_Distr</t>
  </si>
  <si>
    <t>FEC.ktoe.HR.ES.Ser.Elec</t>
  </si>
  <si>
    <t>FEC.ktoe.HR.Ser</t>
  </si>
  <si>
    <t>FEC.ktoe.HR.Ser.Bld.Thermal</t>
  </si>
  <si>
    <t>FEC.ktoe.HR.Ser.Bld.Thermal.SH</t>
  </si>
  <si>
    <t>FEC.ktoe.HR.Ser.Bld.Thermal.SC</t>
  </si>
  <si>
    <t>FEC.ktoe.HR.Ser.Bld.Thermal.HW</t>
  </si>
  <si>
    <t>FEC.ktoe.HR.Ser.Bld.Thermal.CA</t>
  </si>
  <si>
    <t>FEC.ktoe.HR.Ser.SEU</t>
  </si>
  <si>
    <t>EMI.ktCO2.HR.ES.Ser</t>
  </si>
  <si>
    <t>EMI.ktCO2.HR.ES.Ser.Solids</t>
  </si>
  <si>
    <t>EMI.ktCO2.HR.ES.Ser.LPG</t>
  </si>
  <si>
    <t>EMI.ktCO2.HR.ES.Ser.Oil</t>
  </si>
  <si>
    <t>EMI.ktCO2.HR.ES.Ser.NG</t>
  </si>
  <si>
    <t>EMI.ktCO2.HR.ES.Ser.Biomass_Waste</t>
  </si>
  <si>
    <t>EMI.ktCO2.HR.ES.Ser.Biogas</t>
  </si>
  <si>
    <t>EMI.ktCO2.HR.ES.Ser.LiqBio</t>
  </si>
  <si>
    <t>EMI.ktCO2.HR.ES.Ser.Solar</t>
  </si>
  <si>
    <t>EMI.ktCO2.HR.ES.Ser.Geo</t>
  </si>
  <si>
    <t>EMI.ktCO2.HR.ES.Ser.Ambient</t>
  </si>
  <si>
    <t>EMI.ktCO2.HR.ES.Ser.Steam_Distr</t>
  </si>
  <si>
    <t>EMI.ktCO2.HR.ES.Ser.Elec</t>
  </si>
  <si>
    <t>EMI.ktCO2.HR.Ser</t>
  </si>
  <si>
    <t>EMI.ktCO2.HR.Ser.Bld.Thermal</t>
  </si>
  <si>
    <t>EMI.ktCO2.HR.Ser.Bld.Thermal.SH</t>
  </si>
  <si>
    <t>EMI.ktCO2.HR.Ser.Bld.Thermal.SC</t>
  </si>
  <si>
    <t>EMI.ktCO2.HR.Ser.Bld.Thermal.HW</t>
  </si>
  <si>
    <t>EMI.ktCO2.HR.Ser.Bld.Thermal.CA</t>
  </si>
  <si>
    <t>EMI.ktCO2.HR.Ser.SEU</t>
  </si>
  <si>
    <t>Eff.ratio.HR.Ser.Bld.Thermal</t>
  </si>
  <si>
    <t>Eff.ratio.HR.Ser.Bld.Thermal.SH</t>
  </si>
  <si>
    <t>Eff.ratio.HR.Ser.Bld.Thermal.SC</t>
  </si>
  <si>
    <t>Eff.ratio.HR.Ser.Bld.Thermal.HW</t>
  </si>
  <si>
    <t>Eff.ratio.HR.Ser.Bld.Thermal.CA</t>
  </si>
  <si>
    <t>HR - Number of buildings</t>
  </si>
  <si>
    <t>NUM.number.HR.Ser.Bld.Thermal</t>
  </si>
  <si>
    <t>NUM.number.HR.Ser.Bld.Thermal.SH</t>
  </si>
  <si>
    <t>NUM.number.HR.Ser.Bld.Thermal.SH.Solids</t>
  </si>
  <si>
    <t>NUM.number.HR.Ser.Bld.Thermal.SH.LPG</t>
  </si>
  <si>
    <t>NUM.number.HR.Ser.Bld.Thermal.SH.Oil</t>
  </si>
  <si>
    <t>NUM.number.HR.Ser.Bld.Thermal.SH.GasHP</t>
  </si>
  <si>
    <t>NUM.number.HR.Ser.Bld.Thermal.SH.GasTH</t>
  </si>
  <si>
    <t>NUM.number.HR.Ser.Bld.Thermal.SH.Biomass</t>
  </si>
  <si>
    <t>NUM.number.HR.Ser.Bld.Thermal.SH.Geo</t>
  </si>
  <si>
    <t>NUM.number.HR.Ser.Bld.Thermal.SH.DistrHeat</t>
  </si>
  <si>
    <t>NUM.number.HR.Ser.Bld.Thermal.SH.AdvElc</t>
  </si>
  <si>
    <t>NUM.number.HR.Ser.Bld.Thermal.SH.ConvElc</t>
  </si>
  <si>
    <t>NUM.number.HR.Ser.Bld.Thermal.SC</t>
  </si>
  <si>
    <t>NUM.number.HR.Ser.Bld.Thermal.SC.GasHP</t>
  </si>
  <si>
    <t>NUM.number.HR.Ser.Bld.Thermal.SC.AC</t>
  </si>
  <si>
    <t>NUM.number.HR.Ser.Bld.Thermal.HW</t>
  </si>
  <si>
    <t>NUM.number.HR.Ser.Bld.Thermal.HW.Solids</t>
  </si>
  <si>
    <t>NUM.number.HR.Ser.Bld.Thermal.HW.LPG</t>
  </si>
  <si>
    <t>NUM.number.HR.Ser.Bld.Thermal.HW.Oil</t>
  </si>
  <si>
    <t>NUM.number.HR.Ser.Bld.Thermal.HW.Gas</t>
  </si>
  <si>
    <t>NUM.number.HR.Ser.Bld.Thermal.HW.Biomass</t>
  </si>
  <si>
    <t>NUM.number.HR.Ser.Bld.Thermal.HW.DistrHeat</t>
  </si>
  <si>
    <t>NUM.number.HR.Ser.Bld.Thermal.HW.Elc</t>
  </si>
  <si>
    <t>NUM.number.HR.Ser.Bld.Thermal.HW.Solar</t>
  </si>
  <si>
    <t>NUM.number.HR.Ser.Bld.Thermal.CA</t>
  </si>
  <si>
    <t>NUM.number.HR.Ser.Bld.Thermal.CA.LPG</t>
  </si>
  <si>
    <t>NUM.number.HR.Ser.Bld.Thermal.CA.Gas</t>
  </si>
  <si>
    <t>NUM.number.HR.Ser.Bld.Thermal.CA.Biomass</t>
  </si>
  <si>
    <t>NUM.number.HR.Ser.Bld.Thermal.CA.Elc</t>
  </si>
  <si>
    <t>HR - Final energy consumption</t>
  </si>
  <si>
    <t>FEC.ktoe.HR.Ser.Bld.Thermal.SH.Solids.Solids</t>
  </si>
  <si>
    <t>FEC.ktoe.HR.Ser.Bld.Thermal.SH.LPG.LPG</t>
  </si>
  <si>
    <t>FEC.ktoe.HR.Ser.Bld.Thermal.SH.Oil.Oil_LiqBio</t>
  </si>
  <si>
    <t>FEC.ktoe.HR.Ser.Bld.Thermal.SH.GasHP.NG_Biogas</t>
  </si>
  <si>
    <t>FEC.ktoe.HR.Ser.Bld.Thermal.SH.GasTH.NG_Biogas</t>
  </si>
  <si>
    <t>FEC.ktoe.HR.Ser.Bld.Thermal.SH.Biomass.Biomass_Waste</t>
  </si>
  <si>
    <t>FEC.ktoe.HR.Ser.Bld.Thermal.SH.Geo.Geo</t>
  </si>
  <si>
    <t>FEC.ktoe.HR.Ser.Bld.Thermal.SH.DistrHeat.Steam_Distr</t>
  </si>
  <si>
    <t>FEC.ktoe.HR.Ser.Bld.Thermal.SH.AdvElc.Elec</t>
  </si>
  <si>
    <t>FEC.ktoe.HR.Ser.Bld.Thermal.SH.ConvElc.Elec</t>
  </si>
  <si>
    <t>FEC.ktoe.HR.Ser.Bld.Thermal.SH.TotalCirculation.Elec</t>
  </si>
  <si>
    <t>FEC.ktoe.HR.Ser.Bld.Thermal.SC.GasHP.NG_Biogas</t>
  </si>
  <si>
    <t>FEC.ktoe.HR.Ser.Bld.Thermal.SC.AC.Elec</t>
  </si>
  <si>
    <t>FEC.ktoe.HR.Ser.Bld.Thermal.HW.Solids.Solids</t>
  </si>
  <si>
    <t>FEC.ktoe.HR.Ser.Bld.Thermal.HW.LPG.LPG</t>
  </si>
  <si>
    <t>FEC.ktoe.HR.Ser.Bld.Thermal.HW.Oil.Oil_LiqBio</t>
  </si>
  <si>
    <t>FEC.ktoe.HR.Ser.Bld.Thermal.HW.Gas.NG_Biogas</t>
  </si>
  <si>
    <t>FEC.ktoe.HR.Ser.Bld.Thermal.HW.Biomass.Biomass_Waste</t>
  </si>
  <si>
    <t>FEC.ktoe.HR.Ser.Bld.Thermal.HW.DistrHeat.Steam_Distr</t>
  </si>
  <si>
    <t>FEC.ktoe.HR.Ser.Bld.Thermal.HW.Elc.Elec</t>
  </si>
  <si>
    <t>FEC.ktoe.HR.Ser.Bld.Thermal.HW.TotalSolar.Solar</t>
  </si>
  <si>
    <t>FEC.ktoe.HR.Ser.Bld.Thermal.CA.LPG</t>
  </si>
  <si>
    <t>FEC.ktoe.HR.Ser.Bld.Thermal.CA.Gas.NG_Biogas</t>
  </si>
  <si>
    <t>FEC.ktoe.HR.Ser.Bld.Thermal.CA.Biomass.Biomass_Waste</t>
  </si>
  <si>
    <t>FEC.ktoe.HR.Ser.Bld.Thermal.CA.Elc.Elec</t>
  </si>
  <si>
    <t>HR - Thermal energy service</t>
  </si>
  <si>
    <t>TES.ktoe.HR.Ser.Bld.Thermal</t>
  </si>
  <si>
    <t>TES.ktoe.HR.Ser.Bld.Thermal.SH</t>
  </si>
  <si>
    <t>TES.ktoe.HR.Ser.Bld.Thermal.SH.Solids.Solids</t>
  </si>
  <si>
    <t>TES.ktoe.HR.Ser.Bld.Thermal.SH.LPG.LPG</t>
  </si>
  <si>
    <t>TES.ktoe.HR.Ser.Bld.Thermal.SH.Oil.Oil_LiqBio</t>
  </si>
  <si>
    <t>TES.ktoe.HR.Ser.Bld.Thermal.SH.GasHP.NG_Biogas</t>
  </si>
  <si>
    <t>TES.ktoe.HR.Ser.Bld.Thermal.SH.GasTH.NG_Biogas</t>
  </si>
  <si>
    <t>TES.ktoe.HR.Ser.Bld.Thermal.SH.Biomass.Biomass_Waste</t>
  </si>
  <si>
    <t>TES.ktoe.HR.Ser.Bld.Thermal.SH.Geo.Geo</t>
  </si>
  <si>
    <t>TES.ktoe.HR.Ser.Bld.Thermal.SH.DistrHeat.Steam_Distr</t>
  </si>
  <si>
    <t>TES.ktoe.HR.Ser.Bld.Thermal.SH.AdvElc.Elec</t>
  </si>
  <si>
    <t>TES.ktoe.HR.Ser.Bld.Thermal.SH.ConvElc.Elec</t>
  </si>
  <si>
    <t>TES.ktoe.HR.Ser.Bld.Thermal.SH.TotalCirculation.Elec</t>
  </si>
  <si>
    <t>TES.ktoe.HR.Ser.Bld.Thermal.SC</t>
  </si>
  <si>
    <t>TES.ktoe.HR.Ser.Bld.Thermal.SC.GasHP.NG_Biogas</t>
  </si>
  <si>
    <t>TES.ktoe.HR.Ser.Bld.Thermal.SC.AC.Elec</t>
  </si>
  <si>
    <t>TES.ktoe.HR.Ser.Bld.Thermal.HW</t>
  </si>
  <si>
    <t>TES.ktoe.HR.Ser.Bld.Thermal.HW.Solids.Solids</t>
  </si>
  <si>
    <t>TES.ktoe.HR.Ser.Bld.Thermal.HW.LPG.LPG</t>
  </si>
  <si>
    <t>TES.ktoe.HR.Ser.Bld.Thermal.HW.Oil.Oil_LiqBio</t>
  </si>
  <si>
    <t>TES.ktoe.HR.Ser.Bld.Thermal.HW.Gas.NG_Biogas</t>
  </si>
  <si>
    <t>TES.ktoe.HR.Ser.Bld.Thermal.HW.Biomass.Biomass_Waste</t>
  </si>
  <si>
    <t>TES.ktoe.HR.Ser.Bld.Thermal.HW.DistrHeat.Steam_Distr</t>
  </si>
  <si>
    <t>TES.ktoe.HR.Ser.Bld.Thermal.HW.Elc.Elec</t>
  </si>
  <si>
    <t>TES.ktoe.HR.Ser.Bld.Thermal.HW.TotalSolar.Solar</t>
  </si>
  <si>
    <t>TES.ktoe.HR.Ser.Bld.Thermal.CA</t>
  </si>
  <si>
    <t>TES.ktoe.HR.Ser.Bld.Thermal.CA.LPG</t>
  </si>
  <si>
    <t>TES.ktoe.HR.Ser.Bld.Thermal.CA.Gas.NG_Biogas</t>
  </si>
  <si>
    <t>TES.ktoe.HR.Ser.Bld.Thermal.CA.Biomass.Biomass_Waste</t>
  </si>
  <si>
    <t>TES.ktoe.HR.Ser.Bld.Thermal.CA.Elc.Elec</t>
  </si>
  <si>
    <t>HR - System efficiency indicator of total stock</t>
  </si>
  <si>
    <t>Eff.ratio.HR.Ser.Bld.Thermal.SH.Solids.Solids</t>
  </si>
  <si>
    <t>Eff.ratio.HR.Ser.Bld.Thermal.SH.LPG.LPG</t>
  </si>
  <si>
    <t>Eff.ratio.HR.Ser.Bld.Thermal.SH.Oil.Oil_LiqBio</t>
  </si>
  <si>
    <t>Eff.ratio.HR.Ser.Bld.Thermal.SH.GasHP.NG_Biogas</t>
  </si>
  <si>
    <t>Eff.ratio.HR.Ser.Bld.Thermal.SH.GasTH.NG_Biogas</t>
  </si>
  <si>
    <t>Eff.ratio.HR.Ser.Bld.Thermal.SH.Biomass.Biomass_Waste</t>
  </si>
  <si>
    <t>Eff.ratio.HR.Ser.Bld.Thermal.SH.Geo.Geo</t>
  </si>
  <si>
    <t>Eff.ratio.HR.Ser.Bld.Thermal.SH.DistrHeat.Steam_Distr</t>
  </si>
  <si>
    <t>Eff.ratio.HR.Ser.Bld.Thermal.SH.AdvElc.Elec</t>
  </si>
  <si>
    <t>Eff.ratio.HR.Ser.Bld.Thermal.SH.ConvElc.Elec</t>
  </si>
  <si>
    <t>Eff.ratio.HR.Ser.Bld.Thermal.SH.TotalCirculation.Elec</t>
  </si>
  <si>
    <t>Eff.ratio.HR.Ser.Bld.Thermal.SC.GasHP.NG_Biogas</t>
  </si>
  <si>
    <t>Eff.ratio.HR.Ser.Bld.Thermal.SC.AC.Elec</t>
  </si>
  <si>
    <t>Eff.ratio.HR.Ser.Bld.Thermal.HW.Solids.Solids</t>
  </si>
  <si>
    <t>Eff.ratio.HR.Ser.Bld.Thermal.HW.LPG.LPG</t>
  </si>
  <si>
    <t>Eff.ratio.HR.Ser.Bld.Thermal.HW.Oil.Oil_LiqBio</t>
  </si>
  <si>
    <t>Eff.ratio.HR.Ser.Bld.Thermal.HW.Gas.NG_Biogas</t>
  </si>
  <si>
    <t>Eff.ratio.HR.Ser.Bld.Thermal.HW.Biomass.Biomass_Waste</t>
  </si>
  <si>
    <t>Eff.ratio.HR.Ser.Bld.Thermal.HW.DistrHeat.Steam_Distr</t>
  </si>
  <si>
    <t>Eff.ratio.HR.Ser.Bld.Thermal.HW.Elc.Elec</t>
  </si>
  <si>
    <t>Eff.ratio.HR.Ser.Bld.Thermal.HW.TotalSolar.Solar</t>
  </si>
  <si>
    <t>Eff.ratio.HR.Ser.Bld.Thermal.CA.LPG</t>
  </si>
  <si>
    <t>Eff.ratio.HR.Ser.Bld.Thermal.CA.Gas.NG_Biogas</t>
  </si>
  <si>
    <t>Eff.ratio.HR.Ser.Bld.Thermal.CA.Biomass.Biomass_Waste</t>
  </si>
  <si>
    <t>Eff.ratio.HR.Ser.Bld.Thermal.CA.Elc.Elec</t>
  </si>
  <si>
    <t>HR - CO2 emissions</t>
  </si>
  <si>
    <t>EMI.ktCO2.HR.Ser.Bld.Thermal.SH.Solids.Solids</t>
  </si>
  <si>
    <t>EMI.ktCO2.HR.Ser.Bld.Thermal.SH.LPG.LPG</t>
  </si>
  <si>
    <t>EMI.ktCO2.HR.Ser.Bld.Thermal.SH.Oil.Oil_LiqBio</t>
  </si>
  <si>
    <t>EMI.ktCO2.HR.Ser.Bld.Thermal.SH.GasHP.NG_Biogas</t>
  </si>
  <si>
    <t>EMI.ktCO2.HR.Ser.Bld.Thermal.SH.GasTH.NG_Biogas</t>
  </si>
  <si>
    <t>EMI.ktCO2.HR.Ser.Bld.Thermal.SH.Biomass.Biomass_Waste</t>
  </si>
  <si>
    <t>EMI.ktCO2.HR.Ser.Bld.Thermal.SH.Geo.Geo</t>
  </si>
  <si>
    <t>EMI.ktCO2.HR.Ser.Bld.Thermal.SH.DistrHeat.Steam_Distr</t>
  </si>
  <si>
    <t>EMI.ktCO2.HR.Ser.Bld.Thermal.SH.AdvElc.Elec</t>
  </si>
  <si>
    <t>EMI.ktCO2.HR.Ser.Bld.Thermal.SH.ConvElc.Elec</t>
  </si>
  <si>
    <t>EMI.ktCO2.HR.Ser.Bld.Thermal.SH.TotalCirculation.Elec</t>
  </si>
  <si>
    <t>EMI.ktCO2.HR.Ser.Bld.Thermal.SC.GasHP.NG_Biogas</t>
  </si>
  <si>
    <t>EMI.ktCO2.HR.Ser.Bld.Thermal.SC.AC.Elec</t>
  </si>
  <si>
    <t>EMI.ktCO2.HR.Ser.Bld.Thermal.HW.Solids.Solids</t>
  </si>
  <si>
    <t>EMI.ktCO2.HR.Ser.Bld.Thermal.HW.LPG.LPG</t>
  </si>
  <si>
    <t>EMI.ktCO2.HR.Ser.Bld.Thermal.HW.Oil.Oil_LiqBio</t>
  </si>
  <si>
    <t>EMI.ktCO2.HR.Ser.Bld.Thermal.HW.Gas.NG_Biogas</t>
  </si>
  <si>
    <t>EMI.ktCO2.HR.Ser.Bld.Thermal.HW.Biomass.Biomass_Waste</t>
  </si>
  <si>
    <t>EMI.ktCO2.HR.Ser.Bld.Thermal.HW.DistrHeat.Steam_Distr</t>
  </si>
  <si>
    <t>EMI.ktCO2.HR.Ser.Bld.Thermal.HW.Elc.Elec</t>
  </si>
  <si>
    <t>EMI.ktCO2.HR.Ser.Bld.Thermal.HW.TotalSolar.Solar</t>
  </si>
  <si>
    <t>EMI.ktCO2.HR.Ser.Bld.Thermal.CA.LPG</t>
  </si>
  <si>
    <t>EMI.ktCO2.HR.Ser.Bld.Thermal.CA.Gas.NG_Biogas</t>
  </si>
  <si>
    <t>EMI.ktCO2.HR.Ser.Bld.Thermal.CA.Biomass.Biomass_Waste</t>
  </si>
  <si>
    <t>EMI.ktCO2.HR.Ser.Bld.Thermal.CA.Elc.Elec</t>
  </si>
  <si>
    <t>HR - Final energy consumption per building</t>
  </si>
  <si>
    <t>FEC_per_building.kWh.HR.Ser.Bld.Thermal</t>
  </si>
  <si>
    <t>FEC_per_building.kWh.HR.Ser.Bld.Thermal.SH</t>
  </si>
  <si>
    <t>FEC_per_building.kWh.HR.Ser.Bld.Thermal.SH.Solids.Solids</t>
  </si>
  <si>
    <t>FEC_per_building.kWh.HR.Ser.Bld.Thermal.SH.LPG.LPG</t>
  </si>
  <si>
    <t>FEC_per_building.kWh.HR.Ser.Bld.Thermal.SH.Oil.Oil_LiqBio</t>
  </si>
  <si>
    <t>FEC_per_building.kWh.HR.Ser.Bld.Thermal.SH.GasHP.NG_Biogas</t>
  </si>
  <si>
    <t>FEC_per_building.kWh.HR.Ser.Bld.Thermal.SH.GasTH.NG_Biogas</t>
  </si>
  <si>
    <t>FEC_per_building.kWh.HR.Ser.Bld.Thermal.SH.Biomass.Biomass_Waste</t>
  </si>
  <si>
    <t>FEC_per_building.kWh.HR.Ser.Bld.Thermal.SH.Geo.Geo</t>
  </si>
  <si>
    <t>FEC_per_building.kWh.HR.Ser.Bld.Thermal.SH.DistrHeat.Steam_Distr</t>
  </si>
  <si>
    <t>FEC_per_building.kWh.HR.Ser.Bld.Thermal.SH.AdvElc.Elec</t>
  </si>
  <si>
    <t>FEC_per_building.kWh.HR.Ser.Bld.Thermal.SH.ConvElc.Elec</t>
  </si>
  <si>
    <t>FEC_per_building.kWh.HR.Ser.Bld.Thermal.SH.TotalCirculation.Elec</t>
  </si>
  <si>
    <t>FEC_per_building.kWh.HR.Ser.Bld.Thermal.SC</t>
  </si>
  <si>
    <t>FEC_per_building.kWh.HR.Ser.Bld.Thermal.SC.GasHP.NG_Biogas</t>
  </si>
  <si>
    <t>FEC_per_building.kWh.HR.Ser.Bld.Thermal.SC.AC.Elec</t>
  </si>
  <si>
    <t>FEC_per_building.kWh.HR.Ser.Bld.Thermal.HW</t>
  </si>
  <si>
    <t>FEC_per_building.kWh.HR.Ser.Bld.Thermal.HW.Solids.Solids</t>
  </si>
  <si>
    <t>FEC_per_building.kWh.HR.Ser.Bld.Thermal.HW.LPG.LPG</t>
  </si>
  <si>
    <t>FEC_per_building.kWh.HR.Ser.Bld.Thermal.HW.Oil.Oil_LiqBio</t>
  </si>
  <si>
    <t>FEC_per_building.kWh.HR.Ser.Bld.Thermal.HW.Gas.NG_Biogas</t>
  </si>
  <si>
    <t>FEC_per_building.kWh.HR.Ser.Bld.Thermal.HW.Biomass.Biomass_Waste</t>
  </si>
  <si>
    <t>FEC_per_building.kWh.HR.Ser.Bld.Thermal.HW.DistrHeat.Steam_Distr</t>
  </si>
  <si>
    <t>FEC_per_building.kWh.HR.Ser.Bld.Thermal.HW.Elc.Elec</t>
  </si>
  <si>
    <t>FEC_per_building.kWh.HR.Ser.Bld.Thermal.HW.TotalSolar.Solar</t>
  </si>
  <si>
    <t>FEC_per_building.kWh.HR.Ser.Bld.Thermal.CA</t>
  </si>
  <si>
    <t>FEC_per_building.kWh.HR.Ser.Bld.Thermal.CA.LPG</t>
  </si>
  <si>
    <t>FEC_per_building.kWh.HR.Ser.Bld.Thermal.CA.Gas.NG_Biogas</t>
  </si>
  <si>
    <t>FEC_per_building.kWh.HR.Ser.Bld.Thermal.CA.Biomass.Biomass_Waste</t>
  </si>
  <si>
    <t>FEC_per_building.kWh.HR.Ser.Bld.Thermal.CA.Elc.Elec</t>
  </si>
  <si>
    <t>HR - Thermal energy service per building</t>
  </si>
  <si>
    <t>TES_per_building.kWh.HR.Ser.Bld.Thermal</t>
  </si>
  <si>
    <t>TES_per_building.kWh.HR.Ser.Bld.Thermal.SH</t>
  </si>
  <si>
    <t>TES_per_building.kWh.HR.Ser.Bld.Thermal.SH.Solids.Solids</t>
  </si>
  <si>
    <t>TES_per_building.kWh.HR.Ser.Bld.Thermal.SH.LPG.LPG</t>
  </si>
  <si>
    <t>TES_per_building.kWh.HR.Ser.Bld.Thermal.SH.Oil.Oil_LiqBio</t>
  </si>
  <si>
    <t>TES_per_building.kWh.HR.Ser.Bld.Thermal.SH.GasHP.NG_Biogas</t>
  </si>
  <si>
    <t>TES_per_building.kWh.HR.Ser.Bld.Thermal.SH.GasTH.NG_Biogas</t>
  </si>
  <si>
    <t>TES_per_building.kWh.HR.Ser.Bld.Thermal.SH.Biomass.Biomass_Waste</t>
  </si>
  <si>
    <t>TES_per_building.kWh.HR.Ser.Bld.Thermal.SH.Geo.Geo</t>
  </si>
  <si>
    <t>TES_per_building.kWh.HR.Ser.Bld.Thermal.SH.DistrHeat.Steam_Distr</t>
  </si>
  <si>
    <t>TES_per_building.kWh.HR.Ser.Bld.Thermal.SH.AdvElc.Elec</t>
  </si>
  <si>
    <t>TES_per_building.kWh.HR.Ser.Bld.Thermal.SH.ConvElc.Elec</t>
  </si>
  <si>
    <t>TES_per_building.kWh.HR.Ser.Bld.Thermal.SH.TotalCirculation.Elec</t>
  </si>
  <si>
    <t>TES_per_building.kWh.HR.Ser.Bld.Thermal.SC</t>
  </si>
  <si>
    <t>TES_per_building.kWh.HR.Ser.Bld.Thermal.SC.GasHP.NG_Biogas</t>
  </si>
  <si>
    <t>TES_per_building.kWh.HR.Ser.Bld.Thermal.SC.AC.Elec</t>
  </si>
  <si>
    <t>TES_per_building.kWh.HR.Ser.Bld.Thermal.HW</t>
  </si>
  <si>
    <t>TES_per_building.kWh.HR.Ser.Bld.Thermal.HW.Solids.Solids</t>
  </si>
  <si>
    <t>TES_per_building.kWh.HR.Ser.Bld.Thermal.HW.LPG.LPG</t>
  </si>
  <si>
    <t>TES_per_building.kWh.HR.Ser.Bld.Thermal.HW.Oil.Oil_LiqBio</t>
  </si>
  <si>
    <t>TES_per_building.kWh.HR.Ser.Bld.Thermal.HW.Gas.NG_Biogas</t>
  </si>
  <si>
    <t>TES_per_building.kWh.HR.Ser.Bld.Thermal.HW.Biomass.Biomass_Waste</t>
  </si>
  <si>
    <t>TES_per_building.kWh.HR.Ser.Bld.Thermal.HW.DistrHeat.Steam_Distr</t>
  </si>
  <si>
    <t>TES_per_building.kWh.HR.Ser.Bld.Thermal.HW.Elc.Elec</t>
  </si>
  <si>
    <t>TES_per_building.kWh.HR.Ser.Bld.Thermal.HW.TotalSolar.Solar</t>
  </si>
  <si>
    <t>TES_per_building.kWh.HR.Ser.Bld.Thermal.CA</t>
  </si>
  <si>
    <t>TES_per_building.kWh.HR.Ser.Bld.Thermal.CA.LPG</t>
  </si>
  <si>
    <t>TES_per_building.kWh.HR.Ser.Bld.Thermal.CA.Gas.NG_Biogas</t>
  </si>
  <si>
    <t>TES_per_building.kWh.HR.Ser.Bld.Thermal.CA.Biomass.Biomass_Waste</t>
  </si>
  <si>
    <t>TES_per_building.kWh.HR.Ser.Bld.Thermal.CA.Elc.Elec</t>
  </si>
  <si>
    <t>HR - CO2 emissions per building</t>
  </si>
  <si>
    <t>EMI_per_building.kgCO2.HR.Ser.Bld.Thermal</t>
  </si>
  <si>
    <t>EMI_per_building.kgCO2.HR.Ser.Bld.Thermal.SH</t>
  </si>
  <si>
    <t>EMI_per_building.kgCO2.HR.Ser.Bld.Thermal.SH.Solids.Solids</t>
  </si>
  <si>
    <t>EMI_per_building.kgCO2.HR.Ser.Bld.Thermal.SH.LPG.LPG</t>
  </si>
  <si>
    <t>EMI_per_building.kgCO2.HR.Ser.Bld.Thermal.SH.Oil.Oil_LiqBio</t>
  </si>
  <si>
    <t>EMI_per_building.kgCO2.HR.Ser.Bld.Thermal.SH.GasHP.NG_Biogas</t>
  </si>
  <si>
    <t>EMI_per_building.kgCO2.HR.Ser.Bld.Thermal.SH.GasTH.NG_Biogas</t>
  </si>
  <si>
    <t>EMI_per_building.kgCO2.HR.Ser.Bld.Thermal.SH.Biomass.Biomass_Waste</t>
  </si>
  <si>
    <t>EMI_per_building.kgCO2.HR.Ser.Bld.Thermal.SH.Geo.Geo</t>
  </si>
  <si>
    <t>EMI_per_building.kgCO2.HR.Ser.Bld.Thermal.SH.DistrHeat.Steam_Distr</t>
  </si>
  <si>
    <t>EMI_per_building.kgCO2.HR.Ser.Bld.Thermal.SH.AdvElc.Elec</t>
  </si>
  <si>
    <t>EMI_per_building.kgCO2.HR.Ser.Bld.Thermal.SH.ConvElc.Elec</t>
  </si>
  <si>
    <t>EMI_per_building.kgCO2.HR.Ser.Bld.Thermal.SH.TotalCirculation.Elec</t>
  </si>
  <si>
    <t>EMI_per_building.kgCO2.HR.Ser.Bld.Thermal.SC</t>
  </si>
  <si>
    <t>EMI_per_building.kgCO2.HR.Ser.Bld.Thermal.SC.GasHP.NG_Biogas</t>
  </si>
  <si>
    <t>EMI_per_building.kgCO2.HR.Ser.Bld.Thermal.SC.AC.Elec</t>
  </si>
  <si>
    <t>EMI_per_building.kgCO2.HR.Ser.Bld.Thermal.HW</t>
  </si>
  <si>
    <t>EMI_per_building.kgCO2.HR.Ser.Bld.Thermal.HW.Solids.Solids</t>
  </si>
  <si>
    <t>EMI_per_building.kgCO2.HR.Ser.Bld.Thermal.HW.LPG.LPG</t>
  </si>
  <si>
    <t>EMI_per_building.kgCO2.HR.Ser.Bld.Thermal.HW.Oil.Oil_LiqBio</t>
  </si>
  <si>
    <t>EMI_per_building.kgCO2.HR.Ser.Bld.Thermal.HW.Gas.NG_Biogas</t>
  </si>
  <si>
    <t>EMI_per_building.kgCO2.HR.Ser.Bld.Thermal.HW.Biomass.Biomass_Waste</t>
  </si>
  <si>
    <t>EMI_per_building.kgCO2.HR.Ser.Bld.Thermal.HW.DistrHeat.Steam_Distr</t>
  </si>
  <si>
    <t>EMI_per_building.kgCO2.HR.Ser.Bld.Thermal.HW.Elc.Elec</t>
  </si>
  <si>
    <t>EMI_per_building.kgCO2.HR.Ser.Bld.Thermal.HW.TotalSolar.Solar</t>
  </si>
  <si>
    <t>EMI_per_building.kgCO2.HR.Ser.Bld.Thermal.CA</t>
  </si>
  <si>
    <t>EMI_per_building.kgCO2.HR.Ser.Bld.Thermal.CA.LPG</t>
  </si>
  <si>
    <t>EMI_per_building.kgCO2.HR.Ser.Bld.Thermal.CA.Gas.NG_Biogas</t>
  </si>
  <si>
    <t>EMI_per_building.kgCO2.HR.Ser.Bld.Thermal.CA.Biomass.Biomass_Waste</t>
  </si>
  <si>
    <t>EMI_per_building.kgCO2.HR.Ser.Bld.Thermal.CA.Elc.Elec</t>
  </si>
  <si>
    <t>HR - Final energy consumption per useful surface area</t>
  </si>
  <si>
    <t>FEC_per_sqm.kWh.HR.Ser.Bld.Thermal</t>
  </si>
  <si>
    <t>FEC_per_sqm.kWh.HR.Ser.Bld.Thermal.SH</t>
  </si>
  <si>
    <t>FEC_per_sqm.kWh.HR.Ser.Bld.Thermal.SH.Solids.Solids</t>
  </si>
  <si>
    <t>FEC_per_sqm.kWh.HR.Ser.Bld.Thermal.SH.LPG.LPG</t>
  </si>
  <si>
    <t>FEC_per_sqm.kWh.HR.Ser.Bld.Thermal.SH.Oil.Oil_LiqBio</t>
  </si>
  <si>
    <t>FEC_per_sqm.kWh.HR.Ser.Bld.Thermal.SH.GasHP.NG_Biogas</t>
  </si>
  <si>
    <t>FEC_per_sqm.kWh.HR.Ser.Bld.Thermal.SH.GasTH.NG_Biogas</t>
  </si>
  <si>
    <t>FEC_per_sqm.kWh.HR.Ser.Bld.Thermal.SH.Biomass.Biomass_Waste</t>
  </si>
  <si>
    <t>FEC_per_sqm.kWh.HR.Ser.Bld.Thermal.SH.Geo.Geo</t>
  </si>
  <si>
    <t>FEC_per_sqm.kWh.HR.Ser.Bld.Thermal.SH.DistrHeat.Steam_Distr</t>
  </si>
  <si>
    <t>FEC_per_sqm.kWh.HR.Ser.Bld.Thermal.SH.AdvElc.Elec</t>
  </si>
  <si>
    <t>FEC_per_sqm.kWh.HR.Ser.Bld.Thermal.SH.ConvElc.Elec</t>
  </si>
  <si>
    <t>FEC_per_sqm.kWh.HR.Ser.Bld.Thermal.SH.TotalCirculation.Elec</t>
  </si>
  <si>
    <t>FEC_per_sqm.kWh.HR.Ser.Bld.Thermal.SC</t>
  </si>
  <si>
    <t>FEC_per_sqm.kWh.HR.Ser.Bld.Thermal.SC.GasHP.NG_Biogas</t>
  </si>
  <si>
    <t>FEC_per_sqm.kWh.HR.Ser.Bld.Thermal.SC.AC.Elec</t>
  </si>
  <si>
    <t>FEC_per_sqm.kWh.HR.Ser.Bld.Thermal.HW</t>
  </si>
  <si>
    <t>FEC_per_sqm.kWh.HR.Ser.Bld.Thermal.HW.Solids.Solids</t>
  </si>
  <si>
    <t>FEC_per_sqm.kWh.HR.Ser.Bld.Thermal.HW.LPG.LPG</t>
  </si>
  <si>
    <t>FEC_per_sqm.kWh.HR.Ser.Bld.Thermal.HW.Oil.Oil_LiqBio</t>
  </si>
  <si>
    <t>FEC_per_sqm.kWh.HR.Ser.Bld.Thermal.HW.Gas.NG_Biogas</t>
  </si>
  <si>
    <t>FEC_per_sqm.kWh.HR.Ser.Bld.Thermal.HW.Biomass.Biomass_Waste</t>
  </si>
  <si>
    <t>FEC_per_sqm.kWh.HR.Ser.Bld.Thermal.HW.DistrHeat.Steam_Distr</t>
  </si>
  <si>
    <t>FEC_per_sqm.kWh.HR.Ser.Bld.Thermal.HW.Elc.Elec</t>
  </si>
  <si>
    <t>FEC_per_sqm.kWh.HR.Ser.Bld.Thermal.HW.TotalSolar.Solar</t>
  </si>
  <si>
    <t>FEC_per_sqm.kWh.HR.Ser.Bld.Thermal.CA</t>
  </si>
  <si>
    <t>FEC_per_sqm.kWh.HR.Ser.Bld.Thermal.CA.LPG</t>
  </si>
  <si>
    <t>FEC_per_sqm.kWh.HR.Ser.Bld.Thermal.CA.Gas.NG_Biogas</t>
  </si>
  <si>
    <t>FEC_per_sqm.kWh.HR.Ser.Bld.Thermal.CA.Biomass.Biomass_Waste</t>
  </si>
  <si>
    <t>FEC_per_sqm.kWh.HR.Ser.Bld.Thermal.CA.Elc.Elec</t>
  </si>
  <si>
    <t>HR - Thermal energy service per useful surface area</t>
  </si>
  <si>
    <t>TES_per_sqm.kWh.HR.Ser.Bld.Thermal</t>
  </si>
  <si>
    <t>TES_per_sqm.kWh.HR.Ser.Bld.Thermal.SH</t>
  </si>
  <si>
    <t>TES_per_sqm.kWh.HR.Ser.Bld.Thermal.SH.Solids.Solids</t>
  </si>
  <si>
    <t>TES_per_sqm.kWh.HR.Ser.Bld.Thermal.SH.LPG.LPG</t>
  </si>
  <si>
    <t>TES_per_sqm.kWh.HR.Ser.Bld.Thermal.SH.Oil.Oil_LiqBio</t>
  </si>
  <si>
    <t>TES_per_sqm.kWh.HR.Ser.Bld.Thermal.SH.GasHP.NG_Biogas</t>
  </si>
  <si>
    <t>TES_per_sqm.kWh.HR.Ser.Bld.Thermal.SH.GasTH.NG_Biogas</t>
  </si>
  <si>
    <t>TES_per_sqm.kWh.HR.Ser.Bld.Thermal.SH.Biomass.Biomass_Waste</t>
  </si>
  <si>
    <t>TES_per_sqm.kWh.HR.Ser.Bld.Thermal.SH.Geo.Geo</t>
  </si>
  <si>
    <t>TES_per_sqm.kWh.HR.Ser.Bld.Thermal.SH.DistrHeat.Steam_Distr</t>
  </si>
  <si>
    <t>TES_per_sqm.kWh.HR.Ser.Bld.Thermal.SH.AdvElc.Elec</t>
  </si>
  <si>
    <t>TES_per_sqm.kWh.HR.Ser.Bld.Thermal.SH.ConvElc.Elec</t>
  </si>
  <si>
    <t>TES_per_sqm.kWh.HR.Ser.Bld.Thermal.SH.TotalCirculation.Elec</t>
  </si>
  <si>
    <t>TES_per_sqm.kWh.HR.Ser.Bld.Thermal.SC</t>
  </si>
  <si>
    <t>TES_per_sqm.kWh.HR.Ser.Bld.Thermal.SC.GasHP.NG_Biogas</t>
  </si>
  <si>
    <t>TES_per_sqm.kWh.HR.Ser.Bld.Thermal.SC.AC.Elec</t>
  </si>
  <si>
    <t>TES_per_sqm.kWh.HR.Ser.Bld.Thermal.HW</t>
  </si>
  <si>
    <t>TES_per_sqm.kWh.HR.Ser.Bld.Thermal.HW.Solids.Solids</t>
  </si>
  <si>
    <t>TES_per_sqm.kWh.HR.Ser.Bld.Thermal.HW.LPG.LPG</t>
  </si>
  <si>
    <t>TES_per_sqm.kWh.HR.Ser.Bld.Thermal.HW.Oil.Oil_LiqBio</t>
  </si>
  <si>
    <t>TES_per_sqm.kWh.HR.Ser.Bld.Thermal.HW.Gas.NG_Biogas</t>
  </si>
  <si>
    <t>TES_per_sqm.kWh.HR.Ser.Bld.Thermal.HW.Biomass.Biomass_Waste</t>
  </si>
  <si>
    <t>TES_per_sqm.kWh.HR.Ser.Bld.Thermal.HW.DistrHeat.Steam_Distr</t>
  </si>
  <si>
    <t>TES_per_sqm.kWh.HR.Ser.Bld.Thermal.HW.Elc.Elec</t>
  </si>
  <si>
    <t>TES_per_sqm.kWh.HR.Ser.Bld.Thermal.HW.TotalSolar.Solar</t>
  </si>
  <si>
    <t>TES_per_sqm.kWh.HR.Ser.Bld.Thermal.CA</t>
  </si>
  <si>
    <t>TES_per_sqm.kWh.HR.Ser.Bld.Thermal.CA.LPG</t>
  </si>
  <si>
    <t>TES_per_sqm.kWh.HR.Ser.Bld.Thermal.CA.Gas.NG_Biogas</t>
  </si>
  <si>
    <t>TES_per_sqm.kWh.HR.Ser.Bld.Thermal.CA.Biomass.Biomass_Waste</t>
  </si>
  <si>
    <t>TES_per_sqm.kWh.HR.Ser.Bld.Thermal.CA.Elc.Elec</t>
  </si>
  <si>
    <t>HR - CO2 emissions per useful surface area</t>
  </si>
  <si>
    <t>EMI_per_sqm.kgCO2.HR.Ser.Bld.Thermal</t>
  </si>
  <si>
    <t>EMI_per_sqm.kgCO2.HR.Ser.Bld.Thermal.SH</t>
  </si>
  <si>
    <t>EMI_per_sqm.kgCO2.HR.Ser.Bld.Thermal.SH.Solids.Solids</t>
  </si>
  <si>
    <t>EMI_per_sqm.kgCO2.HR.Ser.Bld.Thermal.SH.LPG.LPG</t>
  </si>
  <si>
    <t>EMI_per_sqm.kgCO2.HR.Ser.Bld.Thermal.SH.Oil.Oil_LiqBio</t>
  </si>
  <si>
    <t>EMI_per_sqm.kgCO2.HR.Ser.Bld.Thermal.SH.GasHP.NG_Biogas</t>
  </si>
  <si>
    <t>EMI_per_sqm.kgCO2.HR.Ser.Bld.Thermal.SH.GasTH.NG_Biogas</t>
  </si>
  <si>
    <t>EMI_per_sqm.kgCO2.HR.Ser.Bld.Thermal.SH.Biomass.Biomass_Waste</t>
  </si>
  <si>
    <t>EMI_per_sqm.kgCO2.HR.Ser.Bld.Thermal.SH.Geo.Geo</t>
  </si>
  <si>
    <t>EMI_per_sqm.kgCO2.HR.Ser.Bld.Thermal.SH.DistrHeat.Steam_Distr</t>
  </si>
  <si>
    <t>EMI_per_sqm.kgCO2.HR.Ser.Bld.Thermal.SH.AdvElc.Elec</t>
  </si>
  <si>
    <t>EMI_per_sqm.kgCO2.HR.Ser.Bld.Thermal.SH.ConvElc.Elec</t>
  </si>
  <si>
    <t>EMI_per_sqm.kgCO2.HR.Ser.Bld.Thermal.SH.TotalCirculation.Elec</t>
  </si>
  <si>
    <t>EMI_per_sqm.kgCO2.HR.Ser.Bld.Thermal.SC</t>
  </si>
  <si>
    <t>EMI_per_sqm.kgCO2.HR.Ser.Bld.Thermal.SC.GasHP.NG_Biogas</t>
  </si>
  <si>
    <t>EMI_per_sqm.kgCO2.HR.Ser.Bld.Thermal.SC.AC.Elec</t>
  </si>
  <si>
    <t>EMI_per_sqm.kgCO2.HR.Ser.Bld.Thermal.HW</t>
  </si>
  <si>
    <t>EMI_per_sqm.kgCO2.HR.Ser.Bld.Thermal.HW.Solids.Solids</t>
  </si>
  <si>
    <t>EMI_per_sqm.kgCO2.HR.Ser.Bld.Thermal.HW.LPG.LPG</t>
  </si>
  <si>
    <t>EMI_per_sqm.kgCO2.HR.Ser.Bld.Thermal.HW.Oil.Oil_LiqBio</t>
  </si>
  <si>
    <t>EMI_per_sqm.kgCO2.HR.Ser.Bld.Thermal.HW.Gas.NG_Biogas</t>
  </si>
  <si>
    <t>EMI_per_sqm.kgCO2.HR.Ser.Bld.Thermal.HW.Biomass.Biomass_Waste</t>
  </si>
  <si>
    <t>EMI_per_sqm.kgCO2.HR.Ser.Bld.Thermal.HW.DistrHeat.Steam_Distr</t>
  </si>
  <si>
    <t>EMI_per_sqm.kgCO2.HR.Ser.Bld.Thermal.HW.Elc.Elec</t>
  </si>
  <si>
    <t>EMI_per_sqm.kgCO2.HR.Ser.Bld.Thermal.HW.TotalSolar.Solar</t>
  </si>
  <si>
    <t>EMI_per_sqm.kgCO2.HR.Ser.Bld.Thermal.CA</t>
  </si>
  <si>
    <t>EMI_per_sqm.kgCO2.HR.Ser.Bld.Thermal.CA.LPG</t>
  </si>
  <si>
    <t>EMI_per_sqm.kgCO2.HR.Ser.Bld.Thermal.CA.Gas.NG_Biogas</t>
  </si>
  <si>
    <t>EMI_per_sqm.kgCO2.HR.Ser.Bld.Thermal.CA.Biomass.Biomass_Waste</t>
  </si>
  <si>
    <t>EMI_per_sqm.kgCO2.HR.Ser.Bld.Thermal.CA.Elc.Elec</t>
  </si>
  <si>
    <t>HR - Number of new and renovated buildings</t>
  </si>
  <si>
    <t>NUM.number.HR.Ser.BldNew.Thermal</t>
  </si>
  <si>
    <t>NUM.number.HR.Ser.BldNew.Thermal.SH</t>
  </si>
  <si>
    <t>NUM.number.HR.Ser.BldNew.Thermal.SH.Solids</t>
  </si>
  <si>
    <t>NUM.number.HR.Ser.BldNew.Thermal.SH.LPG</t>
  </si>
  <si>
    <t>NUM.number.HR.Ser.BldNew.Thermal.SH.Oil</t>
  </si>
  <si>
    <t>NUM.number.HR.Ser.BldNew.Thermal.SH.GasHP</t>
  </si>
  <si>
    <t>NUM.number.HR.Ser.BldNew.Thermal.SH.GasTH</t>
  </si>
  <si>
    <t>NUM.number.HR.Ser.BldNew.Thermal.SH.Biomass</t>
  </si>
  <si>
    <t>NUM.number.HR.Ser.BldNew.Thermal.SH.Geo</t>
  </si>
  <si>
    <t>NUM.number.HR.Ser.BldNew.Thermal.SH.DistrHeat</t>
  </si>
  <si>
    <t>NUM.number.HR.Ser.BldNew.Thermal.SH.AdvElc</t>
  </si>
  <si>
    <t>NUM.number.HR.Ser.BldNew.Thermal.SH.ConvElc</t>
  </si>
  <si>
    <t>NUM.number.HR.Ser.BldNew.Thermal.SC</t>
  </si>
  <si>
    <t>NUM.number.HR.Ser.BldNew.Thermal.SC.GasHP</t>
  </si>
  <si>
    <t>NUM.number.HR.Ser.BldNew.Thermal.SC.AC</t>
  </si>
  <si>
    <t>NUM.number.HR.Ser.BldNew.Thermal.HW</t>
  </si>
  <si>
    <t>NUM.number.HR.Ser.BldNew.Thermal.HW.Solids</t>
  </si>
  <si>
    <t>NUM.number.HR.Ser.BldNew.Thermal.HW.LPG</t>
  </si>
  <si>
    <t>NUM.number.HR.Ser.BldNew.Thermal.HW.Oil</t>
  </si>
  <si>
    <t>NUM.number.HR.Ser.BldNew.Thermal.HW.Gas</t>
  </si>
  <si>
    <t>NUM.number.HR.Ser.BldNew.Thermal.HW.Biomass</t>
  </si>
  <si>
    <t>NUM.number.HR.Ser.BldNew.Thermal.HW.DistrHeat</t>
  </si>
  <si>
    <t>NUM.number.HR.Ser.BldNew.Thermal.HW.Elc</t>
  </si>
  <si>
    <t>NUM.number.HR.Ser.BldNew.Thermal.HW.Solar</t>
  </si>
  <si>
    <t>NUM.number.HR.Ser.BldNew.Thermal.CA</t>
  </si>
  <si>
    <t>NUM.number.HR.Ser.BldNew.Thermal.CA.LPG</t>
  </si>
  <si>
    <t>NUM.number.HR.Ser.BldNew.Thermal.CA.Gas</t>
  </si>
  <si>
    <t>NUM.number.HR.Ser.BldNew.Thermal.CA.Biomass</t>
  </si>
  <si>
    <t>NUM.number.HR.Ser.BldNew.Thermal.CA.Elc</t>
  </si>
  <si>
    <t>HR - Final energy consumption in new and renovated buildings</t>
  </si>
  <si>
    <t>FEC.ktoe.HR.Ser.BldNew.Thermal</t>
  </si>
  <si>
    <t>FEC.ktoe.HR.Ser.BldNew.Thermal.SH</t>
  </si>
  <si>
    <t>FEC.ktoe.HR.Ser.BldNew.Thermal.SH.Solids.Solids</t>
  </si>
  <si>
    <t>FEC.ktoe.HR.Ser.BldNew.Thermal.SH.LPG.LPG</t>
  </si>
  <si>
    <t>FEC.ktoe.HR.Ser.BldNew.Thermal.SH.Oil.Oil_LiqBio</t>
  </si>
  <si>
    <t>FEC.ktoe.HR.Ser.BldNew.Thermal.SH.GasHP.NG_Biogas</t>
  </si>
  <si>
    <t>FEC.ktoe.HR.Ser.BldNew.Thermal.SH.GasTH.NG_Biogas</t>
  </si>
  <si>
    <t>FEC.ktoe.HR.Ser.BldNew.Thermal.SH.Biomass.Biomass_Waste</t>
  </si>
  <si>
    <t>FEC.ktoe.HR.Ser.BldNew.Thermal.SH.Geo.Geo</t>
  </si>
  <si>
    <t>FEC.ktoe.HR.Ser.BldNew.Thermal.SH.DistrHeat.Steam_Distr</t>
  </si>
  <si>
    <t>FEC.ktoe.HR.Ser.BldNew.Thermal.SH.AdvElc.Elec</t>
  </si>
  <si>
    <t>FEC.ktoe.HR.Ser.BldNew.Thermal.SH.ConvElc.Elec</t>
  </si>
  <si>
    <t>FEC.ktoe.HR.Ser.BldNew.Thermal.SH.TotalCirculation.Elec</t>
  </si>
  <si>
    <t>FEC.ktoe.HR.Ser.BldNew.Thermal.SC</t>
  </si>
  <si>
    <t>FEC.ktoe.HR.Ser.BldNew.Thermal.SC.GasHP.NG_Biogas</t>
  </si>
  <si>
    <t>FEC.ktoe.HR.Ser.BldNew.Thermal.SC.AC.Elec</t>
  </si>
  <si>
    <t>FEC.ktoe.HR.Ser.BldNew.Thermal.HW</t>
  </si>
  <si>
    <t>FEC.ktoe.HR.Ser.BldNew.Thermal.HW.Solids.Solids</t>
  </si>
  <si>
    <t>FEC.ktoe.HR.Ser.BldNew.Thermal.HW.LPG.LPG</t>
  </si>
  <si>
    <t>FEC.ktoe.HR.Ser.BldNew.Thermal.HW.Oil.Oil_LiqBio</t>
  </si>
  <si>
    <t>FEC.ktoe.HR.Ser.BldNew.Thermal.HW.Gas.NG_Biogas</t>
  </si>
  <si>
    <t>FEC.ktoe.HR.Ser.BldNew.Thermal.HW.Biomass.Biomass_Waste</t>
  </si>
  <si>
    <t>FEC.ktoe.HR.Ser.BldNew.Thermal.HW.DistrHeat.Steam_Distr</t>
  </si>
  <si>
    <t>FEC.ktoe.HR.Ser.BldNew.Thermal.HW.Elc.Elec</t>
  </si>
  <si>
    <t>FEC.ktoe.HR.Ser.BldNew.Thermal.HW.TotalSolar.Solar</t>
  </si>
  <si>
    <t>FEC.ktoe.HR.Ser.BldNew.Thermal.CA</t>
  </si>
  <si>
    <t>FEC.ktoe.HR.Ser.BldNew.Thermal.CA.LPG</t>
  </si>
  <si>
    <t>FEC.ktoe.HR.Ser.BldNew.Thermal.CA.Gas.NG_Biogas</t>
  </si>
  <si>
    <t>FEC.ktoe.HR.Ser.BldNew.Thermal.CA.Biomass.Biomass_Waste</t>
  </si>
  <si>
    <t>FEC.ktoe.HR.Ser.BldNew.Thermal.CA.Elc.Elec</t>
  </si>
  <si>
    <t>HR - Thermal energy service in new and renovated buildings</t>
  </si>
  <si>
    <t>TES.ktoe.HR.Ser.BldNew.Thermal</t>
  </si>
  <si>
    <t>TES.ktoe.HR.Ser.BldNew.Thermal.SH</t>
  </si>
  <si>
    <t>TES.ktoe.HR.Ser.BldNew.Thermal.SH.Solids.Solids</t>
  </si>
  <si>
    <t>TES.ktoe.HR.Ser.BldNew.Thermal.SH.LPG.LPG</t>
  </si>
  <si>
    <t>TES.ktoe.HR.Ser.BldNew.Thermal.SH.Oil.Oil_LiqBio</t>
  </si>
  <si>
    <t>TES.ktoe.HR.Ser.BldNew.Thermal.SH.GasHP.NG_Biogas</t>
  </si>
  <si>
    <t>TES.ktoe.HR.Ser.BldNew.Thermal.SH.GasTH.NG_Biogas</t>
  </si>
  <si>
    <t>TES.ktoe.HR.Ser.BldNew.Thermal.SH.Biomass.Biomass_Waste</t>
  </si>
  <si>
    <t>TES.ktoe.HR.Ser.BldNew.Thermal.SH.Geo.Geo</t>
  </si>
  <si>
    <t>TES.ktoe.HR.Ser.BldNew.Thermal.SH.DistrHeat.Steam_Distr</t>
  </si>
  <si>
    <t>TES.ktoe.HR.Ser.BldNew.Thermal.SH.AdvElc.Elec</t>
  </si>
  <si>
    <t>TES.ktoe.HR.Ser.BldNew.Thermal.SH.ConvElc.Elec</t>
  </si>
  <si>
    <t>TES.ktoe.HR.Ser.BldNew.Thermal.SH.TotalCirculation.Elec</t>
  </si>
  <si>
    <t>TES.ktoe.HR.Ser.BldNew.Thermal.SC</t>
  </si>
  <si>
    <t>TES.ktoe.HR.Ser.BldNew.Thermal.SC.GasHP.NG_Biogas</t>
  </si>
  <si>
    <t>TES.ktoe.HR.Ser.BldNew.Thermal.SC.AC.Elec</t>
  </si>
  <si>
    <t>TES.ktoe.HR.Ser.BldNew.Thermal.HW</t>
  </si>
  <si>
    <t>TES.ktoe.HR.Ser.BldNew.Thermal.HW.Solids.Solids</t>
  </si>
  <si>
    <t>TES.ktoe.HR.Ser.BldNew.Thermal.HW.LPG.LPG</t>
  </si>
  <si>
    <t>TES.ktoe.HR.Ser.BldNew.Thermal.HW.Oil.Oil_LiqBio</t>
  </si>
  <si>
    <t>TES.ktoe.HR.Ser.BldNew.Thermal.HW.Gas.NG_Biogas</t>
  </si>
  <si>
    <t>TES.ktoe.HR.Ser.BldNew.Thermal.HW.Biomass.Biomass_Waste</t>
  </si>
  <si>
    <t>TES.ktoe.HR.Ser.BldNew.Thermal.HW.DistrHeat.Steam_Distr</t>
  </si>
  <si>
    <t>TES.ktoe.HR.Ser.BldNew.Thermal.HW.Elc.Elec</t>
  </si>
  <si>
    <t>TES.ktoe.HR.Ser.BldNew.Thermal.HW.TotalSolar.Solar</t>
  </si>
  <si>
    <t>TES.ktoe.HR.Ser.BldNew.Thermal.CA</t>
  </si>
  <si>
    <t>TES.ktoe.HR.Ser.BldNew.Thermal.CA.LPG</t>
  </si>
  <si>
    <t>TES.ktoe.HR.Ser.BldNew.Thermal.CA.Gas.NG_Biogas</t>
  </si>
  <si>
    <t>TES.ktoe.HR.Ser.BldNew.Thermal.CA.Biomass.Biomass_Waste</t>
  </si>
  <si>
    <t>TES.ktoe.HR.Ser.BldNew.Thermal.CA.Elc.Elec</t>
  </si>
  <si>
    <t>HR - System efficiency indicator of new and renovated buildings</t>
  </si>
  <si>
    <t>Eff.ratio.HR.Ser.BldNew.Thermal</t>
  </si>
  <si>
    <t>Eff.ratio.HR.Ser.BldNew.Thermal.SH</t>
  </si>
  <si>
    <t>Eff.ratio.HR.Ser.BldNew.Thermal.SH.Solids.Solids</t>
  </si>
  <si>
    <t>Eff.ratio.HR.Ser.BldNew.Thermal.SH.LPG.LPG</t>
  </si>
  <si>
    <t>Eff.ratio.HR.Ser.BldNew.Thermal.SH.Oil.Oil_LiqBio</t>
  </si>
  <si>
    <t>Eff.ratio.HR.Ser.BldNew.Thermal.SH.GasHP.NG_Biogas</t>
  </si>
  <si>
    <t>Eff.ratio.HR.Ser.BldNew.Thermal.SH.GasTH.NG_Biogas</t>
  </si>
  <si>
    <t>Eff.ratio.HR.Ser.BldNew.Thermal.SH.Biomass.Biomass_Waste</t>
  </si>
  <si>
    <t>Eff.ratio.HR.Ser.BldNew.Thermal.SH.Geo.Geo</t>
  </si>
  <si>
    <t>Eff.ratio.HR.Ser.BldNew.Thermal.SH.DistrHeat.Steam_Distr</t>
  </si>
  <si>
    <t>Eff.ratio.HR.Ser.BldNew.Thermal.SH.AdvElc.Elec</t>
  </si>
  <si>
    <t>Eff.ratio.HR.Ser.BldNew.Thermal.SH.ConvElc.Elec</t>
  </si>
  <si>
    <t>Eff.ratio.HR.Ser.BldNew.Thermal.SH.TotalCirculation.Elec</t>
  </si>
  <si>
    <t>Eff.ratio.HR.Ser.BldNew.Thermal.SC</t>
  </si>
  <si>
    <t>Eff.ratio.HR.Ser.BldNew.Thermal.SC.GasHP.NG_Biogas</t>
  </si>
  <si>
    <t>Eff.ratio.HR.Ser.BldNew.Thermal.SC.AC.Elec</t>
  </si>
  <si>
    <t>Eff.ratio.HR.Ser.BldNew.Thermal.HW</t>
  </si>
  <si>
    <t>Eff.ratio.HR.Ser.BldNew.Thermal.HW.Solids.Solids</t>
  </si>
  <si>
    <t>Eff.ratio.HR.Ser.BldNew.Thermal.HW.LPG.LPG</t>
  </si>
  <si>
    <t>Eff.ratio.HR.Ser.BldNew.Thermal.HW.Oil.Oil_LiqBio</t>
  </si>
  <si>
    <t>Eff.ratio.HR.Ser.BldNew.Thermal.HW.Gas.NG_Biogas</t>
  </si>
  <si>
    <t>Eff.ratio.HR.Ser.BldNew.Thermal.HW.Biomass.Biomass_Waste</t>
  </si>
  <si>
    <t>Eff.ratio.HR.Ser.BldNew.Thermal.HW.DistrHeat.Steam_Distr</t>
  </si>
  <si>
    <t>Eff.ratio.HR.Ser.BldNew.Thermal.HW.Elc.Elec</t>
  </si>
  <si>
    <t>Eff.ratio.HR.Ser.BldNew.Thermal.HW.TotalSolar.Solar</t>
  </si>
  <si>
    <t>Eff.ratio.HR.Ser.BldNew.Thermal.CA</t>
  </si>
  <si>
    <t>Eff.ratio.HR.Ser.BldNew.Thermal.CA.LPG</t>
  </si>
  <si>
    <t>Eff.ratio.HR.Ser.BldNew.Thermal.CA.Gas.NG_Biogas</t>
  </si>
  <si>
    <t>Eff.ratio.HR.Ser.BldNew.Thermal.CA.Biomass.Biomass_Waste</t>
  </si>
  <si>
    <t>Eff.ratio.HR.Ser.BldNew.Thermal.CA.Elc.Elec</t>
  </si>
  <si>
    <t>HR - CO2 emissions in new and renovated buildings</t>
  </si>
  <si>
    <t>EMI.ktCO2.HR.Ser.BldNew.Thermal</t>
  </si>
  <si>
    <t>EMI.ktCO2.HR.Ser.BldNew.Thermal.SH</t>
  </si>
  <si>
    <t>EMI.ktCO2.HR.Ser.BldNew.Thermal.SH.Solids.Solids</t>
  </si>
  <si>
    <t>EMI.ktCO2.HR.Ser.BldNew.Thermal.SH.LPG.LPG</t>
  </si>
  <si>
    <t>EMI.ktCO2.HR.Ser.BldNew.Thermal.SH.Oil.Oil_LiqBio</t>
  </si>
  <si>
    <t>EMI.ktCO2.HR.Ser.BldNew.Thermal.SH.GasHP.NG_Biogas</t>
  </si>
  <si>
    <t>EMI.ktCO2.HR.Ser.BldNew.Thermal.SH.GasTH.NG_Biogas</t>
  </si>
  <si>
    <t>EMI.ktCO2.HR.Ser.BldNew.Thermal.SH.Biomass.Biomass_Waste</t>
  </si>
  <si>
    <t>EMI.ktCO2.HR.Ser.BldNew.Thermal.SH.Geo.Geo</t>
  </si>
  <si>
    <t>EMI.ktCO2.HR.Ser.BldNew.Thermal.SH.DistrHeat.Steam_Distr</t>
  </si>
  <si>
    <t>EMI.ktCO2.HR.Ser.BldNew.Thermal.SH.AdvElc.Elec</t>
  </si>
  <si>
    <t>EMI.ktCO2.HR.Ser.BldNew.Thermal.SH.ConvElc.Elec</t>
  </si>
  <si>
    <t>EMI.ktCO2.HR.Ser.BldNew.Thermal.SH.TotalCirculation.Elec</t>
  </si>
  <si>
    <t>EMI.ktCO2.HR.Ser.BldNew.Thermal.SC</t>
  </si>
  <si>
    <t>EMI.ktCO2.HR.Ser.BldNew.Thermal.SC.GasHP.NG_Biogas</t>
  </si>
  <si>
    <t>EMI.ktCO2.HR.Ser.BldNew.Thermal.SC.AC.Elec</t>
  </si>
  <si>
    <t>EMI.ktCO2.HR.Ser.BldNew.Thermal.HW</t>
  </si>
  <si>
    <t>EMI.ktCO2.HR.Ser.BldNew.Thermal.HW.Solids.Solids</t>
  </si>
  <si>
    <t>EMI.ktCO2.HR.Ser.BldNew.Thermal.HW.LPG.LPG</t>
  </si>
  <si>
    <t>EMI.ktCO2.HR.Ser.BldNew.Thermal.HW.Oil.Oil_LiqBio</t>
  </si>
  <si>
    <t>EMI.ktCO2.HR.Ser.BldNew.Thermal.HW.Gas.NG_Biogas</t>
  </si>
  <si>
    <t>EMI.ktCO2.HR.Ser.BldNew.Thermal.HW.Biomass.Biomass_Waste</t>
  </si>
  <si>
    <t>EMI.ktCO2.HR.Ser.BldNew.Thermal.HW.DistrHeat.Steam_Distr</t>
  </si>
  <si>
    <t>EMI.ktCO2.HR.Ser.BldNew.Thermal.HW.Elc.Elec</t>
  </si>
  <si>
    <t>EMI.ktCO2.HR.Ser.BldNew.Thermal.HW.TotalSolar.Solar</t>
  </si>
  <si>
    <t>EMI.ktCO2.HR.Ser.BldNew.Thermal.CA</t>
  </si>
  <si>
    <t>EMI.ktCO2.HR.Ser.BldNew.Thermal.CA.LPG</t>
  </si>
  <si>
    <t>EMI.ktCO2.HR.Ser.BldNew.Thermal.CA.Gas.NG_Biogas</t>
  </si>
  <si>
    <t>EMI.ktCO2.HR.Ser.BldNew.Thermal.CA.Biomass.Biomass_Waste</t>
  </si>
  <si>
    <t>EMI.ktCO2.HR.Ser.BldNew.Thermal.CA.Elc.Elec</t>
  </si>
  <si>
    <t>HR - Final energy consumption of new and renovated buildings (per building)</t>
  </si>
  <si>
    <t>FEC_per_building.kWh.HR.Ser.BldNew.Thermal</t>
  </si>
  <si>
    <t>FEC_per_building.kWh.HR.Ser.BldNew.Thermal.SH</t>
  </si>
  <si>
    <t>FEC_per_building.kWh.HR.Ser.BldNew.Thermal.SH.Solids.Solids</t>
  </si>
  <si>
    <t>FEC_per_building.kWh.HR.Ser.BldNew.Thermal.SH.LPG.LPG</t>
  </si>
  <si>
    <t>FEC_per_building.kWh.HR.Ser.BldNew.Thermal.SH.Oil.Oil_LiqBio</t>
  </si>
  <si>
    <t>FEC_per_building.kWh.HR.Ser.BldNew.Thermal.SH.GasHP.NG_Biogas</t>
  </si>
  <si>
    <t>FEC_per_building.kWh.HR.Ser.BldNew.Thermal.SH.GasTH.NG_Biogas</t>
  </si>
  <si>
    <t>FEC_per_building.kWh.HR.Ser.BldNew.Thermal.SH.Biomass.Biomass_Waste</t>
  </si>
  <si>
    <t>FEC_per_building.kWh.HR.Ser.BldNew.Thermal.SH.Geo.Geo</t>
  </si>
  <si>
    <t>FEC_per_building.kWh.HR.Ser.BldNew.Thermal.SH.DistrHeat.Steam_Distr</t>
  </si>
  <si>
    <t>FEC_per_building.kWh.HR.Ser.BldNew.Thermal.SH.AdvElc.Elec</t>
  </si>
  <si>
    <t>FEC_per_building.kWh.HR.Ser.BldNew.Thermal.SH.ConvElc.Elec</t>
  </si>
  <si>
    <t>FEC_per_building.kWh.HR.Ser.BldNew.Thermal.SH.TotalCirculation.Elec</t>
  </si>
  <si>
    <t>FEC_per_building.kWh.HR.Ser.BldNew.Thermal.SC</t>
  </si>
  <si>
    <t>FEC_per_building.kWh.HR.Ser.BldNew.Thermal.SC.GasHP.NG_Biogas</t>
  </si>
  <si>
    <t>FEC_per_building.kWh.HR.Ser.BldNew.Thermal.SC.AC.Elec</t>
  </si>
  <si>
    <t>FEC_per_building.kWh.HR.Ser.BldNew.Thermal.HW</t>
  </si>
  <si>
    <t>FEC_per_building.kWh.HR.Ser.BldNew.Thermal.HW.Solids.Solids</t>
  </si>
  <si>
    <t>FEC_per_building.kWh.HR.Ser.BldNew.Thermal.HW.LPG.LPG</t>
  </si>
  <si>
    <t>FEC_per_building.kWh.HR.Ser.BldNew.Thermal.HW.Oil.Oil_LiqBio</t>
  </si>
  <si>
    <t>FEC_per_building.kWh.HR.Ser.BldNew.Thermal.HW.Gas.NG_Biogas</t>
  </si>
  <si>
    <t>FEC_per_building.kWh.HR.Ser.BldNew.Thermal.HW.Biomass.Biomass_Waste</t>
  </si>
  <si>
    <t>FEC_per_building.kWh.HR.Ser.BldNew.Thermal.HW.DistrHeat.Steam_Distr</t>
  </si>
  <si>
    <t>FEC_per_building.kWh.HR.Ser.BldNew.Thermal.HW.Elc.Elec</t>
  </si>
  <si>
    <t>FEC_per_building.kWh.HR.Ser.BldNew.Thermal.HW.TotalSolar.Solar</t>
  </si>
  <si>
    <t>FEC_per_building.kWh.HR.Ser.BldNew.Thermal.CA</t>
  </si>
  <si>
    <t>FEC_per_building.kWh.HR.Ser.BldNew.Thermal.CA.LPG</t>
  </si>
  <si>
    <t>FEC_per_building.kWh.HR.Ser.BldNew.Thermal.CA.Gas.NG_Biogas</t>
  </si>
  <si>
    <t>FEC_per_building.kWh.HR.Ser.BldNew.Thermal.CA.Biomass.Biomass_Waste</t>
  </si>
  <si>
    <t>FEC_per_building.kWh.HR.Ser.BldNew.Thermal.CA.Elc.Elec</t>
  </si>
  <si>
    <t>HR - Thermal energy service of new and renovated buildings (per building)</t>
  </si>
  <si>
    <t>TES_per_building.kWh.HR.Ser.BldNew.Thermal</t>
  </si>
  <si>
    <t>TES_per_building.kWh.HR.Ser.BldNew.Thermal.SH</t>
  </si>
  <si>
    <t>TES_per_building.kWh.HR.Ser.BldNew.Thermal.SH.Solids.Solids</t>
  </si>
  <si>
    <t>TES_per_building.kWh.HR.Ser.BldNew.Thermal.SH.LPG.LPG</t>
  </si>
  <si>
    <t>TES_per_building.kWh.HR.Ser.BldNew.Thermal.SH.Oil.Oil_LiqBio</t>
  </si>
  <si>
    <t>TES_per_building.kWh.HR.Ser.BldNew.Thermal.SH.GasHP.NG_Biogas</t>
  </si>
  <si>
    <t>TES_per_building.kWh.HR.Ser.BldNew.Thermal.SH.GasTH.NG_Biogas</t>
  </si>
  <si>
    <t>TES_per_building.kWh.HR.Ser.BldNew.Thermal.SH.Biomass.Biomass_Waste</t>
  </si>
  <si>
    <t>TES_per_building.kWh.HR.Ser.BldNew.Thermal.SH.Geo.Geo</t>
  </si>
  <si>
    <t>TES_per_building.kWh.HR.Ser.BldNew.Thermal.SH.DistrHeat.Steam_Distr</t>
  </si>
  <si>
    <t>TES_per_building.kWh.HR.Ser.BldNew.Thermal.SH.AdvElc.Elec</t>
  </si>
  <si>
    <t>TES_per_building.kWh.HR.Ser.BldNew.Thermal.SH.ConvElc.Elec</t>
  </si>
  <si>
    <t>TES_per_building.kWh.HR.Ser.BldNew.Thermal.SH.TotalCirculation.Elec</t>
  </si>
  <si>
    <t>TES_per_building.kWh.HR.Ser.BldNew.Thermal.SC</t>
  </si>
  <si>
    <t>TES_per_building.kWh.HR.Ser.BldNew.Thermal.SC.GasHP.NG_Biogas</t>
  </si>
  <si>
    <t>TES_per_building.kWh.HR.Ser.BldNew.Thermal.SC.AC.Elec</t>
  </si>
  <si>
    <t>TES_per_building.kWh.HR.Ser.BldNew.Thermal.HW</t>
  </si>
  <si>
    <t>TES_per_building.kWh.HR.Ser.BldNew.Thermal.HW.Solids.Solids</t>
  </si>
  <si>
    <t>TES_per_building.kWh.HR.Ser.BldNew.Thermal.HW.LPG.LPG</t>
  </si>
  <si>
    <t>TES_per_building.kWh.HR.Ser.BldNew.Thermal.HW.Oil.Oil_LiqBio</t>
  </si>
  <si>
    <t>TES_per_building.kWh.HR.Ser.BldNew.Thermal.HW.Gas.NG_Biogas</t>
  </si>
  <si>
    <t>TES_per_building.kWh.HR.Ser.BldNew.Thermal.HW.Biomass.Biomass_Waste</t>
  </si>
  <si>
    <t>TES_per_building.kWh.HR.Ser.BldNew.Thermal.HW.DistrHeat.Steam_Distr</t>
  </si>
  <si>
    <t>TES_per_building.kWh.HR.Ser.BldNew.Thermal.HW.Elc.Elec</t>
  </si>
  <si>
    <t>TES_per_building.kWh.HR.Ser.BldNew.Thermal.HW.TotalSolar.Solar</t>
  </si>
  <si>
    <t>TES_per_building.kWh.HR.Ser.BldNew.Thermal.CA</t>
  </si>
  <si>
    <t>TES_per_building.kWh.HR.Ser.BldNew.Thermal.CA.LPG</t>
  </si>
  <si>
    <t>TES_per_building.kWh.HR.Ser.BldNew.Thermal.CA.Gas.NG_Biogas</t>
  </si>
  <si>
    <t>TES_per_building.kWh.HR.Ser.BldNew.Thermal.CA.Biomass.Biomass_Waste</t>
  </si>
  <si>
    <t>TES_per_building.kWh.HR.Ser.BldNew.Thermal.CA.Elc.Elec</t>
  </si>
  <si>
    <t>HR - CO2 emissions in new and renovated buildings (per building)</t>
  </si>
  <si>
    <t>EMI_per_building.kgCO2.HR.Ser.BldNew.Thermal</t>
  </si>
  <si>
    <t>EMI_per_building.kgCO2.HR.Ser.BldNew.Thermal.SH</t>
  </si>
  <si>
    <t>EMI_per_building.kgCO2.HR.Ser.BldNew.Thermal.SH.Solids.Solids</t>
  </si>
  <si>
    <t>EMI_per_building.kgCO2.HR.Ser.BldNew.Thermal.SH.LPG.LPG</t>
  </si>
  <si>
    <t>EMI_per_building.kgCO2.HR.Ser.BldNew.Thermal.SH.Oil.Oil_LiqBio</t>
  </si>
  <si>
    <t>EMI_per_building.kgCO2.HR.Ser.BldNew.Thermal.SH.GasHP.NG_Biogas</t>
  </si>
  <si>
    <t>EMI_per_building.kgCO2.HR.Ser.BldNew.Thermal.SH.GasTH.NG_Biogas</t>
  </si>
  <si>
    <t>EMI_per_building.kgCO2.HR.Ser.BldNew.Thermal.SH.Biomass.Biomass_Waste</t>
  </si>
  <si>
    <t>EMI_per_building.kgCO2.HR.Ser.BldNew.Thermal.SH.Geo.Geo</t>
  </si>
  <si>
    <t>EMI_per_building.kgCO2.HR.Ser.BldNew.Thermal.SH.DistrHeat.Steam_Distr</t>
  </si>
  <si>
    <t>EMI_per_building.kgCO2.HR.Ser.BldNew.Thermal.SH.AdvElc.Elec</t>
  </si>
  <si>
    <t>EMI_per_building.kgCO2.HR.Ser.BldNew.Thermal.SH.ConvElc.Elec</t>
  </si>
  <si>
    <t>EMI_per_building.kgCO2.HR.Ser.BldNew.Thermal.SH.TotalCirculation.Elec</t>
  </si>
  <si>
    <t>EMI_per_building.kgCO2.HR.Ser.BldNew.Thermal.SC</t>
  </si>
  <si>
    <t>EMI_per_building.kgCO2.HR.Ser.BldNew.Thermal.SC.GasHP.NG_Biogas</t>
  </si>
  <si>
    <t>EMI_per_building.kgCO2.HR.Ser.BldNew.Thermal.SC.AC.Elec</t>
  </si>
  <si>
    <t>EMI_per_building.kgCO2.HR.Ser.BldNew.Thermal.HW</t>
  </si>
  <si>
    <t>EMI_per_building.kgCO2.HR.Ser.BldNew.Thermal.HW.Solids.Solids</t>
  </si>
  <si>
    <t>EMI_per_building.kgCO2.HR.Ser.BldNew.Thermal.HW.LPG.LPG</t>
  </si>
  <si>
    <t>EMI_per_building.kgCO2.HR.Ser.BldNew.Thermal.HW.Oil.Oil_LiqBio</t>
  </si>
  <si>
    <t>EMI_per_building.kgCO2.HR.Ser.BldNew.Thermal.HW.Gas.NG_Biogas</t>
  </si>
  <si>
    <t>EMI_per_building.kgCO2.HR.Ser.BldNew.Thermal.HW.Biomass.Biomass_Waste</t>
  </si>
  <si>
    <t>EMI_per_building.kgCO2.HR.Ser.BldNew.Thermal.HW.DistrHeat.Steam_Distr</t>
  </si>
  <si>
    <t>EMI_per_building.kgCO2.HR.Ser.BldNew.Thermal.HW.Elc.Elec</t>
  </si>
  <si>
    <t>EMI_per_building.kgCO2.HR.Ser.BldNew.Thermal.HW.TotalSolar.Solar</t>
  </si>
  <si>
    <t>EMI_per_building.kgCO2.HR.Ser.BldNew.Thermal.CA</t>
  </si>
  <si>
    <t>EMI_per_building.kgCO2.HR.Ser.BldNew.Thermal.CA.LPG</t>
  </si>
  <si>
    <t>EMI_per_building.kgCO2.HR.Ser.BldNew.Thermal.CA.Gas.NG_Biogas</t>
  </si>
  <si>
    <t>EMI_per_building.kgCO2.HR.Ser.BldNew.Thermal.CA.Biomass.Biomass_Waste</t>
  </si>
  <si>
    <t>EMI_per_building.kgCO2.HR.Ser.BldNew.Thermal.CA.Elc.Elec</t>
  </si>
  <si>
    <t>HR - Final energy consumption in new and renovated buildings per surface area</t>
  </si>
  <si>
    <t>FEC_per_sqm.kWh.HR.Ser.BldNew.Thermal</t>
  </si>
  <si>
    <t>FEC_per_sqm.kWh.HR.Ser.BldNew.Thermal.SH</t>
  </si>
  <si>
    <t>FEC_per_sqm.kWh.HR.Ser.BldNew.Thermal.SH.Solids.Solids</t>
  </si>
  <si>
    <t>FEC_per_sqm.kWh.HR.Ser.BldNew.Thermal.SH.LPG.LPG</t>
  </si>
  <si>
    <t>FEC_per_sqm.kWh.HR.Ser.BldNew.Thermal.SH.Oil.Oil_LiqBio</t>
  </si>
  <si>
    <t>FEC_per_sqm.kWh.HR.Ser.BldNew.Thermal.SH.GasHP.NG_Biogas</t>
  </si>
  <si>
    <t>FEC_per_sqm.kWh.HR.Ser.BldNew.Thermal.SH.GasTH.NG_Biogas</t>
  </si>
  <si>
    <t>FEC_per_sqm.kWh.HR.Ser.BldNew.Thermal.SH.Biomass.Biomass_Waste</t>
  </si>
  <si>
    <t>FEC_per_sqm.kWh.HR.Ser.BldNew.Thermal.SH.Geo.Geo</t>
  </si>
  <si>
    <t>FEC_per_sqm.kWh.HR.Ser.BldNew.Thermal.SH.DistrHeat.Steam_Distr</t>
  </si>
  <si>
    <t>FEC_per_sqm.kWh.HR.Ser.BldNew.Thermal.SH.AdvElc.Elec</t>
  </si>
  <si>
    <t>FEC_per_sqm.kWh.HR.Ser.BldNew.Thermal.SH.ConvElc.Elec</t>
  </si>
  <si>
    <t>FEC_per_sqm.kWh.HR.Ser.BldNew.Thermal.SH.TotalCirculation.Elec</t>
  </si>
  <si>
    <t>FEC_per_sqm.kWh.HR.Ser.BldNew.Thermal.SC</t>
  </si>
  <si>
    <t>FEC_per_sqm.kWh.HR.Ser.BldNew.Thermal.SC.GasHP.NG_Biogas</t>
  </si>
  <si>
    <t>FEC_per_sqm.kWh.HR.Ser.BldNew.Thermal.SC.AC.Elec</t>
  </si>
  <si>
    <t>FEC_per_sqm.kWh.HR.Ser.BldNew.Thermal.HW</t>
  </si>
  <si>
    <t>FEC_per_sqm.kWh.HR.Ser.BldNew.Thermal.HW.Solids.Solids</t>
  </si>
  <si>
    <t>FEC_per_sqm.kWh.HR.Ser.BldNew.Thermal.HW.LPG.LPG</t>
  </si>
  <si>
    <t>FEC_per_sqm.kWh.HR.Ser.BldNew.Thermal.HW.Oil.Oil_LiqBio</t>
  </si>
  <si>
    <t>FEC_per_sqm.kWh.HR.Ser.BldNew.Thermal.HW.Gas.NG_Biogas</t>
  </si>
  <si>
    <t>FEC_per_sqm.kWh.HR.Ser.BldNew.Thermal.HW.Biomass.Biomass_Waste</t>
  </si>
  <si>
    <t>FEC_per_sqm.kWh.HR.Ser.BldNew.Thermal.HW.DistrHeat.Steam_Distr</t>
  </si>
  <si>
    <t>FEC_per_sqm.kWh.HR.Ser.BldNew.Thermal.HW.Elc.Elec</t>
  </si>
  <si>
    <t>FEC_per_sqm.kWh.HR.Ser.BldNew.Thermal.HW.TotalSolar.Solar</t>
  </si>
  <si>
    <t>FEC_per_sqm.kWh.HR.Ser.BldNew.Thermal.CA</t>
  </si>
  <si>
    <t>FEC_per_sqm.kWh.HR.Ser.BldNew.Thermal.CA.LPG</t>
  </si>
  <si>
    <t>FEC_per_sqm.kWh.HR.Ser.BldNew.Thermal.CA.Gas.NG_Biogas</t>
  </si>
  <si>
    <t>FEC_per_sqm.kWh.HR.Ser.BldNew.Thermal.CA.Biomass.Biomass_Waste</t>
  </si>
  <si>
    <t>FEC_per_sqm.kWh.HR.Ser.BldNew.Thermal.CA.Elc.Elec</t>
  </si>
  <si>
    <t>HR - Thermal energy service in new and renovated buildings per surface area</t>
  </si>
  <si>
    <t>TES_per_sqm.kWh.HR.Ser.BldNew.Thermal</t>
  </si>
  <si>
    <t>TES_per_sqm.kWh.HR.Ser.BldNew.Thermal.SH</t>
  </si>
  <si>
    <t>TES_per_sqm.kWh.HR.Ser.BldNew.Thermal.SH.Solids.Solids</t>
  </si>
  <si>
    <t>TES_per_sqm.kWh.HR.Ser.BldNew.Thermal.SH.LPG.LPG</t>
  </si>
  <si>
    <t>TES_per_sqm.kWh.HR.Ser.BldNew.Thermal.SH.Oil.Oil_LiqBio</t>
  </si>
  <si>
    <t>TES_per_sqm.kWh.HR.Ser.BldNew.Thermal.SH.GasHP.NG_Biogas</t>
  </si>
  <si>
    <t>TES_per_sqm.kWh.HR.Ser.BldNew.Thermal.SH.GasTH.NG_Biogas</t>
  </si>
  <si>
    <t>TES_per_sqm.kWh.HR.Ser.BldNew.Thermal.SH.Biomass.Biomass_Waste</t>
  </si>
  <si>
    <t>TES_per_sqm.kWh.HR.Ser.BldNew.Thermal.SH.Geo.Geo</t>
  </si>
  <si>
    <t>TES_per_sqm.kWh.HR.Ser.BldNew.Thermal.SH.DistrHeat.Steam_Distr</t>
  </si>
  <si>
    <t>TES_per_sqm.kWh.HR.Ser.BldNew.Thermal.SH.AdvElc.Elec</t>
  </si>
  <si>
    <t>TES_per_sqm.kWh.HR.Ser.BldNew.Thermal.SH.ConvElc.Elec</t>
  </si>
  <si>
    <t>TES_per_sqm.kWh.HR.Ser.BldNew.Thermal.SH.TotalCirculation.Elec</t>
  </si>
  <si>
    <t>TES_per_sqm.kWh.HR.Ser.BldNew.Thermal.SC</t>
  </si>
  <si>
    <t>TES_per_sqm.kWh.HR.Ser.BldNew.Thermal.SC.GasHP.NG_Biogas</t>
  </si>
  <si>
    <t>TES_per_sqm.kWh.HR.Ser.BldNew.Thermal.SC.AC.Elec</t>
  </si>
  <si>
    <t>TES_per_sqm.kWh.HR.Ser.BldNew.Thermal.HW</t>
  </si>
  <si>
    <t>TES_per_sqm.kWh.HR.Ser.BldNew.Thermal.HW.Solids.Solids</t>
  </si>
  <si>
    <t>TES_per_sqm.kWh.HR.Ser.BldNew.Thermal.HW.LPG.LPG</t>
  </si>
  <si>
    <t>TES_per_sqm.kWh.HR.Ser.BldNew.Thermal.HW.Oil.Oil_LiqBio</t>
  </si>
  <si>
    <t>TES_per_sqm.kWh.HR.Ser.BldNew.Thermal.HW.Gas.NG_Biogas</t>
  </si>
  <si>
    <t>TES_per_sqm.kWh.HR.Ser.BldNew.Thermal.HW.Biomass.Biomass_Waste</t>
  </si>
  <si>
    <t>TES_per_sqm.kWh.HR.Ser.BldNew.Thermal.HW.DistrHeat.Steam_Distr</t>
  </si>
  <si>
    <t>TES_per_sqm.kWh.HR.Ser.BldNew.Thermal.HW.Elc.Elec</t>
  </si>
  <si>
    <t>TES_per_sqm.kWh.HR.Ser.BldNew.Thermal.HW.TotalSolar.Solar</t>
  </si>
  <si>
    <t>TES_per_sqm.kWh.HR.Ser.BldNew.Thermal.CA</t>
  </si>
  <si>
    <t>TES_per_sqm.kWh.HR.Ser.BldNew.Thermal.CA.LPG</t>
  </si>
  <si>
    <t>TES_per_sqm.kWh.HR.Ser.BldNew.Thermal.CA.Gas.NG_Biogas</t>
  </si>
  <si>
    <t>TES_per_sqm.kWh.HR.Ser.BldNew.Thermal.CA.Biomass.Biomass_Waste</t>
  </si>
  <si>
    <t>TES_per_sqm.kWh.HR.Ser.BldNew.Thermal.CA.Elc.Elec</t>
  </si>
  <si>
    <t>HR - CO2 emissions in new and renovated buildings per surface area</t>
  </si>
  <si>
    <t>EMI_per_sqm.kgCO2.HR.Ser.BldNew.Thermal</t>
  </si>
  <si>
    <t>EMI_per_sqm.kgCO2.HR.Ser.BldNew.Thermal.SH</t>
  </si>
  <si>
    <t>EMI_per_sqm.kgCO2.HR.Ser.BldNew.Thermal.SH.Solids.Solids</t>
  </si>
  <si>
    <t>EMI_per_sqm.kgCO2.HR.Ser.BldNew.Thermal.SH.LPG.LPG</t>
  </si>
  <si>
    <t>EMI_per_sqm.kgCO2.HR.Ser.BldNew.Thermal.SH.Oil.Oil_LiqBio</t>
  </si>
  <si>
    <t>EMI_per_sqm.kgCO2.HR.Ser.BldNew.Thermal.SH.GasHP.NG_Biogas</t>
  </si>
  <si>
    <t>EMI_per_sqm.kgCO2.HR.Ser.BldNew.Thermal.SH.GasTH.NG_Biogas</t>
  </si>
  <si>
    <t>EMI_per_sqm.kgCO2.HR.Ser.BldNew.Thermal.SH.Biomass.Biomass_Waste</t>
  </si>
  <si>
    <t>EMI_per_sqm.kgCO2.HR.Ser.BldNew.Thermal.SH.Geo.Geo</t>
  </si>
  <si>
    <t>EMI_per_sqm.kgCO2.HR.Ser.BldNew.Thermal.SH.DistrHeat.Steam_Distr</t>
  </si>
  <si>
    <t>EMI_per_sqm.kgCO2.HR.Ser.BldNew.Thermal.SH.AdvElc.Elec</t>
  </si>
  <si>
    <t>EMI_per_sqm.kgCO2.HR.Ser.BldNew.Thermal.SH.ConvElc.Elec</t>
  </si>
  <si>
    <t>EMI_per_sqm.kgCO2.HR.Ser.BldNew.Thermal.SH.TotalCirculation.Elec</t>
  </si>
  <si>
    <t>EMI_per_sqm.kgCO2.HR.Ser.BldNew.Thermal.SC</t>
  </si>
  <si>
    <t>EMI_per_sqm.kgCO2.HR.Ser.BldNew.Thermal.SC.GasHP.NG_Biogas</t>
  </si>
  <si>
    <t>EMI_per_sqm.kgCO2.HR.Ser.BldNew.Thermal.SC.AC.Elec</t>
  </si>
  <si>
    <t>EMI_per_sqm.kgCO2.HR.Ser.BldNew.Thermal.HW</t>
  </si>
  <si>
    <t>EMI_per_sqm.kgCO2.HR.Ser.BldNew.Thermal.HW.Solids.Solids</t>
  </si>
  <si>
    <t>EMI_per_sqm.kgCO2.HR.Ser.BldNew.Thermal.HW.LPG.LPG</t>
  </si>
  <si>
    <t>EMI_per_sqm.kgCO2.HR.Ser.BldNew.Thermal.HW.Oil.Oil_LiqBio</t>
  </si>
  <si>
    <t>EMI_per_sqm.kgCO2.HR.Ser.BldNew.Thermal.HW.Gas.NG_Biogas</t>
  </si>
  <si>
    <t>EMI_per_sqm.kgCO2.HR.Ser.BldNew.Thermal.HW.Biomass.Biomass_Waste</t>
  </si>
  <si>
    <t>EMI_per_sqm.kgCO2.HR.Ser.BldNew.Thermal.HW.DistrHeat.Steam_Distr</t>
  </si>
  <si>
    <t>EMI_per_sqm.kgCO2.HR.Ser.BldNew.Thermal.HW.Elc.Elec</t>
  </si>
  <si>
    <t>EMI_per_sqm.kgCO2.HR.Ser.BldNew.Thermal.HW.TotalSolar.Solar</t>
  </si>
  <si>
    <t>EMI_per_sqm.kgCO2.HR.Ser.BldNew.Thermal.CA</t>
  </si>
  <si>
    <t>EMI_per_sqm.kgCO2.HR.Ser.BldNew.Thermal.CA.LPG</t>
  </si>
  <si>
    <t>EMI_per_sqm.kgCO2.HR.Ser.BldNew.Thermal.CA.Gas.NG_Biogas</t>
  </si>
  <si>
    <t>EMI_per_sqm.kgCO2.HR.Ser.BldNew.Thermal.CA.Biomass.Biomass_Waste</t>
  </si>
  <si>
    <t>EMI_per_sqm.kgCO2.HR.Ser.BldNew.Thermal.CA.Elc.Elec</t>
  </si>
  <si>
    <t>FEC.ktoe.HR.Ser.SEU.VE</t>
  </si>
  <si>
    <t>FEC.ktoe.HR.Ser.SEU.SL</t>
  </si>
  <si>
    <t>FEC.ktoe.HR.Ser.SEU.BL</t>
  </si>
  <si>
    <t>FEC.ktoe.HR.Ser.SEU.CR</t>
  </si>
  <si>
    <t>FEC.ktoe.HR.Ser.SEU.BT</t>
  </si>
  <si>
    <t>FEC.ktoe.HR.Ser.SEU.IT</t>
  </si>
  <si>
    <t>Size.MW.HR.Ser.SEU</t>
  </si>
  <si>
    <t>Size.MW.HR.Ser.SEU.VE</t>
  </si>
  <si>
    <t>Size.MW.HR.Ser.SEU.SL</t>
  </si>
  <si>
    <t>Size.MW.HR.Ser.SEU.BL</t>
  </si>
  <si>
    <t>Size.MW.HR.Ser.SEU.CR</t>
  </si>
  <si>
    <t>Size.MW.HR.Ser.SEU.BT</t>
  </si>
  <si>
    <t>Size.MW.HR.Ser.SEU.IT</t>
  </si>
  <si>
    <t>NUM.Msqm.HR.Ser.SEU.VE</t>
  </si>
  <si>
    <t>NUM.k.HR.Ser.SEU.SL</t>
  </si>
  <si>
    <t>NUM.M.HR.Ser.SEU.BL</t>
  </si>
  <si>
    <t>NUM.k.HR.Ser.SEU.CR</t>
  </si>
  <si>
    <t>NUM.Msqm.HR.Ser.SEU.BT</t>
  </si>
  <si>
    <t>NUM.k.HR.Ser.SEU.IT</t>
  </si>
  <si>
    <t>NUM.Msqm.HR.Ser.SEUnew.VE</t>
  </si>
  <si>
    <t>NUM.k.HR.Ser.SEUnew.SL</t>
  </si>
  <si>
    <t>NUM.M.HR.Ser.SEUnew.BL</t>
  </si>
  <si>
    <t>NUM.k.HR.Ser.SEUnew.CR</t>
  </si>
  <si>
    <t>NUM.Msqm.HR.Ser.SEUnew.BT</t>
  </si>
  <si>
    <t>NUM.k.HR.Ser.SEUnew.IT</t>
  </si>
  <si>
    <t>NUM.Msqm.HR.Ser.SEUrepl.VE</t>
  </si>
  <si>
    <t>NUM.k.HR.Ser.SEUrepl.SL</t>
  </si>
  <si>
    <t>NUM.M.HR.Ser.SEUrepl.BL</t>
  </si>
  <si>
    <t>NUM.k.HR.Ser.SEUrepl.CR</t>
  </si>
  <si>
    <t>NUM.Msqm.HR.Ser.SEUrepl.BT</t>
  </si>
  <si>
    <t>NUM.k.HR.Ser.SEUrepl.IT</t>
  </si>
  <si>
    <t>Op.hours.HR.Ser.SEU.VE</t>
  </si>
  <si>
    <t>Op.hours.HR.Ser.SEU.SL</t>
  </si>
  <si>
    <t>Op.hours.HR.Ser.SEU.BL</t>
  </si>
  <si>
    <t>Op.hours.HR.Ser.SEU.CR</t>
  </si>
  <si>
    <t>Op.hours.HR.Ser.SEU.BT</t>
  </si>
  <si>
    <t>Op.hours.HR.Ser.SEU.IT</t>
  </si>
  <si>
    <t>Size_per_appl.W.HR.Ser.SEU.VE</t>
  </si>
  <si>
    <t>Size_per_appl.W.HR.Ser.SEU.SL</t>
  </si>
  <si>
    <t>Size_per_appl.W.HR.Ser.SEU.BL</t>
  </si>
  <si>
    <t>Size_per_appl.W.HR.Ser.SEU.CR</t>
  </si>
  <si>
    <t>Size_per_appl.W.HR.Ser.SEU.BT</t>
  </si>
  <si>
    <t>Size_per_appl.W.HR.Ser.SEU.IT</t>
  </si>
  <si>
    <t>Size_per_appl.W.HR.Ser.SEUnew.VE</t>
  </si>
  <si>
    <t>Size_per_appl.W.HR.Ser.SEUnew.SL</t>
  </si>
  <si>
    <t>Size_per_appl.W.HR.Ser.SEUnew.BL</t>
  </si>
  <si>
    <t>Size_per_appl.W.HR.Ser.SEUnew.CR</t>
  </si>
  <si>
    <t>Size_per_appl.W.HR.Ser.SEUnew.BT</t>
  </si>
  <si>
    <t>Size_per_appl.W.HR.Ser.SEUnew.IT</t>
  </si>
  <si>
    <t>NUM.sqm_per_building.HR.Ser.SEU.VE</t>
  </si>
  <si>
    <t>NUM.number_per_capita.HR.Ser.SEU.SL</t>
  </si>
  <si>
    <t>NUM.number_per_building.HR.Ser.SEU.BL</t>
  </si>
  <si>
    <t>NUM.number_per_capita.HR.Ser.SEU.CR</t>
  </si>
  <si>
    <t>NUM.sqm_per_building.HR.Ser.SEU.BT</t>
  </si>
  <si>
    <t>NUM.number_per_capita.HR.Ser.SEU.IT</t>
  </si>
  <si>
    <t>Lumens_per_sqm.lumen.HR.Ser.SEU.BL</t>
  </si>
  <si>
    <t>FEC.ktoe.HR.Ser.SEU.IT.DataCenters</t>
  </si>
  <si>
    <t>HR - Services / specific electric uses</t>
  </si>
  <si>
    <t>HR - Ventilation and others</t>
  </si>
  <si>
    <t>HR - Street lighting</t>
  </si>
  <si>
    <t>HR - Building lighting</t>
  </si>
  <si>
    <t>HR - Commercial refrigeration</t>
  </si>
  <si>
    <t>HR - Miscellaneous building technologies</t>
  </si>
  <si>
    <t>HR - ICT and multimedia</t>
  </si>
  <si>
    <t>HR - Agriculture, forestry and fishing</t>
  </si>
  <si>
    <t>VA.Meuro2015.Meuro2023.HR.AGR.AGR</t>
  </si>
  <si>
    <t>OUTPUT.index.index.HR.AGR.AGR</t>
  </si>
  <si>
    <t>CAP.index.index.HR.AGR.AGR</t>
  </si>
  <si>
    <t>NEWCAP.index.index.HR.AGR.AGR</t>
  </si>
  <si>
    <t>CAPOUT.index.HR.AGR.AGR</t>
  </si>
  <si>
    <t>CAPIDLE.index.HR.AGR.AGR</t>
  </si>
  <si>
    <t>FEC.ktoe.HR.ES.AGR</t>
  </si>
  <si>
    <t>FEC.ktoe.HR.ES.AGR.Solids</t>
  </si>
  <si>
    <t>FEC.ktoe.HR.ES.AGR.LPG</t>
  </si>
  <si>
    <t>FEC.ktoe.HR.ES.AGR.Diesel</t>
  </si>
  <si>
    <t>FEC.ktoe.HR.ES.AGR.RFO</t>
  </si>
  <si>
    <t>FEC.ktoe.HR.ES.AGR.NG</t>
  </si>
  <si>
    <t>FEC.ktoe.HR.ES.AGR.Biomass_Waste</t>
  </si>
  <si>
    <t>FEC.ktoe.HR.ES.AGR.Biogas</t>
  </si>
  <si>
    <t>FEC.ktoe.HR.ES.AGR.LiqBio</t>
  </si>
  <si>
    <t>FEC.ktoe.HR.ES.AGR.Solar</t>
  </si>
  <si>
    <t>FEC.ktoe.HR.ES.AGR.Geo</t>
  </si>
  <si>
    <t>FEC.ktoe.HR.ES.AGR.Ambient</t>
  </si>
  <si>
    <t>FEC.ktoe.HR.ES.AGR.Steam_Distr</t>
  </si>
  <si>
    <t>FEC.ktoe.HR.ES.AGR.Elec</t>
  </si>
  <si>
    <t>HR - Agriculture, forestry and fishing / final energy consumption</t>
  </si>
  <si>
    <t>FEC.ktoe.ktoe.HR.AGR.AGR.LIGHT.GENERIC.ELEC</t>
  </si>
  <si>
    <t>FEC.ktoe.ktoe.HR.AGR.AGR.FANS.GENERIC.ELEC</t>
  </si>
  <si>
    <t>FEC.ktoe.ktoe.HR.AGR.AGR.MOTOR.GENERIC.ELEC</t>
  </si>
  <si>
    <t>FEC.ktoe.ktoe.HR.AGR.AGR.LOW_ENTH.THERM.DIESEL_LIQBIO</t>
  </si>
  <si>
    <t>FEC.ktoe.ktoe.HR.AGR.AGR.LOW_ENTH.THERM.NG_BIOGAS</t>
  </si>
  <si>
    <t>FEC.ktoe.ktoe.HR.AGR.AGR.LOW_ENTH.THERM.SOLAR_GEO</t>
  </si>
  <si>
    <t>FEC.ktoe.ktoe.HR.AGR.AGR.LOW_ENTH.HP.AMBIENT</t>
  </si>
  <si>
    <t>FEC.ktoe.ktoe.HR.AGR.AGR.LOW_ENTH.THERM.STEAM_DISTR</t>
  </si>
  <si>
    <t>FEC.ktoe.ktoe.HR.AGR.AGR.LOW_ENTH.THERM.ELEC</t>
  </si>
  <si>
    <t>FEC.ktoe.ktoe.HR.AGR.AGR.FARM_DRIVES.MECH.DIESEL_LIQBIO</t>
  </si>
  <si>
    <t>FEC.ktoe.ktoe.HR.AGR.AGR.HEAT_USE.THERM.SOLIDS</t>
  </si>
  <si>
    <t>FEC.ktoe.ktoe.HR.AGR.AGR.HEAT_USE.THERM.LPG</t>
  </si>
  <si>
    <t>FEC.ktoe.ktoe.HR.AGR.AGR.HEAT_USE.THERM.DIESEL_LIQBIO</t>
  </si>
  <si>
    <t>FEC.ktoe.ktoe.HR.AGR.AGR.HEAT_USE.THERM.RFO</t>
  </si>
  <si>
    <t>FEC.ktoe.ktoe.HR.AGR.AGR.HEAT_USE.THERM.NG_BIOGAS</t>
  </si>
  <si>
    <t>FEC.ktoe.ktoe.HR.AGR.AGR.HEAT_USE.THERM.BIOMASS_WASTE</t>
  </si>
  <si>
    <t>FEC.ktoe.ktoe.HR.AGR.AGR.HEAT_USE.THERM.SOLAR_GEO</t>
  </si>
  <si>
    <t>FEC.ktoe.ktoe.HR.AGR.AGR.FARM_PUMP.MECH.DIESEL_LIQBIO</t>
  </si>
  <si>
    <t>FEC.ktoe.ktoe.HR.AGR.AGR.FARM_PUMP_ELEC.MECH.ELEC</t>
  </si>
  <si>
    <t>FEC.ktoe.ktoe.HR.AGR.AGR.GENERIC.MECH.ELEC</t>
  </si>
  <si>
    <t>HR - Agriculture, forestry and fishing / useful energy demand</t>
  </si>
  <si>
    <t>UED.ktoe.ktoe.HR.AGR.AGR.LIGHT.GENERIC.ELEC</t>
  </si>
  <si>
    <t>UED.ktoe.ktoe.HR.AGR.AGR.FANS.GENERIC.ELEC</t>
  </si>
  <si>
    <t>UED.ktoe.ktoe.HR.AGR.AGR.MOTOR.GENERIC.ELEC</t>
  </si>
  <si>
    <t>UED.ktoe.ktoe.HR.AGR.AGR.LOW_ENTH.THERM.DIESEL_LIQBIO</t>
  </si>
  <si>
    <t>UED.ktoe.ktoe.HR.AGR.AGR.LOW_ENTH.THERM.NG_BIOGAS</t>
  </si>
  <si>
    <t>UED.ktoe.ktoe.HR.AGR.AGR.LOW_ENTH.THERM.SOLAR_GEO</t>
  </si>
  <si>
    <t>UED.ktoe.ktoe.HR.AGR.AGR.LOW_ENTH.HP.AMBIENT</t>
  </si>
  <si>
    <t>UED.ktoe.ktoe.HR.AGR.AGR.LOW_ENTH.THERM.STEAM_DISTR</t>
  </si>
  <si>
    <t>UED.ktoe.ktoe.HR.AGR.AGR.LOW_ENTH.THERM.ELEC</t>
  </si>
  <si>
    <t>UED.ktoe.ktoe.HR.AGR.AGR.FARM_DRIVES.MECH.DIESEL_LIQBIO</t>
  </si>
  <si>
    <t>UED.ktoe.ktoe.HR.AGR.AGR.HEAT_USE.THERM.SOLIDS</t>
  </si>
  <si>
    <t>UED.ktoe.ktoe.HR.AGR.AGR.HEAT_USE.THERM.LPG</t>
  </si>
  <si>
    <t>UED.ktoe.ktoe.HR.AGR.AGR.HEAT_USE.THERM.DIESEL_LIQBIO</t>
  </si>
  <si>
    <t>UED.ktoe.ktoe.HR.AGR.AGR.HEAT_USE.THERM.RFO</t>
  </si>
  <si>
    <t>UED.ktoe.ktoe.HR.AGR.AGR.HEAT_USE.THERM.NG_BIOGAS</t>
  </si>
  <si>
    <t>UED.ktoe.ktoe.HR.AGR.AGR.HEAT_USE.THERM.BIOMASS_WASTE</t>
  </si>
  <si>
    <t>UED.ktoe.ktoe.HR.AGR.AGR.HEAT_USE.THERM.SOLAR_GEO</t>
  </si>
  <si>
    <t>UED.ktoe.ktoe.HR.AGR.AGR.FARM_PUMP.MECH.DIESEL_LIQBIO</t>
  </si>
  <si>
    <t>UED.ktoe.ktoe.HR.AGR.AGR.FARM_PUMP_ELEC.MECH.ELEC</t>
  </si>
  <si>
    <t>UED.ktoe.ktoe.HR.AGR.AGR.GENERIC.MECH.ELEC</t>
  </si>
  <si>
    <t>HR - Agriculture, forestry and fishing / CO2 emissions</t>
  </si>
  <si>
    <t>FUEL_EMI.ktCO2.ktCO2.HR.AGR.AGR.LIGHT.GENERIC.ELEC</t>
  </si>
  <si>
    <t>FUEL_EMI.ktCO2.ktCO2.HR.AGR.AGR.FANS.GENERIC.ELEC</t>
  </si>
  <si>
    <t>FUEL_EMI.ktCO2.ktCO2.HR.AGR.AGR.MOTOR.GENERIC.ELEC</t>
  </si>
  <si>
    <t>FUEL_EMI.ktCO2.ktCO2.HR.AGR.AGR.LOW_ENTH.THERM.DIESEL_LIQBIO</t>
  </si>
  <si>
    <t>FUEL_EMI.ktCO2.ktCO2.HR.AGR.AGR.LOW_ENTH.THERM.NG_BIOGAS</t>
  </si>
  <si>
    <t>FUEL_EMI.ktCO2.ktCO2.HR.AGR.AGR.LOW_ENTH.THERM.SOLAR_GEO</t>
  </si>
  <si>
    <t>FUEL_EMI.ktCO2.ktCO2.HR.AGR.AGR.LOW_ENTH.HP.AMBIENT</t>
  </si>
  <si>
    <t>FUEL_EMI.ktCO2.ktCO2.HR.AGR.AGR.LOW_ENTH.THERM.STEAM_DISTR</t>
  </si>
  <si>
    <t>FUEL_EMI.ktCO2.ktCO2.HR.AGR.AGR.LOW_ENTH.THERM.ELEC</t>
  </si>
  <si>
    <t>FUEL_EMI.ktCO2.ktCO2.HR.AGR.AGR.FARM_DRIVES.MECH.DIESEL_LIQBIO</t>
  </si>
  <si>
    <t>FUEL_EMI.ktCO2.ktCO2.HR.AGR.AGR.HEAT_USE.THERM.SOLIDS</t>
  </si>
  <si>
    <t>FUEL_EMI.ktCO2.ktCO2.HR.AGR.AGR.HEAT_USE.THERM.LPG</t>
  </si>
  <si>
    <t>FUEL_EMI.ktCO2.ktCO2.HR.AGR.AGR.HEAT_USE.THERM.DIESEL_LIQBIO</t>
  </si>
  <si>
    <t>FUEL_EMI.ktCO2.ktCO2.HR.AGR.AGR.HEAT_USE.THERM.RFO</t>
  </si>
  <si>
    <t>FUEL_EMI.ktCO2.ktCO2.HR.AGR.AGR.HEAT_USE.THERM.NG_BIOGAS</t>
  </si>
  <si>
    <t>FUEL_EMI.ktCO2.ktCO2.HR.AGR.AGR.HEAT_USE.THERM.BIOMASS_WASTE</t>
  </si>
  <si>
    <t>FUEL_EMI.ktCO2.ktCO2.HR.AGR.AGR.HEAT_USE.THERM.SOLAR_GEO</t>
  </si>
  <si>
    <t>FUEL_EMI.ktCO2.ktCO2.HR.AGR.AGR.FARM_PUMP.MECH.DIESEL_LIQBIO</t>
  </si>
  <si>
    <t>FUEL_EMI.ktCO2.ktCO2.HR.AGR.AGR.FARM_PUMP_ELEC.MECH.ELEC</t>
  </si>
  <si>
    <t>FUEL_EMI.ktCO2.ktCO2.HR.AGR.AGR.GENERIC.MECH.ELEC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</si>
</sst>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45967.475624999999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4497735</v>
      </c>
      <c r="C3" s="34">
        <v>4295406</v>
      </c>
      <c r="D3" s="34">
        <v>4305494</v>
      </c>
      <c r="E3" s="34">
        <v>4305384</v>
      </c>
      <c r="F3" s="34">
        <v>4305725</v>
      </c>
      <c r="G3" s="34">
        <v>4310861</v>
      </c>
      <c r="H3" s="34">
        <v>4312487</v>
      </c>
      <c r="I3" s="34">
        <v>4313530</v>
      </c>
      <c r="J3" s="34">
        <v>4311967</v>
      </c>
      <c r="K3" s="34">
        <v>4309796</v>
      </c>
      <c r="L3" s="34">
        <v>4302847</v>
      </c>
      <c r="M3" s="34">
        <v>4289857</v>
      </c>
      <c r="N3" s="34">
        <v>4275984</v>
      </c>
      <c r="O3" s="34">
        <v>4247803</v>
      </c>
      <c r="P3" s="34">
        <v>4217632</v>
      </c>
      <c r="Q3" s="34">
        <v>4180915</v>
      </c>
      <c r="R3" s="34">
        <v>4131115</v>
      </c>
      <c r="S3" s="34">
        <v>4078769</v>
      </c>
      <c r="T3" s="34">
        <v>4014341</v>
      </c>
      <c r="U3" s="34">
        <v>3968676</v>
      </c>
      <c r="V3" s="34">
        <v>3933511</v>
      </c>
      <c r="W3" s="34">
        <v>3893026</v>
      </c>
      <c r="X3" s="34">
        <v>3862305</v>
      </c>
      <c r="Y3" s="34">
        <v>3850894</v>
      </c>
      <c r="DA3" s="88" t="s">
        <v>188</v>
      </c>
    </row>
    <row r="4" spans="1:105" ht="12" customHeight="1" x14ac:dyDescent="0.25">
      <c r="A4" s="35" t="s">
        <v>178</v>
      </c>
      <c r="B4" s="36">
        <v>46792.260226438833</v>
      </c>
      <c r="C4" s="36">
        <v>48247.597226912047</v>
      </c>
      <c r="D4" s="36">
        <v>51048.165109005</v>
      </c>
      <c r="E4" s="36">
        <v>53890.194581915195</v>
      </c>
      <c r="F4" s="36">
        <v>56137.711000715964</v>
      </c>
      <c r="G4" s="36">
        <v>58567.030320121223</v>
      </c>
      <c r="H4" s="36">
        <v>61543.468727085245</v>
      </c>
      <c r="I4" s="36">
        <v>64650.723939864183</v>
      </c>
      <c r="J4" s="36">
        <v>65922.789382411836</v>
      </c>
      <c r="K4" s="36">
        <v>61431.24744770299</v>
      </c>
      <c r="L4" s="36">
        <v>60611.792295577121</v>
      </c>
      <c r="M4" s="36">
        <v>60552.128830586662</v>
      </c>
      <c r="N4" s="36">
        <v>59187.602553000455</v>
      </c>
      <c r="O4" s="36">
        <v>59113.052791082904</v>
      </c>
      <c r="P4" s="36">
        <v>58783.966248682293</v>
      </c>
      <c r="Q4" s="36">
        <v>60149.612027000003</v>
      </c>
      <c r="R4" s="36">
        <v>62231.182814123051</v>
      </c>
      <c r="S4" s="36">
        <v>64273.141342150629</v>
      </c>
      <c r="T4" s="36">
        <v>66140.300919637812</v>
      </c>
      <c r="U4" s="36">
        <v>68190.962686001236</v>
      </c>
      <c r="V4" s="36">
        <v>62523.1004885371</v>
      </c>
      <c r="W4" s="36">
        <v>70420.503294508249</v>
      </c>
      <c r="X4" s="36">
        <v>75553.289797074016</v>
      </c>
      <c r="Y4" s="36">
        <v>78060.399999999994</v>
      </c>
      <c r="DA4" s="89" t="s">
        <v>189</v>
      </c>
    </row>
    <row r="5" spans="1:105" ht="12" customHeight="1" x14ac:dyDescent="0.25">
      <c r="A5" s="35" t="s">
        <v>179</v>
      </c>
      <c r="B5" s="36">
        <v>26002.628941149378</v>
      </c>
      <c r="C5" s="36">
        <v>27017.770085833261</v>
      </c>
      <c r="D5" s="36">
        <v>28899.624968951899</v>
      </c>
      <c r="E5" s="36">
        <v>31015.957217144667</v>
      </c>
      <c r="F5" s="36">
        <v>31759.862003639355</v>
      </c>
      <c r="G5" s="36">
        <v>33674.102029039772</v>
      </c>
      <c r="H5" s="36">
        <v>35264.029372596604</v>
      </c>
      <c r="I5" s="36">
        <v>37610.16073165711</v>
      </c>
      <c r="J5" s="36">
        <v>38400.811579851463</v>
      </c>
      <c r="K5" s="36">
        <v>36374.741574983003</v>
      </c>
      <c r="L5" s="36">
        <v>36717.149687881611</v>
      </c>
      <c r="M5" s="36">
        <v>36812.193242537927</v>
      </c>
      <c r="N5" s="36">
        <v>35926.883931760814</v>
      </c>
      <c r="O5" s="36">
        <v>35845.149350648484</v>
      </c>
      <c r="P5" s="36">
        <v>35852.989736137744</v>
      </c>
      <c r="Q5" s="36">
        <v>36754.518841904741</v>
      </c>
      <c r="R5" s="36">
        <v>37978.48017905598</v>
      </c>
      <c r="S5" s="36">
        <v>39440.774447866846</v>
      </c>
      <c r="T5" s="36">
        <v>40579.289690942576</v>
      </c>
      <c r="U5" s="36">
        <v>41553.233905523513</v>
      </c>
      <c r="V5" s="36">
        <v>38614.270287701191</v>
      </c>
      <c r="W5" s="36">
        <v>43164.506400058577</v>
      </c>
      <c r="X5" s="36">
        <v>46713.713223049854</v>
      </c>
      <c r="Y5" s="36">
        <v>47667.163757620394</v>
      </c>
      <c r="DA5" s="89" t="s">
        <v>190</v>
      </c>
    </row>
    <row r="6" spans="1:105" ht="12" customHeight="1" x14ac:dyDescent="0.25">
      <c r="A6" s="37" t="s">
        <v>70</v>
      </c>
      <c r="B6" s="38">
        <v>869550</v>
      </c>
      <c r="C6" s="38">
        <v>872210</v>
      </c>
      <c r="D6" s="38">
        <v>877119.99999999988</v>
      </c>
      <c r="E6" s="38">
        <v>902280</v>
      </c>
      <c r="F6" s="38">
        <v>916710</v>
      </c>
      <c r="G6" s="38">
        <v>928480</v>
      </c>
      <c r="H6" s="38">
        <v>964140</v>
      </c>
      <c r="I6" s="38">
        <v>993260</v>
      </c>
      <c r="J6" s="38">
        <v>1022560</v>
      </c>
      <c r="K6" s="38">
        <v>1036040</v>
      </c>
      <c r="L6" s="38">
        <v>1007480</v>
      </c>
      <c r="M6" s="38">
        <v>959520</v>
      </c>
      <c r="N6" s="38">
        <v>962930</v>
      </c>
      <c r="O6" s="38">
        <v>962660</v>
      </c>
      <c r="P6" s="38">
        <v>1014950</v>
      </c>
      <c r="Q6" s="38">
        <v>1043200</v>
      </c>
      <c r="R6" s="38">
        <v>1064379.9999999998</v>
      </c>
      <c r="S6" s="38">
        <v>1104370</v>
      </c>
      <c r="T6" s="38">
        <v>1129100</v>
      </c>
      <c r="U6" s="38">
        <v>1126620</v>
      </c>
      <c r="V6" s="38">
        <v>1106430</v>
      </c>
      <c r="W6" s="38">
        <v>1110900</v>
      </c>
      <c r="X6" s="38">
        <v>1151430</v>
      </c>
      <c r="Y6" s="38">
        <v>1199679.9999999998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30483.958100080858</v>
      </c>
      <c r="C8" s="34">
        <v>31699.703691304116</v>
      </c>
      <c r="D8" s="34">
        <v>33025.31845385029</v>
      </c>
      <c r="E8" s="34">
        <v>34879.322287322306</v>
      </c>
      <c r="F8" s="34">
        <v>36228.474075566388</v>
      </c>
      <c r="G8" s="34">
        <v>37570.640462043346</v>
      </c>
      <c r="H8" s="34">
        <v>39535.622879953247</v>
      </c>
      <c r="I8" s="34">
        <v>41596.385428818205</v>
      </c>
      <c r="J8" s="34">
        <v>42488.16574854088</v>
      </c>
      <c r="K8" s="34">
        <v>43094.621008831782</v>
      </c>
      <c r="L8" s="34">
        <v>43314.890303806009</v>
      </c>
      <c r="M8" s="34">
        <v>43843.895737927851</v>
      </c>
      <c r="N8" s="34">
        <v>43426.158909224592</v>
      </c>
      <c r="O8" s="34">
        <v>43428.976952197008</v>
      </c>
      <c r="P8" s="34">
        <v>44716.529158092235</v>
      </c>
      <c r="Q8" s="34">
        <v>46187.409591063602</v>
      </c>
      <c r="R8" s="34">
        <v>46625.722857672255</v>
      </c>
      <c r="S8" s="34">
        <v>47015.488657905757</v>
      </c>
      <c r="T8" s="34">
        <v>47520.06034492467</v>
      </c>
      <c r="U8" s="34">
        <v>48034.616592143837</v>
      </c>
      <c r="V8" s="34">
        <v>48557.111111111109</v>
      </c>
      <c r="W8" s="34">
        <v>49063.168990252634</v>
      </c>
      <c r="X8" s="34">
        <v>49543.98194707388</v>
      </c>
      <c r="Y8" s="34">
        <v>49982.358752119821</v>
      </c>
      <c r="DA8" s="88" t="s">
        <v>192</v>
      </c>
    </row>
    <row r="9" spans="1:105" ht="12" customHeight="1" x14ac:dyDescent="0.25">
      <c r="A9" s="39" t="s">
        <v>68</v>
      </c>
      <c r="B9" s="40">
        <v>27435.562290072772</v>
      </c>
      <c r="C9" s="40">
        <v>28529.733322173703</v>
      </c>
      <c r="D9" s="40">
        <v>29722.78660846526</v>
      </c>
      <c r="E9" s="40">
        <v>31391.390058590074</v>
      </c>
      <c r="F9" s="40">
        <v>32605.626668009751</v>
      </c>
      <c r="G9" s="40">
        <v>33813.576415839008</v>
      </c>
      <c r="H9" s="40">
        <v>35582.060591957917</v>
      </c>
      <c r="I9" s="40">
        <v>37436.74688593638</v>
      </c>
      <c r="J9" s="40">
        <v>38239.349173686795</v>
      </c>
      <c r="K9" s="40">
        <v>38785.1589079486</v>
      </c>
      <c r="L9" s="40">
        <v>38983.401273425407</v>
      </c>
      <c r="M9" s="40">
        <v>39459.506164135069</v>
      </c>
      <c r="N9" s="40">
        <v>39083.543018302131</v>
      </c>
      <c r="O9" s="40">
        <v>39086.079256977311</v>
      </c>
      <c r="P9" s="40">
        <v>40244.876242283011</v>
      </c>
      <c r="Q9" s="40">
        <v>41568.668631957247</v>
      </c>
      <c r="R9" s="40">
        <v>41963.150571905033</v>
      </c>
      <c r="S9" s="40">
        <v>42313.939792115183</v>
      </c>
      <c r="T9" s="40">
        <v>42768.054310432206</v>
      </c>
      <c r="U9" s="40">
        <v>43231.15493292945</v>
      </c>
      <c r="V9" s="40">
        <v>43701.4</v>
      </c>
      <c r="W9" s="40">
        <v>44156.852091227374</v>
      </c>
      <c r="X9" s="40">
        <v>44589.583752366496</v>
      </c>
      <c r="Y9" s="40">
        <v>44984.122876907837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1337.8264947964008</v>
      </c>
      <c r="D10" s="41">
        <v>1452.4458958303217</v>
      </c>
      <c r="E10" s="41">
        <v>1986.0602194382861</v>
      </c>
      <c r="F10" s="41">
        <v>1488.8085417479883</v>
      </c>
      <c r="G10" s="41">
        <v>1487.0483926629697</v>
      </c>
      <c r="H10" s="41">
        <v>2115.0896767780346</v>
      </c>
      <c r="I10" s="41">
        <v>2218.9451982418218</v>
      </c>
      <c r="J10" s="41">
        <v>1058.0383596082784</v>
      </c>
      <c r="K10" s="41">
        <v>776.513483945301</v>
      </c>
      <c r="L10" s="41">
        <v>392.70263348415506</v>
      </c>
      <c r="M10" s="41">
        <v>702.38881857395847</v>
      </c>
      <c r="N10" s="41">
        <v>175.28347633652706</v>
      </c>
      <c r="O10" s="41">
        <v>176.67645039564505</v>
      </c>
      <c r="P10" s="41">
        <v>1461.4106133184459</v>
      </c>
      <c r="Q10" s="41">
        <v>1649.9640930767225</v>
      </c>
      <c r="R10" s="41">
        <v>672.76712240084157</v>
      </c>
      <c r="S10" s="41">
        <v>626.44459646534631</v>
      </c>
      <c r="T10" s="41">
        <v>743.22898985092843</v>
      </c>
      <c r="U10" s="41">
        <v>755.77482765026127</v>
      </c>
      <c r="V10" s="41">
        <v>766.32506004415416</v>
      </c>
      <c r="W10" s="41">
        <v>752.54067665983598</v>
      </c>
      <c r="X10" s="41">
        <v>729.86457606112128</v>
      </c>
      <c r="Y10" s="41">
        <v>689.8690991935166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1204.0438453167606</v>
      </c>
      <c r="D11" s="42">
        <v>1307.2013062472895</v>
      </c>
      <c r="E11" s="42">
        <v>1787.4541974944575</v>
      </c>
      <c r="F11" s="42">
        <v>1339.9276875731896</v>
      </c>
      <c r="G11" s="42">
        <v>1338.3435533966726</v>
      </c>
      <c r="H11" s="42">
        <v>1903.5807091002309</v>
      </c>
      <c r="I11" s="42">
        <v>1997.0506784176396</v>
      </c>
      <c r="J11" s="42">
        <v>952.2345236474506</v>
      </c>
      <c r="K11" s="42">
        <v>698.86213555077086</v>
      </c>
      <c r="L11" s="42">
        <v>353.43237013573957</v>
      </c>
      <c r="M11" s="42">
        <v>632.14993671656271</v>
      </c>
      <c r="N11" s="42">
        <v>157.75512870287434</v>
      </c>
      <c r="O11" s="42">
        <v>159.00880535608056</v>
      </c>
      <c r="P11" s="42">
        <v>1315.2695519866013</v>
      </c>
      <c r="Q11" s="42">
        <v>1484.9676837690504</v>
      </c>
      <c r="R11" s="42">
        <v>605.49041016075739</v>
      </c>
      <c r="S11" s="42">
        <v>563.80013681881167</v>
      </c>
      <c r="T11" s="42">
        <v>668.90609086583561</v>
      </c>
      <c r="U11" s="42">
        <v>680.19734488523511</v>
      </c>
      <c r="V11" s="42">
        <v>689.69255403973875</v>
      </c>
      <c r="W11" s="42">
        <v>677.28660899385238</v>
      </c>
      <c r="X11" s="42">
        <v>656.87811845500926</v>
      </c>
      <c r="Y11" s="42">
        <v>620.88218927416494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2119.27</v>
      </c>
      <c r="C13" s="43">
        <v>2358.02</v>
      </c>
      <c r="D13" s="43">
        <v>2179.12</v>
      </c>
      <c r="E13" s="43">
        <v>2569.42</v>
      </c>
      <c r="F13" s="43">
        <v>2464.5700000000002</v>
      </c>
      <c r="G13" s="43">
        <v>2684.01</v>
      </c>
      <c r="H13" s="43">
        <v>2408.4899999999998</v>
      </c>
      <c r="I13" s="43">
        <v>2208.64</v>
      </c>
      <c r="J13" s="43">
        <v>2214.64</v>
      </c>
      <c r="K13" s="43">
        <v>2273.67</v>
      </c>
      <c r="L13" s="43">
        <v>2521.2199999999998</v>
      </c>
      <c r="M13" s="43">
        <v>2359.44</v>
      </c>
      <c r="N13" s="43">
        <v>2355.0700000000002</v>
      </c>
      <c r="O13" s="43">
        <v>2290</v>
      </c>
      <c r="P13" s="43">
        <v>1885.28</v>
      </c>
      <c r="Q13" s="43">
        <v>2246.21</v>
      </c>
      <c r="R13" s="43">
        <v>2264.65</v>
      </c>
      <c r="S13" s="43">
        <v>2323.2199999999998</v>
      </c>
      <c r="T13" s="43">
        <v>2139.52</v>
      </c>
      <c r="U13" s="43">
        <v>2076.4699999999998</v>
      </c>
      <c r="V13" s="43">
        <v>2137.3200000000002</v>
      </c>
      <c r="W13" s="43">
        <v>2366.1799999999998</v>
      </c>
      <c r="X13" s="43">
        <v>2114.25</v>
      </c>
      <c r="Y13" s="43">
        <v>1957.53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2289.4404761904761</v>
      </c>
      <c r="C14" s="44">
        <f t="shared" ref="C14:Y14" si="0">AVERAGE($B$13:$V$13)</f>
        <v>2289.4404761904761</v>
      </c>
      <c r="D14" s="44">
        <f t="shared" si="0"/>
        <v>2289.4404761904761</v>
      </c>
      <c r="E14" s="44">
        <f t="shared" si="0"/>
        <v>2289.4404761904761</v>
      </c>
      <c r="F14" s="44">
        <f t="shared" si="0"/>
        <v>2289.4404761904761</v>
      </c>
      <c r="G14" s="44">
        <f t="shared" si="0"/>
        <v>2289.4404761904761</v>
      </c>
      <c r="H14" s="44">
        <f t="shared" si="0"/>
        <v>2289.4404761904761</v>
      </c>
      <c r="I14" s="44">
        <f t="shared" si="0"/>
        <v>2289.4404761904761</v>
      </c>
      <c r="J14" s="44">
        <f t="shared" si="0"/>
        <v>2289.4404761904761</v>
      </c>
      <c r="K14" s="44">
        <f t="shared" si="0"/>
        <v>2289.4404761904761</v>
      </c>
      <c r="L14" s="44">
        <f t="shared" si="0"/>
        <v>2289.4404761904761</v>
      </c>
      <c r="M14" s="44">
        <f t="shared" si="0"/>
        <v>2289.4404761904761</v>
      </c>
      <c r="N14" s="44">
        <f t="shared" si="0"/>
        <v>2289.4404761904761</v>
      </c>
      <c r="O14" s="44">
        <f t="shared" si="0"/>
        <v>2289.4404761904761</v>
      </c>
      <c r="P14" s="44">
        <f t="shared" si="0"/>
        <v>2289.4404761904761</v>
      </c>
      <c r="Q14" s="44">
        <f t="shared" si="0"/>
        <v>2289.4404761904761</v>
      </c>
      <c r="R14" s="44">
        <f t="shared" si="0"/>
        <v>2289.4404761904761</v>
      </c>
      <c r="S14" s="44">
        <f t="shared" si="0"/>
        <v>2289.4404761904761</v>
      </c>
      <c r="T14" s="44">
        <f t="shared" si="0"/>
        <v>2289.4404761904761</v>
      </c>
      <c r="U14" s="44">
        <f t="shared" si="0"/>
        <v>2289.4404761904761</v>
      </c>
      <c r="V14" s="44">
        <f t="shared" si="0"/>
        <v>2289.4404761904761</v>
      </c>
      <c r="W14" s="44">
        <f t="shared" si="0"/>
        <v>2289.4404761904761</v>
      </c>
      <c r="X14" s="44">
        <f t="shared" si="0"/>
        <v>2289.4404761904761</v>
      </c>
      <c r="Y14" s="44">
        <f t="shared" si="0"/>
        <v>2289.4404761904761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0.92567158746418599</v>
      </c>
      <c r="C15" s="46">
        <f t="shared" ref="C15:W15" si="1">C13/C14</f>
        <v>1.0299547092500247</v>
      </c>
      <c r="D15" s="46">
        <f t="shared" si="1"/>
        <v>0.95181334595165168</v>
      </c>
      <c r="E15" s="46">
        <f t="shared" si="1"/>
        <v>1.1222916807496113</v>
      </c>
      <c r="F15" s="46">
        <f t="shared" si="1"/>
        <v>1.076494464752773</v>
      </c>
      <c r="G15" s="46">
        <f t="shared" si="1"/>
        <v>1.1723432113273675</v>
      </c>
      <c r="H15" s="46">
        <f t="shared" si="1"/>
        <v>1.0519993968166479</v>
      </c>
      <c r="I15" s="46">
        <f t="shared" si="1"/>
        <v>0.96470732607780019</v>
      </c>
      <c r="J15" s="46">
        <f t="shared" si="1"/>
        <v>0.96732805374571662</v>
      </c>
      <c r="K15" s="46">
        <f t="shared" si="1"/>
        <v>0.99311164611856717</v>
      </c>
      <c r="L15" s="46">
        <f t="shared" si="1"/>
        <v>1.1012385018173498</v>
      </c>
      <c r="M15" s="46">
        <f t="shared" si="1"/>
        <v>1.0305749481314317</v>
      </c>
      <c r="N15" s="46">
        <f t="shared" si="1"/>
        <v>1.0286661848132992</v>
      </c>
      <c r="O15" s="46">
        <f t="shared" si="1"/>
        <v>1.0002443932547462</v>
      </c>
      <c r="P15" s="46">
        <f t="shared" si="1"/>
        <v>0.82346757629489431</v>
      </c>
      <c r="Q15" s="46">
        <f t="shared" si="1"/>
        <v>0.98111744915840327</v>
      </c>
      <c r="R15" s="46">
        <f t="shared" si="1"/>
        <v>0.98917181885779959</v>
      </c>
      <c r="S15" s="46">
        <f t="shared" si="1"/>
        <v>1.0147544887761097</v>
      </c>
      <c r="T15" s="46">
        <f t="shared" si="1"/>
        <v>0.93451654334340373</v>
      </c>
      <c r="U15" s="46">
        <f t="shared" si="1"/>
        <v>0.90697706343304918</v>
      </c>
      <c r="V15" s="46">
        <f t="shared" si="1"/>
        <v>0.93355560986516783</v>
      </c>
      <c r="W15" s="46">
        <f t="shared" si="1"/>
        <v>1.033518898878391</v>
      </c>
      <c r="X15" s="46">
        <f t="shared" ref="X15:Y15" si="2">X13/X14</f>
        <v>0.92347891198202936</v>
      </c>
      <c r="Y15" s="46">
        <f t="shared" si="2"/>
        <v>0.85502550529605381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10403.516486951507</v>
      </c>
      <c r="C19" s="34">
        <f t="shared" si="3"/>
        <v>11232.3718006894</v>
      </c>
      <c r="D19" s="34">
        <f t="shared" ref="D19:W19" si="4">D4*1000000/D3</f>
        <v>11856.517535271214</v>
      </c>
      <c r="E19" s="34">
        <f t="shared" si="4"/>
        <v>12516.931029128922</v>
      </c>
      <c r="F19" s="34">
        <f t="shared" si="4"/>
        <v>13037.922998035398</v>
      </c>
      <c r="G19" s="34">
        <f t="shared" si="4"/>
        <v>13585.924092686177</v>
      </c>
      <c r="H19" s="34">
        <f t="shared" si="4"/>
        <v>14270.992289851596</v>
      </c>
      <c r="I19" s="34">
        <f t="shared" si="4"/>
        <v>14987.892501005947</v>
      </c>
      <c r="J19" s="34">
        <f t="shared" si="4"/>
        <v>15288.333464150313</v>
      </c>
      <c r="K19" s="34">
        <f t="shared" si="4"/>
        <v>14253.864323903726</v>
      </c>
      <c r="L19" s="34">
        <f t="shared" si="4"/>
        <v>14086.439117072283</v>
      </c>
      <c r="M19" s="34">
        <f t="shared" si="4"/>
        <v>14115.185851320141</v>
      </c>
      <c r="N19" s="34">
        <f t="shared" si="4"/>
        <v>13841.867170924976</v>
      </c>
      <c r="O19" s="34">
        <f t="shared" si="4"/>
        <v>13916.147427524982</v>
      </c>
      <c r="P19" s="34">
        <f t="shared" si="4"/>
        <v>13937.670770869125</v>
      </c>
      <c r="Q19" s="34">
        <f t="shared" si="4"/>
        <v>14386.710092647183</v>
      </c>
      <c r="R19" s="34">
        <f t="shared" si="4"/>
        <v>15064.016086243799</v>
      </c>
      <c r="S19" s="34">
        <f t="shared" si="4"/>
        <v>15757.975345539457</v>
      </c>
      <c r="T19" s="34">
        <f t="shared" si="4"/>
        <v>16476.00463429435</v>
      </c>
      <c r="U19" s="34">
        <f t="shared" si="4"/>
        <v>17182.2952254105</v>
      </c>
      <c r="V19" s="34">
        <f t="shared" si="4"/>
        <v>15894.985545619957</v>
      </c>
      <c r="W19" s="34">
        <f t="shared" si="4"/>
        <v>18088.885944894344</v>
      </c>
      <c r="X19" s="34">
        <f t="shared" ref="X19:Y19" si="5">X4*1000000/X3</f>
        <v>19561.709859028229</v>
      </c>
      <c r="Y19" s="34">
        <f t="shared" si="5"/>
        <v>20270.721551930539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29903.54659438719</v>
      </c>
      <c r="C20" s="36">
        <f t="shared" si="6"/>
        <v>30976.221421255501</v>
      </c>
      <c r="D20" s="36">
        <f t="shared" ref="D20:W20" si="7">D5*1000000/D6</f>
        <v>32948.313764310362</v>
      </c>
      <c r="E20" s="36">
        <f t="shared" si="7"/>
        <v>34375.091121541729</v>
      </c>
      <c r="F20" s="36">
        <f t="shared" si="7"/>
        <v>34645.484399253146</v>
      </c>
      <c r="G20" s="36">
        <f t="shared" si="7"/>
        <v>36267.988571686816</v>
      </c>
      <c r="H20" s="36">
        <f t="shared" si="7"/>
        <v>36575.631518863032</v>
      </c>
      <c r="I20" s="36">
        <f t="shared" si="7"/>
        <v>37865.373348022789</v>
      </c>
      <c r="J20" s="36">
        <f t="shared" si="7"/>
        <v>37553.60231169952</v>
      </c>
      <c r="K20" s="36">
        <f t="shared" si="7"/>
        <v>35109.39884076194</v>
      </c>
      <c r="L20" s="36">
        <f t="shared" si="7"/>
        <v>36444.544495058566</v>
      </c>
      <c r="M20" s="36">
        <f t="shared" si="7"/>
        <v>38365.2172362618</v>
      </c>
      <c r="N20" s="36">
        <f t="shared" si="7"/>
        <v>37309.964308683717</v>
      </c>
      <c r="O20" s="36">
        <f t="shared" si="7"/>
        <v>37235.523809702783</v>
      </c>
      <c r="P20" s="36">
        <f t="shared" si="7"/>
        <v>35324.882739186898</v>
      </c>
      <c r="Q20" s="36">
        <f t="shared" si="7"/>
        <v>35232.475883727704</v>
      </c>
      <c r="R20" s="36">
        <f t="shared" si="7"/>
        <v>35681.316991164793</v>
      </c>
      <c r="S20" s="36">
        <f t="shared" si="7"/>
        <v>35713.370018985341</v>
      </c>
      <c r="T20" s="36">
        <f t="shared" si="7"/>
        <v>35939.500213393476</v>
      </c>
      <c r="U20" s="36">
        <f t="shared" si="7"/>
        <v>36883.09625741023</v>
      </c>
      <c r="V20" s="36">
        <f t="shared" si="7"/>
        <v>34899.876438365907</v>
      </c>
      <c r="W20" s="36">
        <f t="shared" si="7"/>
        <v>38855.438293328451</v>
      </c>
      <c r="X20" s="36">
        <f t="shared" ref="X20:Y20" si="8">X5*1000000/X6</f>
        <v>40570.172066951403</v>
      </c>
      <c r="Y20" s="36">
        <f t="shared" si="8"/>
        <v>39733.231993215195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5781.2718937752843</v>
      </c>
      <c r="C21" s="36">
        <f t="shared" si="9"/>
        <v>6289.9223230198168</v>
      </c>
      <c r="D21" s="36">
        <f t="shared" ref="D21:W21" si="10">D5*1000000/D3</f>
        <v>6712.266924295307</v>
      </c>
      <c r="E21" s="36">
        <f t="shared" si="10"/>
        <v>7203.9932366415323</v>
      </c>
      <c r="F21" s="36">
        <f t="shared" si="10"/>
        <v>7376.1937893477534</v>
      </c>
      <c r="G21" s="36">
        <f t="shared" si="10"/>
        <v>7811.4562332303849</v>
      </c>
      <c r="H21" s="36">
        <f t="shared" si="10"/>
        <v>8177.1908814094058</v>
      </c>
      <c r="I21" s="36">
        <f t="shared" si="10"/>
        <v>8719.1142131055331</v>
      </c>
      <c r="J21" s="36">
        <f t="shared" si="10"/>
        <v>8905.6367035859657</v>
      </c>
      <c r="K21" s="36">
        <f t="shared" si="10"/>
        <v>8440.0146955872169</v>
      </c>
      <c r="L21" s="36">
        <f t="shared" si="10"/>
        <v>8533.2222335308707</v>
      </c>
      <c r="M21" s="36">
        <f t="shared" si="10"/>
        <v>8581.2168663286266</v>
      </c>
      <c r="N21" s="36">
        <f t="shared" si="10"/>
        <v>8402.0155201143898</v>
      </c>
      <c r="O21" s="36">
        <f t="shared" si="10"/>
        <v>8438.5150042618461</v>
      </c>
      <c r="P21" s="36">
        <f t="shared" si="10"/>
        <v>8500.7392148337603</v>
      </c>
      <c r="Q21" s="36">
        <f t="shared" si="10"/>
        <v>8791.0227406930626</v>
      </c>
      <c r="R21" s="36">
        <f t="shared" si="10"/>
        <v>9193.2759506951461</v>
      </c>
      <c r="S21" s="36">
        <f t="shared" si="10"/>
        <v>9669.7740048202886</v>
      </c>
      <c r="T21" s="36">
        <f t="shared" si="10"/>
        <v>10108.580634017531</v>
      </c>
      <c r="U21" s="36">
        <f t="shared" si="10"/>
        <v>10470.301406696721</v>
      </c>
      <c r="V21" s="36">
        <f t="shared" si="10"/>
        <v>9816.7439439475802</v>
      </c>
      <c r="W21" s="36">
        <f t="shared" si="10"/>
        <v>11087.649144921863</v>
      </c>
      <c r="X21" s="36">
        <f t="shared" ref="X21:Y21" si="11">X5*1000000/X3</f>
        <v>12094.775845783761</v>
      </c>
      <c r="Y21" s="36">
        <f t="shared" si="11"/>
        <v>12378.207179325214</v>
      </c>
      <c r="DA21" s="89"/>
    </row>
    <row r="22" spans="1:105" ht="12" customHeight="1" x14ac:dyDescent="0.25">
      <c r="A22" s="51" t="s">
        <v>148</v>
      </c>
      <c r="B22" s="52">
        <v>0.31543694064206496</v>
      </c>
      <c r="C22" s="52">
        <v>0.33463120671801588</v>
      </c>
      <c r="D22" s="52">
        <v>0.35003752922977421</v>
      </c>
      <c r="E22" s="52">
        <v>0.37157511434181606</v>
      </c>
      <c r="F22" s="52">
        <v>0.37183067080274623</v>
      </c>
      <c r="G22" s="52">
        <v>0.38545523884492222</v>
      </c>
      <c r="H22" s="52">
        <v>0.39151088931838279</v>
      </c>
      <c r="I22" s="52">
        <v>0.40504678104351577</v>
      </c>
      <c r="J22" s="52">
        <v>0.40821401032121263</v>
      </c>
      <c r="K22" s="52">
        <v>0.3958236879060224</v>
      </c>
      <c r="L22" s="52">
        <v>0.39426399717762972</v>
      </c>
      <c r="M22" s="52">
        <v>0.3886717020657644</v>
      </c>
      <c r="N22" s="52">
        <v>0.38176519416753651</v>
      </c>
      <c r="O22" s="52">
        <v>0.38121720844292334</v>
      </c>
      <c r="P22" s="52">
        <v>0.37778346187010176</v>
      </c>
      <c r="Q22" s="52">
        <v>0.38429719773538723</v>
      </c>
      <c r="R22" s="52">
        <v>0.39522986848537039</v>
      </c>
      <c r="S22" s="52">
        <v>0.40483386818747397</v>
      </c>
      <c r="T22" s="52">
        <v>0.41427050435953694</v>
      </c>
      <c r="U22" s="52">
        <v>0.42111290972681542</v>
      </c>
      <c r="V22" s="52">
        <v>0.41716372049679251</v>
      </c>
      <c r="W22" s="52">
        <v>0.44397143837140368</v>
      </c>
      <c r="X22" s="52">
        <v>0.46968006222696046</v>
      </c>
      <c r="Y22" s="52">
        <v>0.47956813203741727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28.524839102101165</v>
      </c>
      <c r="C23" s="53">
        <f t="shared" si="12"/>
        <v>27.5147682291827</v>
      </c>
      <c r="D23" s="53">
        <f t="shared" ref="D23:W23" si="13">D6/D8</f>
        <v>26.55901717422319</v>
      </c>
      <c r="E23" s="53">
        <f t="shared" si="13"/>
        <v>25.868621889134424</v>
      </c>
      <c r="F23" s="53">
        <f t="shared" si="13"/>
        <v>25.303577459207915</v>
      </c>
      <c r="G23" s="53">
        <f t="shared" si="13"/>
        <v>24.712913822643497</v>
      </c>
      <c r="H23" s="53">
        <f t="shared" si="13"/>
        <v>24.38661464693585</v>
      </c>
      <c r="I23" s="53">
        <f t="shared" si="13"/>
        <v>23.878517081723739</v>
      </c>
      <c r="J23" s="53">
        <f t="shared" si="13"/>
        <v>24.066936804282179</v>
      </c>
      <c r="K23" s="53">
        <f t="shared" si="13"/>
        <v>24.041051429311207</v>
      </c>
      <c r="L23" s="53">
        <f t="shared" si="13"/>
        <v>23.259437873064968</v>
      </c>
      <c r="M23" s="53">
        <f t="shared" si="13"/>
        <v>21.884916562511396</v>
      </c>
      <c r="N23" s="53">
        <f t="shared" si="13"/>
        <v>22.173962058510643</v>
      </c>
      <c r="O23" s="53">
        <f t="shared" si="13"/>
        <v>22.16630617524368</v>
      </c>
      <c r="P23" s="53">
        <f t="shared" si="13"/>
        <v>22.6974235055613</v>
      </c>
      <c r="Q23" s="53">
        <f t="shared" si="13"/>
        <v>22.586241775330905</v>
      </c>
      <c r="R23" s="53">
        <f t="shared" si="13"/>
        <v>22.82817154919146</v>
      </c>
      <c r="S23" s="53">
        <f t="shared" si="13"/>
        <v>23.489493176081194</v>
      </c>
      <c r="T23" s="53">
        <f t="shared" si="13"/>
        <v>23.760491712435133</v>
      </c>
      <c r="U23" s="53">
        <f t="shared" si="13"/>
        <v>23.454335225905833</v>
      </c>
      <c r="V23" s="53">
        <f t="shared" si="13"/>
        <v>22.786157880525568</v>
      </c>
      <c r="W23" s="53">
        <f t="shared" si="13"/>
        <v>22.642239033126909</v>
      </c>
      <c r="X23" s="53">
        <f t="shared" ref="X23:Y23" si="14">X6/X8</f>
        <v>23.240562319557455</v>
      </c>
      <c r="Y23" s="53">
        <f t="shared" si="14"/>
        <v>24.002068528811073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6.099861883831033</v>
      </c>
      <c r="C24" s="54">
        <f t="shared" si="15"/>
        <v>6.6419177423912208</v>
      </c>
      <c r="D24" s="54">
        <f t="shared" ref="D24:W24" si="16">D9*1000/D3</f>
        <v>6.9034555868537399</v>
      </c>
      <c r="E24" s="54">
        <f t="shared" si="16"/>
        <v>7.2911940162805626</v>
      </c>
      <c r="F24" s="54">
        <f t="shared" si="16"/>
        <v>7.5726217229409105</v>
      </c>
      <c r="G24" s="54">
        <f t="shared" si="16"/>
        <v>7.8438104164896547</v>
      </c>
      <c r="H24" s="54">
        <f t="shared" si="16"/>
        <v>8.2509374734249441</v>
      </c>
      <c r="I24" s="54">
        <f t="shared" si="16"/>
        <v>8.6789119087931184</v>
      </c>
      <c r="J24" s="54">
        <f t="shared" si="16"/>
        <v>8.8681915176268262</v>
      </c>
      <c r="K24" s="54">
        <f t="shared" si="16"/>
        <v>8.9993027298620625</v>
      </c>
      <c r="L24" s="54">
        <f t="shared" si="16"/>
        <v>9.0599087705013464</v>
      </c>
      <c r="M24" s="54">
        <f t="shared" si="16"/>
        <v>9.1983266957698291</v>
      </c>
      <c r="N24" s="54">
        <f t="shared" si="16"/>
        <v>9.1402453840571258</v>
      </c>
      <c r="O24" s="54">
        <f t="shared" si="16"/>
        <v>9.2014811555473059</v>
      </c>
      <c r="P24" s="54">
        <f t="shared" si="16"/>
        <v>9.5420549356328408</v>
      </c>
      <c r="Q24" s="54">
        <f t="shared" si="16"/>
        <v>9.9424811630844552</v>
      </c>
      <c r="R24" s="54">
        <f t="shared" si="16"/>
        <v>10.157826778461756</v>
      </c>
      <c r="S24" s="54">
        <f t="shared" si="16"/>
        <v>10.374193731519284</v>
      </c>
      <c r="T24" s="54">
        <f t="shared" si="16"/>
        <v>10.653816980279503</v>
      </c>
      <c r="U24" s="54">
        <f t="shared" si="16"/>
        <v>10.893092540920309</v>
      </c>
      <c r="V24" s="54">
        <f t="shared" si="16"/>
        <v>11.110023589612435</v>
      </c>
      <c r="W24" s="54">
        <f t="shared" si="16"/>
        <v>11.3425525776677</v>
      </c>
      <c r="X24" s="54">
        <f t="shared" ref="X24:Y24" si="17">X9*1000/X3</f>
        <v>11.544811648061584</v>
      </c>
      <c r="Y24" s="54">
        <f t="shared" si="17"/>
        <v>11.681475230662761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31.551448783937406</v>
      </c>
      <c r="C25" s="54">
        <f t="shared" si="18"/>
        <v>32.709706747427461</v>
      </c>
      <c r="D25" s="54">
        <f t="shared" ref="D25:W25" si="19">D9*1000/D6</f>
        <v>33.886796115087172</v>
      </c>
      <c r="E25" s="54">
        <f t="shared" si="19"/>
        <v>34.791184619619266</v>
      </c>
      <c r="F25" s="54">
        <f t="shared" si="19"/>
        <v>35.568093146152819</v>
      </c>
      <c r="G25" s="54">
        <f t="shared" si="19"/>
        <v>36.418206548163674</v>
      </c>
      <c r="H25" s="54">
        <f t="shared" si="19"/>
        <v>36.905491517785713</v>
      </c>
      <c r="I25" s="54">
        <f t="shared" si="19"/>
        <v>37.690782761750576</v>
      </c>
      <c r="J25" s="54">
        <f t="shared" si="19"/>
        <v>37.395702133553819</v>
      </c>
      <c r="K25" s="54">
        <f t="shared" si="19"/>
        <v>37.435966669190954</v>
      </c>
      <c r="L25" s="54">
        <f t="shared" si="19"/>
        <v>38.693970375020257</v>
      </c>
      <c r="M25" s="54">
        <f t="shared" si="19"/>
        <v>41.124214361488107</v>
      </c>
      <c r="N25" s="54">
        <f t="shared" si="19"/>
        <v>40.588145574758421</v>
      </c>
      <c r="O25" s="54">
        <f t="shared" si="19"/>
        <v>40.602164063093213</v>
      </c>
      <c r="P25" s="54">
        <f t="shared" si="19"/>
        <v>39.652077680952765</v>
      </c>
      <c r="Q25" s="54">
        <f t="shared" si="19"/>
        <v>39.847266710081719</v>
      </c>
      <c r="R25" s="54">
        <f t="shared" si="19"/>
        <v>39.424970942619218</v>
      </c>
      <c r="S25" s="54">
        <f t="shared" si="19"/>
        <v>38.315002935714645</v>
      </c>
      <c r="T25" s="54">
        <f t="shared" si="19"/>
        <v>37.878003994714554</v>
      </c>
      <c r="U25" s="54">
        <f t="shared" si="19"/>
        <v>38.372436964486205</v>
      </c>
      <c r="V25" s="54">
        <f t="shared" si="19"/>
        <v>39.497663656986887</v>
      </c>
      <c r="W25" s="54">
        <f t="shared" si="19"/>
        <v>39.748719138740995</v>
      </c>
      <c r="X25" s="54">
        <f t="shared" ref="X25:Y25" si="20">X9*1000/X6</f>
        <v>38.725396899825867</v>
      </c>
      <c r="Y25" s="54">
        <f t="shared" si="20"/>
        <v>37.496768202277146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900</v>
      </c>
      <c r="C26" s="55">
        <f t="shared" si="21"/>
        <v>900</v>
      </c>
      <c r="D26" s="55">
        <f t="shared" ref="D26:W26" si="22">D9*1000/D8</f>
        <v>899.99999999999989</v>
      </c>
      <c r="E26" s="55">
        <f t="shared" si="22"/>
        <v>899.99999999999989</v>
      </c>
      <c r="F26" s="55">
        <f t="shared" si="22"/>
        <v>900</v>
      </c>
      <c r="G26" s="55">
        <f t="shared" si="22"/>
        <v>899.99999999999989</v>
      </c>
      <c r="H26" s="55">
        <f t="shared" si="22"/>
        <v>899.99999999999989</v>
      </c>
      <c r="I26" s="55">
        <f t="shared" si="22"/>
        <v>899.99999999999989</v>
      </c>
      <c r="J26" s="55">
        <f t="shared" si="22"/>
        <v>900.00000000000011</v>
      </c>
      <c r="K26" s="55">
        <f t="shared" si="22"/>
        <v>899.99999999999989</v>
      </c>
      <c r="L26" s="55">
        <f t="shared" si="22"/>
        <v>900</v>
      </c>
      <c r="M26" s="55">
        <f t="shared" si="22"/>
        <v>900.00000000000011</v>
      </c>
      <c r="N26" s="55">
        <f t="shared" si="22"/>
        <v>899.99999999999989</v>
      </c>
      <c r="O26" s="55">
        <f t="shared" si="22"/>
        <v>900.00000000000011</v>
      </c>
      <c r="P26" s="55">
        <f t="shared" si="22"/>
        <v>900</v>
      </c>
      <c r="Q26" s="55">
        <f t="shared" si="22"/>
        <v>900.00000000000011</v>
      </c>
      <c r="R26" s="55">
        <f t="shared" si="22"/>
        <v>900</v>
      </c>
      <c r="S26" s="55">
        <f t="shared" si="22"/>
        <v>900</v>
      </c>
      <c r="T26" s="55">
        <f t="shared" si="22"/>
        <v>900</v>
      </c>
      <c r="U26" s="55">
        <f t="shared" si="22"/>
        <v>899.99999999999989</v>
      </c>
      <c r="V26" s="55">
        <f t="shared" si="22"/>
        <v>900</v>
      </c>
      <c r="W26" s="55">
        <f t="shared" si="22"/>
        <v>900.00000000000011</v>
      </c>
      <c r="X26" s="55">
        <f t="shared" ref="X26:Y26" si="23">X9*1000/X8</f>
        <v>900.00000000000011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899.99999999999989</v>
      </c>
      <c r="D27" s="57">
        <f t="shared" ref="D27:W27" si="25">IF(SUM(D11)=0,"",D11*1000/D10)</f>
        <v>900</v>
      </c>
      <c r="E27" s="57">
        <f t="shared" si="25"/>
        <v>900</v>
      </c>
      <c r="F27" s="57">
        <f t="shared" si="25"/>
        <v>900.00000000000011</v>
      </c>
      <c r="G27" s="57">
        <f t="shared" si="25"/>
        <v>900</v>
      </c>
      <c r="H27" s="57">
        <f t="shared" si="25"/>
        <v>899.99999999999989</v>
      </c>
      <c r="I27" s="57">
        <f t="shared" si="25"/>
        <v>900</v>
      </c>
      <c r="J27" s="57">
        <f t="shared" si="25"/>
        <v>900.00000000000011</v>
      </c>
      <c r="K27" s="57">
        <f t="shared" si="25"/>
        <v>900</v>
      </c>
      <c r="L27" s="57">
        <f t="shared" si="25"/>
        <v>900</v>
      </c>
      <c r="M27" s="57">
        <f t="shared" si="25"/>
        <v>900.00000000000011</v>
      </c>
      <c r="N27" s="57">
        <f t="shared" si="25"/>
        <v>900</v>
      </c>
      <c r="O27" s="57">
        <f t="shared" si="25"/>
        <v>900.00000000000011</v>
      </c>
      <c r="P27" s="57">
        <f t="shared" si="25"/>
        <v>899.99999999999989</v>
      </c>
      <c r="Q27" s="57">
        <f t="shared" si="25"/>
        <v>900</v>
      </c>
      <c r="R27" s="57">
        <f t="shared" si="25"/>
        <v>899.99999999999989</v>
      </c>
      <c r="S27" s="57">
        <f t="shared" si="25"/>
        <v>900</v>
      </c>
      <c r="T27" s="57">
        <f t="shared" si="25"/>
        <v>900.00000000000011</v>
      </c>
      <c r="U27" s="57">
        <f t="shared" si="25"/>
        <v>899.99999999999989</v>
      </c>
      <c r="V27" s="57">
        <f t="shared" si="25"/>
        <v>900</v>
      </c>
      <c r="W27" s="57">
        <f t="shared" si="25"/>
        <v>900</v>
      </c>
      <c r="X27" s="57">
        <f t="shared" ref="X27:Y27" si="26">IF(SUM(X11)=0,"",X11*1000/X10)</f>
        <v>900.00000000000023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520.46827171109192</v>
      </c>
      <c r="C31" s="80">
        <f t="shared" ref="C31:W31" si="27">SUM(C32:C33,C36:C37,C44:C45)</f>
        <v>594.0862424763543</v>
      </c>
      <c r="D31" s="80">
        <f t="shared" si="27"/>
        <v>626.0739466895958</v>
      </c>
      <c r="E31" s="80">
        <f t="shared" si="27"/>
        <v>666.29240009112095</v>
      </c>
      <c r="F31" s="80">
        <f t="shared" si="27"/>
        <v>690.26239105367586</v>
      </c>
      <c r="G31" s="80">
        <f t="shared" si="27"/>
        <v>721.25834444028578</v>
      </c>
      <c r="H31" s="80">
        <f t="shared" si="27"/>
        <v>715.27923803701651</v>
      </c>
      <c r="I31" s="80">
        <f t="shared" si="27"/>
        <v>707.57029533719242</v>
      </c>
      <c r="J31" s="80">
        <f t="shared" si="27"/>
        <v>754.35945178473048</v>
      </c>
      <c r="K31" s="80">
        <f t="shared" si="27"/>
        <v>758.46176678032066</v>
      </c>
      <c r="L31" s="80">
        <f t="shared" si="27"/>
        <v>797.58343367164241</v>
      </c>
      <c r="M31" s="80">
        <f t="shared" si="27"/>
        <v>786.56694053668321</v>
      </c>
      <c r="N31" s="80">
        <f t="shared" si="27"/>
        <v>758.29997795383633</v>
      </c>
      <c r="O31" s="80">
        <f t="shared" si="27"/>
        <v>740.87352357087934</v>
      </c>
      <c r="P31" s="80">
        <f t="shared" si="27"/>
        <v>693.70093902991744</v>
      </c>
      <c r="Q31" s="80">
        <f t="shared" si="27"/>
        <v>763.60852001379294</v>
      </c>
      <c r="R31" s="80">
        <f t="shared" si="27"/>
        <v>780.88699547080546</v>
      </c>
      <c r="S31" s="80">
        <f t="shared" si="27"/>
        <v>817.94244898025386</v>
      </c>
      <c r="T31" s="80">
        <f t="shared" si="27"/>
        <v>832.86057212985315</v>
      </c>
      <c r="U31" s="80">
        <f t="shared" si="27"/>
        <v>835.77744674522978</v>
      </c>
      <c r="V31" s="80">
        <f t="shared" si="27"/>
        <v>757.6240301558978</v>
      </c>
      <c r="W31" s="80">
        <f t="shared" si="27"/>
        <v>847.75496165377103</v>
      </c>
      <c r="X31" s="80">
        <f t="shared" ref="X31:Y31" si="28">SUM(X32:X33,X36:X37,X44:X45)</f>
        <v>808.44275275569692</v>
      </c>
      <c r="Y31" s="80">
        <f t="shared" si="28"/>
        <v>780.18070435222307</v>
      </c>
      <c r="DA31" s="103" t="s">
        <v>199</v>
      </c>
    </row>
    <row r="32" spans="1:105" ht="12" customHeight="1" x14ac:dyDescent="0.25">
      <c r="A32" s="58" t="s">
        <v>29</v>
      </c>
      <c r="B32" s="59">
        <v>3.9842648323301799</v>
      </c>
      <c r="C32" s="59">
        <v>3.0006878761822868</v>
      </c>
      <c r="D32" s="59">
        <v>3.9903697334479791</v>
      </c>
      <c r="E32" s="59">
        <v>4.9386070507308677</v>
      </c>
      <c r="F32" s="59">
        <v>2.2110920034393811</v>
      </c>
      <c r="G32" s="59">
        <v>0.32674118658641438</v>
      </c>
      <c r="H32" s="59">
        <v>1.911435941530524</v>
      </c>
      <c r="I32" s="59">
        <v>1.021066208082545</v>
      </c>
      <c r="J32" s="59">
        <v>1.715391229578676</v>
      </c>
      <c r="K32" s="59">
        <v>1.633705932932072</v>
      </c>
      <c r="L32" s="59">
        <v>0.99183147033533958</v>
      </c>
      <c r="M32" s="59">
        <v>2.0812553740326738</v>
      </c>
      <c r="N32" s="59">
        <v>2.004213241616509</v>
      </c>
      <c r="O32" s="59">
        <v>0.1837489251934652</v>
      </c>
      <c r="P32" s="59">
        <v>7.5752364574376604E-2</v>
      </c>
      <c r="Q32" s="59">
        <v>3.8177128116938949E-2</v>
      </c>
      <c r="R32" s="59">
        <v>4.0326741186586412E-2</v>
      </c>
      <c r="S32" s="59">
        <v>0.12252794496990541</v>
      </c>
      <c r="T32" s="59">
        <v>4.0842648323301797E-2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129.63293207222699</v>
      </c>
      <c r="C33" s="55">
        <f t="shared" ref="C33:W33" si="29">SUM(C34:C35)</f>
        <v>144.15881341358553</v>
      </c>
      <c r="D33" s="55">
        <f t="shared" si="29"/>
        <v>161.1695614789337</v>
      </c>
      <c r="E33" s="55">
        <f t="shared" si="29"/>
        <v>163.42003439380903</v>
      </c>
      <c r="F33" s="55">
        <f t="shared" si="29"/>
        <v>162.33619948409279</v>
      </c>
      <c r="G33" s="55">
        <f t="shared" si="29"/>
        <v>147.9426483233018</v>
      </c>
      <c r="H33" s="55">
        <f t="shared" si="29"/>
        <v>129.69423903697333</v>
      </c>
      <c r="I33" s="55">
        <f t="shared" si="29"/>
        <v>107.78950988822011</v>
      </c>
      <c r="J33" s="55">
        <f t="shared" si="29"/>
        <v>103.04797936371452</v>
      </c>
      <c r="K33" s="55">
        <f t="shared" si="29"/>
        <v>101.11349957007738</v>
      </c>
      <c r="L33" s="55">
        <f t="shared" si="29"/>
        <v>97.767067927772999</v>
      </c>
      <c r="M33" s="55">
        <f t="shared" si="29"/>
        <v>89.089939810834039</v>
      </c>
      <c r="N33" s="55">
        <f t="shared" si="29"/>
        <v>74.094239036973335</v>
      </c>
      <c r="O33" s="55">
        <f t="shared" si="29"/>
        <v>64.113843508168515</v>
      </c>
      <c r="P33" s="55">
        <f t="shared" si="29"/>
        <v>53.058211521926047</v>
      </c>
      <c r="Q33" s="55">
        <f t="shared" si="29"/>
        <v>62.239208942390363</v>
      </c>
      <c r="R33" s="55">
        <f t="shared" si="29"/>
        <v>61.374032674118645</v>
      </c>
      <c r="S33" s="55">
        <f t="shared" si="29"/>
        <v>58.698194325021497</v>
      </c>
      <c r="T33" s="55">
        <f t="shared" si="29"/>
        <v>51.051590713671537</v>
      </c>
      <c r="U33" s="55">
        <f t="shared" si="29"/>
        <v>41.195270851246775</v>
      </c>
      <c r="V33" s="55">
        <f t="shared" si="29"/>
        <v>37.31435941530524</v>
      </c>
      <c r="W33" s="55">
        <f t="shared" si="29"/>
        <v>36.259931212381773</v>
      </c>
      <c r="X33" s="55">
        <f t="shared" ref="X33:Y33" si="30">SUM(X34:X35)</f>
        <v>34.828288907996566</v>
      </c>
      <c r="Y33" s="55">
        <f t="shared" si="30"/>
        <v>31.170249355116074</v>
      </c>
      <c r="DA33" s="101"/>
    </row>
    <row r="34" spans="1:105" ht="12" customHeight="1" x14ac:dyDescent="0.25">
      <c r="A34" s="61" t="s">
        <v>52</v>
      </c>
      <c r="B34" s="55">
        <v>3.359845227858985</v>
      </c>
      <c r="C34" s="55">
        <v>6.7196904557179709</v>
      </c>
      <c r="D34" s="55">
        <v>6.7196904557179709</v>
      </c>
      <c r="E34" s="55">
        <v>7.8396388650042983</v>
      </c>
      <c r="F34" s="55">
        <v>9.0716251074806529</v>
      </c>
      <c r="G34" s="55">
        <v>8.9595872742906266</v>
      </c>
      <c r="H34" s="55">
        <v>10.07953568357695</v>
      </c>
      <c r="I34" s="55">
        <v>10.07953568357695</v>
      </c>
      <c r="J34" s="55">
        <v>11.19948409286328</v>
      </c>
      <c r="K34" s="55">
        <v>13.43938091143594</v>
      </c>
      <c r="L34" s="55">
        <v>14.55932932072227</v>
      </c>
      <c r="M34" s="55">
        <v>13.43938091143594</v>
      </c>
      <c r="N34" s="55">
        <v>13.43938091143594</v>
      </c>
      <c r="O34" s="55">
        <v>13.43938091143594</v>
      </c>
      <c r="P34" s="55">
        <v>13.43938091143594</v>
      </c>
      <c r="Q34" s="55">
        <v>13.43938091143594</v>
      </c>
      <c r="R34" s="55">
        <v>14.55932932072227</v>
      </c>
      <c r="S34" s="55">
        <v>13.55141874462597</v>
      </c>
      <c r="T34" s="55">
        <v>13.103439380911439</v>
      </c>
      <c r="U34" s="55">
        <v>13.663370593293211</v>
      </c>
      <c r="V34" s="55">
        <v>11.19948409286328</v>
      </c>
      <c r="W34" s="55">
        <v>13.103439380911439</v>
      </c>
      <c r="X34" s="55">
        <v>9.6315563198624243</v>
      </c>
      <c r="Y34" s="55">
        <v>7.503697334479793</v>
      </c>
      <c r="DA34" s="101" t="s">
        <v>201</v>
      </c>
    </row>
    <row r="35" spans="1:105" ht="12" customHeight="1" x14ac:dyDescent="0.25">
      <c r="A35" s="61" t="s">
        <v>163</v>
      </c>
      <c r="B35" s="55">
        <v>126.27308684436801</v>
      </c>
      <c r="C35" s="55">
        <v>137.43912295786757</v>
      </c>
      <c r="D35" s="55">
        <v>154.44987102321574</v>
      </c>
      <c r="E35" s="55">
        <v>155.58039552880473</v>
      </c>
      <c r="F35" s="55">
        <v>153.26457437661213</v>
      </c>
      <c r="G35" s="55">
        <v>138.98306104901116</v>
      </c>
      <c r="H35" s="55">
        <v>119.61470335339638</v>
      </c>
      <c r="I35" s="55">
        <v>97.70997420464316</v>
      </c>
      <c r="J35" s="55">
        <v>91.848495270851231</v>
      </c>
      <c r="K35" s="55">
        <v>87.674118658641447</v>
      </c>
      <c r="L35" s="55">
        <v>83.207738607050729</v>
      </c>
      <c r="M35" s="55">
        <v>75.650558899398106</v>
      </c>
      <c r="N35" s="55">
        <v>60.654858125537395</v>
      </c>
      <c r="O35" s="55">
        <v>50.674462596732575</v>
      </c>
      <c r="P35" s="55">
        <v>39.618830610490107</v>
      </c>
      <c r="Q35" s="55">
        <v>48.799828030954423</v>
      </c>
      <c r="R35" s="55">
        <v>46.814703353396375</v>
      </c>
      <c r="S35" s="55">
        <v>45.146775580395527</v>
      </c>
      <c r="T35" s="55">
        <v>37.948151332760098</v>
      </c>
      <c r="U35" s="55">
        <v>27.531900257953566</v>
      </c>
      <c r="V35" s="55">
        <v>26.114875322441961</v>
      </c>
      <c r="W35" s="55">
        <v>23.156491831470333</v>
      </c>
      <c r="X35" s="55">
        <v>25.19673258813414</v>
      </c>
      <c r="Y35" s="55">
        <v>23.666552020636281</v>
      </c>
      <c r="DA35" s="101" t="s">
        <v>202</v>
      </c>
    </row>
    <row r="36" spans="1:105" ht="12" customHeight="1" x14ac:dyDescent="0.25">
      <c r="A36" s="60" t="s">
        <v>149</v>
      </c>
      <c r="B36" s="55">
        <v>80.889939810834036</v>
      </c>
      <c r="C36" s="55">
        <v>109.37231298366294</v>
      </c>
      <c r="D36" s="55">
        <v>102.27858985382633</v>
      </c>
      <c r="E36" s="55">
        <v>108.77042132416166</v>
      </c>
      <c r="F36" s="55">
        <v>114.98280309544282</v>
      </c>
      <c r="G36" s="55">
        <v>125.61152192605331</v>
      </c>
      <c r="H36" s="55">
        <v>122.46345657781599</v>
      </c>
      <c r="I36" s="55">
        <v>119.69045571797076</v>
      </c>
      <c r="J36" s="55">
        <v>130.09458297506444</v>
      </c>
      <c r="K36" s="55">
        <v>133.36199484092865</v>
      </c>
      <c r="L36" s="55">
        <v>157.65262252794494</v>
      </c>
      <c r="M36" s="55">
        <v>141.93895098882197</v>
      </c>
      <c r="N36" s="55">
        <v>132.33018056749776</v>
      </c>
      <c r="O36" s="55">
        <v>136.13499570077389</v>
      </c>
      <c r="P36" s="55">
        <v>132.52364574376614</v>
      </c>
      <c r="Q36" s="55">
        <v>169.38950988822012</v>
      </c>
      <c r="R36" s="55">
        <v>181.18142734307821</v>
      </c>
      <c r="S36" s="55">
        <v>191.70034393809109</v>
      </c>
      <c r="T36" s="55">
        <v>202.12459157351671</v>
      </c>
      <c r="U36" s="55">
        <v>208.82622527944969</v>
      </c>
      <c r="V36" s="55">
        <v>195.907222699914</v>
      </c>
      <c r="W36" s="55">
        <v>232.98220120378329</v>
      </c>
      <c r="X36" s="55">
        <v>195.6052450558899</v>
      </c>
      <c r="Y36" s="55">
        <v>171.35520206362861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0.3343938091143594</v>
      </c>
      <c r="C37" s="55">
        <f t="shared" ref="C37:W37" si="31">SUM(C38:C42)</f>
        <v>0.35829750644883918</v>
      </c>
      <c r="D37" s="55">
        <f t="shared" si="31"/>
        <v>0.42992261392949271</v>
      </c>
      <c r="E37" s="55">
        <f t="shared" si="31"/>
        <v>0.50154772141014614</v>
      </c>
      <c r="F37" s="55">
        <f t="shared" si="31"/>
        <v>0.5970765262252794</v>
      </c>
      <c r="G37" s="55">
        <f t="shared" si="31"/>
        <v>0.69269131556319852</v>
      </c>
      <c r="H37" s="55">
        <f t="shared" si="31"/>
        <v>0.81203783319002576</v>
      </c>
      <c r="I37" s="55">
        <f t="shared" si="31"/>
        <v>6.44883920894239</v>
      </c>
      <c r="J37" s="55">
        <f t="shared" si="31"/>
        <v>7.0938091143594164</v>
      </c>
      <c r="K37" s="55">
        <f t="shared" si="31"/>
        <v>8.7708512467755799</v>
      </c>
      <c r="L37" s="55">
        <f t="shared" si="31"/>
        <v>12.050816852966467</v>
      </c>
      <c r="M37" s="55">
        <f t="shared" si="31"/>
        <v>12.915477214101461</v>
      </c>
      <c r="N37" s="55">
        <f t="shared" si="31"/>
        <v>12.915735167669819</v>
      </c>
      <c r="O37" s="55">
        <f t="shared" si="31"/>
        <v>13.068615649183148</v>
      </c>
      <c r="P37" s="55">
        <f t="shared" si="31"/>
        <v>11.15846947549441</v>
      </c>
      <c r="Q37" s="55">
        <f t="shared" si="31"/>
        <v>13.889595872742905</v>
      </c>
      <c r="R37" s="55">
        <f t="shared" si="31"/>
        <v>15.834221840068786</v>
      </c>
      <c r="S37" s="55">
        <f t="shared" si="31"/>
        <v>17.112381771281168</v>
      </c>
      <c r="T37" s="55">
        <f t="shared" si="31"/>
        <v>18.81023215821152</v>
      </c>
      <c r="U37" s="55">
        <f t="shared" si="31"/>
        <v>21.338263112639726</v>
      </c>
      <c r="V37" s="55">
        <f t="shared" si="31"/>
        <v>22.413413585554594</v>
      </c>
      <c r="W37" s="55">
        <f t="shared" si="31"/>
        <v>22.161306964746348</v>
      </c>
      <c r="X37" s="55">
        <f t="shared" ref="X37:Y37" si="32">SUM(X38:X42)</f>
        <v>21.68907996560619</v>
      </c>
      <c r="Y37" s="55">
        <f t="shared" si="32"/>
        <v>21.200687876182293</v>
      </c>
      <c r="DA37" s="101"/>
    </row>
    <row r="38" spans="1:105" ht="12" customHeight="1" x14ac:dyDescent="0.25">
      <c r="A38" s="61" t="s">
        <v>164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2.1496130696474638</v>
      </c>
      <c r="J38" s="55">
        <v>1.934651762682718</v>
      </c>
      <c r="K38" s="55">
        <v>3.4107480653482369</v>
      </c>
      <c r="L38" s="55">
        <v>3.1002579535683585</v>
      </c>
      <c r="M38" s="55">
        <v>3.770163370593294</v>
      </c>
      <c r="N38" s="55">
        <v>3.3438521066208082</v>
      </c>
      <c r="O38" s="55">
        <v>3.4154772141014638</v>
      </c>
      <c r="P38" s="55">
        <v>4.2509888220120384</v>
      </c>
      <c r="Q38" s="55">
        <v>5.3973344797936358</v>
      </c>
      <c r="R38" s="55">
        <v>6.8787618228718816</v>
      </c>
      <c r="S38" s="55">
        <v>8.2784178847807386</v>
      </c>
      <c r="T38" s="55">
        <v>10.098366294067068</v>
      </c>
      <c r="U38" s="55">
        <v>12.337661220980225</v>
      </c>
      <c r="V38" s="55">
        <v>13.334909716251071</v>
      </c>
      <c r="W38" s="55">
        <v>13.2847807394669</v>
      </c>
      <c r="X38" s="55">
        <v>13.702407566638003</v>
      </c>
      <c r="Y38" s="55">
        <v>13.661220980223563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0.76440240756663802</v>
      </c>
      <c r="K39" s="55">
        <v>0.82201203783318999</v>
      </c>
      <c r="L39" s="55">
        <v>0.59088564058469473</v>
      </c>
      <c r="M39" s="55">
        <v>0.47523645743766119</v>
      </c>
      <c r="N39" s="55">
        <v>0.47188306104901118</v>
      </c>
      <c r="O39" s="55">
        <v>0.36208082545141868</v>
      </c>
      <c r="P39" s="55">
        <v>0.41083404987102318</v>
      </c>
      <c r="Q39" s="55">
        <v>0.51478933791917447</v>
      </c>
      <c r="R39" s="55">
        <v>0.50025795356835767</v>
      </c>
      <c r="S39" s="55">
        <v>0.51736887360275152</v>
      </c>
      <c r="T39" s="55">
        <v>0.42871883061048999</v>
      </c>
      <c r="U39" s="55">
        <v>0.48099742046431643</v>
      </c>
      <c r="V39" s="55">
        <v>0.41074806534823732</v>
      </c>
      <c r="W39" s="55">
        <v>0.45958727429062762</v>
      </c>
      <c r="X39" s="55">
        <v>0.58245915735167664</v>
      </c>
      <c r="Y39" s="55">
        <v>0.4887360275150473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DA40" s="101" t="s">
        <v>206</v>
      </c>
    </row>
    <row r="41" spans="1:105" ht="12" customHeight="1" x14ac:dyDescent="0.25">
      <c r="A41" s="61" t="s">
        <v>26</v>
      </c>
      <c r="B41" s="55">
        <v>0.3343938091143594</v>
      </c>
      <c r="C41" s="55">
        <v>0.35829750644883918</v>
      </c>
      <c r="D41" s="55">
        <v>0.42992261392949271</v>
      </c>
      <c r="E41" s="55">
        <v>0.50154772141014614</v>
      </c>
      <c r="F41" s="55">
        <v>0.5970765262252794</v>
      </c>
      <c r="G41" s="55">
        <v>0.69269131556319852</v>
      </c>
      <c r="H41" s="55">
        <v>0.81203783319002576</v>
      </c>
      <c r="I41" s="55">
        <v>0.95537403267411869</v>
      </c>
      <c r="J41" s="55">
        <v>1.1942390369733451</v>
      </c>
      <c r="K41" s="55">
        <v>1.385296646603611</v>
      </c>
      <c r="L41" s="55">
        <v>1.5525365434221841</v>
      </c>
      <c r="M41" s="55">
        <v>1.8152192605331039</v>
      </c>
      <c r="N41" s="55">
        <v>2.1496130696474629</v>
      </c>
      <c r="O41" s="55">
        <v>2.4601031814273431</v>
      </c>
      <c r="P41" s="55">
        <v>2.7944969905417021</v>
      </c>
      <c r="Q41" s="55">
        <v>3.1049871023215818</v>
      </c>
      <c r="R41" s="55">
        <v>3.463284608770421</v>
      </c>
      <c r="S41" s="55">
        <v>3.8573516766981939</v>
      </c>
      <c r="T41" s="55">
        <v>4.1797936371453126</v>
      </c>
      <c r="U41" s="55">
        <v>4.6336199484092866</v>
      </c>
      <c r="V41" s="55">
        <v>4.9035253654342217</v>
      </c>
      <c r="W41" s="55">
        <v>5.1208942390369732</v>
      </c>
      <c r="X41" s="55">
        <v>4.8175408426483228</v>
      </c>
      <c r="Y41" s="55">
        <v>4.9345657781599312</v>
      </c>
      <c r="DA41" s="101" t="s">
        <v>207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3.3438521066208078</v>
      </c>
      <c r="J42" s="55">
        <v>3.2005159071367149</v>
      </c>
      <c r="K42" s="55">
        <v>3.1527944969905422</v>
      </c>
      <c r="L42" s="55">
        <v>6.8071367153912297</v>
      </c>
      <c r="M42" s="55">
        <v>6.8548581255374019</v>
      </c>
      <c r="N42" s="55">
        <v>6.9503869303525363</v>
      </c>
      <c r="O42" s="55">
        <v>6.8309544282029231</v>
      </c>
      <c r="P42" s="55">
        <v>3.702149613069647</v>
      </c>
      <c r="Q42" s="55">
        <v>4.8724849527085121</v>
      </c>
      <c r="R42" s="55">
        <v>4.9919174548581253</v>
      </c>
      <c r="S42" s="55">
        <v>4.4592433361994832</v>
      </c>
      <c r="T42" s="55">
        <v>4.1033533963886502</v>
      </c>
      <c r="U42" s="55">
        <v>3.8859845227858991</v>
      </c>
      <c r="V42" s="55">
        <v>3.7642304385210661</v>
      </c>
      <c r="W42" s="55">
        <v>3.2960447119518479</v>
      </c>
      <c r="X42" s="55">
        <v>2.5866723989681848</v>
      </c>
      <c r="Y42" s="55">
        <v>2.116165090283749</v>
      </c>
      <c r="DA42" s="101" t="s">
        <v>208</v>
      </c>
    </row>
    <row r="43" spans="1:105" ht="12" customHeight="1" x14ac:dyDescent="0.25">
      <c r="A43" s="61" t="s">
        <v>151</v>
      </c>
      <c r="B43" s="309">
        <v>0</v>
      </c>
      <c r="C43" s="309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0</v>
      </c>
      <c r="DA43" s="101" t="s">
        <v>209</v>
      </c>
    </row>
    <row r="44" spans="1:105" ht="12" customHeight="1" x14ac:dyDescent="0.25">
      <c r="A44" s="60" t="s">
        <v>162</v>
      </c>
      <c r="B44" s="55">
        <v>59.468959587274291</v>
      </c>
      <c r="C44" s="55">
        <v>65.551934651762679</v>
      </c>
      <c r="D44" s="55">
        <v>64.258383490971624</v>
      </c>
      <c r="E44" s="55">
        <v>71.032502149613066</v>
      </c>
      <c r="F44" s="55">
        <v>69.33499570077386</v>
      </c>
      <c r="G44" s="55">
        <v>73.263456577815987</v>
      </c>
      <c r="H44" s="55">
        <v>63.730008598452272</v>
      </c>
      <c r="I44" s="55">
        <v>60.010232158211522</v>
      </c>
      <c r="J44" s="55">
        <v>64.44325021496131</v>
      </c>
      <c r="K44" s="55">
        <v>63.780825451418742</v>
      </c>
      <c r="L44" s="55">
        <v>72.898280309544276</v>
      </c>
      <c r="M44" s="55">
        <v>73.191315563198629</v>
      </c>
      <c r="N44" s="55">
        <v>69.485726569217533</v>
      </c>
      <c r="O44" s="55">
        <v>70.758211521926043</v>
      </c>
      <c r="P44" s="55">
        <v>55.301805674978503</v>
      </c>
      <c r="Q44" s="55">
        <v>60.203697334479791</v>
      </c>
      <c r="R44" s="55">
        <v>62.360103181427341</v>
      </c>
      <c r="S44" s="55">
        <v>60.582459157351671</v>
      </c>
      <c r="T44" s="55">
        <v>57.073344797936372</v>
      </c>
      <c r="U44" s="55">
        <v>55.924075666380062</v>
      </c>
      <c r="V44" s="55">
        <v>59.324505588993972</v>
      </c>
      <c r="W44" s="55">
        <v>68.154686156491834</v>
      </c>
      <c r="X44" s="55">
        <v>47.761994840928629</v>
      </c>
      <c r="Y44" s="55">
        <v>56.415391229578667</v>
      </c>
      <c r="DA44" s="101" t="s">
        <v>210</v>
      </c>
    </row>
    <row r="45" spans="1:105" ht="12" customHeight="1" x14ac:dyDescent="0.25">
      <c r="A45" s="62" t="s">
        <v>24</v>
      </c>
      <c r="B45" s="63">
        <v>246.1577815993121</v>
      </c>
      <c r="C45" s="63">
        <v>271.64419604471198</v>
      </c>
      <c r="D45" s="63">
        <v>293.94711951848672</v>
      </c>
      <c r="E45" s="63">
        <v>317.62928745139618</v>
      </c>
      <c r="F45" s="63">
        <v>340.80022424370168</v>
      </c>
      <c r="G45" s="63">
        <v>373.42128511096513</v>
      </c>
      <c r="H45" s="63">
        <v>396.6680600490543</v>
      </c>
      <c r="I45" s="63">
        <v>412.61019215576505</v>
      </c>
      <c r="J45" s="63">
        <v>447.96443888705204</v>
      </c>
      <c r="K45" s="63">
        <v>449.80088973818818</v>
      </c>
      <c r="L45" s="63">
        <v>456.22281458307839</v>
      </c>
      <c r="M45" s="63">
        <v>467.35000158569443</v>
      </c>
      <c r="N45" s="63">
        <v>467.46988337086128</v>
      </c>
      <c r="O45" s="63">
        <v>456.61410826563429</v>
      </c>
      <c r="P45" s="63">
        <v>441.58305424917796</v>
      </c>
      <c r="Q45" s="63">
        <v>457.84833084784287</v>
      </c>
      <c r="R45" s="63">
        <v>460.09688369092584</v>
      </c>
      <c r="S45" s="63">
        <v>489.72654184353848</v>
      </c>
      <c r="T45" s="63">
        <v>503.75997023819372</v>
      </c>
      <c r="U45" s="63">
        <v>508.4936118355136</v>
      </c>
      <c r="V45" s="63">
        <v>442.66452886613001</v>
      </c>
      <c r="W45" s="63">
        <v>488.19683611636771</v>
      </c>
      <c r="X45" s="63">
        <v>508.55814398527559</v>
      </c>
      <c r="Y45" s="63">
        <v>500.03917382771743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520.46827171109203</v>
      </c>
      <c r="C47" s="82">
        <f t="shared" ref="C47:W47" si="34">SUM(C48,C53)</f>
        <v>594.08624247635419</v>
      </c>
      <c r="D47" s="82">
        <f t="shared" si="34"/>
        <v>626.07394668959591</v>
      </c>
      <c r="E47" s="82">
        <f t="shared" si="34"/>
        <v>666.29240009112095</v>
      </c>
      <c r="F47" s="82">
        <f t="shared" si="34"/>
        <v>690.26239105367574</v>
      </c>
      <c r="G47" s="82">
        <f t="shared" si="34"/>
        <v>721.25834444028578</v>
      </c>
      <c r="H47" s="82">
        <f t="shared" si="34"/>
        <v>715.27923803701651</v>
      </c>
      <c r="I47" s="82">
        <f t="shared" si="34"/>
        <v>707.57029533719231</v>
      </c>
      <c r="J47" s="82">
        <f t="shared" si="34"/>
        <v>754.35945178473025</v>
      </c>
      <c r="K47" s="82">
        <f t="shared" si="34"/>
        <v>758.46176678032077</v>
      </c>
      <c r="L47" s="82">
        <f t="shared" si="34"/>
        <v>797.5834336716423</v>
      </c>
      <c r="M47" s="82">
        <f t="shared" si="34"/>
        <v>786.56694053668321</v>
      </c>
      <c r="N47" s="82">
        <f t="shared" si="34"/>
        <v>758.29997795383633</v>
      </c>
      <c r="O47" s="82">
        <f t="shared" si="34"/>
        <v>740.87352357087957</v>
      </c>
      <c r="P47" s="82">
        <f t="shared" si="34"/>
        <v>693.70093902991744</v>
      </c>
      <c r="Q47" s="82">
        <f t="shared" si="34"/>
        <v>763.60852001379317</v>
      </c>
      <c r="R47" s="82">
        <f t="shared" si="34"/>
        <v>780.88699547080546</v>
      </c>
      <c r="S47" s="82">
        <f t="shared" si="34"/>
        <v>817.94244898025408</v>
      </c>
      <c r="T47" s="82">
        <f t="shared" si="34"/>
        <v>832.86057212985327</v>
      </c>
      <c r="U47" s="82">
        <f t="shared" si="34"/>
        <v>835.77744674523001</v>
      </c>
      <c r="V47" s="82">
        <f t="shared" si="34"/>
        <v>757.6240301558978</v>
      </c>
      <c r="W47" s="82">
        <f t="shared" si="34"/>
        <v>847.75496165377126</v>
      </c>
      <c r="X47" s="82">
        <f t="shared" ref="X47:Y47" si="35">SUM(X48,X53)</f>
        <v>808.44275275569714</v>
      </c>
      <c r="Y47" s="82">
        <f t="shared" si="35"/>
        <v>780.1807043522233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389.52166646339913</v>
      </c>
      <c r="C48" s="64">
        <f t="shared" ref="C48:W48" si="37">SUM(C49:C52)</f>
        <v>453.33880481805579</v>
      </c>
      <c r="D48" s="64">
        <f t="shared" si="37"/>
        <v>474.40665478685099</v>
      </c>
      <c r="E48" s="64">
        <f t="shared" si="37"/>
        <v>501.97479127163615</v>
      </c>
      <c r="F48" s="64">
        <f t="shared" si="37"/>
        <v>513.36943825894116</v>
      </c>
      <c r="G48" s="64">
        <f t="shared" si="37"/>
        <v>532.22320513514615</v>
      </c>
      <c r="H48" s="64">
        <f t="shared" si="37"/>
        <v>514.9704175823872</v>
      </c>
      <c r="I48" s="64">
        <f t="shared" si="37"/>
        <v>497.07836082160526</v>
      </c>
      <c r="J48" s="64">
        <f t="shared" si="37"/>
        <v>537.61404232920756</v>
      </c>
      <c r="K48" s="64">
        <f t="shared" si="37"/>
        <v>537.78622282686524</v>
      </c>
      <c r="L48" s="64">
        <f t="shared" si="37"/>
        <v>573.60895173833978</v>
      </c>
      <c r="M48" s="64">
        <f t="shared" si="37"/>
        <v>559.84597257579776</v>
      </c>
      <c r="N48" s="64">
        <f t="shared" si="37"/>
        <v>530.48219018179259</v>
      </c>
      <c r="O48" s="64">
        <f t="shared" si="37"/>
        <v>511.18833188570045</v>
      </c>
      <c r="P48" s="64">
        <f t="shared" si="37"/>
        <v>458.65649540994679</v>
      </c>
      <c r="Q48" s="64">
        <f t="shared" si="37"/>
        <v>521.44842865029068</v>
      </c>
      <c r="R48" s="64">
        <f t="shared" si="37"/>
        <v>540.87086734523427</v>
      </c>
      <c r="S48" s="64">
        <f t="shared" si="37"/>
        <v>580.56347372231551</v>
      </c>
      <c r="T48" s="64">
        <f t="shared" si="37"/>
        <v>598.71632164616256</v>
      </c>
      <c r="U48" s="64">
        <f t="shared" si="37"/>
        <v>603.5129012588485</v>
      </c>
      <c r="V48" s="64">
        <f t="shared" si="37"/>
        <v>543.65196621762948</v>
      </c>
      <c r="W48" s="64">
        <f t="shared" si="37"/>
        <v>629.54886291201365</v>
      </c>
      <c r="X48" s="64">
        <f t="shared" ref="X48:Y48" si="38">SUM(X49:X52)</f>
        <v>592.09529586586541</v>
      </c>
      <c r="Y48" s="64">
        <f t="shared" si="38"/>
        <v>566.70154827020417</v>
      </c>
      <c r="DA48" s="108" t="s">
        <v>213</v>
      </c>
    </row>
    <row r="49" spans="1:105" ht="12" customHeight="1" x14ac:dyDescent="0.25">
      <c r="A49" s="61" t="s">
        <v>32</v>
      </c>
      <c r="B49" s="65">
        <v>272.47638730162015</v>
      </c>
      <c r="C49" s="65">
        <v>328.76250966711928</v>
      </c>
      <c r="D49" s="65">
        <v>343.39429105421817</v>
      </c>
      <c r="E49" s="65">
        <v>358.68182861575968</v>
      </c>
      <c r="F49" s="65">
        <v>368.41210069820994</v>
      </c>
      <c r="G49" s="65">
        <v>380.49826066967927</v>
      </c>
      <c r="H49" s="65">
        <v>354.91489670188423</v>
      </c>
      <c r="I49" s="65">
        <v>327.663092168665</v>
      </c>
      <c r="J49" s="65">
        <v>360.25787085081697</v>
      </c>
      <c r="K49" s="65">
        <v>353.89785614939774</v>
      </c>
      <c r="L49" s="65">
        <v>386.42367088269464</v>
      </c>
      <c r="M49" s="65">
        <v>370.2016156472643</v>
      </c>
      <c r="N49" s="65">
        <v>330.69207404344451</v>
      </c>
      <c r="O49" s="65">
        <v>316.26763081346087</v>
      </c>
      <c r="P49" s="65">
        <v>261.65322775171421</v>
      </c>
      <c r="Q49" s="65">
        <v>312.91245580484531</v>
      </c>
      <c r="R49" s="65">
        <v>334.8563993345449</v>
      </c>
      <c r="S49" s="65">
        <v>367.06971245310814</v>
      </c>
      <c r="T49" s="65">
        <v>387.9403774958285</v>
      </c>
      <c r="U49" s="65">
        <v>388.64397887657037</v>
      </c>
      <c r="V49" s="65">
        <v>354.85928913617153</v>
      </c>
      <c r="W49" s="65">
        <v>417.12924446578637</v>
      </c>
      <c r="X49" s="65">
        <v>377.36804141151646</v>
      </c>
      <c r="Y49" s="65">
        <v>358.36606535967985</v>
      </c>
      <c r="DA49" s="109" t="s">
        <v>214</v>
      </c>
    </row>
    <row r="50" spans="1:105" ht="12" customHeight="1" x14ac:dyDescent="0.25">
      <c r="A50" s="61" t="s">
        <v>31</v>
      </c>
      <c r="B50" s="65">
        <v>6.6908759206679429</v>
      </c>
      <c r="C50" s="65">
        <v>6.6945003390864724</v>
      </c>
      <c r="D50" s="65">
        <v>6.963028017426824</v>
      </c>
      <c r="E50" s="65">
        <v>14.429389398053109</v>
      </c>
      <c r="F50" s="65">
        <v>8.0375902650116249</v>
      </c>
      <c r="G50" s="65">
        <v>8.7744622938441612</v>
      </c>
      <c r="H50" s="65">
        <v>10.915937420651618</v>
      </c>
      <c r="I50" s="65">
        <v>12.691831252773801</v>
      </c>
      <c r="J50" s="65">
        <v>13.205604602943824</v>
      </c>
      <c r="K50" s="65">
        <v>13.424897092500633</v>
      </c>
      <c r="L50" s="65">
        <v>14.130153993469001</v>
      </c>
      <c r="M50" s="65">
        <v>15.578456042868797</v>
      </c>
      <c r="N50" s="65">
        <v>22.724442784227129</v>
      </c>
      <c r="O50" s="65">
        <v>15.104137748688411</v>
      </c>
      <c r="P50" s="65">
        <v>12.324841301607615</v>
      </c>
      <c r="Q50" s="65">
        <v>20.001014899238264</v>
      </c>
      <c r="R50" s="65">
        <v>13.46926797171127</v>
      </c>
      <c r="S50" s="65">
        <v>18.94494204903971</v>
      </c>
      <c r="T50" s="65">
        <v>14.027333118018026</v>
      </c>
      <c r="U50" s="65">
        <v>16.711804453272112</v>
      </c>
      <c r="V50" s="65">
        <v>12.908318088499124</v>
      </c>
      <c r="W50" s="65">
        <v>16.975555555108286</v>
      </c>
      <c r="X50" s="65">
        <v>17.756489753589168</v>
      </c>
      <c r="Y50" s="65">
        <v>15.373083236961895</v>
      </c>
      <c r="DA50" s="109" t="s">
        <v>215</v>
      </c>
    </row>
    <row r="51" spans="1:105" ht="12" customHeight="1" x14ac:dyDescent="0.25">
      <c r="A51" s="61" t="s">
        <v>35</v>
      </c>
      <c r="B51" s="65">
        <v>56.559746971147959</v>
      </c>
      <c r="C51" s="65">
        <v>59.455683274122649</v>
      </c>
      <c r="D51" s="65">
        <v>62.965522131836863</v>
      </c>
      <c r="E51" s="65">
        <v>65.99078340633622</v>
      </c>
      <c r="F51" s="65">
        <v>70.230304504165758</v>
      </c>
      <c r="G51" s="65">
        <v>73.300255131468489</v>
      </c>
      <c r="H51" s="65">
        <v>75.020326761679527</v>
      </c>
      <c r="I51" s="65">
        <v>77.993944698463892</v>
      </c>
      <c r="J51" s="65">
        <v>80.926842063502818</v>
      </c>
      <c r="K51" s="65">
        <v>82.202431441378479</v>
      </c>
      <c r="L51" s="65">
        <v>82.984175112591998</v>
      </c>
      <c r="M51" s="65">
        <v>83.198334876624813</v>
      </c>
      <c r="N51" s="65">
        <v>83.843911012373397</v>
      </c>
      <c r="O51" s="65">
        <v>84.828154550689533</v>
      </c>
      <c r="P51" s="65">
        <v>85.673803888362926</v>
      </c>
      <c r="Q51" s="65">
        <v>86.776534449988262</v>
      </c>
      <c r="R51" s="65">
        <v>86.952079908930884</v>
      </c>
      <c r="S51" s="65">
        <v>86.741969098622633</v>
      </c>
      <c r="T51" s="65">
        <v>86.441647763464346</v>
      </c>
      <c r="U51" s="65">
        <v>85.740990340652687</v>
      </c>
      <c r="V51" s="65">
        <v>79.008176764377467</v>
      </c>
      <c r="W51" s="65">
        <v>82.382434778286097</v>
      </c>
      <c r="X51" s="65">
        <v>82.353637606614711</v>
      </c>
      <c r="Y51" s="65">
        <v>79.998119897325111</v>
      </c>
      <c r="DA51" s="109" t="s">
        <v>216</v>
      </c>
    </row>
    <row r="52" spans="1:105" ht="12" customHeight="1" x14ac:dyDescent="0.25">
      <c r="A52" s="66" t="s">
        <v>34</v>
      </c>
      <c r="B52" s="67">
        <v>53.79465626996307</v>
      </c>
      <c r="C52" s="67">
        <v>58.426111537727415</v>
      </c>
      <c r="D52" s="67">
        <v>61.083813583369121</v>
      </c>
      <c r="E52" s="67">
        <v>62.87278985148717</v>
      </c>
      <c r="F52" s="67">
        <v>66.689442791553859</v>
      </c>
      <c r="G52" s="67">
        <v>69.650227040154178</v>
      </c>
      <c r="H52" s="67">
        <v>74.119256698171739</v>
      </c>
      <c r="I52" s="67">
        <v>78.72949270170254</v>
      </c>
      <c r="J52" s="67">
        <v>83.223724811943981</v>
      </c>
      <c r="K52" s="67">
        <v>88.261038143588337</v>
      </c>
      <c r="L52" s="67">
        <v>90.070951749584154</v>
      </c>
      <c r="M52" s="67">
        <v>90.86756600903982</v>
      </c>
      <c r="N52" s="67">
        <v>93.221762341747635</v>
      </c>
      <c r="O52" s="67">
        <v>94.988408772861618</v>
      </c>
      <c r="P52" s="67">
        <v>99.00462246826207</v>
      </c>
      <c r="Q52" s="67">
        <v>101.75842349621884</v>
      </c>
      <c r="R52" s="67">
        <v>105.59312013004724</v>
      </c>
      <c r="S52" s="67">
        <v>107.80685012154501</v>
      </c>
      <c r="T52" s="67">
        <v>110.30696326885165</v>
      </c>
      <c r="U52" s="67">
        <v>112.41612758835331</v>
      </c>
      <c r="V52" s="67">
        <v>96.876182228581385</v>
      </c>
      <c r="W52" s="67">
        <v>113.06162811283289</v>
      </c>
      <c r="X52" s="67">
        <v>114.61712709414513</v>
      </c>
      <c r="Y52" s="67">
        <v>112.96427977623729</v>
      </c>
      <c r="DA52" s="110" t="s">
        <v>217</v>
      </c>
    </row>
    <row r="53" spans="1:105" ht="12" customHeight="1" x14ac:dyDescent="0.25">
      <c r="A53" s="78" t="s">
        <v>33</v>
      </c>
      <c r="B53" s="68">
        <v>130.94660524769284</v>
      </c>
      <c r="C53" s="68">
        <v>140.74743765829842</v>
      </c>
      <c r="D53" s="68">
        <v>151.66729190274486</v>
      </c>
      <c r="E53" s="68">
        <v>164.31760881948475</v>
      </c>
      <c r="F53" s="68">
        <v>176.89295279473458</v>
      </c>
      <c r="G53" s="68">
        <v>189.03513930513969</v>
      </c>
      <c r="H53" s="68">
        <v>200.30882045462926</v>
      </c>
      <c r="I53" s="68">
        <v>210.49193451558708</v>
      </c>
      <c r="J53" s="68">
        <v>216.74540945552275</v>
      </c>
      <c r="K53" s="68">
        <v>220.67554395345553</v>
      </c>
      <c r="L53" s="68">
        <v>223.97448193330251</v>
      </c>
      <c r="M53" s="68">
        <v>226.72096796088542</v>
      </c>
      <c r="N53" s="68">
        <v>227.81778777204369</v>
      </c>
      <c r="O53" s="68">
        <v>229.68519168517912</v>
      </c>
      <c r="P53" s="68">
        <v>235.04444361997071</v>
      </c>
      <c r="Q53" s="68">
        <v>242.16009136350252</v>
      </c>
      <c r="R53" s="68">
        <v>240.01612812557119</v>
      </c>
      <c r="S53" s="68">
        <v>237.37897525793858</v>
      </c>
      <c r="T53" s="68">
        <v>234.14425048369071</v>
      </c>
      <c r="U53" s="68">
        <v>232.26454548638156</v>
      </c>
      <c r="V53" s="68">
        <v>213.97206393826826</v>
      </c>
      <c r="W53" s="68">
        <v>218.20609874175756</v>
      </c>
      <c r="X53" s="68">
        <v>216.34745688983173</v>
      </c>
      <c r="Y53" s="68">
        <v>213.4791560820191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0.74840617120195874</v>
      </c>
      <c r="C56" s="70">
        <f t="shared" ref="C56:W56" si="43">IF(C48=0,0,C48/C$47)</f>
        <v>0.76308584916625055</v>
      </c>
      <c r="D56" s="70">
        <f t="shared" si="43"/>
        <v>0.75774859710311382</v>
      </c>
      <c r="E56" s="70">
        <f t="shared" si="43"/>
        <v>0.75338513722051603</v>
      </c>
      <c r="F56" s="70">
        <f t="shared" si="43"/>
        <v>0.74373085498007507</v>
      </c>
      <c r="G56" s="70">
        <f t="shared" si="43"/>
        <v>0.73790925157082854</v>
      </c>
      <c r="H56" s="70">
        <f t="shared" si="43"/>
        <v>0.71995717224457856</v>
      </c>
      <c r="I56" s="70">
        <f t="shared" si="43"/>
        <v>0.70251445559161407</v>
      </c>
      <c r="J56" s="70">
        <f t="shared" si="43"/>
        <v>0.7126762196155596</v>
      </c>
      <c r="K56" s="70">
        <f t="shared" si="43"/>
        <v>0.70904855904573039</v>
      </c>
      <c r="L56" s="70">
        <f t="shared" si="43"/>
        <v>0.71918363336328928</v>
      </c>
      <c r="M56" s="70">
        <f t="shared" si="43"/>
        <v>0.71175883923345262</v>
      </c>
      <c r="N56" s="70">
        <f t="shared" si="43"/>
        <v>0.69956772465327333</v>
      </c>
      <c r="O56" s="70">
        <f t="shared" si="43"/>
        <v>0.68998056432339894</v>
      </c>
      <c r="P56" s="70">
        <f t="shared" si="43"/>
        <v>0.66117323705996334</v>
      </c>
      <c r="Q56" s="70">
        <f t="shared" si="43"/>
        <v>0.68287403163190441</v>
      </c>
      <c r="R56" s="70">
        <f t="shared" si="43"/>
        <v>0.6926365408597146</v>
      </c>
      <c r="S56" s="70">
        <f t="shared" si="43"/>
        <v>0.7097852354357157</v>
      </c>
      <c r="T56" s="70">
        <f t="shared" si="43"/>
        <v>0.71886740912116953</v>
      </c>
      <c r="U56" s="70">
        <f t="shared" si="43"/>
        <v>0.72209761535096473</v>
      </c>
      <c r="V56" s="70">
        <f t="shared" si="43"/>
        <v>0.71757487167581147</v>
      </c>
      <c r="W56" s="70">
        <f t="shared" si="43"/>
        <v>0.74260711100282017</v>
      </c>
      <c r="X56" s="70">
        <f t="shared" ref="X56:Y56" si="44">IF(X48=0,0,X48/X$47)</f>
        <v>0.73238988641758573</v>
      </c>
      <c r="Y56" s="70">
        <f t="shared" si="44"/>
        <v>0.72637216622876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0.52352160950335458</v>
      </c>
      <c r="C57" s="71">
        <f t="shared" ref="C57:W57" si="46">IF(C49=0,0,C49/C$47)</f>
        <v>0.55339189188546922</v>
      </c>
      <c r="D57" s="71">
        <f t="shared" si="46"/>
        <v>0.54848839002155636</v>
      </c>
      <c r="E57" s="71">
        <f t="shared" si="46"/>
        <v>0.5383249584817521</v>
      </c>
      <c r="F57" s="71">
        <f t="shared" si="46"/>
        <v>0.53372761644428302</v>
      </c>
      <c r="G57" s="71">
        <f t="shared" si="46"/>
        <v>0.52754781085403635</v>
      </c>
      <c r="H57" s="71">
        <f t="shared" si="46"/>
        <v>0.49619068725648791</v>
      </c>
      <c r="I57" s="71">
        <f t="shared" si="46"/>
        <v>0.46308203485636334</v>
      </c>
      <c r="J57" s="71">
        <f t="shared" si="46"/>
        <v>0.4775679153995977</v>
      </c>
      <c r="K57" s="71">
        <f t="shared" si="46"/>
        <v>0.46659946703931876</v>
      </c>
      <c r="L57" s="71">
        <f t="shared" si="46"/>
        <v>0.48449310074534685</v>
      </c>
      <c r="M57" s="71">
        <f t="shared" si="46"/>
        <v>0.47065493929184427</v>
      </c>
      <c r="N57" s="71">
        <f t="shared" si="46"/>
        <v>0.43609664203837856</v>
      </c>
      <c r="O57" s="71">
        <f t="shared" si="46"/>
        <v>0.42688477958978305</v>
      </c>
      <c r="P57" s="71">
        <f t="shared" si="46"/>
        <v>0.3771844796946856</v>
      </c>
      <c r="Q57" s="71">
        <f t="shared" si="46"/>
        <v>0.40978125257061448</v>
      </c>
      <c r="R57" s="71">
        <f t="shared" si="46"/>
        <v>0.42881543843953535</v>
      </c>
      <c r="S57" s="71">
        <f t="shared" si="46"/>
        <v>0.44877205347483995</v>
      </c>
      <c r="T57" s="71">
        <f t="shared" si="46"/>
        <v>0.46579270345786494</v>
      </c>
      <c r="U57" s="71">
        <f t="shared" si="46"/>
        <v>0.46500893316763631</v>
      </c>
      <c r="V57" s="71">
        <f t="shared" si="46"/>
        <v>0.46838441629570726</v>
      </c>
      <c r="W57" s="71">
        <f t="shared" si="46"/>
        <v>0.49203987394195248</v>
      </c>
      <c r="X57" s="71">
        <f t="shared" ref="X57:Y57" si="47">IF(X49=0,0,X49/X$47)</f>
        <v>0.46678387569831192</v>
      </c>
      <c r="Y57" s="71">
        <f t="shared" si="47"/>
        <v>0.45933725784365281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1.285549241776259E-2</v>
      </c>
      <c r="C58" s="72">
        <f t="shared" ref="C58:W58" si="49">IF(C50=0,0,C50/C$47)</f>
        <v>1.1268566515160342E-2</v>
      </c>
      <c r="D58" s="72">
        <f t="shared" si="49"/>
        <v>1.1121734188500029E-2</v>
      </c>
      <c r="E58" s="72">
        <f t="shared" si="49"/>
        <v>2.1656241908326993E-2</v>
      </c>
      <c r="F58" s="72">
        <f t="shared" si="49"/>
        <v>1.1644253502993779E-2</v>
      </c>
      <c r="G58" s="72">
        <f t="shared" si="49"/>
        <v>1.2165491548875402E-2</v>
      </c>
      <c r="H58" s="72">
        <f t="shared" si="49"/>
        <v>1.526108523799583E-2</v>
      </c>
      <c r="I58" s="72">
        <f t="shared" si="49"/>
        <v>1.793720190970639E-2</v>
      </c>
      <c r="J58" s="72">
        <f t="shared" si="49"/>
        <v>1.7505719019892754E-2</v>
      </c>
      <c r="K58" s="72">
        <f t="shared" si="49"/>
        <v>1.7700163252116822E-2</v>
      </c>
      <c r="L58" s="72">
        <f t="shared" si="49"/>
        <v>1.771620798142888E-2</v>
      </c>
      <c r="M58" s="72">
        <f t="shared" si="49"/>
        <v>1.9805632858456327E-2</v>
      </c>
      <c r="N58" s="72">
        <f t="shared" si="49"/>
        <v>2.9967616306076885E-2</v>
      </c>
      <c r="O58" s="72">
        <f t="shared" si="49"/>
        <v>2.0386931464211507E-2</v>
      </c>
      <c r="P58" s="72">
        <f t="shared" si="49"/>
        <v>1.7766793452583286E-2</v>
      </c>
      <c r="Q58" s="72">
        <f t="shared" si="49"/>
        <v>2.6192760262650005E-2</v>
      </c>
      <c r="R58" s="72">
        <f t="shared" si="49"/>
        <v>1.7248677529314596E-2</v>
      </c>
      <c r="S58" s="72">
        <f t="shared" si="49"/>
        <v>2.316170541418747E-2</v>
      </c>
      <c r="T58" s="72">
        <f t="shared" si="49"/>
        <v>1.6842354635838122E-2</v>
      </c>
      <c r="U58" s="72">
        <f t="shared" si="49"/>
        <v>1.99955197622919E-2</v>
      </c>
      <c r="V58" s="72">
        <f t="shared" si="49"/>
        <v>1.7037894225507808E-2</v>
      </c>
      <c r="W58" s="72">
        <f t="shared" si="49"/>
        <v>2.0024129993875771E-2</v>
      </c>
      <c r="X58" s="72">
        <f t="shared" ref="X58:Y58" si="50">IF(X50=0,0,X50/X$47)</f>
        <v>2.1963818332298157E-2</v>
      </c>
      <c r="Y58" s="72">
        <f t="shared" si="50"/>
        <v>1.9704516083521986E-2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0.10867088359719235</v>
      </c>
      <c r="C59" s="72">
        <f t="shared" ref="C59:W59" si="52">IF(C51=0,0,C51/C$47)</f>
        <v>0.10007921244951082</v>
      </c>
      <c r="D59" s="72">
        <f t="shared" si="52"/>
        <v>0.1005720210284598</v>
      </c>
      <c r="E59" s="72">
        <f t="shared" si="52"/>
        <v>9.9041777149658977E-2</v>
      </c>
      <c r="F59" s="72">
        <f t="shared" si="52"/>
        <v>0.10174435897769281</v>
      </c>
      <c r="G59" s="72">
        <f t="shared" si="52"/>
        <v>0.10162829407311924</v>
      </c>
      <c r="H59" s="72">
        <f t="shared" si="52"/>
        <v>0.10488257280829552</v>
      </c>
      <c r="I59" s="72">
        <f t="shared" si="52"/>
        <v>0.1102278391453614</v>
      </c>
      <c r="J59" s="72">
        <f t="shared" si="52"/>
        <v>0.10727888657328935</v>
      </c>
      <c r="K59" s="72">
        <f t="shared" si="52"/>
        <v>0.10838045507597407</v>
      </c>
      <c r="L59" s="72">
        <f t="shared" si="52"/>
        <v>0.10404450695594038</v>
      </c>
      <c r="M59" s="72">
        <f t="shared" si="52"/>
        <v>0.10577400420599635</v>
      </c>
      <c r="N59" s="72">
        <f t="shared" si="52"/>
        <v>0.11056826249502757</v>
      </c>
      <c r="O59" s="72">
        <f t="shared" si="52"/>
        <v>0.11449748418843854</v>
      </c>
      <c r="P59" s="72">
        <f t="shared" si="52"/>
        <v>0.12350250528443936</v>
      </c>
      <c r="Q59" s="72">
        <f t="shared" si="52"/>
        <v>0.11364008150199896</v>
      </c>
      <c r="R59" s="72">
        <f t="shared" si="52"/>
        <v>0.11135040077918894</v>
      </c>
      <c r="S59" s="72">
        <f t="shared" si="52"/>
        <v>0.10604898817363698</v>
      </c>
      <c r="T59" s="72">
        <f t="shared" si="52"/>
        <v>0.10378885813073047</v>
      </c>
      <c r="U59" s="72">
        <f t="shared" si="52"/>
        <v>0.10258830347068351</v>
      </c>
      <c r="V59" s="72">
        <f t="shared" si="52"/>
        <v>0.10428414836329808</v>
      </c>
      <c r="W59" s="72">
        <f t="shared" si="52"/>
        <v>9.7177177963756495E-2</v>
      </c>
      <c r="X59" s="72">
        <f t="shared" ref="X59:Y59" si="53">IF(X51=0,0,X51/X$47)</f>
        <v>0.10186699964332677</v>
      </c>
      <c r="Y59" s="72">
        <f t="shared" si="53"/>
        <v>0.10253793698185192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0.10335818568364927</v>
      </c>
      <c r="C60" s="73">
        <f t="shared" ref="C60:W60" si="55">IF(C52=0,0,C52/C$47)</f>
        <v>9.8346178316110214E-2</v>
      </c>
      <c r="D60" s="73">
        <f t="shared" si="55"/>
        <v>9.7566451864597628E-2</v>
      </c>
      <c r="E60" s="73">
        <f t="shared" si="55"/>
        <v>9.4362159680777991E-2</v>
      </c>
      <c r="F60" s="73">
        <f t="shared" si="55"/>
        <v>9.6614626055105471E-2</v>
      </c>
      <c r="G60" s="73">
        <f t="shared" si="55"/>
        <v>9.6567655094797505E-2</v>
      </c>
      <c r="H60" s="73">
        <f t="shared" si="55"/>
        <v>0.10362282694179917</v>
      </c>
      <c r="I60" s="73">
        <f t="shared" si="55"/>
        <v>0.11126737968018292</v>
      </c>
      <c r="J60" s="73">
        <f t="shared" si="55"/>
        <v>0.11032369862277981</v>
      </c>
      <c r="K60" s="73">
        <f t="shared" si="55"/>
        <v>0.11636847367832065</v>
      </c>
      <c r="L60" s="73">
        <f t="shared" si="55"/>
        <v>0.11292981768057325</v>
      </c>
      <c r="M60" s="73">
        <f t="shared" si="55"/>
        <v>0.11552426287715561</v>
      </c>
      <c r="N60" s="73">
        <f t="shared" si="55"/>
        <v>0.1229352038137904</v>
      </c>
      <c r="O60" s="73">
        <f t="shared" si="55"/>
        <v>0.12821136908096575</v>
      </c>
      <c r="P60" s="73">
        <f t="shared" si="55"/>
        <v>0.14271945862825519</v>
      </c>
      <c r="Q60" s="73">
        <f t="shared" si="55"/>
        <v>0.1332599372966409</v>
      </c>
      <c r="R60" s="73">
        <f t="shared" si="55"/>
        <v>0.13522202411167569</v>
      </c>
      <c r="S60" s="73">
        <f t="shared" si="55"/>
        <v>0.13180248837305125</v>
      </c>
      <c r="T60" s="73">
        <f t="shared" si="55"/>
        <v>0.13244349289673593</v>
      </c>
      <c r="U60" s="73">
        <f t="shared" si="55"/>
        <v>0.13450485895035297</v>
      </c>
      <c r="V60" s="73">
        <f t="shared" si="55"/>
        <v>0.12786841279129832</v>
      </c>
      <c r="W60" s="73">
        <f t="shared" si="55"/>
        <v>0.13336592910323539</v>
      </c>
      <c r="X60" s="73">
        <f t="shared" ref="X60:Y60" si="56">IF(X52=0,0,X52/X$47)</f>
        <v>0.141775192743649</v>
      </c>
      <c r="Y60" s="73">
        <f t="shared" si="56"/>
        <v>0.14479245531973323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0.25159382879804115</v>
      </c>
      <c r="C61" s="70">
        <f t="shared" ref="C61:W61" si="58">IF(C53=0,0,C53/C$47)</f>
        <v>0.23691415083374945</v>
      </c>
      <c r="D61" s="70">
        <f t="shared" si="58"/>
        <v>0.24225140289688607</v>
      </c>
      <c r="E61" s="70">
        <f t="shared" si="58"/>
        <v>0.24661486277948386</v>
      </c>
      <c r="F61" s="70">
        <f t="shared" si="58"/>
        <v>0.25626914501992498</v>
      </c>
      <c r="G61" s="70">
        <f t="shared" si="58"/>
        <v>0.26209074842917152</v>
      </c>
      <c r="H61" s="70">
        <f t="shared" si="58"/>
        <v>0.28004282775542139</v>
      </c>
      <c r="I61" s="70">
        <f t="shared" si="58"/>
        <v>0.29748554440838593</v>
      </c>
      <c r="J61" s="70">
        <f t="shared" si="58"/>
        <v>0.28732378038444045</v>
      </c>
      <c r="K61" s="70">
        <f t="shared" si="58"/>
        <v>0.29095144095426967</v>
      </c>
      <c r="L61" s="70">
        <f t="shared" si="58"/>
        <v>0.28081636663671067</v>
      </c>
      <c r="M61" s="70">
        <f t="shared" si="58"/>
        <v>0.28824116076654738</v>
      </c>
      <c r="N61" s="70">
        <f t="shared" si="58"/>
        <v>0.30043227534672662</v>
      </c>
      <c r="O61" s="70">
        <f t="shared" si="58"/>
        <v>0.31001943567660112</v>
      </c>
      <c r="P61" s="70">
        <f t="shared" si="58"/>
        <v>0.33882676294003672</v>
      </c>
      <c r="Q61" s="70">
        <f t="shared" si="58"/>
        <v>0.31712596836809565</v>
      </c>
      <c r="R61" s="70">
        <f t="shared" si="58"/>
        <v>0.30736345914028546</v>
      </c>
      <c r="S61" s="70">
        <f t="shared" si="58"/>
        <v>0.2902147645642843</v>
      </c>
      <c r="T61" s="70">
        <f t="shared" si="58"/>
        <v>0.28113259087883047</v>
      </c>
      <c r="U61" s="70">
        <f t="shared" si="58"/>
        <v>0.27790238464903533</v>
      </c>
      <c r="V61" s="70">
        <f t="shared" si="58"/>
        <v>0.28242512832418848</v>
      </c>
      <c r="W61" s="70">
        <f t="shared" si="58"/>
        <v>0.25739288899717977</v>
      </c>
      <c r="X61" s="70">
        <f t="shared" ref="X61:Y61" si="59">IF(X53=0,0,X53/X$47)</f>
        <v>0.26761011358241421</v>
      </c>
      <c r="Y61" s="70">
        <f t="shared" si="59"/>
        <v>0.27362783377124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607.69996271999992</v>
      </c>
      <c r="C65" s="80">
        <v>714.06201095999995</v>
      </c>
      <c r="D65" s="80">
        <v>755.0837747999999</v>
      </c>
      <c r="E65" s="80">
        <v>779.68550051999989</v>
      </c>
      <c r="F65" s="80">
        <v>778.82867315999988</v>
      </c>
      <c r="G65" s="80">
        <v>751.12181495999994</v>
      </c>
      <c r="H65" s="80">
        <v>692.89520904000005</v>
      </c>
      <c r="I65" s="80">
        <v>614.82735323999998</v>
      </c>
      <c r="J65" s="80">
        <v>627.21562643999982</v>
      </c>
      <c r="K65" s="80">
        <v>628.10442396000008</v>
      </c>
      <c r="L65" s="80">
        <v>671.60315339999988</v>
      </c>
      <c r="M65" s="80">
        <v>613.23641712000006</v>
      </c>
      <c r="N65" s="80">
        <v>543.94437239999979</v>
      </c>
      <c r="O65" s="80">
        <v>513.75531132000003</v>
      </c>
      <c r="P65" s="80">
        <v>470.17943280000009</v>
      </c>
      <c r="Q65" s="80">
        <v>585.25182396000002</v>
      </c>
      <c r="R65" s="80">
        <v>609.69817799999998</v>
      </c>
      <c r="S65" s="80">
        <v>626.75588844000004</v>
      </c>
      <c r="T65" s="80">
        <v>627.27089363999994</v>
      </c>
      <c r="U65" s="80">
        <v>612.02895552000007</v>
      </c>
      <c r="V65" s="80">
        <v>570.75273612000001</v>
      </c>
      <c r="W65" s="80">
        <v>653.68611215999999</v>
      </c>
      <c r="X65" s="80">
        <v>563.05272672000001</v>
      </c>
      <c r="Y65" s="80">
        <v>495.7255623600002</v>
      </c>
      <c r="DA65" s="103" t="s">
        <v>219</v>
      </c>
    </row>
    <row r="66" spans="1:105" ht="12" customHeight="1" x14ac:dyDescent="0.25">
      <c r="A66" s="58" t="s">
        <v>29</v>
      </c>
      <c r="B66" s="59">
        <v>16.881495839999999</v>
      </c>
      <c r="C66" s="59">
        <v>12.714039359999999</v>
      </c>
      <c r="D66" s="59">
        <v>16.907362559999999</v>
      </c>
      <c r="E66" s="59">
        <v>20.925083519999998</v>
      </c>
      <c r="F66" s="59">
        <v>9.3684888000000015</v>
      </c>
      <c r="G66" s="59">
        <v>1.3844159999999999</v>
      </c>
      <c r="H66" s="59">
        <v>8.098833599999999</v>
      </c>
      <c r="I66" s="59">
        <v>4.3262999999999998</v>
      </c>
      <c r="J66" s="59">
        <v>7.2681840000000015</v>
      </c>
      <c r="K66" s="59">
        <v>6.9220799999999993</v>
      </c>
      <c r="L66" s="59">
        <v>4.2024312000000004</v>
      </c>
      <c r="M66" s="59">
        <v>8.8183655999999999</v>
      </c>
      <c r="N66" s="59">
        <v>8.4919348800000005</v>
      </c>
      <c r="O66" s="59">
        <v>0.77855184000000011</v>
      </c>
      <c r="P66" s="59">
        <v>0.32096592000000002</v>
      </c>
      <c r="Q66" s="59">
        <v>0.16175808</v>
      </c>
      <c r="R66" s="59">
        <v>0.17086608</v>
      </c>
      <c r="S66" s="59">
        <v>0.51915599999999995</v>
      </c>
      <c r="T66" s="59">
        <v>0.17305199999999998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401.16155687999998</v>
      </c>
      <c r="C67" s="55">
        <f t="shared" ref="C67:W67" si="60">SUM(C68:C69)</f>
        <v>444.81287159999999</v>
      </c>
      <c r="D67" s="55">
        <f t="shared" si="60"/>
        <v>498.38725223999984</v>
      </c>
      <c r="E67" s="55">
        <f t="shared" si="60"/>
        <v>504.58673699999986</v>
      </c>
      <c r="F67" s="55">
        <f t="shared" si="60"/>
        <v>500.3368743599998</v>
      </c>
      <c r="G67" s="55">
        <f t="shared" si="60"/>
        <v>455.73364943999997</v>
      </c>
      <c r="H67" s="55">
        <f t="shared" si="60"/>
        <v>398.32367543999999</v>
      </c>
      <c r="I67" s="55">
        <f t="shared" si="60"/>
        <v>330.29937323999997</v>
      </c>
      <c r="J67" s="55">
        <f t="shared" si="60"/>
        <v>314.94005243999993</v>
      </c>
      <c r="K67" s="55">
        <f t="shared" si="60"/>
        <v>308.62683396</v>
      </c>
      <c r="L67" s="55">
        <f t="shared" si="60"/>
        <v>297.67568219999998</v>
      </c>
      <c r="M67" s="55">
        <f t="shared" si="60"/>
        <v>271.53802152000003</v>
      </c>
      <c r="N67" s="55">
        <f t="shared" si="60"/>
        <v>225.01507751999998</v>
      </c>
      <c r="O67" s="55">
        <f t="shared" si="60"/>
        <v>193.51842947999995</v>
      </c>
      <c r="P67" s="55">
        <f t="shared" si="60"/>
        <v>158.81927687999999</v>
      </c>
      <c r="Q67" s="55">
        <f t="shared" si="60"/>
        <v>187.30257588000001</v>
      </c>
      <c r="R67" s="55">
        <f t="shared" si="60"/>
        <v>183.96931751999995</v>
      </c>
      <c r="S67" s="55">
        <f t="shared" si="60"/>
        <v>175.97196144000003</v>
      </c>
      <c r="T67" s="55">
        <f t="shared" si="60"/>
        <v>152.34865200000002</v>
      </c>
      <c r="U67" s="55">
        <f t="shared" si="60"/>
        <v>121.53900347999999</v>
      </c>
      <c r="V67" s="55">
        <f t="shared" si="60"/>
        <v>110.60687016</v>
      </c>
      <c r="W67" s="55">
        <f t="shared" si="60"/>
        <v>106.45872948</v>
      </c>
      <c r="X67" s="55">
        <f t="shared" ref="X67:Y67" si="61">SUM(X68:X69)</f>
        <v>103.61614428000001</v>
      </c>
      <c r="Y67" s="55">
        <f t="shared" si="61"/>
        <v>93.247354799999982</v>
      </c>
      <c r="DA67" s="101"/>
    </row>
    <row r="68" spans="1:105" ht="12" customHeight="1" x14ac:dyDescent="0.25">
      <c r="A68" s="61" t="s">
        <v>52</v>
      </c>
      <c r="B68" s="55">
        <v>8.876277</v>
      </c>
      <c r="C68" s="55">
        <v>17.752554000000003</v>
      </c>
      <c r="D68" s="55">
        <v>17.752554000000003</v>
      </c>
      <c r="E68" s="55">
        <v>20.711313000000001</v>
      </c>
      <c r="F68" s="55">
        <v>23.96606148</v>
      </c>
      <c r="G68" s="55">
        <v>23.670072000000001</v>
      </c>
      <c r="H68" s="55">
        <v>26.628830999999987</v>
      </c>
      <c r="I68" s="55">
        <v>26.628830999999987</v>
      </c>
      <c r="J68" s="55">
        <v>29.587589999999992</v>
      </c>
      <c r="K68" s="55">
        <v>35.505108</v>
      </c>
      <c r="L68" s="55">
        <v>38.463867000000008</v>
      </c>
      <c r="M68" s="55">
        <v>35.505108</v>
      </c>
      <c r="N68" s="55">
        <v>35.505108</v>
      </c>
      <c r="O68" s="55">
        <v>35.505108</v>
      </c>
      <c r="P68" s="55">
        <v>35.505108</v>
      </c>
      <c r="Q68" s="55">
        <v>35.505108</v>
      </c>
      <c r="R68" s="55">
        <v>38.463867000000008</v>
      </c>
      <c r="S68" s="55">
        <v>35.80109748000001</v>
      </c>
      <c r="T68" s="55">
        <v>34.617593880000015</v>
      </c>
      <c r="U68" s="55">
        <v>36.096859800000011</v>
      </c>
      <c r="V68" s="55">
        <v>29.587589999999992</v>
      </c>
      <c r="W68" s="55">
        <v>34.617593880000015</v>
      </c>
      <c r="X68" s="55">
        <v>25.445327400000004</v>
      </c>
      <c r="Y68" s="55">
        <v>19.823798880000002</v>
      </c>
      <c r="DA68" s="101" t="s">
        <v>221</v>
      </c>
    </row>
    <row r="69" spans="1:105" ht="12" customHeight="1" x14ac:dyDescent="0.25">
      <c r="A69" s="61" t="s">
        <v>163</v>
      </c>
      <c r="B69" s="55">
        <v>392.28527987999996</v>
      </c>
      <c r="C69" s="55">
        <v>427.06031759999996</v>
      </c>
      <c r="D69" s="55">
        <v>480.63469823999981</v>
      </c>
      <c r="E69" s="55">
        <v>483.87542399999984</v>
      </c>
      <c r="F69" s="55">
        <v>476.37081287999979</v>
      </c>
      <c r="G69" s="55">
        <v>432.06357743999996</v>
      </c>
      <c r="H69" s="55">
        <v>371.69484444</v>
      </c>
      <c r="I69" s="55">
        <v>303.67054223999997</v>
      </c>
      <c r="J69" s="55">
        <v>285.35246243999995</v>
      </c>
      <c r="K69" s="55">
        <v>273.12172595999999</v>
      </c>
      <c r="L69" s="55">
        <v>259.21181519999999</v>
      </c>
      <c r="M69" s="55">
        <v>236.03291352000002</v>
      </c>
      <c r="N69" s="55">
        <v>189.50996951999997</v>
      </c>
      <c r="O69" s="55">
        <v>158.01332147999995</v>
      </c>
      <c r="P69" s="55">
        <v>123.31416887999998</v>
      </c>
      <c r="Q69" s="55">
        <v>151.79746788</v>
      </c>
      <c r="R69" s="55">
        <v>145.50545051999995</v>
      </c>
      <c r="S69" s="55">
        <v>140.17086396000002</v>
      </c>
      <c r="T69" s="55">
        <v>117.73105812</v>
      </c>
      <c r="U69" s="55">
        <v>85.442143679999987</v>
      </c>
      <c r="V69" s="55">
        <v>81.019280160000008</v>
      </c>
      <c r="W69" s="55">
        <v>71.841135599999987</v>
      </c>
      <c r="X69" s="55">
        <v>78.170816880000018</v>
      </c>
      <c r="Y69" s="55">
        <v>73.423555919999984</v>
      </c>
      <c r="DA69" s="101" t="s">
        <v>222</v>
      </c>
    </row>
    <row r="70" spans="1:105" ht="12" customHeight="1" x14ac:dyDescent="0.25">
      <c r="A70" s="60" t="s">
        <v>149</v>
      </c>
      <c r="B70" s="55">
        <v>189.65690999999998</v>
      </c>
      <c r="C70" s="55">
        <v>256.5351</v>
      </c>
      <c r="D70" s="55">
        <v>239.78916000000009</v>
      </c>
      <c r="E70" s="55">
        <v>254.17368000000005</v>
      </c>
      <c r="F70" s="55">
        <v>269.12331000000006</v>
      </c>
      <c r="G70" s="55">
        <v>294.00374952000004</v>
      </c>
      <c r="H70" s="55">
        <v>286.47270000000003</v>
      </c>
      <c r="I70" s="55">
        <v>280.20168000000001</v>
      </c>
      <c r="J70" s="55">
        <v>305.00738999999993</v>
      </c>
      <c r="K70" s="55">
        <v>312.55551000000008</v>
      </c>
      <c r="L70" s="55">
        <v>369.72503999999998</v>
      </c>
      <c r="M70" s="55">
        <v>332.88002999999998</v>
      </c>
      <c r="N70" s="55">
        <v>310.43735999999984</v>
      </c>
      <c r="O70" s="55">
        <v>319.4583300000001</v>
      </c>
      <c r="P70" s="55">
        <v>311.03919000000008</v>
      </c>
      <c r="Q70" s="55">
        <v>397.78749000000005</v>
      </c>
      <c r="R70" s="55">
        <v>425.55799439999998</v>
      </c>
      <c r="S70" s="55">
        <v>450.26477099999994</v>
      </c>
      <c r="T70" s="55">
        <v>474.74918963999994</v>
      </c>
      <c r="U70" s="55">
        <v>490.48995204000005</v>
      </c>
      <c r="V70" s="55">
        <v>460.14586596000004</v>
      </c>
      <c r="W70" s="55">
        <v>547.22738268000001</v>
      </c>
      <c r="X70" s="55">
        <v>459.43658243999994</v>
      </c>
      <c r="Y70" s="55">
        <v>402.47820756000021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0</v>
      </c>
      <c r="X71" s="55">
        <f t="shared" ref="X71:Y71" si="63">SUM(X72:X76)</f>
        <v>0</v>
      </c>
      <c r="Y71" s="55">
        <f t="shared" si="63"/>
        <v>0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607.69996272000003</v>
      </c>
      <c r="C81" s="82">
        <f t="shared" ref="C81:W81" si="65">C82+C87</f>
        <v>714.06201095999995</v>
      </c>
      <c r="D81" s="82">
        <f t="shared" si="65"/>
        <v>755.0837747999999</v>
      </c>
      <c r="E81" s="82">
        <f t="shared" si="65"/>
        <v>779.68550051999989</v>
      </c>
      <c r="F81" s="82">
        <f t="shared" si="65"/>
        <v>778.82867315999954</v>
      </c>
      <c r="G81" s="82">
        <f t="shared" si="65"/>
        <v>751.12181495999994</v>
      </c>
      <c r="H81" s="82">
        <f t="shared" si="65"/>
        <v>692.89520903999994</v>
      </c>
      <c r="I81" s="82">
        <f t="shared" si="65"/>
        <v>614.82735323999998</v>
      </c>
      <c r="J81" s="82">
        <f t="shared" si="65"/>
        <v>627.21562643999982</v>
      </c>
      <c r="K81" s="82">
        <f t="shared" si="65"/>
        <v>628.10442396000042</v>
      </c>
      <c r="L81" s="82">
        <f t="shared" si="65"/>
        <v>671.60315339999977</v>
      </c>
      <c r="M81" s="82">
        <f t="shared" si="65"/>
        <v>613.23641711999983</v>
      </c>
      <c r="N81" s="82">
        <f t="shared" si="65"/>
        <v>543.94437239999991</v>
      </c>
      <c r="O81" s="82">
        <f t="shared" si="65"/>
        <v>513.75531132000026</v>
      </c>
      <c r="P81" s="82">
        <f t="shared" si="65"/>
        <v>470.17943280000026</v>
      </c>
      <c r="Q81" s="82">
        <f t="shared" si="65"/>
        <v>585.25182396000037</v>
      </c>
      <c r="R81" s="82">
        <f t="shared" si="65"/>
        <v>609.69817800000021</v>
      </c>
      <c r="S81" s="82">
        <f t="shared" si="65"/>
        <v>626.75588844000015</v>
      </c>
      <c r="T81" s="82">
        <f t="shared" si="65"/>
        <v>627.27089363999983</v>
      </c>
      <c r="U81" s="82">
        <f t="shared" si="65"/>
        <v>612.02895552000041</v>
      </c>
      <c r="V81" s="82">
        <f t="shared" si="65"/>
        <v>570.75273611999978</v>
      </c>
      <c r="W81" s="82">
        <f t="shared" si="65"/>
        <v>653.68611216000022</v>
      </c>
      <c r="X81" s="82">
        <f t="shared" ref="X81:Y81" si="66">X82+X87</f>
        <v>563.05272672000069</v>
      </c>
      <c r="Y81" s="82">
        <f t="shared" si="66"/>
        <v>495.72556236000031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607.69996272000003</v>
      </c>
      <c r="C82" s="64">
        <f t="shared" ref="C82:W82" si="68">SUM(C83:C86)</f>
        <v>714.06201095999995</v>
      </c>
      <c r="D82" s="64">
        <f t="shared" si="68"/>
        <v>755.0837747999999</v>
      </c>
      <c r="E82" s="64">
        <f t="shared" si="68"/>
        <v>779.68550051999989</v>
      </c>
      <c r="F82" s="64">
        <f t="shared" si="68"/>
        <v>778.82867315999954</v>
      </c>
      <c r="G82" s="64">
        <f t="shared" si="68"/>
        <v>751.12181495999994</v>
      </c>
      <c r="H82" s="64">
        <f t="shared" si="68"/>
        <v>692.89520903999994</v>
      </c>
      <c r="I82" s="64">
        <f t="shared" si="68"/>
        <v>614.82735323999998</v>
      </c>
      <c r="J82" s="64">
        <f t="shared" si="68"/>
        <v>627.21562643999982</v>
      </c>
      <c r="K82" s="64">
        <f t="shared" si="68"/>
        <v>628.10442396000042</v>
      </c>
      <c r="L82" s="64">
        <f t="shared" si="68"/>
        <v>671.60315339999977</v>
      </c>
      <c r="M82" s="64">
        <f t="shared" si="68"/>
        <v>613.23641711999983</v>
      </c>
      <c r="N82" s="64">
        <f t="shared" si="68"/>
        <v>543.94437239999991</v>
      </c>
      <c r="O82" s="64">
        <f t="shared" si="68"/>
        <v>513.75531132000026</v>
      </c>
      <c r="P82" s="64">
        <f t="shared" si="68"/>
        <v>470.17943280000026</v>
      </c>
      <c r="Q82" s="64">
        <f t="shared" si="68"/>
        <v>585.25182396000037</v>
      </c>
      <c r="R82" s="64">
        <f t="shared" si="68"/>
        <v>609.69817800000021</v>
      </c>
      <c r="S82" s="64">
        <f t="shared" si="68"/>
        <v>626.75588844000015</v>
      </c>
      <c r="T82" s="64">
        <f t="shared" si="68"/>
        <v>627.27089363999983</v>
      </c>
      <c r="U82" s="64">
        <f t="shared" si="68"/>
        <v>612.02895552000041</v>
      </c>
      <c r="V82" s="64">
        <f t="shared" si="68"/>
        <v>570.75273611999978</v>
      </c>
      <c r="W82" s="64">
        <f t="shared" si="68"/>
        <v>653.68611216000022</v>
      </c>
      <c r="X82" s="64">
        <f t="shared" ref="X82:Y82" si="69">SUM(X83:X86)</f>
        <v>563.05272672000069</v>
      </c>
      <c r="Y82" s="64">
        <f t="shared" si="69"/>
        <v>495.72556236000031</v>
      </c>
      <c r="DA82" s="108" t="s">
        <v>233</v>
      </c>
    </row>
    <row r="83" spans="1:105" ht="12" customHeight="1" x14ac:dyDescent="0.25">
      <c r="A83" s="61" t="s">
        <v>32</v>
      </c>
      <c r="B83" s="65">
        <v>514.31332574379735</v>
      </c>
      <c r="C83" s="65">
        <v>606.67628336426162</v>
      </c>
      <c r="D83" s="65">
        <v>642.27473677956823</v>
      </c>
      <c r="E83" s="65">
        <v>660.30273191840979</v>
      </c>
      <c r="F83" s="65">
        <v>651.96747900824414</v>
      </c>
      <c r="G83" s="65">
        <v>618.95306767554166</v>
      </c>
      <c r="H83" s="65">
        <v>556.08379450791426</v>
      </c>
      <c r="I83" s="65">
        <v>474.32884136012183</v>
      </c>
      <c r="J83" s="65">
        <v>479.15250295192823</v>
      </c>
      <c r="K83" s="65">
        <v>471.94849504230956</v>
      </c>
      <c r="L83" s="65">
        <v>511.00853043004258</v>
      </c>
      <c r="M83" s="65">
        <v>455.98612519524016</v>
      </c>
      <c r="N83" s="65">
        <v>385.6260914615666</v>
      </c>
      <c r="O83" s="65">
        <v>354.64598138982115</v>
      </c>
      <c r="P83" s="65">
        <v>309.45637811019503</v>
      </c>
      <c r="Q83" s="65">
        <v>419.31711911745612</v>
      </c>
      <c r="R83" s="65">
        <v>436.29645427554294</v>
      </c>
      <c r="S83" s="65">
        <v>450.94438576421021</v>
      </c>
      <c r="T83" s="65">
        <v>450.90207151302002</v>
      </c>
      <c r="U83" s="65">
        <v>434.32399369168752</v>
      </c>
      <c r="V83" s="65">
        <v>413.4239035053472</v>
      </c>
      <c r="W83" s="65">
        <v>478.20244606971102</v>
      </c>
      <c r="X83" s="65">
        <v>390.69500797558374</v>
      </c>
      <c r="Y83" s="65">
        <v>346.56476969074151</v>
      </c>
      <c r="DA83" s="109" t="s">
        <v>234</v>
      </c>
    </row>
    <row r="84" spans="1:105" ht="12" customHeight="1" x14ac:dyDescent="0.25">
      <c r="A84" s="61" t="s">
        <v>31</v>
      </c>
      <c r="B84" s="65">
        <v>2.7417867475034895E-2</v>
      </c>
      <c r="C84" s="65">
        <v>2.7674005979787003E-2</v>
      </c>
      <c r="D84" s="65">
        <v>3.2915710809203372E-2</v>
      </c>
      <c r="E84" s="65">
        <v>7.7330283900488198E-2</v>
      </c>
      <c r="F84" s="65">
        <v>4.7007876561737848E-2</v>
      </c>
      <c r="G84" s="65">
        <v>5.511019173751186E-2</v>
      </c>
      <c r="H84" s="65">
        <v>7.2970457818282597E-2</v>
      </c>
      <c r="I84" s="65">
        <v>0.1073547700963573</v>
      </c>
      <c r="J84" s="65">
        <v>0.10595605898952187</v>
      </c>
      <c r="K84" s="65">
        <v>9.3542639621330193E-2</v>
      </c>
      <c r="L84" s="65">
        <v>0.10968586943782606</v>
      </c>
      <c r="M84" s="65">
        <v>0.13266367157462142</v>
      </c>
      <c r="N84" s="65">
        <v>0.18661391699156077</v>
      </c>
      <c r="O84" s="65">
        <v>0.16637494281341145</v>
      </c>
      <c r="P84" s="65">
        <v>0.13701083174164017</v>
      </c>
      <c r="Q84" s="65">
        <v>0.33928209320078095</v>
      </c>
      <c r="R84" s="65">
        <v>0.26337840158837372</v>
      </c>
      <c r="S84" s="65">
        <v>0.45825589008991918</v>
      </c>
      <c r="T84" s="65">
        <v>0.42610043657531821</v>
      </c>
      <c r="U84" s="65">
        <v>0.57990559076893644</v>
      </c>
      <c r="V84" s="65">
        <v>0.44569984946062519</v>
      </c>
      <c r="W84" s="65">
        <v>0.62071281525215782</v>
      </c>
      <c r="X84" s="65">
        <v>0.86268066939596444</v>
      </c>
      <c r="Y84" s="65">
        <v>0.89073079970129232</v>
      </c>
      <c r="DA84" s="109" t="s">
        <v>235</v>
      </c>
    </row>
    <row r="85" spans="1:105" ht="12" customHeight="1" x14ac:dyDescent="0.25">
      <c r="A85" s="61" t="s">
        <v>35</v>
      </c>
      <c r="B85" s="65">
        <v>72.224869802253778</v>
      </c>
      <c r="C85" s="65">
        <v>77.816099664199669</v>
      </c>
      <c r="D85" s="65">
        <v>83.672404213961997</v>
      </c>
      <c r="E85" s="65">
        <v>87.59722972752877</v>
      </c>
      <c r="F85" s="65">
        <v>92.453539058518047</v>
      </c>
      <c r="G85" s="65">
        <v>97.422606814301147</v>
      </c>
      <c r="H85" s="65">
        <v>99.334770582754871</v>
      </c>
      <c r="I85" s="65">
        <v>102.3089005113216</v>
      </c>
      <c r="J85" s="65">
        <v>106.68343965420395</v>
      </c>
      <c r="K85" s="65">
        <v>109.15116021485208</v>
      </c>
      <c r="L85" s="65">
        <v>110.6114283588625</v>
      </c>
      <c r="M85" s="65">
        <v>109.29624527132729</v>
      </c>
      <c r="N85" s="65">
        <v>109.00118369876967</v>
      </c>
      <c r="O85" s="65">
        <v>109.69524299306032</v>
      </c>
      <c r="P85" s="65">
        <v>110.64009924287512</v>
      </c>
      <c r="Q85" s="65">
        <v>113.42123590989979</v>
      </c>
      <c r="R85" s="65">
        <v>116.29292085540621</v>
      </c>
      <c r="S85" s="65">
        <v>117.89959091736165</v>
      </c>
      <c r="T85" s="65">
        <v>118.09994468620383</v>
      </c>
      <c r="U85" s="65">
        <v>117.35529104418977</v>
      </c>
      <c r="V85" s="65">
        <v>105.00569251452045</v>
      </c>
      <c r="W85" s="65">
        <v>113.74974419633114</v>
      </c>
      <c r="X85" s="65">
        <v>95.983502705674724</v>
      </c>
      <c r="Y85" s="65">
        <v>84.435156703307314</v>
      </c>
      <c r="DA85" s="109" t="s">
        <v>236</v>
      </c>
    </row>
    <row r="86" spans="1:105" ht="12" customHeight="1" x14ac:dyDescent="0.25">
      <c r="A86" s="66" t="s">
        <v>34</v>
      </c>
      <c r="B86" s="67">
        <v>21.134349306473815</v>
      </c>
      <c r="C86" s="67">
        <v>29.541953925558886</v>
      </c>
      <c r="D86" s="67">
        <v>29.103718095660454</v>
      </c>
      <c r="E86" s="67">
        <v>31.708208590160872</v>
      </c>
      <c r="F86" s="67">
        <v>34.360647216675623</v>
      </c>
      <c r="G86" s="67">
        <v>34.691030278419561</v>
      </c>
      <c r="H86" s="67">
        <v>37.403673491512428</v>
      </c>
      <c r="I86" s="67">
        <v>38.082256598460177</v>
      </c>
      <c r="J86" s="67">
        <v>41.273727774878182</v>
      </c>
      <c r="K86" s="67">
        <v>46.91122606321747</v>
      </c>
      <c r="L86" s="67">
        <v>49.873508741656771</v>
      </c>
      <c r="M86" s="67">
        <v>47.821382981857688</v>
      </c>
      <c r="N86" s="67">
        <v>49.130483322672077</v>
      </c>
      <c r="O86" s="67">
        <v>49.247711994305391</v>
      </c>
      <c r="P86" s="67">
        <v>49.94594461518848</v>
      </c>
      <c r="Q86" s="67">
        <v>52.174186839443664</v>
      </c>
      <c r="R86" s="67">
        <v>56.845424467462635</v>
      </c>
      <c r="S86" s="67">
        <v>57.453655868338359</v>
      </c>
      <c r="T86" s="67">
        <v>57.84277700420067</v>
      </c>
      <c r="U86" s="67">
        <v>59.769765193354118</v>
      </c>
      <c r="V86" s="67">
        <v>51.877440250671526</v>
      </c>
      <c r="W86" s="67">
        <v>61.113209078706006</v>
      </c>
      <c r="X86" s="67">
        <v>75.511535369346291</v>
      </c>
      <c r="Y86" s="67">
        <v>63.834905166250167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0.84632772304573778</v>
      </c>
      <c r="C91" s="71">
        <f t="shared" ref="C91:W91" si="77">IF(C83=0,0,C83/C$81)</f>
        <v>0.84961288242828281</v>
      </c>
      <c r="D91" s="71">
        <f t="shared" si="77"/>
        <v>0.85060063295584443</v>
      </c>
      <c r="E91" s="71">
        <f t="shared" si="77"/>
        <v>0.84688343117581444</v>
      </c>
      <c r="F91" s="71">
        <f t="shared" si="77"/>
        <v>0.83711283556493621</v>
      </c>
      <c r="G91" s="71">
        <f t="shared" si="77"/>
        <v>0.82403819906163056</v>
      </c>
      <c r="H91" s="71">
        <f t="shared" si="77"/>
        <v>0.80255107446674845</v>
      </c>
      <c r="I91" s="71">
        <f t="shared" si="77"/>
        <v>0.77148298438662</v>
      </c>
      <c r="J91" s="71">
        <f t="shared" si="77"/>
        <v>0.7639358503734035</v>
      </c>
      <c r="K91" s="71">
        <f t="shared" si="77"/>
        <v>0.7513854019158519</v>
      </c>
      <c r="L91" s="71">
        <f t="shared" si="77"/>
        <v>0.76087869427511645</v>
      </c>
      <c r="M91" s="71">
        <f t="shared" si="77"/>
        <v>0.74357313503449607</v>
      </c>
      <c r="N91" s="71">
        <f t="shared" si="77"/>
        <v>0.70894398587138807</v>
      </c>
      <c r="O91" s="71">
        <f t="shared" si="77"/>
        <v>0.69030134302382817</v>
      </c>
      <c r="P91" s="71">
        <f t="shared" si="77"/>
        <v>0.65816655625986975</v>
      </c>
      <c r="Q91" s="71">
        <f t="shared" si="77"/>
        <v>0.71647298128901649</v>
      </c>
      <c r="R91" s="71">
        <f t="shared" si="77"/>
        <v>0.71559415792701087</v>
      </c>
      <c r="S91" s="71">
        <f t="shared" si="77"/>
        <v>0.71948966747901477</v>
      </c>
      <c r="T91" s="71">
        <f t="shared" si="77"/>
        <v>0.71883149064429486</v>
      </c>
      <c r="U91" s="71">
        <f t="shared" si="77"/>
        <v>0.70964615280770704</v>
      </c>
      <c r="V91" s="71">
        <f t="shared" si="77"/>
        <v>0.72434852667692784</v>
      </c>
      <c r="W91" s="71">
        <f t="shared" si="77"/>
        <v>0.73154750754849029</v>
      </c>
      <c r="X91" s="71">
        <f t="shared" ref="X91:Y91" si="78">IF(X83=0,0,X83/X$81)</f>
        <v>0.69388707208920353</v>
      </c>
      <c r="Y91" s="71">
        <f t="shared" si="78"/>
        <v>0.69910611032614678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4.5117441430003474E-5</v>
      </c>
      <c r="C92" s="72">
        <f t="shared" ref="C92:W92" si="80">IF(C84=0,0,C84/C$81)</f>
        <v>3.8755746076704862E-5</v>
      </c>
      <c r="D92" s="72">
        <f t="shared" si="80"/>
        <v>4.3592130976356631E-5</v>
      </c>
      <c r="E92" s="72">
        <f t="shared" si="80"/>
        <v>9.9181379990924412E-5</v>
      </c>
      <c r="F92" s="72">
        <f t="shared" si="80"/>
        <v>6.0357146804841292E-5</v>
      </c>
      <c r="G92" s="72">
        <f t="shared" si="80"/>
        <v>7.3370511466834025E-5</v>
      </c>
      <c r="H92" s="72">
        <f t="shared" si="80"/>
        <v>1.0531240058562753E-4</v>
      </c>
      <c r="I92" s="72">
        <f t="shared" si="80"/>
        <v>1.7460961931934572E-4</v>
      </c>
      <c r="J92" s="72">
        <f t="shared" si="80"/>
        <v>1.6893083418682611E-4</v>
      </c>
      <c r="K92" s="72">
        <f t="shared" si="80"/>
        <v>1.4892848394789729E-4</v>
      </c>
      <c r="L92" s="72">
        <f t="shared" si="80"/>
        <v>1.6331946757923917E-4</v>
      </c>
      <c r="M92" s="72">
        <f t="shared" si="80"/>
        <v>2.163336486075996E-4</v>
      </c>
      <c r="N92" s="72">
        <f t="shared" si="80"/>
        <v>3.4307537031439431E-4</v>
      </c>
      <c r="O92" s="72">
        <f t="shared" si="80"/>
        <v>3.2384082295118559E-4</v>
      </c>
      <c r="P92" s="72">
        <f t="shared" si="80"/>
        <v>2.9140115918239307E-4</v>
      </c>
      <c r="Q92" s="72">
        <f t="shared" si="80"/>
        <v>5.7971983906874506E-4</v>
      </c>
      <c r="R92" s="72">
        <f t="shared" si="80"/>
        <v>4.3198161170882428E-4</v>
      </c>
      <c r="S92" s="72">
        <f t="shared" si="80"/>
        <v>7.3115530071926626E-4</v>
      </c>
      <c r="T92" s="72">
        <f t="shared" si="80"/>
        <v>6.7929253675823136E-4</v>
      </c>
      <c r="U92" s="72">
        <f t="shared" si="80"/>
        <v>9.475133252089832E-4</v>
      </c>
      <c r="V92" s="72">
        <f t="shared" si="80"/>
        <v>7.8089831419908876E-4</v>
      </c>
      <c r="W92" s="72">
        <f t="shared" si="80"/>
        <v>9.4955790509471366E-4</v>
      </c>
      <c r="X92" s="72">
        <f t="shared" ref="X92:Y92" si="81">IF(X84=0,0,X84/X$81)</f>
        <v>1.5321489950353533E-3</v>
      </c>
      <c r="Y92" s="72">
        <f t="shared" si="81"/>
        <v>1.7968224100867239E-3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0.11884955443963331</v>
      </c>
      <c r="C93" s="72">
        <f t="shared" ref="C93:W93" si="83">IF(C85=0,0,C85/C$81)</f>
        <v>0.10897666935058213</v>
      </c>
      <c r="D93" s="72">
        <f t="shared" si="83"/>
        <v>0.11081208073385555</v>
      </c>
      <c r="E93" s="72">
        <f t="shared" si="83"/>
        <v>0.1123494404719686</v>
      </c>
      <c r="F93" s="72">
        <f t="shared" si="83"/>
        <v>0.11870844287665916</v>
      </c>
      <c r="G93" s="72">
        <f t="shared" si="83"/>
        <v>0.1297028056887008</v>
      </c>
      <c r="H93" s="72">
        <f t="shared" si="83"/>
        <v>0.14336189554605566</v>
      </c>
      <c r="I93" s="72">
        <f t="shared" si="83"/>
        <v>0.16640264941398103</v>
      </c>
      <c r="J93" s="72">
        <f t="shared" si="83"/>
        <v>0.17009053211847777</v>
      </c>
      <c r="K93" s="72">
        <f t="shared" si="83"/>
        <v>0.17377868400717261</v>
      </c>
      <c r="L93" s="72">
        <f t="shared" si="83"/>
        <v>0.16469760125289867</v>
      </c>
      <c r="M93" s="72">
        <f t="shared" si="83"/>
        <v>0.17822856278598975</v>
      </c>
      <c r="N93" s="72">
        <f t="shared" si="83"/>
        <v>0.20039031421142006</v>
      </c>
      <c r="O93" s="72">
        <f t="shared" si="83"/>
        <v>0.21351651374896438</v>
      </c>
      <c r="P93" s="72">
        <f t="shared" si="83"/>
        <v>0.23531462995732097</v>
      </c>
      <c r="Q93" s="72">
        <f t="shared" si="83"/>
        <v>0.19379903020627182</v>
      </c>
      <c r="R93" s="72">
        <f t="shared" si="83"/>
        <v>0.19073850808753143</v>
      </c>
      <c r="S93" s="72">
        <f t="shared" si="83"/>
        <v>0.18811086276479119</v>
      </c>
      <c r="T93" s="72">
        <f t="shared" si="83"/>
        <v>0.18827582450204228</v>
      </c>
      <c r="U93" s="72">
        <f t="shared" si="83"/>
        <v>0.19174793935113865</v>
      </c>
      <c r="V93" s="72">
        <f t="shared" si="83"/>
        <v>0.18397755432300403</v>
      </c>
      <c r="W93" s="72">
        <f t="shared" si="83"/>
        <v>0.17401279005372083</v>
      </c>
      <c r="X93" s="72">
        <f t="shared" ref="X93:Y93" si="84">IF(X85=0,0,X85/X$81)</f>
        <v>0.17046983017881051</v>
      </c>
      <c r="Y93" s="72">
        <f t="shared" si="84"/>
        <v>0.17032641266538068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3.4777605073198832E-2</v>
      </c>
      <c r="C94" s="73">
        <f t="shared" ref="C94:W94" si="86">IF(C86=0,0,C86/C$81)</f>
        <v>4.1371692475058383E-2</v>
      </c>
      <c r="D94" s="73">
        <f t="shared" si="86"/>
        <v>3.8543694179323608E-2</v>
      </c>
      <c r="E94" s="73">
        <f t="shared" si="86"/>
        <v>4.0667946972226039E-2</v>
      </c>
      <c r="F94" s="73">
        <f t="shared" si="86"/>
        <v>4.411836441159981E-2</v>
      </c>
      <c r="G94" s="73">
        <f t="shared" si="86"/>
        <v>4.6185624738201737E-2</v>
      </c>
      <c r="H94" s="73">
        <f t="shared" si="86"/>
        <v>5.3981717586610072E-2</v>
      </c>
      <c r="I94" s="73">
        <f t="shared" si="86"/>
        <v>6.1939756580079539E-2</v>
      </c>
      <c r="J94" s="73">
        <f t="shared" si="86"/>
        <v>6.5804686673932022E-2</v>
      </c>
      <c r="K94" s="73">
        <f t="shared" si="86"/>
        <v>7.4686985593027624E-2</v>
      </c>
      <c r="L94" s="73">
        <f t="shared" si="86"/>
        <v>7.4260385004405474E-2</v>
      </c>
      <c r="M94" s="73">
        <f t="shared" si="86"/>
        <v>7.7981968530906512E-2</v>
      </c>
      <c r="N94" s="73">
        <f t="shared" si="86"/>
        <v>9.032262454687745E-2</v>
      </c>
      <c r="O94" s="73">
        <f t="shared" si="86"/>
        <v>9.5858302404256232E-2</v>
      </c>
      <c r="P94" s="73">
        <f t="shared" si="86"/>
        <v>0.10622741262362689</v>
      </c>
      <c r="Q94" s="73">
        <f t="shared" si="86"/>
        <v>8.9148268665642919E-2</v>
      </c>
      <c r="R94" s="73">
        <f t="shared" si="86"/>
        <v>9.3235352373748789E-2</v>
      </c>
      <c r="S94" s="73">
        <f t="shared" si="86"/>
        <v>9.1668314455474714E-2</v>
      </c>
      <c r="T94" s="73">
        <f t="shared" si="86"/>
        <v>9.2213392316904647E-2</v>
      </c>
      <c r="U94" s="73">
        <f t="shared" si="86"/>
        <v>9.7658394515945268E-2</v>
      </c>
      <c r="V94" s="73">
        <f t="shared" si="86"/>
        <v>9.0893020685869103E-2</v>
      </c>
      <c r="W94" s="73">
        <f t="shared" si="86"/>
        <v>9.3490144492694327E-2</v>
      </c>
      <c r="X94" s="73">
        <f t="shared" ref="X94:Y94" si="87">IF(X86=0,0,X86/X$81)</f>
        <v>0.13411094873695065</v>
      </c>
      <c r="Y94" s="73">
        <f t="shared" si="87"/>
        <v>0.12877065459838583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198564.96259860508</v>
      </c>
      <c r="C99" s="82">
        <f t="shared" ref="C99:W99" si="92">C47*11630*1000/C$8</f>
        <v>217958.59883369642</v>
      </c>
      <c r="D99" s="82">
        <f t="shared" si="92"/>
        <v>220474.48263594595</v>
      </c>
      <c r="E99" s="82">
        <f t="shared" si="92"/>
        <v>222165.45806786741</v>
      </c>
      <c r="F99" s="82">
        <f t="shared" si="92"/>
        <v>221586.79913511494</v>
      </c>
      <c r="G99" s="82">
        <f t="shared" si="92"/>
        <v>223265.67880350459</v>
      </c>
      <c r="H99" s="82">
        <f t="shared" si="92"/>
        <v>210410.18029814685</v>
      </c>
      <c r="I99" s="82">
        <f t="shared" si="92"/>
        <v>197830.71172983266</v>
      </c>
      <c r="J99" s="82">
        <f t="shared" si="92"/>
        <v>206485.74184583858</v>
      </c>
      <c r="K99" s="82">
        <f t="shared" si="92"/>
        <v>204687.03845538819</v>
      </c>
      <c r="L99" s="82">
        <f t="shared" si="92"/>
        <v>214150.26723006938</v>
      </c>
      <c r="M99" s="82">
        <f t="shared" si="92"/>
        <v>208644.17644639639</v>
      </c>
      <c r="N99" s="82">
        <f t="shared" si="92"/>
        <v>203081.0222483153</v>
      </c>
      <c r="O99" s="82">
        <f t="shared" si="92"/>
        <v>198401.15249810048</v>
      </c>
      <c r="P99" s="82">
        <f t="shared" si="92"/>
        <v>180419.68088343772</v>
      </c>
      <c r="Q99" s="82">
        <f t="shared" si="92"/>
        <v>192276.79504846438</v>
      </c>
      <c r="R99" s="82">
        <f t="shared" si="92"/>
        <v>194779.08760895641</v>
      </c>
      <c r="S99" s="82">
        <f t="shared" si="92"/>
        <v>202330.57133270436</v>
      </c>
      <c r="T99" s="82">
        <f t="shared" si="92"/>
        <v>203833.25238989756</v>
      </c>
      <c r="U99" s="82">
        <f t="shared" si="92"/>
        <v>202355.97565354081</v>
      </c>
      <c r="V99" s="82">
        <f t="shared" si="92"/>
        <v>181459.87825657264</v>
      </c>
      <c r="W99" s="82">
        <f t="shared" si="92"/>
        <v>200952.98381545884</v>
      </c>
      <c r="X99" s="82">
        <f t="shared" ref="X99:Y99" si="93">X47*11630*1000/X$8</f>
        <v>189774.59713659654</v>
      </c>
      <c r="Y99" s="82">
        <f t="shared" si="93"/>
        <v>181534.08158696664</v>
      </c>
      <c r="DA99" s="107"/>
    </row>
    <row r="100" spans="1:105" ht="12" customHeight="1" x14ac:dyDescent="0.25">
      <c r="A100" s="77" t="s">
        <v>36</v>
      </c>
      <c r="B100" s="64">
        <f t="shared" si="91"/>
        <v>148607.24339328217</v>
      </c>
      <c r="C100" s="64">
        <f t="shared" ref="C100:W100" si="94">C48*11630*1000/C$8</f>
        <v>166321.12247409736</v>
      </c>
      <c r="D100" s="64">
        <f t="shared" si="94"/>
        <v>167064.22991442285</v>
      </c>
      <c r="E100" s="64">
        <f t="shared" si="94"/>
        <v>167376.15411211908</v>
      </c>
      <c r="F100" s="64">
        <f t="shared" si="94"/>
        <v>164800.9395730572</v>
      </c>
      <c r="G100" s="64">
        <f t="shared" si="94"/>
        <v>164749.80994734709</v>
      </c>
      <c r="H100" s="64">
        <f t="shared" si="94"/>
        <v>151486.31841892572</v>
      </c>
      <c r="I100" s="64">
        <f t="shared" si="94"/>
        <v>138978.93475018494</v>
      </c>
      <c r="J100" s="64">
        <f t="shared" si="94"/>
        <v>147157.4779032066</v>
      </c>
      <c r="K100" s="64">
        <f t="shared" si="94"/>
        <v>145133.04967213099</v>
      </c>
      <c r="L100" s="64">
        <f t="shared" si="94"/>
        <v>154013.36727224069</v>
      </c>
      <c r="M100" s="64">
        <f t="shared" si="94"/>
        <v>148504.33684030679</v>
      </c>
      <c r="N100" s="64">
        <f t="shared" si="94"/>
        <v>142068.92865451475</v>
      </c>
      <c r="O100" s="64">
        <f t="shared" si="94"/>
        <v>136892.93916305207</v>
      </c>
      <c r="P100" s="64">
        <f t="shared" si="94"/>
        <v>119288.66443902813</v>
      </c>
      <c r="Q100" s="64">
        <f t="shared" si="94"/>
        <v>131300.83022400626</v>
      </c>
      <c r="R100" s="64">
        <f t="shared" si="94"/>
        <v>134911.11347327888</v>
      </c>
      <c r="S100" s="64">
        <f t="shared" si="94"/>
        <v>143611.25220922646</v>
      </c>
      <c r="T100" s="64">
        <f t="shared" si="94"/>
        <v>146529.08203826711</v>
      </c>
      <c r="U100" s="64">
        <f t="shared" si="94"/>
        <v>146120.7674714397</v>
      </c>
      <c r="V100" s="64">
        <f t="shared" si="94"/>
        <v>130211.04885426846</v>
      </c>
      <c r="W100" s="64">
        <f t="shared" si="94"/>
        <v>149229.11475859437</v>
      </c>
      <c r="X100" s="64">
        <f t="shared" ref="X100:Y100" si="95">X48*11630*1000/X$8</f>
        <v>138988.99564181504</v>
      </c>
      <c r="Y100" s="64">
        <f t="shared" si="95"/>
        <v>131861.30408667342</v>
      </c>
      <c r="DA100" s="108"/>
    </row>
    <row r="101" spans="1:105" ht="12" customHeight="1" x14ac:dyDescent="0.25">
      <c r="A101" s="61" t="s">
        <v>32</v>
      </c>
      <c r="B101" s="65">
        <f t="shared" si="91"/>
        <v>103953.04881059514</v>
      </c>
      <c r="C101" s="65">
        <f t="shared" ref="C101:W101" si="96">C49*11630*1000/C$8</f>
        <v>120616.52136128528</v>
      </c>
      <c r="D101" s="65">
        <f t="shared" si="96"/>
        <v>120927.69402182558</v>
      </c>
      <c r="E101" s="65">
        <f t="shared" si="96"/>
        <v>119597.21099046415</v>
      </c>
      <c r="F101" s="65">
        <f t="shared" si="96"/>
        <v>118266.99413790301</v>
      </c>
      <c r="G101" s="65">
        <f t="shared" si="96"/>
        <v>117783.32009162928</v>
      </c>
      <c r="H101" s="65">
        <f t="shared" si="96"/>
        <v>104403.571967899</v>
      </c>
      <c r="I101" s="65">
        <f t="shared" si="96"/>
        <v>91611.848544933542</v>
      </c>
      <c r="J101" s="65">
        <f t="shared" si="96"/>
        <v>98610.965293056608</v>
      </c>
      <c r="K101" s="65">
        <f t="shared" si="96"/>
        <v>95506.863053140667</v>
      </c>
      <c r="L101" s="65">
        <f t="shared" si="96"/>
        <v>103754.32699574095</v>
      </c>
      <c r="M101" s="65">
        <f t="shared" si="96"/>
        <v>98199.412198975537</v>
      </c>
      <c r="N101" s="65">
        <f t="shared" si="96"/>
        <v>88562.951864211558</v>
      </c>
      <c r="O101" s="65">
        <f t="shared" si="96"/>
        <v>84694.432254510553</v>
      </c>
      <c r="P101" s="65">
        <f t="shared" si="96"/>
        <v>68051.503460700667</v>
      </c>
      <c r="Q101" s="65">
        <f t="shared" si="96"/>
        <v>78791.425915223052</v>
      </c>
      <c r="R101" s="65">
        <f t="shared" si="96"/>
        <v>83524.279851887331</v>
      </c>
      <c r="S101" s="65">
        <f t="shared" si="96"/>
        <v>90800.305977715339</v>
      </c>
      <c r="T101" s="65">
        <f t="shared" si="96"/>
        <v>94944.0416852997</v>
      </c>
      <c r="U101" s="65">
        <f t="shared" si="96"/>
        <v>94097.336358749191</v>
      </c>
      <c r="V101" s="65">
        <f t="shared" si="96"/>
        <v>84992.979158294882</v>
      </c>
      <c r="W101" s="65">
        <f t="shared" si="96"/>
        <v>98876.880824817592</v>
      </c>
      <c r="X101" s="65">
        <f t="shared" ref="X101:Y101" si="97">X49*11630*1000/X$8</f>
        <v>88583.7219605063</v>
      </c>
      <c r="Y101" s="65">
        <f t="shared" si="97"/>
        <v>83385.367241323213</v>
      </c>
      <c r="DA101" s="109"/>
    </row>
    <row r="102" spans="1:105" ht="12" customHeight="1" x14ac:dyDescent="0.25">
      <c r="A102" s="61" t="s">
        <v>31</v>
      </c>
      <c r="B102" s="65">
        <f t="shared" si="91"/>
        <v>2552.6503711196801</v>
      </c>
      <c r="C102" s="65">
        <f t="shared" ref="C102:W102" si="98">C50*11630*1000/C$8</f>
        <v>2456.0809685086574</v>
      </c>
      <c r="D102" s="65">
        <f t="shared" si="98"/>
        <v>2452.0585912240563</v>
      </c>
      <c r="E102" s="65">
        <f t="shared" si="98"/>
        <v>4811.268903592013</v>
      </c>
      <c r="F102" s="65">
        <f t="shared" si="98"/>
        <v>2580.2128620462413</v>
      </c>
      <c r="G102" s="65">
        <f t="shared" si="98"/>
        <v>2716.1367286379655</v>
      </c>
      <c r="H102" s="65">
        <f t="shared" si="98"/>
        <v>3211.0876964720896</v>
      </c>
      <c r="I102" s="65">
        <f t="shared" si="98"/>
        <v>3548.5294202389296</v>
      </c>
      <c r="J102" s="65">
        <f t="shared" si="98"/>
        <v>3614.6813783673615</v>
      </c>
      <c r="K102" s="65">
        <f t="shared" si="98"/>
        <v>3622.9939962526851</v>
      </c>
      <c r="L102" s="65">
        <f t="shared" si="98"/>
        <v>3793.9306735264831</v>
      </c>
      <c r="M102" s="65">
        <f t="shared" si="98"/>
        <v>4132.3299567523081</v>
      </c>
      <c r="N102" s="65">
        <f t="shared" si="98"/>
        <v>6085.8541537833771</v>
      </c>
      <c r="O102" s="65">
        <f t="shared" si="98"/>
        <v>4044.7906983993503</v>
      </c>
      <c r="P102" s="65">
        <f t="shared" si="98"/>
        <v>3205.4792050370274</v>
      </c>
      <c r="Q102" s="65">
        <f t="shared" si="98"/>
        <v>5036.2599967751175</v>
      </c>
      <c r="R102" s="65">
        <f t="shared" si="98"/>
        <v>3359.681671621006</v>
      </c>
      <c r="S102" s="65">
        <f t="shared" si="98"/>
        <v>4686.3210894923441</v>
      </c>
      <c r="T102" s="65">
        <f t="shared" si="98"/>
        <v>3433.0319233269538</v>
      </c>
      <c r="U102" s="65">
        <f t="shared" si="98"/>
        <v>4046.2129101982332</v>
      </c>
      <c r="V102" s="65">
        <f t="shared" si="98"/>
        <v>3091.6942119090081</v>
      </c>
      <c r="W102" s="65">
        <f t="shared" si="98"/>
        <v>4023.9086705779623</v>
      </c>
      <c r="X102" s="65">
        <f t="shared" ref="X102:Y102" si="99">X50*11630*1000/X$8</f>
        <v>4168.1747755932774</v>
      </c>
      <c r="Y102" s="65">
        <f t="shared" si="99"/>
        <v>3577.0412303377771</v>
      </c>
      <c r="DA102" s="109"/>
    </row>
    <row r="103" spans="1:105" ht="12" customHeight="1" x14ac:dyDescent="0.25">
      <c r="A103" s="61" t="s">
        <v>35</v>
      </c>
      <c r="B103" s="65">
        <f t="shared" si="91"/>
        <v>21578.229937033862</v>
      </c>
      <c r="C103" s="65">
        <f t="shared" ref="C103:W103" si="100">C51*11630*1000/C$8</f>
        <v>21813.124917875204</v>
      </c>
      <c r="D103" s="65">
        <f t="shared" si="100"/>
        <v>22173.564303901152</v>
      </c>
      <c r="E103" s="65">
        <f t="shared" si="100"/>
        <v>22003.66178830963</v>
      </c>
      <c r="F103" s="65">
        <f t="shared" si="100"/>
        <v>22545.206835921046</v>
      </c>
      <c r="G103" s="65">
        <f t="shared" si="100"/>
        <v>22690.110061877149</v>
      </c>
      <c r="H103" s="65">
        <f t="shared" si="100"/>
        <v>22068.361054726971</v>
      </c>
      <c r="I103" s="65">
        <f t="shared" si="100"/>
        <v>21806.451870568359</v>
      </c>
      <c r="J103" s="65">
        <f t="shared" si="100"/>
        <v>22151.560478481224</v>
      </c>
      <c r="K103" s="65">
        <f t="shared" si="100"/>
        <v>22184.074375948378</v>
      </c>
      <c r="L103" s="65">
        <f t="shared" si="100"/>
        <v>22281.158968435448</v>
      </c>
      <c r="M103" s="65">
        <f t="shared" si="100"/>
        <v>22069.129996997777</v>
      </c>
      <c r="N103" s="65">
        <f t="shared" si="100"/>
        <v>22454.315775710264</v>
      </c>
      <c r="O103" s="65">
        <f t="shared" si="100"/>
        <v>22716.432821119241</v>
      </c>
      <c r="P103" s="65">
        <f t="shared" si="100"/>
        <v>22282.282591723633</v>
      </c>
      <c r="Q103" s="65">
        <f t="shared" si="100"/>
        <v>21850.350660250642</v>
      </c>
      <c r="R103" s="65">
        <f t="shared" si="100"/>
        <v>21688.729468662055</v>
      </c>
      <c r="S103" s="65">
        <f t="shared" si="100"/>
        <v>21456.952366427184</v>
      </c>
      <c r="T103" s="65">
        <f t="shared" si="100"/>
        <v>21155.620514620456</v>
      </c>
      <c r="U103" s="65">
        <f t="shared" si="100"/>
        <v>20759.356239451688</v>
      </c>
      <c r="V103" s="65">
        <f t="shared" si="100"/>
        <v>18923.388866094425</v>
      </c>
      <c r="W103" s="65">
        <f t="shared" si="100"/>
        <v>19528.043870582722</v>
      </c>
      <c r="X103" s="65">
        <f t="shared" ref="X103:Y103" si="101">X51*11630*1000/X$8</f>
        <v>19331.768818826164</v>
      </c>
      <c r="Y103" s="65">
        <f t="shared" si="101"/>
        <v>18614.130217822752</v>
      </c>
      <c r="DA103" s="109"/>
    </row>
    <row r="104" spans="1:105" ht="12" customHeight="1" x14ac:dyDescent="0.25">
      <c r="A104" s="66" t="s">
        <v>34</v>
      </c>
      <c r="B104" s="67">
        <f t="shared" si="91"/>
        <v>20523.314274533499</v>
      </c>
      <c r="C104" s="67">
        <f t="shared" ref="C104:W104" si="102">C52*11630*1000/C$8</f>
        <v>21435.395226428238</v>
      </c>
      <c r="D104" s="67">
        <f t="shared" si="102"/>
        <v>21510.912997472085</v>
      </c>
      <c r="E104" s="67">
        <f t="shared" si="102"/>
        <v>20964.012429753293</v>
      </c>
      <c r="F104" s="67">
        <f t="shared" si="102"/>
        <v>21408.525737186897</v>
      </c>
      <c r="G104" s="67">
        <f t="shared" si="102"/>
        <v>21560.243065202674</v>
      </c>
      <c r="H104" s="67">
        <f t="shared" si="102"/>
        <v>21803.297699827632</v>
      </c>
      <c r="I104" s="67">
        <f t="shared" si="102"/>
        <v>22012.104914444109</v>
      </c>
      <c r="J104" s="67">
        <f t="shared" si="102"/>
        <v>22780.270753301411</v>
      </c>
      <c r="K104" s="67">
        <f t="shared" si="102"/>
        <v>23819.11824678925</v>
      </c>
      <c r="L104" s="67">
        <f t="shared" si="102"/>
        <v>24183.950634537781</v>
      </c>
      <c r="M104" s="67">
        <f t="shared" si="102"/>
        <v>24103.464687581141</v>
      </c>
      <c r="N104" s="67">
        <f t="shared" si="102"/>
        <v>24965.806860809545</v>
      </c>
      <c r="O104" s="67">
        <f t="shared" si="102"/>
        <v>25437.28338902293</v>
      </c>
      <c r="P104" s="67">
        <f t="shared" si="102"/>
        <v>25749.399181566794</v>
      </c>
      <c r="Q104" s="67">
        <f t="shared" si="102"/>
        <v>25622.793651757442</v>
      </c>
      <c r="R104" s="67">
        <f t="shared" si="102"/>
        <v>26338.422481108501</v>
      </c>
      <c r="S104" s="67">
        <f t="shared" si="102"/>
        <v>26667.672775591589</v>
      </c>
      <c r="T104" s="67">
        <f t="shared" si="102"/>
        <v>26996.387915019979</v>
      </c>
      <c r="U104" s="67">
        <f t="shared" si="102"/>
        <v>27217.861963040563</v>
      </c>
      <c r="V104" s="67">
        <f t="shared" si="102"/>
        <v>23202.986617970168</v>
      </c>
      <c r="W104" s="67">
        <f t="shared" si="102"/>
        <v>26800.281392616089</v>
      </c>
      <c r="X104" s="67">
        <f t="shared" ref="X104:Y104" si="103">X52*11630*1000/X$8</f>
        <v>26905.330086889317</v>
      </c>
      <c r="Y104" s="67">
        <f t="shared" si="103"/>
        <v>26284.765397189676</v>
      </c>
      <c r="DA104" s="110"/>
    </row>
    <row r="105" spans="1:105" ht="12" customHeight="1" x14ac:dyDescent="0.25">
      <c r="A105" s="78" t="s">
        <v>33</v>
      </c>
      <c r="B105" s="68">
        <f t="shared" si="91"/>
        <v>49957.719205322894</v>
      </c>
      <c r="C105" s="68">
        <f t="shared" ref="C105:W105" si="104">C53*11630*1000/C$8</f>
        <v>51637.476359599037</v>
      </c>
      <c r="D105" s="68">
        <f t="shared" si="104"/>
        <v>53410.252721523044</v>
      </c>
      <c r="E105" s="68">
        <f t="shared" si="104"/>
        <v>54789.303955748292</v>
      </c>
      <c r="F105" s="68">
        <f t="shared" si="104"/>
        <v>56785.859562057762</v>
      </c>
      <c r="G105" s="68">
        <f t="shared" si="104"/>
        <v>58515.868856157547</v>
      </c>
      <c r="H105" s="68">
        <f t="shared" si="104"/>
        <v>58923.861879221084</v>
      </c>
      <c r="I105" s="68">
        <f t="shared" si="104"/>
        <v>58851.776979647737</v>
      </c>
      <c r="J105" s="68">
        <f t="shared" si="104"/>
        <v>59328.263942631995</v>
      </c>
      <c r="K105" s="68">
        <f t="shared" si="104"/>
        <v>59553.988783257191</v>
      </c>
      <c r="L105" s="68">
        <f t="shared" si="104"/>
        <v>60136.899957828748</v>
      </c>
      <c r="M105" s="68">
        <f t="shared" si="104"/>
        <v>60139.839606089627</v>
      </c>
      <c r="N105" s="68">
        <f t="shared" si="104"/>
        <v>61012.093593800593</v>
      </c>
      <c r="O105" s="68">
        <f t="shared" si="104"/>
        <v>61508.2133350484</v>
      </c>
      <c r="P105" s="68">
        <f t="shared" si="104"/>
        <v>61131.016444409637</v>
      </c>
      <c r="Q105" s="68">
        <f t="shared" si="104"/>
        <v>60975.964824458126</v>
      </c>
      <c r="R105" s="68">
        <f t="shared" si="104"/>
        <v>59867.974135677563</v>
      </c>
      <c r="S105" s="68">
        <f t="shared" si="104"/>
        <v>58719.319123477944</v>
      </c>
      <c r="T105" s="68">
        <f t="shared" si="104"/>
        <v>57304.170351630462</v>
      </c>
      <c r="U105" s="68">
        <f t="shared" si="104"/>
        <v>56235.208182101123</v>
      </c>
      <c r="V105" s="68">
        <f t="shared" si="104"/>
        <v>51248.829402304145</v>
      </c>
      <c r="W105" s="68">
        <f t="shared" si="104"/>
        <v>51723.869056864467</v>
      </c>
      <c r="X105" s="68">
        <f t="shared" ref="X105:Y105" si="105">X53*11630*1000/X$8</f>
        <v>50785.601494781506</v>
      </c>
      <c r="Y105" s="68">
        <f t="shared" si="105"/>
        <v>49672.777500293232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88477.456951030254</v>
      </c>
      <c r="C107" s="85">
        <f t="shared" ref="C107:W107" si="107">SUM(C108:C111)</f>
        <v>98839.396306794821</v>
      </c>
      <c r="D107" s="85">
        <f t="shared" si="107"/>
        <v>100012.49307488224</v>
      </c>
      <c r="E107" s="85">
        <f t="shared" si="107"/>
        <v>104962.59197828907</v>
      </c>
      <c r="F107" s="85">
        <f t="shared" si="107"/>
        <v>101535.60902809769</v>
      </c>
      <c r="G107" s="85">
        <f t="shared" si="107"/>
        <v>103852.77060298024</v>
      </c>
      <c r="H107" s="85">
        <f t="shared" si="107"/>
        <v>98421.309943514745</v>
      </c>
      <c r="I107" s="85">
        <f t="shared" si="107"/>
        <v>93500.975456801563</v>
      </c>
      <c r="J107" s="85">
        <f t="shared" si="107"/>
        <v>100502.21173869271</v>
      </c>
      <c r="K107" s="85">
        <f t="shared" si="107"/>
        <v>99984.917657127138</v>
      </c>
      <c r="L107" s="85">
        <f t="shared" si="107"/>
        <v>107016.39903308818</v>
      </c>
      <c r="M107" s="85">
        <f t="shared" si="107"/>
        <v>106224.56238366154</v>
      </c>
      <c r="N107" s="85">
        <f t="shared" si="107"/>
        <v>108478.96858577199</v>
      </c>
      <c r="O107" s="85">
        <f t="shared" si="107"/>
        <v>102107.11821828836</v>
      </c>
      <c r="P107" s="85">
        <f t="shared" si="107"/>
        <v>89020.350076470204</v>
      </c>
      <c r="Q107" s="85">
        <f t="shared" si="107"/>
        <v>102433.22047795259</v>
      </c>
      <c r="R107" s="85">
        <f t="shared" si="107"/>
        <v>101963.64289504108</v>
      </c>
      <c r="S107" s="85">
        <f t="shared" si="107"/>
        <v>113611.94499401905</v>
      </c>
      <c r="T107" s="85">
        <f t="shared" si="107"/>
        <v>114104.63256835082</v>
      </c>
      <c r="U107" s="85">
        <f t="shared" si="107"/>
        <v>117731.48740068683</v>
      </c>
      <c r="V107" s="85">
        <f t="shared" si="107"/>
        <v>104811.72090912513</v>
      </c>
      <c r="W107" s="85">
        <f t="shared" si="107"/>
        <v>123721.27519963686</v>
      </c>
      <c r="X107" s="85">
        <f t="shared" ref="X107:Y107" si="108">SUM(X108:X111)</f>
        <v>118520.10039209065</v>
      </c>
      <c r="Y107" s="85">
        <f t="shared" si="108"/>
        <v>113390.78492350355</v>
      </c>
      <c r="DA107" s="117"/>
    </row>
    <row r="108" spans="1:105" ht="12" customHeight="1" x14ac:dyDescent="0.25">
      <c r="A108" s="61" t="s">
        <v>32</v>
      </c>
      <c r="B108" s="65">
        <v>56279.664494532488</v>
      </c>
      <c r="C108" s="65">
        <v>65924.341943249528</v>
      </c>
      <c r="D108" s="65">
        <v>66471.018084427895</v>
      </c>
      <c r="E108" s="65">
        <v>66733.723846203706</v>
      </c>
      <c r="F108" s="65">
        <v>66877.624680655324</v>
      </c>
      <c r="G108" s="65">
        <v>68260.968280292756</v>
      </c>
      <c r="H108" s="65">
        <v>61381.053166412072</v>
      </c>
      <c r="I108" s="65">
        <v>55014.321856634007</v>
      </c>
      <c r="J108" s="65">
        <v>60509.497327233774</v>
      </c>
      <c r="K108" s="65">
        <v>58946.672425076169</v>
      </c>
      <c r="L108" s="65">
        <v>64818.507300612255</v>
      </c>
      <c r="M108" s="65">
        <v>62656.228485351596</v>
      </c>
      <c r="N108" s="65">
        <v>57640.616647159928</v>
      </c>
      <c r="O108" s="65">
        <v>56110.132945928024</v>
      </c>
      <c r="P108" s="65">
        <v>45009.998515246472</v>
      </c>
      <c r="Q108" s="65">
        <v>52076.894216956272</v>
      </c>
      <c r="R108" s="65">
        <v>55979.578528801256</v>
      </c>
      <c r="S108" s="65">
        <v>61938.297665497092</v>
      </c>
      <c r="T108" s="65">
        <v>65965.287322737873</v>
      </c>
      <c r="U108" s="65">
        <v>66576.157436730442</v>
      </c>
      <c r="V108" s="65">
        <v>60859.423474124014</v>
      </c>
      <c r="W108" s="65">
        <v>72151.459986449321</v>
      </c>
      <c r="X108" s="65">
        <v>65934.487384358523</v>
      </c>
      <c r="Y108" s="65">
        <v>63274.674118274845</v>
      </c>
      <c r="DA108" s="109"/>
    </row>
    <row r="109" spans="1:105" ht="12" customHeight="1" x14ac:dyDescent="0.25">
      <c r="A109" s="61" t="s">
        <v>31</v>
      </c>
      <c r="B109" s="65">
        <v>4531.6371008877277</v>
      </c>
      <c r="C109" s="65">
        <v>4565.9667366077229</v>
      </c>
      <c r="D109" s="65">
        <v>4799.5430503963071</v>
      </c>
      <c r="E109" s="65">
        <v>9921.1448966217249</v>
      </c>
      <c r="F109" s="65">
        <v>5599.7288115435122</v>
      </c>
      <c r="G109" s="65">
        <v>6199.6234288620644</v>
      </c>
      <c r="H109" s="65">
        <v>7717.8695351480619</v>
      </c>
      <c r="I109" s="65">
        <v>8993.5750766317778</v>
      </c>
      <c r="J109" s="65">
        <v>9612.5822408458171</v>
      </c>
      <c r="K109" s="65">
        <v>9833.4088631921477</v>
      </c>
      <c r="L109" s="65">
        <v>10549.373907811163</v>
      </c>
      <c r="M109" s="65">
        <v>11865.045223768326</v>
      </c>
      <c r="N109" s="65">
        <v>18040.341340916752</v>
      </c>
      <c r="O109" s="65">
        <v>12395.223838820302</v>
      </c>
      <c r="P109" s="65">
        <v>10174.705383765695</v>
      </c>
      <c r="Q109" s="65">
        <v>16601.939916628078</v>
      </c>
      <c r="R109" s="65">
        <v>11516.93900659149</v>
      </c>
      <c r="S109" s="65">
        <v>16663.239663953442</v>
      </c>
      <c r="T109" s="65">
        <v>12585.758428850193</v>
      </c>
      <c r="U109" s="65">
        <v>15197.29558143645</v>
      </c>
      <c r="V109" s="65">
        <v>11891.551661149</v>
      </c>
      <c r="W109" s="65">
        <v>15797.408620691205</v>
      </c>
      <c r="X109" s="65">
        <v>16565.798252298009</v>
      </c>
      <c r="Y109" s="65">
        <v>14363.574501359843</v>
      </c>
      <c r="DA109" s="109"/>
    </row>
    <row r="110" spans="1:105" ht="12" customHeight="1" x14ac:dyDescent="0.25">
      <c r="A110" s="61" t="s">
        <v>35</v>
      </c>
      <c r="B110" s="65">
        <v>12722.021299616719</v>
      </c>
      <c r="C110" s="65">
        <v>12874.811118901953</v>
      </c>
      <c r="D110" s="65">
        <v>13133.460596866486</v>
      </c>
      <c r="E110" s="65">
        <v>13100.04911641772</v>
      </c>
      <c r="F110" s="65">
        <v>13505.712367683174</v>
      </c>
      <c r="G110" s="65">
        <v>13666.031878832455</v>
      </c>
      <c r="H110" s="65">
        <v>13385.930488237276</v>
      </c>
      <c r="I110" s="65">
        <v>13327.057805821682</v>
      </c>
      <c r="J110" s="65">
        <v>13630.386430745493</v>
      </c>
      <c r="K110" s="65">
        <v>13746.398676179135</v>
      </c>
      <c r="L110" s="65">
        <v>13924.109436247494</v>
      </c>
      <c r="M110" s="65">
        <v>13967.297215104723</v>
      </c>
      <c r="N110" s="65">
        <v>14405.714419328848</v>
      </c>
      <c r="O110" s="65">
        <v>14796.136417879739</v>
      </c>
      <c r="P110" s="65">
        <v>14693.750038081329</v>
      </c>
      <c r="Q110" s="65">
        <v>14631.370203485252</v>
      </c>
      <c r="R110" s="65">
        <v>14756.898228549962</v>
      </c>
      <c r="S110" s="65">
        <v>14907.315332589535</v>
      </c>
      <c r="T110" s="65">
        <v>15020.037258259294</v>
      </c>
      <c r="U110" s="65">
        <v>15074.321333215046</v>
      </c>
      <c r="V110" s="65">
        <v>14086.993498694774</v>
      </c>
      <c r="W110" s="65">
        <v>14809.113888572876</v>
      </c>
      <c r="X110" s="65">
        <v>15074.563500421782</v>
      </c>
      <c r="Y110" s="65">
        <v>14889.376180456302</v>
      </c>
      <c r="DA110" s="109"/>
    </row>
    <row r="111" spans="1:105" ht="12" customHeight="1" x14ac:dyDescent="0.25">
      <c r="A111" s="74" t="s">
        <v>34</v>
      </c>
      <c r="B111" s="68">
        <v>14944.134055993318</v>
      </c>
      <c r="C111" s="68">
        <v>15474.276508035613</v>
      </c>
      <c r="D111" s="68">
        <v>15608.471343191548</v>
      </c>
      <c r="E111" s="68">
        <v>15207.674119045916</v>
      </c>
      <c r="F111" s="68">
        <v>15552.543168215696</v>
      </c>
      <c r="G111" s="68">
        <v>15726.147014992972</v>
      </c>
      <c r="H111" s="68">
        <v>15936.456753717328</v>
      </c>
      <c r="I111" s="68">
        <v>16166.020717714096</v>
      </c>
      <c r="J111" s="68">
        <v>16749.745739867631</v>
      </c>
      <c r="K111" s="68">
        <v>17458.437692679679</v>
      </c>
      <c r="L111" s="68">
        <v>17724.408388417265</v>
      </c>
      <c r="M111" s="68">
        <v>17735.991459436882</v>
      </c>
      <c r="N111" s="68">
        <v>18392.296178366447</v>
      </c>
      <c r="O111" s="68">
        <v>18805.625015660302</v>
      </c>
      <c r="P111" s="68">
        <v>19141.896139376709</v>
      </c>
      <c r="Q111" s="68">
        <v>19123.016140882995</v>
      </c>
      <c r="R111" s="68">
        <v>19710.22713109836</v>
      </c>
      <c r="S111" s="68">
        <v>20103.09233197898</v>
      </c>
      <c r="T111" s="68">
        <v>20533.549558503451</v>
      </c>
      <c r="U111" s="68">
        <v>20883.71304930489</v>
      </c>
      <c r="V111" s="68">
        <v>17973.752275157342</v>
      </c>
      <c r="W111" s="68">
        <v>20963.292703923467</v>
      </c>
      <c r="X111" s="68">
        <v>20945.251255012328</v>
      </c>
      <c r="Y111" s="68">
        <v>20863.160123412577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19935.074071578263</v>
      </c>
      <c r="C113" s="82">
        <f t="shared" ref="C113:W113" si="110">C81*1000000/C$8</f>
        <v>22525.826042843484</v>
      </c>
      <c r="D113" s="82">
        <f t="shared" si="110"/>
        <v>22863.784821792317</v>
      </c>
      <c r="E113" s="82">
        <f t="shared" si="110"/>
        <v>22353.80303829454</v>
      </c>
      <c r="F113" s="82">
        <f t="shared" si="110"/>
        <v>21497.694645805295</v>
      </c>
      <c r="G113" s="82">
        <f t="shared" si="110"/>
        <v>19992.254742605175</v>
      </c>
      <c r="H113" s="82">
        <f t="shared" si="110"/>
        <v>17525.845264760865</v>
      </c>
      <c r="I113" s="82">
        <f t="shared" si="110"/>
        <v>14780.787967553648</v>
      </c>
      <c r="J113" s="82">
        <f t="shared" si="110"/>
        <v>14762.125297478617</v>
      </c>
      <c r="K113" s="82">
        <f t="shared" si="110"/>
        <v>14575.00748947942</v>
      </c>
      <c r="L113" s="82">
        <f t="shared" si="110"/>
        <v>15505.133423851406</v>
      </c>
      <c r="M113" s="82">
        <f t="shared" si="110"/>
        <v>13986.814054698842</v>
      </c>
      <c r="N113" s="82">
        <f t="shared" si="110"/>
        <v>12525.730713071542</v>
      </c>
      <c r="O113" s="82">
        <f t="shared" si="110"/>
        <v>11829.781573844099</v>
      </c>
      <c r="P113" s="82">
        <f t="shared" si="110"/>
        <v>10514.667431761374</v>
      </c>
      <c r="Q113" s="82">
        <f t="shared" si="110"/>
        <v>12671.241560021059</v>
      </c>
      <c r="R113" s="82">
        <f t="shared" si="110"/>
        <v>13076.433793018921</v>
      </c>
      <c r="S113" s="82">
        <f t="shared" si="110"/>
        <v>13330.838545578103</v>
      </c>
      <c r="T113" s="82">
        <f t="shared" si="110"/>
        <v>13200.128305539807</v>
      </c>
      <c r="U113" s="82">
        <f t="shared" si="110"/>
        <v>12741.414399466636</v>
      </c>
      <c r="V113" s="82">
        <f t="shared" si="110"/>
        <v>11754.256442768419</v>
      </c>
      <c r="W113" s="82">
        <f t="shared" si="110"/>
        <v>13323.356921561015</v>
      </c>
      <c r="X113" s="82">
        <f t="shared" ref="X113:Y113" si="111">X81*1000000/X$8</f>
        <v>11364.704744997898</v>
      </c>
      <c r="Y113" s="82">
        <f t="shared" si="111"/>
        <v>9918.0105688584754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19935.074071578263</v>
      </c>
      <c r="C114" s="64">
        <f t="shared" ref="C114:W114" si="113">C82*1000000/C$8</f>
        <v>22525.826042843484</v>
      </c>
      <c r="D114" s="64">
        <f t="shared" si="113"/>
        <v>22863.784821792317</v>
      </c>
      <c r="E114" s="64">
        <f t="shared" si="113"/>
        <v>22353.80303829454</v>
      </c>
      <c r="F114" s="64">
        <f t="shared" si="113"/>
        <v>21497.694645805295</v>
      </c>
      <c r="G114" s="64">
        <f t="shared" si="113"/>
        <v>19992.254742605175</v>
      </c>
      <c r="H114" s="64">
        <f t="shared" si="113"/>
        <v>17525.845264760865</v>
      </c>
      <c r="I114" s="64">
        <f t="shared" si="113"/>
        <v>14780.787967553648</v>
      </c>
      <c r="J114" s="64">
        <f t="shared" si="113"/>
        <v>14762.125297478617</v>
      </c>
      <c r="K114" s="64">
        <f t="shared" si="113"/>
        <v>14575.00748947942</v>
      </c>
      <c r="L114" s="64">
        <f t="shared" si="113"/>
        <v>15505.133423851406</v>
      </c>
      <c r="M114" s="64">
        <f t="shared" si="113"/>
        <v>13986.814054698842</v>
      </c>
      <c r="N114" s="64">
        <f t="shared" si="113"/>
        <v>12525.730713071542</v>
      </c>
      <c r="O114" s="64">
        <f t="shared" si="113"/>
        <v>11829.781573844099</v>
      </c>
      <c r="P114" s="64">
        <f t="shared" si="113"/>
        <v>10514.667431761374</v>
      </c>
      <c r="Q114" s="64">
        <f t="shared" si="113"/>
        <v>12671.241560021059</v>
      </c>
      <c r="R114" s="64">
        <f t="shared" si="113"/>
        <v>13076.433793018921</v>
      </c>
      <c r="S114" s="64">
        <f t="shared" si="113"/>
        <v>13330.838545578103</v>
      </c>
      <c r="T114" s="64">
        <f t="shared" si="113"/>
        <v>13200.128305539807</v>
      </c>
      <c r="U114" s="64">
        <f t="shared" si="113"/>
        <v>12741.414399466636</v>
      </c>
      <c r="V114" s="64">
        <f t="shared" si="113"/>
        <v>11754.256442768419</v>
      </c>
      <c r="W114" s="64">
        <f t="shared" si="113"/>
        <v>13323.356921561015</v>
      </c>
      <c r="X114" s="64">
        <f t="shared" ref="X114:Y114" si="114">X82*1000000/X$8</f>
        <v>11364.704744997898</v>
      </c>
      <c r="Y114" s="64">
        <f t="shared" si="114"/>
        <v>9918.0105688584754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16871.605847746956</v>
      </c>
      <c r="C115" s="65">
        <f t="shared" ref="C115:W115" si="116">C83*1000000/C$8</f>
        <v>19138.23199333833</v>
      </c>
      <c r="D115" s="65">
        <f t="shared" si="116"/>
        <v>19447.94984118277</v>
      </c>
      <c r="E115" s="65">
        <f t="shared" si="116"/>
        <v>18931.06541689923</v>
      </c>
      <c r="F115" s="65">
        <f t="shared" si="116"/>
        <v>17995.99612305922</v>
      </c>
      <c r="G115" s="65">
        <f t="shared" si="116"/>
        <v>16474.381593277711</v>
      </c>
      <c r="H115" s="65">
        <f t="shared" si="116"/>
        <v>14065.38594817181</v>
      </c>
      <c r="I115" s="65">
        <f t="shared" si="116"/>
        <v>11403.126412794132</v>
      </c>
      <c r="J115" s="65">
        <f t="shared" si="116"/>
        <v>11277.316742448058</v>
      </c>
      <c r="K115" s="65">
        <f t="shared" si="116"/>
        <v>10951.447860409047</v>
      </c>
      <c r="L115" s="65">
        <f t="shared" si="116"/>
        <v>11797.525674101524</v>
      </c>
      <c r="M115" s="65">
        <f t="shared" si="116"/>
        <v>10400.219175796967</v>
      </c>
      <c r="N115" s="65">
        <f t="shared" si="116"/>
        <v>8880.0414576766052</v>
      </c>
      <c r="O115" s="65">
        <f t="shared" si="116"/>
        <v>8166.1141081031183</v>
      </c>
      <c r="P115" s="65">
        <f t="shared" si="116"/>
        <v>6920.4024537801924</v>
      </c>
      <c r="Q115" s="65">
        <f t="shared" si="116"/>
        <v>9078.6022171415771</v>
      </c>
      <c r="R115" s="65">
        <f t="shared" si="116"/>
        <v>9357.4196288036837</v>
      </c>
      <c r="S115" s="65">
        <f t="shared" si="116"/>
        <v>9591.4005923744226</v>
      </c>
      <c r="T115" s="65">
        <f t="shared" si="116"/>
        <v>9488.6679065671287</v>
      </c>
      <c r="U115" s="65">
        <f t="shared" si="116"/>
        <v>9041.8957099102172</v>
      </c>
      <c r="V115" s="65">
        <f t="shared" si="116"/>
        <v>8514.178336502091</v>
      </c>
      <c r="W115" s="65">
        <f t="shared" si="116"/>
        <v>9746.6685481468867</v>
      </c>
      <c r="X115" s="65">
        <f t="shared" ref="X115:Y115" si="117">X83*1000000/X$8</f>
        <v>7885.8217006648692</v>
      </c>
      <c r="Y115" s="65">
        <f t="shared" si="117"/>
        <v>6933.7417909682636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0.8994195368272131</v>
      </c>
      <c r="C116" s="65">
        <f t="shared" ref="C116:W116" si="119">C84*1000000/C$8</f>
        <v>0.87300519428446754</v>
      </c>
      <c r="D116" s="65">
        <f t="shared" si="119"/>
        <v>0.99668110256680542</v>
      </c>
      <c r="E116" s="65">
        <f t="shared" si="119"/>
        <v>2.2170810333833715</v>
      </c>
      <c r="F116" s="65">
        <f t="shared" si="119"/>
        <v>1.2975395117025208</v>
      </c>
      <c r="G116" s="65">
        <f t="shared" si="119"/>
        <v>1.4668419558401797</v>
      </c>
      <c r="H116" s="65">
        <f t="shared" si="119"/>
        <v>1.8456888371242195</v>
      </c>
      <c r="I116" s="65">
        <f t="shared" si="119"/>
        <v>2.5808677602545083</v>
      </c>
      <c r="J116" s="65">
        <f t="shared" si="119"/>
        <v>2.4937781408735114</v>
      </c>
      <c r="K116" s="65">
        <f t="shared" si="119"/>
        <v>2.1706337689374187</v>
      </c>
      <c r="L116" s="65">
        <f t="shared" si="119"/>
        <v>2.5322901355284775</v>
      </c>
      <c r="M116" s="65">
        <f t="shared" si="119"/>
        <v>3.0258185168490539</v>
      </c>
      <c r="N116" s="65">
        <f t="shared" si="119"/>
        <v>4.2972697028454023</v>
      </c>
      <c r="O116" s="65">
        <f t="shared" si="119"/>
        <v>3.8309662002064448</v>
      </c>
      <c r="P116" s="65">
        <f t="shared" si="119"/>
        <v>3.0639862780326204</v>
      </c>
      <c r="Q116" s="65">
        <f t="shared" si="119"/>
        <v>7.3457701179766035</v>
      </c>
      <c r="R116" s="65">
        <f t="shared" si="119"/>
        <v>5.6487789453120474</v>
      </c>
      <c r="S116" s="65">
        <f t="shared" si="119"/>
        <v>9.7469132656321431</v>
      </c>
      <c r="T116" s="65">
        <f t="shared" si="119"/>
        <v>8.9667486422042693</v>
      </c>
      <c r="U116" s="65">
        <f t="shared" si="119"/>
        <v>12.072659925504251</v>
      </c>
      <c r="V116" s="65">
        <f t="shared" si="119"/>
        <v>9.1788790408216379</v>
      </c>
      <c r="W116" s="65">
        <f t="shared" si="119"/>
        <v>12.651298887266632</v>
      </c>
      <c r="X116" s="65">
        <f t="shared" ref="X116:Y116" si="120">X84*1000000/X$8</f>
        <v>17.412420953922041</v>
      </c>
      <c r="Y116" s="65">
        <f t="shared" si="120"/>
        <v>17.820903653601885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2369.2746711281634</v>
      </c>
      <c r="C117" s="65">
        <f t="shared" ref="C117:W117" si="122">C85*1000000/C$8</f>
        <v>2454.7894965196861</v>
      </c>
      <c r="D117" s="65">
        <f t="shared" si="122"/>
        <v>2533.5835695539513</v>
      </c>
      <c r="E117" s="65">
        <f t="shared" si="122"/>
        <v>2511.4372637729834</v>
      </c>
      <c r="F117" s="65">
        <f t="shared" si="122"/>
        <v>2551.9578568414395</v>
      </c>
      <c r="G117" s="65">
        <f t="shared" si="122"/>
        <v>2593.0515321591261</v>
      </c>
      <c r="H117" s="65">
        <f t="shared" si="122"/>
        <v>2512.5383982029812</v>
      </c>
      <c r="I117" s="65">
        <f t="shared" si="122"/>
        <v>2459.5622782272189</v>
      </c>
      <c r="J117" s="65">
        <f t="shared" si="122"/>
        <v>2510.8977470477803</v>
      </c>
      <c r="K117" s="65">
        <f t="shared" si="122"/>
        <v>2532.8256209164183</v>
      </c>
      <c r="L117" s="65">
        <f t="shared" si="122"/>
        <v>2553.6582820144708</v>
      </c>
      <c r="M117" s="65">
        <f t="shared" si="122"/>
        <v>2492.8497669238559</v>
      </c>
      <c r="N117" s="65">
        <f t="shared" si="122"/>
        <v>2510.0351133200411</v>
      </c>
      <c r="O117" s="65">
        <f t="shared" si="122"/>
        <v>2525.8537200589294</v>
      </c>
      <c r="P117" s="65">
        <f t="shared" si="122"/>
        <v>2474.2550758292223</v>
      </c>
      <c r="Q117" s="65">
        <f t="shared" si="122"/>
        <v>2455.6743258414881</v>
      </c>
      <c r="R117" s="65">
        <f t="shared" si="122"/>
        <v>2494.1794727858087</v>
      </c>
      <c r="S117" s="65">
        <f t="shared" si="122"/>
        <v>2507.6755401868309</v>
      </c>
      <c r="T117" s="65">
        <f t="shared" si="122"/>
        <v>2485.2650402582531</v>
      </c>
      <c r="U117" s="65">
        <f t="shared" si="122"/>
        <v>2443.1399555166527</v>
      </c>
      <c r="V117" s="65">
        <f t="shared" si="122"/>
        <v>2162.5193532259473</v>
      </c>
      <c r="W117" s="65">
        <f t="shared" si="122"/>
        <v>2318.4345108023858</v>
      </c>
      <c r="X117" s="65">
        <f t="shared" ref="X117:Y117" si="123">X85*1000000/X$8</f>
        <v>1937.3392879121136</v>
      </c>
      <c r="Y117" s="65">
        <f t="shared" si="123"/>
        <v>1689.2991609709957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693.29413316631462</v>
      </c>
      <c r="C118" s="67">
        <f t="shared" ref="C118:W118" si="125">C86*1000000/C$8</f>
        <v>931.93154779118197</v>
      </c>
      <c r="D118" s="67">
        <f t="shared" si="125"/>
        <v>881.25472995302391</v>
      </c>
      <c r="E118" s="67">
        <f t="shared" si="125"/>
        <v>909.08327658894768</v>
      </c>
      <c r="F118" s="67">
        <f t="shared" si="125"/>
        <v>948.44312639293616</v>
      </c>
      <c r="G118" s="67">
        <f t="shared" si="125"/>
        <v>923.35477521249652</v>
      </c>
      <c r="H118" s="67">
        <f t="shared" si="125"/>
        <v>946.07522954894841</v>
      </c>
      <c r="I118" s="67">
        <f t="shared" si="125"/>
        <v>915.51840877204143</v>
      </c>
      <c r="J118" s="67">
        <f t="shared" si="125"/>
        <v>971.4170298419059</v>
      </c>
      <c r="K118" s="67">
        <f t="shared" si="125"/>
        <v>1088.5633743850192</v>
      </c>
      <c r="L118" s="67">
        <f t="shared" si="125"/>
        <v>1151.4171775998811</v>
      </c>
      <c r="M118" s="67">
        <f t="shared" si="125"/>
        <v>1090.7192934611658</v>
      </c>
      <c r="N118" s="67">
        <f t="shared" si="125"/>
        <v>1131.3568723720525</v>
      </c>
      <c r="O118" s="67">
        <f t="shared" si="125"/>
        <v>1133.9827794818459</v>
      </c>
      <c r="P118" s="67">
        <f t="shared" si="125"/>
        <v>1116.9459158739267</v>
      </c>
      <c r="Q118" s="67">
        <f t="shared" si="125"/>
        <v>1129.6192469200175</v>
      </c>
      <c r="R118" s="67">
        <f t="shared" si="125"/>
        <v>1219.1859124841155</v>
      </c>
      <c r="S118" s="67">
        <f t="shared" si="125"/>
        <v>1222.0154997512166</v>
      </c>
      <c r="T118" s="67">
        <f t="shared" si="125"/>
        <v>1217.2286100722199</v>
      </c>
      <c r="U118" s="67">
        <f t="shared" si="125"/>
        <v>1244.3060741142583</v>
      </c>
      <c r="V118" s="67">
        <f t="shared" si="125"/>
        <v>1068.3798739995602</v>
      </c>
      <c r="W118" s="67">
        <f t="shared" si="125"/>
        <v>1245.6025637244784</v>
      </c>
      <c r="X118" s="67">
        <f t="shared" ref="X118:Y118" si="126">X86*1000000/X$8</f>
        <v>1524.1313354669926</v>
      </c>
      <c r="Y118" s="67">
        <f t="shared" si="126"/>
        <v>1277.1487132656148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0.595377822310308</v>
      </c>
      <c r="C121" s="86">
        <f t="shared" ref="C121:W121" si="131">IF(C107=0,"",C107/C100)</f>
        <v>0.59426845391924255</v>
      </c>
      <c r="D121" s="86">
        <f t="shared" si="131"/>
        <v>0.59864695827534564</v>
      </c>
      <c r="E121" s="86">
        <f t="shared" si="131"/>
        <v>0.62710600882834555</v>
      </c>
      <c r="F121" s="86">
        <f t="shared" si="131"/>
        <v>0.61611061982499427</v>
      </c>
      <c r="G121" s="86">
        <f t="shared" si="131"/>
        <v>0.63036655785017826</v>
      </c>
      <c r="H121" s="86">
        <f t="shared" si="131"/>
        <v>0.6497042833355875</v>
      </c>
      <c r="I121" s="86">
        <f t="shared" si="131"/>
        <v>0.67277084563117318</v>
      </c>
      <c r="J121" s="86">
        <f t="shared" si="131"/>
        <v>0.68295687837758701</v>
      </c>
      <c r="K121" s="86">
        <f t="shared" si="131"/>
        <v>0.68891901522776744</v>
      </c>
      <c r="L121" s="86">
        <f t="shared" si="131"/>
        <v>0.69485136860829333</v>
      </c>
      <c r="M121" s="86">
        <f t="shared" si="131"/>
        <v>0.71529602868022268</v>
      </c>
      <c r="N121" s="86">
        <f t="shared" si="131"/>
        <v>0.76356575370236446</v>
      </c>
      <c r="O121" s="86">
        <f t="shared" si="131"/>
        <v>0.74589032014769885</v>
      </c>
      <c r="P121" s="86">
        <f t="shared" si="131"/>
        <v>0.74625992750527492</v>
      </c>
      <c r="Q121" s="86">
        <f t="shared" si="131"/>
        <v>0.78014145305247518</v>
      </c>
      <c r="R121" s="86">
        <f t="shared" si="131"/>
        <v>0.755783865909879</v>
      </c>
      <c r="S121" s="86">
        <f t="shared" si="131"/>
        <v>0.79110754377726911</v>
      </c>
      <c r="T121" s="86">
        <f t="shared" si="131"/>
        <v>0.77871662731464864</v>
      </c>
      <c r="U121" s="86">
        <f t="shared" si="131"/>
        <v>0.80571358498851475</v>
      </c>
      <c r="V121" s="86">
        <f t="shared" si="131"/>
        <v>0.80493722945454393</v>
      </c>
      <c r="W121" s="86">
        <f t="shared" si="131"/>
        <v>0.82906928316085537</v>
      </c>
      <c r="X121" s="86">
        <f t="shared" ref="X121:Y121" si="132">IF(X107=0,"",X107/X100)</f>
        <v>0.85273010172349006</v>
      </c>
      <c r="Y121" s="86">
        <f t="shared" si="132"/>
        <v>0.85992464361622678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0.54139503495539931</v>
      </c>
      <c r="C122" s="75">
        <f t="shared" ref="C122:W122" si="134">IF(C108=0,"",C108/C101)</f>
        <v>0.54656145940227308</v>
      </c>
      <c r="D122" s="75">
        <f t="shared" si="134"/>
        <v>0.54967572665721143</v>
      </c>
      <c r="E122" s="75">
        <f t="shared" si="134"/>
        <v>0.55798729162275018</v>
      </c>
      <c r="F122" s="75">
        <f t="shared" si="134"/>
        <v>0.56548004088675774</v>
      </c>
      <c r="G122" s="75">
        <f t="shared" si="134"/>
        <v>0.57954698701980278</v>
      </c>
      <c r="H122" s="75">
        <f t="shared" si="134"/>
        <v>0.58792100700620598</v>
      </c>
      <c r="I122" s="75">
        <f t="shared" si="134"/>
        <v>0.60051535615123763</v>
      </c>
      <c r="J122" s="75">
        <f t="shared" si="134"/>
        <v>0.61361834505329971</v>
      </c>
      <c r="K122" s="75">
        <f t="shared" si="134"/>
        <v>0.61719828859081927</v>
      </c>
      <c r="L122" s="75">
        <f t="shared" si="134"/>
        <v>0.62473064186781346</v>
      </c>
      <c r="M122" s="75">
        <f t="shared" si="134"/>
        <v>0.63805095246797472</v>
      </c>
      <c r="N122" s="75">
        <f t="shared" si="134"/>
        <v>0.65084344450868059</v>
      </c>
      <c r="O122" s="75">
        <f t="shared" si="134"/>
        <v>0.66250084512420571</v>
      </c>
      <c r="P122" s="75">
        <f t="shared" si="134"/>
        <v>0.66141078780484952</v>
      </c>
      <c r="Q122" s="75">
        <f t="shared" si="134"/>
        <v>0.66094620844899132</v>
      </c>
      <c r="R122" s="75">
        <f t="shared" si="134"/>
        <v>0.67021923000197325</v>
      </c>
      <c r="S122" s="75">
        <f t="shared" si="134"/>
        <v>0.68213754346486777</v>
      </c>
      <c r="T122" s="75">
        <f t="shared" si="134"/>
        <v>0.69478069557419486</v>
      </c>
      <c r="U122" s="75">
        <f t="shared" si="134"/>
        <v>0.70752435736232377</v>
      </c>
      <c r="V122" s="75">
        <f t="shared" si="134"/>
        <v>0.71605236193423216</v>
      </c>
      <c r="W122" s="75">
        <f t="shared" si="134"/>
        <v>0.72971011407895947</v>
      </c>
      <c r="X122" s="75">
        <f t="shared" ref="X122:Y122" si="135">IF(X108=0,"",X108/X101)</f>
        <v>0.74431832310855495</v>
      </c>
      <c r="Y122" s="75">
        <f t="shared" si="135"/>
        <v>0.75882227555769366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1.7752674444404997</v>
      </c>
      <c r="C123" s="76">
        <f t="shared" ref="C123:W123" si="137">IF(C109=0,"",C109/C102)</f>
        <v>1.8590456891086116</v>
      </c>
      <c r="D123" s="76">
        <f t="shared" si="137"/>
        <v>1.9573525149741211</v>
      </c>
      <c r="E123" s="76">
        <f t="shared" si="137"/>
        <v>2.0620641031339497</v>
      </c>
      <c r="F123" s="76">
        <f t="shared" si="137"/>
        <v>2.1702584673973915</v>
      </c>
      <c r="G123" s="76">
        <f t="shared" si="137"/>
        <v>2.2825152222623672</v>
      </c>
      <c r="H123" s="76">
        <f t="shared" si="137"/>
        <v>2.4035063083538382</v>
      </c>
      <c r="I123" s="76">
        <f t="shared" si="137"/>
        <v>2.5344513209717796</v>
      </c>
      <c r="J123" s="76">
        <f t="shared" si="137"/>
        <v>2.6593166131803074</v>
      </c>
      <c r="K123" s="76">
        <f t="shared" si="137"/>
        <v>2.7141664803648542</v>
      </c>
      <c r="L123" s="76">
        <f t="shared" si="137"/>
        <v>2.7805921656458343</v>
      </c>
      <c r="M123" s="76">
        <f t="shared" si="137"/>
        <v>2.8712724656414741</v>
      </c>
      <c r="N123" s="76">
        <f t="shared" si="137"/>
        <v>2.9643072089891702</v>
      </c>
      <c r="O123" s="76">
        <f t="shared" si="137"/>
        <v>3.0644907890352591</v>
      </c>
      <c r="P123" s="76">
        <f t="shared" si="137"/>
        <v>3.1741604711636753</v>
      </c>
      <c r="Q123" s="76">
        <f t="shared" si="137"/>
        <v>3.2964818987222353</v>
      </c>
      <c r="R123" s="76">
        <f t="shared" si="137"/>
        <v>3.4279851879641638</v>
      </c>
      <c r="S123" s="76">
        <f t="shared" si="137"/>
        <v>3.5557187281331855</v>
      </c>
      <c r="T123" s="76">
        <f t="shared" si="137"/>
        <v>3.6660767245803312</v>
      </c>
      <c r="U123" s="76">
        <f t="shared" si="137"/>
        <v>3.7559307724842141</v>
      </c>
      <c r="V123" s="76">
        <f t="shared" si="137"/>
        <v>3.8462897188678959</v>
      </c>
      <c r="W123" s="76">
        <f t="shared" si="137"/>
        <v>3.9258864735670529</v>
      </c>
      <c r="X123" s="76">
        <f t="shared" ref="X123:Y123" si="138">IF(X109=0,"",X109/X102)</f>
        <v>3.9743530787861734</v>
      </c>
      <c r="Y123" s="76">
        <f t="shared" si="138"/>
        <v>4.0154903386460274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0.58957668616657088</v>
      </c>
      <c r="C124" s="76">
        <f t="shared" ref="C124:W124" si="140">IF(C110=0,"",C110/C103)</f>
        <v>0.59023231047246372</v>
      </c>
      <c r="D124" s="76">
        <f t="shared" si="140"/>
        <v>0.59230263645776704</v>
      </c>
      <c r="E124" s="76">
        <f t="shared" si="140"/>
        <v>0.59535768375505893</v>
      </c>
      <c r="F124" s="76">
        <f t="shared" si="140"/>
        <v>0.59905027556299295</v>
      </c>
      <c r="G124" s="76">
        <f t="shared" si="140"/>
        <v>0.6022902419408479</v>
      </c>
      <c r="H124" s="76">
        <f t="shared" si="140"/>
        <v>0.6065665889298133</v>
      </c>
      <c r="I124" s="76">
        <f t="shared" si="140"/>
        <v>0.61115205192133482</v>
      </c>
      <c r="J124" s="76">
        <f t="shared" si="140"/>
        <v>0.61532398333681781</v>
      </c>
      <c r="K124" s="76">
        <f t="shared" si="140"/>
        <v>0.61965166737282318</v>
      </c>
      <c r="L124" s="76">
        <f t="shared" si="140"/>
        <v>0.62492752086967518</v>
      </c>
      <c r="M124" s="76">
        <f t="shared" si="140"/>
        <v>0.63288843814888918</v>
      </c>
      <c r="N124" s="76">
        <f t="shared" si="140"/>
        <v>0.64155659710246382</v>
      </c>
      <c r="O124" s="76">
        <f t="shared" si="140"/>
        <v>0.6513406631398535</v>
      </c>
      <c r="P124" s="76">
        <f t="shared" si="140"/>
        <v>0.65943648176955927</v>
      </c>
      <c r="Q124" s="76">
        <f t="shared" si="140"/>
        <v>0.66961718056553232</v>
      </c>
      <c r="R124" s="76">
        <f t="shared" si="140"/>
        <v>0.6803947759997715</v>
      </c>
      <c r="S124" s="76">
        <f t="shared" si="140"/>
        <v>0.69475455218488535</v>
      </c>
      <c r="T124" s="76">
        <f t="shared" si="140"/>
        <v>0.70997857273338227</v>
      </c>
      <c r="U124" s="76">
        <f t="shared" si="140"/>
        <v>0.72614589582346323</v>
      </c>
      <c r="V124" s="76">
        <f t="shared" si="140"/>
        <v>0.74442234413598307</v>
      </c>
      <c r="W124" s="76">
        <f t="shared" si="140"/>
        <v>0.75835111733241756</v>
      </c>
      <c r="X124" s="76">
        <f t="shared" ref="X124:Y124" si="141">IF(X110=0,"",X110/X103)</f>
        <v>0.77978190416499704</v>
      </c>
      <c r="Y124" s="76">
        <f t="shared" si="141"/>
        <v>0.79989642310549358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0.72815403282777058</v>
      </c>
      <c r="C125" s="56">
        <f t="shared" ref="C125:W125" si="143">IF(C111=0,"",C111/C104)</f>
        <v>0.72190301809583568</v>
      </c>
      <c r="D125" s="56">
        <f t="shared" si="143"/>
        <v>0.72560710672884132</v>
      </c>
      <c r="E125" s="56">
        <f t="shared" si="143"/>
        <v>0.72541810257001849</v>
      </c>
      <c r="F125" s="56">
        <f t="shared" si="143"/>
        <v>0.72646493080094343</v>
      </c>
      <c r="G125" s="56">
        <f t="shared" si="143"/>
        <v>0.72940490361977006</v>
      </c>
      <c r="H125" s="56">
        <f t="shared" si="143"/>
        <v>0.73091955965190147</v>
      </c>
      <c r="I125" s="56">
        <f t="shared" si="143"/>
        <v>0.73441503120885665</v>
      </c>
      <c r="J125" s="56">
        <f t="shared" si="143"/>
        <v>0.73527421694231565</v>
      </c>
      <c r="K125" s="56">
        <f t="shared" si="143"/>
        <v>0.73295902525833534</v>
      </c>
      <c r="L125" s="56">
        <f t="shared" si="143"/>
        <v>0.73289962654424778</v>
      </c>
      <c r="M125" s="56">
        <f t="shared" si="143"/>
        <v>0.73582747083555256</v>
      </c>
      <c r="N125" s="56">
        <f t="shared" si="143"/>
        <v>0.73669944980781021</v>
      </c>
      <c r="O125" s="56">
        <f t="shared" si="143"/>
        <v>0.73929376529946511</v>
      </c>
      <c r="P125" s="56">
        <f t="shared" si="143"/>
        <v>0.74339195273650527</v>
      </c>
      <c r="Q125" s="56">
        <f t="shared" si="143"/>
        <v>0.74632830443027698</v>
      </c>
      <c r="R125" s="56">
        <f t="shared" si="143"/>
        <v>0.74834501364824413</v>
      </c>
      <c r="S125" s="56">
        <f t="shared" si="143"/>
        <v>0.75383752084954925</v>
      </c>
      <c r="T125" s="56">
        <f t="shared" si="143"/>
        <v>0.76060358975206466</v>
      </c>
      <c r="U125" s="56">
        <f t="shared" si="143"/>
        <v>0.76727970322074213</v>
      </c>
      <c r="V125" s="56">
        <f t="shared" si="143"/>
        <v>0.77463098053235491</v>
      </c>
      <c r="W125" s="56">
        <f t="shared" si="143"/>
        <v>0.78220420139690006</v>
      </c>
      <c r="X125" s="56">
        <f t="shared" ref="X125:Y125" si="144">IF(X111=0,"",X111/X104)</f>
        <v>0.77847962419976879</v>
      </c>
      <c r="Y125" s="56">
        <f t="shared" si="144"/>
        <v>0.79373583169371686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220.62773622067232</v>
      </c>
      <c r="C129" s="82">
        <f t="shared" ref="C129:W129" si="146">IF(C99=0,0,C99/C$26)</f>
        <v>242.17622092632936</v>
      </c>
      <c r="D129" s="82">
        <f t="shared" si="146"/>
        <v>244.97164737327333</v>
      </c>
      <c r="E129" s="82">
        <f t="shared" si="146"/>
        <v>246.85050896429715</v>
      </c>
      <c r="F129" s="82">
        <f t="shared" si="146"/>
        <v>246.20755459457214</v>
      </c>
      <c r="G129" s="82">
        <f t="shared" si="146"/>
        <v>248.07297644833847</v>
      </c>
      <c r="H129" s="82">
        <f t="shared" si="146"/>
        <v>233.78908922016319</v>
      </c>
      <c r="I129" s="82">
        <f t="shared" si="146"/>
        <v>219.81190192203633</v>
      </c>
      <c r="J129" s="82">
        <f t="shared" si="146"/>
        <v>229.42860205093172</v>
      </c>
      <c r="K129" s="82">
        <f t="shared" si="146"/>
        <v>227.43004272820912</v>
      </c>
      <c r="L129" s="82">
        <f t="shared" si="146"/>
        <v>237.94474136674376</v>
      </c>
      <c r="M129" s="82">
        <f t="shared" si="146"/>
        <v>231.82686271821819</v>
      </c>
      <c r="N129" s="82">
        <f t="shared" si="146"/>
        <v>225.64558027590593</v>
      </c>
      <c r="O129" s="82">
        <f t="shared" si="146"/>
        <v>220.44572499788939</v>
      </c>
      <c r="P129" s="82">
        <f t="shared" si="146"/>
        <v>200.46631209270856</v>
      </c>
      <c r="Q129" s="82">
        <f t="shared" si="146"/>
        <v>213.64088338718261</v>
      </c>
      <c r="R129" s="82">
        <f t="shared" si="146"/>
        <v>216.42120845439601</v>
      </c>
      <c r="S129" s="82">
        <f t="shared" si="146"/>
        <v>224.81174592522706</v>
      </c>
      <c r="T129" s="82">
        <f t="shared" si="146"/>
        <v>226.48139154433062</v>
      </c>
      <c r="U129" s="82">
        <f t="shared" si="146"/>
        <v>224.83997294837872</v>
      </c>
      <c r="V129" s="82">
        <f t="shared" si="146"/>
        <v>201.62208695174738</v>
      </c>
      <c r="W129" s="82">
        <f t="shared" si="146"/>
        <v>223.28109312828758</v>
      </c>
      <c r="X129" s="82">
        <f t="shared" ref="X129:Y129" si="147">IF(X99=0,0,X99/X$26)</f>
        <v>210.86066348510724</v>
      </c>
      <c r="Y129" s="82">
        <f t="shared" si="147"/>
        <v>201.7045350966296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165.11915932586908</v>
      </c>
      <c r="C130" s="64">
        <f t="shared" ref="C130:W130" si="149">IF(C100=0,0,C100/C$26)</f>
        <v>184.8012471934415</v>
      </c>
      <c r="D130" s="64">
        <f t="shared" si="149"/>
        <v>185.62692212713651</v>
      </c>
      <c r="E130" s="64">
        <f t="shared" si="149"/>
        <v>185.97350456902123</v>
      </c>
      <c r="F130" s="64">
        <f t="shared" si="149"/>
        <v>183.11215508117468</v>
      </c>
      <c r="G130" s="64">
        <f t="shared" si="149"/>
        <v>183.05534438594123</v>
      </c>
      <c r="H130" s="64">
        <f t="shared" si="149"/>
        <v>168.31813157658414</v>
      </c>
      <c r="I130" s="64">
        <f t="shared" si="149"/>
        <v>154.42103861131662</v>
      </c>
      <c r="J130" s="64">
        <f t="shared" si="149"/>
        <v>163.50830878134065</v>
      </c>
      <c r="K130" s="64">
        <f t="shared" si="149"/>
        <v>161.25894408014557</v>
      </c>
      <c r="L130" s="64">
        <f t="shared" si="149"/>
        <v>171.12596363582298</v>
      </c>
      <c r="M130" s="64">
        <f t="shared" si="149"/>
        <v>165.00481871145197</v>
      </c>
      <c r="N130" s="64">
        <f t="shared" si="149"/>
        <v>157.85436517168307</v>
      </c>
      <c r="O130" s="64">
        <f t="shared" si="149"/>
        <v>152.1032657367245</v>
      </c>
      <c r="P130" s="64">
        <f t="shared" si="149"/>
        <v>132.54296048780904</v>
      </c>
      <c r="Q130" s="64">
        <f t="shared" si="149"/>
        <v>145.88981136000695</v>
      </c>
      <c r="R130" s="64">
        <f t="shared" si="149"/>
        <v>149.90123719253208</v>
      </c>
      <c r="S130" s="64">
        <f t="shared" si="149"/>
        <v>159.5680580102516</v>
      </c>
      <c r="T130" s="64">
        <f t="shared" si="149"/>
        <v>162.81009115363011</v>
      </c>
      <c r="U130" s="64">
        <f t="shared" si="149"/>
        <v>162.35640830159969</v>
      </c>
      <c r="V130" s="64">
        <f t="shared" si="149"/>
        <v>144.6789431714094</v>
      </c>
      <c r="W130" s="64">
        <f t="shared" si="149"/>
        <v>165.81012750954929</v>
      </c>
      <c r="X130" s="64">
        <f t="shared" ref="X130:Y130" si="150">IF(X100=0,0,X100/X$26)</f>
        <v>154.43221737979448</v>
      </c>
      <c r="Y130" s="64">
        <f t="shared" si="150"/>
        <v>146.51256009630382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115.50338756732793</v>
      </c>
      <c r="C131" s="65">
        <f t="shared" ref="C131:W131" si="152">IF(C101=0,0,C101/C$26)</f>
        <v>134.01835706809476</v>
      </c>
      <c r="D131" s="65">
        <f t="shared" si="152"/>
        <v>134.3641044686951</v>
      </c>
      <c r="E131" s="65">
        <f t="shared" si="152"/>
        <v>132.88578998940463</v>
      </c>
      <c r="F131" s="65">
        <f t="shared" si="152"/>
        <v>131.40777126433667</v>
      </c>
      <c r="G131" s="65">
        <f t="shared" si="152"/>
        <v>130.87035565736588</v>
      </c>
      <c r="H131" s="65">
        <f t="shared" si="152"/>
        <v>116.00396885322112</v>
      </c>
      <c r="I131" s="65">
        <f t="shared" si="152"/>
        <v>101.79094282770394</v>
      </c>
      <c r="J131" s="65">
        <f t="shared" si="152"/>
        <v>109.56773921450733</v>
      </c>
      <c r="K131" s="65">
        <f t="shared" si="152"/>
        <v>106.11873672571187</v>
      </c>
      <c r="L131" s="65">
        <f t="shared" si="152"/>
        <v>115.28258555082328</v>
      </c>
      <c r="M131" s="65">
        <f t="shared" si="152"/>
        <v>109.11045799886169</v>
      </c>
      <c r="N131" s="65">
        <f t="shared" si="152"/>
        <v>98.403279849123962</v>
      </c>
      <c r="O131" s="65">
        <f t="shared" si="152"/>
        <v>94.104924727233936</v>
      </c>
      <c r="P131" s="65">
        <f t="shared" si="152"/>
        <v>75.612781623000743</v>
      </c>
      <c r="Q131" s="65">
        <f t="shared" si="152"/>
        <v>87.546028794692262</v>
      </c>
      <c r="R131" s="65">
        <f t="shared" si="152"/>
        <v>92.804755390985918</v>
      </c>
      <c r="S131" s="65">
        <f t="shared" si="152"/>
        <v>100.88922886412816</v>
      </c>
      <c r="T131" s="65">
        <f t="shared" si="152"/>
        <v>105.493379650333</v>
      </c>
      <c r="U131" s="65">
        <f t="shared" si="152"/>
        <v>104.55259595416578</v>
      </c>
      <c r="V131" s="65">
        <f t="shared" si="152"/>
        <v>94.436643509216537</v>
      </c>
      <c r="W131" s="65">
        <f t="shared" si="152"/>
        <v>109.86320091646398</v>
      </c>
      <c r="X131" s="65">
        <f t="shared" ref="X131:Y131" si="153">IF(X101=0,0,X101/X$26)</f>
        <v>98.42635773389587</v>
      </c>
      <c r="Y131" s="65">
        <f t="shared" si="153"/>
        <v>92.650408045914673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2.8362781901329779</v>
      </c>
      <c r="C132" s="65">
        <f t="shared" ref="C132:W132" si="155">IF(C102=0,0,C102/C$26)</f>
        <v>2.728978853898508</v>
      </c>
      <c r="D132" s="65">
        <f t="shared" si="155"/>
        <v>2.7245095458045072</v>
      </c>
      <c r="E132" s="65">
        <f t="shared" si="155"/>
        <v>5.3458543373244591</v>
      </c>
      <c r="F132" s="65">
        <f t="shared" si="155"/>
        <v>2.8669031800513793</v>
      </c>
      <c r="G132" s="65">
        <f t="shared" si="155"/>
        <v>3.0179296984866286</v>
      </c>
      <c r="H132" s="65">
        <f t="shared" si="155"/>
        <v>3.5678752183023223</v>
      </c>
      <c r="I132" s="65">
        <f t="shared" si="155"/>
        <v>3.9428104669321447</v>
      </c>
      <c r="J132" s="65">
        <f t="shared" si="155"/>
        <v>4.0163126426304014</v>
      </c>
      <c r="K132" s="65">
        <f t="shared" si="155"/>
        <v>4.0255488847252066</v>
      </c>
      <c r="L132" s="65">
        <f t="shared" si="155"/>
        <v>4.2154785261405365</v>
      </c>
      <c r="M132" s="65">
        <f t="shared" si="155"/>
        <v>4.5914777297247866</v>
      </c>
      <c r="N132" s="65">
        <f t="shared" si="155"/>
        <v>6.76206017087042</v>
      </c>
      <c r="O132" s="65">
        <f t="shared" si="155"/>
        <v>4.4942118871103887</v>
      </c>
      <c r="P132" s="65">
        <f t="shared" si="155"/>
        <v>3.5616435611522528</v>
      </c>
      <c r="Q132" s="65">
        <f t="shared" si="155"/>
        <v>5.5958444408612413</v>
      </c>
      <c r="R132" s="65">
        <f t="shared" si="155"/>
        <v>3.7329796351344511</v>
      </c>
      <c r="S132" s="65">
        <f t="shared" si="155"/>
        <v>5.2070234327692715</v>
      </c>
      <c r="T132" s="65">
        <f t="shared" si="155"/>
        <v>3.8144799148077264</v>
      </c>
      <c r="U132" s="65">
        <f t="shared" si="155"/>
        <v>4.4957921224424817</v>
      </c>
      <c r="V132" s="65">
        <f t="shared" si="155"/>
        <v>3.435215791010009</v>
      </c>
      <c r="W132" s="65">
        <f t="shared" si="155"/>
        <v>4.4710096339755134</v>
      </c>
      <c r="X132" s="65">
        <f t="shared" ref="X132:Y132" si="156">IF(X102=0,0,X102/X$26)</f>
        <v>4.6313053062147524</v>
      </c>
      <c r="Y132" s="65">
        <f t="shared" si="156"/>
        <v>3.9744902559308635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23.975811041148734</v>
      </c>
      <c r="C133" s="65">
        <f t="shared" ref="C133:W133" si="158">IF(C103=0,0,C103/C$26)</f>
        <v>24.236805464305782</v>
      </c>
      <c r="D133" s="65">
        <f t="shared" si="158"/>
        <v>24.637293671001284</v>
      </c>
      <c r="E133" s="65">
        <f t="shared" si="158"/>
        <v>24.448513098121815</v>
      </c>
      <c r="F133" s="65">
        <f t="shared" si="158"/>
        <v>25.050229817690052</v>
      </c>
      <c r="G133" s="65">
        <f t="shared" si="158"/>
        <v>25.211233402085725</v>
      </c>
      <c r="H133" s="65">
        <f t="shared" si="158"/>
        <v>24.520401171918859</v>
      </c>
      <c r="I133" s="65">
        <f t="shared" si="158"/>
        <v>24.22939096729818</v>
      </c>
      <c r="J133" s="65">
        <f t="shared" si="158"/>
        <v>24.612844976090244</v>
      </c>
      <c r="K133" s="65">
        <f t="shared" si="158"/>
        <v>24.648971528831535</v>
      </c>
      <c r="L133" s="65">
        <f t="shared" si="158"/>
        <v>24.756843298261607</v>
      </c>
      <c r="M133" s="65">
        <f t="shared" si="158"/>
        <v>24.521255552219749</v>
      </c>
      <c r="N133" s="65">
        <f t="shared" si="158"/>
        <v>24.949239750789186</v>
      </c>
      <c r="O133" s="65">
        <f t="shared" si="158"/>
        <v>25.240480912354709</v>
      </c>
      <c r="P133" s="65">
        <f t="shared" si="158"/>
        <v>24.758091768581814</v>
      </c>
      <c r="Q133" s="65">
        <f t="shared" si="158"/>
        <v>24.278167400278488</v>
      </c>
      <c r="R133" s="65">
        <f t="shared" si="158"/>
        <v>24.098588298513395</v>
      </c>
      <c r="S133" s="65">
        <f t="shared" si="158"/>
        <v>23.841058184919092</v>
      </c>
      <c r="T133" s="65">
        <f t="shared" si="158"/>
        <v>23.50624501624495</v>
      </c>
      <c r="U133" s="65">
        <f t="shared" si="158"/>
        <v>23.065951377168545</v>
      </c>
      <c r="V133" s="65">
        <f t="shared" si="158"/>
        <v>21.025987628993807</v>
      </c>
      <c r="W133" s="65">
        <f t="shared" si="158"/>
        <v>21.69782652286969</v>
      </c>
      <c r="X133" s="65">
        <f t="shared" ref="X133:Y133" si="159">IF(X103=0,0,X103/X$26)</f>
        <v>21.479743132029068</v>
      </c>
      <c r="Y133" s="65">
        <f t="shared" si="159"/>
        <v>20.682366908691947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22.803682527259443</v>
      </c>
      <c r="C134" s="67">
        <f t="shared" ref="C134:W134" si="161">IF(C104=0,0,C104/C$26)</f>
        <v>23.817105807142486</v>
      </c>
      <c r="D134" s="67">
        <f t="shared" si="161"/>
        <v>23.901014441635652</v>
      </c>
      <c r="E134" s="67">
        <f t="shared" si="161"/>
        <v>23.29334714417033</v>
      </c>
      <c r="F134" s="67">
        <f t="shared" si="161"/>
        <v>23.787250819096553</v>
      </c>
      <c r="G134" s="67">
        <f t="shared" si="161"/>
        <v>23.955825628002973</v>
      </c>
      <c r="H134" s="67">
        <f t="shared" si="161"/>
        <v>24.225886333141815</v>
      </c>
      <c r="I134" s="67">
        <f t="shared" si="161"/>
        <v>24.457894349382347</v>
      </c>
      <c r="J134" s="67">
        <f t="shared" si="161"/>
        <v>25.311411948112674</v>
      </c>
      <c r="K134" s="67">
        <f t="shared" si="161"/>
        <v>26.46568694087695</v>
      </c>
      <c r="L134" s="67">
        <f t="shared" si="161"/>
        <v>26.871056260597534</v>
      </c>
      <c r="M134" s="67">
        <f t="shared" si="161"/>
        <v>26.78162743064571</v>
      </c>
      <c r="N134" s="67">
        <f t="shared" si="161"/>
        <v>27.7397854008995</v>
      </c>
      <c r="O134" s="67">
        <f t="shared" si="161"/>
        <v>28.263648210025476</v>
      </c>
      <c r="P134" s="67">
        <f t="shared" si="161"/>
        <v>28.610443535074214</v>
      </c>
      <c r="Q134" s="67">
        <f t="shared" si="161"/>
        <v>28.469770724174932</v>
      </c>
      <c r="R134" s="67">
        <f t="shared" si="161"/>
        <v>29.264913867898333</v>
      </c>
      <c r="S134" s="67">
        <f t="shared" si="161"/>
        <v>29.630747528435098</v>
      </c>
      <c r="T134" s="67">
        <f t="shared" si="161"/>
        <v>29.995986572244423</v>
      </c>
      <c r="U134" s="67">
        <f t="shared" si="161"/>
        <v>30.24206884782285</v>
      </c>
      <c r="V134" s="67">
        <f t="shared" si="161"/>
        <v>25.781096242189076</v>
      </c>
      <c r="W134" s="67">
        <f t="shared" si="161"/>
        <v>29.778090436240095</v>
      </c>
      <c r="X134" s="67">
        <f t="shared" ref="X134:Y134" si="162">IF(X104=0,0,X104/X$26)</f>
        <v>29.894811207654794</v>
      </c>
      <c r="Y134" s="67">
        <f t="shared" si="162"/>
        <v>29.205294885766307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55.508576894803213</v>
      </c>
      <c r="C135" s="68">
        <f t="shared" ref="C135:W135" si="164">IF(C105=0,0,C105/C$26)</f>
        <v>57.374973732887817</v>
      </c>
      <c r="D135" s="68">
        <f t="shared" si="164"/>
        <v>59.344725246136726</v>
      </c>
      <c r="E135" s="68">
        <f t="shared" si="164"/>
        <v>60.87700439527589</v>
      </c>
      <c r="F135" s="68">
        <f t="shared" si="164"/>
        <v>63.09539951339751</v>
      </c>
      <c r="G135" s="68">
        <f t="shared" si="164"/>
        <v>65.017632062397283</v>
      </c>
      <c r="H135" s="68">
        <f t="shared" si="164"/>
        <v>65.470957643578984</v>
      </c>
      <c r="I135" s="68">
        <f t="shared" si="164"/>
        <v>65.390863310719709</v>
      </c>
      <c r="J135" s="68">
        <f t="shared" si="164"/>
        <v>65.920293269591099</v>
      </c>
      <c r="K135" s="68">
        <f t="shared" si="164"/>
        <v>66.171098648063548</v>
      </c>
      <c r="L135" s="68">
        <f t="shared" si="164"/>
        <v>66.818777730920829</v>
      </c>
      <c r="M135" s="68">
        <f t="shared" si="164"/>
        <v>66.822044006766248</v>
      </c>
      <c r="N135" s="68">
        <f t="shared" si="164"/>
        <v>67.791215104222886</v>
      </c>
      <c r="O135" s="68">
        <f t="shared" si="164"/>
        <v>68.342459261164876</v>
      </c>
      <c r="P135" s="68">
        <f t="shared" si="164"/>
        <v>67.923351604899594</v>
      </c>
      <c r="Q135" s="68">
        <f t="shared" si="164"/>
        <v>67.751072027175681</v>
      </c>
      <c r="R135" s="68">
        <f t="shared" si="164"/>
        <v>66.519971261863958</v>
      </c>
      <c r="S135" s="68">
        <f t="shared" si="164"/>
        <v>65.243687914975496</v>
      </c>
      <c r="T135" s="68">
        <f t="shared" si="164"/>
        <v>63.671300390700516</v>
      </c>
      <c r="U135" s="68">
        <f t="shared" si="164"/>
        <v>62.483564646779037</v>
      </c>
      <c r="V135" s="68">
        <f t="shared" si="164"/>
        <v>56.943143780337941</v>
      </c>
      <c r="W135" s="68">
        <f t="shared" si="164"/>
        <v>57.47096561873829</v>
      </c>
      <c r="X135" s="68">
        <f t="shared" ref="X135:Y135" si="165">IF(X105=0,0,X105/X$26)</f>
        <v>56.42844610531278</v>
      </c>
      <c r="Y135" s="68">
        <f t="shared" si="165"/>
        <v>55.191975000325812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98.308285501144724</v>
      </c>
      <c r="C137" s="85">
        <f t="shared" ref="C137:W137" si="167">IF(C107=0,0,C107/C$26)</f>
        <v>109.82155145199424</v>
      </c>
      <c r="D137" s="85">
        <f t="shared" si="167"/>
        <v>111.12499230542473</v>
      </c>
      <c r="E137" s="85">
        <f t="shared" si="167"/>
        <v>116.62510219809899</v>
      </c>
      <c r="F137" s="85">
        <f t="shared" si="167"/>
        <v>112.817343364553</v>
      </c>
      <c r="G137" s="85">
        <f t="shared" si="167"/>
        <v>115.39196733664473</v>
      </c>
      <c r="H137" s="85">
        <f t="shared" si="167"/>
        <v>109.35701104834973</v>
      </c>
      <c r="I137" s="85">
        <f t="shared" si="167"/>
        <v>103.88997272977953</v>
      </c>
      <c r="J137" s="85">
        <f t="shared" si="167"/>
        <v>111.669124154103</v>
      </c>
      <c r="K137" s="85">
        <f t="shared" si="167"/>
        <v>111.09435295236351</v>
      </c>
      <c r="L137" s="85">
        <f t="shared" si="167"/>
        <v>118.90711003676465</v>
      </c>
      <c r="M137" s="85">
        <f t="shared" si="167"/>
        <v>118.02729153740169</v>
      </c>
      <c r="N137" s="85">
        <f t="shared" si="167"/>
        <v>120.53218731752445</v>
      </c>
      <c r="O137" s="85">
        <f t="shared" si="167"/>
        <v>113.45235357587595</v>
      </c>
      <c r="P137" s="85">
        <f t="shared" si="167"/>
        <v>98.911500084966889</v>
      </c>
      <c r="Q137" s="85">
        <f t="shared" si="167"/>
        <v>113.81468941994731</v>
      </c>
      <c r="R137" s="85">
        <f t="shared" si="167"/>
        <v>113.29293655004564</v>
      </c>
      <c r="S137" s="85">
        <f t="shared" si="167"/>
        <v>126.23549443779895</v>
      </c>
      <c r="T137" s="85">
        <f t="shared" si="167"/>
        <v>126.78292507594536</v>
      </c>
      <c r="U137" s="85">
        <f t="shared" si="167"/>
        <v>130.81276377854095</v>
      </c>
      <c r="V137" s="85">
        <f t="shared" si="167"/>
        <v>116.45746767680569</v>
      </c>
      <c r="W137" s="85">
        <f t="shared" si="167"/>
        <v>137.46808355515205</v>
      </c>
      <c r="X137" s="85">
        <f t="shared" ref="X137:Y137" si="168">IF(X107=0,0,X107/X$26)</f>
        <v>131.68900043565625</v>
      </c>
      <c r="Y137" s="85">
        <f t="shared" si="168"/>
        <v>125.98976102611506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62.532960549480542</v>
      </c>
      <c r="C138" s="65">
        <f t="shared" ref="C138:W138" si="170">IF(C108=0,0,C108/C$26)</f>
        <v>73.249268825832814</v>
      </c>
      <c r="D138" s="65">
        <f t="shared" si="170"/>
        <v>73.856686760475455</v>
      </c>
      <c r="E138" s="65">
        <f t="shared" si="170"/>
        <v>74.148582051337456</v>
      </c>
      <c r="F138" s="65">
        <f t="shared" si="170"/>
        <v>74.3084718673948</v>
      </c>
      <c r="G138" s="65">
        <f t="shared" si="170"/>
        <v>75.845520311436402</v>
      </c>
      <c r="H138" s="65">
        <f t="shared" si="170"/>
        <v>68.20117018490231</v>
      </c>
      <c r="I138" s="65">
        <f t="shared" si="170"/>
        <v>61.127024285148906</v>
      </c>
      <c r="J138" s="65">
        <f t="shared" si="170"/>
        <v>67.232774808037519</v>
      </c>
      <c r="K138" s="65">
        <f t="shared" si="170"/>
        <v>65.496302694529092</v>
      </c>
      <c r="L138" s="65">
        <f t="shared" si="170"/>
        <v>72.020563667346948</v>
      </c>
      <c r="M138" s="65">
        <f t="shared" si="170"/>
        <v>69.618031650390648</v>
      </c>
      <c r="N138" s="65">
        <f t="shared" si="170"/>
        <v>64.045129607955488</v>
      </c>
      <c r="O138" s="65">
        <f t="shared" si="170"/>
        <v>62.344592162142241</v>
      </c>
      <c r="P138" s="65">
        <f t="shared" si="170"/>
        <v>50.011109461384969</v>
      </c>
      <c r="Q138" s="65">
        <f t="shared" si="170"/>
        <v>57.863215796618071</v>
      </c>
      <c r="R138" s="65">
        <f t="shared" si="170"/>
        <v>62.199531698668061</v>
      </c>
      <c r="S138" s="65">
        <f t="shared" si="170"/>
        <v>68.820330739441218</v>
      </c>
      <c r="T138" s="65">
        <f t="shared" si="170"/>
        <v>73.294763691930967</v>
      </c>
      <c r="U138" s="65">
        <f t="shared" si="170"/>
        <v>73.973508263033835</v>
      </c>
      <c r="V138" s="65">
        <f t="shared" si="170"/>
        <v>67.621581637915568</v>
      </c>
      <c r="W138" s="65">
        <f t="shared" si="170"/>
        <v>80.168288873832566</v>
      </c>
      <c r="X138" s="65">
        <f t="shared" ref="X138:Y138" si="171">IF(X108=0,0,X108/X$26)</f>
        <v>73.260541538176128</v>
      </c>
      <c r="Y138" s="65">
        <f t="shared" si="171"/>
        <v>70.305193464749834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5.0351523343196973</v>
      </c>
      <c r="C139" s="65">
        <f t="shared" ref="C139:W139" si="173">IF(C109=0,0,C109/C$26)</f>
        <v>5.0732963740085806</v>
      </c>
      <c r="D139" s="65">
        <f t="shared" si="173"/>
        <v>5.3328256115514527</v>
      </c>
      <c r="E139" s="65">
        <f t="shared" si="173"/>
        <v>11.023494329579696</v>
      </c>
      <c r="F139" s="65">
        <f t="shared" si="173"/>
        <v>6.2219209017150137</v>
      </c>
      <c r="G139" s="65">
        <f t="shared" si="173"/>
        <v>6.8884704765134055</v>
      </c>
      <c r="H139" s="65">
        <f t="shared" si="173"/>
        <v>8.5754105946089592</v>
      </c>
      <c r="I139" s="65">
        <f t="shared" si="173"/>
        <v>9.9928611962575324</v>
      </c>
      <c r="J139" s="65">
        <f t="shared" si="173"/>
        <v>10.680646934273129</v>
      </c>
      <c r="K139" s="65">
        <f t="shared" si="173"/>
        <v>10.926009847991276</v>
      </c>
      <c r="L139" s="65">
        <f t="shared" si="173"/>
        <v>11.721526564234626</v>
      </c>
      <c r="M139" s="65">
        <f t="shared" si="173"/>
        <v>13.183383581964804</v>
      </c>
      <c r="N139" s="65">
        <f t="shared" si="173"/>
        <v>20.044823712129727</v>
      </c>
      <c r="O139" s="65">
        <f t="shared" si="173"/>
        <v>13.772470932022557</v>
      </c>
      <c r="P139" s="65">
        <f t="shared" si="173"/>
        <v>11.305228204184106</v>
      </c>
      <c r="Q139" s="65">
        <f t="shared" si="173"/>
        <v>18.446599907364529</v>
      </c>
      <c r="R139" s="65">
        <f t="shared" si="173"/>
        <v>12.796598896212767</v>
      </c>
      <c r="S139" s="65">
        <f t="shared" si="173"/>
        <v>18.514710737726045</v>
      </c>
      <c r="T139" s="65">
        <f t="shared" si="173"/>
        <v>13.984176032055769</v>
      </c>
      <c r="U139" s="65">
        <f t="shared" si="173"/>
        <v>16.885883979373837</v>
      </c>
      <c r="V139" s="65">
        <f t="shared" si="173"/>
        <v>13.212835179054444</v>
      </c>
      <c r="W139" s="65">
        <f t="shared" si="173"/>
        <v>17.552676245212449</v>
      </c>
      <c r="X139" s="65">
        <f t="shared" ref="X139:Y139" si="174">IF(X109=0,0,X109/X$26)</f>
        <v>18.40644250255334</v>
      </c>
      <c r="Y139" s="65">
        <f t="shared" si="174"/>
        <v>15.959527223733158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14.135579221796355</v>
      </c>
      <c r="C140" s="65">
        <f t="shared" ref="C140:W140" si="176">IF(C110=0,0,C110/C$26)</f>
        <v>14.305345687668837</v>
      </c>
      <c r="D140" s="65">
        <f t="shared" si="176"/>
        <v>14.592733996518319</v>
      </c>
      <c r="E140" s="65">
        <f t="shared" si="176"/>
        <v>14.555610129353024</v>
      </c>
      <c r="F140" s="65">
        <f t="shared" si="176"/>
        <v>15.006347075203527</v>
      </c>
      <c r="G140" s="65">
        <f t="shared" si="176"/>
        <v>15.184479865369395</v>
      </c>
      <c r="H140" s="65">
        <f t="shared" si="176"/>
        <v>14.87325609804142</v>
      </c>
      <c r="I140" s="65">
        <f t="shared" si="176"/>
        <v>14.807842006468537</v>
      </c>
      <c r="J140" s="65">
        <f t="shared" si="176"/>
        <v>15.144873811939435</v>
      </c>
      <c r="K140" s="65">
        <f t="shared" si="176"/>
        <v>15.273776306865708</v>
      </c>
      <c r="L140" s="65">
        <f t="shared" si="176"/>
        <v>15.47123270694166</v>
      </c>
      <c r="M140" s="65">
        <f t="shared" si="176"/>
        <v>15.519219127894136</v>
      </c>
      <c r="N140" s="65">
        <f t="shared" si="176"/>
        <v>16.006349354809831</v>
      </c>
      <c r="O140" s="65">
        <f t="shared" si="176"/>
        <v>16.440151575421929</v>
      </c>
      <c r="P140" s="65">
        <f t="shared" si="176"/>
        <v>16.326388931201478</v>
      </c>
      <c r="Q140" s="65">
        <f t="shared" si="176"/>
        <v>16.2570780038725</v>
      </c>
      <c r="R140" s="65">
        <f t="shared" si="176"/>
        <v>16.396553587277737</v>
      </c>
      <c r="S140" s="65">
        <f t="shared" si="176"/>
        <v>16.56368370287726</v>
      </c>
      <c r="T140" s="65">
        <f t="shared" si="176"/>
        <v>16.688930286954772</v>
      </c>
      <c r="U140" s="65">
        <f t="shared" si="176"/>
        <v>16.749245925794497</v>
      </c>
      <c r="V140" s="65">
        <f t="shared" si="176"/>
        <v>15.652214998549749</v>
      </c>
      <c r="W140" s="65">
        <f t="shared" si="176"/>
        <v>16.454570987303192</v>
      </c>
      <c r="X140" s="65">
        <f t="shared" ref="X140:Y140" si="177">IF(X110=0,0,X110/X$26)</f>
        <v>16.749515000468644</v>
      </c>
      <c r="Y140" s="65">
        <f t="shared" si="177"/>
        <v>16.543751311618113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16.604593395548132</v>
      </c>
      <c r="C141" s="68">
        <f t="shared" ref="C141:W141" si="179">IF(C111=0,0,C111/C$26)</f>
        <v>17.193640564484014</v>
      </c>
      <c r="D141" s="68">
        <f t="shared" si="179"/>
        <v>17.342745936879499</v>
      </c>
      <c r="E141" s="68">
        <f t="shared" si="179"/>
        <v>16.897415687828797</v>
      </c>
      <c r="F141" s="68">
        <f t="shared" si="179"/>
        <v>17.280603520239662</v>
      </c>
      <c r="G141" s="68">
        <f t="shared" si="179"/>
        <v>17.473496683325525</v>
      </c>
      <c r="H141" s="68">
        <f t="shared" si="179"/>
        <v>17.707174170797032</v>
      </c>
      <c r="I141" s="68">
        <f t="shared" si="179"/>
        <v>17.962245241904554</v>
      </c>
      <c r="J141" s="68">
        <f t="shared" si="179"/>
        <v>18.610828599852919</v>
      </c>
      <c r="K141" s="68">
        <f t="shared" si="179"/>
        <v>19.398264102977425</v>
      </c>
      <c r="L141" s="68">
        <f t="shared" si="179"/>
        <v>19.693787098241405</v>
      </c>
      <c r="M141" s="68">
        <f t="shared" si="179"/>
        <v>19.706657177152088</v>
      </c>
      <c r="N141" s="68">
        <f t="shared" si="179"/>
        <v>20.435884642629389</v>
      </c>
      <c r="O141" s="68">
        <f t="shared" si="179"/>
        <v>20.895138906289223</v>
      </c>
      <c r="P141" s="68">
        <f t="shared" si="179"/>
        <v>21.268773488196345</v>
      </c>
      <c r="Q141" s="68">
        <f t="shared" si="179"/>
        <v>21.247795712092213</v>
      </c>
      <c r="R141" s="68">
        <f t="shared" si="179"/>
        <v>21.900252367887067</v>
      </c>
      <c r="S141" s="68">
        <f t="shared" si="179"/>
        <v>22.336769257754423</v>
      </c>
      <c r="T141" s="68">
        <f t="shared" si="179"/>
        <v>22.815055065003836</v>
      </c>
      <c r="U141" s="68">
        <f t="shared" si="179"/>
        <v>23.204125610338771</v>
      </c>
      <c r="V141" s="68">
        <f t="shared" si="179"/>
        <v>19.970835861285934</v>
      </c>
      <c r="W141" s="68">
        <f t="shared" si="179"/>
        <v>23.292547448803848</v>
      </c>
      <c r="X141" s="68">
        <f t="shared" ref="X141:Y141" si="180">IF(X111=0,0,X111/X$26)</f>
        <v>23.272501394458139</v>
      </c>
      <c r="Y141" s="68">
        <f t="shared" si="180"/>
        <v>23.181289026013975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22.150082301753624</v>
      </c>
      <c r="C143" s="82">
        <f t="shared" ref="C143:W143" si="182">IF(C113=0,0,C113/C$26)</f>
        <v>25.028695603159427</v>
      </c>
      <c r="D143" s="82">
        <f t="shared" si="182"/>
        <v>25.404205357547021</v>
      </c>
      <c r="E143" s="82">
        <f t="shared" si="182"/>
        <v>24.83755893143838</v>
      </c>
      <c r="F143" s="82">
        <f t="shared" si="182"/>
        <v>23.886327384228107</v>
      </c>
      <c r="G143" s="82">
        <f t="shared" si="182"/>
        <v>22.21361638067242</v>
      </c>
      <c r="H143" s="82">
        <f t="shared" si="182"/>
        <v>19.473161405289851</v>
      </c>
      <c r="I143" s="82">
        <f t="shared" si="182"/>
        <v>16.423097741726277</v>
      </c>
      <c r="J143" s="82">
        <f t="shared" si="182"/>
        <v>16.402361441642906</v>
      </c>
      <c r="K143" s="82">
        <f t="shared" si="182"/>
        <v>16.194452766088247</v>
      </c>
      <c r="L143" s="82">
        <f t="shared" si="182"/>
        <v>17.227926026501564</v>
      </c>
      <c r="M143" s="82">
        <f t="shared" si="182"/>
        <v>15.540904505220933</v>
      </c>
      <c r="N143" s="82">
        <f t="shared" si="182"/>
        <v>13.917478570079492</v>
      </c>
      <c r="O143" s="82">
        <f t="shared" si="182"/>
        <v>13.144201748715663</v>
      </c>
      <c r="P143" s="82">
        <f t="shared" si="182"/>
        <v>11.682963813068193</v>
      </c>
      <c r="Q143" s="82">
        <f t="shared" si="182"/>
        <v>14.079157288912286</v>
      </c>
      <c r="R143" s="82">
        <f t="shared" si="182"/>
        <v>14.529370881132134</v>
      </c>
      <c r="S143" s="82">
        <f t="shared" si="182"/>
        <v>14.812042828420115</v>
      </c>
      <c r="T143" s="82">
        <f t="shared" si="182"/>
        <v>14.666809228377563</v>
      </c>
      <c r="U143" s="82">
        <f t="shared" si="182"/>
        <v>14.157127110518486</v>
      </c>
      <c r="V143" s="82">
        <f t="shared" si="182"/>
        <v>13.060284936409355</v>
      </c>
      <c r="W143" s="82">
        <f t="shared" si="182"/>
        <v>14.80372991284557</v>
      </c>
      <c r="X143" s="82">
        <f t="shared" ref="X143:Y143" si="183">IF(X113=0,0,X113/X$26)</f>
        <v>12.62744971666433</v>
      </c>
      <c r="Y143" s="82">
        <f t="shared" si="183"/>
        <v>11.020011743176084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22.150082301753624</v>
      </c>
      <c r="C144" s="64">
        <f t="shared" ref="C144:W144" si="185">IF(C114=0,0,C114/C$26)</f>
        <v>25.028695603159427</v>
      </c>
      <c r="D144" s="64">
        <f t="shared" si="185"/>
        <v>25.404205357547021</v>
      </c>
      <c r="E144" s="64">
        <f t="shared" si="185"/>
        <v>24.83755893143838</v>
      </c>
      <c r="F144" s="64">
        <f t="shared" si="185"/>
        <v>23.886327384228107</v>
      </c>
      <c r="G144" s="64">
        <f t="shared" si="185"/>
        <v>22.21361638067242</v>
      </c>
      <c r="H144" s="64">
        <f t="shared" si="185"/>
        <v>19.473161405289851</v>
      </c>
      <c r="I144" s="64">
        <f t="shared" si="185"/>
        <v>16.423097741726277</v>
      </c>
      <c r="J144" s="64">
        <f t="shared" si="185"/>
        <v>16.402361441642906</v>
      </c>
      <c r="K144" s="64">
        <f t="shared" si="185"/>
        <v>16.194452766088247</v>
      </c>
      <c r="L144" s="64">
        <f t="shared" si="185"/>
        <v>17.227926026501564</v>
      </c>
      <c r="M144" s="64">
        <f t="shared" si="185"/>
        <v>15.540904505220933</v>
      </c>
      <c r="N144" s="64">
        <f t="shared" si="185"/>
        <v>13.917478570079492</v>
      </c>
      <c r="O144" s="64">
        <f t="shared" si="185"/>
        <v>13.144201748715663</v>
      </c>
      <c r="P144" s="64">
        <f t="shared" si="185"/>
        <v>11.682963813068193</v>
      </c>
      <c r="Q144" s="64">
        <f t="shared" si="185"/>
        <v>14.079157288912286</v>
      </c>
      <c r="R144" s="64">
        <f t="shared" si="185"/>
        <v>14.529370881132134</v>
      </c>
      <c r="S144" s="64">
        <f t="shared" si="185"/>
        <v>14.812042828420115</v>
      </c>
      <c r="T144" s="64">
        <f t="shared" si="185"/>
        <v>14.666809228377563</v>
      </c>
      <c r="U144" s="64">
        <f t="shared" si="185"/>
        <v>14.157127110518486</v>
      </c>
      <c r="V144" s="64">
        <f t="shared" si="185"/>
        <v>13.060284936409355</v>
      </c>
      <c r="W144" s="64">
        <f t="shared" si="185"/>
        <v>14.80372991284557</v>
      </c>
      <c r="X144" s="64">
        <f t="shared" ref="X144:Y144" si="186">IF(X114=0,0,X114/X$26)</f>
        <v>12.62744971666433</v>
      </c>
      <c r="Y144" s="64">
        <f t="shared" si="186"/>
        <v>11.020011743176084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18.74622871971884</v>
      </c>
      <c r="C145" s="65">
        <f t="shared" ref="C145:W145" si="188">IF(C115=0,0,C115/C$26)</f>
        <v>21.264702214820367</v>
      </c>
      <c r="D145" s="65">
        <f t="shared" si="188"/>
        <v>21.608833156869746</v>
      </c>
      <c r="E145" s="65">
        <f t="shared" si="188"/>
        <v>21.034517129888034</v>
      </c>
      <c r="F145" s="65">
        <f t="shared" si="188"/>
        <v>19.995551247843579</v>
      </c>
      <c r="G145" s="65">
        <f t="shared" si="188"/>
        <v>18.304868436975237</v>
      </c>
      <c r="H145" s="65">
        <f t="shared" si="188"/>
        <v>15.628206609079792</v>
      </c>
      <c r="I145" s="65">
        <f t="shared" si="188"/>
        <v>12.670140458660148</v>
      </c>
      <c r="J145" s="65">
        <f t="shared" si="188"/>
        <v>12.530351936053396</v>
      </c>
      <c r="K145" s="65">
        <f t="shared" si="188"/>
        <v>12.168275400454499</v>
      </c>
      <c r="L145" s="65">
        <f t="shared" si="188"/>
        <v>13.108361860112804</v>
      </c>
      <c r="M145" s="65">
        <f t="shared" si="188"/>
        <v>11.555799084218851</v>
      </c>
      <c r="N145" s="65">
        <f t="shared" si="188"/>
        <v>9.8667127307517841</v>
      </c>
      <c r="O145" s="65">
        <f t="shared" si="188"/>
        <v>9.073460120114575</v>
      </c>
      <c r="P145" s="65">
        <f t="shared" si="188"/>
        <v>7.6893360597557692</v>
      </c>
      <c r="Q145" s="65">
        <f t="shared" si="188"/>
        <v>10.087335796823973</v>
      </c>
      <c r="R145" s="65">
        <f t="shared" si="188"/>
        <v>10.397132920892982</v>
      </c>
      <c r="S145" s="65">
        <f t="shared" si="188"/>
        <v>10.657111769304914</v>
      </c>
      <c r="T145" s="65">
        <f t="shared" si="188"/>
        <v>10.542964340630142</v>
      </c>
      <c r="U145" s="65">
        <f t="shared" si="188"/>
        <v>10.046550788789132</v>
      </c>
      <c r="V145" s="65">
        <f t="shared" si="188"/>
        <v>9.4601981516689904</v>
      </c>
      <c r="W145" s="65">
        <f t="shared" si="188"/>
        <v>10.829631720163206</v>
      </c>
      <c r="X145" s="65">
        <f t="shared" ref="X145:Y145" si="189">IF(X115=0,0,X115/X$26)</f>
        <v>8.7620241118498541</v>
      </c>
      <c r="Y145" s="65">
        <f t="shared" si="189"/>
        <v>7.7041575455202924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9.9935504091912567E-4</v>
      </c>
      <c r="C146" s="65">
        <f t="shared" ref="C146:W146" si="191">IF(C116=0,0,C116/C$26)</f>
        <v>9.7000577142718615E-4</v>
      </c>
      <c r="D146" s="65">
        <f t="shared" si="191"/>
        <v>1.1074234472964507E-3</v>
      </c>
      <c r="E146" s="65">
        <f t="shared" si="191"/>
        <v>2.4634233704259687E-3</v>
      </c>
      <c r="F146" s="65">
        <f t="shared" si="191"/>
        <v>1.4417105685583563E-3</v>
      </c>
      <c r="G146" s="65">
        <f t="shared" si="191"/>
        <v>1.6298243953779777E-3</v>
      </c>
      <c r="H146" s="65">
        <f t="shared" si="191"/>
        <v>2.0507653745824666E-3</v>
      </c>
      <c r="I146" s="65">
        <f t="shared" si="191"/>
        <v>2.8676308447272317E-3</v>
      </c>
      <c r="J146" s="65">
        <f t="shared" si="191"/>
        <v>2.7708646009705676E-3</v>
      </c>
      <c r="K146" s="65">
        <f t="shared" si="191"/>
        <v>2.4118152988193546E-3</v>
      </c>
      <c r="L146" s="65">
        <f t="shared" si="191"/>
        <v>2.8136557061427528E-3</v>
      </c>
      <c r="M146" s="65">
        <f t="shared" si="191"/>
        <v>3.3620205742767263E-3</v>
      </c>
      <c r="N146" s="65">
        <f t="shared" si="191"/>
        <v>4.7747441142726695E-3</v>
      </c>
      <c r="O146" s="65">
        <f t="shared" si="191"/>
        <v>4.2566291113404937E-3</v>
      </c>
      <c r="P146" s="65">
        <f t="shared" si="191"/>
        <v>3.4044291978140226E-3</v>
      </c>
      <c r="Q146" s="65">
        <f t="shared" si="191"/>
        <v>8.161966797751781E-3</v>
      </c>
      <c r="R146" s="65">
        <f t="shared" si="191"/>
        <v>6.2764210503467189E-3</v>
      </c>
      <c r="S146" s="65">
        <f t="shared" si="191"/>
        <v>1.0829903628480159E-2</v>
      </c>
      <c r="T146" s="65">
        <f t="shared" si="191"/>
        <v>9.963054046893632E-3</v>
      </c>
      <c r="U146" s="65">
        <f t="shared" si="191"/>
        <v>1.3414066583893615E-2</v>
      </c>
      <c r="V146" s="65">
        <f t="shared" si="191"/>
        <v>1.019875448980182E-2</v>
      </c>
      <c r="W146" s="65">
        <f t="shared" si="191"/>
        <v>1.4056998763629589E-2</v>
      </c>
      <c r="X146" s="65">
        <f t="shared" ref="X146:Y146" si="192">IF(X116=0,0,X116/X$26)</f>
        <v>1.9347134393246708E-2</v>
      </c>
      <c r="Y146" s="65">
        <f t="shared" si="192"/>
        <v>1.9801004059557651E-2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2.6325274123646261</v>
      </c>
      <c r="C147" s="65">
        <f t="shared" ref="C147:W147" si="194">IF(C117=0,0,C117/C$26)</f>
        <v>2.7275438850218734</v>
      </c>
      <c r="D147" s="65">
        <f t="shared" si="194"/>
        <v>2.8150928550599463</v>
      </c>
      <c r="E147" s="65">
        <f t="shared" si="194"/>
        <v>2.7904858486366488</v>
      </c>
      <c r="F147" s="65">
        <f t="shared" si="194"/>
        <v>2.8355087298238217</v>
      </c>
      <c r="G147" s="65">
        <f t="shared" si="194"/>
        <v>2.881168369065696</v>
      </c>
      <c r="H147" s="65">
        <f t="shared" si="194"/>
        <v>2.7917093313366461</v>
      </c>
      <c r="I147" s="65">
        <f t="shared" si="194"/>
        <v>2.7328469758080214</v>
      </c>
      <c r="J147" s="65">
        <f t="shared" si="194"/>
        <v>2.7898863856086442</v>
      </c>
      <c r="K147" s="65">
        <f t="shared" si="194"/>
        <v>2.8142506899071318</v>
      </c>
      <c r="L147" s="65">
        <f t="shared" si="194"/>
        <v>2.8373980911271897</v>
      </c>
      <c r="M147" s="65">
        <f t="shared" si="194"/>
        <v>2.7698330743598394</v>
      </c>
      <c r="N147" s="65">
        <f t="shared" si="194"/>
        <v>2.788927903688935</v>
      </c>
      <c r="O147" s="65">
        <f t="shared" si="194"/>
        <v>2.8065041333988101</v>
      </c>
      <c r="P147" s="65">
        <f t="shared" si="194"/>
        <v>2.7491723064769138</v>
      </c>
      <c r="Q147" s="65">
        <f t="shared" si="194"/>
        <v>2.7285270287127643</v>
      </c>
      <c r="R147" s="65">
        <f t="shared" si="194"/>
        <v>2.7713105253175652</v>
      </c>
      <c r="S147" s="65">
        <f t="shared" si="194"/>
        <v>2.7863061557631452</v>
      </c>
      <c r="T147" s="65">
        <f t="shared" si="194"/>
        <v>2.761405600286948</v>
      </c>
      <c r="U147" s="65">
        <f t="shared" si="194"/>
        <v>2.7145999505740588</v>
      </c>
      <c r="V147" s="65">
        <f t="shared" si="194"/>
        <v>2.4027992813621637</v>
      </c>
      <c r="W147" s="65">
        <f t="shared" si="194"/>
        <v>2.5760383453359839</v>
      </c>
      <c r="X147" s="65">
        <f t="shared" ref="X147:Y147" si="195">IF(X117=0,0,X117/X$26)</f>
        <v>2.1525992087912371</v>
      </c>
      <c r="Y147" s="65">
        <f t="shared" si="195"/>
        <v>1.8769990677455508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0.77032681462923847</v>
      </c>
      <c r="C148" s="67">
        <f t="shared" ref="C148:W148" si="197">IF(C118=0,0,C118/C$26)</f>
        <v>1.0354794975457577</v>
      </c>
      <c r="D148" s="67">
        <f t="shared" si="197"/>
        <v>0.97917192217002669</v>
      </c>
      <c r="E148" s="67">
        <f t="shared" si="197"/>
        <v>1.0100925295432754</v>
      </c>
      <c r="F148" s="67">
        <f t="shared" si="197"/>
        <v>1.0538256959921513</v>
      </c>
      <c r="G148" s="67">
        <f t="shared" si="197"/>
        <v>1.0259497502361075</v>
      </c>
      <c r="H148" s="67">
        <f t="shared" si="197"/>
        <v>1.0511946994988317</v>
      </c>
      <c r="I148" s="67">
        <f t="shared" si="197"/>
        <v>1.0172426764133795</v>
      </c>
      <c r="J148" s="67">
        <f t="shared" si="197"/>
        <v>1.0793522553798953</v>
      </c>
      <c r="K148" s="67">
        <f t="shared" si="197"/>
        <v>1.2095148604277992</v>
      </c>
      <c r="L148" s="67">
        <f t="shared" si="197"/>
        <v>1.2793524195554236</v>
      </c>
      <c r="M148" s="67">
        <f t="shared" si="197"/>
        <v>1.2119103260679618</v>
      </c>
      <c r="N148" s="67">
        <f t="shared" si="197"/>
        <v>1.257063191524503</v>
      </c>
      <c r="O148" s="67">
        <f t="shared" si="197"/>
        <v>1.2599808660909397</v>
      </c>
      <c r="P148" s="67">
        <f t="shared" si="197"/>
        <v>1.2410510176376963</v>
      </c>
      <c r="Q148" s="67">
        <f t="shared" si="197"/>
        <v>1.255132496577797</v>
      </c>
      <c r="R148" s="67">
        <f t="shared" si="197"/>
        <v>1.3546510138712395</v>
      </c>
      <c r="S148" s="67">
        <f t="shared" si="197"/>
        <v>1.3577949997235739</v>
      </c>
      <c r="T148" s="67">
        <f t="shared" si="197"/>
        <v>1.3524762334135776</v>
      </c>
      <c r="U148" s="67">
        <f t="shared" si="197"/>
        <v>1.3825623045713984</v>
      </c>
      <c r="V148" s="67">
        <f t="shared" si="197"/>
        <v>1.1870887488884003</v>
      </c>
      <c r="W148" s="67">
        <f t="shared" si="197"/>
        <v>1.3840028485827536</v>
      </c>
      <c r="X148" s="67">
        <f t="shared" ref="X148:Y148" si="198">IF(X118=0,0,X118/X$26)</f>
        <v>1.6934792616299916</v>
      </c>
      <c r="Y148" s="67">
        <f t="shared" si="198"/>
        <v>1.419054125850683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6961.1247196825943</v>
      </c>
      <c r="C153" s="82">
        <f t="shared" ref="C153:W153" si="203">IF(C99=0,0,C99/C$23)</f>
        <v>7921.5131677004383</v>
      </c>
      <c r="D153" s="82">
        <f t="shared" si="203"/>
        <v>8301.3042685151431</v>
      </c>
      <c r="E153" s="82">
        <f t="shared" si="203"/>
        <v>8588.221630823844</v>
      </c>
      <c r="F153" s="82">
        <f t="shared" si="203"/>
        <v>8757.1332351062483</v>
      </c>
      <c r="G153" s="82">
        <f t="shared" si="203"/>
        <v>9034.3728953133323</v>
      </c>
      <c r="H153" s="82">
        <f t="shared" si="203"/>
        <v>8628.1012491655802</v>
      </c>
      <c r="I153" s="82">
        <f t="shared" si="203"/>
        <v>8284.8826437906955</v>
      </c>
      <c r="J153" s="82">
        <f t="shared" si="203"/>
        <v>8579.6436632142995</v>
      </c>
      <c r="K153" s="82">
        <f t="shared" si="203"/>
        <v>8514.0634991459119</v>
      </c>
      <c r="L153" s="82">
        <f t="shared" si="203"/>
        <v>9207.02677333664</v>
      </c>
      <c r="M153" s="82">
        <f t="shared" si="203"/>
        <v>9533.69759717528</v>
      </c>
      <c r="N153" s="82">
        <f t="shared" si="203"/>
        <v>9158.5356605393063</v>
      </c>
      <c r="O153" s="82">
        <f t="shared" si="203"/>
        <v>8950.573493371834</v>
      </c>
      <c r="P153" s="82">
        <f t="shared" si="203"/>
        <v>7948.9057795142016</v>
      </c>
      <c r="Q153" s="82">
        <f t="shared" si="203"/>
        <v>8513.0052605065321</v>
      </c>
      <c r="R153" s="82">
        <f t="shared" si="203"/>
        <v>8532.3998546810999</v>
      </c>
      <c r="S153" s="82">
        <f t="shared" si="203"/>
        <v>8613.6627051082087</v>
      </c>
      <c r="T153" s="82">
        <f t="shared" si="203"/>
        <v>8578.6630536446664</v>
      </c>
      <c r="U153" s="82">
        <f t="shared" si="203"/>
        <v>8627.6576890584456</v>
      </c>
      <c r="V153" s="82">
        <f t="shared" si="203"/>
        <v>7963.6013762398816</v>
      </c>
      <c r="W153" s="82">
        <f t="shared" si="203"/>
        <v>8875.137459747375</v>
      </c>
      <c r="X153" s="82">
        <f t="shared" ref="X153:Y153" si="204">IF(X99=0,0,X99/X$23)</f>
        <v>8165.6628840213971</v>
      </c>
      <c r="Y153" s="82">
        <f t="shared" si="204"/>
        <v>7563.268197866395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5209.7486987169586</v>
      </c>
      <c r="C154" s="64">
        <f t="shared" ref="C154:W154" si="206">IF(C100=0,0,C100/C$23)</f>
        <v>6044.7946022563228</v>
      </c>
      <c r="D154" s="64">
        <f t="shared" si="206"/>
        <v>6290.3016635934391</v>
      </c>
      <c r="E154" s="64">
        <f t="shared" si="206"/>
        <v>6470.2385318184251</v>
      </c>
      <c r="F154" s="64">
        <f t="shared" si="206"/>
        <v>6512.9501881200003</v>
      </c>
      <c r="G154" s="64">
        <f t="shared" si="206"/>
        <v>6666.5473415924407</v>
      </c>
      <c r="H154" s="64">
        <f t="shared" si="206"/>
        <v>6211.8633771891664</v>
      </c>
      <c r="I154" s="64">
        <f t="shared" si="206"/>
        <v>5820.2498201430335</v>
      </c>
      <c r="J154" s="64">
        <f t="shared" si="206"/>
        <v>6114.5080115481578</v>
      </c>
      <c r="K154" s="64">
        <f t="shared" si="206"/>
        <v>6036.8844556932572</v>
      </c>
      <c r="L154" s="64">
        <f t="shared" si="206"/>
        <v>6621.5429673213284</v>
      </c>
      <c r="M154" s="64">
        <f t="shared" si="206"/>
        <v>6785.6935353682347</v>
      </c>
      <c r="N154" s="64">
        <f t="shared" si="206"/>
        <v>6407.0159531993486</v>
      </c>
      <c r="O154" s="64">
        <f t="shared" si="206"/>
        <v>6175.721749974753</v>
      </c>
      <c r="P154" s="64">
        <f t="shared" si="206"/>
        <v>5255.6037653260573</v>
      </c>
      <c r="Q154" s="64">
        <f t="shared" si="206"/>
        <v>5813.3102235457063</v>
      </c>
      <c r="R154" s="64">
        <f t="shared" si="206"/>
        <v>5909.8519205782486</v>
      </c>
      <c r="S154" s="64">
        <f t="shared" si="206"/>
        <v>6113.8506111090755</v>
      </c>
      <c r="T154" s="64">
        <f t="shared" si="206"/>
        <v>6166.9212830970419</v>
      </c>
      <c r="U154" s="64">
        <f t="shared" si="206"/>
        <v>6230.0110433335185</v>
      </c>
      <c r="V154" s="64">
        <f t="shared" si="206"/>
        <v>5714.4802356326481</v>
      </c>
      <c r="W154" s="64">
        <f t="shared" si="206"/>
        <v>6590.7401887359074</v>
      </c>
      <c r="X154" s="64">
        <f t="shared" ref="X154:Y154" si="207">IF(X100=0,0,X100/X$23)</f>
        <v>5980.4489121527267</v>
      </c>
      <c r="Y154" s="64">
        <f t="shared" si="207"/>
        <v>5493.7475046533036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3644.2992172018198</v>
      </c>
      <c r="C155" s="65">
        <f t="shared" ref="C155:W155" si="209">IF(C101=0,0,C101/C$23)</f>
        <v>4383.7011584694019</v>
      </c>
      <c r="D155" s="65">
        <f t="shared" si="209"/>
        <v>4553.1690133169441</v>
      </c>
      <c r="E155" s="65">
        <f t="shared" si="209"/>
        <v>4623.2540528453301</v>
      </c>
      <c r="F155" s="65">
        <f t="shared" si="209"/>
        <v>4673.9238484582702</v>
      </c>
      <c r="G155" s="65">
        <f t="shared" si="209"/>
        <v>4766.0636433615909</v>
      </c>
      <c r="H155" s="65">
        <f t="shared" si="209"/>
        <v>4281.1834885420303</v>
      </c>
      <c r="I155" s="65">
        <f t="shared" si="209"/>
        <v>3836.5803132327628</v>
      </c>
      <c r="J155" s="65">
        <f t="shared" si="209"/>
        <v>4097.3625391126207</v>
      </c>
      <c r="K155" s="65">
        <f t="shared" si="209"/>
        <v>3972.6574910403992</v>
      </c>
      <c r="L155" s="65">
        <f t="shared" si="209"/>
        <v>4460.7409500592939</v>
      </c>
      <c r="M155" s="65">
        <f t="shared" si="209"/>
        <v>4487.0818638253331</v>
      </c>
      <c r="N155" s="65">
        <f t="shared" si="209"/>
        <v>3994.0066475499352</v>
      </c>
      <c r="O155" s="65">
        <f t="shared" si="209"/>
        <v>3820.8635929201896</v>
      </c>
      <c r="P155" s="65">
        <f t="shared" si="209"/>
        <v>2998.2038905881436</v>
      </c>
      <c r="Q155" s="65">
        <f t="shared" si="209"/>
        <v>3488.4699587905966</v>
      </c>
      <c r="R155" s="65">
        <f t="shared" si="209"/>
        <v>3658.824784626504</v>
      </c>
      <c r="S155" s="65">
        <f t="shared" si="209"/>
        <v>3865.5711001110567</v>
      </c>
      <c r="T155" s="65">
        <f t="shared" si="209"/>
        <v>3995.8786558112524</v>
      </c>
      <c r="U155" s="65">
        <f t="shared" si="209"/>
        <v>4011.937897724622</v>
      </c>
      <c r="V155" s="65">
        <f t="shared" si="209"/>
        <v>3730.0267822218084</v>
      </c>
      <c r="W155" s="65">
        <f t="shared" si="209"/>
        <v>4366.9215169115996</v>
      </c>
      <c r="X155" s="65">
        <f t="shared" ref="X155:Y155" si="210">IF(X101=0,0,X101/X$23)</f>
        <v>3811.5997686493629</v>
      </c>
      <c r="Y155" s="65">
        <f t="shared" si="210"/>
        <v>3474.0908743440559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89.488686052979332</v>
      </c>
      <c r="C156" s="65">
        <f t="shared" ref="C156:W156" si="212">IF(C102=0,0,C102/C$23)</f>
        <v>89.26409803095089</v>
      </c>
      <c r="D156" s="65">
        <f t="shared" si="212"/>
        <v>92.324899492286093</v>
      </c>
      <c r="E156" s="65">
        <f t="shared" si="212"/>
        <v>185.98860519944768</v>
      </c>
      <c r="F156" s="65">
        <f t="shared" si="212"/>
        <v>101.97027934906919</v>
      </c>
      <c r="G156" s="65">
        <f t="shared" si="212"/>
        <v>109.90758710732335</v>
      </c>
      <c r="H156" s="65">
        <f t="shared" si="212"/>
        <v>131.67418860557422</v>
      </c>
      <c r="I156" s="65">
        <f t="shared" si="212"/>
        <v>148.60761277989582</v>
      </c>
      <c r="J156" s="65">
        <f t="shared" si="212"/>
        <v>150.19283125903289</v>
      </c>
      <c r="K156" s="65">
        <f t="shared" si="212"/>
        <v>150.70031387377165</v>
      </c>
      <c r="L156" s="65">
        <f t="shared" si="212"/>
        <v>163.11360120701599</v>
      </c>
      <c r="M156" s="65">
        <f t="shared" si="212"/>
        <v>188.82091439320087</v>
      </c>
      <c r="N156" s="65">
        <f t="shared" si="212"/>
        <v>274.4594826005644</v>
      </c>
      <c r="O156" s="65">
        <f t="shared" si="212"/>
        <v>182.47472837475976</v>
      </c>
      <c r="P156" s="65">
        <f t="shared" si="212"/>
        <v>141.22656715867438</v>
      </c>
      <c r="Q156" s="65">
        <f t="shared" si="212"/>
        <v>222.97910590312597</v>
      </c>
      <c r="R156" s="65">
        <f t="shared" si="212"/>
        <v>147.17261364456502</v>
      </c>
      <c r="S156" s="65">
        <f t="shared" si="212"/>
        <v>199.50711811288957</v>
      </c>
      <c r="T156" s="65">
        <f t="shared" si="212"/>
        <v>144.4848854508455</v>
      </c>
      <c r="U156" s="65">
        <f t="shared" si="212"/>
        <v>172.51449982385779</v>
      </c>
      <c r="V156" s="65">
        <f t="shared" si="212"/>
        <v>135.68299790248349</v>
      </c>
      <c r="W156" s="65">
        <f t="shared" si="212"/>
        <v>177.71690620749789</v>
      </c>
      <c r="X156" s="65">
        <f t="shared" ref="X156:Y156" si="213">IF(X102=0,0,X102/X$23)</f>
        <v>179.34913614743584</v>
      </c>
      <c r="Y156" s="65">
        <f t="shared" si="213"/>
        <v>149.03053984884875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756.47157411816534</v>
      </c>
      <c r="C157" s="65">
        <f t="shared" ref="C157:W157" si="215">IF(C103=0,0,C103/C$23)</f>
        <v>792.77879923188948</v>
      </c>
      <c r="D157" s="65">
        <f t="shared" si="215"/>
        <v>834.87894745674805</v>
      </c>
      <c r="E157" s="65">
        <f t="shared" si="215"/>
        <v>850.59273287193582</v>
      </c>
      <c r="F157" s="65">
        <f t="shared" si="215"/>
        <v>890.98890748813449</v>
      </c>
      <c r="G157" s="65">
        <f t="shared" si="215"/>
        <v>918.14790537112094</v>
      </c>
      <c r="H157" s="65">
        <f t="shared" si="215"/>
        <v>904.9374574629544</v>
      </c>
      <c r="I157" s="65">
        <f t="shared" si="215"/>
        <v>913.22471139795744</v>
      </c>
      <c r="J157" s="65">
        <f t="shared" si="215"/>
        <v>920.41461938520752</v>
      </c>
      <c r="K157" s="65">
        <f t="shared" si="215"/>
        <v>922.7580765831741</v>
      </c>
      <c r="L157" s="65">
        <f t="shared" si="215"/>
        <v>957.94056116195338</v>
      </c>
      <c r="M157" s="65">
        <f t="shared" si="215"/>
        <v>1008.4173697423154</v>
      </c>
      <c r="N157" s="65">
        <f t="shared" si="215"/>
        <v>1012.643374984581</v>
      </c>
      <c r="O157" s="65">
        <f t="shared" si="215"/>
        <v>1024.8181470347986</v>
      </c>
      <c r="P157" s="65">
        <f t="shared" si="215"/>
        <v>981.70977803996345</v>
      </c>
      <c r="Q157" s="65">
        <f t="shared" si="215"/>
        <v>967.41861163090812</v>
      </c>
      <c r="R157" s="65">
        <f t="shared" si="215"/>
        <v>950.08614342703402</v>
      </c>
      <c r="S157" s="65">
        <f t="shared" si="215"/>
        <v>913.47021434571866</v>
      </c>
      <c r="T157" s="65">
        <f t="shared" si="215"/>
        <v>890.36964262606534</v>
      </c>
      <c r="U157" s="65">
        <f t="shared" si="215"/>
        <v>885.09676524630379</v>
      </c>
      <c r="V157" s="65">
        <f t="shared" si="215"/>
        <v>830.47738742596448</v>
      </c>
      <c r="W157" s="65">
        <f t="shared" si="215"/>
        <v>862.46081237867247</v>
      </c>
      <c r="X157" s="65">
        <f t="shared" ref="X157:Y157" si="216">IF(X103=0,0,X103/X$23)</f>
        <v>831.81157809413446</v>
      </c>
      <c r="Y157" s="65">
        <f t="shared" si="216"/>
        <v>775.52191784966931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719.4892213439947</v>
      </c>
      <c r="C158" s="67">
        <f t="shared" ref="C158:W158" si="218">IF(C104=0,0,C104/C$23)</f>
        <v>779.05054652408228</v>
      </c>
      <c r="D158" s="67">
        <f t="shared" si="218"/>
        <v>809.92880332746142</v>
      </c>
      <c r="E158" s="67">
        <f t="shared" si="218"/>
        <v>810.40314090171114</v>
      </c>
      <c r="F158" s="67">
        <f t="shared" si="218"/>
        <v>846.06715282452615</v>
      </c>
      <c r="G158" s="67">
        <f t="shared" si="218"/>
        <v>872.42820575240501</v>
      </c>
      <c r="H158" s="67">
        <f t="shared" si="218"/>
        <v>894.06824257860615</v>
      </c>
      <c r="I158" s="67">
        <f t="shared" si="218"/>
        <v>921.83718273241709</v>
      </c>
      <c r="J158" s="67">
        <f t="shared" si="218"/>
        <v>946.53802179129696</v>
      </c>
      <c r="K158" s="67">
        <f t="shared" si="218"/>
        <v>990.7685741959117</v>
      </c>
      <c r="L158" s="67">
        <f t="shared" si="218"/>
        <v>1039.7478548930635</v>
      </c>
      <c r="M158" s="67">
        <f t="shared" si="218"/>
        <v>1101.3733874073841</v>
      </c>
      <c r="N158" s="67">
        <f t="shared" si="218"/>
        <v>1125.9064480642674</v>
      </c>
      <c r="O158" s="67">
        <f t="shared" si="218"/>
        <v>1147.5652816450051</v>
      </c>
      <c r="P158" s="67">
        <f t="shared" si="218"/>
        <v>1134.4635295392757</v>
      </c>
      <c r="Q158" s="67">
        <f t="shared" si="218"/>
        <v>1134.4425472210748</v>
      </c>
      <c r="R158" s="67">
        <f t="shared" si="218"/>
        <v>1153.768378880146</v>
      </c>
      <c r="S158" s="67">
        <f t="shared" si="218"/>
        <v>1135.3021785394103</v>
      </c>
      <c r="T158" s="67">
        <f t="shared" si="218"/>
        <v>1136.1880992088784</v>
      </c>
      <c r="U158" s="67">
        <f t="shared" si="218"/>
        <v>1160.4618805387342</v>
      </c>
      <c r="V158" s="67">
        <f t="shared" si="218"/>
        <v>1018.2930680823926</v>
      </c>
      <c r="W158" s="67">
        <f t="shared" si="218"/>
        <v>1183.6409532381369</v>
      </c>
      <c r="X158" s="67">
        <f t="shared" ref="X158:Y158" si="219">IF(X104=0,0,X104/X$23)</f>
        <v>1157.6884292617945</v>
      </c>
      <c r="Y158" s="67">
        <f t="shared" si="219"/>
        <v>1095.1041726107294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1751.376020965635</v>
      </c>
      <c r="C159" s="68">
        <f t="shared" ref="C159:W159" si="221">IF(C105=0,0,C105/C$23)</f>
        <v>1876.7185654441139</v>
      </c>
      <c r="D159" s="68">
        <f t="shared" si="221"/>
        <v>2011.0026049217015</v>
      </c>
      <c r="E159" s="68">
        <f t="shared" si="221"/>
        <v>2117.983099005417</v>
      </c>
      <c r="F159" s="68">
        <f t="shared" si="221"/>
        <v>2244.183046986248</v>
      </c>
      <c r="G159" s="68">
        <f t="shared" si="221"/>
        <v>2367.8255537208929</v>
      </c>
      <c r="H159" s="68">
        <f t="shared" si="221"/>
        <v>2416.2378719764124</v>
      </c>
      <c r="I159" s="68">
        <f t="shared" si="221"/>
        <v>2464.6328236476634</v>
      </c>
      <c r="J159" s="68">
        <f t="shared" si="221"/>
        <v>2465.1356516661417</v>
      </c>
      <c r="K159" s="68">
        <f t="shared" si="221"/>
        <v>2477.1790434526538</v>
      </c>
      <c r="L159" s="68">
        <f t="shared" si="221"/>
        <v>2585.4838060153138</v>
      </c>
      <c r="M159" s="68">
        <f t="shared" si="221"/>
        <v>2748.0040618070466</v>
      </c>
      <c r="N159" s="68">
        <f t="shared" si="221"/>
        <v>2751.5197073399604</v>
      </c>
      <c r="O159" s="68">
        <f t="shared" si="221"/>
        <v>2774.8517433970806</v>
      </c>
      <c r="P159" s="68">
        <f t="shared" si="221"/>
        <v>2693.3020141881466</v>
      </c>
      <c r="Q159" s="68">
        <f t="shared" si="221"/>
        <v>2699.6950369608262</v>
      </c>
      <c r="R159" s="68">
        <f t="shared" si="221"/>
        <v>2622.5479341028517</v>
      </c>
      <c r="S159" s="68">
        <f t="shared" si="221"/>
        <v>2499.8120939991359</v>
      </c>
      <c r="T159" s="68">
        <f t="shared" si="221"/>
        <v>2411.7417705476241</v>
      </c>
      <c r="U159" s="68">
        <f t="shared" si="221"/>
        <v>2397.6466457249271</v>
      </c>
      <c r="V159" s="68">
        <f t="shared" si="221"/>
        <v>2249.1211406072325</v>
      </c>
      <c r="W159" s="68">
        <f t="shared" si="221"/>
        <v>2284.3972710114685</v>
      </c>
      <c r="X159" s="68">
        <f t="shared" ref="X159:Y159" si="222">IF(X105=0,0,X105/X$23)</f>
        <v>2185.2139718686703</v>
      </c>
      <c r="Y159" s="68">
        <f t="shared" si="222"/>
        <v>2069.5206932130923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3101.7688350260642</v>
      </c>
      <c r="C161" s="85">
        <f t="shared" ref="C161:W161" si="224">IF(C107=0,0,C107/C$23)</f>
        <v>3592.2307425422478</v>
      </c>
      <c r="D161" s="85">
        <f t="shared" si="224"/>
        <v>3765.6699575445587</v>
      </c>
      <c r="E161" s="85">
        <f t="shared" si="224"/>
        <v>4057.5254618560266</v>
      </c>
      <c r="F161" s="85">
        <f t="shared" si="224"/>
        <v>4012.6977772919263</v>
      </c>
      <c r="G161" s="85">
        <f t="shared" si="224"/>
        <v>4202.3685004648833</v>
      </c>
      <c r="H161" s="85">
        <f t="shared" si="224"/>
        <v>4035.8742436552698</v>
      </c>
      <c r="I161" s="85">
        <f t="shared" si="224"/>
        <v>3915.6943932823119</v>
      </c>
      <c r="J161" s="85">
        <f t="shared" si="224"/>
        <v>4175.9453043816766</v>
      </c>
      <c r="K161" s="85">
        <f t="shared" si="224"/>
        <v>4158.9244942600153</v>
      </c>
      <c r="L161" s="85">
        <f t="shared" si="224"/>
        <v>4600.9881931418449</v>
      </c>
      <c r="M161" s="85">
        <f t="shared" si="224"/>
        <v>4853.7796376899587</v>
      </c>
      <c r="N161" s="85">
        <f t="shared" si="224"/>
        <v>4892.1779652877331</v>
      </c>
      <c r="O161" s="85">
        <f t="shared" si="224"/>
        <v>4606.4110732317749</v>
      </c>
      <c r="P161" s="85">
        <f t="shared" si="224"/>
        <v>3922.0464849086738</v>
      </c>
      <c r="Q161" s="85">
        <f t="shared" si="224"/>
        <v>4535.2042848417559</v>
      </c>
      <c r="R161" s="85">
        <f t="shared" si="224"/>
        <v>4466.5707314895517</v>
      </c>
      <c r="S161" s="85">
        <f t="shared" si="224"/>
        <v>4836.7133399756558</v>
      </c>
      <c r="T161" s="85">
        <f t="shared" si="224"/>
        <v>4802.2841424882536</v>
      </c>
      <c r="U161" s="85">
        <f t="shared" si="224"/>
        <v>5019.604532242287</v>
      </c>
      <c r="V161" s="85">
        <f t="shared" si="224"/>
        <v>4599.7978886428928</v>
      </c>
      <c r="W161" s="85">
        <f t="shared" si="224"/>
        <v>5464.1802437747192</v>
      </c>
      <c r="X161" s="85">
        <f t="shared" ref="X161:Y161" si="225">IF(X107=0,0,X107/X$23)</f>
        <v>5099.7088092121303</v>
      </c>
      <c r="Y161" s="85">
        <f t="shared" si="225"/>
        <v>4724.2088650565274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1973.0055020849138</v>
      </c>
      <c r="C162" s="65">
        <f t="shared" ref="C162:W162" si="227">IF(C108=0,0,C108/C$23)</f>
        <v>2395.9621027564713</v>
      </c>
      <c r="D162" s="65">
        <f t="shared" si="227"/>
        <v>2502.7664859880897</v>
      </c>
      <c r="E162" s="65">
        <f t="shared" si="227"/>
        <v>2579.7170074310693</v>
      </c>
      <c r="F162" s="65">
        <f t="shared" si="227"/>
        <v>2643.0106489277746</v>
      </c>
      <c r="G162" s="65">
        <f t="shared" si="227"/>
        <v>2762.1578244548341</v>
      </c>
      <c r="H162" s="65">
        <f t="shared" si="227"/>
        <v>2516.9977077619724</v>
      </c>
      <c r="I162" s="65">
        <f t="shared" si="227"/>
        <v>2303.9253932037996</v>
      </c>
      <c r="J162" s="65">
        <f t="shared" si="227"/>
        <v>2514.2168203336723</v>
      </c>
      <c r="K162" s="65">
        <f t="shared" si="227"/>
        <v>2451.9174046276325</v>
      </c>
      <c r="L162" s="65">
        <f t="shared" si="227"/>
        <v>2786.761556936583</v>
      </c>
      <c r="M162" s="65">
        <f t="shared" si="227"/>
        <v>2862.986857015529</v>
      </c>
      <c r="N162" s="65">
        <f t="shared" si="227"/>
        <v>2599.4730438819679</v>
      </c>
      <c r="O162" s="65">
        <f t="shared" si="227"/>
        <v>2531.3253594139346</v>
      </c>
      <c r="P162" s="65">
        <f t="shared" si="227"/>
        <v>1983.0443972734688</v>
      </c>
      <c r="Q162" s="65">
        <f t="shared" si="227"/>
        <v>2305.6909925508539</v>
      </c>
      <c r="R162" s="65">
        <f t="shared" si="227"/>
        <v>2452.2147298645114</v>
      </c>
      <c r="S162" s="65">
        <f t="shared" si="227"/>
        <v>2636.8511743185427</v>
      </c>
      <c r="T162" s="65">
        <f t="shared" si="227"/>
        <v>2776.2593519146203</v>
      </c>
      <c r="U162" s="65">
        <f t="shared" si="227"/>
        <v>2838.5437828651652</v>
      </c>
      <c r="V162" s="65">
        <f t="shared" si="227"/>
        <v>2670.8944874878694</v>
      </c>
      <c r="W162" s="65">
        <f t="shared" si="227"/>
        <v>3186.5867982794257</v>
      </c>
      <c r="X162" s="65">
        <f t="shared" ref="X162:Y162" si="228">IF(X108=0,0,X108/X$23)</f>
        <v>2837.0435481620498</v>
      </c>
      <c r="Y162" s="65">
        <f t="shared" si="228"/>
        <v>2636.2175427639741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158.86635099561082</v>
      </c>
      <c r="C163" s="65">
        <f t="shared" ref="C163:W163" si="230">IF(C109=0,0,C109/C$23)</f>
        <v>165.94603663660774</v>
      </c>
      <c r="D163" s="65">
        <f t="shared" si="230"/>
        <v>180.71237421595916</v>
      </c>
      <c r="E163" s="65">
        <f t="shared" si="230"/>
        <v>383.5204263737333</v>
      </c>
      <c r="F163" s="65">
        <f t="shared" si="230"/>
        <v>221.30186218019475</v>
      </c>
      <c r="G163" s="65">
        <f t="shared" si="230"/>
        <v>250.86574061459262</v>
      </c>
      <c r="H163" s="65">
        <f t="shared" si="230"/>
        <v>316.47974296087068</v>
      </c>
      <c r="I163" s="65">
        <f t="shared" si="230"/>
        <v>376.63876051646969</v>
      </c>
      <c r="J163" s="65">
        <f t="shared" si="230"/>
        <v>399.41029134773277</v>
      </c>
      <c r="K163" s="65">
        <f t="shared" si="230"/>
        <v>409.02574049665355</v>
      </c>
      <c r="L163" s="65">
        <f t="shared" si="230"/>
        <v>453.55240162650756</v>
      </c>
      <c r="M163" s="65">
        <f t="shared" si="230"/>
        <v>542.15629243444357</v>
      </c>
      <c r="N163" s="65">
        <f t="shared" si="230"/>
        <v>813.58222284829083</v>
      </c>
      <c r="O163" s="65">
        <f t="shared" si="230"/>
        <v>559.19212433616212</v>
      </c>
      <c r="P163" s="65">
        <f t="shared" si="230"/>
        <v>448.27578695320631</v>
      </c>
      <c r="Q163" s="65">
        <f t="shared" si="230"/>
        <v>735.04658640292303</v>
      </c>
      <c r="R163" s="65">
        <f t="shared" si="230"/>
        <v>504.50553964754147</v>
      </c>
      <c r="S163" s="65">
        <f t="shared" si="230"/>
        <v>709.39119626988088</v>
      </c>
      <c r="T163" s="65">
        <f t="shared" si="230"/>
        <v>529.69267560499998</v>
      </c>
      <c r="U163" s="65">
        <f t="shared" si="230"/>
        <v>647.95251858815004</v>
      </c>
      <c r="V163" s="65">
        <f t="shared" si="230"/>
        <v>521.87611985749652</v>
      </c>
      <c r="W163" s="65">
        <f t="shared" si="230"/>
        <v>697.69639820420059</v>
      </c>
      <c r="X163" s="65">
        <f t="shared" ref="X163:Y163" si="231">IF(X109=0,0,X109/X$23)</f>
        <v>712.79679142520217</v>
      </c>
      <c r="Y163" s="65">
        <f t="shared" si="231"/>
        <v>598.43069292625398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445.99800384779746</v>
      </c>
      <c r="C164" s="65">
        <f t="shared" ref="C164:W164" si="233">IF(C110=0,0,C110/C$23)</f>
        <v>467.92366236422362</v>
      </c>
      <c r="D164" s="65">
        <f t="shared" si="233"/>
        <v>494.50100170171748</v>
      </c>
      <c r="E164" s="65">
        <f t="shared" si="233"/>
        <v>506.40691926152135</v>
      </c>
      <c r="F164" s="65">
        <f t="shared" si="233"/>
        <v>533.74715055433694</v>
      </c>
      <c r="G164" s="65">
        <f t="shared" si="233"/>
        <v>552.99152406345513</v>
      </c>
      <c r="H164" s="65">
        <f t="shared" si="233"/>
        <v>548.90482676812223</v>
      </c>
      <c r="I164" s="65">
        <f t="shared" si="233"/>
        <v>558.11915623613049</v>
      </c>
      <c r="J164" s="65">
        <f t="shared" si="233"/>
        <v>566.35318992154691</v>
      </c>
      <c r="K164" s="65">
        <f t="shared" si="233"/>
        <v>571.78858073650315</v>
      </c>
      <c r="L164" s="65">
        <f t="shared" si="233"/>
        <v>598.64342002744502</v>
      </c>
      <c r="M164" s="65">
        <f t="shared" si="233"/>
        <v>638.21569413842496</v>
      </c>
      <c r="N164" s="65">
        <f t="shared" si="233"/>
        <v>649.66803773346203</v>
      </c>
      <c r="O164" s="65">
        <f t="shared" si="233"/>
        <v>667.50573148740159</v>
      </c>
      <c r="P164" s="65">
        <f t="shared" si="233"/>
        <v>647.37524214944847</v>
      </c>
      <c r="Q164" s="65">
        <f t="shared" si="233"/>
        <v>647.80012314691044</v>
      </c>
      <c r="R164" s="65">
        <f t="shared" si="233"/>
        <v>646.43364873752364</v>
      </c>
      <c r="S164" s="65">
        <f t="shared" si="233"/>
        <v>634.63758970199103</v>
      </c>
      <c r="T164" s="65">
        <f t="shared" si="233"/>
        <v>632.14336807678546</v>
      </c>
      <c r="U164" s="65">
        <f t="shared" si="233"/>
        <v>642.70938349022674</v>
      </c>
      <c r="V164" s="65">
        <f t="shared" si="233"/>
        <v>618.22592349956335</v>
      </c>
      <c r="W164" s="65">
        <f t="shared" si="233"/>
        <v>654.04812072279083</v>
      </c>
      <c r="X164" s="65">
        <f t="shared" ref="X164:Y164" si="234">IF(X110=0,0,X110/X$23)</f>
        <v>648.6316162727353</v>
      </c>
      <c r="Y164" s="65">
        <f t="shared" si="234"/>
        <v>620.33720812786282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523.8989780977422</v>
      </c>
      <c r="C165" s="68">
        <f t="shared" ref="C165:W165" si="236">IF(C111=0,0,C111/C$23)</f>
        <v>562.39894078494524</v>
      </c>
      <c r="D165" s="68">
        <f t="shared" si="236"/>
        <v>587.69009563879206</v>
      </c>
      <c r="E165" s="68">
        <f t="shared" si="236"/>
        <v>587.88110878970258</v>
      </c>
      <c r="F165" s="68">
        <f t="shared" si="236"/>
        <v>614.63811562962064</v>
      </c>
      <c r="G165" s="68">
        <f t="shared" si="236"/>
        <v>636.35341133200188</v>
      </c>
      <c r="H165" s="68">
        <f t="shared" si="236"/>
        <v>653.49196616430424</v>
      </c>
      <c r="I165" s="68">
        <f t="shared" si="236"/>
        <v>677.01108332591252</v>
      </c>
      <c r="J165" s="68">
        <f t="shared" si="236"/>
        <v>695.9650027787244</v>
      </c>
      <c r="K165" s="68">
        <f t="shared" si="236"/>
        <v>726.19276839922622</v>
      </c>
      <c r="L165" s="68">
        <f t="shared" si="236"/>
        <v>762.03081455130905</v>
      </c>
      <c r="M165" s="68">
        <f t="shared" si="236"/>
        <v>810.42079410156066</v>
      </c>
      <c r="N165" s="68">
        <f t="shared" si="236"/>
        <v>829.45466082401163</v>
      </c>
      <c r="O165" s="68">
        <f t="shared" si="236"/>
        <v>848.38785799427706</v>
      </c>
      <c r="P165" s="68">
        <f t="shared" si="236"/>
        <v>843.35105853255027</v>
      </c>
      <c r="Q165" s="68">
        <f t="shared" si="236"/>
        <v>846.66658274106908</v>
      </c>
      <c r="R165" s="68">
        <f t="shared" si="236"/>
        <v>863.41681323997523</v>
      </c>
      <c r="S165" s="68">
        <f t="shared" si="236"/>
        <v>855.83337968524131</v>
      </c>
      <c r="T165" s="68">
        <f t="shared" si="236"/>
        <v>864.1887468918477</v>
      </c>
      <c r="U165" s="68">
        <f t="shared" si="236"/>
        <v>890.39884729874439</v>
      </c>
      <c r="V165" s="68">
        <f t="shared" si="236"/>
        <v>788.80135779796376</v>
      </c>
      <c r="W165" s="68">
        <f t="shared" si="236"/>
        <v>925.84892656830243</v>
      </c>
      <c r="X165" s="68">
        <f t="shared" ref="X165:Y165" si="237">IF(X111=0,0,X111/X$23)</f>
        <v>901.23685335214236</v>
      </c>
      <c r="Y165" s="68">
        <f t="shared" si="237"/>
        <v>869.22342123843691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698.86718730377788</v>
      </c>
      <c r="C167" s="82">
        <f t="shared" ref="C167:W167" si="239">IF(C113=0,0,C113/C$23)</f>
        <v>818.6812934499718</v>
      </c>
      <c r="D167" s="82">
        <f t="shared" si="239"/>
        <v>860.86712741700114</v>
      </c>
      <c r="E167" s="82">
        <f t="shared" si="239"/>
        <v>864.12809828434615</v>
      </c>
      <c r="F167" s="82">
        <f t="shared" si="239"/>
        <v>849.59111732172607</v>
      </c>
      <c r="G167" s="82">
        <f t="shared" si="239"/>
        <v>808.98006953300012</v>
      </c>
      <c r="H167" s="82">
        <f t="shared" si="239"/>
        <v>718.66659306739678</v>
      </c>
      <c r="I167" s="82">
        <f t="shared" si="239"/>
        <v>618.99940925840167</v>
      </c>
      <c r="J167" s="82">
        <f t="shared" si="239"/>
        <v>613.37782275856659</v>
      </c>
      <c r="K167" s="82">
        <f t="shared" si="239"/>
        <v>606.25499397706687</v>
      </c>
      <c r="L167" s="82">
        <f t="shared" si="239"/>
        <v>666.61685929249188</v>
      </c>
      <c r="M167" s="82">
        <f t="shared" si="239"/>
        <v>639.1074882441219</v>
      </c>
      <c r="N167" s="82">
        <f t="shared" si="239"/>
        <v>564.88464623596712</v>
      </c>
      <c r="O167" s="82">
        <f t="shared" si="239"/>
        <v>533.68303587975004</v>
      </c>
      <c r="P167" s="82">
        <f t="shared" si="239"/>
        <v>463.25378865954019</v>
      </c>
      <c r="Q167" s="82">
        <f t="shared" si="239"/>
        <v>561.01593554447891</v>
      </c>
      <c r="R167" s="82">
        <f t="shared" si="239"/>
        <v>572.82002480317215</v>
      </c>
      <c r="S167" s="82">
        <f t="shared" si="239"/>
        <v>567.52346445484773</v>
      </c>
      <c r="T167" s="82">
        <f t="shared" si="239"/>
        <v>555.54945854220159</v>
      </c>
      <c r="U167" s="82">
        <f t="shared" si="239"/>
        <v>543.24346764658935</v>
      </c>
      <c r="V167" s="82">
        <f t="shared" si="239"/>
        <v>515.85074168270899</v>
      </c>
      <c r="W167" s="82">
        <f t="shared" si="239"/>
        <v>588.42930251147743</v>
      </c>
      <c r="X167" s="82">
        <f t="shared" ref="X167:Y167" si="240">IF(X113=0,0,X113/X$23)</f>
        <v>489.00300211041986</v>
      </c>
      <c r="Y167" s="82">
        <f t="shared" si="240"/>
        <v>413.21482592024569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698.86718730377788</v>
      </c>
      <c r="C168" s="64">
        <f t="shared" ref="C168:W168" si="242">IF(C114=0,0,C114/C$23)</f>
        <v>818.6812934499718</v>
      </c>
      <c r="D168" s="64">
        <f t="shared" si="242"/>
        <v>860.86712741700114</v>
      </c>
      <c r="E168" s="64">
        <f t="shared" si="242"/>
        <v>864.12809828434615</v>
      </c>
      <c r="F168" s="64">
        <f t="shared" si="242"/>
        <v>849.59111732172607</v>
      </c>
      <c r="G168" s="64">
        <f t="shared" si="242"/>
        <v>808.98006953300012</v>
      </c>
      <c r="H168" s="64">
        <f t="shared" si="242"/>
        <v>718.66659306739678</v>
      </c>
      <c r="I168" s="64">
        <f t="shared" si="242"/>
        <v>618.99940925840167</v>
      </c>
      <c r="J168" s="64">
        <f t="shared" si="242"/>
        <v>613.37782275856659</v>
      </c>
      <c r="K168" s="64">
        <f t="shared" si="242"/>
        <v>606.25499397706687</v>
      </c>
      <c r="L168" s="64">
        <f t="shared" si="242"/>
        <v>666.61685929249188</v>
      </c>
      <c r="M168" s="64">
        <f t="shared" si="242"/>
        <v>639.1074882441219</v>
      </c>
      <c r="N168" s="64">
        <f t="shared" si="242"/>
        <v>564.88464623596712</v>
      </c>
      <c r="O168" s="64">
        <f t="shared" si="242"/>
        <v>533.68303587975004</v>
      </c>
      <c r="P168" s="64">
        <f t="shared" si="242"/>
        <v>463.25378865954019</v>
      </c>
      <c r="Q168" s="64">
        <f t="shared" si="242"/>
        <v>561.01593554447891</v>
      </c>
      <c r="R168" s="64">
        <f t="shared" si="242"/>
        <v>572.82002480317215</v>
      </c>
      <c r="S168" s="64">
        <f t="shared" si="242"/>
        <v>567.52346445484773</v>
      </c>
      <c r="T168" s="64">
        <f t="shared" si="242"/>
        <v>555.54945854220159</v>
      </c>
      <c r="U168" s="64">
        <f t="shared" si="242"/>
        <v>543.24346764658935</v>
      </c>
      <c r="V168" s="64">
        <f t="shared" si="242"/>
        <v>515.85074168270899</v>
      </c>
      <c r="W168" s="64">
        <f t="shared" si="242"/>
        <v>588.42930251147743</v>
      </c>
      <c r="X168" s="64">
        <f t="shared" ref="X168:Y168" si="243">IF(X114=0,0,X114/X$23)</f>
        <v>489.00300211041986</v>
      </c>
      <c r="Y168" s="64">
        <f t="shared" si="243"/>
        <v>413.21482592024569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591.47067534218547</v>
      </c>
      <c r="C169" s="65">
        <f t="shared" ref="C169:W169" si="245">IF(C115=0,0,C115/C$23)</f>
        <v>695.5621735181453</v>
      </c>
      <c r="D169" s="65">
        <f t="shared" si="245"/>
        <v>732.25412347178064</v>
      </c>
      <c r="E169" s="65">
        <f t="shared" si="245"/>
        <v>731.81576885047866</v>
      </c>
      <c r="F169" s="65">
        <f t="shared" si="245"/>
        <v>711.20362929197256</v>
      </c>
      <c r="G169" s="65">
        <f t="shared" si="245"/>
        <v>666.630479574726</v>
      </c>
      <c r="H169" s="65">
        <f t="shared" si="245"/>
        <v>576.76664644959681</v>
      </c>
      <c r="I169" s="65">
        <f t="shared" si="245"/>
        <v>477.54751158822654</v>
      </c>
      <c r="J169" s="65">
        <f t="shared" si="245"/>
        <v>468.58130862925225</v>
      </c>
      <c r="K169" s="65">
        <f t="shared" si="245"/>
        <v>455.53115231295084</v>
      </c>
      <c r="L169" s="65">
        <f t="shared" si="245"/>
        <v>507.21456548025026</v>
      </c>
      <c r="M169" s="65">
        <f t="shared" si="245"/>
        <v>475.22315865770395</v>
      </c>
      <c r="N169" s="65">
        <f t="shared" si="245"/>
        <v>400.47157266007565</v>
      </c>
      <c r="O169" s="65">
        <f t="shared" si="245"/>
        <v>368.40211641682544</v>
      </c>
      <c r="P169" s="65">
        <f t="shared" si="245"/>
        <v>304.89815075638705</v>
      </c>
      <c r="Q169" s="65">
        <f t="shared" si="245"/>
        <v>401.9527598901995</v>
      </c>
      <c r="R169" s="65">
        <f t="shared" si="245"/>
        <v>409.90666329275547</v>
      </c>
      <c r="S169" s="65">
        <f t="shared" si="245"/>
        <v>408.32726872715688</v>
      </c>
      <c r="T169" s="65">
        <f t="shared" si="245"/>
        <v>399.34644541052165</v>
      </c>
      <c r="U169" s="65">
        <f t="shared" si="245"/>
        <v>385.51063685332008</v>
      </c>
      <c r="V169" s="65">
        <f t="shared" si="245"/>
        <v>373.65572472307076</v>
      </c>
      <c r="W169" s="65">
        <f t="shared" si="245"/>
        <v>430.46398962076785</v>
      </c>
      <c r="X169" s="65">
        <f t="shared" ref="X169:Y169" si="246">IF(X115=0,0,X115/X$23)</f>
        <v>339.31286137722981</v>
      </c>
      <c r="Y169" s="65">
        <f t="shared" si="246"/>
        <v>288.88100967819884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3.1531099390529463E-2</v>
      </c>
      <c r="C170" s="65">
        <f t="shared" ref="C170:W170" si="248">IF(C116=0,0,C116/C$23)</f>
        <v>3.1728604326695407E-2</v>
      </c>
      <c r="D170" s="65">
        <f t="shared" si="248"/>
        <v>3.7527032571601809E-2</v>
      </c>
      <c r="E170" s="65">
        <f t="shared" si="248"/>
        <v>8.5705417276774623E-2</v>
      </c>
      <c r="F170" s="65">
        <f t="shared" si="248"/>
        <v>5.1278895792276562E-2</v>
      </c>
      <c r="G170" s="65">
        <f t="shared" si="248"/>
        <v>5.9355281468111164E-2</v>
      </c>
      <c r="H170" s="65">
        <f t="shared" si="248"/>
        <v>7.5684504136621852E-2</v>
      </c>
      <c r="I170" s="65">
        <f t="shared" si="248"/>
        <v>0.1080832512095094</v>
      </c>
      <c r="J170" s="65">
        <f t="shared" si="248"/>
        <v>0.10361842727030383</v>
      </c>
      <c r="K170" s="65">
        <f t="shared" si="248"/>
        <v>9.0288637138846176E-2</v>
      </c>
      <c r="L170" s="65">
        <f t="shared" si="248"/>
        <v>0.10887151053899437</v>
      </c>
      <c r="M170" s="65">
        <f t="shared" si="248"/>
        <v>0.13826045478428944</v>
      </c>
      <c r="N170" s="65">
        <f t="shared" si="248"/>
        <v>0.19379800919232007</v>
      </c>
      <c r="O170" s="65">
        <f t="shared" si="248"/>
        <v>0.17282835353438539</v>
      </c>
      <c r="P170" s="65">
        <f t="shared" si="248"/>
        <v>0.13499269101102535</v>
      </c>
      <c r="Q170" s="65">
        <f t="shared" si="248"/>
        <v>0.32523206786884679</v>
      </c>
      <c r="R170" s="65">
        <f t="shared" si="248"/>
        <v>0.24744771753356298</v>
      </c>
      <c r="S170" s="65">
        <f t="shared" si="248"/>
        <v>0.41494778931872395</v>
      </c>
      <c r="T170" s="65">
        <f t="shared" si="248"/>
        <v>0.37738060098779402</v>
      </c>
      <c r="U170" s="65">
        <f t="shared" si="248"/>
        <v>0.51473042442787853</v>
      </c>
      <c r="V170" s="65">
        <f t="shared" si="248"/>
        <v>0.40282697455837713</v>
      </c>
      <c r="W170" s="65">
        <f t="shared" si="248"/>
        <v>0.55874769578914207</v>
      </c>
      <c r="X170" s="65">
        <f t="shared" ref="X170:Y170" si="249">IF(X116=0,0,X116/X$23)</f>
        <v>0.74922545825275055</v>
      </c>
      <c r="Y170" s="65">
        <f t="shared" si="249"/>
        <v>0.7424736593935819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83.060053823533764</v>
      </c>
      <c r="C171" s="65">
        <f t="shared" ref="C171:W171" si="251">IF(C117=0,0,C117/C$23)</f>
        <v>89.217160619804474</v>
      </c>
      <c r="D171" s="65">
        <f t="shared" si="251"/>
        <v>95.39447762445505</v>
      </c>
      <c r="E171" s="65">
        <f t="shared" si="251"/>
        <v>97.084308338352585</v>
      </c>
      <c r="F171" s="65">
        <f t="shared" si="251"/>
        <v>100.85363861910315</v>
      </c>
      <c r="G171" s="65">
        <f t="shared" si="251"/>
        <v>104.92698476467038</v>
      </c>
      <c r="H171" s="65">
        <f t="shared" si="251"/>
        <v>103.02940504776782</v>
      </c>
      <c r="I171" s="65">
        <f t="shared" si="251"/>
        <v>103.00314168628718</v>
      </c>
      <c r="J171" s="65">
        <f t="shared" si="251"/>
        <v>104.32976026267795</v>
      </c>
      <c r="K171" s="65">
        <f t="shared" si="251"/>
        <v>105.35419502611103</v>
      </c>
      <c r="L171" s="65">
        <f t="shared" si="251"/>
        <v>109.7901976802145</v>
      </c>
      <c r="M171" s="65">
        <f t="shared" si="251"/>
        <v>113.90720909551366</v>
      </c>
      <c r="N171" s="65">
        <f t="shared" si="251"/>
        <v>113.19741175243233</v>
      </c>
      <c r="O171" s="65">
        <f t="shared" si="251"/>
        <v>113.95014126800773</v>
      </c>
      <c r="P171" s="65">
        <f t="shared" si="251"/>
        <v>109.01039385474668</v>
      </c>
      <c r="Q171" s="65">
        <f t="shared" si="251"/>
        <v>108.72434423878431</v>
      </c>
      <c r="R171" s="65">
        <f t="shared" si="251"/>
        <v>109.2588369336198</v>
      </c>
      <c r="S171" s="65">
        <f t="shared" si="251"/>
        <v>106.75732853786469</v>
      </c>
      <c r="T171" s="65">
        <f t="shared" si="251"/>
        <v>104.59653235869615</v>
      </c>
      <c r="U171" s="65">
        <f t="shared" si="251"/>
        <v>104.16581548720043</v>
      </c>
      <c r="V171" s="65">
        <f t="shared" si="251"/>
        <v>94.904957850492536</v>
      </c>
      <c r="W171" s="65">
        <f t="shared" si="251"/>
        <v>102.39422467938712</v>
      </c>
      <c r="X171" s="65">
        <f t="shared" ref="X171:Y171" si="252">IF(X117=0,0,X117/X$23)</f>
        <v>83.360258726691782</v>
      </c>
      <c r="Y171" s="65">
        <f t="shared" si="252"/>
        <v>70.381398959145216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24.304927038668062</v>
      </c>
      <c r="C172" s="67">
        <f t="shared" ref="C172:W172" si="254">IF(C118=0,0,C118/C$23)</f>
        <v>33.870230707695264</v>
      </c>
      <c r="D172" s="67">
        <f t="shared" si="254"/>
        <v>33.180999288193703</v>
      </c>
      <c r="E172" s="67">
        <f t="shared" si="254"/>
        <v>35.142315678238319</v>
      </c>
      <c r="F172" s="67">
        <f t="shared" si="254"/>
        <v>37.48257051485816</v>
      </c>
      <c r="G172" s="67">
        <f t="shared" si="254"/>
        <v>37.363249912135487</v>
      </c>
      <c r="H172" s="67">
        <f t="shared" si="254"/>
        <v>38.794857065895435</v>
      </c>
      <c r="I172" s="67">
        <f t="shared" si="254"/>
        <v>38.340672732678428</v>
      </c>
      <c r="J172" s="67">
        <f t="shared" si="254"/>
        <v>40.363135439366083</v>
      </c>
      <c r="K172" s="67">
        <f t="shared" si="254"/>
        <v>45.279358000866239</v>
      </c>
      <c r="L172" s="67">
        <f t="shared" si="254"/>
        <v>49.503224621488037</v>
      </c>
      <c r="M172" s="67">
        <f t="shared" si="254"/>
        <v>49.838860036119812</v>
      </c>
      <c r="N172" s="67">
        <f t="shared" si="254"/>
        <v>51.02186381426695</v>
      </c>
      <c r="O172" s="67">
        <f t="shared" si="254"/>
        <v>51.157949841382617</v>
      </c>
      <c r="P172" s="67">
        <f t="shared" si="254"/>
        <v>49.210251357395421</v>
      </c>
      <c r="Q172" s="67">
        <f t="shared" si="254"/>
        <v>50.013599347626204</v>
      </c>
      <c r="R172" s="67">
        <f t="shared" si="254"/>
        <v>53.407076859263277</v>
      </c>
      <c r="S172" s="67">
        <f t="shared" si="254"/>
        <v>52.023919400507395</v>
      </c>
      <c r="T172" s="67">
        <f t="shared" si="254"/>
        <v>51.229100171995988</v>
      </c>
      <c r="U172" s="67">
        <f t="shared" si="254"/>
        <v>53.052284881640759</v>
      </c>
      <c r="V172" s="67">
        <f t="shared" si="254"/>
        <v>46.887232134587393</v>
      </c>
      <c r="W172" s="67">
        <f t="shared" si="254"/>
        <v>55.01234051553336</v>
      </c>
      <c r="X172" s="67">
        <f t="shared" ref="X172:Y172" si="255">IF(X118=0,0,X118/X$23)</f>
        <v>65.580656548245472</v>
      </c>
      <c r="Y172" s="67">
        <f t="shared" si="255"/>
        <v>53.209943623508082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30483.958100080861</v>
      </c>
      <c r="C3" s="124">
        <f t="shared" si="0"/>
        <v>31699.703691304116</v>
      </c>
      <c r="D3" s="124">
        <f t="shared" si="0"/>
        <v>33025.31845385029</v>
      </c>
      <c r="E3" s="124">
        <f t="shared" si="0"/>
        <v>34879.322287322306</v>
      </c>
      <c r="F3" s="124">
        <f t="shared" si="0"/>
        <v>36228.474075566395</v>
      </c>
      <c r="G3" s="124">
        <f t="shared" si="0"/>
        <v>37570.640462043346</v>
      </c>
      <c r="H3" s="124">
        <f t="shared" si="0"/>
        <v>39535.622879953255</v>
      </c>
      <c r="I3" s="124">
        <f t="shared" si="0"/>
        <v>41596.385428818205</v>
      </c>
      <c r="J3" s="124">
        <f t="shared" si="0"/>
        <v>42488.165748540865</v>
      </c>
      <c r="K3" s="124">
        <f t="shared" si="0"/>
        <v>43094.621008831775</v>
      </c>
      <c r="L3" s="124">
        <f t="shared" si="0"/>
        <v>43314.890303806016</v>
      </c>
      <c r="M3" s="124">
        <f t="shared" si="0"/>
        <v>43843.895737927851</v>
      </c>
      <c r="N3" s="124">
        <f t="shared" si="0"/>
        <v>43426.158909224592</v>
      </c>
      <c r="O3" s="124">
        <f t="shared" si="0"/>
        <v>43428.976952197001</v>
      </c>
      <c r="P3" s="124">
        <f t="shared" si="0"/>
        <v>44716.52915809222</v>
      </c>
      <c r="Q3" s="124">
        <f t="shared" si="0"/>
        <v>46187.409591063617</v>
      </c>
      <c r="R3" s="124">
        <f t="shared" si="0"/>
        <v>46625.722857672234</v>
      </c>
      <c r="S3" s="124">
        <f t="shared" si="0"/>
        <v>47015.488657905749</v>
      </c>
      <c r="T3" s="124">
        <f t="shared" si="0"/>
        <v>47520.060344924663</v>
      </c>
      <c r="U3" s="124">
        <f t="shared" si="0"/>
        <v>48034.616592143851</v>
      </c>
      <c r="V3" s="124">
        <f t="shared" si="0"/>
        <v>48557.111111111109</v>
      </c>
      <c r="W3" s="124">
        <f t="shared" si="0"/>
        <v>49063.168990252656</v>
      </c>
      <c r="X3" s="124">
        <f t="shared" si="0"/>
        <v>49543.98194707388</v>
      </c>
      <c r="Y3" s="124">
        <f t="shared" si="0"/>
        <v>49982.358752119821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30483.958100080861</v>
      </c>
      <c r="C4" s="139">
        <f t="shared" si="1"/>
        <v>31699.703691304116</v>
      </c>
      <c r="D4" s="139">
        <f t="shared" si="1"/>
        <v>33025.31845385029</v>
      </c>
      <c r="E4" s="139">
        <f t="shared" si="1"/>
        <v>34879.322287322306</v>
      </c>
      <c r="F4" s="139">
        <f t="shared" si="1"/>
        <v>36228.474075566395</v>
      </c>
      <c r="G4" s="139">
        <f t="shared" si="1"/>
        <v>37570.640462043346</v>
      </c>
      <c r="H4" s="139">
        <f t="shared" si="1"/>
        <v>39535.622879953255</v>
      </c>
      <c r="I4" s="139">
        <f t="shared" si="1"/>
        <v>41596.385428818205</v>
      </c>
      <c r="J4" s="139">
        <f t="shared" si="1"/>
        <v>42488.165748540865</v>
      </c>
      <c r="K4" s="139">
        <f t="shared" si="1"/>
        <v>43094.621008831775</v>
      </c>
      <c r="L4" s="139">
        <f t="shared" si="1"/>
        <v>43314.890303806016</v>
      </c>
      <c r="M4" s="139">
        <f t="shared" si="1"/>
        <v>43843.895737927851</v>
      </c>
      <c r="N4" s="139">
        <f t="shared" si="1"/>
        <v>43426.158909224592</v>
      </c>
      <c r="O4" s="139">
        <f t="shared" si="1"/>
        <v>43428.976952197001</v>
      </c>
      <c r="P4" s="139">
        <f t="shared" si="1"/>
        <v>44716.52915809222</v>
      </c>
      <c r="Q4" s="139">
        <f t="shared" si="1"/>
        <v>46187.409591063617</v>
      </c>
      <c r="R4" s="139">
        <f t="shared" ref="R4:W4" si="2">SUM(R5:R14)</f>
        <v>46625.722857672234</v>
      </c>
      <c r="S4" s="139">
        <f t="shared" si="2"/>
        <v>47015.488657905749</v>
      </c>
      <c r="T4" s="139">
        <f t="shared" si="2"/>
        <v>47520.060344924663</v>
      </c>
      <c r="U4" s="139">
        <f t="shared" si="2"/>
        <v>48034.616592143851</v>
      </c>
      <c r="V4" s="139">
        <f t="shared" si="2"/>
        <v>48557.111111111109</v>
      </c>
      <c r="W4" s="139">
        <f t="shared" si="2"/>
        <v>49063.168990252656</v>
      </c>
      <c r="X4" s="139">
        <f t="shared" ref="X4:Y4" si="3">SUM(X5:X14)</f>
        <v>49543.98194707388</v>
      </c>
      <c r="Y4" s="139">
        <f t="shared" si="3"/>
        <v>49982.358752119821</v>
      </c>
      <c r="DA4" s="169" t="s">
        <v>246</v>
      </c>
    </row>
    <row r="5" spans="1:105" ht="12" customHeight="1" x14ac:dyDescent="0.25">
      <c r="A5" s="131" t="s">
        <v>29</v>
      </c>
      <c r="B5" s="140">
        <v>373.98657438458099</v>
      </c>
      <c r="C5" s="140">
        <v>364.14231929893424</v>
      </c>
      <c r="D5" s="140">
        <v>352.90947373782888</v>
      </c>
      <c r="E5" s="140">
        <v>323.16153076134185</v>
      </c>
      <c r="F5" s="140">
        <v>231.47717249720466</v>
      </c>
      <c r="G5" s="140">
        <v>145.93648953856984</v>
      </c>
      <c r="H5" s="140">
        <v>141.78261839867602</v>
      </c>
      <c r="I5" s="140">
        <v>138.47704525654876</v>
      </c>
      <c r="J5" s="140">
        <v>156.70093905715177</v>
      </c>
      <c r="K5" s="140">
        <v>159.03951443170669</v>
      </c>
      <c r="L5" s="140">
        <v>163.09697090928631</v>
      </c>
      <c r="M5" s="140">
        <v>165.89291516849246</v>
      </c>
      <c r="N5" s="140">
        <v>161.34638263072344</v>
      </c>
      <c r="O5" s="140">
        <v>85.355024366789024</v>
      </c>
      <c r="P5" s="140">
        <v>36.383313066029579</v>
      </c>
      <c r="Q5" s="140">
        <v>9.6600859962889665</v>
      </c>
      <c r="R5" s="140">
        <v>7.921572114204583</v>
      </c>
      <c r="S5" s="140">
        <v>8.5085496008279424</v>
      </c>
      <c r="T5" s="140">
        <v>5.3890194500045459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248</v>
      </c>
    </row>
    <row r="7" spans="1:105" ht="12" customHeight="1" x14ac:dyDescent="0.25">
      <c r="A7" s="131" t="s">
        <v>161</v>
      </c>
      <c r="B7" s="140">
        <v>10320.082017941942</v>
      </c>
      <c r="C7" s="140">
        <v>10768.897891965771</v>
      </c>
      <c r="D7" s="140">
        <v>11160.315304087984</v>
      </c>
      <c r="E7" s="140">
        <v>11568.871737236186</v>
      </c>
      <c r="F7" s="140">
        <v>11165.408411300772</v>
      </c>
      <c r="G7" s="140">
        <v>10371.956109049495</v>
      </c>
      <c r="H7" s="140">
        <v>9498.3149606911138</v>
      </c>
      <c r="I7" s="140">
        <v>8530.7065158474688</v>
      </c>
      <c r="J7" s="140">
        <v>7607.2395692720565</v>
      </c>
      <c r="K7" s="140">
        <v>6959.0764940483705</v>
      </c>
      <c r="L7" s="140">
        <v>6294.9380332856172</v>
      </c>
      <c r="M7" s="140">
        <v>5768.3006769942858</v>
      </c>
      <c r="N7" s="140">
        <v>5152.6132622341056</v>
      </c>
      <c r="O7" s="140">
        <v>4717.1634966711736</v>
      </c>
      <c r="P7" s="140">
        <v>4494.399491265387</v>
      </c>
      <c r="Q7" s="140">
        <v>4534.9144340784906</v>
      </c>
      <c r="R7" s="140">
        <v>4311.7063580736913</v>
      </c>
      <c r="S7" s="140">
        <v>3841.4903491868927</v>
      </c>
      <c r="T7" s="140">
        <v>3165.4533116786361</v>
      </c>
      <c r="U7" s="140">
        <v>2488.7695506041036</v>
      </c>
      <c r="V7" s="140">
        <v>2184.2532812506797</v>
      </c>
      <c r="W7" s="140">
        <v>1963.3173803927596</v>
      </c>
      <c r="X7" s="140">
        <v>2033.8086511323347</v>
      </c>
      <c r="Y7" s="140">
        <v>2193.3082240987032</v>
      </c>
      <c r="DA7" s="170" t="s">
        <v>249</v>
      </c>
    </row>
    <row r="8" spans="1:105" ht="12" customHeight="1" x14ac:dyDescent="0.25">
      <c r="A8" s="131" t="s">
        <v>73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250</v>
      </c>
    </row>
    <row r="9" spans="1:105" ht="12" customHeight="1" x14ac:dyDescent="0.25">
      <c r="A9" s="131" t="s">
        <v>78</v>
      </c>
      <c r="B9" s="140">
        <v>6008.3603406232533</v>
      </c>
      <c r="C9" s="140">
        <v>6448.9547080967686</v>
      </c>
      <c r="D9" s="140">
        <v>6589.2984015919028</v>
      </c>
      <c r="E9" s="140">
        <v>6988.3266432662995</v>
      </c>
      <c r="F9" s="140">
        <v>7446.1604382935711</v>
      </c>
      <c r="G9" s="140">
        <v>8121.6505396133416</v>
      </c>
      <c r="H9" s="140">
        <v>8779.0368007547168</v>
      </c>
      <c r="I9" s="140">
        <v>9412.6017318793547</v>
      </c>
      <c r="J9" s="140">
        <v>9999.9762215788469</v>
      </c>
      <c r="K9" s="140">
        <v>10562.601773373894</v>
      </c>
      <c r="L9" s="140">
        <v>11057.397592234347</v>
      </c>
      <c r="M9" s="140">
        <v>11035.022260884756</v>
      </c>
      <c r="N9" s="140">
        <v>11319.244718570602</v>
      </c>
      <c r="O9" s="140">
        <v>12344.968802422596</v>
      </c>
      <c r="P9" s="140">
        <v>14151.854918207047</v>
      </c>
      <c r="Q9" s="140">
        <v>16397.478089528639</v>
      </c>
      <c r="R9" s="140">
        <v>17048.471882460748</v>
      </c>
      <c r="S9" s="140">
        <v>17253.335583161763</v>
      </c>
      <c r="T9" s="140">
        <v>17664.759664619181</v>
      </c>
      <c r="U9" s="140">
        <v>18360.789919773342</v>
      </c>
      <c r="V9" s="140">
        <v>18856.683323260382</v>
      </c>
      <c r="W9" s="140">
        <v>18679.887212324258</v>
      </c>
      <c r="X9" s="140">
        <v>17179.824621785694</v>
      </c>
      <c r="Y9" s="140">
        <v>16198.915910871336</v>
      </c>
      <c r="DA9" s="170" t="s">
        <v>251</v>
      </c>
    </row>
    <row r="10" spans="1:105" ht="12" customHeight="1" x14ac:dyDescent="0.25">
      <c r="A10" s="131" t="s">
        <v>128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149.69547542372226</v>
      </c>
      <c r="J10" s="140">
        <v>188.33151095390346</v>
      </c>
      <c r="K10" s="140">
        <v>230.85970352795837</v>
      </c>
      <c r="L10" s="140">
        <v>235.4367842360484</v>
      </c>
      <c r="M10" s="140">
        <v>261.18845751676167</v>
      </c>
      <c r="N10" s="140">
        <v>285.84194494334923</v>
      </c>
      <c r="O10" s="140">
        <v>341.77400861339504</v>
      </c>
      <c r="P10" s="140">
        <v>447.15593629392174</v>
      </c>
      <c r="Q10" s="140">
        <v>549.91749560363883</v>
      </c>
      <c r="R10" s="140">
        <v>661.69490655599895</v>
      </c>
      <c r="S10" s="140">
        <v>767.76969738308946</v>
      </c>
      <c r="T10" s="140">
        <v>904.54007715745922</v>
      </c>
      <c r="U10" s="140">
        <v>1043.8584828943467</v>
      </c>
      <c r="V10" s="140">
        <v>1169.6184574138335</v>
      </c>
      <c r="W10" s="140">
        <v>1243.4155828727987</v>
      </c>
      <c r="X10" s="140">
        <v>1276.2180275975813</v>
      </c>
      <c r="Y10" s="140">
        <v>1282.1484614969559</v>
      </c>
      <c r="DA10" s="170" t="s">
        <v>252</v>
      </c>
    </row>
    <row r="11" spans="1:105" ht="12" customHeight="1" x14ac:dyDescent="0.25">
      <c r="A11" s="131" t="s">
        <v>25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378.70092633795372</v>
      </c>
      <c r="J11" s="140">
        <v>513.90457591834365</v>
      </c>
      <c r="K11" s="140">
        <v>661.30600795110809</v>
      </c>
      <c r="L11" s="140">
        <v>870.59666290141945</v>
      </c>
      <c r="M11" s="140">
        <v>1009.2885995414307</v>
      </c>
      <c r="N11" s="140">
        <v>1074.7128246389477</v>
      </c>
      <c r="O11" s="140">
        <v>1040.7428991264826</v>
      </c>
      <c r="P11" s="140">
        <v>920.96265580870818</v>
      </c>
      <c r="Q11" s="140">
        <v>865.34760183127207</v>
      </c>
      <c r="R11" s="140">
        <v>790.68496610657041</v>
      </c>
      <c r="S11" s="140">
        <v>705.54913382195878</v>
      </c>
      <c r="T11" s="140">
        <v>627.5616110688693</v>
      </c>
      <c r="U11" s="140">
        <v>569.38651555107901</v>
      </c>
      <c r="V11" s="140">
        <v>529.38378233447349</v>
      </c>
      <c r="W11" s="140">
        <v>453.89435928312815</v>
      </c>
      <c r="X11" s="140">
        <v>376.33616806136979</v>
      </c>
      <c r="Y11" s="140">
        <v>340.02532540782011</v>
      </c>
      <c r="DA11" s="170" t="s">
        <v>253</v>
      </c>
    </row>
    <row r="12" spans="1:105" ht="12" customHeight="1" x14ac:dyDescent="0.25">
      <c r="A12" s="131" t="s">
        <v>162</v>
      </c>
      <c r="B12" s="140">
        <v>7353.3885629663446</v>
      </c>
      <c r="C12" s="140">
        <v>7190.6374374972747</v>
      </c>
      <c r="D12" s="140">
        <v>7302.1136178179931</v>
      </c>
      <c r="E12" s="140">
        <v>7586.2252909212575</v>
      </c>
      <c r="F12" s="140">
        <v>7680.7897322162671</v>
      </c>
      <c r="G12" s="140">
        <v>7814.1967142381927</v>
      </c>
      <c r="H12" s="140">
        <v>7749.1453057452827</v>
      </c>
      <c r="I12" s="140">
        <v>7835.9897939514876</v>
      </c>
      <c r="J12" s="140">
        <v>7934.1286044418257</v>
      </c>
      <c r="K12" s="140">
        <v>8181.8327310127506</v>
      </c>
      <c r="L12" s="140">
        <v>8544.8220613600351</v>
      </c>
      <c r="M12" s="140">
        <v>8922.8153139121096</v>
      </c>
      <c r="N12" s="140">
        <v>9161.0222729237776</v>
      </c>
      <c r="O12" s="140">
        <v>9237.6150376989517</v>
      </c>
      <c r="P12" s="140">
        <v>8936.042098767115</v>
      </c>
      <c r="Q12" s="140">
        <v>8530.8464795673208</v>
      </c>
      <c r="R12" s="140">
        <v>7981.077125477771</v>
      </c>
      <c r="S12" s="140">
        <v>7268.6920348048461</v>
      </c>
      <c r="T12" s="140">
        <v>6751.5344389595448</v>
      </c>
      <c r="U12" s="140">
        <v>6638.40422396954</v>
      </c>
      <c r="V12" s="140">
        <v>6803.0830840247309</v>
      </c>
      <c r="W12" s="140">
        <v>6772.7660682670476</v>
      </c>
      <c r="X12" s="140">
        <v>6499.7666426029546</v>
      </c>
      <c r="Y12" s="140">
        <v>6319.3870516102115</v>
      </c>
      <c r="DA12" s="170" t="s">
        <v>254</v>
      </c>
    </row>
    <row r="13" spans="1:105" ht="12" customHeight="1" x14ac:dyDescent="0.25">
      <c r="A13" s="131" t="s">
        <v>77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DA13" s="170" t="s">
        <v>255</v>
      </c>
    </row>
    <row r="14" spans="1:105" ht="12" customHeight="1" x14ac:dyDescent="0.25">
      <c r="A14" s="60" t="s">
        <v>76</v>
      </c>
      <c r="B14" s="141">
        <v>6428.1406041647397</v>
      </c>
      <c r="C14" s="141">
        <v>6927.0713344453688</v>
      </c>
      <c r="D14" s="141">
        <v>7620.6816566145772</v>
      </c>
      <c r="E14" s="141">
        <v>8412.7370851372198</v>
      </c>
      <c r="F14" s="141">
        <v>9704.6383212585752</v>
      </c>
      <c r="G14" s="141">
        <v>11116.900609603745</v>
      </c>
      <c r="H14" s="141">
        <v>13367.343194363464</v>
      </c>
      <c r="I14" s="141">
        <v>15150.213940121663</v>
      </c>
      <c r="J14" s="141">
        <v>16087.884327318736</v>
      </c>
      <c r="K14" s="141">
        <v>16339.904784485989</v>
      </c>
      <c r="L14" s="141">
        <v>16148.602198879264</v>
      </c>
      <c r="M14" s="141">
        <v>16681.387513910016</v>
      </c>
      <c r="N14" s="141">
        <v>16271.377503283087</v>
      </c>
      <c r="O14" s="141">
        <v>15661.357683297609</v>
      </c>
      <c r="P14" s="141">
        <v>15729.730744684011</v>
      </c>
      <c r="Q14" s="141">
        <v>15299.245404457963</v>
      </c>
      <c r="R14" s="141">
        <v>15824.166046883245</v>
      </c>
      <c r="S14" s="141">
        <v>17170.143309946379</v>
      </c>
      <c r="T14" s="141">
        <v>18400.822221990969</v>
      </c>
      <c r="U14" s="141">
        <v>18933.407899351441</v>
      </c>
      <c r="V14" s="141">
        <v>19014.089182827011</v>
      </c>
      <c r="W14" s="141">
        <v>19949.888387112664</v>
      </c>
      <c r="X14" s="141">
        <v>22178.027835893947</v>
      </c>
      <c r="Y14" s="141">
        <v>23648.573778634793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24055.817495916122</v>
      </c>
      <c r="C15" s="143">
        <f t="shared" si="4"/>
        <v>24772.632356858747</v>
      </c>
      <c r="D15" s="143">
        <f t="shared" si="4"/>
        <v>25404.636797235711</v>
      </c>
      <c r="E15" s="143">
        <f t="shared" si="4"/>
        <v>26466.585202185084</v>
      </c>
      <c r="F15" s="143">
        <f t="shared" si="4"/>
        <v>26523.835754307816</v>
      </c>
      <c r="G15" s="143">
        <f t="shared" si="4"/>
        <v>26453.739852439598</v>
      </c>
      <c r="H15" s="143">
        <f t="shared" si="4"/>
        <v>26168.27968558979</v>
      </c>
      <c r="I15" s="143">
        <f t="shared" si="4"/>
        <v>26446.171488696538</v>
      </c>
      <c r="J15" s="143">
        <f t="shared" si="4"/>
        <v>26400.281421222127</v>
      </c>
      <c r="K15" s="143">
        <f t="shared" si="4"/>
        <v>26754.71622434579</v>
      </c>
      <c r="L15" s="143">
        <f t="shared" si="4"/>
        <v>27166.288104926753</v>
      </c>
      <c r="M15" s="143">
        <f t="shared" si="4"/>
        <v>27162.508224017834</v>
      </c>
      <c r="N15" s="143">
        <f t="shared" si="4"/>
        <v>27154.781405941503</v>
      </c>
      <c r="O15" s="143">
        <f t="shared" si="4"/>
        <v>27767.619268899391</v>
      </c>
      <c r="P15" s="143">
        <f t="shared" si="4"/>
        <v>28986.798413408207</v>
      </c>
      <c r="Q15" s="143">
        <f t="shared" si="4"/>
        <v>30888.164186605653</v>
      </c>
      <c r="R15" s="143">
        <f t="shared" ref="R15:W15" si="5">SUM(R5:R12)</f>
        <v>30801.556810788989</v>
      </c>
      <c r="S15" s="143">
        <f t="shared" si="5"/>
        <v>29845.345347959374</v>
      </c>
      <c r="T15" s="143">
        <f t="shared" si="5"/>
        <v>29119.238122933693</v>
      </c>
      <c r="U15" s="143">
        <f t="shared" si="5"/>
        <v>29101.208692792414</v>
      </c>
      <c r="V15" s="143">
        <f t="shared" si="5"/>
        <v>29543.021928284099</v>
      </c>
      <c r="W15" s="143">
        <f t="shared" si="5"/>
        <v>29113.280603139992</v>
      </c>
      <c r="X15" s="143">
        <f t="shared" ref="X15:Y15" si="6">SUM(X5:X12)</f>
        <v>27365.954111179934</v>
      </c>
      <c r="Y15" s="143">
        <f t="shared" si="6"/>
        <v>26333.784973485024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5881.8316151598592</v>
      </c>
      <c r="C16" s="139">
        <f t="shared" si="7"/>
        <v>6523.9140674422015</v>
      </c>
      <c r="D16" s="139">
        <f t="shared" si="7"/>
        <v>7414.994174240248</v>
      </c>
      <c r="E16" s="139">
        <f t="shared" si="7"/>
        <v>8480.5838350113881</v>
      </c>
      <c r="F16" s="139">
        <f t="shared" si="7"/>
        <v>9676.6112389160025</v>
      </c>
      <c r="G16" s="139">
        <f t="shared" si="7"/>
        <v>11029.33051645235</v>
      </c>
      <c r="H16" s="139">
        <f t="shared" si="7"/>
        <v>12768.990575151345</v>
      </c>
      <c r="I16" s="139">
        <f t="shared" si="7"/>
        <v>15095.657524263512</v>
      </c>
      <c r="J16" s="139">
        <f t="shared" si="7"/>
        <v>16959.19541321657</v>
      </c>
      <c r="K16" s="139">
        <f t="shared" si="7"/>
        <v>18324.431013315545</v>
      </c>
      <c r="L16" s="139">
        <f t="shared" si="7"/>
        <v>19386.25068567336</v>
      </c>
      <c r="M16" s="139">
        <f t="shared" si="7"/>
        <v>20402.71629608699</v>
      </c>
      <c r="N16" s="139">
        <f t="shared" si="7"/>
        <v>20929.955493491474</v>
      </c>
      <c r="O16" s="139">
        <f t="shared" si="7"/>
        <v>21332.78300815777</v>
      </c>
      <c r="P16" s="139">
        <f t="shared" si="7"/>
        <v>21712.309785464913</v>
      </c>
      <c r="Q16" s="139">
        <f t="shared" si="7"/>
        <v>22363.152766086499</v>
      </c>
      <c r="R16" s="139">
        <f t="shared" ref="R16:W16" si="8">SUM(R17:R18)</f>
        <v>22593.197698964144</v>
      </c>
      <c r="S16" s="139">
        <f t="shared" si="8"/>
        <v>22673.22095329213</v>
      </c>
      <c r="T16" s="139">
        <f t="shared" si="8"/>
        <v>22856.928417027699</v>
      </c>
      <c r="U16" s="139">
        <f t="shared" si="8"/>
        <v>22921.194796086609</v>
      </c>
      <c r="V16" s="139">
        <f t="shared" si="8"/>
        <v>23129.658716180282</v>
      </c>
      <c r="W16" s="139">
        <f t="shared" si="8"/>
        <v>23417.825407442342</v>
      </c>
      <c r="X16" s="139">
        <f t="shared" ref="X16:Y16" si="9">SUM(X17:X18)</f>
        <v>23245.14498660449</v>
      </c>
      <c r="Y16" s="139">
        <f t="shared" si="9"/>
        <v>23479.445637445042</v>
      </c>
      <c r="DA16" s="169" t="s">
        <v>257</v>
      </c>
    </row>
    <row r="17" spans="1:105" ht="12.95" customHeight="1" x14ac:dyDescent="0.25">
      <c r="A17" s="131" t="s">
        <v>73</v>
      </c>
      <c r="B17" s="140">
        <v>6.2552048558152897</v>
      </c>
      <c r="C17" s="140">
        <v>6.7739032675458066</v>
      </c>
      <c r="D17" s="140">
        <v>8.5634043979777452</v>
      </c>
      <c r="E17" s="140">
        <v>10.799026795945478</v>
      </c>
      <c r="F17" s="140">
        <v>12.978134035634572</v>
      </c>
      <c r="G17" s="140">
        <v>15.34664450680296</v>
      </c>
      <c r="H17" s="140">
        <v>18.253465427902306</v>
      </c>
      <c r="I17" s="140">
        <v>20.222618199803684</v>
      </c>
      <c r="J17" s="140">
        <v>22.113398613229812</v>
      </c>
      <c r="K17" s="140">
        <v>25.191596482615815</v>
      </c>
      <c r="L17" s="140">
        <v>29.277322778441729</v>
      </c>
      <c r="M17" s="140">
        <v>33.194017090183202</v>
      </c>
      <c r="N17" s="140">
        <v>36.96934380264517</v>
      </c>
      <c r="O17" s="140">
        <v>42.97816666639217</v>
      </c>
      <c r="P17" s="140">
        <v>53.828573477438979</v>
      </c>
      <c r="Q17" s="140">
        <v>65.382116532054781</v>
      </c>
      <c r="R17" s="140">
        <v>76.531560755707986</v>
      </c>
      <c r="S17" s="140">
        <v>93.141597890392788</v>
      </c>
      <c r="T17" s="140">
        <v>116.46480173892532</v>
      </c>
      <c r="U17" s="140">
        <v>132.1013762297182</v>
      </c>
      <c r="V17" s="140">
        <v>161.77223085632571</v>
      </c>
      <c r="W17" s="140">
        <v>169.85067733367461</v>
      </c>
      <c r="X17" s="140">
        <v>184.77152663301396</v>
      </c>
      <c r="Y17" s="140">
        <v>192.70733204531109</v>
      </c>
      <c r="DA17" s="170" t="s">
        <v>258</v>
      </c>
    </row>
    <row r="18" spans="1:105" ht="12" customHeight="1" x14ac:dyDescent="0.25">
      <c r="A18" s="131" t="s">
        <v>72</v>
      </c>
      <c r="B18" s="140">
        <v>5875.5764103040437</v>
      </c>
      <c r="C18" s="140">
        <v>6517.1401641746561</v>
      </c>
      <c r="D18" s="140">
        <v>7406.4307698422699</v>
      </c>
      <c r="E18" s="140">
        <v>8469.7848082154433</v>
      </c>
      <c r="F18" s="140">
        <v>9663.6331048803677</v>
      </c>
      <c r="G18" s="140">
        <v>11013.983871945547</v>
      </c>
      <c r="H18" s="140">
        <v>12750.737109723443</v>
      </c>
      <c r="I18" s="140">
        <v>15075.434906063709</v>
      </c>
      <c r="J18" s="140">
        <v>16937.08201460334</v>
      </c>
      <c r="K18" s="140">
        <v>18299.23941683293</v>
      </c>
      <c r="L18" s="140">
        <v>19356.973362894918</v>
      </c>
      <c r="M18" s="140">
        <v>20369.522278996807</v>
      </c>
      <c r="N18" s="140">
        <v>20892.98614968883</v>
      </c>
      <c r="O18" s="140">
        <v>21289.804841491379</v>
      </c>
      <c r="P18" s="140">
        <v>21658.481211987473</v>
      </c>
      <c r="Q18" s="140">
        <v>22297.770649554444</v>
      </c>
      <c r="R18" s="140">
        <v>22516.666138208435</v>
      </c>
      <c r="S18" s="140">
        <v>22580.079355401736</v>
      </c>
      <c r="T18" s="140">
        <v>22740.463615288772</v>
      </c>
      <c r="U18" s="140">
        <v>22789.09341985689</v>
      </c>
      <c r="V18" s="140">
        <v>22967.886485323957</v>
      </c>
      <c r="W18" s="140">
        <v>23247.974730108668</v>
      </c>
      <c r="X18" s="140">
        <v>23060.373459971477</v>
      </c>
      <c r="Y18" s="140">
        <v>23286.738305399729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30483.958100080861</v>
      </c>
      <c r="C19" s="139">
        <f t="shared" si="10"/>
        <v>31699.703691304116</v>
      </c>
      <c r="D19" s="139">
        <f t="shared" si="10"/>
        <v>33025.31845385029</v>
      </c>
      <c r="E19" s="139">
        <f t="shared" si="10"/>
        <v>34879.322287322306</v>
      </c>
      <c r="F19" s="139">
        <f t="shared" si="10"/>
        <v>36228.474075566388</v>
      </c>
      <c r="G19" s="139">
        <f t="shared" si="10"/>
        <v>37570.640462043353</v>
      </c>
      <c r="H19" s="139">
        <f t="shared" si="10"/>
        <v>39535.622879953255</v>
      </c>
      <c r="I19" s="139">
        <f t="shared" si="10"/>
        <v>41596.38542881819</v>
      </c>
      <c r="J19" s="139">
        <f t="shared" si="10"/>
        <v>42488.165748540872</v>
      </c>
      <c r="K19" s="139">
        <f t="shared" si="10"/>
        <v>43094.621008831782</v>
      </c>
      <c r="L19" s="139">
        <f t="shared" si="10"/>
        <v>43314.890303806002</v>
      </c>
      <c r="M19" s="139">
        <f t="shared" si="10"/>
        <v>43843.895737927844</v>
      </c>
      <c r="N19" s="139">
        <f t="shared" si="10"/>
        <v>43426.158909224592</v>
      </c>
      <c r="O19" s="139">
        <f t="shared" si="10"/>
        <v>43428.976952197016</v>
      </c>
      <c r="P19" s="139">
        <f t="shared" si="10"/>
        <v>44716.529158092228</v>
      </c>
      <c r="Q19" s="139">
        <f t="shared" si="10"/>
        <v>46187.409591063595</v>
      </c>
      <c r="R19" s="139">
        <f t="shared" ref="R19:W19" si="11">SUM(R20:R26)</f>
        <v>46625.722857672226</v>
      </c>
      <c r="S19" s="139">
        <f t="shared" si="11"/>
        <v>47015.488657905749</v>
      </c>
      <c r="T19" s="139">
        <f t="shared" si="11"/>
        <v>47520.060344924685</v>
      </c>
      <c r="U19" s="139">
        <f t="shared" si="11"/>
        <v>48034.616592143822</v>
      </c>
      <c r="V19" s="139">
        <f t="shared" si="11"/>
        <v>48557.111111111131</v>
      </c>
      <c r="W19" s="139">
        <f t="shared" si="11"/>
        <v>49063.168990252641</v>
      </c>
      <c r="X19" s="139">
        <f t="shared" ref="X19:Y19" si="12">SUM(X20:X26)</f>
        <v>49543.981947073873</v>
      </c>
      <c r="Y19" s="139">
        <f t="shared" si="12"/>
        <v>49982.358752119821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905.65997020025429</v>
      </c>
      <c r="C21" s="140">
        <v>1032.0210448474647</v>
      </c>
      <c r="D21" s="140">
        <v>1167.1702201432529</v>
      </c>
      <c r="E21" s="140">
        <v>1281.6043385153171</v>
      </c>
      <c r="F21" s="140">
        <v>1376.7186596444576</v>
      </c>
      <c r="G21" s="140">
        <v>1461.1863040669557</v>
      </c>
      <c r="H21" s="140">
        <v>1564.9743656471519</v>
      </c>
      <c r="I21" s="140">
        <v>1678.6221387157138</v>
      </c>
      <c r="J21" s="140">
        <v>1806.9421141995404</v>
      </c>
      <c r="K21" s="140">
        <v>1936.4656115625278</v>
      </c>
      <c r="L21" s="140">
        <v>2021.9061419909194</v>
      </c>
      <c r="M21" s="140">
        <v>2076.0599787832102</v>
      </c>
      <c r="N21" s="140">
        <v>2100.9528519675678</v>
      </c>
      <c r="O21" s="140">
        <v>2132.4877215538718</v>
      </c>
      <c r="P21" s="140">
        <v>2173.5460545957485</v>
      </c>
      <c r="Q21" s="140">
        <v>2198.7980231823867</v>
      </c>
      <c r="R21" s="140">
        <v>2174.8503560088006</v>
      </c>
      <c r="S21" s="140">
        <v>2090.8866995396093</v>
      </c>
      <c r="T21" s="140">
        <v>1972.4705012022289</v>
      </c>
      <c r="U21" s="140">
        <v>1840.3833535601138</v>
      </c>
      <c r="V21" s="140">
        <v>1713.658810510475</v>
      </c>
      <c r="W21" s="140">
        <v>1623.3738306836499</v>
      </c>
      <c r="X21" s="140">
        <v>1526.1573053121558</v>
      </c>
      <c r="Y21" s="140">
        <v>1369.5731722817004</v>
      </c>
      <c r="DA21" s="170" t="s">
        <v>262</v>
      </c>
    </row>
    <row r="22" spans="1:105" ht="12" customHeight="1" x14ac:dyDescent="0.25">
      <c r="A22" s="131" t="s">
        <v>161</v>
      </c>
      <c r="B22" s="140">
        <v>3505.5984746867057</v>
      </c>
      <c r="C22" s="140">
        <v>3626.1292257268819</v>
      </c>
      <c r="D22" s="140">
        <v>3819.8281789575631</v>
      </c>
      <c r="E22" s="140">
        <v>4027.9106707658334</v>
      </c>
      <c r="F22" s="140">
        <v>4228.7351342322127</v>
      </c>
      <c r="G22" s="140">
        <v>4498.1750811284328</v>
      </c>
      <c r="H22" s="140">
        <v>4781.7062886079902</v>
      </c>
      <c r="I22" s="140">
        <v>5061.7316571535093</v>
      </c>
      <c r="J22" s="140">
        <v>5221.0131988419416</v>
      </c>
      <c r="K22" s="140">
        <v>5272.7041755717755</v>
      </c>
      <c r="L22" s="140">
        <v>5169.7177010075438</v>
      </c>
      <c r="M22" s="140">
        <v>4926.028351433125</v>
      </c>
      <c r="N22" s="140">
        <v>4627.5023071902988</v>
      </c>
      <c r="O22" s="140">
        <v>4355.2302356579739</v>
      </c>
      <c r="P22" s="140">
        <v>4149.7691135857258</v>
      </c>
      <c r="Q22" s="140">
        <v>4011.3400928262308</v>
      </c>
      <c r="R22" s="140">
        <v>3919.556935072927</v>
      </c>
      <c r="S22" s="140">
        <v>3865.9555941688768</v>
      </c>
      <c r="T22" s="140">
        <v>3811.1729922101777</v>
      </c>
      <c r="U22" s="140">
        <v>3772.9881108490854</v>
      </c>
      <c r="V22" s="140">
        <v>3610.4054936814368</v>
      </c>
      <c r="W22" s="140">
        <v>3385.1178953296717</v>
      </c>
      <c r="X22" s="140">
        <v>2973.0803549511384</v>
      </c>
      <c r="Y22" s="140">
        <v>2615.9420022986601</v>
      </c>
      <c r="DA22" s="170" t="s">
        <v>263</v>
      </c>
    </row>
    <row r="23" spans="1:105" ht="12" customHeight="1" x14ac:dyDescent="0.25">
      <c r="A23" s="131" t="s">
        <v>149</v>
      </c>
      <c r="B23" s="140">
        <v>8773.2635317041841</v>
      </c>
      <c r="C23" s="140">
        <v>9151.7280944946742</v>
      </c>
      <c r="D23" s="140">
        <v>9698.8189392048262</v>
      </c>
      <c r="E23" s="140">
        <v>10199.731525381994</v>
      </c>
      <c r="F23" s="140">
        <v>10628.868549665069</v>
      </c>
      <c r="G23" s="140">
        <v>11030.846553613099</v>
      </c>
      <c r="H23" s="140">
        <v>11401.196081698112</v>
      </c>
      <c r="I23" s="140">
        <v>11718.655896136986</v>
      </c>
      <c r="J23" s="140">
        <v>12036.75784901099</v>
      </c>
      <c r="K23" s="140">
        <v>12305.174087840318</v>
      </c>
      <c r="L23" s="140">
        <v>12579.504984866837</v>
      </c>
      <c r="M23" s="140">
        <v>12871.466066838819</v>
      </c>
      <c r="N23" s="140">
        <v>13200.172220818713</v>
      </c>
      <c r="O23" s="140">
        <v>13730.537976106592</v>
      </c>
      <c r="P23" s="140">
        <v>14568.423725033474</v>
      </c>
      <c r="Q23" s="140">
        <v>15657.016193437412</v>
      </c>
      <c r="R23" s="140">
        <v>16894.527497033348</v>
      </c>
      <c r="S23" s="140">
        <v>17758.42995472566</v>
      </c>
      <c r="T23" s="140">
        <v>18562.838476553559</v>
      </c>
      <c r="U23" s="140">
        <v>19221.966683643208</v>
      </c>
      <c r="V23" s="140">
        <v>19383.007898382737</v>
      </c>
      <c r="W23" s="140">
        <v>19167.029984345518</v>
      </c>
      <c r="X23" s="140">
        <v>17794.08096989695</v>
      </c>
      <c r="Y23" s="140">
        <v>16383.26450588121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7947.8995923297189</v>
      </c>
      <c r="C25" s="140">
        <v>7879.8228768019653</v>
      </c>
      <c r="D25" s="140">
        <v>7816.7117824741345</v>
      </c>
      <c r="E25" s="140">
        <v>7765.5624360686606</v>
      </c>
      <c r="F25" s="140">
        <v>7735.1782369593257</v>
      </c>
      <c r="G25" s="140">
        <v>7755.7903680119543</v>
      </c>
      <c r="H25" s="140">
        <v>7784.9153126229276</v>
      </c>
      <c r="I25" s="140">
        <v>7784.4125832326663</v>
      </c>
      <c r="J25" s="140">
        <v>7744.6297861998446</v>
      </c>
      <c r="K25" s="140">
        <v>7699.7397259521204</v>
      </c>
      <c r="L25" s="140">
        <v>7690.0667173595057</v>
      </c>
      <c r="M25" s="140">
        <v>7718.0246391493029</v>
      </c>
      <c r="N25" s="140">
        <v>7738.5787860437331</v>
      </c>
      <c r="O25" s="140">
        <v>7795.0350571963636</v>
      </c>
      <c r="P25" s="140">
        <v>7897.8777406637801</v>
      </c>
      <c r="Q25" s="140">
        <v>8004.2018282302188</v>
      </c>
      <c r="R25" s="140">
        <v>8077.483907617202</v>
      </c>
      <c r="S25" s="140">
        <v>8144.5099891072932</v>
      </c>
      <c r="T25" s="140">
        <v>8227.8196133962792</v>
      </c>
      <c r="U25" s="140">
        <v>8349.6312965076067</v>
      </c>
      <c r="V25" s="140">
        <v>8422.5183134643794</v>
      </c>
      <c r="W25" s="140">
        <v>8385.2639617227142</v>
      </c>
      <c r="X25" s="140">
        <v>8219.0247674633974</v>
      </c>
      <c r="Y25" s="140">
        <v>8040.5353312642646</v>
      </c>
      <c r="DA25" s="170" t="s">
        <v>266</v>
      </c>
    </row>
    <row r="26" spans="1:105" ht="12" customHeight="1" x14ac:dyDescent="0.25">
      <c r="A26" s="131" t="s">
        <v>24</v>
      </c>
      <c r="B26" s="141">
        <v>9351.536531159998</v>
      </c>
      <c r="C26" s="141">
        <v>10010.00244943313</v>
      </c>
      <c r="D26" s="141">
        <v>10522.789333070512</v>
      </c>
      <c r="E26" s="141">
        <v>11604.513316590497</v>
      </c>
      <c r="F26" s="141">
        <v>12258.973495065324</v>
      </c>
      <c r="G26" s="141">
        <v>12824.642155222908</v>
      </c>
      <c r="H26" s="141">
        <v>14002.83083137707</v>
      </c>
      <c r="I26" s="141">
        <v>15352.963153579316</v>
      </c>
      <c r="J26" s="141">
        <v>15678.822800288552</v>
      </c>
      <c r="K26" s="141">
        <v>15880.537407905043</v>
      </c>
      <c r="L26" s="141">
        <v>15853.694758581194</v>
      </c>
      <c r="M26" s="141">
        <v>16252.316701723392</v>
      </c>
      <c r="N26" s="141">
        <v>15758.95274320428</v>
      </c>
      <c r="O26" s="141">
        <v>15415.685961682208</v>
      </c>
      <c r="P26" s="141">
        <v>15926.912524213496</v>
      </c>
      <c r="Q26" s="141">
        <v>16316.053453387347</v>
      </c>
      <c r="R26" s="141">
        <v>15559.304161939948</v>
      </c>
      <c r="S26" s="141">
        <v>15155.706420364313</v>
      </c>
      <c r="T26" s="141">
        <v>14945.758761562442</v>
      </c>
      <c r="U26" s="141">
        <v>14849.647147583808</v>
      </c>
      <c r="V26" s="141">
        <v>15427.520595072099</v>
      </c>
      <c r="W26" s="141">
        <v>16502.383318171083</v>
      </c>
      <c r="X26" s="141">
        <v>19031.638549450236</v>
      </c>
      <c r="Y26" s="141">
        <v>21573.043740393983</v>
      </c>
      <c r="DA26" s="171" t="s">
        <v>267</v>
      </c>
    </row>
    <row r="27" spans="1:105" ht="12" customHeight="1" x14ac:dyDescent="0.25">
      <c r="A27" s="144" t="s">
        <v>26</v>
      </c>
      <c r="B27" s="150">
        <v>438.9892464100671</v>
      </c>
      <c r="C27" s="150">
        <v>454.2498222735619</v>
      </c>
      <c r="D27" s="150">
        <v>546.31287023447692</v>
      </c>
      <c r="E27" s="150">
        <v>598.92797503879115</v>
      </c>
      <c r="F27" s="150">
        <v>723.5237150761111</v>
      </c>
      <c r="G27" s="150">
        <v>826.37503079912847</v>
      </c>
      <c r="H27" s="150">
        <v>987.69575142758595</v>
      </c>
      <c r="I27" s="150">
        <v>1154.7346241943137</v>
      </c>
      <c r="J27" s="150">
        <v>1415.6573343879104</v>
      </c>
      <c r="K27" s="150">
        <v>1584.8059066478672</v>
      </c>
      <c r="L27" s="150">
        <v>1754.2787333471351</v>
      </c>
      <c r="M27" s="150">
        <v>2078.0232299167278</v>
      </c>
      <c r="N27" s="150">
        <v>2376.1152061169773</v>
      </c>
      <c r="O27" s="150">
        <v>2619.408881338974</v>
      </c>
      <c r="P27" s="150">
        <v>3056.180009017105</v>
      </c>
      <c r="Q27" s="150">
        <v>3544.8928072439294</v>
      </c>
      <c r="R27" s="150">
        <v>3875.4419718839258</v>
      </c>
      <c r="S27" s="150">
        <v>4246.1809416575943</v>
      </c>
      <c r="T27" s="150">
        <v>4630.7172913528893</v>
      </c>
      <c r="U27" s="150">
        <v>4997.9258708743873</v>
      </c>
      <c r="V27" s="150">
        <v>5612.8373495751612</v>
      </c>
      <c r="W27" s="150">
        <v>5859.9196489176638</v>
      </c>
      <c r="X27" s="150">
        <v>5727.1504411162905</v>
      </c>
      <c r="Y27" s="150">
        <v>5992.9414501456176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30483.958100080858</v>
      </c>
      <c r="C29" s="139">
        <f t="shared" si="13"/>
        <v>31699.703691304116</v>
      </c>
      <c r="D29" s="139">
        <f t="shared" si="13"/>
        <v>33025.31845385029</v>
      </c>
      <c r="E29" s="139">
        <f t="shared" si="13"/>
        <v>34879.322287322306</v>
      </c>
      <c r="F29" s="139">
        <f t="shared" si="13"/>
        <v>36228.474075566381</v>
      </c>
      <c r="G29" s="139">
        <f t="shared" si="13"/>
        <v>37570.640462043346</v>
      </c>
      <c r="H29" s="139">
        <f t="shared" si="13"/>
        <v>39535.62287995324</v>
      </c>
      <c r="I29" s="139">
        <f t="shared" si="13"/>
        <v>41596.385428818205</v>
      </c>
      <c r="J29" s="139">
        <f t="shared" si="13"/>
        <v>42488.16574854088</v>
      </c>
      <c r="K29" s="139">
        <f t="shared" si="13"/>
        <v>43094.621008831768</v>
      </c>
      <c r="L29" s="139">
        <f t="shared" si="13"/>
        <v>43314.890303806023</v>
      </c>
      <c r="M29" s="139">
        <f t="shared" si="13"/>
        <v>43843.895737927844</v>
      </c>
      <c r="N29" s="139">
        <f t="shared" si="13"/>
        <v>43426.158909224592</v>
      </c>
      <c r="O29" s="139">
        <f t="shared" si="13"/>
        <v>43428.97695219703</v>
      </c>
      <c r="P29" s="139">
        <f t="shared" si="13"/>
        <v>44716.529158092242</v>
      </c>
      <c r="Q29" s="139">
        <f t="shared" si="13"/>
        <v>46187.409591063581</v>
      </c>
      <c r="R29" s="139">
        <f t="shared" ref="R29:W29" si="14">SUM(R30:R33)</f>
        <v>46625.722857672241</v>
      </c>
      <c r="S29" s="139">
        <f t="shared" si="14"/>
        <v>47015.488657905749</v>
      </c>
      <c r="T29" s="139">
        <f t="shared" si="14"/>
        <v>47520.060344924692</v>
      </c>
      <c r="U29" s="139">
        <f t="shared" si="14"/>
        <v>48034.616592143786</v>
      </c>
      <c r="V29" s="139">
        <f t="shared" si="14"/>
        <v>48557.111111111131</v>
      </c>
      <c r="W29" s="139">
        <f t="shared" si="14"/>
        <v>49063.168990252663</v>
      </c>
      <c r="X29" s="139">
        <f t="shared" ref="X29:Y29" si="15">SUM(X30:X33)</f>
        <v>49543.981947073909</v>
      </c>
      <c r="Y29" s="139">
        <f t="shared" si="15"/>
        <v>49982.358752119835</v>
      </c>
      <c r="DA29" s="169" t="s">
        <v>269</v>
      </c>
    </row>
    <row r="30" spans="1:105" ht="12" customHeight="1" x14ac:dyDescent="0.25">
      <c r="A30" s="131" t="s">
        <v>52</v>
      </c>
      <c r="B30" s="140">
        <v>1128.2501078615464</v>
      </c>
      <c r="C30" s="140">
        <v>1601.0879046548014</v>
      </c>
      <c r="D30" s="140">
        <v>1891.1980813623297</v>
      </c>
      <c r="E30" s="140">
        <v>2227.3698911215661</v>
      </c>
      <c r="F30" s="140">
        <v>2460.7691140455736</v>
      </c>
      <c r="G30" s="140">
        <v>2589.9531371951671</v>
      </c>
      <c r="H30" s="140">
        <v>2746.1514985318572</v>
      </c>
      <c r="I30" s="140">
        <v>2867.5041937558635</v>
      </c>
      <c r="J30" s="140">
        <v>3122.468311252027</v>
      </c>
      <c r="K30" s="140">
        <v>3310.4581399128501</v>
      </c>
      <c r="L30" s="140">
        <v>3371.1453129954757</v>
      </c>
      <c r="M30" s="140">
        <v>3367.9137964243646</v>
      </c>
      <c r="N30" s="140">
        <v>3319.5630904757463</v>
      </c>
      <c r="O30" s="140">
        <v>3186.59944123882</v>
      </c>
      <c r="P30" s="140">
        <v>3153.8942531882408</v>
      </c>
      <c r="Q30" s="140">
        <v>3162.2473745355142</v>
      </c>
      <c r="R30" s="140">
        <v>3214.6436822321411</v>
      </c>
      <c r="S30" s="140">
        <v>3164.6553952706699</v>
      </c>
      <c r="T30" s="140">
        <v>3131.1965280943186</v>
      </c>
      <c r="U30" s="140">
        <v>3174.8658320169761</v>
      </c>
      <c r="V30" s="140">
        <v>3086.122080361431</v>
      </c>
      <c r="W30" s="140">
        <v>2879.2424560009745</v>
      </c>
      <c r="X30" s="140">
        <v>2348.8773928697674</v>
      </c>
      <c r="Y30" s="140">
        <v>1882.2009468742835</v>
      </c>
      <c r="DA30" s="170" t="s">
        <v>270</v>
      </c>
    </row>
    <row r="31" spans="1:105" ht="12" customHeight="1" x14ac:dyDescent="0.25">
      <c r="A31" s="131" t="s">
        <v>149</v>
      </c>
      <c r="B31" s="140">
        <v>3256.7691175089662</v>
      </c>
      <c r="C31" s="140">
        <v>3285.5995447023538</v>
      </c>
      <c r="D31" s="140">
        <v>3350.6248616529756</v>
      </c>
      <c r="E31" s="140">
        <v>3423.0653632643093</v>
      </c>
      <c r="F31" s="140">
        <v>3464.3103018330376</v>
      </c>
      <c r="G31" s="140">
        <v>3542.9542023689269</v>
      </c>
      <c r="H31" s="140">
        <v>3610.8918887811624</v>
      </c>
      <c r="I31" s="140">
        <v>3705.5310305823732</v>
      </c>
      <c r="J31" s="140">
        <v>3771.4117705077419</v>
      </c>
      <c r="K31" s="140">
        <v>3821.2501239010066</v>
      </c>
      <c r="L31" s="140">
        <v>3878.6166906211438</v>
      </c>
      <c r="M31" s="140">
        <v>3972.6494403435586</v>
      </c>
      <c r="N31" s="140">
        <v>4052.1338607060943</v>
      </c>
      <c r="O31" s="140">
        <v>4128.1083235047918</v>
      </c>
      <c r="P31" s="140">
        <v>4239.7683138188668</v>
      </c>
      <c r="Q31" s="140">
        <v>4444.1387516704153</v>
      </c>
      <c r="R31" s="140">
        <v>4624.5283926642805</v>
      </c>
      <c r="S31" s="140">
        <v>4792.3685002068487</v>
      </c>
      <c r="T31" s="140">
        <v>4882.0225415188161</v>
      </c>
      <c r="U31" s="140">
        <v>4922.8689091314818</v>
      </c>
      <c r="V31" s="140">
        <v>5353.6415372477886</v>
      </c>
      <c r="W31" s="140">
        <v>5970.1887186024251</v>
      </c>
      <c r="X31" s="140">
        <v>6878.4281436550327</v>
      </c>
      <c r="Y31" s="140">
        <v>7787.4539913008412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192.79012823611845</v>
      </c>
      <c r="L32" s="140">
        <v>242.60541242591759</v>
      </c>
      <c r="M32" s="140">
        <v>260.21393592449721</v>
      </c>
      <c r="N32" s="140">
        <v>259.36981354803612</v>
      </c>
      <c r="O32" s="140">
        <v>257.81072122135924</v>
      </c>
      <c r="P32" s="140">
        <v>253.87367514378272</v>
      </c>
      <c r="Q32" s="140">
        <v>254.42731690793852</v>
      </c>
      <c r="R32" s="140">
        <v>261.58164256776206</v>
      </c>
      <c r="S32" s="140">
        <v>268.26003946425942</v>
      </c>
      <c r="T32" s="140">
        <v>314.28427007356311</v>
      </c>
      <c r="U32" s="140">
        <v>344.01518089849446</v>
      </c>
      <c r="V32" s="140">
        <v>342.40013685599797</v>
      </c>
      <c r="W32" s="140">
        <v>355.94579329459651</v>
      </c>
      <c r="X32" s="140">
        <v>366.8918057190362</v>
      </c>
      <c r="Y32" s="140">
        <v>388.11320025272079</v>
      </c>
      <c r="DA32" s="170" t="s">
        <v>272</v>
      </c>
    </row>
    <row r="33" spans="1:105" ht="12" customHeight="1" x14ac:dyDescent="0.25">
      <c r="A33" s="62" t="s">
        <v>24</v>
      </c>
      <c r="B33" s="152">
        <v>26098.938874710344</v>
      </c>
      <c r="C33" s="152">
        <v>26813.01624194696</v>
      </c>
      <c r="D33" s="152">
        <v>27783.495510834982</v>
      </c>
      <c r="E33" s="152">
        <v>29228.887032936429</v>
      </c>
      <c r="F33" s="152">
        <v>30303.394659687769</v>
      </c>
      <c r="G33" s="152">
        <v>31437.733122479251</v>
      </c>
      <c r="H33" s="152">
        <v>33178.579492640223</v>
      </c>
      <c r="I33" s="152">
        <v>35023.350204479968</v>
      </c>
      <c r="J33" s="152">
        <v>35594.285666781114</v>
      </c>
      <c r="K33" s="152">
        <v>35770.122616781795</v>
      </c>
      <c r="L33" s="152">
        <v>35822.522887763487</v>
      </c>
      <c r="M33" s="152">
        <v>36243.118565235425</v>
      </c>
      <c r="N33" s="152">
        <v>35795.092144494716</v>
      </c>
      <c r="O33" s="152">
        <v>35856.458466232056</v>
      </c>
      <c r="P33" s="152">
        <v>37068.992915941351</v>
      </c>
      <c r="Q33" s="152">
        <v>38326.596147949713</v>
      </c>
      <c r="R33" s="152">
        <v>38524.969140208057</v>
      </c>
      <c r="S33" s="152">
        <v>38790.204722963972</v>
      </c>
      <c r="T33" s="152">
        <v>39192.557005237992</v>
      </c>
      <c r="U33" s="152">
        <v>39592.866670096832</v>
      </c>
      <c r="V33" s="152">
        <v>39774.947356645913</v>
      </c>
      <c r="W33" s="152">
        <v>39857.792022354668</v>
      </c>
      <c r="X33" s="152">
        <v>39949.784604830071</v>
      </c>
      <c r="Y33" s="152">
        <v>39924.590613691988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389.52166646339913</v>
      </c>
      <c r="C3" s="125">
        <f t="shared" si="0"/>
        <v>453.33880481805585</v>
      </c>
      <c r="D3" s="125">
        <f t="shared" si="0"/>
        <v>474.40665478685099</v>
      </c>
      <c r="E3" s="125">
        <f t="shared" si="0"/>
        <v>501.97479127163615</v>
      </c>
      <c r="F3" s="125">
        <f t="shared" si="0"/>
        <v>513.36943825894105</v>
      </c>
      <c r="G3" s="125">
        <f t="shared" si="0"/>
        <v>532.22320513514615</v>
      </c>
      <c r="H3" s="125">
        <f t="shared" si="0"/>
        <v>514.97041758238709</v>
      </c>
      <c r="I3" s="125">
        <f t="shared" si="0"/>
        <v>497.07836082160532</v>
      </c>
      <c r="J3" s="125">
        <f t="shared" si="0"/>
        <v>537.61404232920768</v>
      </c>
      <c r="K3" s="125">
        <f t="shared" si="0"/>
        <v>537.78622282686524</v>
      </c>
      <c r="L3" s="125">
        <f t="shared" si="0"/>
        <v>573.60895173833978</v>
      </c>
      <c r="M3" s="125">
        <f t="shared" si="0"/>
        <v>559.84597257579776</v>
      </c>
      <c r="N3" s="125">
        <f t="shared" si="0"/>
        <v>530.48219018179259</v>
      </c>
      <c r="O3" s="125">
        <f t="shared" si="0"/>
        <v>511.18833188570045</v>
      </c>
      <c r="P3" s="125">
        <f t="shared" si="0"/>
        <v>458.6564954099469</v>
      </c>
      <c r="Q3" s="125">
        <f t="shared" si="0"/>
        <v>521.44842865029068</v>
      </c>
      <c r="R3" s="125">
        <f t="shared" ref="R3:W3" si="1">SUM(R4,R16,R19,R29)</f>
        <v>540.87086734523427</v>
      </c>
      <c r="S3" s="125">
        <f t="shared" si="1"/>
        <v>580.56347372231551</v>
      </c>
      <c r="T3" s="125">
        <f t="shared" si="1"/>
        <v>598.71632164616256</v>
      </c>
      <c r="U3" s="125">
        <f t="shared" si="1"/>
        <v>603.5129012588485</v>
      </c>
      <c r="V3" s="125">
        <f t="shared" si="1"/>
        <v>543.65196621762948</v>
      </c>
      <c r="W3" s="125">
        <f t="shared" si="1"/>
        <v>629.54886291201365</v>
      </c>
      <c r="X3" s="125">
        <f t="shared" ref="X3:Y3" si="2">SUM(X4,X16,X19,X29)</f>
        <v>592.09529586586541</v>
      </c>
      <c r="Y3" s="125">
        <f t="shared" si="2"/>
        <v>566.70154827020406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272.47638730162015</v>
      </c>
      <c r="C4" s="130">
        <f t="shared" si="3"/>
        <v>328.76250966711933</v>
      </c>
      <c r="D4" s="130">
        <f t="shared" si="3"/>
        <v>343.39429105421817</v>
      </c>
      <c r="E4" s="130">
        <f t="shared" si="3"/>
        <v>358.68182861575968</v>
      </c>
      <c r="F4" s="130">
        <f t="shared" si="3"/>
        <v>368.41210069820988</v>
      </c>
      <c r="G4" s="130">
        <f t="shared" si="3"/>
        <v>380.49826066967927</v>
      </c>
      <c r="H4" s="130">
        <f t="shared" si="3"/>
        <v>354.91489670188423</v>
      </c>
      <c r="I4" s="130">
        <f t="shared" si="3"/>
        <v>327.66309216866506</v>
      </c>
      <c r="J4" s="130">
        <f t="shared" si="3"/>
        <v>360.25787085081703</v>
      </c>
      <c r="K4" s="130">
        <f t="shared" si="3"/>
        <v>353.8978561493978</v>
      </c>
      <c r="L4" s="130">
        <f t="shared" si="3"/>
        <v>386.42367088269464</v>
      </c>
      <c r="M4" s="130">
        <f t="shared" si="3"/>
        <v>370.2016156472643</v>
      </c>
      <c r="N4" s="130">
        <f t="shared" si="3"/>
        <v>330.69207404344445</v>
      </c>
      <c r="O4" s="130">
        <f t="shared" si="3"/>
        <v>316.26763081346087</v>
      </c>
      <c r="P4" s="130">
        <f t="shared" si="3"/>
        <v>261.65322775171427</v>
      </c>
      <c r="Q4" s="130">
        <f t="shared" si="3"/>
        <v>312.91245580484531</v>
      </c>
      <c r="R4" s="130">
        <f t="shared" ref="R4:W4" si="4">SUM(R5:R15)</f>
        <v>334.8563993345449</v>
      </c>
      <c r="S4" s="130">
        <f t="shared" si="4"/>
        <v>367.06971245310814</v>
      </c>
      <c r="T4" s="130">
        <f t="shared" si="4"/>
        <v>387.9403774958285</v>
      </c>
      <c r="U4" s="130">
        <f t="shared" si="4"/>
        <v>388.64397887657037</v>
      </c>
      <c r="V4" s="130">
        <f t="shared" si="4"/>
        <v>354.85928913617153</v>
      </c>
      <c r="W4" s="130">
        <f t="shared" si="4"/>
        <v>417.12924446578637</v>
      </c>
      <c r="X4" s="130">
        <f t="shared" ref="X4:Y4" si="5">SUM(X5:X15)</f>
        <v>377.36804141151634</v>
      </c>
      <c r="Y4" s="130">
        <f t="shared" si="5"/>
        <v>358.36606535967979</v>
      </c>
      <c r="DA4" s="155" t="s">
        <v>214</v>
      </c>
    </row>
    <row r="5" spans="1:105" ht="12" customHeight="1" x14ac:dyDescent="0.25">
      <c r="A5" s="131" t="s">
        <v>29</v>
      </c>
      <c r="B5" s="132">
        <v>3.9842648323301799</v>
      </c>
      <c r="C5" s="132">
        <v>3.0006878761822868</v>
      </c>
      <c r="D5" s="132">
        <v>3.9903697334479791</v>
      </c>
      <c r="E5" s="132">
        <v>4.9386070507308668</v>
      </c>
      <c r="F5" s="132">
        <v>2.2110920034393811</v>
      </c>
      <c r="G5" s="132">
        <v>0.32674118658641432</v>
      </c>
      <c r="H5" s="132">
        <v>1.911435941530524</v>
      </c>
      <c r="I5" s="132">
        <v>1.021066208082545</v>
      </c>
      <c r="J5" s="132">
        <v>1.7153912295786768</v>
      </c>
      <c r="K5" s="132">
        <v>1.6337059329320718</v>
      </c>
      <c r="L5" s="132">
        <v>0.99183147033533969</v>
      </c>
      <c r="M5" s="132">
        <v>2.0812553740326729</v>
      </c>
      <c r="N5" s="132">
        <v>2.0042132416165104</v>
      </c>
      <c r="O5" s="132">
        <v>0.18374892519346525</v>
      </c>
      <c r="P5" s="132">
        <v>7.5752364574376618E-2</v>
      </c>
      <c r="Q5" s="132">
        <v>3.817712811693897E-2</v>
      </c>
      <c r="R5" s="132">
        <v>4.0326741186586391E-2</v>
      </c>
      <c r="S5" s="132">
        <v>0.12252794496990542</v>
      </c>
      <c r="T5" s="132">
        <v>4.0842648323301783E-2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276</v>
      </c>
    </row>
    <row r="7" spans="1:105" ht="12" customHeight="1" x14ac:dyDescent="0.25">
      <c r="A7" s="131" t="s">
        <v>161</v>
      </c>
      <c r="B7" s="132">
        <v>118.61358225000934</v>
      </c>
      <c r="C7" s="132">
        <v>129.30184767674498</v>
      </c>
      <c r="D7" s="132">
        <v>145.80624847320976</v>
      </c>
      <c r="E7" s="132">
        <v>146.41336911712963</v>
      </c>
      <c r="F7" s="132">
        <v>143.64011100066847</v>
      </c>
      <c r="G7" s="132">
        <v>128.60574785869403</v>
      </c>
      <c r="H7" s="132">
        <v>108.81275124526454</v>
      </c>
      <c r="I7" s="132">
        <v>86.135734788356331</v>
      </c>
      <c r="J7" s="132">
        <v>79.907567901907967</v>
      </c>
      <c r="K7" s="132">
        <v>75.463782198417476</v>
      </c>
      <c r="L7" s="132">
        <v>71.064673379400688</v>
      </c>
      <c r="M7" s="132">
        <v>64.353032423569402</v>
      </c>
      <c r="N7" s="132">
        <v>49.948606234845755</v>
      </c>
      <c r="O7" s="132">
        <v>40.448629760233324</v>
      </c>
      <c r="P7" s="132">
        <v>29.986489262208938</v>
      </c>
      <c r="Q7" s="132">
        <v>39.618024761944248</v>
      </c>
      <c r="R7" s="132">
        <v>37.922645701147161</v>
      </c>
      <c r="S7" s="132">
        <v>36.571770608500046</v>
      </c>
      <c r="T7" s="132">
        <v>29.765920203783235</v>
      </c>
      <c r="U7" s="132">
        <v>19.499091435447959</v>
      </c>
      <c r="V7" s="132">
        <v>19.34529146631014</v>
      </c>
      <c r="W7" s="132">
        <v>16.253952189216474</v>
      </c>
      <c r="X7" s="132">
        <v>19.680740644418787</v>
      </c>
      <c r="Y7" s="132">
        <v>19.12348298009702</v>
      </c>
      <c r="DA7" s="156" t="s">
        <v>277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278</v>
      </c>
    </row>
    <row r="9" spans="1:105" ht="12" customHeight="1" x14ac:dyDescent="0.25">
      <c r="A9" s="131" t="s">
        <v>78</v>
      </c>
      <c r="B9" s="132">
        <v>54.994577520791552</v>
      </c>
      <c r="C9" s="132">
        <v>81.93770034489846</v>
      </c>
      <c r="D9" s="132">
        <v>73.206665783095943</v>
      </c>
      <c r="E9" s="132">
        <v>78.745990884899129</v>
      </c>
      <c r="F9" s="132">
        <v>83.801808510168499</v>
      </c>
      <c r="G9" s="132">
        <v>93.039159026472177</v>
      </c>
      <c r="H9" s="132">
        <v>89.710988869542348</v>
      </c>
      <c r="I9" s="132">
        <v>86.415523994562037</v>
      </c>
      <c r="J9" s="132">
        <v>95.94503313742895</v>
      </c>
      <c r="K9" s="132">
        <v>98.717089389856994</v>
      </c>
      <c r="L9" s="132">
        <v>122.16188153097168</v>
      </c>
      <c r="M9" s="132">
        <v>105.40890808437346</v>
      </c>
      <c r="N9" s="132">
        <v>94.5736302365097</v>
      </c>
      <c r="O9" s="132">
        <v>97.308124678519633</v>
      </c>
      <c r="P9" s="132">
        <v>92.231246275456002</v>
      </c>
      <c r="Q9" s="132">
        <v>126.39387230726493</v>
      </c>
      <c r="R9" s="132">
        <v>135.87240873852161</v>
      </c>
      <c r="S9" s="132">
        <v>143.81292943451953</v>
      </c>
      <c r="T9" s="132">
        <v>152.90514991157903</v>
      </c>
      <c r="U9" s="132">
        <v>159.5166073164263</v>
      </c>
      <c r="V9" s="132">
        <v>150.77846573714052</v>
      </c>
      <c r="W9" s="132">
        <v>182.48495867417029</v>
      </c>
      <c r="X9" s="132">
        <v>140.76098846606175</v>
      </c>
      <c r="Y9" s="132">
        <v>122.63947654550402</v>
      </c>
      <c r="DA9" s="156" t="s">
        <v>279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2.1496130696474642</v>
      </c>
      <c r="J10" s="132">
        <v>1.9346517626827184</v>
      </c>
      <c r="K10" s="132">
        <v>2.6750644883920898</v>
      </c>
      <c r="L10" s="132">
        <v>2.3645743766122118</v>
      </c>
      <c r="M10" s="132">
        <v>3.1049871023215823</v>
      </c>
      <c r="N10" s="132">
        <v>2.6368946523284968</v>
      </c>
      <c r="O10" s="132">
        <v>2.6990954741663127</v>
      </c>
      <c r="P10" s="132">
        <v>3.5827171109200378</v>
      </c>
      <c r="Q10" s="132">
        <v>4.7291487532244174</v>
      </c>
      <c r="R10" s="132">
        <v>6.2099742046431556</v>
      </c>
      <c r="S10" s="132">
        <v>7.5595012897678435</v>
      </c>
      <c r="T10" s="132">
        <v>9.0804815133275998</v>
      </c>
      <c r="U10" s="132">
        <v>11.17532244196045</v>
      </c>
      <c r="V10" s="132">
        <v>12.384608770421316</v>
      </c>
      <c r="W10" s="132">
        <v>12.2963026655202</v>
      </c>
      <c r="X10" s="132">
        <v>12.872484952708517</v>
      </c>
      <c r="Y10" s="132">
        <v>12.292949269131562</v>
      </c>
      <c r="DA10" s="156" t="s">
        <v>280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3.3438521066208073</v>
      </c>
      <c r="J11" s="132">
        <v>3.2005159071367144</v>
      </c>
      <c r="K11" s="132">
        <v>3.1527944969905422</v>
      </c>
      <c r="L11" s="132">
        <v>6.8071367153912297</v>
      </c>
      <c r="M11" s="132">
        <v>6.8548581255374073</v>
      </c>
      <c r="N11" s="132">
        <v>6.9503869303525327</v>
      </c>
      <c r="O11" s="132">
        <v>6.8309544282029293</v>
      </c>
      <c r="P11" s="132">
        <v>3.7021496130696465</v>
      </c>
      <c r="Q11" s="132">
        <v>4.8724849527085121</v>
      </c>
      <c r="R11" s="132">
        <v>4.991917454858128</v>
      </c>
      <c r="S11" s="132">
        <v>4.4592433361994797</v>
      </c>
      <c r="T11" s="132">
        <v>4.1033533963886484</v>
      </c>
      <c r="U11" s="132">
        <v>3.8859845227858982</v>
      </c>
      <c r="V11" s="132">
        <v>3.7642304385210674</v>
      </c>
      <c r="W11" s="132">
        <v>3.296044711951847</v>
      </c>
      <c r="X11" s="132">
        <v>2.5866723989681843</v>
      </c>
      <c r="Y11" s="132">
        <v>2.1161650902837494</v>
      </c>
      <c r="DA11" s="156" t="s">
        <v>281</v>
      </c>
    </row>
    <row r="12" spans="1:105" ht="12" customHeight="1" x14ac:dyDescent="0.25">
      <c r="A12" s="131" t="s">
        <v>162</v>
      </c>
      <c r="B12" s="132">
        <v>47.815948440249755</v>
      </c>
      <c r="C12" s="132">
        <v>53.985790450716785</v>
      </c>
      <c r="D12" s="132">
        <v>52.565822094139932</v>
      </c>
      <c r="E12" s="132">
        <v>59.464956193266538</v>
      </c>
      <c r="F12" s="132">
        <v>57.60610030575949</v>
      </c>
      <c r="G12" s="132">
        <v>61.33478192505352</v>
      </c>
      <c r="H12" s="132">
        <v>51.987411930743896</v>
      </c>
      <c r="I12" s="132">
        <v>48.372990192149125</v>
      </c>
      <c r="J12" s="132">
        <v>52.704451750195695</v>
      </c>
      <c r="K12" s="132">
        <v>52.187113889182228</v>
      </c>
      <c r="L12" s="132">
        <v>61.23192311572636</v>
      </c>
      <c r="M12" s="132">
        <v>61.385068216170794</v>
      </c>
      <c r="N12" s="132">
        <v>57.527276341799777</v>
      </c>
      <c r="O12" s="132">
        <v>58.576020515090306</v>
      </c>
      <c r="P12" s="132">
        <v>42.948073398909791</v>
      </c>
      <c r="Q12" s="132">
        <v>47.762841547406275</v>
      </c>
      <c r="R12" s="132">
        <v>49.893691230744707</v>
      </c>
      <c r="S12" s="132">
        <v>47.961693241278695</v>
      </c>
      <c r="T12" s="132">
        <v>44.411570294837603</v>
      </c>
      <c r="U12" s="132">
        <v>43.254092161196283</v>
      </c>
      <c r="V12" s="132">
        <v>47.113530684039631</v>
      </c>
      <c r="W12" s="132">
        <v>55.298158089077788</v>
      </c>
      <c r="X12" s="132">
        <v>36.198885419116706</v>
      </c>
      <c r="Y12" s="132">
        <v>44.262269155732461</v>
      </c>
      <c r="DA12" s="156" t="s">
        <v>282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283</v>
      </c>
    </row>
    <row r="14" spans="1:105" ht="12" customHeight="1" x14ac:dyDescent="0.25">
      <c r="A14" s="60" t="s">
        <v>76</v>
      </c>
      <c r="B14" s="65">
        <v>45.31054188932206</v>
      </c>
      <c r="C14" s="65">
        <v>58.432870547130108</v>
      </c>
      <c r="D14" s="65">
        <v>65.682003878158369</v>
      </c>
      <c r="E14" s="65">
        <v>66.906596884011662</v>
      </c>
      <c r="F14" s="65">
        <v>78.959393507189148</v>
      </c>
      <c r="G14" s="65">
        <v>95.056253532101849</v>
      </c>
      <c r="H14" s="65">
        <v>100.5928044123434</v>
      </c>
      <c r="I14" s="65">
        <v>98.548392746278935</v>
      </c>
      <c r="J14" s="65">
        <v>123.13133562245923</v>
      </c>
      <c r="K14" s="65">
        <v>118.36443503577796</v>
      </c>
      <c r="L14" s="65">
        <v>119.88189072934284</v>
      </c>
      <c r="M14" s="65">
        <v>125.28576901742677</v>
      </c>
      <c r="N14" s="65">
        <v>115.53996179088426</v>
      </c>
      <c r="O14" s="65">
        <v>108.74447946537244</v>
      </c>
      <c r="P14" s="65">
        <v>87.830412489721056</v>
      </c>
      <c r="Q14" s="65">
        <v>87.735284291018957</v>
      </c>
      <c r="R14" s="65">
        <v>98.048518038230654</v>
      </c>
      <c r="S14" s="65">
        <v>124.61391455145277</v>
      </c>
      <c r="T14" s="65">
        <v>145.61390346319345</v>
      </c>
      <c r="U14" s="65">
        <v>149.28346869169746</v>
      </c>
      <c r="V14" s="65">
        <v>119.48542414258044</v>
      </c>
      <c r="W14" s="65">
        <v>145.15166782126863</v>
      </c>
      <c r="X14" s="65">
        <v>163.37541014977663</v>
      </c>
      <c r="Y14" s="65">
        <v>156.19578408933191</v>
      </c>
      <c r="DA14" s="109" t="s">
        <v>284</v>
      </c>
    </row>
    <row r="15" spans="1:105" ht="12" customHeight="1" x14ac:dyDescent="0.25">
      <c r="A15" s="133" t="s">
        <v>80</v>
      </c>
      <c r="B15" s="134">
        <v>1.7574723689172407</v>
      </c>
      <c r="C15" s="134">
        <v>2.1036127714467021</v>
      </c>
      <c r="D15" s="134">
        <v>2.143181092166154</v>
      </c>
      <c r="E15" s="134">
        <v>2.2123084857218474</v>
      </c>
      <c r="F15" s="134">
        <v>2.1935953709849407</v>
      </c>
      <c r="G15" s="134">
        <v>2.1355771407713289</v>
      </c>
      <c r="H15" s="134">
        <v>1.8995043024595499</v>
      </c>
      <c r="I15" s="134">
        <v>1.6759190629677885</v>
      </c>
      <c r="J15" s="134">
        <v>1.7189235394270408</v>
      </c>
      <c r="K15" s="134">
        <v>1.7038707178483987</v>
      </c>
      <c r="L15" s="134">
        <v>1.9197595649142978</v>
      </c>
      <c r="M15" s="134">
        <v>1.7277373038321877</v>
      </c>
      <c r="N15" s="134">
        <v>1.511104615107471</v>
      </c>
      <c r="O15" s="134">
        <v>1.4765775666824499</v>
      </c>
      <c r="P15" s="134">
        <v>1.2963872368544149</v>
      </c>
      <c r="Q15" s="134">
        <v>1.7626220631610028</v>
      </c>
      <c r="R15" s="134">
        <v>1.8769172252128687</v>
      </c>
      <c r="S15" s="134">
        <v>1.9681320464198859</v>
      </c>
      <c r="T15" s="134">
        <v>2.0191560643956357</v>
      </c>
      <c r="U15" s="134">
        <v>2.0294123070560057</v>
      </c>
      <c r="V15" s="134">
        <v>1.9877378971584345</v>
      </c>
      <c r="W15" s="134">
        <v>2.3481603145811345</v>
      </c>
      <c r="X15" s="134">
        <v>1.8928593804658633</v>
      </c>
      <c r="Y15" s="134">
        <v>1.735938229599068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6.6908759206679429</v>
      </c>
      <c r="C16" s="130">
        <f t="shared" si="6"/>
        <v>6.6945003390864724</v>
      </c>
      <c r="D16" s="130">
        <f t="shared" si="6"/>
        <v>6.963028017426824</v>
      </c>
      <c r="E16" s="130">
        <f t="shared" si="6"/>
        <v>14.429389398053109</v>
      </c>
      <c r="F16" s="130">
        <f t="shared" si="6"/>
        <v>8.0375902650116249</v>
      </c>
      <c r="G16" s="130">
        <f t="shared" si="6"/>
        <v>8.7744622938441612</v>
      </c>
      <c r="H16" s="130">
        <f t="shared" si="6"/>
        <v>10.915937420651618</v>
      </c>
      <c r="I16" s="130">
        <f t="shared" si="6"/>
        <v>12.691831252773801</v>
      </c>
      <c r="J16" s="130">
        <f t="shared" si="6"/>
        <v>13.205604602943824</v>
      </c>
      <c r="K16" s="130">
        <f t="shared" si="6"/>
        <v>13.424897092500633</v>
      </c>
      <c r="L16" s="130">
        <f t="shared" si="6"/>
        <v>14.130153993469001</v>
      </c>
      <c r="M16" s="130">
        <f t="shared" si="6"/>
        <v>15.578456042868797</v>
      </c>
      <c r="N16" s="130">
        <f t="shared" si="6"/>
        <v>22.724442784227129</v>
      </c>
      <c r="O16" s="130">
        <f t="shared" si="6"/>
        <v>15.104137748688411</v>
      </c>
      <c r="P16" s="130">
        <f t="shared" si="6"/>
        <v>12.324841301607615</v>
      </c>
      <c r="Q16" s="130">
        <f t="shared" si="6"/>
        <v>20.001014899238264</v>
      </c>
      <c r="R16" s="130">
        <f t="shared" ref="R16:W16" si="7">SUM(R17:R18)</f>
        <v>13.46926797171127</v>
      </c>
      <c r="S16" s="130">
        <f t="shared" si="7"/>
        <v>18.94494204903971</v>
      </c>
      <c r="T16" s="130">
        <f t="shared" si="7"/>
        <v>14.027333118018026</v>
      </c>
      <c r="U16" s="130">
        <f t="shared" si="7"/>
        <v>16.711804453272112</v>
      </c>
      <c r="V16" s="130">
        <f t="shared" si="7"/>
        <v>12.908318088499124</v>
      </c>
      <c r="W16" s="130">
        <f t="shared" si="7"/>
        <v>16.975555555108286</v>
      </c>
      <c r="X16" s="130">
        <f t="shared" ref="X16:Y16" si="8">SUM(X17:X18)</f>
        <v>17.756489753589168</v>
      </c>
      <c r="Y16" s="130">
        <f t="shared" si="8"/>
        <v>15.373083236961895</v>
      </c>
      <c r="DA16" s="155" t="s">
        <v>215</v>
      </c>
    </row>
    <row r="17" spans="1:105" ht="12.95" customHeight="1" x14ac:dyDescent="0.25">
      <c r="A17" s="131" t="s">
        <v>73</v>
      </c>
      <c r="B17" s="132">
        <v>1.1693903743327872E-2</v>
      </c>
      <c r="C17" s="132">
        <v>1.1798658520931536E-2</v>
      </c>
      <c r="D17" s="132">
        <v>1.4039719250034773E-2</v>
      </c>
      <c r="E17" s="132">
        <v>3.3092519890230709E-2</v>
      </c>
      <c r="F17" s="132">
        <v>2.0084092361353553E-2</v>
      </c>
      <c r="G17" s="132">
        <v>2.354553324264513E-2</v>
      </c>
      <c r="H17" s="132">
        <v>3.1193947948591975E-2</v>
      </c>
      <c r="I17" s="132">
        <v>4.5857474360364241E-2</v>
      </c>
      <c r="J17" s="132">
        <v>4.5458906338338372E-2</v>
      </c>
      <c r="K17" s="132">
        <v>4.0159030306028222E-2</v>
      </c>
      <c r="L17" s="132">
        <v>4.6945905466280843E-2</v>
      </c>
      <c r="M17" s="132">
        <v>5.6756751046126618E-2</v>
      </c>
      <c r="N17" s="132">
        <v>7.983160686035215E-2</v>
      </c>
      <c r="O17" s="132">
        <v>7.1088123766403499E-2</v>
      </c>
      <c r="P17" s="132">
        <v>5.8556812868720762E-2</v>
      </c>
      <c r="Q17" s="132">
        <v>0.14491528198952755</v>
      </c>
      <c r="R17" s="132">
        <v>0.11244303361937434</v>
      </c>
      <c r="S17" s="132">
        <v>0.1956291159087177</v>
      </c>
      <c r="T17" s="132">
        <v>0.18179715916613048</v>
      </c>
      <c r="U17" s="132">
        <v>0.24746363942252672</v>
      </c>
      <c r="V17" s="132">
        <v>0.19015468026414689</v>
      </c>
      <c r="W17" s="132">
        <v>0.26478994712232229</v>
      </c>
      <c r="X17" s="132">
        <v>0.36838019972003327</v>
      </c>
      <c r="Y17" s="132">
        <v>0.38031050010807121</v>
      </c>
      <c r="DA17" s="156" t="s">
        <v>286</v>
      </c>
    </row>
    <row r="18" spans="1:105" ht="12" customHeight="1" x14ac:dyDescent="0.25">
      <c r="A18" s="131" t="s">
        <v>72</v>
      </c>
      <c r="B18" s="132">
        <v>6.6791820169246154</v>
      </c>
      <c r="C18" s="132">
        <v>6.6827016805655406</v>
      </c>
      <c r="D18" s="132">
        <v>6.948988298176789</v>
      </c>
      <c r="E18" s="132">
        <v>14.396296878162879</v>
      </c>
      <c r="F18" s="132">
        <v>8.0175061726502719</v>
      </c>
      <c r="G18" s="132">
        <v>8.7509167606015161</v>
      </c>
      <c r="H18" s="132">
        <v>10.884743472703025</v>
      </c>
      <c r="I18" s="132">
        <v>12.645973778413437</v>
      </c>
      <c r="J18" s="132">
        <v>13.160145696605486</v>
      </c>
      <c r="K18" s="132">
        <v>13.384738062194604</v>
      </c>
      <c r="L18" s="132">
        <v>14.083208088002721</v>
      </c>
      <c r="M18" s="132">
        <v>15.521699291822671</v>
      </c>
      <c r="N18" s="132">
        <v>22.644611177366777</v>
      </c>
      <c r="O18" s="132">
        <v>15.033049624922008</v>
      </c>
      <c r="P18" s="132">
        <v>12.266284488738894</v>
      </c>
      <c r="Q18" s="132">
        <v>19.856099617248738</v>
      </c>
      <c r="R18" s="132">
        <v>13.356824938091895</v>
      </c>
      <c r="S18" s="132">
        <v>18.749312933130991</v>
      </c>
      <c r="T18" s="132">
        <v>13.845535958851896</v>
      </c>
      <c r="U18" s="132">
        <v>16.464340813849585</v>
      </c>
      <c r="V18" s="132">
        <v>12.718163408234977</v>
      </c>
      <c r="W18" s="132">
        <v>16.710765607985962</v>
      </c>
      <c r="X18" s="132">
        <v>17.388109553869135</v>
      </c>
      <c r="Y18" s="132">
        <v>14.992772736853823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56.559746971147966</v>
      </c>
      <c r="C19" s="130">
        <f t="shared" si="9"/>
        <v>59.455683274122642</v>
      </c>
      <c r="D19" s="130">
        <f t="shared" si="9"/>
        <v>62.965522131836877</v>
      </c>
      <c r="E19" s="130">
        <f t="shared" si="9"/>
        <v>65.990783406336234</v>
      </c>
      <c r="F19" s="130">
        <f t="shared" si="9"/>
        <v>70.230304504165716</v>
      </c>
      <c r="G19" s="130">
        <f t="shared" si="9"/>
        <v>73.300255131468489</v>
      </c>
      <c r="H19" s="130">
        <f t="shared" si="9"/>
        <v>75.020326761679513</v>
      </c>
      <c r="I19" s="130">
        <f t="shared" si="9"/>
        <v>77.993944698463906</v>
      </c>
      <c r="J19" s="130">
        <f t="shared" si="9"/>
        <v>80.926842063502818</v>
      </c>
      <c r="K19" s="130">
        <f t="shared" si="9"/>
        <v>82.202431441378479</v>
      </c>
      <c r="L19" s="130">
        <f t="shared" si="9"/>
        <v>82.984175112591998</v>
      </c>
      <c r="M19" s="130">
        <f t="shared" si="9"/>
        <v>83.198334876624784</v>
      </c>
      <c r="N19" s="130">
        <f t="shared" si="9"/>
        <v>83.843911012373397</v>
      </c>
      <c r="O19" s="130">
        <f t="shared" si="9"/>
        <v>84.828154550689533</v>
      </c>
      <c r="P19" s="130">
        <f t="shared" si="9"/>
        <v>85.67380388836294</v>
      </c>
      <c r="Q19" s="130">
        <f t="shared" si="9"/>
        <v>86.77653444998829</v>
      </c>
      <c r="R19" s="130">
        <f t="shared" ref="R19:W19" si="10">SUM(R20:R27)</f>
        <v>86.952079908930912</v>
      </c>
      <c r="S19" s="130">
        <f t="shared" si="10"/>
        <v>86.741969098622661</v>
      </c>
      <c r="T19" s="130">
        <f t="shared" si="10"/>
        <v>86.441647763464374</v>
      </c>
      <c r="U19" s="130">
        <f t="shared" si="10"/>
        <v>85.740990340652672</v>
      </c>
      <c r="V19" s="130">
        <f t="shared" si="10"/>
        <v>79.008176764377467</v>
      </c>
      <c r="W19" s="130">
        <f t="shared" si="10"/>
        <v>82.382434778286097</v>
      </c>
      <c r="X19" s="130">
        <f t="shared" ref="X19:Y19" si="11">SUM(X20:X27)</f>
        <v>82.353637606614711</v>
      </c>
      <c r="Y19" s="130">
        <f t="shared" si="11"/>
        <v>79.998119897325097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1.7441275269832992</v>
      </c>
      <c r="C21" s="132">
        <v>2.2174026274596765</v>
      </c>
      <c r="D21" s="132">
        <v>2.5385153806141099</v>
      </c>
      <c r="E21" s="132">
        <v>2.7344037140827244</v>
      </c>
      <c r="F21" s="132">
        <v>3.0089753249062472</v>
      </c>
      <c r="G21" s="132">
        <v>3.1355843919179804</v>
      </c>
      <c r="H21" s="132">
        <v>3.3353073516963025</v>
      </c>
      <c r="I21" s="132">
        <v>3.4938511342220995</v>
      </c>
      <c r="J21" s="132">
        <v>3.8281895841316955</v>
      </c>
      <c r="K21" s="132">
        <v>4.2431976493550057</v>
      </c>
      <c r="L21" s="132">
        <v>4.3917282447150505</v>
      </c>
      <c r="M21" s="132">
        <v>4.4911362521388476</v>
      </c>
      <c r="N21" s="132">
        <v>4.571318358562583</v>
      </c>
      <c r="O21" s="132">
        <v>4.668487167525825</v>
      </c>
      <c r="P21" s="132">
        <v>4.7185802956976168</v>
      </c>
      <c r="Q21" s="132">
        <v>4.7669343516650162</v>
      </c>
      <c r="R21" s="132">
        <v>4.6759047635322064</v>
      </c>
      <c r="S21" s="132">
        <v>4.3611669823917181</v>
      </c>
      <c r="T21" s="132">
        <v>4.126721895248596</v>
      </c>
      <c r="U21" s="132">
        <v>3.7571943835801269</v>
      </c>
      <c r="V21" s="132">
        <v>3.038884161589634</v>
      </c>
      <c r="W21" s="132">
        <v>3.2083118532915003</v>
      </c>
      <c r="X21" s="132">
        <v>3.0320367476054919</v>
      </c>
      <c r="Y21" s="132">
        <v>2.342119871264118</v>
      </c>
      <c r="DA21" s="156" t="s">
        <v>289</v>
      </c>
    </row>
    <row r="22" spans="1:105" ht="12" customHeight="1" x14ac:dyDescent="0.25">
      <c r="A22" s="131" t="s">
        <v>161</v>
      </c>
      <c r="B22" s="132">
        <v>7.6595045943586673</v>
      </c>
      <c r="C22" s="132">
        <v>8.1372752811225713</v>
      </c>
      <c r="D22" s="132">
        <v>8.6436225500059471</v>
      </c>
      <c r="E22" s="132">
        <v>9.1670264116751383</v>
      </c>
      <c r="F22" s="132">
        <v>9.6244633759435736</v>
      </c>
      <c r="G22" s="132">
        <v>10.377313190317109</v>
      </c>
      <c r="H22" s="132">
        <v>10.801952108131808</v>
      </c>
      <c r="I22" s="132">
        <v>11.574239416286852</v>
      </c>
      <c r="J22" s="132">
        <v>11.940927368943244</v>
      </c>
      <c r="K22" s="132">
        <v>12.210336460224028</v>
      </c>
      <c r="L22" s="132">
        <v>12.143065227649998</v>
      </c>
      <c r="M22" s="132">
        <v>11.297526475828665</v>
      </c>
      <c r="N22" s="132">
        <v>10.706251890691686</v>
      </c>
      <c r="O22" s="132">
        <v>10.225832836499233</v>
      </c>
      <c r="P22" s="132">
        <v>9.6323413482811624</v>
      </c>
      <c r="Q22" s="132">
        <v>9.1818032690102207</v>
      </c>
      <c r="R22" s="132">
        <v>8.8920576522492532</v>
      </c>
      <c r="S22" s="132">
        <v>8.5750049718954688</v>
      </c>
      <c r="T22" s="132">
        <v>8.1822311289768859</v>
      </c>
      <c r="U22" s="132">
        <v>8.0328088225056149</v>
      </c>
      <c r="V22" s="132">
        <v>6.7695838561318373</v>
      </c>
      <c r="W22" s="132">
        <v>6.9025396422538501</v>
      </c>
      <c r="X22" s="132">
        <v>5.5159919437153624</v>
      </c>
      <c r="Y22" s="132">
        <v>4.5430690405392484</v>
      </c>
      <c r="DA22" s="156" t="s">
        <v>290</v>
      </c>
    </row>
    <row r="23" spans="1:105" ht="12" customHeight="1" x14ac:dyDescent="0.25">
      <c r="A23" s="131" t="s">
        <v>149</v>
      </c>
      <c r="B23" s="132">
        <v>18.690278350776353</v>
      </c>
      <c r="C23" s="132">
        <v>19.898904275124242</v>
      </c>
      <c r="D23" s="132">
        <v>21.355679525289027</v>
      </c>
      <c r="E23" s="132">
        <v>22.193960518105673</v>
      </c>
      <c r="F23" s="132">
        <v>23.323483973215364</v>
      </c>
      <c r="G23" s="132">
        <v>24.30095936153991</v>
      </c>
      <c r="H23" s="132">
        <v>24.348380933382792</v>
      </c>
      <c r="I23" s="132">
        <v>24.393849075765218</v>
      </c>
      <c r="J23" s="132">
        <v>25.515640452579124</v>
      </c>
      <c r="K23" s="132">
        <v>25.717383461967685</v>
      </c>
      <c r="L23" s="132">
        <v>26.185461889112389</v>
      </c>
      <c r="M23" s="132">
        <v>26.603183260249033</v>
      </c>
      <c r="N23" s="132">
        <v>27.153448891212722</v>
      </c>
      <c r="O23" s="132">
        <v>27.976137000206325</v>
      </c>
      <c r="P23" s="132">
        <v>29.145063715016235</v>
      </c>
      <c r="Q23" s="132">
        <v>30.866729603555733</v>
      </c>
      <c r="R23" s="132">
        <v>32.575399955724976</v>
      </c>
      <c r="S23" s="132">
        <v>34.04711251937065</v>
      </c>
      <c r="T23" s="132">
        <v>34.905774370305231</v>
      </c>
      <c r="U23" s="132">
        <v>35.205450886466451</v>
      </c>
      <c r="V23" s="132">
        <v>32.414309752524623</v>
      </c>
      <c r="W23" s="132">
        <v>35.773518030197586</v>
      </c>
      <c r="X23" s="132">
        <v>30.25864117087756</v>
      </c>
      <c r="Y23" s="132">
        <v>27.391090945509546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11.653011147024532</v>
      </c>
      <c r="C25" s="132">
        <v>11.566144201045898</v>
      </c>
      <c r="D25" s="132">
        <v>11.692561396831694</v>
      </c>
      <c r="E25" s="132">
        <v>11.567545956346517</v>
      </c>
      <c r="F25" s="132">
        <v>11.728895395014376</v>
      </c>
      <c r="G25" s="132">
        <v>11.928674652762487</v>
      </c>
      <c r="H25" s="132">
        <v>11.742596667708385</v>
      </c>
      <c r="I25" s="132">
        <v>11.637241966062389</v>
      </c>
      <c r="J25" s="132">
        <v>11.738798464765607</v>
      </c>
      <c r="K25" s="132">
        <v>11.593711562236519</v>
      </c>
      <c r="L25" s="132">
        <v>11.666357193817916</v>
      </c>
      <c r="M25" s="132">
        <v>11.806247347027782</v>
      </c>
      <c r="N25" s="132">
        <v>11.958450227417767</v>
      </c>
      <c r="O25" s="132">
        <v>12.182191006835824</v>
      </c>
      <c r="P25" s="132">
        <v>12.353732276068683</v>
      </c>
      <c r="Q25" s="132">
        <v>12.440855787073499</v>
      </c>
      <c r="R25" s="132">
        <v>12.466411950682646</v>
      </c>
      <c r="S25" s="132">
        <v>12.620765916072999</v>
      </c>
      <c r="T25" s="132">
        <v>12.661774503098805</v>
      </c>
      <c r="U25" s="132">
        <v>12.669983505183771</v>
      </c>
      <c r="V25" s="132">
        <v>12.210974904954309</v>
      </c>
      <c r="W25" s="132">
        <v>12.856528067413993</v>
      </c>
      <c r="X25" s="132">
        <v>11.563109421811907</v>
      </c>
      <c r="Y25" s="132">
        <v>12.153122073846204</v>
      </c>
      <c r="DA25" s="156" t="s">
        <v>293</v>
      </c>
    </row>
    <row r="26" spans="1:105" ht="12" customHeight="1" x14ac:dyDescent="0.25">
      <c r="A26" s="131" t="s">
        <v>24</v>
      </c>
      <c r="B26" s="65">
        <v>16.478431542890753</v>
      </c>
      <c r="C26" s="65">
        <v>17.277659382921417</v>
      </c>
      <c r="D26" s="65">
        <v>18.305220665166605</v>
      </c>
      <c r="E26" s="65">
        <v>19.826299084716023</v>
      </c>
      <c r="F26" s="65">
        <v>21.947409908860884</v>
      </c>
      <c r="G26" s="65">
        <v>22.865032219367805</v>
      </c>
      <c r="H26" s="65">
        <v>23.980051867570197</v>
      </c>
      <c r="I26" s="65">
        <v>25.939389073453228</v>
      </c>
      <c r="J26" s="65">
        <v>26.709047156109804</v>
      </c>
      <c r="K26" s="65">
        <v>27.052505660991631</v>
      </c>
      <c r="L26" s="65">
        <v>27.045026013874459</v>
      </c>
      <c r="M26" s="65">
        <v>27.185022280847367</v>
      </c>
      <c r="N26" s="65">
        <v>27.304828574841178</v>
      </c>
      <c r="O26" s="65">
        <v>27.315403358194992</v>
      </c>
      <c r="P26" s="65">
        <v>27.029589262757533</v>
      </c>
      <c r="Q26" s="65">
        <v>26.415224336362229</v>
      </c>
      <c r="R26" s="65">
        <v>24.8790209779714</v>
      </c>
      <c r="S26" s="65">
        <v>23.280567032193638</v>
      </c>
      <c r="T26" s="65">
        <v>22.385352228689541</v>
      </c>
      <c r="U26" s="65">
        <v>21.441932794507423</v>
      </c>
      <c r="V26" s="65">
        <v>19.670898723742845</v>
      </c>
      <c r="W26" s="65">
        <v>18.520642946092192</v>
      </c>
      <c r="X26" s="65">
        <v>27.166317479956057</v>
      </c>
      <c r="Y26" s="65">
        <v>28.634152188006055</v>
      </c>
      <c r="DA26" s="109" t="s">
        <v>294</v>
      </c>
    </row>
    <row r="27" spans="1:105" ht="12" customHeight="1" x14ac:dyDescent="0.25">
      <c r="A27" s="144" t="s">
        <v>26</v>
      </c>
      <c r="B27" s="145">
        <v>0.3343938091143594</v>
      </c>
      <c r="C27" s="145">
        <v>0.35829750644883918</v>
      </c>
      <c r="D27" s="145">
        <v>0.42992261392949266</v>
      </c>
      <c r="E27" s="145">
        <v>0.50154772141014603</v>
      </c>
      <c r="F27" s="145">
        <v>0.59707652622527929</v>
      </c>
      <c r="G27" s="145">
        <v>0.69269131556319874</v>
      </c>
      <c r="H27" s="145">
        <v>0.81203783319002609</v>
      </c>
      <c r="I27" s="145">
        <v>0.95537403267411847</v>
      </c>
      <c r="J27" s="145">
        <v>1.1942390369733453</v>
      </c>
      <c r="K27" s="145">
        <v>1.3852966466036114</v>
      </c>
      <c r="L27" s="145">
        <v>1.5525365434221849</v>
      </c>
      <c r="M27" s="145">
        <v>1.8152192605331043</v>
      </c>
      <c r="N27" s="145">
        <v>2.1496130696474625</v>
      </c>
      <c r="O27" s="145">
        <v>2.4601031814273413</v>
      </c>
      <c r="P27" s="145">
        <v>2.7944969905417016</v>
      </c>
      <c r="Q27" s="145">
        <v>3.1049871023215814</v>
      </c>
      <c r="R27" s="145">
        <v>3.4632846087704223</v>
      </c>
      <c r="S27" s="145">
        <v>3.8573516766981899</v>
      </c>
      <c r="T27" s="145">
        <v>4.179793637145309</v>
      </c>
      <c r="U27" s="145">
        <v>4.6336199484092866</v>
      </c>
      <c r="V27" s="145">
        <v>4.9035253654342252</v>
      </c>
      <c r="W27" s="145">
        <v>5.1208942390369767</v>
      </c>
      <c r="X27" s="145">
        <v>4.8175408426483228</v>
      </c>
      <c r="Y27" s="145">
        <v>4.9345657781599277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53.79465626996307</v>
      </c>
      <c r="C29" s="130">
        <f t="shared" si="12"/>
        <v>58.426111537727415</v>
      </c>
      <c r="D29" s="130">
        <f t="shared" si="12"/>
        <v>61.083813583369121</v>
      </c>
      <c r="E29" s="130">
        <f t="shared" si="12"/>
        <v>62.87278985148717</v>
      </c>
      <c r="F29" s="130">
        <f t="shared" si="12"/>
        <v>66.689442791553859</v>
      </c>
      <c r="G29" s="130">
        <f t="shared" si="12"/>
        <v>69.650227040154178</v>
      </c>
      <c r="H29" s="130">
        <f t="shared" si="12"/>
        <v>74.119256698171739</v>
      </c>
      <c r="I29" s="130">
        <f t="shared" si="12"/>
        <v>78.72949270170254</v>
      </c>
      <c r="J29" s="130">
        <f t="shared" si="12"/>
        <v>83.223724811943981</v>
      </c>
      <c r="K29" s="130">
        <f t="shared" si="12"/>
        <v>88.261038143588337</v>
      </c>
      <c r="L29" s="130">
        <f t="shared" si="12"/>
        <v>90.070951749584154</v>
      </c>
      <c r="M29" s="130">
        <f t="shared" si="12"/>
        <v>90.86756600903982</v>
      </c>
      <c r="N29" s="130">
        <f t="shared" si="12"/>
        <v>93.221762341747635</v>
      </c>
      <c r="O29" s="130">
        <f t="shared" si="12"/>
        <v>94.988408772861618</v>
      </c>
      <c r="P29" s="130">
        <f t="shared" si="12"/>
        <v>99.00462246826207</v>
      </c>
      <c r="Q29" s="130">
        <f t="shared" si="12"/>
        <v>101.75842349621884</v>
      </c>
      <c r="R29" s="130">
        <f t="shared" ref="R29:W29" si="13">SUM(R30:R33)</f>
        <v>105.59312013004724</v>
      </c>
      <c r="S29" s="130">
        <f t="shared" si="13"/>
        <v>107.80685012154501</v>
      </c>
      <c r="T29" s="130">
        <f t="shared" si="13"/>
        <v>110.30696326885165</v>
      </c>
      <c r="U29" s="130">
        <f t="shared" si="13"/>
        <v>112.41612758835331</v>
      </c>
      <c r="V29" s="130">
        <f t="shared" si="13"/>
        <v>96.876182228581385</v>
      </c>
      <c r="W29" s="130">
        <f t="shared" si="13"/>
        <v>113.06162811283289</v>
      </c>
      <c r="X29" s="130">
        <f t="shared" ref="X29:Y29" si="14">SUM(X30:X33)</f>
        <v>114.61712709414513</v>
      </c>
      <c r="Y29" s="130">
        <f t="shared" si="14"/>
        <v>112.96427977623729</v>
      </c>
      <c r="DA29" s="155" t="s">
        <v>217</v>
      </c>
    </row>
    <row r="30" spans="1:105" ht="12" customHeight="1" x14ac:dyDescent="0.25">
      <c r="A30" s="131" t="s">
        <v>52</v>
      </c>
      <c r="B30" s="132">
        <v>1.6157177008756858</v>
      </c>
      <c r="C30" s="132">
        <v>4.5022878282582948</v>
      </c>
      <c r="D30" s="132">
        <v>4.1811750751038606</v>
      </c>
      <c r="E30" s="132">
        <v>5.1052351509215761</v>
      </c>
      <c r="F30" s="132">
        <v>6.0626497825744057</v>
      </c>
      <c r="G30" s="132">
        <v>5.8240028823726488</v>
      </c>
      <c r="H30" s="132">
        <v>6.744228331880648</v>
      </c>
      <c r="I30" s="132">
        <v>6.5856845493548519</v>
      </c>
      <c r="J30" s="132">
        <v>7.3712945087315855</v>
      </c>
      <c r="K30" s="132">
        <v>9.1961832620809307</v>
      </c>
      <c r="L30" s="132">
        <v>10.167601076007221</v>
      </c>
      <c r="M30" s="132">
        <v>8.9482446592970941</v>
      </c>
      <c r="N30" s="132">
        <v>8.8680625528733668</v>
      </c>
      <c r="O30" s="132">
        <v>8.7708937439101096</v>
      </c>
      <c r="P30" s="132">
        <v>8.7208006157383284</v>
      </c>
      <c r="Q30" s="132">
        <v>8.6724465597709148</v>
      </c>
      <c r="R30" s="132">
        <v>9.8834245571900645</v>
      </c>
      <c r="S30" s="132">
        <v>9.1902517622342561</v>
      </c>
      <c r="T30" s="132">
        <v>8.9767174856628476</v>
      </c>
      <c r="U30" s="132">
        <v>9.9061762097130988</v>
      </c>
      <c r="V30" s="132">
        <v>8.1605999312736515</v>
      </c>
      <c r="W30" s="132">
        <v>9.8951275276199251</v>
      </c>
      <c r="X30" s="132">
        <v>6.5995195722569315</v>
      </c>
      <c r="Y30" s="132">
        <v>5.1615774632156715</v>
      </c>
      <c r="DA30" s="156" t="s">
        <v>296</v>
      </c>
    </row>
    <row r="31" spans="1:105" ht="12" customHeight="1" x14ac:dyDescent="0.25">
      <c r="A31" s="131" t="s">
        <v>149</v>
      </c>
      <c r="B31" s="132">
        <v>7.193390035522806</v>
      </c>
      <c r="C31" s="132">
        <v>7.5239097051193244</v>
      </c>
      <c r="D31" s="132">
        <v>7.7022048261913207</v>
      </c>
      <c r="E31" s="132">
        <v>7.7973774012665977</v>
      </c>
      <c r="F31" s="132">
        <v>7.8374265196975985</v>
      </c>
      <c r="G31" s="132">
        <v>8.2478580047985819</v>
      </c>
      <c r="H31" s="132">
        <v>8.3728928269422536</v>
      </c>
      <c r="I31" s="132">
        <v>8.8352251732831206</v>
      </c>
      <c r="J31" s="132">
        <v>9.3528528862847189</v>
      </c>
      <c r="K31" s="132">
        <v>9.7093749966311975</v>
      </c>
      <c r="L31" s="132">
        <v>9.8492188429792229</v>
      </c>
      <c r="M31" s="132">
        <v>10.345339350590963</v>
      </c>
      <c r="N31" s="132">
        <v>10.995152893963962</v>
      </c>
      <c r="O31" s="132">
        <v>11.141726723733065</v>
      </c>
      <c r="P31" s="132">
        <v>11.499612990296313</v>
      </c>
      <c r="Q31" s="132">
        <v>12.498782033329203</v>
      </c>
      <c r="R31" s="132">
        <v>13.121433568780617</v>
      </c>
      <c r="S31" s="132">
        <v>14.162041741895031</v>
      </c>
      <c r="T31" s="132">
        <v>14.560588963076693</v>
      </c>
      <c r="U31" s="132">
        <v>14.337700857598861</v>
      </c>
      <c r="V31" s="132">
        <v>12.935040595332827</v>
      </c>
      <c r="W31" s="132">
        <v>14.918521826583934</v>
      </c>
      <c r="X31" s="132">
        <v>24.799694376582543</v>
      </c>
      <c r="Y31" s="132">
        <v>21.433060100022082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0.73568357695614772</v>
      </c>
      <c r="L32" s="132">
        <v>0.73568357695614728</v>
      </c>
      <c r="M32" s="132">
        <v>0.66517626827171128</v>
      </c>
      <c r="N32" s="132">
        <v>0.70695745429231061</v>
      </c>
      <c r="O32" s="132">
        <v>0.71638173993515231</v>
      </c>
      <c r="P32" s="132">
        <v>0.66827171109200334</v>
      </c>
      <c r="Q32" s="132">
        <v>0.66818572656921738</v>
      </c>
      <c r="R32" s="132">
        <v>0.66878761822871824</v>
      </c>
      <c r="S32" s="132">
        <v>0.71891659501289862</v>
      </c>
      <c r="T32" s="132">
        <v>1.0178847807394666</v>
      </c>
      <c r="U32" s="132">
        <v>1.1623387790197741</v>
      </c>
      <c r="V32" s="132">
        <v>0.95030094582975055</v>
      </c>
      <c r="W32" s="132">
        <v>0.98847807394668918</v>
      </c>
      <c r="X32" s="132">
        <v>0.82992261392949251</v>
      </c>
      <c r="Y32" s="132">
        <v>1.368271711092004</v>
      </c>
      <c r="DA32" s="156" t="s">
        <v>298</v>
      </c>
    </row>
    <row r="33" spans="1:105" ht="12" customHeight="1" x14ac:dyDescent="0.25">
      <c r="A33" s="62" t="s">
        <v>24</v>
      </c>
      <c r="B33" s="68">
        <v>44.985548533564582</v>
      </c>
      <c r="C33" s="68">
        <v>46.399914004349796</v>
      </c>
      <c r="D33" s="68">
        <v>49.200433682073935</v>
      </c>
      <c r="E33" s="68">
        <v>49.970177299298996</v>
      </c>
      <c r="F33" s="68">
        <v>52.789366489281853</v>
      </c>
      <c r="G33" s="68">
        <v>55.578366152982952</v>
      </c>
      <c r="H33" s="68">
        <v>59.002135539348835</v>
      </c>
      <c r="I33" s="68">
        <v>63.308582979064568</v>
      </c>
      <c r="J33" s="68">
        <v>66.499577416927679</v>
      </c>
      <c r="K33" s="68">
        <v>68.619796307920055</v>
      </c>
      <c r="L33" s="68">
        <v>69.318448253641563</v>
      </c>
      <c r="M33" s="68">
        <v>70.908805730880047</v>
      </c>
      <c r="N33" s="68">
        <v>72.651589440617997</v>
      </c>
      <c r="O33" s="68">
        <v>74.359406565283294</v>
      </c>
      <c r="P33" s="68">
        <v>78.115937151135427</v>
      </c>
      <c r="Q33" s="68">
        <v>79.919009176549508</v>
      </c>
      <c r="R33" s="68">
        <v>81.919474385847835</v>
      </c>
      <c r="S33" s="68">
        <v>83.735640022402819</v>
      </c>
      <c r="T33" s="68">
        <v>85.751772039372639</v>
      </c>
      <c r="U33" s="68">
        <v>87.009911742021572</v>
      </c>
      <c r="V33" s="68">
        <v>74.830240756145159</v>
      </c>
      <c r="W33" s="68">
        <v>87.259500684682351</v>
      </c>
      <c r="X33" s="68">
        <v>82.387990531376175</v>
      </c>
      <c r="Y33" s="68">
        <v>85.00137050190753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231.91256152166076</v>
      </c>
      <c r="C3" s="125">
        <f t="shared" si="0"/>
        <v>269.40495064082324</v>
      </c>
      <c r="D3" s="125">
        <f t="shared" si="0"/>
        <v>284.00210087373023</v>
      </c>
      <c r="E3" s="125">
        <f t="shared" si="0"/>
        <v>314.79140788679751</v>
      </c>
      <c r="F3" s="125">
        <f t="shared" si="0"/>
        <v>316.2923628049254</v>
      </c>
      <c r="G3" s="125">
        <f t="shared" si="0"/>
        <v>335.4957098290314</v>
      </c>
      <c r="H3" s="125">
        <f t="shared" si="0"/>
        <v>334.5784860943931</v>
      </c>
      <c r="I3" s="125">
        <f t="shared" si="0"/>
        <v>334.41982915490871</v>
      </c>
      <c r="J3" s="125">
        <f t="shared" si="0"/>
        <v>367.1672081211114</v>
      </c>
      <c r="K3" s="125">
        <f t="shared" si="0"/>
        <v>370.49115503294468</v>
      </c>
      <c r="L3" s="125">
        <f t="shared" si="0"/>
        <v>398.57296516135392</v>
      </c>
      <c r="M3" s="125">
        <f t="shared" si="0"/>
        <v>400.45560085608503</v>
      </c>
      <c r="N3" s="125">
        <f t="shared" si="0"/>
        <v>405.05803337184147</v>
      </c>
      <c r="O3" s="125">
        <f t="shared" si="0"/>
        <v>381.29042852599309</v>
      </c>
      <c r="P3" s="125">
        <f t="shared" si="0"/>
        <v>342.27696301445042</v>
      </c>
      <c r="Q3" s="125">
        <f t="shared" si="0"/>
        <v>406.80353481916774</v>
      </c>
      <c r="R3" s="125">
        <f t="shared" ref="R3:W3" si="1">SUM(R4,R16,R19,R29)</f>
        <v>408.78147508021027</v>
      </c>
      <c r="S3" s="125">
        <f t="shared" si="1"/>
        <v>459.28814370326018</v>
      </c>
      <c r="T3" s="125">
        <f t="shared" si="1"/>
        <v>466.23035471053208</v>
      </c>
      <c r="U3" s="125">
        <f t="shared" si="1"/>
        <v>486.25854326008647</v>
      </c>
      <c r="V3" s="125">
        <f t="shared" si="1"/>
        <v>437.60570747473412</v>
      </c>
      <c r="W3" s="125">
        <f t="shared" si="1"/>
        <v>521.93962448919501</v>
      </c>
      <c r="X3" s="125">
        <f t="shared" ref="X3:Y3" si="2">SUM(X4,X16,X19,X29)</f>
        <v>504.89748187369929</v>
      </c>
      <c r="Y3" s="125">
        <f t="shared" si="2"/>
        <v>487.32062693301941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147.51736322768159</v>
      </c>
      <c r="C4" s="130">
        <f t="shared" si="3"/>
        <v>179.68891708041463</v>
      </c>
      <c r="D4" s="130">
        <f t="shared" si="3"/>
        <v>188.75550646516533</v>
      </c>
      <c r="E4" s="130">
        <f t="shared" si="3"/>
        <v>200.13990210360319</v>
      </c>
      <c r="F4" s="130">
        <f t="shared" si="3"/>
        <v>208.32968976600006</v>
      </c>
      <c r="G4" s="130">
        <f t="shared" si="3"/>
        <v>220.51662053738818</v>
      </c>
      <c r="H4" s="130">
        <f t="shared" si="3"/>
        <v>208.66192347047533</v>
      </c>
      <c r="I4" s="130">
        <f t="shared" si="3"/>
        <v>196.76671849128158</v>
      </c>
      <c r="J4" s="130">
        <f t="shared" si="3"/>
        <v>221.06083850390362</v>
      </c>
      <c r="K4" s="130">
        <f t="shared" si="3"/>
        <v>218.42515115136823</v>
      </c>
      <c r="L4" s="130">
        <f t="shared" si="3"/>
        <v>241.41070794346248</v>
      </c>
      <c r="M4" s="130">
        <f t="shared" si="3"/>
        <v>236.20749346892009</v>
      </c>
      <c r="N4" s="130">
        <f t="shared" si="3"/>
        <v>215.22876854215511</v>
      </c>
      <c r="O4" s="130">
        <f t="shared" si="3"/>
        <v>209.52757269934799</v>
      </c>
      <c r="P4" s="130">
        <f t="shared" si="3"/>
        <v>173.06026749894298</v>
      </c>
      <c r="Q4" s="130">
        <f t="shared" si="3"/>
        <v>206.81830124067508</v>
      </c>
      <c r="R4" s="130">
        <f t="shared" ref="R4:W4" si="4">SUM(R5:R15)</f>
        <v>224.42719812323185</v>
      </c>
      <c r="S4" s="130">
        <f t="shared" si="4"/>
        <v>250.39203193311863</v>
      </c>
      <c r="T4" s="130">
        <f t="shared" si="4"/>
        <v>269.53348531786742</v>
      </c>
      <c r="U4" s="130">
        <f t="shared" si="4"/>
        <v>274.9750813973821</v>
      </c>
      <c r="V4" s="130">
        <f t="shared" si="4"/>
        <v>254.0978321402583</v>
      </c>
      <c r="W4" s="130">
        <f t="shared" si="4"/>
        <v>304.38342856479926</v>
      </c>
      <c r="X4" s="130">
        <f t="shared" ref="X4:Y4" si="5">SUM(X5:X15)</f>
        <v>280.88194777817961</v>
      </c>
      <c r="Y4" s="130">
        <f t="shared" si="5"/>
        <v>271.93615319888949</v>
      </c>
      <c r="DA4" s="155" t="s">
        <v>302</v>
      </c>
    </row>
    <row r="5" spans="1:105" ht="12" customHeight="1" x14ac:dyDescent="0.25">
      <c r="A5" s="131" t="s">
        <v>29</v>
      </c>
      <c r="B5" s="132">
        <v>2.0307782117572142</v>
      </c>
      <c r="C5" s="132">
        <v>1.5395594349832915</v>
      </c>
      <c r="D5" s="132">
        <v>2.0617853097270493</v>
      </c>
      <c r="E5" s="132">
        <v>2.5548624412388663</v>
      </c>
      <c r="F5" s="132">
        <v>1.1455015781299471</v>
      </c>
      <c r="G5" s="132">
        <v>0.16927497557432616</v>
      </c>
      <c r="H5" s="132">
        <v>0.99025860710980795</v>
      </c>
      <c r="I5" s="132">
        <v>0.52898429866976937</v>
      </c>
      <c r="J5" s="132">
        <v>0.90641473798822925</v>
      </c>
      <c r="K5" s="132">
        <v>0.87616736796426009</v>
      </c>
      <c r="L5" s="132">
        <v>0.55523509382774061</v>
      </c>
      <c r="M5" s="132">
        <v>1.2170425485256604</v>
      </c>
      <c r="N5" s="132">
        <v>1.2243351404884029</v>
      </c>
      <c r="O5" s="132">
        <v>0.11625875662977193</v>
      </c>
      <c r="P5" s="132">
        <v>4.7928855681248994E-2</v>
      </c>
      <c r="Q5" s="132">
        <v>2.4154837596452382E-2</v>
      </c>
      <c r="R5" s="132">
        <v>2.5514907280937287E-2</v>
      </c>
      <c r="S5" s="132">
        <v>7.8699582404488225E-2</v>
      </c>
      <c r="T5" s="132">
        <v>2.6384339716016589E-2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304</v>
      </c>
    </row>
    <row r="7" spans="1:105" ht="12" customHeight="1" x14ac:dyDescent="0.25">
      <c r="A7" s="131" t="s">
        <v>161</v>
      </c>
      <c r="B7" s="132">
        <v>51.89590904798316</v>
      </c>
      <c r="C7" s="132">
        <v>57.257153350191132</v>
      </c>
      <c r="D7" s="132">
        <v>65.327063862354166</v>
      </c>
      <c r="E7" s="132">
        <v>66.399234783029783</v>
      </c>
      <c r="F7" s="132">
        <v>65.545344944852829</v>
      </c>
      <c r="G7" s="132">
        <v>58.893040918269875</v>
      </c>
      <c r="H7" s="132">
        <v>50.014770968711993</v>
      </c>
      <c r="I7" s="132">
        <v>39.761970393161278</v>
      </c>
      <c r="J7" s="132">
        <v>37.073013278532301</v>
      </c>
      <c r="K7" s="132">
        <v>35.301685321113588</v>
      </c>
      <c r="L7" s="132">
        <v>33.717544221396246</v>
      </c>
      <c r="M7" s="132">
        <v>31.239328232380814</v>
      </c>
      <c r="N7" s="132">
        <v>25.01159729939857</v>
      </c>
      <c r="O7" s="132">
        <v>21.122973998888519</v>
      </c>
      <c r="P7" s="132">
        <v>15.84341687366825</v>
      </c>
      <c r="Q7" s="132">
        <v>21.561363497684624</v>
      </c>
      <c r="R7" s="132">
        <v>21.243508472007928</v>
      </c>
      <c r="S7" s="132">
        <v>21.154576825544456</v>
      </c>
      <c r="T7" s="132">
        <v>17.642995013328456</v>
      </c>
      <c r="U7" s="132">
        <v>11.770218298921602</v>
      </c>
      <c r="V7" s="132">
        <v>11.743386113550235</v>
      </c>
      <c r="W7" s="132">
        <v>9.8720190944600077</v>
      </c>
      <c r="X7" s="132">
        <v>12.012580938968899</v>
      </c>
      <c r="Y7" s="132">
        <v>11.855624523382026</v>
      </c>
      <c r="DA7" s="156" t="s">
        <v>305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306</v>
      </c>
    </row>
    <row r="9" spans="1:105" ht="12" customHeight="1" x14ac:dyDescent="0.25">
      <c r="A9" s="131" t="s">
        <v>78</v>
      </c>
      <c r="B9" s="132">
        <v>26.007693603336836</v>
      </c>
      <c r="C9" s="132">
        <v>39.257972415356114</v>
      </c>
      <c r="D9" s="132">
        <v>35.392826980084045</v>
      </c>
      <c r="E9" s="132">
        <v>38.541292367066944</v>
      </c>
      <c r="F9" s="132">
        <v>41.535534045068289</v>
      </c>
      <c r="G9" s="132">
        <v>46.767364039679961</v>
      </c>
      <c r="H9" s="132">
        <v>45.686946631257072</v>
      </c>
      <c r="I9" s="132">
        <v>44.557854530963724</v>
      </c>
      <c r="J9" s="132">
        <v>50.072797093972532</v>
      </c>
      <c r="K9" s="132">
        <v>52.148609046999567</v>
      </c>
      <c r="L9" s="132">
        <v>65.333053949137195</v>
      </c>
      <c r="M9" s="132">
        <v>56.982101687886335</v>
      </c>
      <c r="N9" s="132">
        <v>51.966407085521745</v>
      </c>
      <c r="O9" s="132">
        <v>54.857958672284013</v>
      </c>
      <c r="P9" s="132">
        <v>53.353823363546134</v>
      </c>
      <c r="Q9" s="132">
        <v>75.458539830089592</v>
      </c>
      <c r="R9" s="132">
        <v>82.664216856887251</v>
      </c>
      <c r="S9" s="132">
        <v>89.104703715060666</v>
      </c>
      <c r="T9" s="132">
        <v>96.646428341395705</v>
      </c>
      <c r="U9" s="132">
        <v>103.16488286069001</v>
      </c>
      <c r="V9" s="132">
        <v>99.603943216726066</v>
      </c>
      <c r="W9" s="132">
        <v>122.62506628140562</v>
      </c>
      <c r="X9" s="132">
        <v>95.622626469921002</v>
      </c>
      <c r="Y9" s="132">
        <v>84.249505275796139</v>
      </c>
      <c r="DA9" s="156" t="s">
        <v>307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1.0299140925347361</v>
      </c>
      <c r="J10" s="132">
        <v>0.93049214192283647</v>
      </c>
      <c r="K10" s="132">
        <v>1.2944940416592241</v>
      </c>
      <c r="L10" s="132">
        <v>1.1454384337096291</v>
      </c>
      <c r="M10" s="132">
        <v>1.5134341202782335</v>
      </c>
      <c r="N10" s="132">
        <v>1.2937110395596534</v>
      </c>
      <c r="O10" s="132">
        <v>1.3412309207892146</v>
      </c>
      <c r="P10" s="132">
        <v>1.8090773193183747</v>
      </c>
      <c r="Q10" s="132">
        <v>2.4182052485790777</v>
      </c>
      <c r="R10" s="132">
        <v>3.2179345282737257</v>
      </c>
      <c r="S10" s="132">
        <v>3.9670164719225127</v>
      </c>
      <c r="T10" s="132">
        <v>4.8362203857952055</v>
      </c>
      <c r="U10" s="132">
        <v>6.0378121768739463</v>
      </c>
      <c r="V10" s="132">
        <v>6.7788665122008931</v>
      </c>
      <c r="W10" s="132">
        <v>6.8008161271041807</v>
      </c>
      <c r="X10" s="132">
        <v>7.1873645040780012</v>
      </c>
      <c r="Y10" s="132">
        <v>6.9323992612861476</v>
      </c>
      <c r="DA10" s="156" t="s">
        <v>308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2.6916998045065168</v>
      </c>
      <c r="J11" s="132">
        <v>2.5801922248549065</v>
      </c>
      <c r="K11" s="132">
        <v>2.5473343483772743</v>
      </c>
      <c r="L11" s="132">
        <v>5.5177832727446114</v>
      </c>
      <c r="M11" s="132">
        <v>5.5688118842169629</v>
      </c>
      <c r="N11" s="132">
        <v>5.6541112535849845</v>
      </c>
      <c r="O11" s="132">
        <v>5.5574105718349838</v>
      </c>
      <c r="P11" s="132">
        <v>3.0120803426529625</v>
      </c>
      <c r="Q11" s="132">
        <v>3.9642687843068436</v>
      </c>
      <c r="R11" s="132">
        <v>4.0614394363865776</v>
      </c>
      <c r="S11" s="132">
        <v>3.6280541306745908</v>
      </c>
      <c r="T11" s="132">
        <v>3.3385009780770303</v>
      </c>
      <c r="U11" s="132">
        <v>3.1616489921464606</v>
      </c>
      <c r="V11" s="132">
        <v>3.0634798444951636</v>
      </c>
      <c r="W11" s="132">
        <v>2.6851755403563384</v>
      </c>
      <c r="X11" s="132">
        <v>2.1110869859699837</v>
      </c>
      <c r="Y11" s="132">
        <v>1.7509961317266149</v>
      </c>
      <c r="DA11" s="156" t="s">
        <v>309</v>
      </c>
    </row>
    <row r="12" spans="1:105" ht="12" customHeight="1" x14ac:dyDescent="0.25">
      <c r="A12" s="131" t="s">
        <v>162</v>
      </c>
      <c r="B12" s="132">
        <v>35.81850675465374</v>
      </c>
      <c r="C12" s="132">
        <v>40.516031606477021</v>
      </c>
      <c r="D12" s="132">
        <v>39.581550891575112</v>
      </c>
      <c r="E12" s="132">
        <v>44.964243449267649</v>
      </c>
      <c r="F12" s="132">
        <v>43.713093949051462</v>
      </c>
      <c r="G12" s="132">
        <v>46.723391851819613</v>
      </c>
      <c r="H12" s="132">
        <v>39.735454288065014</v>
      </c>
      <c r="I12" s="132">
        <v>37.128178784092746</v>
      </c>
      <c r="J12" s="132">
        <v>40.636980999446109</v>
      </c>
      <c r="K12" s="132">
        <v>40.453191558200345</v>
      </c>
      <c r="L12" s="132">
        <v>47.746109973917008</v>
      </c>
      <c r="M12" s="132">
        <v>48.16473724263782</v>
      </c>
      <c r="N12" s="132">
        <v>45.433232096336106</v>
      </c>
      <c r="O12" s="132">
        <v>46.539015353232372</v>
      </c>
      <c r="P12" s="132">
        <v>34.150739773193528</v>
      </c>
      <c r="Q12" s="132">
        <v>38.018446993898692</v>
      </c>
      <c r="R12" s="132">
        <v>39.75997566574965</v>
      </c>
      <c r="S12" s="132">
        <v>38.276705272531444</v>
      </c>
      <c r="T12" s="132">
        <v>35.562409802107588</v>
      </c>
      <c r="U12" s="132">
        <v>34.903950549811306</v>
      </c>
      <c r="V12" s="132">
        <v>38.401088411368534</v>
      </c>
      <c r="W12" s="132">
        <v>45.46444582101298</v>
      </c>
      <c r="X12" s="132">
        <v>29.976513030839797</v>
      </c>
      <c r="Y12" s="132">
        <v>36.985014934272222</v>
      </c>
      <c r="DA12" s="156" t="s">
        <v>310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311</v>
      </c>
    </row>
    <row r="14" spans="1:105" ht="12" customHeight="1" x14ac:dyDescent="0.25">
      <c r="A14" s="60" t="s">
        <v>76</v>
      </c>
      <c r="B14" s="65">
        <v>30.007003241033392</v>
      </c>
      <c r="C14" s="65">
        <v>39.014587501960364</v>
      </c>
      <c r="D14" s="65">
        <v>44.249098329258807</v>
      </c>
      <c r="E14" s="65">
        <v>45.467960577278085</v>
      </c>
      <c r="F14" s="65">
        <v>54.196619877912589</v>
      </c>
      <c r="G14" s="65">
        <v>65.827971611273071</v>
      </c>
      <c r="H14" s="65">
        <v>70.334988672871901</v>
      </c>
      <c r="I14" s="65">
        <v>69.39219752438504</v>
      </c>
      <c r="J14" s="65">
        <v>87.14202448775967</v>
      </c>
      <c r="K14" s="65">
        <v>84.09979874920559</v>
      </c>
      <c r="L14" s="65">
        <v>85.475783433815778</v>
      </c>
      <c r="M14" s="65">
        <v>89.794300449162094</v>
      </c>
      <c r="N14" s="65">
        <v>83.134270012158169</v>
      </c>
      <c r="O14" s="65">
        <v>78.516146859006696</v>
      </c>
      <c r="P14" s="65">
        <v>63.546813734028042</v>
      </c>
      <c r="Q14" s="65">
        <v>63.610699985358799</v>
      </c>
      <c r="R14" s="65">
        <v>71.577691031432892</v>
      </c>
      <c r="S14" s="65">
        <v>92.214143888560557</v>
      </c>
      <c r="T14" s="65">
        <v>109.46139039305179</v>
      </c>
      <c r="U14" s="65">
        <v>113.90715621188275</v>
      </c>
      <c r="V14" s="65">
        <v>92.519330144758968</v>
      </c>
      <c r="W14" s="65">
        <v>114.58774538587895</v>
      </c>
      <c r="X14" s="65">
        <v>132.07891646793612</v>
      </c>
      <c r="Y14" s="65">
        <v>128.42667484282723</v>
      </c>
      <c r="DA14" s="109" t="s">
        <v>312</v>
      </c>
    </row>
    <row r="15" spans="1:105" ht="12" customHeight="1" x14ac:dyDescent="0.25">
      <c r="A15" s="133" t="s">
        <v>80</v>
      </c>
      <c r="B15" s="134">
        <v>1.7574723689172407</v>
      </c>
      <c r="C15" s="134">
        <v>2.1036127714467021</v>
      </c>
      <c r="D15" s="134">
        <v>2.143181092166154</v>
      </c>
      <c r="E15" s="134">
        <v>2.2123084857218474</v>
      </c>
      <c r="F15" s="134">
        <v>2.1935953709849407</v>
      </c>
      <c r="G15" s="134">
        <v>2.1355771407713289</v>
      </c>
      <c r="H15" s="134">
        <v>1.8995043024595499</v>
      </c>
      <c r="I15" s="134">
        <v>1.6759190629677885</v>
      </c>
      <c r="J15" s="134">
        <v>1.7189235394270408</v>
      </c>
      <c r="K15" s="134">
        <v>1.7038707178483987</v>
      </c>
      <c r="L15" s="134">
        <v>1.9197595649142978</v>
      </c>
      <c r="M15" s="134">
        <v>1.7277373038321877</v>
      </c>
      <c r="N15" s="134">
        <v>1.511104615107471</v>
      </c>
      <c r="O15" s="134">
        <v>1.4765775666824499</v>
      </c>
      <c r="P15" s="134">
        <v>1.2963872368544149</v>
      </c>
      <c r="Q15" s="134">
        <v>1.7626220631610028</v>
      </c>
      <c r="R15" s="134">
        <v>1.8769172252128687</v>
      </c>
      <c r="S15" s="134">
        <v>1.9681320464198859</v>
      </c>
      <c r="T15" s="134">
        <v>2.0191560643956357</v>
      </c>
      <c r="U15" s="134">
        <v>2.0294123070560057</v>
      </c>
      <c r="V15" s="134">
        <v>1.9877378971584345</v>
      </c>
      <c r="W15" s="134">
        <v>2.3481603145811345</v>
      </c>
      <c r="X15" s="134">
        <v>1.8928593804658633</v>
      </c>
      <c r="Y15" s="134">
        <v>1.735938229599068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11.878094196752656</v>
      </c>
      <c r="C16" s="130">
        <f t="shared" si="6"/>
        <v>12.445381996114847</v>
      </c>
      <c r="D16" s="130">
        <f t="shared" si="6"/>
        <v>13.629100401745664</v>
      </c>
      <c r="E16" s="130">
        <f t="shared" si="6"/>
        <v>29.754325907866907</v>
      </c>
      <c r="F16" s="130">
        <f t="shared" si="6"/>
        <v>17.443648330112328</v>
      </c>
      <c r="G16" s="130">
        <f t="shared" si="6"/>
        <v>20.027843752866463</v>
      </c>
      <c r="H16" s="130">
        <f t="shared" si="6"/>
        <v>26.236524452131892</v>
      </c>
      <c r="I16" s="130">
        <f t="shared" si="6"/>
        <v>32.166828484143473</v>
      </c>
      <c r="J16" s="130">
        <f t="shared" si="6"/>
        <v>35.117883707698837</v>
      </c>
      <c r="K16" s="130">
        <f t="shared" si="6"/>
        <v>36.43740569081281</v>
      </c>
      <c r="L16" s="130">
        <f t="shared" si="6"/>
        <v>39.290195493609104</v>
      </c>
      <c r="M16" s="130">
        <f t="shared" si="6"/>
        <v>44.729991893095217</v>
      </c>
      <c r="N16" s="130">
        <f t="shared" si="6"/>
        <v>67.362229565546414</v>
      </c>
      <c r="O16" s="130">
        <f t="shared" si="6"/>
        <v>46.286491007175385</v>
      </c>
      <c r="P16" s="130">
        <f t="shared" si="6"/>
        <v>39.121024072928343</v>
      </c>
      <c r="Q16" s="130">
        <f t="shared" si="6"/>
        <v>65.932983571412692</v>
      </c>
      <c r="R16" s="130">
        <f t="shared" ref="R16:W16" si="7">SUM(R17:R18)</f>
        <v>46.172451099746326</v>
      </c>
      <c r="S16" s="130">
        <f t="shared" si="7"/>
        <v>67.362885247168407</v>
      </c>
      <c r="T16" s="130">
        <f t="shared" si="7"/>
        <v>51.425279451900721</v>
      </c>
      <c r="U16" s="130">
        <f t="shared" si="7"/>
        <v>62.768380609783478</v>
      </c>
      <c r="V16" s="130">
        <f t="shared" si="7"/>
        <v>49.649131151670673</v>
      </c>
      <c r="W16" s="130">
        <f t="shared" si="7"/>
        <v>66.64410393508571</v>
      </c>
      <c r="X16" s="130">
        <f t="shared" ref="X16:Y16" si="8">SUM(X17:X18)</f>
        <v>70.57055972061228</v>
      </c>
      <c r="Y16" s="130">
        <f t="shared" si="8"/>
        <v>61.730467213221679</v>
      </c>
      <c r="DA16" s="155" t="s">
        <v>314</v>
      </c>
    </row>
    <row r="17" spans="1:105" ht="12.95" customHeight="1" x14ac:dyDescent="0.25">
      <c r="A17" s="131" t="s">
        <v>73</v>
      </c>
      <c r="B17" s="132">
        <v>1.2632104650166743E-2</v>
      </c>
      <c r="C17" s="132">
        <v>1.2922275323959079E-2</v>
      </c>
      <c r="D17" s="132">
        <v>1.5739931222444159E-2</v>
      </c>
      <c r="E17" s="132">
        <v>3.7888637035438356E-2</v>
      </c>
      <c r="F17" s="132">
        <v>2.3395174251969506E-2</v>
      </c>
      <c r="G17" s="132">
        <v>2.7867529934153843E-2</v>
      </c>
      <c r="H17" s="132">
        <v>3.75055090863907E-2</v>
      </c>
      <c r="I17" s="132">
        <v>5.5854694140568956E-2</v>
      </c>
      <c r="J17" s="132">
        <v>5.6127930397853833E-2</v>
      </c>
      <c r="K17" s="132">
        <v>5.0092492386559183E-2</v>
      </c>
      <c r="L17" s="132">
        <v>5.9336472746925495E-2</v>
      </c>
      <c r="M17" s="132">
        <v>7.2773060889429433E-2</v>
      </c>
      <c r="N17" s="132">
        <v>0.10390981417574983</v>
      </c>
      <c r="O17" s="132">
        <v>9.4133769655642061E-2</v>
      </c>
      <c r="P17" s="132">
        <v>7.9006276406984474E-2</v>
      </c>
      <c r="Q17" s="132">
        <v>0.19864402577415224</v>
      </c>
      <c r="R17" s="132">
        <v>0.15640325843090447</v>
      </c>
      <c r="S17" s="132">
        <v>0.27672675027744015</v>
      </c>
      <c r="T17" s="132">
        <v>0.26203148788031522</v>
      </c>
      <c r="U17" s="132">
        <v>0.36175206052117964</v>
      </c>
      <c r="V17" s="132">
        <v>0.28322395771349318</v>
      </c>
      <c r="W17" s="132">
        <v>0.39850746728063308</v>
      </c>
      <c r="X17" s="132">
        <v>0.56095291762501831</v>
      </c>
      <c r="Y17" s="132">
        <v>0.58477901052827952</v>
      </c>
      <c r="DA17" s="156" t="s">
        <v>315</v>
      </c>
    </row>
    <row r="18" spans="1:105" ht="12" customHeight="1" x14ac:dyDescent="0.25">
      <c r="A18" s="131" t="s">
        <v>72</v>
      </c>
      <c r="B18" s="132">
        <v>11.865462092102488</v>
      </c>
      <c r="C18" s="132">
        <v>12.432459720790888</v>
      </c>
      <c r="D18" s="132">
        <v>13.613360470523219</v>
      </c>
      <c r="E18" s="132">
        <v>29.716437270831467</v>
      </c>
      <c r="F18" s="132">
        <v>17.420253155860358</v>
      </c>
      <c r="G18" s="132">
        <v>19.999976222932311</v>
      </c>
      <c r="H18" s="132">
        <v>26.199018943045502</v>
      </c>
      <c r="I18" s="132">
        <v>32.110973790002902</v>
      </c>
      <c r="J18" s="132">
        <v>35.061755777300981</v>
      </c>
      <c r="K18" s="132">
        <v>36.387313198426249</v>
      </c>
      <c r="L18" s="132">
        <v>39.230859020862177</v>
      </c>
      <c r="M18" s="132">
        <v>44.657218832205785</v>
      </c>
      <c r="N18" s="132">
        <v>67.258319751370664</v>
      </c>
      <c r="O18" s="132">
        <v>46.192357237519744</v>
      </c>
      <c r="P18" s="132">
        <v>39.042017796521357</v>
      </c>
      <c r="Q18" s="132">
        <v>65.734339545638534</v>
      </c>
      <c r="R18" s="132">
        <v>46.016047841315419</v>
      </c>
      <c r="S18" s="132">
        <v>67.086158496890974</v>
      </c>
      <c r="T18" s="132">
        <v>51.163247964020407</v>
      </c>
      <c r="U18" s="132">
        <v>62.406628549262301</v>
      </c>
      <c r="V18" s="132">
        <v>49.365907193957177</v>
      </c>
      <c r="W18" s="132">
        <v>66.245596467805072</v>
      </c>
      <c r="X18" s="132">
        <v>70.009606802987264</v>
      </c>
      <c r="Y18" s="132">
        <v>61.1456882026934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33.346308189669166</v>
      </c>
      <c r="C19" s="130">
        <f t="shared" si="9"/>
        <v>35.092665309604421</v>
      </c>
      <c r="D19" s="130">
        <f t="shared" si="9"/>
        <v>37.29464476462686</v>
      </c>
      <c r="E19" s="130">
        <f t="shared" si="9"/>
        <v>39.288119957978111</v>
      </c>
      <c r="F19" s="130">
        <f t="shared" si="9"/>
        <v>42.071483266093395</v>
      </c>
      <c r="G19" s="130">
        <f t="shared" si="9"/>
        <v>44.148028397458035</v>
      </c>
      <c r="H19" s="130">
        <f t="shared" si="9"/>
        <v>45.50482370423196</v>
      </c>
      <c r="I19" s="130">
        <f t="shared" si="9"/>
        <v>47.666159339905306</v>
      </c>
      <c r="J19" s="130">
        <f t="shared" si="9"/>
        <v>49.796226817384095</v>
      </c>
      <c r="K19" s="130">
        <f t="shared" si="9"/>
        <v>50.936873704750369</v>
      </c>
      <c r="L19" s="130">
        <f t="shared" si="9"/>
        <v>51.859094824527098</v>
      </c>
      <c r="M19" s="130">
        <f t="shared" si="9"/>
        <v>52.65526421665534</v>
      </c>
      <c r="N19" s="130">
        <f t="shared" si="9"/>
        <v>53.790614236860065</v>
      </c>
      <c r="O19" s="130">
        <f t="shared" si="9"/>
        <v>55.252026437976099</v>
      </c>
      <c r="P19" s="130">
        <f t="shared" si="9"/>
        <v>56.496431815957223</v>
      </c>
      <c r="Q19" s="130">
        <f t="shared" si="9"/>
        <v>58.107058337648908</v>
      </c>
      <c r="R19" s="130">
        <f t="shared" ref="R19:W19" si="10">SUM(R20:R27)</f>
        <v>59.161740932351236</v>
      </c>
      <c r="S19" s="130">
        <f t="shared" si="10"/>
        <v>60.264377896748726</v>
      </c>
      <c r="T19" s="130">
        <f t="shared" si="10"/>
        <v>61.371717703826199</v>
      </c>
      <c r="U19" s="130">
        <f t="shared" si="10"/>
        <v>62.260468239704139</v>
      </c>
      <c r="V19" s="130">
        <f t="shared" si="10"/>
        <v>58.815452152847996</v>
      </c>
      <c r="W19" s="130">
        <f t="shared" si="10"/>
        <v>62.474811462678282</v>
      </c>
      <c r="X19" s="130">
        <f t="shared" ref="X19:Y19" si="11">SUM(X20:X27)</f>
        <v>64.217876347800143</v>
      </c>
      <c r="Y19" s="130">
        <f t="shared" si="11"/>
        <v>63.990209961034772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0.90770170633245717</v>
      </c>
      <c r="C21" s="132">
        <v>1.1625244107673212</v>
      </c>
      <c r="D21" s="132">
        <v>1.3398750141342666</v>
      </c>
      <c r="E21" s="132">
        <v>1.4515339725953669</v>
      </c>
      <c r="F21" s="132">
        <v>1.605404871695242</v>
      </c>
      <c r="G21" s="132">
        <v>1.6811253127204131</v>
      </c>
      <c r="H21" s="132">
        <v>1.7978354292057888</v>
      </c>
      <c r="I21" s="132">
        <v>1.894036924161121</v>
      </c>
      <c r="J21" s="132">
        <v>2.0881318164611034</v>
      </c>
      <c r="K21" s="132">
        <v>2.3297417402208107</v>
      </c>
      <c r="L21" s="132">
        <v>2.4264541732877611</v>
      </c>
      <c r="M21" s="132">
        <v>2.4994255931992493</v>
      </c>
      <c r="N21" s="132">
        <v>2.5669795333809984</v>
      </c>
      <c r="O21" s="132">
        <v>2.6541310418923825</v>
      </c>
      <c r="P21" s="132">
        <v>2.7148768530111997</v>
      </c>
      <c r="Q21" s="132">
        <v>2.7857206776072077</v>
      </c>
      <c r="R21" s="132">
        <v>2.77524219328282</v>
      </c>
      <c r="S21" s="132">
        <v>2.6323519094105965</v>
      </c>
      <c r="T21" s="132">
        <v>2.5289181532687524</v>
      </c>
      <c r="U21" s="132">
        <v>2.3365334336218515</v>
      </c>
      <c r="V21" s="132">
        <v>1.9213937016626024</v>
      </c>
      <c r="W21" s="132">
        <v>2.0769589929340881</v>
      </c>
      <c r="X21" s="132">
        <v>2.0140366224531712</v>
      </c>
      <c r="Y21" s="132">
        <v>1.5883432592450188</v>
      </c>
      <c r="DA21" s="156" t="s">
        <v>319</v>
      </c>
    </row>
    <row r="22" spans="1:105" ht="12" customHeight="1" x14ac:dyDescent="0.25">
      <c r="A22" s="131" t="s">
        <v>161</v>
      </c>
      <c r="B22" s="132">
        <v>3.7566065822051691</v>
      </c>
      <c r="C22" s="132">
        <v>4.0078345359750811</v>
      </c>
      <c r="D22" s="132">
        <v>4.2791080744478514</v>
      </c>
      <c r="E22" s="132">
        <v>4.5628464023494084</v>
      </c>
      <c r="F22" s="132">
        <v>4.8167757479502358</v>
      </c>
      <c r="G22" s="132">
        <v>5.225786578347444</v>
      </c>
      <c r="H22" s="132">
        <v>5.4745089470075641</v>
      </c>
      <c r="I22" s="132">
        <v>5.9043940718069363</v>
      </c>
      <c r="J22" s="132">
        <v>6.1281246868614163</v>
      </c>
      <c r="K22" s="132">
        <v>6.3031234094272071</v>
      </c>
      <c r="L22" s="132">
        <v>6.3023131975676989</v>
      </c>
      <c r="M22" s="132">
        <v>5.895271265705138</v>
      </c>
      <c r="N22" s="132">
        <v>5.6244649797140234</v>
      </c>
      <c r="O22" s="132">
        <v>5.4197714756732163</v>
      </c>
      <c r="P22" s="132">
        <v>5.1221940435306328</v>
      </c>
      <c r="Q22" s="132">
        <v>4.9367859666748002</v>
      </c>
      <c r="R22" s="132">
        <v>4.8755181536012246</v>
      </c>
      <c r="S22" s="132">
        <v>4.8501566435833636</v>
      </c>
      <c r="T22" s="132">
        <v>4.7933986550598773</v>
      </c>
      <c r="U22" s="132">
        <v>4.8904709148655137</v>
      </c>
      <c r="V22" s="132">
        <v>4.2620185247141649</v>
      </c>
      <c r="W22" s="132">
        <v>4.4920554685825431</v>
      </c>
      <c r="X22" s="132">
        <v>3.6845482100522209</v>
      </c>
      <c r="Y22" s="132">
        <v>3.1140275907490316</v>
      </c>
      <c r="DA22" s="156" t="s">
        <v>320</v>
      </c>
    </row>
    <row r="23" spans="1:105" ht="12" customHeight="1" x14ac:dyDescent="0.25">
      <c r="A23" s="131" t="s">
        <v>149</v>
      </c>
      <c r="B23" s="132">
        <v>9.3726037807524794</v>
      </c>
      <c r="C23" s="132">
        <v>10.088558195475853</v>
      </c>
      <c r="D23" s="132">
        <v>10.965726265178398</v>
      </c>
      <c r="E23" s="132">
        <v>11.538481278191236</v>
      </c>
      <c r="F23" s="132">
        <v>12.271991216481569</v>
      </c>
      <c r="G23" s="132">
        <v>12.942022709807183</v>
      </c>
      <c r="H23" s="132">
        <v>13.12736816468861</v>
      </c>
      <c r="I23" s="132">
        <v>13.316578567888277</v>
      </c>
      <c r="J23" s="132">
        <v>14.113078473483212</v>
      </c>
      <c r="K23" s="132">
        <v>14.421606616035474</v>
      </c>
      <c r="L23" s="132">
        <v>14.904484510862686</v>
      </c>
      <c r="M23" s="132">
        <v>15.402310478525472</v>
      </c>
      <c r="N23" s="132">
        <v>16.040563421586679</v>
      </c>
      <c r="O23" s="132">
        <v>16.914817147280253</v>
      </c>
      <c r="P23" s="132">
        <v>17.929116674022975</v>
      </c>
      <c r="Q23" s="132">
        <v>19.437986264977411</v>
      </c>
      <c r="R23" s="132">
        <v>21.051705555232644</v>
      </c>
      <c r="S23" s="132">
        <v>22.573530538336946</v>
      </c>
      <c r="T23" s="132">
        <v>23.715246004182259</v>
      </c>
      <c r="U23" s="132">
        <v>24.451808350648065</v>
      </c>
      <c r="V23" s="132">
        <v>22.916592918431988</v>
      </c>
      <c r="W23" s="132">
        <v>25.689220862138164</v>
      </c>
      <c r="X23" s="132">
        <v>21.945784641344922</v>
      </c>
      <c r="Y23" s="132">
        <v>20.060767106714593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8.7201444655097422</v>
      </c>
      <c r="C25" s="132">
        <v>8.6753920219512999</v>
      </c>
      <c r="D25" s="132">
        <v>8.793367353412588</v>
      </c>
      <c r="E25" s="132">
        <v>8.7255392173276061</v>
      </c>
      <c r="F25" s="132">
        <v>8.877408143263585</v>
      </c>
      <c r="G25" s="132">
        <v>9.0643299027248663</v>
      </c>
      <c r="H25" s="132">
        <v>8.9613816857617969</v>
      </c>
      <c r="I25" s="132">
        <v>8.9212607311381795</v>
      </c>
      <c r="J25" s="132">
        <v>9.0420692944404948</v>
      </c>
      <c r="K25" s="132">
        <v>8.9773309500008658</v>
      </c>
      <c r="L25" s="132">
        <v>9.0874074522847188</v>
      </c>
      <c r="M25" s="132">
        <v>9.2597750497549303</v>
      </c>
      <c r="N25" s="132">
        <v>9.4530319543064163</v>
      </c>
      <c r="O25" s="132">
        <v>9.7076894885412131</v>
      </c>
      <c r="P25" s="132">
        <v>9.8748318957496828</v>
      </c>
      <c r="Q25" s="132">
        <v>9.9876886893815939</v>
      </c>
      <c r="R25" s="132">
        <v>10.06159430306691</v>
      </c>
      <c r="S25" s="132">
        <v>10.256525398737235</v>
      </c>
      <c r="T25" s="132">
        <v>10.366732747272447</v>
      </c>
      <c r="U25" s="132">
        <v>10.457811275332848</v>
      </c>
      <c r="V25" s="132">
        <v>10.159876677815813</v>
      </c>
      <c r="W25" s="132">
        <v>10.781654688697552</v>
      </c>
      <c r="X25" s="132">
        <v>9.7676994615594115</v>
      </c>
      <c r="Y25" s="132">
        <v>10.340938191692306</v>
      </c>
      <c r="DA25" s="156" t="s">
        <v>323</v>
      </c>
    </row>
    <row r="26" spans="1:105" ht="12" customHeight="1" x14ac:dyDescent="0.25">
      <c r="A26" s="131" t="s">
        <v>24</v>
      </c>
      <c r="B26" s="65">
        <v>10.254857845754961</v>
      </c>
      <c r="C26" s="65">
        <v>10.800058638986027</v>
      </c>
      <c r="D26" s="65">
        <v>11.486645443524266</v>
      </c>
      <c r="E26" s="65">
        <v>12.508171366104346</v>
      </c>
      <c r="F26" s="65">
        <v>13.902826760477478</v>
      </c>
      <c r="G26" s="65">
        <v>14.542072578294929</v>
      </c>
      <c r="H26" s="65">
        <v>15.331691644378171</v>
      </c>
      <c r="I26" s="65">
        <v>16.674515012236672</v>
      </c>
      <c r="J26" s="65">
        <v>17.230583509164521</v>
      </c>
      <c r="K26" s="65">
        <v>17.519774342462398</v>
      </c>
      <c r="L26" s="65">
        <v>17.585898947102052</v>
      </c>
      <c r="M26" s="65">
        <v>17.783262568937445</v>
      </c>
      <c r="N26" s="65">
        <v>17.955961278224486</v>
      </c>
      <c r="O26" s="65">
        <v>18.09551410316169</v>
      </c>
      <c r="P26" s="65">
        <v>18.060915359101035</v>
      </c>
      <c r="Q26" s="65">
        <v>17.853889636686318</v>
      </c>
      <c r="R26" s="65">
        <v>16.934396118397213</v>
      </c>
      <c r="S26" s="65">
        <v>16.094461729982402</v>
      </c>
      <c r="T26" s="65">
        <v>15.787628506897553</v>
      </c>
      <c r="U26" s="65">
        <v>15.490224316826572</v>
      </c>
      <c r="V26" s="65">
        <v>14.652044964789205</v>
      </c>
      <c r="W26" s="65">
        <v>14.314027211288961</v>
      </c>
      <c r="X26" s="65">
        <v>21.988266569742095</v>
      </c>
      <c r="Y26" s="65">
        <v>23.95156803447389</v>
      </c>
      <c r="DA26" s="109" t="s">
        <v>324</v>
      </c>
    </row>
    <row r="27" spans="1:105" ht="12" customHeight="1" x14ac:dyDescent="0.25">
      <c r="A27" s="144" t="s">
        <v>26</v>
      </c>
      <c r="B27" s="145">
        <v>0.3343938091143594</v>
      </c>
      <c r="C27" s="145">
        <v>0.35829750644883918</v>
      </c>
      <c r="D27" s="145">
        <v>0.42992261392949266</v>
      </c>
      <c r="E27" s="145">
        <v>0.50154772141014603</v>
      </c>
      <c r="F27" s="145">
        <v>0.59707652622527929</v>
      </c>
      <c r="G27" s="145">
        <v>0.69269131556319874</v>
      </c>
      <c r="H27" s="145">
        <v>0.81203783319002609</v>
      </c>
      <c r="I27" s="145">
        <v>0.95537403267411847</v>
      </c>
      <c r="J27" s="145">
        <v>1.1942390369733453</v>
      </c>
      <c r="K27" s="145">
        <v>1.3852966466036114</v>
      </c>
      <c r="L27" s="145">
        <v>1.5525365434221849</v>
      </c>
      <c r="M27" s="145">
        <v>1.8152192605331043</v>
      </c>
      <c r="N27" s="145">
        <v>2.1496130696474625</v>
      </c>
      <c r="O27" s="145">
        <v>2.4601031814273413</v>
      </c>
      <c r="P27" s="145">
        <v>2.7944969905417016</v>
      </c>
      <c r="Q27" s="145">
        <v>3.1049871023215814</v>
      </c>
      <c r="R27" s="145">
        <v>3.4632846087704223</v>
      </c>
      <c r="S27" s="145">
        <v>3.8573516766981899</v>
      </c>
      <c r="T27" s="145">
        <v>4.179793637145309</v>
      </c>
      <c r="U27" s="145">
        <v>4.6336199484092866</v>
      </c>
      <c r="V27" s="145">
        <v>4.9035253654342252</v>
      </c>
      <c r="W27" s="145">
        <v>5.1208942390369767</v>
      </c>
      <c r="X27" s="145">
        <v>4.8175408426483228</v>
      </c>
      <c r="Y27" s="145">
        <v>4.9345657781599277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39.170795907557327</v>
      </c>
      <c r="C29" s="130">
        <f t="shared" si="12"/>
        <v>42.177986254689344</v>
      </c>
      <c r="D29" s="130">
        <f t="shared" si="12"/>
        <v>44.322849242192369</v>
      </c>
      <c r="E29" s="130">
        <f t="shared" si="12"/>
        <v>45.609059917349342</v>
      </c>
      <c r="F29" s="130">
        <f t="shared" si="12"/>
        <v>48.44754144271964</v>
      </c>
      <c r="G29" s="130">
        <f t="shared" si="12"/>
        <v>50.803217141318754</v>
      </c>
      <c r="H29" s="130">
        <f t="shared" si="12"/>
        <v>54.175214467553928</v>
      </c>
      <c r="I29" s="130">
        <f t="shared" si="12"/>
        <v>57.820122839578318</v>
      </c>
      <c r="J29" s="130">
        <f t="shared" si="12"/>
        <v>61.192259092124878</v>
      </c>
      <c r="K29" s="130">
        <f t="shared" si="12"/>
        <v>64.691724486013271</v>
      </c>
      <c r="L29" s="130">
        <f t="shared" si="12"/>
        <v>66.012966899755213</v>
      </c>
      <c r="M29" s="130">
        <f t="shared" si="12"/>
        <v>66.862851277414393</v>
      </c>
      <c r="N29" s="130">
        <f t="shared" si="12"/>
        <v>68.676421027279929</v>
      </c>
      <c r="O29" s="130">
        <f t="shared" si="12"/>
        <v>70.224338381493652</v>
      </c>
      <c r="P29" s="130">
        <f t="shared" si="12"/>
        <v>73.599239626621838</v>
      </c>
      <c r="Q29" s="130">
        <f t="shared" si="12"/>
        <v>75.94519166943104</v>
      </c>
      <c r="R29" s="130">
        <f t="shared" ref="R29:W29" si="13">SUM(R30:R33)</f>
        <v>79.020084924880862</v>
      </c>
      <c r="S29" s="130">
        <f t="shared" si="13"/>
        <v>81.268848626224397</v>
      </c>
      <c r="T29" s="130">
        <f t="shared" si="13"/>
        <v>83.899872236937711</v>
      </c>
      <c r="U29" s="130">
        <f t="shared" si="13"/>
        <v>86.254613013216712</v>
      </c>
      <c r="V29" s="130">
        <f t="shared" si="13"/>
        <v>75.043292029957129</v>
      </c>
      <c r="W29" s="130">
        <f t="shared" si="13"/>
        <v>88.437280526631795</v>
      </c>
      <c r="X29" s="130">
        <f t="shared" ref="X29:Y29" si="14">SUM(X30:X33)</f>
        <v>89.227098027107289</v>
      </c>
      <c r="Y29" s="130">
        <f t="shared" si="14"/>
        <v>89.663796559873447</v>
      </c>
      <c r="DA29" s="155" t="s">
        <v>326</v>
      </c>
    </row>
    <row r="30" spans="1:105" ht="12" customHeight="1" x14ac:dyDescent="0.25">
      <c r="A30" s="131" t="s">
        <v>52</v>
      </c>
      <c r="B30" s="132">
        <v>0.92496960050185573</v>
      </c>
      <c r="C30" s="132">
        <v>2.5880080172998774</v>
      </c>
      <c r="D30" s="132">
        <v>2.4082048437391292</v>
      </c>
      <c r="E30" s="132">
        <v>2.9456365095300869</v>
      </c>
      <c r="F30" s="132">
        <v>3.5025788351542877</v>
      </c>
      <c r="G30" s="132">
        <v>3.3681598874208594</v>
      </c>
      <c r="H30" s="132">
        <v>3.9046699898578385</v>
      </c>
      <c r="I30" s="132">
        <v>3.8170068545844127</v>
      </c>
      <c r="J30" s="132">
        <v>4.2781971981642091</v>
      </c>
      <c r="K30" s="132">
        <v>5.344290678609565</v>
      </c>
      <c r="L30" s="132">
        <v>5.9145283295494142</v>
      </c>
      <c r="M30" s="132">
        <v>5.2084886403858919</v>
      </c>
      <c r="N30" s="132">
        <v>5.1658828773141412</v>
      </c>
      <c r="O30" s="132">
        <v>5.1142071584696511</v>
      </c>
      <c r="P30" s="132">
        <v>5.0896531474624247</v>
      </c>
      <c r="Q30" s="132">
        <v>5.0673155001061359</v>
      </c>
      <c r="R30" s="132">
        <v>5.7860088665751244</v>
      </c>
      <c r="S30" s="132">
        <v>5.3929151440708987</v>
      </c>
      <c r="T30" s="132">
        <v>5.287275787807868</v>
      </c>
      <c r="U30" s="132">
        <v>5.8679187576597647</v>
      </c>
      <c r="V30" s="132">
        <v>4.8587599203534069</v>
      </c>
      <c r="W30" s="132">
        <v>5.9130426232542108</v>
      </c>
      <c r="X30" s="132">
        <v>3.9522168612773041</v>
      </c>
      <c r="Y30" s="132">
        <v>3.0963576914582145</v>
      </c>
      <c r="DA30" s="156" t="s">
        <v>327</v>
      </c>
    </row>
    <row r="31" spans="1:105" ht="12" customHeight="1" x14ac:dyDescent="0.25">
      <c r="A31" s="131" t="s">
        <v>149</v>
      </c>
      <c r="B31" s="132">
        <v>4.1690159324117886</v>
      </c>
      <c r="C31" s="132">
        <v>4.3660424983111561</v>
      </c>
      <c r="D31" s="132">
        <v>4.4760821287501651</v>
      </c>
      <c r="E31" s="132">
        <v>4.5385456881966624</v>
      </c>
      <c r="F31" s="132">
        <v>4.5690634967165016</v>
      </c>
      <c r="G31" s="132">
        <v>4.8168644370675162</v>
      </c>
      <c r="H31" s="132">
        <v>4.8988613371002563</v>
      </c>
      <c r="I31" s="132">
        <v>5.179659662091443</v>
      </c>
      <c r="J31" s="132">
        <v>5.4943488222156844</v>
      </c>
      <c r="K31" s="132">
        <v>5.7162281525567398</v>
      </c>
      <c r="L31" s="132">
        <v>5.8079491365421347</v>
      </c>
      <c r="M31" s="132">
        <v>6.104539546312302</v>
      </c>
      <c r="N31" s="132">
        <v>6.49328417281464</v>
      </c>
      <c r="O31" s="132">
        <v>6.5864429783488134</v>
      </c>
      <c r="P31" s="132">
        <v>6.8049016462308396</v>
      </c>
      <c r="Q31" s="132">
        <v>7.4065401204777253</v>
      </c>
      <c r="R31" s="132">
        <v>7.7936876262938828</v>
      </c>
      <c r="S31" s="132">
        <v>8.4427006254820771</v>
      </c>
      <c r="T31" s="132">
        <v>8.7199081055900383</v>
      </c>
      <c r="U31" s="132">
        <v>8.6321684390977698</v>
      </c>
      <c r="V31" s="132">
        <v>7.8557954657849756</v>
      </c>
      <c r="W31" s="132">
        <v>9.1413735672743393</v>
      </c>
      <c r="X31" s="132">
        <v>15.320960100773537</v>
      </c>
      <c r="Y31" s="132">
        <v>13.32411719805606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0.42185646792985027</v>
      </c>
      <c r="L32" s="132">
        <v>0.42189969011097417</v>
      </c>
      <c r="M32" s="132">
        <v>0.38148614885341647</v>
      </c>
      <c r="N32" s="132">
        <v>0.40545069836535064</v>
      </c>
      <c r="O32" s="132">
        <v>0.4108617053923323</v>
      </c>
      <c r="P32" s="132">
        <v>0.38327925098513205</v>
      </c>
      <c r="Q32" s="132">
        <v>0.38328601671072415</v>
      </c>
      <c r="R32" s="132">
        <v>0.38386847961803849</v>
      </c>
      <c r="S32" s="132">
        <v>0.41318647937052044</v>
      </c>
      <c r="T32" s="132">
        <v>0.58734692269795352</v>
      </c>
      <c r="U32" s="132">
        <v>0.673410156467668</v>
      </c>
      <c r="V32" s="132">
        <v>0.55260281327331828</v>
      </c>
      <c r="W32" s="132">
        <v>0.57785224641167565</v>
      </c>
      <c r="X32" s="132">
        <v>0.4860380454945698</v>
      </c>
      <c r="Y32" s="132">
        <v>0.80228983945003407</v>
      </c>
      <c r="DA32" s="156" t="s">
        <v>329</v>
      </c>
    </row>
    <row r="33" spans="1:105" ht="12" customHeight="1" x14ac:dyDescent="0.25">
      <c r="A33" s="62" t="s">
        <v>24</v>
      </c>
      <c r="B33" s="68">
        <v>34.076810374643685</v>
      </c>
      <c r="C33" s="68">
        <v>35.223935739078307</v>
      </c>
      <c r="D33" s="68">
        <v>37.438562269703077</v>
      </c>
      <c r="E33" s="68">
        <v>38.124877719622589</v>
      </c>
      <c r="F33" s="68">
        <v>40.375899110848849</v>
      </c>
      <c r="G33" s="68">
        <v>42.61819281683038</v>
      </c>
      <c r="H33" s="68">
        <v>45.371683140595835</v>
      </c>
      <c r="I33" s="68">
        <v>48.823456322902459</v>
      </c>
      <c r="J33" s="68">
        <v>51.419713071744987</v>
      </c>
      <c r="K33" s="68">
        <v>53.209349186917116</v>
      </c>
      <c r="L33" s="68">
        <v>53.868589743552683</v>
      </c>
      <c r="M33" s="68">
        <v>55.16833694186279</v>
      </c>
      <c r="N33" s="68">
        <v>56.611803278785793</v>
      </c>
      <c r="O33" s="68">
        <v>58.112826539282857</v>
      </c>
      <c r="P33" s="68">
        <v>61.321405581943438</v>
      </c>
      <c r="Q33" s="68">
        <v>63.088050032136458</v>
      </c>
      <c r="R33" s="68">
        <v>65.056519952393813</v>
      </c>
      <c r="S33" s="68">
        <v>67.020046377300901</v>
      </c>
      <c r="T33" s="68">
        <v>69.305341420841856</v>
      </c>
      <c r="U33" s="68">
        <v>71.081115659991511</v>
      </c>
      <c r="V33" s="68">
        <v>61.776133830545426</v>
      </c>
      <c r="W33" s="68">
        <v>72.805012089691573</v>
      </c>
      <c r="X33" s="68">
        <v>69.467883019561881</v>
      </c>
      <c r="Y33" s="68">
        <v>72.441031830909139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0.59537782231030811</v>
      </c>
      <c r="C3" s="126">
        <f>IF(SER_hh_tes!C3=0,"",SER_hh_tes!C3/SER_hh_fec!C3)</f>
        <v>0.59426845391924243</v>
      </c>
      <c r="D3" s="126">
        <f>IF(SER_hh_tes!D3=0,"",SER_hh_tes!D3/SER_hh_fec!D3)</f>
        <v>0.59864695827534553</v>
      </c>
      <c r="E3" s="126">
        <f>IF(SER_hh_tes!E3=0,"",SER_hh_tes!E3/SER_hh_fec!E3)</f>
        <v>0.62710600882834544</v>
      </c>
      <c r="F3" s="126">
        <f>IF(SER_hh_tes!F3=0,"",SER_hh_tes!F3/SER_hh_fec!F3)</f>
        <v>0.61611061982499449</v>
      </c>
      <c r="G3" s="126">
        <f>IF(SER_hh_tes!G3=0,"",SER_hh_tes!G3/SER_hh_fec!G3)</f>
        <v>0.63036655785017826</v>
      </c>
      <c r="H3" s="126">
        <f>IF(SER_hh_tes!H3=0,"",SER_hh_tes!H3/SER_hh_fec!H3)</f>
        <v>0.64970428333558761</v>
      </c>
      <c r="I3" s="126">
        <f>IF(SER_hh_tes!I3=0,"",SER_hh_tes!I3/SER_hh_fec!I3)</f>
        <v>0.67277084563117295</v>
      </c>
      <c r="J3" s="126">
        <f>IF(SER_hh_tes!J3=0,"",SER_hh_tes!J3/SER_hh_fec!J3)</f>
        <v>0.68295687837758667</v>
      </c>
      <c r="K3" s="126">
        <f>IF(SER_hh_tes!K3=0,"",SER_hh_tes!K3/SER_hh_fec!K3)</f>
        <v>0.68891901522776733</v>
      </c>
      <c r="L3" s="126">
        <f>IF(SER_hh_tes!L3=0,"",SER_hh_tes!L3/SER_hh_fec!L3)</f>
        <v>0.69485136860829344</v>
      </c>
      <c r="M3" s="126">
        <f>IF(SER_hh_tes!M3=0,"",SER_hh_tes!M3/SER_hh_fec!M3)</f>
        <v>0.71529602868022268</v>
      </c>
      <c r="N3" s="126">
        <f>IF(SER_hh_tes!N3=0,"",SER_hh_tes!N3/SER_hh_fec!N3)</f>
        <v>0.76356575370236446</v>
      </c>
      <c r="O3" s="126">
        <f>IF(SER_hh_tes!O3=0,"",SER_hh_tes!O3/SER_hh_fec!O3)</f>
        <v>0.74589032014769852</v>
      </c>
      <c r="P3" s="126">
        <f>IF(SER_hh_tes!P3=0,"",SER_hh_tes!P3/SER_hh_fec!P3)</f>
        <v>0.74625992750527492</v>
      </c>
      <c r="Q3" s="126">
        <f>IF(SER_hh_tes!Q3=0,"",SER_hh_tes!Q3/SER_hh_fec!Q3)</f>
        <v>0.78014145305247529</v>
      </c>
      <c r="R3" s="126">
        <f>IF(SER_hh_tes!R3=0,"",SER_hh_tes!R3/SER_hh_fec!R3)</f>
        <v>0.75578386590987856</v>
      </c>
      <c r="S3" s="126">
        <f>IF(SER_hh_tes!S3=0,"",SER_hh_tes!S3/SER_hh_fec!S3)</f>
        <v>0.79110754377726922</v>
      </c>
      <c r="T3" s="126">
        <f>IF(SER_hh_tes!T3=0,"",SER_hh_tes!T3/SER_hh_fec!T3)</f>
        <v>0.77871662731464864</v>
      </c>
      <c r="U3" s="126">
        <f>IF(SER_hh_tes!U3=0,"",SER_hh_tes!U3/SER_hh_fec!U3)</f>
        <v>0.80571358498851497</v>
      </c>
      <c r="V3" s="126">
        <f>IF(SER_hh_tes!V3=0,"",SER_hh_tes!V3/SER_hh_fec!V3)</f>
        <v>0.80493722945454416</v>
      </c>
      <c r="W3" s="126">
        <f>IF(SER_hh_tes!W3=0,"",SER_hh_tes!W3/SER_hh_fec!W3)</f>
        <v>0.82906928316085582</v>
      </c>
      <c r="X3" s="126">
        <f>IF(SER_hh_tes!X3=0,"",SER_hh_tes!X3/SER_hh_fec!X3)</f>
        <v>0.85273010172348995</v>
      </c>
      <c r="Y3" s="126">
        <f>IF(SER_hh_tes!Y3=0,"",SER_hh_tes!Y3/SER_hh_fec!Y3)</f>
        <v>0.85992464361622722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0.54139503495539942</v>
      </c>
      <c r="C4" s="135">
        <f>IF(SER_hh_tes!C4=0,"",SER_hh_tes!C4/SER_hh_fec!C4)</f>
        <v>0.54656145940227296</v>
      </c>
      <c r="D4" s="135">
        <f>IF(SER_hh_tes!D4=0,"",SER_hh_tes!D4/SER_hh_fec!D4)</f>
        <v>0.54967572665721143</v>
      </c>
      <c r="E4" s="135">
        <f>IF(SER_hh_tes!E4=0,"",SER_hh_tes!E4/SER_hh_fec!E4)</f>
        <v>0.55798729162275018</v>
      </c>
      <c r="F4" s="135">
        <f>IF(SER_hh_tes!F4=0,"",SER_hh_tes!F4/SER_hh_fec!F4)</f>
        <v>0.56548004088675785</v>
      </c>
      <c r="G4" s="135">
        <f>IF(SER_hh_tes!G4=0,"",SER_hh_tes!G4/SER_hh_fec!G4)</f>
        <v>0.57954698701980289</v>
      </c>
      <c r="H4" s="135">
        <f>IF(SER_hh_tes!H4=0,"",SER_hh_tes!H4/SER_hh_fec!H4)</f>
        <v>0.58792100700620598</v>
      </c>
      <c r="I4" s="135">
        <f>IF(SER_hh_tes!I4=0,"",SER_hh_tes!I4/SER_hh_fec!I4)</f>
        <v>0.6005153561512373</v>
      </c>
      <c r="J4" s="135">
        <f>IF(SER_hh_tes!J4=0,"",SER_hh_tes!J4/SER_hh_fec!J4)</f>
        <v>0.61361834505329937</v>
      </c>
      <c r="K4" s="135">
        <f>IF(SER_hh_tes!K4=0,"",SER_hh_tes!K4/SER_hh_fec!K4)</f>
        <v>0.61719828859081916</v>
      </c>
      <c r="L4" s="135">
        <f>IF(SER_hh_tes!L4=0,"",SER_hh_tes!L4/SER_hh_fec!L4)</f>
        <v>0.62473064186781335</v>
      </c>
      <c r="M4" s="135">
        <f>IF(SER_hh_tes!M4=0,"",SER_hh_tes!M4/SER_hh_fec!M4)</f>
        <v>0.63805095246797472</v>
      </c>
      <c r="N4" s="135">
        <f>IF(SER_hh_tes!N4=0,"",SER_hh_tes!N4/SER_hh_fec!N4)</f>
        <v>0.65084344450868081</v>
      </c>
      <c r="O4" s="135">
        <f>IF(SER_hh_tes!O4=0,"",SER_hh_tes!O4/SER_hh_fec!O4)</f>
        <v>0.66250084512420537</v>
      </c>
      <c r="P4" s="135">
        <f>IF(SER_hh_tes!P4=0,"",SER_hh_tes!P4/SER_hh_fec!P4)</f>
        <v>0.66141078780484919</v>
      </c>
      <c r="Q4" s="135">
        <f>IF(SER_hh_tes!Q4=0,"",SER_hh_tes!Q4/SER_hh_fec!Q4)</f>
        <v>0.66094620844899132</v>
      </c>
      <c r="R4" s="135">
        <f>IF(SER_hh_tes!R4=0,"",SER_hh_tes!R4/SER_hh_fec!R4)</f>
        <v>0.67021923000197292</v>
      </c>
      <c r="S4" s="135">
        <f>IF(SER_hh_tes!S4=0,"",SER_hh_tes!S4/SER_hh_fec!S4)</f>
        <v>0.68213754346486799</v>
      </c>
      <c r="T4" s="135">
        <f>IF(SER_hh_tes!T4=0,"",SER_hh_tes!T4/SER_hh_fec!T4)</f>
        <v>0.69478069557419475</v>
      </c>
      <c r="U4" s="135">
        <f>IF(SER_hh_tes!U4=0,"",SER_hh_tes!U4/SER_hh_fec!U4)</f>
        <v>0.70752435736232411</v>
      </c>
      <c r="V4" s="135">
        <f>IF(SER_hh_tes!V4=0,"",SER_hh_tes!V4/SER_hh_fec!V4)</f>
        <v>0.71605236193423238</v>
      </c>
      <c r="W4" s="135">
        <f>IF(SER_hh_tes!W4=0,"",SER_hh_tes!W4/SER_hh_fec!W4)</f>
        <v>0.72971011407895969</v>
      </c>
      <c r="X4" s="135">
        <f>IF(SER_hh_tes!X4=0,"",SER_hh_tes!X4/SER_hh_fec!X4)</f>
        <v>0.74431832310855506</v>
      </c>
      <c r="Y4" s="135">
        <f>IF(SER_hh_tes!Y4=0,"",SER_hh_tes!Y4/SER_hh_fec!Y4)</f>
        <v>0.75882227555769388</v>
      </c>
      <c r="DA4" s="162" t="s">
        <v>240</v>
      </c>
    </row>
    <row r="5" spans="1:105" ht="12" customHeight="1" x14ac:dyDescent="0.25">
      <c r="A5" s="131" t="s">
        <v>29</v>
      </c>
      <c r="B5" s="136">
        <f>IF(SER_hh_tes!B5=0,"",SER_hh_tes!B5/SER_hh_fec!B5)</f>
        <v>0.50969960512627932</v>
      </c>
      <c r="C5" s="136">
        <f>IF(SER_hh_tes!C5=0,"",SER_hh_tes!C5/SER_hh_fec!C5)</f>
        <v>0.51306883571710937</v>
      </c>
      <c r="D5" s="136">
        <f>IF(SER_hh_tes!D5=0,"",SER_hh_tes!D5/SER_hh_fec!D5)</f>
        <v>0.51669029374516429</v>
      </c>
      <c r="E5" s="136">
        <f>IF(SER_hh_tes!E5=0,"",SER_hh_tes!E5/SER_hh_fec!E5)</f>
        <v>0.51732450364941895</v>
      </c>
      <c r="F5" s="136">
        <f>IF(SER_hh_tes!F5=0,"",SER_hh_tes!F5/SER_hh_fec!F5)</f>
        <v>0.51807051734984577</v>
      </c>
      <c r="G5" s="136">
        <f>IF(SER_hh_tes!G5=0,"",SER_hh_tes!G5/SER_hh_fec!G5)</f>
        <v>0.51807051734984577</v>
      </c>
      <c r="H5" s="136">
        <f>IF(SER_hh_tes!H5=0,"",SER_hh_tes!H5/SER_hh_fec!H5)</f>
        <v>0.51807051734984566</v>
      </c>
      <c r="I5" s="136">
        <f>IF(SER_hh_tes!I5=0,"",SER_hh_tes!I5/SER_hh_fec!I5)</f>
        <v>0.51807051734984577</v>
      </c>
      <c r="J5" s="136">
        <f>IF(SER_hh_tes!J5=0,"",SER_hh_tes!J5/SER_hh_fec!J5)</f>
        <v>0.52840117307283707</v>
      </c>
      <c r="K5" s="136">
        <f>IF(SER_hh_tes!K5=0,"",SER_hh_tes!K5/SER_hh_fec!K5)</f>
        <v>0.53630665733812355</v>
      </c>
      <c r="L5" s="136">
        <f>IF(SER_hh_tes!L5=0,"",SER_hh_tes!L5/SER_hh_fec!L5)</f>
        <v>0.55980790127582336</v>
      </c>
      <c r="M5" s="136">
        <f>IF(SER_hh_tes!M5=0,"",SER_hh_tes!M5/SER_hh_fec!M5)</f>
        <v>0.5847636785520941</v>
      </c>
      <c r="N5" s="136">
        <f>IF(SER_hh_tes!N5=0,"",SER_hh_tes!N5/SER_hh_fec!N5)</f>
        <v>0.61088067630014653</v>
      </c>
      <c r="O5" s="136">
        <f>IF(SER_hh_tes!O5=0,"",SER_hh_tes!O5/SER_hh_fec!O5)</f>
        <v>0.63270441722238979</v>
      </c>
      <c r="P5" s="136">
        <f>IF(SER_hh_tes!P5=0,"",SER_hh_tes!P5/SER_hh_fec!P5)</f>
        <v>0.63270441722239024</v>
      </c>
      <c r="Q5" s="136">
        <f>IF(SER_hh_tes!Q5=0,"",SER_hh_tes!Q5/SER_hh_fec!Q5)</f>
        <v>0.63270441722238979</v>
      </c>
      <c r="R5" s="136">
        <f>IF(SER_hh_tes!R5=0,"",SER_hh_tes!R5/SER_hh_fec!R5)</f>
        <v>0.63270441722238979</v>
      </c>
      <c r="S5" s="136">
        <f>IF(SER_hh_tes!S5=0,"",SER_hh_tes!S5/SER_hh_fec!S5)</f>
        <v>0.6422990479748758</v>
      </c>
      <c r="T5" s="136">
        <f>IF(SER_hh_tes!T5=0,"",SER_hh_tes!T5/SER_hh_fec!T5)</f>
        <v>0.64599972820478546</v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 t="str">
        <f>IF(SER_hh_tes!B6=0,"",SER_hh_tes!B6/SER_hh_fec!B6)</f>
        <v/>
      </c>
      <c r="C6" s="136" t="str">
        <f>IF(SER_hh_tes!C6=0,"",SER_hh_tes!C6/SER_hh_fec!C6)</f>
        <v/>
      </c>
      <c r="D6" s="136" t="str">
        <f>IF(SER_hh_tes!D6=0,"",SER_hh_tes!D6/SER_hh_fec!D6)</f>
        <v/>
      </c>
      <c r="E6" s="136" t="str">
        <f>IF(SER_hh_tes!E6=0,"",SER_hh_tes!E6/SER_hh_fec!E6)</f>
        <v/>
      </c>
      <c r="F6" s="136" t="str">
        <f>IF(SER_hh_tes!F6=0,"",SER_hh_tes!F6/SER_hh_fec!F6)</f>
        <v/>
      </c>
      <c r="G6" s="136" t="str">
        <f>IF(SER_hh_tes!G6=0,"",SER_hh_tes!G6/SER_hh_fec!G6)</f>
        <v/>
      </c>
      <c r="H6" s="136" t="str">
        <f>IF(SER_hh_tes!H6=0,"",SER_hh_tes!H6/SER_hh_fec!H6)</f>
        <v/>
      </c>
      <c r="I6" s="136" t="str">
        <f>IF(SER_hh_tes!I6=0,"",SER_hh_tes!I6/SER_hh_fec!I6)</f>
        <v/>
      </c>
      <c r="J6" s="136" t="str">
        <f>IF(SER_hh_tes!J6=0,"",SER_hh_tes!J6/SER_hh_fec!J6)</f>
        <v/>
      </c>
      <c r="K6" s="136" t="str">
        <f>IF(SER_hh_tes!K6=0,"",SER_hh_tes!K6/SER_hh_fec!K6)</f>
        <v/>
      </c>
      <c r="L6" s="136" t="str">
        <f>IF(SER_hh_tes!L6=0,"",SER_hh_tes!L6/SER_hh_fec!L6)</f>
        <v/>
      </c>
      <c r="M6" s="136" t="str">
        <f>IF(SER_hh_tes!M6=0,"",SER_hh_tes!M6/SER_hh_fec!M6)</f>
        <v/>
      </c>
      <c r="N6" s="136" t="str">
        <f>IF(SER_hh_tes!N6=0,"",SER_hh_tes!N6/SER_hh_fec!N6)</f>
        <v/>
      </c>
      <c r="O6" s="136" t="str">
        <f>IF(SER_hh_tes!O6=0,"",SER_hh_tes!O6/SER_hh_fec!O6)</f>
        <v/>
      </c>
      <c r="P6" s="136" t="str">
        <f>IF(SER_hh_tes!P6=0,"",SER_hh_tes!P6/SER_hh_fec!P6)</f>
        <v/>
      </c>
      <c r="Q6" s="136" t="str">
        <f>IF(SER_hh_tes!Q6=0,"",SER_hh_tes!Q6/SER_hh_fec!Q6)</f>
        <v/>
      </c>
      <c r="R6" s="136" t="str">
        <f>IF(SER_hh_tes!R6=0,"",SER_hh_tes!R6/SER_hh_fec!R6)</f>
        <v/>
      </c>
      <c r="S6" s="136" t="str">
        <f>IF(SER_hh_tes!S6=0,"",SER_hh_tes!S6/SER_hh_fec!S6)</f>
        <v/>
      </c>
      <c r="T6" s="136" t="str">
        <f>IF(SER_hh_tes!T6=0,"",SER_hh_tes!T6/SER_hh_fec!T6)</f>
        <v/>
      </c>
      <c r="U6" s="136" t="str">
        <f>IF(SER_hh_tes!U6=0,"",SER_hh_tes!U6/SER_hh_fec!U6)</f>
        <v/>
      </c>
      <c r="V6" s="136" t="str">
        <f>IF(SER_hh_tes!V6=0,"",SER_hh_tes!V6/SER_hh_fec!V6)</f>
        <v/>
      </c>
      <c r="W6" s="136" t="str">
        <f>IF(SER_hh_tes!W6=0,"",SER_hh_tes!W6/SER_hh_fec!W6)</f>
        <v/>
      </c>
      <c r="X6" s="136" t="str">
        <f>IF(SER_hh_tes!X6=0,"",SER_hh_tes!X6/SER_hh_fec!X6)</f>
        <v/>
      </c>
      <c r="Y6" s="136" t="str">
        <f>IF(SER_hh_tes!Y6=0,"",SER_hh_tes!Y6/SER_hh_fec!Y6)</f>
        <v/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0.43752079705845887</v>
      </c>
      <c r="C7" s="136">
        <f>IF(SER_hh_tes!C7=0,"",SER_hh_tes!C7/SER_hh_fec!C7)</f>
        <v>0.44281775070480195</v>
      </c>
      <c r="D7" s="136">
        <f>IF(SER_hh_tes!D7=0,"",SER_hh_tes!D7/SER_hh_fec!D7)</f>
        <v>0.4480402215022854</v>
      </c>
      <c r="E7" s="136">
        <f>IF(SER_hh_tes!E7=0,"",SER_hh_tes!E7/SER_hh_fec!E7)</f>
        <v>0.45350527198039459</v>
      </c>
      <c r="F7" s="136">
        <f>IF(SER_hh_tes!F7=0,"",SER_hh_tes!F7/SER_hh_fec!F7)</f>
        <v>0.45631644593025827</v>
      </c>
      <c r="G7" s="136">
        <f>IF(SER_hh_tes!G7=0,"",SER_hh_tes!G7/SER_hh_fec!G7)</f>
        <v>0.45793474940932494</v>
      </c>
      <c r="H7" s="136">
        <f>IF(SER_hh_tes!H7=0,"",SER_hh_tes!H7/SER_hh_fec!H7)</f>
        <v>0.45964071670220363</v>
      </c>
      <c r="I7" s="136">
        <f>IF(SER_hh_tes!I7=0,"",SER_hh_tes!I7/SER_hh_fec!I7)</f>
        <v>0.46161991292998439</v>
      </c>
      <c r="J7" s="136">
        <f>IF(SER_hh_tes!J7=0,"",SER_hh_tes!J7/SER_hh_fec!J7)</f>
        <v>0.46394871289340173</v>
      </c>
      <c r="K7" s="136">
        <f>IF(SER_hh_tes!K7=0,"",SER_hh_tes!K7/SER_hh_fec!K7)</f>
        <v>0.46779639573715781</v>
      </c>
      <c r="L7" s="136">
        <f>IF(SER_hh_tes!L7=0,"",SER_hh_tes!L7/SER_hh_fec!L7)</f>
        <v>0.47446280434421662</v>
      </c>
      <c r="M7" s="136">
        <f>IF(SER_hh_tes!M7=0,"",SER_hh_tes!M7/SER_hh_fec!M7)</f>
        <v>0.48543677051245465</v>
      </c>
      <c r="N7" s="136">
        <f>IF(SER_hh_tes!N7=0,"",SER_hh_tes!N7/SER_hh_fec!N7)</f>
        <v>0.50074665110374339</v>
      </c>
      <c r="O7" s="136">
        <f>IF(SER_hh_tes!O7=0,"",SER_hh_tes!O7/SER_hh_fec!O7)</f>
        <v>0.52221729448188536</v>
      </c>
      <c r="P7" s="136">
        <f>IF(SER_hh_tes!P7=0,"",SER_hh_tes!P7/SER_hh_fec!P7)</f>
        <v>0.52835184322945161</v>
      </c>
      <c r="Q7" s="136">
        <f>IF(SER_hh_tes!Q7=0,"",SER_hh_tes!Q7/SER_hh_fec!Q7)</f>
        <v>0.54423115809639633</v>
      </c>
      <c r="R7" s="136">
        <f>IF(SER_hh_tes!R7=0,"",SER_hh_tes!R7/SER_hh_fec!R7)</f>
        <v>0.56018002117835652</v>
      </c>
      <c r="S7" s="136">
        <f>IF(SER_hh_tes!S7=0,"",SER_hh_tes!S7/SER_hh_fec!S7)</f>
        <v>0.57844005016885047</v>
      </c>
      <c r="T7" s="136">
        <f>IF(SER_hh_tes!T7=0,"",SER_hh_tes!T7/SER_hh_fec!T7)</f>
        <v>0.59272466271968438</v>
      </c>
      <c r="U7" s="136">
        <f>IF(SER_hh_tes!U7=0,"",SER_hh_tes!U7/SER_hh_fec!U7)</f>
        <v>0.6036290633277499</v>
      </c>
      <c r="V7" s="136">
        <f>IF(SER_hh_tes!V7=0,"",SER_hh_tes!V7/SER_hh_fec!V7)</f>
        <v>0.60704105358150651</v>
      </c>
      <c r="W7" s="136">
        <f>IF(SER_hh_tes!W7=0,"",SER_hh_tes!W7/SER_hh_fec!W7)</f>
        <v>0.60736115004752522</v>
      </c>
      <c r="X7" s="136">
        <f>IF(SER_hh_tes!X7=0,"",SER_hh_tes!X7/SER_hh_fec!X7)</f>
        <v>0.61037240193374109</v>
      </c>
      <c r="Y7" s="136">
        <f>IF(SER_hh_tes!Y7=0,"",SER_hh_tes!Y7/SER_hh_fec!Y7)</f>
        <v>0.6199511111925009</v>
      </c>
      <c r="DA7" s="163" t="s">
        <v>334</v>
      </c>
    </row>
    <row r="8" spans="1:105" ht="12" customHeight="1" x14ac:dyDescent="0.25">
      <c r="A8" s="131" t="s">
        <v>73</v>
      </c>
      <c r="B8" s="136" t="str">
        <f>IF(SER_hh_tes!B8=0,"",SER_hh_tes!B8/SER_hh_fec!B8)</f>
        <v/>
      </c>
      <c r="C8" s="136" t="str">
        <f>IF(SER_hh_tes!C8=0,"",SER_hh_tes!C8/SER_hh_fec!C8)</f>
        <v/>
      </c>
      <c r="D8" s="136" t="str">
        <f>IF(SER_hh_tes!D8=0,"",SER_hh_tes!D8/SER_hh_fec!D8)</f>
        <v/>
      </c>
      <c r="E8" s="136" t="str">
        <f>IF(SER_hh_tes!E8=0,"",SER_hh_tes!E8/SER_hh_fec!E8)</f>
        <v/>
      </c>
      <c r="F8" s="136" t="str">
        <f>IF(SER_hh_tes!F8=0,"",SER_hh_tes!F8/SER_hh_fec!F8)</f>
        <v/>
      </c>
      <c r="G8" s="136" t="str">
        <f>IF(SER_hh_tes!G8=0,"",SER_hh_tes!G8/SER_hh_fec!G8)</f>
        <v/>
      </c>
      <c r="H8" s="136" t="str">
        <f>IF(SER_hh_tes!H8=0,"",SER_hh_tes!H8/SER_hh_fec!H8)</f>
        <v/>
      </c>
      <c r="I8" s="136" t="str">
        <f>IF(SER_hh_tes!I8=0,"",SER_hh_tes!I8/SER_hh_fec!I8)</f>
        <v/>
      </c>
      <c r="J8" s="136" t="str">
        <f>IF(SER_hh_tes!J8=0,"",SER_hh_tes!J8/SER_hh_fec!J8)</f>
        <v/>
      </c>
      <c r="K8" s="136" t="str">
        <f>IF(SER_hh_tes!K8=0,"",SER_hh_tes!K8/SER_hh_fec!K8)</f>
        <v/>
      </c>
      <c r="L8" s="136" t="str">
        <f>IF(SER_hh_tes!L8=0,"",SER_hh_tes!L8/SER_hh_fec!L8)</f>
        <v/>
      </c>
      <c r="M8" s="136" t="str">
        <f>IF(SER_hh_tes!M8=0,"",SER_hh_tes!M8/SER_hh_fec!M8)</f>
        <v/>
      </c>
      <c r="N8" s="136" t="str">
        <f>IF(SER_hh_tes!N8=0,"",SER_hh_tes!N8/SER_hh_fec!N8)</f>
        <v/>
      </c>
      <c r="O8" s="136" t="str">
        <f>IF(SER_hh_tes!O8=0,"",SER_hh_tes!O8/SER_hh_fec!O8)</f>
        <v/>
      </c>
      <c r="P8" s="136" t="str">
        <f>IF(SER_hh_tes!P8=0,"",SER_hh_tes!P8/SER_hh_fec!P8)</f>
        <v/>
      </c>
      <c r="Q8" s="136" t="str">
        <f>IF(SER_hh_tes!Q8=0,"",SER_hh_tes!Q8/SER_hh_fec!Q8)</f>
        <v/>
      </c>
      <c r="R8" s="136" t="str">
        <f>IF(SER_hh_tes!R8=0,"",SER_hh_tes!R8/SER_hh_fec!R8)</f>
        <v/>
      </c>
      <c r="S8" s="136" t="str">
        <f>IF(SER_hh_tes!S8=0,"",SER_hh_tes!S8/SER_hh_fec!S8)</f>
        <v/>
      </c>
      <c r="T8" s="136" t="str">
        <f>IF(SER_hh_tes!T8=0,"",SER_hh_tes!T8/SER_hh_fec!T8)</f>
        <v/>
      </c>
      <c r="U8" s="136" t="str">
        <f>IF(SER_hh_tes!U8=0,"",SER_hh_tes!U8/SER_hh_fec!U8)</f>
        <v/>
      </c>
      <c r="V8" s="136" t="str">
        <f>IF(SER_hh_tes!V8=0,"",SER_hh_tes!V8/SER_hh_fec!V8)</f>
        <v/>
      </c>
      <c r="W8" s="136" t="str">
        <f>IF(SER_hh_tes!W8=0,"",SER_hh_tes!W8/SER_hh_fec!W8)</f>
        <v/>
      </c>
      <c r="X8" s="136" t="str">
        <f>IF(SER_hh_tes!X8=0,"",SER_hh_tes!X8/SER_hh_fec!X8)</f>
        <v/>
      </c>
      <c r="Y8" s="136" t="str">
        <f>IF(SER_hh_tes!Y8=0,"",SER_hh_tes!Y8/SER_hh_fec!Y8)</f>
        <v/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0.47291378124514594</v>
      </c>
      <c r="C9" s="136">
        <f>IF(SER_hh_tes!C9=0,"",SER_hh_tes!C9/SER_hh_fec!C9)</f>
        <v>0.47911977331690347</v>
      </c>
      <c r="D9" s="136">
        <f>IF(SER_hh_tes!D9=0,"",SER_hh_tes!D9/SER_hh_fec!D9)</f>
        <v>0.48346453975857151</v>
      </c>
      <c r="E9" s="136">
        <f>IF(SER_hh_tes!E9=0,"",SER_hh_tes!E9/SER_hh_fec!E9)</f>
        <v>0.4894381534089996</v>
      </c>
      <c r="F9" s="136">
        <f>IF(SER_hh_tes!F9=0,"",SER_hh_tes!F9/SER_hh_fec!F9)</f>
        <v>0.49564006772035679</v>
      </c>
      <c r="G9" s="136">
        <f>IF(SER_hh_tes!G9=0,"",SER_hh_tes!G9/SER_hh_fec!G9)</f>
        <v>0.50266322835499155</v>
      </c>
      <c r="H9" s="136">
        <f>IF(SER_hh_tes!H9=0,"",SER_hh_tes!H9/SER_hh_fec!H9)</f>
        <v>0.50926811984755838</v>
      </c>
      <c r="I9" s="136">
        <f>IF(SER_hh_tes!I9=0,"",SER_hh_tes!I9/SER_hh_fec!I9)</f>
        <v>0.51562326386827972</v>
      </c>
      <c r="J9" s="136">
        <f>IF(SER_hh_tes!J9=0,"",SER_hh_tes!J9/SER_hh_fec!J9)</f>
        <v>0.52189045598900019</v>
      </c>
      <c r="K9" s="136">
        <f>IF(SER_hh_tes!K9=0,"",SER_hh_tes!K9/SER_hh_fec!K9)</f>
        <v>0.5282632355685899</v>
      </c>
      <c r="L9" s="136">
        <f>IF(SER_hh_tes!L9=0,"",SER_hh_tes!L9/SER_hh_fec!L9)</f>
        <v>0.53480720115278613</v>
      </c>
      <c r="M9" s="136">
        <f>IF(SER_hh_tes!M9=0,"",SER_hh_tes!M9/SER_hh_fec!M9)</f>
        <v>0.54058146245358696</v>
      </c>
      <c r="N9" s="136">
        <f>IF(SER_hh_tes!N9=0,"",SER_hh_tes!N9/SER_hh_fec!N9)</f>
        <v>0.54948093834998368</v>
      </c>
      <c r="O9" s="136">
        <f>IF(SER_hh_tes!O9=0,"",SER_hh_tes!O9/SER_hh_fec!O9)</f>
        <v>0.563755173101118</v>
      </c>
      <c r="P9" s="136">
        <f>IF(SER_hh_tes!P9=0,"",SER_hh_tes!P9/SER_hh_fec!P9)</f>
        <v>0.5784788292267099</v>
      </c>
      <c r="Q9" s="136">
        <f>IF(SER_hh_tes!Q9=0,"",SER_hh_tes!Q9/SER_hh_fec!Q9)</f>
        <v>0.59701106115847946</v>
      </c>
      <c r="R9" s="136">
        <f>IF(SER_hh_tes!R9=0,"",SER_hh_tes!R9/SER_hh_fec!R9)</f>
        <v>0.60839590336526406</v>
      </c>
      <c r="S9" s="136">
        <f>IF(SER_hh_tes!S9=0,"",SER_hh_tes!S9/SER_hh_fec!S9)</f>
        <v>0.61958757161421674</v>
      </c>
      <c r="T9" s="136">
        <f>IF(SER_hh_tes!T9=0,"",SER_hh_tes!T9/SER_hh_fec!T9)</f>
        <v>0.6320678433478778</v>
      </c>
      <c r="U9" s="136">
        <f>IF(SER_hh_tes!U9=0,"",SER_hh_tes!U9/SER_hh_fec!U9)</f>
        <v>0.64673443471654479</v>
      </c>
      <c r="V9" s="136">
        <f>IF(SER_hh_tes!V9=0,"",SER_hh_tes!V9/SER_hh_fec!V9)</f>
        <v>0.66059793571829084</v>
      </c>
      <c r="W9" s="136">
        <f>IF(SER_hh_tes!W9=0,"",SER_hh_tes!W9/SER_hh_fec!W9)</f>
        <v>0.67197355427169525</v>
      </c>
      <c r="X9" s="136">
        <f>IF(SER_hh_tes!X9=0,"",SER_hh_tes!X9/SER_hh_fec!X9)</f>
        <v>0.679326193371938</v>
      </c>
      <c r="Y9" s="136">
        <f>IF(SER_hh_tes!Y9=0,"",SER_hh_tes!Y9/SER_hh_fec!Y9)</f>
        <v>0.68696889165648301</v>
      </c>
      <c r="DA9" s="163" t="s">
        <v>336</v>
      </c>
    </row>
    <row r="10" spans="1:105" ht="12" customHeight="1" x14ac:dyDescent="0.25">
      <c r="A10" s="131" t="s">
        <v>128</v>
      </c>
      <c r="B10" s="136" t="str">
        <f>IF(SER_hh_tes!B10=0,"",SER_hh_tes!B10/SER_hh_fec!B10)</f>
        <v/>
      </c>
      <c r="C10" s="136" t="str">
        <f>IF(SER_hh_tes!C10=0,"",SER_hh_tes!C10/SER_hh_fec!C10)</f>
        <v/>
      </c>
      <c r="D10" s="136" t="str">
        <f>IF(SER_hh_tes!D10=0,"",SER_hh_tes!D10/SER_hh_fec!D10)</f>
        <v/>
      </c>
      <c r="E10" s="136" t="str">
        <f>IF(SER_hh_tes!E10=0,"",SER_hh_tes!E10/SER_hh_fec!E10)</f>
        <v/>
      </c>
      <c r="F10" s="136" t="str">
        <f>IF(SER_hh_tes!F10=0,"",SER_hh_tes!F10/SER_hh_fec!F10)</f>
        <v/>
      </c>
      <c r="G10" s="136" t="str">
        <f>IF(SER_hh_tes!G10=0,"",SER_hh_tes!G10/SER_hh_fec!G10)</f>
        <v/>
      </c>
      <c r="H10" s="136" t="str">
        <f>IF(SER_hh_tes!H10=0,"",SER_hh_tes!H10/SER_hh_fec!H10)</f>
        <v/>
      </c>
      <c r="I10" s="136">
        <f>IF(SER_hh_tes!I10=0,"",SER_hh_tes!I10/SER_hh_fec!I10)</f>
        <v>0.47911603584715906</v>
      </c>
      <c r="J10" s="136">
        <f>IF(SER_hh_tes!J10=0,"",SER_hh_tes!J10/SER_hh_fec!J10)</f>
        <v>0.48096104935833695</v>
      </c>
      <c r="K10" s="136">
        <f>IF(SER_hh_tes!K10=0,"",SER_hh_tes!K10/SER_hh_fec!K10)</f>
        <v>0.48391134018503984</v>
      </c>
      <c r="L10" s="136">
        <f>IF(SER_hh_tes!L10=0,"",SER_hh_tes!L10/SER_hh_fec!L10)</f>
        <v>0.48441632669247181</v>
      </c>
      <c r="M10" s="136">
        <f>IF(SER_hh_tes!M10=0,"",SER_hh_tes!M10/SER_hh_fec!M10)</f>
        <v>0.48742042089213411</v>
      </c>
      <c r="N10" s="136">
        <f>IF(SER_hh_tes!N10=0,"",SER_hh_tes!N10/SER_hh_fec!N10)</f>
        <v>0.49061916008561368</v>
      </c>
      <c r="O10" s="136">
        <f>IF(SER_hh_tes!O10=0,"",SER_hh_tes!O10/SER_hh_fec!O10)</f>
        <v>0.49691866539233459</v>
      </c>
      <c r="P10" s="136">
        <f>IF(SER_hh_tes!P10=0,"",SER_hh_tes!P10/SER_hh_fec!P10)</f>
        <v>0.50494562180316982</v>
      </c>
      <c r="Q10" s="136">
        <f>IF(SER_hh_tes!Q10=0,"",SER_hh_tes!Q10/SER_hh_fec!Q10)</f>
        <v>0.51134049165408524</v>
      </c>
      <c r="R10" s="136">
        <f>IF(SER_hh_tes!R10=0,"",SER_hh_tes!R10/SER_hh_fec!R10)</f>
        <v>0.51818806684699237</v>
      </c>
      <c r="S10" s="136">
        <f>IF(SER_hh_tes!S10=0,"",SER_hh_tes!S10/SER_hh_fec!S10)</f>
        <v>0.52477224619196305</v>
      </c>
      <c r="T10" s="136">
        <f>IF(SER_hh_tes!T10=0,"",SER_hh_tes!T10/SER_hh_fec!T10)</f>
        <v>0.53259514693102894</v>
      </c>
      <c r="U10" s="136">
        <f>IF(SER_hh_tes!U10=0,"",SER_hh_tes!U10/SER_hh_fec!U10)</f>
        <v>0.54028080247631338</v>
      </c>
      <c r="V10" s="136">
        <f>IF(SER_hh_tes!V10=0,"",SER_hh_tes!V10/SER_hh_fec!V10)</f>
        <v>0.54736218461669506</v>
      </c>
      <c r="W10" s="136">
        <f>IF(SER_hh_tes!W10=0,"",SER_hh_tes!W10/SER_hh_fec!W10)</f>
        <v>0.5530781334924525</v>
      </c>
      <c r="X10" s="136">
        <f>IF(SER_hh_tes!X10=0,"",SER_hh_tes!X10/SER_hh_fec!X10)</f>
        <v>0.5583509734509885</v>
      </c>
      <c r="Y10" s="136">
        <f>IF(SER_hh_tes!Y10=0,"",SER_hh_tes!Y10/SER_hh_fec!Y10)</f>
        <v>0.56393295941551447</v>
      </c>
      <c r="DA10" s="163" t="s">
        <v>337</v>
      </c>
    </row>
    <row r="11" spans="1:105" ht="12" customHeight="1" x14ac:dyDescent="0.25">
      <c r="A11" s="131" t="s">
        <v>25</v>
      </c>
      <c r="B11" s="136" t="str">
        <f>IF(SER_hh_tes!B11=0,"",SER_hh_tes!B11/SER_hh_fec!B11)</f>
        <v/>
      </c>
      <c r="C11" s="136" t="str">
        <f>IF(SER_hh_tes!C11=0,"",SER_hh_tes!C11/SER_hh_fec!C11)</f>
        <v/>
      </c>
      <c r="D11" s="136" t="str">
        <f>IF(SER_hh_tes!D11=0,"",SER_hh_tes!D11/SER_hh_fec!D11)</f>
        <v/>
      </c>
      <c r="E11" s="136" t="str">
        <f>IF(SER_hh_tes!E11=0,"",SER_hh_tes!E11/SER_hh_fec!E11)</f>
        <v/>
      </c>
      <c r="F11" s="136" t="str">
        <f>IF(SER_hh_tes!F11=0,"",SER_hh_tes!F11/SER_hh_fec!F11)</f>
        <v/>
      </c>
      <c r="G11" s="136" t="str">
        <f>IF(SER_hh_tes!G11=0,"",SER_hh_tes!G11/SER_hh_fec!G11)</f>
        <v/>
      </c>
      <c r="H11" s="136" t="str">
        <f>IF(SER_hh_tes!H11=0,"",SER_hh_tes!H11/SER_hh_fec!H11)</f>
        <v/>
      </c>
      <c r="I11" s="136">
        <f>IF(SER_hh_tes!I11=0,"",SER_hh_tes!I11/SER_hh_fec!I11)</f>
        <v>0.80496975305126894</v>
      </c>
      <c r="J11" s="136">
        <f>IF(SER_hh_tes!J11=0,"",SER_hh_tes!J11/SER_hh_fec!J11)</f>
        <v>0.80618009712166383</v>
      </c>
      <c r="K11" s="136">
        <f>IF(SER_hh_tes!K11=0,"",SER_hh_tes!K11/SER_hh_fec!K11)</f>
        <v>0.80796079503716411</v>
      </c>
      <c r="L11" s="136">
        <f>IF(SER_hh_tes!L11=0,"",SER_hh_tes!L11/SER_hh_fec!L11)</f>
        <v>0.81058799072871057</v>
      </c>
      <c r="M11" s="136">
        <f>IF(SER_hh_tes!M11=0,"",SER_hh_tes!M11/SER_hh_fec!M11)</f>
        <v>0.8123890797200678</v>
      </c>
      <c r="N11" s="136">
        <f>IF(SER_hh_tes!N11=0,"",SER_hh_tes!N11/SER_hh_fec!N11)</f>
        <v>0.81349589745763984</v>
      </c>
      <c r="O11" s="136">
        <f>IF(SER_hh_tes!O11=0,"",SER_hh_tes!O11/SER_hh_fec!O11)</f>
        <v>0.81356282350386189</v>
      </c>
      <c r="P11" s="136">
        <f>IF(SER_hh_tes!P11=0,"",SER_hh_tes!P11/SER_hh_fec!P11)</f>
        <v>0.81360308400812809</v>
      </c>
      <c r="Q11" s="136">
        <f>IF(SER_hh_tes!Q11=0,"",SER_hh_tes!Q11/SER_hh_fec!Q11)</f>
        <v>0.81360308400812809</v>
      </c>
      <c r="R11" s="136">
        <f>IF(SER_hh_tes!R11=0,"",SER_hh_tes!R11/SER_hh_fec!R11)</f>
        <v>0.81360308400812786</v>
      </c>
      <c r="S11" s="136">
        <f>IF(SER_hh_tes!S11=0,"",SER_hh_tes!S11/SER_hh_fec!S11)</f>
        <v>0.81360308400812809</v>
      </c>
      <c r="T11" s="136">
        <f>IF(SER_hh_tes!T11=0,"",SER_hh_tes!T11/SER_hh_fec!T11)</f>
        <v>0.81360308400812786</v>
      </c>
      <c r="U11" s="136">
        <f>IF(SER_hh_tes!U11=0,"",SER_hh_tes!U11/SER_hh_fec!U11)</f>
        <v>0.81360308400812809</v>
      </c>
      <c r="V11" s="136">
        <f>IF(SER_hh_tes!V11=0,"",SER_hh_tes!V11/SER_hh_fec!V11)</f>
        <v>0.81383961330985288</v>
      </c>
      <c r="W11" s="136">
        <f>IF(SER_hh_tes!W11=0,"",SER_hh_tes!W11/SER_hh_fec!W11)</f>
        <v>0.81466599364370729</v>
      </c>
      <c r="X11" s="136">
        <f>IF(SER_hh_tes!X11=0,"",SER_hh_tes!X11/SER_hh_fec!X11)</f>
        <v>0.81614006737462763</v>
      </c>
      <c r="Y11" s="136">
        <f>IF(SER_hh_tes!Y11=0,"",SER_hh_tes!Y11/SER_hh_fec!Y11)</f>
        <v>0.82743834106621128</v>
      </c>
      <c r="DA11" s="163" t="s">
        <v>338</v>
      </c>
    </row>
    <row r="12" spans="1:105" ht="12" customHeight="1" x14ac:dyDescent="0.25">
      <c r="A12" s="131" t="s">
        <v>162</v>
      </c>
      <c r="B12" s="136">
        <f>IF(SER_hh_tes!B12=0,"",SER_hh_tes!B12/SER_hh_fec!B12)</f>
        <v>0.74909121167829862</v>
      </c>
      <c r="C12" s="136">
        <f>IF(SER_hh_tes!C12=0,"",SER_hh_tes!C12/SER_hh_fec!C12)</f>
        <v>0.75049436654009538</v>
      </c>
      <c r="D12" s="136">
        <f>IF(SER_hh_tes!D12=0,"",SER_hh_tes!D12/SER_hh_fec!D12)</f>
        <v>0.75299023804267085</v>
      </c>
      <c r="E12" s="136">
        <f>IF(SER_hh_tes!E12=0,"",SER_hh_tes!E12/SER_hh_fec!E12)</f>
        <v>0.75614691959294056</v>
      </c>
      <c r="F12" s="136">
        <f>IF(SER_hh_tes!F12=0,"",SER_hh_tes!F12/SER_hh_fec!F12)</f>
        <v>0.75882751509011626</v>
      </c>
      <c r="G12" s="136">
        <f>IF(SER_hh_tes!G12=0,"",SER_hh_tes!G12/SER_hh_fec!G12)</f>
        <v>0.76177644046916282</v>
      </c>
      <c r="H12" s="136">
        <f>IF(SER_hh_tes!H12=0,"",SER_hh_tes!H12/SER_hh_fec!H12)</f>
        <v>0.76432837897372963</v>
      </c>
      <c r="I12" s="136">
        <f>IF(SER_hh_tes!I12=0,"",SER_hh_tes!I12/SER_hh_fec!I12)</f>
        <v>0.76753946027753739</v>
      </c>
      <c r="J12" s="136">
        <f>IF(SER_hh_tes!J12=0,"",SER_hh_tes!J12/SER_hh_fec!J12)</f>
        <v>0.77103507673420058</v>
      </c>
      <c r="K12" s="136">
        <f>IF(SER_hh_tes!K12=0,"",SER_hh_tes!K12/SER_hh_fec!K12)</f>
        <v>0.77515671098619254</v>
      </c>
      <c r="L12" s="136">
        <f>IF(SER_hh_tes!L12=0,"",SER_hh_tes!L12/SER_hh_fec!L12)</f>
        <v>0.77975845840540403</v>
      </c>
      <c r="M12" s="136">
        <f>IF(SER_hh_tes!M12=0,"",SER_hh_tes!M12/SER_hh_fec!M12)</f>
        <v>0.78463278843355078</v>
      </c>
      <c r="N12" s="136">
        <f>IF(SER_hh_tes!N12=0,"",SER_hh_tes!N12/SER_hh_fec!N12)</f>
        <v>0.78976852348081628</v>
      </c>
      <c r="O12" s="136">
        <f>IF(SER_hh_tes!O12=0,"",SER_hh_tes!O12/SER_hh_fec!O12)</f>
        <v>0.79450626628422172</v>
      </c>
      <c r="P12" s="136">
        <f>IF(SER_hh_tes!P12=0,"",SER_hh_tes!P12/SER_hh_fec!P12)</f>
        <v>0.79516348628715028</v>
      </c>
      <c r="Q12" s="136">
        <f>IF(SER_hh_tes!Q12=0,"",SER_hh_tes!Q12/SER_hh_fec!Q12)</f>
        <v>0.79598377655492014</v>
      </c>
      <c r="R12" s="136">
        <f>IF(SER_hh_tes!R12=0,"",SER_hh_tes!R12/SER_hh_fec!R12)</f>
        <v>0.79689384940213404</v>
      </c>
      <c r="S12" s="136">
        <f>IF(SER_hh_tes!S12=0,"",SER_hh_tes!S12/SER_hh_fec!S12)</f>
        <v>0.79806826418689125</v>
      </c>
      <c r="T12" s="136">
        <f>IF(SER_hh_tes!T12=0,"",SER_hh_tes!T12/SER_hh_fec!T12)</f>
        <v>0.80074650740825892</v>
      </c>
      <c r="U12" s="136">
        <f>IF(SER_hh_tes!U12=0,"",SER_hh_tes!U12/SER_hh_fec!U12)</f>
        <v>0.80695140750460648</v>
      </c>
      <c r="V12" s="136">
        <f>IF(SER_hh_tes!V12=0,"",SER_hh_tes!V12/SER_hh_fec!V12)</f>
        <v>0.81507558134201652</v>
      </c>
      <c r="W12" s="136">
        <f>IF(SER_hh_tes!W12=0,"",SER_hh_tes!W12/SER_hh_fec!W12)</f>
        <v>0.82216926190879558</v>
      </c>
      <c r="X12" s="136">
        <f>IF(SER_hh_tes!X12=0,"",SER_hh_tes!X12/SER_hh_fec!X12)</f>
        <v>0.82810596745636644</v>
      </c>
      <c r="Y12" s="136">
        <f>IF(SER_hh_tes!Y12=0,"",SER_hh_tes!Y12/SER_hh_fec!Y12)</f>
        <v>0.83558786387891837</v>
      </c>
      <c r="DA12" s="163" t="s">
        <v>339</v>
      </c>
    </row>
    <row r="13" spans="1:105" ht="12" customHeight="1" x14ac:dyDescent="0.25">
      <c r="A13" s="131" t="s">
        <v>77</v>
      </c>
      <c r="B13" s="136" t="str">
        <f>IF(SER_hh_tes!B13=0,"",SER_hh_tes!B13/SER_hh_fec!B13)</f>
        <v/>
      </c>
      <c r="C13" s="136" t="str">
        <f>IF(SER_hh_tes!C13=0,"",SER_hh_tes!C13/SER_hh_fec!C13)</f>
        <v/>
      </c>
      <c r="D13" s="136" t="str">
        <f>IF(SER_hh_tes!D13=0,"",SER_hh_tes!D13/SER_hh_fec!D13)</f>
        <v/>
      </c>
      <c r="E13" s="136" t="str">
        <f>IF(SER_hh_tes!E13=0,"",SER_hh_tes!E13/SER_hh_fec!E13)</f>
        <v/>
      </c>
      <c r="F13" s="136" t="str">
        <f>IF(SER_hh_tes!F13=0,"",SER_hh_tes!F13/SER_hh_fec!F13)</f>
        <v/>
      </c>
      <c r="G13" s="136" t="str">
        <f>IF(SER_hh_tes!G13=0,"",SER_hh_tes!G13/SER_hh_fec!G13)</f>
        <v/>
      </c>
      <c r="H13" s="136" t="str">
        <f>IF(SER_hh_tes!H13=0,"",SER_hh_tes!H13/SER_hh_fec!H13)</f>
        <v/>
      </c>
      <c r="I13" s="136" t="str">
        <f>IF(SER_hh_tes!I13=0,"",SER_hh_tes!I13/SER_hh_fec!I13)</f>
        <v/>
      </c>
      <c r="J13" s="136" t="str">
        <f>IF(SER_hh_tes!J13=0,"",SER_hh_tes!J13/SER_hh_fec!J13)</f>
        <v/>
      </c>
      <c r="K13" s="136" t="str">
        <f>IF(SER_hh_tes!K13=0,"",SER_hh_tes!K13/SER_hh_fec!K13)</f>
        <v/>
      </c>
      <c r="L13" s="136" t="str">
        <f>IF(SER_hh_tes!L13=0,"",SER_hh_tes!L13/SER_hh_fec!L13)</f>
        <v/>
      </c>
      <c r="M13" s="136" t="str">
        <f>IF(SER_hh_tes!M13=0,"",SER_hh_tes!M13/SER_hh_fec!M13)</f>
        <v/>
      </c>
      <c r="N13" s="136" t="str">
        <f>IF(SER_hh_tes!N13=0,"",SER_hh_tes!N13/SER_hh_fec!N13)</f>
        <v/>
      </c>
      <c r="O13" s="136" t="str">
        <f>IF(SER_hh_tes!O13=0,"",SER_hh_tes!O13/SER_hh_fec!O13)</f>
        <v/>
      </c>
      <c r="P13" s="136" t="str">
        <f>IF(SER_hh_tes!P13=0,"",SER_hh_tes!P13/SER_hh_fec!P13)</f>
        <v/>
      </c>
      <c r="Q13" s="136" t="str">
        <f>IF(SER_hh_tes!Q13=0,"",SER_hh_tes!Q13/SER_hh_fec!Q13)</f>
        <v/>
      </c>
      <c r="R13" s="136" t="str">
        <f>IF(SER_hh_tes!R13=0,"",SER_hh_tes!R13/SER_hh_fec!R13)</f>
        <v/>
      </c>
      <c r="S13" s="136" t="str">
        <f>IF(SER_hh_tes!S13=0,"",SER_hh_tes!S13/SER_hh_fec!S13)</f>
        <v/>
      </c>
      <c r="T13" s="136" t="str">
        <f>IF(SER_hh_tes!T13=0,"",SER_hh_tes!T13/SER_hh_fec!T13)</f>
        <v/>
      </c>
      <c r="U13" s="136" t="str">
        <f>IF(SER_hh_tes!U13=0,"",SER_hh_tes!U13/SER_hh_fec!U13)</f>
        <v/>
      </c>
      <c r="V13" s="136" t="str">
        <f>IF(SER_hh_tes!V13=0,"",SER_hh_tes!V13/SER_hh_fec!V13)</f>
        <v/>
      </c>
      <c r="W13" s="136" t="str">
        <f>IF(SER_hh_tes!W13=0,"",SER_hh_tes!W13/SER_hh_fec!W13)</f>
        <v/>
      </c>
      <c r="X13" s="136" t="str">
        <f>IF(SER_hh_tes!X13=0,"",SER_hh_tes!X13/SER_hh_fec!X13)</f>
        <v/>
      </c>
      <c r="Y13" s="136" t="str">
        <f>IF(SER_hh_tes!Y13=0,"",SER_hh_tes!Y13/SER_hh_fec!Y13)</f>
        <v/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0.66225213801967087</v>
      </c>
      <c r="C14" s="137">
        <f>IF(SER_hh_tes!C14=0,"",SER_hh_tes!C14/SER_hh_fec!C14)</f>
        <v>0.66768219902002646</v>
      </c>
      <c r="D14" s="137">
        <f>IF(SER_hh_tes!D14=0,"",SER_hh_tes!D14/SER_hh_fec!D14)</f>
        <v>0.67368678963178263</v>
      </c>
      <c r="E14" s="137">
        <f>IF(SER_hh_tes!E14=0,"",SER_hh_tes!E14/SER_hh_fec!E14)</f>
        <v>0.67957365483856103</v>
      </c>
      <c r="F14" s="137">
        <f>IF(SER_hh_tes!F14=0,"",SER_hh_tes!F14/SER_hh_fec!F14)</f>
        <v>0.68638596968172072</v>
      </c>
      <c r="G14" s="137">
        <f>IF(SER_hh_tes!G14=0,"",SER_hh_tes!G14/SER_hh_fec!G14)</f>
        <v>0.69251594887486312</v>
      </c>
      <c r="H14" s="137">
        <f>IF(SER_hh_tes!H14=0,"",SER_hh_tes!H14/SER_hh_fec!H14)</f>
        <v>0.69920496882221661</v>
      </c>
      <c r="I14" s="137">
        <f>IF(SER_hh_tes!I14=0,"",SER_hh_tes!I14/SER_hh_fec!I14)</f>
        <v>0.70414337150115724</v>
      </c>
      <c r="J14" s="137">
        <f>IF(SER_hh_tes!J14=0,"",SER_hh_tes!J14/SER_hh_fec!J14)</f>
        <v>0.70771606632247808</v>
      </c>
      <c r="K14" s="137">
        <f>IF(SER_hh_tes!K14=0,"",SER_hh_tes!K14/SER_hh_fec!K14)</f>
        <v>0.710515778863683</v>
      </c>
      <c r="L14" s="137">
        <f>IF(SER_hh_tes!L14=0,"",SER_hh_tes!L14/SER_hh_fec!L14)</f>
        <v>0.71299996116005815</v>
      </c>
      <c r="M14" s="137">
        <f>IF(SER_hh_tes!M14=0,"",SER_hh_tes!M14/SER_hh_fec!M14)</f>
        <v>0.71671588204620473</v>
      </c>
      <c r="N14" s="137">
        <f>IF(SER_hh_tes!N14=0,"",SER_hh_tes!N14/SER_hh_fec!N14)</f>
        <v>0.71952828028992133</v>
      </c>
      <c r="O14" s="137">
        <f>IF(SER_hh_tes!O14=0,"",SER_hh_tes!O14/SER_hh_fec!O14)</f>
        <v>0.72202420982674931</v>
      </c>
      <c r="P14" s="137">
        <f>IF(SER_hh_tes!P14=0,"",SER_hh_tes!P14/SER_hh_fec!P14)</f>
        <v>0.72351719561222638</v>
      </c>
      <c r="Q14" s="137">
        <f>IF(SER_hh_tes!Q14=0,"",SER_hh_tes!Q14/SER_hh_fec!Q14)</f>
        <v>0.72502984972797679</v>
      </c>
      <c r="R14" s="137">
        <f>IF(SER_hh_tes!R14=0,"",SER_hh_tes!R14/SER_hh_fec!R14)</f>
        <v>0.73002318100844343</v>
      </c>
      <c r="S14" s="137">
        <f>IF(SER_hh_tes!S14=0,"",SER_hh_tes!S14/SER_hh_fec!S14)</f>
        <v>0.7399987731746086</v>
      </c>
      <c r="T14" s="137">
        <f>IF(SER_hh_tes!T14=0,"",SER_hh_tes!T14/SER_hh_fec!T14)</f>
        <v>0.75172348099795383</v>
      </c>
      <c r="U14" s="137">
        <f>IF(SER_hh_tes!U14=0,"",SER_hh_tes!U14/SER_hh_fec!U14)</f>
        <v>0.76302592115625056</v>
      </c>
      <c r="V14" s="137">
        <f>IF(SER_hh_tes!V14=0,"",SER_hh_tes!V14/SER_hh_fec!V14)</f>
        <v>0.77431478198007497</v>
      </c>
      <c r="W14" s="137">
        <f>IF(SER_hh_tes!W14=0,"",SER_hh_tes!W14/SER_hh_fec!W14)</f>
        <v>0.78943457630108438</v>
      </c>
      <c r="X14" s="137">
        <f>IF(SER_hh_tes!X14=0,"",SER_hh_tes!X14/SER_hh_fec!X14)</f>
        <v>0.8084381630433306</v>
      </c>
      <c r="Y14" s="137">
        <f>IF(SER_hh_tes!Y14=0,"",SER_hh_tes!Y14/SER_hh_fec!Y14)</f>
        <v>0.82221601300952596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1.7752674444404999</v>
      </c>
      <c r="C16" s="135">
        <f>IF(SER_hh_tes!C16=0,"",SER_hh_tes!C16/SER_hh_fec!C16)</f>
        <v>1.8590456891086118</v>
      </c>
      <c r="D16" s="135">
        <f>IF(SER_hh_tes!D16=0,"",SER_hh_tes!D16/SER_hh_fec!D16)</f>
        <v>1.9573525149741213</v>
      </c>
      <c r="E16" s="135">
        <f>IF(SER_hh_tes!E16=0,"",SER_hh_tes!E16/SER_hh_fec!E16)</f>
        <v>2.0620641031339497</v>
      </c>
      <c r="F16" s="135">
        <f>IF(SER_hh_tes!F16=0,"",SER_hh_tes!F16/SER_hh_fec!F16)</f>
        <v>2.1702584673973924</v>
      </c>
      <c r="G16" s="135">
        <f>IF(SER_hh_tes!G16=0,"",SER_hh_tes!G16/SER_hh_fec!G16)</f>
        <v>2.2825152222623668</v>
      </c>
      <c r="H16" s="135">
        <f>IF(SER_hh_tes!H16=0,"",SER_hh_tes!H16/SER_hh_fec!H16)</f>
        <v>2.4035063083538386</v>
      </c>
      <c r="I16" s="135">
        <f>IF(SER_hh_tes!I16=0,"",SER_hh_tes!I16/SER_hh_fec!I16)</f>
        <v>2.5344513209717792</v>
      </c>
      <c r="J16" s="135">
        <f>IF(SER_hh_tes!J16=0,"",SER_hh_tes!J16/SER_hh_fec!J16)</f>
        <v>2.6593166131803065</v>
      </c>
      <c r="K16" s="135">
        <f>IF(SER_hh_tes!K16=0,"",SER_hh_tes!K16/SER_hh_fec!K16)</f>
        <v>2.7141664803648546</v>
      </c>
      <c r="L16" s="135">
        <f>IF(SER_hh_tes!L16=0,"",SER_hh_tes!L16/SER_hh_fec!L16)</f>
        <v>2.7805921656458343</v>
      </c>
      <c r="M16" s="135">
        <f>IF(SER_hh_tes!M16=0,"",SER_hh_tes!M16/SER_hh_fec!M16)</f>
        <v>2.8712724656414745</v>
      </c>
      <c r="N16" s="135">
        <f>IF(SER_hh_tes!N16=0,"",SER_hh_tes!N16/SER_hh_fec!N16)</f>
        <v>2.9643072089891702</v>
      </c>
      <c r="O16" s="135">
        <f>IF(SER_hh_tes!O16=0,"",SER_hh_tes!O16/SER_hh_fec!O16)</f>
        <v>3.0644907890352591</v>
      </c>
      <c r="P16" s="135">
        <f>IF(SER_hh_tes!P16=0,"",SER_hh_tes!P16/SER_hh_fec!P16)</f>
        <v>3.1741604711636748</v>
      </c>
      <c r="Q16" s="135">
        <f>IF(SER_hh_tes!Q16=0,"",SER_hh_tes!Q16/SER_hh_fec!Q16)</f>
        <v>3.2964818987222362</v>
      </c>
      <c r="R16" s="135">
        <f>IF(SER_hh_tes!R16=0,"",SER_hh_tes!R16/SER_hh_fec!R16)</f>
        <v>3.4279851879641621</v>
      </c>
      <c r="S16" s="135">
        <f>IF(SER_hh_tes!S16=0,"",SER_hh_tes!S16/SER_hh_fec!S16)</f>
        <v>3.5557187281331868</v>
      </c>
      <c r="T16" s="135">
        <f>IF(SER_hh_tes!T16=0,"",SER_hh_tes!T16/SER_hh_fec!T16)</f>
        <v>3.6660767245803307</v>
      </c>
      <c r="U16" s="135">
        <f>IF(SER_hh_tes!U16=0,"",SER_hh_tes!U16/SER_hh_fec!U16)</f>
        <v>3.7559307724842155</v>
      </c>
      <c r="V16" s="135">
        <f>IF(SER_hh_tes!V16=0,"",SER_hh_tes!V16/SER_hh_fec!V16)</f>
        <v>3.8462897188678959</v>
      </c>
      <c r="W16" s="135">
        <f>IF(SER_hh_tes!W16=0,"",SER_hh_tes!W16/SER_hh_fec!W16)</f>
        <v>3.9258864735670556</v>
      </c>
      <c r="X16" s="135">
        <f>IF(SER_hh_tes!X16=0,"",SER_hh_tes!X16/SER_hh_fec!X16)</f>
        <v>3.9743530787861752</v>
      </c>
      <c r="Y16" s="135">
        <f>IF(SER_hh_tes!Y16=0,"",SER_hh_tes!Y16/SER_hh_fec!Y16)</f>
        <v>4.0154903386460266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1.0802299152987449</v>
      </c>
      <c r="C17" s="136">
        <f>IF(SER_hh_tes!C17=0,"",SER_hh_tes!C17/SER_hh_fec!C17)</f>
        <v>1.0952325894536381</v>
      </c>
      <c r="D17" s="136">
        <f>IF(SER_hh_tes!D17=0,"",SER_hh_tes!D17/SER_hh_fec!D17)</f>
        <v>1.1211001404038172</v>
      </c>
      <c r="E17" s="136">
        <f>IF(SER_hh_tes!E17=0,"",SER_hh_tes!E17/SER_hh_fec!E17)</f>
        <v>1.1449305511069139</v>
      </c>
      <c r="F17" s="136">
        <f>IF(SER_hh_tes!F17=0,"",SER_hh_tes!F17/SER_hh_fec!F17)</f>
        <v>1.1648609173390998</v>
      </c>
      <c r="G17" s="136">
        <f>IF(SER_hh_tes!G17=0,"",SER_hh_tes!G17/SER_hh_fec!G17)</f>
        <v>1.1835590915257257</v>
      </c>
      <c r="H17" s="136">
        <f>IF(SER_hh_tes!H17=0,"",SER_hh_tes!H17/SER_hh_fec!H17)</f>
        <v>1.2023328739344008</v>
      </c>
      <c r="I17" s="136">
        <f>IF(SER_hh_tes!I17=0,"",SER_hh_tes!I17/SER_hh_fec!I17)</f>
        <v>1.2180063320025658</v>
      </c>
      <c r="J17" s="136">
        <f>IF(SER_hh_tes!J17=0,"",SER_hh_tes!J17/SER_hh_fec!J17)</f>
        <v>1.2346960127045028</v>
      </c>
      <c r="K17" s="136">
        <f>IF(SER_hh_tes!K17=0,"",SER_hh_tes!K17/SER_hh_fec!K17)</f>
        <v>1.2473531358908301</v>
      </c>
      <c r="L17" s="136">
        <f>IF(SER_hh_tes!L17=0,"",SER_hh_tes!L17/SER_hh_fec!L17)</f>
        <v>1.2639328639543281</v>
      </c>
      <c r="M17" s="136">
        <f>IF(SER_hh_tes!M17=0,"",SER_hh_tes!M17/SER_hh_fec!M17)</f>
        <v>1.282192154203581</v>
      </c>
      <c r="N17" s="136">
        <f>IF(SER_hh_tes!N17=0,"",SER_hh_tes!N17/SER_hh_fec!N17)</f>
        <v>1.3016124598057661</v>
      </c>
      <c r="O17" s="136">
        <f>IF(SER_hh_tes!O17=0,"",SER_hh_tes!O17/SER_hh_fec!O17)</f>
        <v>1.3241841909482215</v>
      </c>
      <c r="P17" s="136">
        <f>IF(SER_hh_tes!P17=0,"",SER_hh_tes!P17/SER_hh_fec!P17)</f>
        <v>1.3492243265375392</v>
      </c>
      <c r="Q17" s="136">
        <f>IF(SER_hh_tes!Q17=0,"",SER_hh_tes!Q17/SER_hh_fec!Q17)</f>
        <v>1.3707596814289569</v>
      </c>
      <c r="R17" s="136">
        <f>IF(SER_hh_tes!R17=0,"",SER_hh_tes!R17/SER_hh_fec!R17)</f>
        <v>1.3909555211782869</v>
      </c>
      <c r="S17" s="136">
        <f>IF(SER_hh_tes!S17=0,"",SER_hh_tes!S17/SER_hh_fec!S17)</f>
        <v>1.4145478754121821</v>
      </c>
      <c r="T17" s="136">
        <f>IF(SER_hh_tes!T17=0,"",SER_hh_tes!T17/SER_hh_fec!T17)</f>
        <v>1.441339837664156</v>
      </c>
      <c r="U17" s="136">
        <f>IF(SER_hh_tes!U17=0,"",SER_hh_tes!U17/SER_hh_fec!U17)</f>
        <v>1.4618392478400171</v>
      </c>
      <c r="V17" s="136">
        <f>IF(SER_hh_tes!V17=0,"",SER_hh_tes!V17/SER_hh_fec!V17)</f>
        <v>1.4894398461298048</v>
      </c>
      <c r="W17" s="136">
        <f>IF(SER_hh_tes!W17=0,"",SER_hh_tes!W17/SER_hh_fec!W17)</f>
        <v>1.504994700937565</v>
      </c>
      <c r="X17" s="136">
        <f>IF(SER_hh_tes!X17=0,"",SER_hh_tes!X17/SER_hh_fec!X17)</f>
        <v>1.5227553436675998</v>
      </c>
      <c r="Y17" s="136">
        <f>IF(SER_hh_tes!Y17=0,"",SER_hh_tes!Y17/SER_hh_fec!Y17)</f>
        <v>1.5376357222903532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1.7764843153003129</v>
      </c>
      <c r="C18" s="136">
        <f>IF(SER_hh_tes!C18=0,"",SER_hh_tes!C18/SER_hh_fec!C18)</f>
        <v>1.8603942409918797</v>
      </c>
      <c r="D18" s="136">
        <f>IF(SER_hh_tes!D18=0,"",SER_hh_tes!D18/SER_hh_fec!D18)</f>
        <v>1.9590420772610835</v>
      </c>
      <c r="E18" s="136">
        <f>IF(SER_hh_tes!E18=0,"",SER_hh_tes!E18/SER_hh_fec!E18)</f>
        <v>2.0641723022471874</v>
      </c>
      <c r="F18" s="136">
        <f>IF(SER_hh_tes!F18=0,"",SER_hh_tes!F18/SER_hh_fec!F18)</f>
        <v>2.1727770182809736</v>
      </c>
      <c r="G18" s="136">
        <f>IF(SER_hh_tes!G18=0,"",SER_hh_tes!G18/SER_hh_fec!G18)</f>
        <v>2.2854721133877591</v>
      </c>
      <c r="H18" s="136">
        <f>IF(SER_hh_tes!H18=0,"",SER_hh_tes!H18/SER_hh_fec!H18)</f>
        <v>2.4069486808529681</v>
      </c>
      <c r="I18" s="136">
        <f>IF(SER_hh_tes!I18=0,"",SER_hh_tes!I18/SER_hh_fec!I18)</f>
        <v>2.5392250808566477</v>
      </c>
      <c r="J18" s="136">
        <f>IF(SER_hh_tes!J18=0,"",SER_hh_tes!J18/SER_hh_fec!J18)</f>
        <v>2.6642376601001287</v>
      </c>
      <c r="K18" s="136">
        <f>IF(SER_hh_tes!K18=0,"",SER_hh_tes!K18/SER_hh_fec!K18)</f>
        <v>2.7185674481895741</v>
      </c>
      <c r="L18" s="136">
        <f>IF(SER_hh_tes!L18=0,"",SER_hh_tes!L18/SER_hh_fec!L18)</f>
        <v>2.7856478989529645</v>
      </c>
      <c r="M18" s="136">
        <f>IF(SER_hh_tes!M18=0,"",SER_hh_tes!M18/SER_hh_fec!M18)</f>
        <v>2.8770831075005199</v>
      </c>
      <c r="N18" s="136">
        <f>IF(SER_hh_tes!N18=0,"",SER_hh_tes!N18/SER_hh_fec!N18)</f>
        <v>2.9701688946902811</v>
      </c>
      <c r="O18" s="136">
        <f>IF(SER_hh_tes!O18=0,"",SER_hh_tes!O18/SER_hh_fec!O18)</f>
        <v>3.0727203322033465</v>
      </c>
      <c r="P18" s="136">
        <f>IF(SER_hh_tes!P18=0,"",SER_hh_tes!P18/SER_hh_fec!P18)</f>
        <v>3.1828723548980151</v>
      </c>
      <c r="Q18" s="136">
        <f>IF(SER_hh_tes!Q18=0,"",SER_hh_tes!Q18/SER_hh_fec!Q18)</f>
        <v>3.3105363496734252</v>
      </c>
      <c r="R18" s="136">
        <f>IF(SER_hh_tes!R18=0,"",SER_hh_tes!R18/SER_hh_fec!R18)</f>
        <v>3.445133709140991</v>
      </c>
      <c r="S18" s="136">
        <f>IF(SER_hh_tes!S18=0,"",SER_hh_tes!S18/SER_hh_fec!S18)</f>
        <v>3.5780595660306207</v>
      </c>
      <c r="T18" s="136">
        <f>IF(SER_hh_tes!T18=0,"",SER_hh_tes!T18/SER_hh_fec!T18)</f>
        <v>3.6952883670285153</v>
      </c>
      <c r="U18" s="136">
        <f>IF(SER_hh_tes!U18=0,"",SER_hh_tes!U18/SER_hh_fec!U18)</f>
        <v>3.7904116086303725</v>
      </c>
      <c r="V18" s="136">
        <f>IF(SER_hh_tes!V18=0,"",SER_hh_tes!V18/SER_hh_fec!V18)</f>
        <v>3.8815279855574811</v>
      </c>
      <c r="W18" s="136">
        <f>IF(SER_hh_tes!W18=0,"",SER_hh_tes!W18/SER_hh_fec!W18)</f>
        <v>3.9642466432625172</v>
      </c>
      <c r="X18" s="136">
        <f>IF(SER_hh_tes!X18=0,"",SER_hh_tes!X18/SER_hh_fec!X18)</f>
        <v>4.0262920236437658</v>
      </c>
      <c r="Y18" s="136">
        <f>IF(SER_hh_tes!Y18=0,"",SER_hh_tes!Y18/SER_hh_fec!Y18)</f>
        <v>4.0783442313102514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0.589576686166571</v>
      </c>
      <c r="C19" s="135">
        <f>IF(SER_hh_tes!C19=0,"",SER_hh_tes!C19/SER_hh_fec!C19)</f>
        <v>0.59023231047246372</v>
      </c>
      <c r="D19" s="135">
        <f>IF(SER_hh_tes!D19=0,"",SER_hh_tes!D19/SER_hh_fec!D19)</f>
        <v>0.59230263645776704</v>
      </c>
      <c r="E19" s="135">
        <f>IF(SER_hh_tes!E19=0,"",SER_hh_tes!E19/SER_hh_fec!E19)</f>
        <v>0.59535768375505882</v>
      </c>
      <c r="F19" s="135">
        <f>IF(SER_hh_tes!F19=0,"",SER_hh_tes!F19/SER_hh_fec!F19)</f>
        <v>0.59905027556299317</v>
      </c>
      <c r="G19" s="135">
        <f>IF(SER_hh_tes!G19=0,"",SER_hh_tes!G19/SER_hh_fec!G19)</f>
        <v>0.6022902419408479</v>
      </c>
      <c r="H19" s="135">
        <f>IF(SER_hh_tes!H19=0,"",SER_hh_tes!H19/SER_hh_fec!H19)</f>
        <v>0.60656658892981374</v>
      </c>
      <c r="I19" s="135">
        <f>IF(SER_hh_tes!I19=0,"",SER_hh_tes!I19/SER_hh_fec!I19)</f>
        <v>0.61115205192133448</v>
      </c>
      <c r="J19" s="135">
        <f>IF(SER_hh_tes!J19=0,"",SER_hh_tes!J19/SER_hh_fec!J19)</f>
        <v>0.61532398333681781</v>
      </c>
      <c r="K19" s="135">
        <f>IF(SER_hh_tes!K19=0,"",SER_hh_tes!K19/SER_hh_fec!K19)</f>
        <v>0.61965166737282329</v>
      </c>
      <c r="L19" s="135">
        <f>IF(SER_hh_tes!L19=0,"",SER_hh_tes!L19/SER_hh_fec!L19)</f>
        <v>0.62492752086967496</v>
      </c>
      <c r="M19" s="135">
        <f>IF(SER_hh_tes!M19=0,"",SER_hh_tes!M19/SER_hh_fec!M19)</f>
        <v>0.63288843814888951</v>
      </c>
      <c r="N19" s="135">
        <f>IF(SER_hh_tes!N19=0,"",SER_hh_tes!N19/SER_hh_fec!N19)</f>
        <v>0.64155659710246382</v>
      </c>
      <c r="O19" s="135">
        <f>IF(SER_hh_tes!O19=0,"",SER_hh_tes!O19/SER_hh_fec!O19)</f>
        <v>0.6513406631398535</v>
      </c>
      <c r="P19" s="135">
        <f>IF(SER_hh_tes!P19=0,"",SER_hh_tes!P19/SER_hh_fec!P19)</f>
        <v>0.65943648176955905</v>
      </c>
      <c r="Q19" s="135">
        <f>IF(SER_hh_tes!Q19=0,"",SER_hh_tes!Q19/SER_hh_fec!Q19)</f>
        <v>0.66961718056553188</v>
      </c>
      <c r="R19" s="135">
        <f>IF(SER_hh_tes!R19=0,"",SER_hh_tes!R19/SER_hh_fec!R19)</f>
        <v>0.68039477599977105</v>
      </c>
      <c r="S19" s="135">
        <f>IF(SER_hh_tes!S19=0,"",SER_hh_tes!S19/SER_hh_fec!S19)</f>
        <v>0.69475455218488513</v>
      </c>
      <c r="T19" s="135">
        <f>IF(SER_hh_tes!T19=0,"",SER_hh_tes!T19/SER_hh_fec!T19)</f>
        <v>0.70997857273338227</v>
      </c>
      <c r="U19" s="135">
        <f>IF(SER_hh_tes!U19=0,"",SER_hh_tes!U19/SER_hh_fec!U19)</f>
        <v>0.72614589582346323</v>
      </c>
      <c r="V19" s="135">
        <f>IF(SER_hh_tes!V19=0,"",SER_hh_tes!V19/SER_hh_fec!V19)</f>
        <v>0.74442234413598318</v>
      </c>
      <c r="W19" s="135">
        <f>IF(SER_hh_tes!W19=0,"",SER_hh_tes!W19/SER_hh_fec!W19)</f>
        <v>0.75835111733241767</v>
      </c>
      <c r="X19" s="135">
        <f>IF(SER_hh_tes!X19=0,"",SER_hh_tes!X19/SER_hh_fec!X19)</f>
        <v>0.77978190416499715</v>
      </c>
      <c r="Y19" s="135">
        <f>IF(SER_hh_tes!Y19=0,"",SER_hh_tes!Y19/SER_hh_fec!Y19)</f>
        <v>0.79989642310549369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0.52043310611721616</v>
      </c>
      <c r="C21" s="136">
        <f>IF(SER_hh_tes!C21=0,"",SER_hh_tes!C21/SER_hh_fec!C21)</f>
        <v>0.52427303745876064</v>
      </c>
      <c r="D21" s="136">
        <f>IF(SER_hh_tes!D21=0,"",SER_hh_tes!D21/SER_hh_fec!D21)</f>
        <v>0.52781835570762947</v>
      </c>
      <c r="E21" s="136">
        <f>IF(SER_hh_tes!E21=0,"",SER_hh_tes!E21/SER_hh_fec!E21)</f>
        <v>0.53084113553520917</v>
      </c>
      <c r="F21" s="136">
        <f>IF(SER_hh_tes!F21=0,"",SER_hh_tes!F21/SER_hh_fec!F21)</f>
        <v>0.53353872941622171</v>
      </c>
      <c r="G21" s="136">
        <f>IF(SER_hh_tes!G21=0,"",SER_hh_tes!G21/SER_hh_fec!G21)</f>
        <v>0.53614417684101912</v>
      </c>
      <c r="H21" s="136">
        <f>IF(SER_hh_tes!H21=0,"",SER_hh_tes!H21/SER_hh_fec!H21)</f>
        <v>0.53903141139044608</v>
      </c>
      <c r="I21" s="136">
        <f>IF(SER_hh_tes!I21=0,"",SER_hh_tes!I21/SER_hh_fec!I21)</f>
        <v>0.5421057885406515</v>
      </c>
      <c r="J21" s="136">
        <f>IF(SER_hh_tes!J21=0,"",SER_hh_tes!J21/SER_hh_fec!J21)</f>
        <v>0.54546196591638507</v>
      </c>
      <c r="K21" s="136">
        <f>IF(SER_hh_tes!K21=0,"",SER_hh_tes!K21/SER_hh_fec!K21)</f>
        <v>0.54905331609404218</v>
      </c>
      <c r="L21" s="136">
        <f>IF(SER_hh_tes!L21=0,"",SER_hh_tes!L21/SER_hh_fec!L21)</f>
        <v>0.55250553724669216</v>
      </c>
      <c r="M21" s="136">
        <f>IF(SER_hh_tes!M21=0,"",SER_hh_tes!M21/SER_hh_fec!M21)</f>
        <v>0.55652410723654377</v>
      </c>
      <c r="N21" s="136">
        <f>IF(SER_hh_tes!N21=0,"",SER_hh_tes!N21/SER_hh_fec!N21)</f>
        <v>0.56154031113863745</v>
      </c>
      <c r="O21" s="136">
        <f>IF(SER_hh_tes!O21=0,"",SER_hh_tes!O21/SER_hh_fec!O21)</f>
        <v>0.56852058207519973</v>
      </c>
      <c r="P21" s="136">
        <f>IF(SER_hh_tes!P21=0,"",SER_hh_tes!P21/SER_hh_fec!P21)</f>
        <v>0.57535883314025915</v>
      </c>
      <c r="Q21" s="136">
        <f>IF(SER_hh_tes!Q21=0,"",SER_hh_tes!Q21/SER_hh_fec!Q21)</f>
        <v>0.58438410770943361</v>
      </c>
      <c r="R21" s="136">
        <f>IF(SER_hh_tes!R21=0,"",SER_hh_tes!R21/SER_hh_fec!R21)</f>
        <v>0.59351982848906126</v>
      </c>
      <c r="S21" s="136">
        <f>IF(SER_hh_tes!S21=0,"",SER_hh_tes!S21/SER_hh_fec!S21)</f>
        <v>0.60358888344306916</v>
      </c>
      <c r="T21" s="136">
        <f>IF(SER_hh_tes!T21=0,"",SER_hh_tes!T21/SER_hh_fec!T21)</f>
        <v>0.61281526050507185</v>
      </c>
      <c r="U21" s="136">
        <f>IF(SER_hh_tes!U21=0,"",SER_hh_tes!U21/SER_hh_fec!U21)</f>
        <v>0.62188249930136252</v>
      </c>
      <c r="V21" s="136">
        <f>IF(SER_hh_tes!V21=0,"",SER_hh_tes!V21/SER_hh_fec!V21)</f>
        <v>0.63226947770774033</v>
      </c>
      <c r="W21" s="136">
        <f>IF(SER_hh_tes!W21=0,"",SER_hh_tes!W21/SER_hh_fec!W21)</f>
        <v>0.64736817613389908</v>
      </c>
      <c r="X21" s="136">
        <f>IF(SER_hh_tes!X21=0,"",SER_hh_tes!X21/SER_hh_fec!X21)</f>
        <v>0.66425204907022584</v>
      </c>
      <c r="Y21" s="136">
        <f>IF(SER_hh_tes!Y21=0,"",SER_hh_tes!Y21/SER_hh_fec!Y21)</f>
        <v>0.67816480220875219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0.49045033342913097</v>
      </c>
      <c r="C22" s="136">
        <f>IF(SER_hh_tes!C22=0,"",SER_hh_tes!C22/SER_hh_fec!C22)</f>
        <v>0.49252782995712829</v>
      </c>
      <c r="D22" s="136">
        <f>IF(SER_hh_tes!D22=0,"",SER_hh_tes!D22/SER_hh_fec!D22)</f>
        <v>0.49505957134198408</v>
      </c>
      <c r="E22" s="136">
        <f>IF(SER_hh_tes!E22=0,"",SER_hh_tes!E22/SER_hh_fec!E22)</f>
        <v>0.49774552809602035</v>
      </c>
      <c r="F22" s="136">
        <f>IF(SER_hh_tes!F22=0,"",SER_hh_tes!F22/SER_hh_fec!F22)</f>
        <v>0.50047213645072486</v>
      </c>
      <c r="G22" s="136">
        <f>IF(SER_hh_tes!G22=0,"",SER_hh_tes!G22/SER_hh_fec!G22)</f>
        <v>0.50357799581721552</v>
      </c>
      <c r="H22" s="136">
        <f>IF(SER_hh_tes!H22=0,"",SER_hh_tes!H22/SER_hh_fec!H22)</f>
        <v>0.50680737076091131</v>
      </c>
      <c r="I22" s="136">
        <f>IF(SER_hh_tes!I22=0,"",SER_hh_tes!I22/SER_hh_fec!I22)</f>
        <v>0.51013236027401387</v>
      </c>
      <c r="J22" s="136">
        <f>IF(SER_hh_tes!J22=0,"",SER_hh_tes!J22/SER_hh_fec!J22)</f>
        <v>0.51320341356399579</v>
      </c>
      <c r="K22" s="136">
        <f>IF(SER_hh_tes!K22=0,"",SER_hh_tes!K22/SER_hh_fec!K22)</f>
        <v>0.51621209865592532</v>
      </c>
      <c r="L22" s="136">
        <f>IF(SER_hh_tes!L22=0,"",SER_hh_tes!L22/SER_hh_fec!L22)</f>
        <v>0.51900513415815375</v>
      </c>
      <c r="M22" s="136">
        <f>IF(SER_hh_tes!M22=0,"",SER_hh_tes!M22/SER_hh_fec!M22)</f>
        <v>0.52181964594800601</v>
      </c>
      <c r="N22" s="136">
        <f>IF(SER_hh_tes!N22=0,"",SER_hh_tes!N22/SER_hh_fec!N22)</f>
        <v>0.52534398005375627</v>
      </c>
      <c r="O22" s="136">
        <f>IF(SER_hh_tes!O22=0,"",SER_hh_tes!O22/SER_hh_fec!O22)</f>
        <v>0.53000783039679045</v>
      </c>
      <c r="P22" s="136">
        <f>IF(SER_hh_tes!P22=0,"",SER_hh_tes!P22/SER_hh_fec!P22)</f>
        <v>0.53177040330331105</v>
      </c>
      <c r="Q22" s="136">
        <f>IF(SER_hh_tes!Q22=0,"",SER_hh_tes!Q22/SER_hh_fec!Q22)</f>
        <v>0.5376706320137673</v>
      </c>
      <c r="R22" s="136">
        <f>IF(SER_hh_tes!R22=0,"",SER_hh_tes!R22/SER_hh_fec!R22)</f>
        <v>0.54830033095522701</v>
      </c>
      <c r="S22" s="136">
        <f>IF(SER_hh_tes!S22=0,"",SER_hh_tes!S22/SER_hh_fec!S22)</f>
        <v>0.56561560716054682</v>
      </c>
      <c r="T22" s="136">
        <f>IF(SER_hh_tes!T22=0,"",SER_hh_tes!T22/SER_hh_fec!T22)</f>
        <v>0.58583026799186111</v>
      </c>
      <c r="U22" s="136">
        <f>IF(SER_hh_tes!U22=0,"",SER_hh_tes!U22/SER_hh_fec!U22)</f>
        <v>0.60881206349189143</v>
      </c>
      <c r="V22" s="136">
        <f>IF(SER_hh_tes!V22=0,"",SER_hh_tes!V22/SER_hh_fec!V22)</f>
        <v>0.62958353353635776</v>
      </c>
      <c r="W22" s="136">
        <f>IF(SER_hh_tes!W22=0,"",SER_hh_tes!W22/SER_hh_fec!W22)</f>
        <v>0.65078300182217796</v>
      </c>
      <c r="X22" s="136">
        <f>IF(SER_hh_tes!X22=0,"",SER_hh_tes!X22/SER_hh_fec!X22)</f>
        <v>0.66797563296846463</v>
      </c>
      <c r="Y22" s="136">
        <f>IF(SER_hh_tes!Y22=0,"",SER_hh_tes!Y22/SER_hh_fec!Y22)</f>
        <v>0.68544579951604834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0.50146945940819343</v>
      </c>
      <c r="C23" s="136">
        <f>IF(SER_hh_tes!C23=0,"",SER_hh_tes!C23/SER_hh_fec!C23)</f>
        <v>0.50699063908195341</v>
      </c>
      <c r="D23" s="136">
        <f>IF(SER_hh_tes!D23=0,"",SER_hh_tes!D23/SER_hh_fec!D23)</f>
        <v>0.51348055922046287</v>
      </c>
      <c r="E23" s="136">
        <f>IF(SER_hh_tes!E23=0,"",SER_hh_tes!E23/SER_hh_fec!E23)</f>
        <v>0.51989284511785205</v>
      </c>
      <c r="F23" s="136">
        <f>IF(SER_hh_tes!F23=0,"",SER_hh_tes!F23/SER_hh_fec!F23)</f>
        <v>0.52616458289742196</v>
      </c>
      <c r="G23" s="136">
        <f>IF(SER_hh_tes!G23=0,"",SER_hh_tes!G23/SER_hh_fec!G23)</f>
        <v>0.53257250124412658</v>
      </c>
      <c r="H23" s="136">
        <f>IF(SER_hh_tes!H23=0,"",SER_hh_tes!H23/SER_hh_fec!H23)</f>
        <v>0.53914747763332227</v>
      </c>
      <c r="I23" s="136">
        <f>IF(SER_hh_tes!I23=0,"",SER_hh_tes!I23/SER_hh_fec!I23)</f>
        <v>0.54589903079780966</v>
      </c>
      <c r="J23" s="136">
        <f>IF(SER_hh_tes!J23=0,"",SER_hh_tes!J23/SER_hh_fec!J23)</f>
        <v>0.55311480422027426</v>
      </c>
      <c r="K23" s="136">
        <f>IF(SER_hh_tes!K23=0,"",SER_hh_tes!K23/SER_hh_fec!K23)</f>
        <v>0.56077270214378372</v>
      </c>
      <c r="L23" s="136">
        <f>IF(SER_hh_tes!L23=0,"",SER_hh_tes!L23/SER_hh_fec!L23)</f>
        <v>0.56918929190474954</v>
      </c>
      <c r="M23" s="136">
        <f>IF(SER_hh_tes!M23=0,"",SER_hh_tes!M23/SER_hh_fec!M23)</f>
        <v>0.57896494294875933</v>
      </c>
      <c r="N23" s="136">
        <f>IF(SER_hh_tes!N23=0,"",SER_hh_tes!N23/SER_hh_fec!N23)</f>
        <v>0.59073760706610112</v>
      </c>
      <c r="O23" s="136">
        <f>IF(SER_hh_tes!O23=0,"",SER_hh_tes!O23/SER_hh_fec!O23)</f>
        <v>0.60461589629602919</v>
      </c>
      <c r="P23" s="136">
        <f>IF(SER_hh_tes!P23=0,"",SER_hh_tes!P23/SER_hh_fec!P23)</f>
        <v>0.6151682099355118</v>
      </c>
      <c r="Q23" s="136">
        <f>IF(SER_hh_tes!Q23=0,"",SER_hh_tes!Q23/SER_hh_fec!Q23)</f>
        <v>0.62973909172218323</v>
      </c>
      <c r="R23" s="136">
        <f>IF(SER_hh_tes!R23=0,"",SER_hh_tes!R23/SER_hh_fec!R23)</f>
        <v>0.64624549764070982</v>
      </c>
      <c r="S23" s="136">
        <f>IF(SER_hh_tes!S23=0,"",SER_hh_tes!S23/SER_hh_fec!S23)</f>
        <v>0.66300866264338976</v>
      </c>
      <c r="T23" s="136">
        <f>IF(SER_hh_tes!T23=0,"",SER_hh_tes!T23/SER_hh_fec!T23)</f>
        <v>0.67940753161909817</v>
      </c>
      <c r="U23" s="136">
        <f>IF(SER_hh_tes!U23=0,"",SER_hh_tes!U23/SER_hh_fec!U23)</f>
        <v>0.69454609257817346</v>
      </c>
      <c r="V23" s="136">
        <f>IF(SER_hh_tes!V23=0,"",SER_hh_tes!V23/SER_hh_fec!V23)</f>
        <v>0.70699000205139662</v>
      </c>
      <c r="W23" s="136">
        <f>IF(SER_hh_tes!W23=0,"",SER_hh_tes!W23/SER_hh_fec!W23)</f>
        <v>0.71810719986927374</v>
      </c>
      <c r="X23" s="136">
        <f>IF(SER_hh_tes!X23=0,"",SER_hh_tes!X23/SER_hh_fec!X23)</f>
        <v>0.72527330349740393</v>
      </c>
      <c r="Y23" s="136">
        <f>IF(SER_hh_tes!Y23=0,"",SER_hh_tes!Y23/SER_hh_fec!Y23)</f>
        <v>0.73238291773856212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>
        <f>IF(SER_hh_tes!B25=0,"",SER_hh_tes!B25/SER_hh_fec!B25)</f>
        <v>0.74831683892590584</v>
      </c>
      <c r="C25" s="136">
        <f>IF(SER_hh_tes!C25=0,"",SER_hh_tes!C25/SER_hh_fec!C25)</f>
        <v>0.75006777290281457</v>
      </c>
      <c r="D25" s="136">
        <f>IF(SER_hh_tes!D25=0,"",SER_hh_tes!D25/SER_hh_fec!D25)</f>
        <v>0.75204799487264662</v>
      </c>
      <c r="E25" s="136">
        <f>IF(SER_hh_tes!E25=0,"",SER_hh_tes!E25/SER_hh_fec!E25)</f>
        <v>0.75431204252448647</v>
      </c>
      <c r="F25" s="136">
        <f>IF(SER_hh_tes!F25=0,"",SER_hh_tes!F25/SER_hh_fec!F25)</f>
        <v>0.75688356356533981</v>
      </c>
      <c r="G25" s="136">
        <f>IF(SER_hh_tes!G25=0,"",SER_hh_tes!G25/SER_hh_fec!G25)</f>
        <v>0.75987736832320385</v>
      </c>
      <c r="H25" s="136">
        <f>IF(SER_hh_tes!H25=0,"",SER_hh_tes!H25/SER_hh_fec!H25)</f>
        <v>0.7631516213449786</v>
      </c>
      <c r="I25" s="136">
        <f>IF(SER_hh_tes!I25=0,"",SER_hh_tes!I25/SER_hh_fec!I25)</f>
        <v>0.76661297901643644</v>
      </c>
      <c r="J25" s="136">
        <f>IF(SER_hh_tes!J25=0,"",SER_hh_tes!J25/SER_hh_fec!J25)</f>
        <v>0.77027212977380655</v>
      </c>
      <c r="K25" s="136">
        <f>IF(SER_hh_tes!K25=0,"",SER_hh_tes!K25/SER_hh_fec!K25)</f>
        <v>0.77432760870489237</v>
      </c>
      <c r="L25" s="136">
        <f>IF(SER_hh_tes!L25=0,"",SER_hh_tes!L25/SER_hh_fec!L25)</f>
        <v>0.77894130115441684</v>
      </c>
      <c r="M25" s="136">
        <f>IF(SER_hh_tes!M25=0,"",SER_hh_tes!M25/SER_hh_fec!M25)</f>
        <v>0.78431145626354126</v>
      </c>
      <c r="N25" s="136">
        <f>IF(SER_hh_tes!N25=0,"",SER_hh_tes!N25/SER_hh_fec!N25)</f>
        <v>0.79048971852832173</v>
      </c>
      <c r="O25" s="136">
        <f>IF(SER_hh_tes!O25=0,"",SER_hh_tes!O25/SER_hh_fec!O25)</f>
        <v>0.79687549498229937</v>
      </c>
      <c r="P25" s="136">
        <f>IF(SER_hh_tes!P25=0,"",SER_hh_tes!P25/SER_hh_fec!P25)</f>
        <v>0.79933996261833684</v>
      </c>
      <c r="Q25" s="136">
        <f>IF(SER_hh_tes!Q25=0,"",SER_hh_tes!Q25/SER_hh_fec!Q25)</f>
        <v>0.80281363760836821</v>
      </c>
      <c r="R25" s="136">
        <f>IF(SER_hh_tes!R25=0,"",SER_hh_tes!R25/SER_hh_fec!R25)</f>
        <v>0.80709624733008667</v>
      </c>
      <c r="S25" s="136">
        <f>IF(SER_hh_tes!S25=0,"",SER_hh_tes!S25/SER_hh_fec!S25)</f>
        <v>0.81267059914923079</v>
      </c>
      <c r="T25" s="136">
        <f>IF(SER_hh_tes!T25=0,"",SER_hh_tes!T25/SER_hh_fec!T25)</f>
        <v>0.81874248706098218</v>
      </c>
      <c r="U25" s="136">
        <f>IF(SER_hh_tes!U25=0,"",SER_hh_tes!U25/SER_hh_fec!U25)</f>
        <v>0.82540054381713757</v>
      </c>
      <c r="V25" s="136">
        <f>IF(SER_hh_tes!V25=0,"",SER_hh_tes!V25/SER_hh_fec!V25)</f>
        <v>0.83202829887838747</v>
      </c>
      <c r="W25" s="136">
        <f>IF(SER_hh_tes!W25=0,"",SER_hh_tes!W25/SER_hh_fec!W25)</f>
        <v>0.83861324240598112</v>
      </c>
      <c r="X25" s="136">
        <f>IF(SER_hh_tes!X25=0,"",SER_hh_tes!X25/SER_hh_fec!X25)</f>
        <v>0.84472948453936192</v>
      </c>
      <c r="Y25" s="136">
        <f>IF(SER_hh_tes!Y25=0,"",SER_hh_tes!Y25/SER_hh_fec!Y25)</f>
        <v>0.85088737929706482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0.62232001990378671</v>
      </c>
      <c r="C26" s="137">
        <f>IF(SER_hh_tes!C26=0,"",SER_hh_tes!C26/SER_hh_fec!C26)</f>
        <v>0.62508806312396947</v>
      </c>
      <c r="D26" s="137">
        <f>IF(SER_hh_tes!D26=0,"",SER_hh_tes!D26/SER_hh_fec!D26)</f>
        <v>0.62750652688838915</v>
      </c>
      <c r="E26" s="137">
        <f>IF(SER_hh_tes!E26=0,"",SER_hh_tes!E26/SER_hh_fec!E26)</f>
        <v>0.63088785822598736</v>
      </c>
      <c r="F26" s="137">
        <f>IF(SER_hh_tes!F26=0,"",SER_hh_tes!F26/SER_hh_fec!F26)</f>
        <v>0.63346093312197416</v>
      </c>
      <c r="G26" s="137">
        <f>IF(SER_hh_tes!G26=0,"",SER_hh_tes!G26/SER_hh_fec!G26)</f>
        <v>0.63599615512358998</v>
      </c>
      <c r="H26" s="137">
        <f>IF(SER_hh_tes!H26=0,"",SER_hh_tes!H26/SER_hh_fec!H26)</f>
        <v>0.63935189669511217</v>
      </c>
      <c r="I26" s="137">
        <f>IF(SER_hh_tes!I26=0,"",SER_hh_tes!I26/SER_hh_fec!I26)</f>
        <v>0.64282604979704894</v>
      </c>
      <c r="J26" s="137">
        <f>IF(SER_hh_tes!J26=0,"",SER_hh_tes!J26/SER_hh_fec!J26)</f>
        <v>0.6451216102339673</v>
      </c>
      <c r="K26" s="137">
        <f>IF(SER_hh_tes!K26=0,"",SER_hh_tes!K26/SER_hh_fec!K26)</f>
        <v>0.6476211321055203</v>
      </c>
      <c r="L26" s="137">
        <f>IF(SER_hh_tes!L26=0,"",SER_hh_tes!L26/SER_hh_fec!L26)</f>
        <v>0.65024522210036895</v>
      </c>
      <c r="M26" s="137">
        <f>IF(SER_hh_tes!M26=0,"",SER_hh_tes!M26/SER_hh_fec!M26)</f>
        <v>0.65415663026571313</v>
      </c>
      <c r="N26" s="137">
        <f>IF(SER_hh_tes!N26=0,"",SER_hh_tes!N26/SER_hh_fec!N26)</f>
        <v>0.657611207080392</v>
      </c>
      <c r="O26" s="137">
        <f>IF(SER_hh_tes!O26=0,"",SER_hh_tes!O26/SER_hh_fec!O26)</f>
        <v>0.66246556442421312</v>
      </c>
      <c r="P26" s="137">
        <f>IF(SER_hh_tes!P26=0,"",SER_hh_tes!P26/SER_hh_fec!P26)</f>
        <v>0.66819052200641826</v>
      </c>
      <c r="Q26" s="137">
        <f>IF(SER_hh_tes!Q26=0,"",SER_hh_tes!Q26/SER_hh_fec!Q26)</f>
        <v>0.67589392425145178</v>
      </c>
      <c r="R26" s="137">
        <f>IF(SER_hh_tes!R26=0,"",SER_hh_tes!R26/SER_hh_fec!R26)</f>
        <v>0.68066971499366535</v>
      </c>
      <c r="S26" s="137">
        <f>IF(SER_hh_tes!S26=0,"",SER_hh_tes!S26/SER_hh_fec!S26)</f>
        <v>0.6913260191526307</v>
      </c>
      <c r="T26" s="137">
        <f>IF(SER_hh_tes!T26=0,"",SER_hh_tes!T26/SER_hh_fec!T26)</f>
        <v>0.70526603046539482</v>
      </c>
      <c r="U26" s="137">
        <f>IF(SER_hh_tes!U26=0,"",SER_hh_tes!U26/SER_hh_fec!U26)</f>
        <v>0.72242667978115083</v>
      </c>
      <c r="V26" s="137">
        <f>IF(SER_hh_tes!V26=0,"",SER_hh_tes!V26/SER_hh_fec!V26)</f>
        <v>0.74485894978983014</v>
      </c>
      <c r="W26" s="137">
        <f>IF(SER_hh_tes!W26=0,"",SER_hh_tes!W26/SER_hh_fec!W26)</f>
        <v>0.77286880660421042</v>
      </c>
      <c r="X26" s="137">
        <f>IF(SER_hh_tes!X26=0,"",SER_hh_tes!X26/SER_hh_fec!X26)</f>
        <v>0.80939444906235636</v>
      </c>
      <c r="Y26" s="137">
        <f>IF(SER_hh_tes!Y26=0,"",SER_hh_tes!Y26/SER_hh_fec!Y26)</f>
        <v>0.83646855954430699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0.72815403282777069</v>
      </c>
      <c r="C29" s="135">
        <f>IF(SER_hh_tes!C29=0,"",SER_hh_tes!C29/SER_hh_fec!C29)</f>
        <v>0.72190301809583557</v>
      </c>
      <c r="D29" s="135">
        <f>IF(SER_hh_tes!D29=0,"",SER_hh_tes!D29/SER_hh_fec!D29)</f>
        <v>0.72560710672884143</v>
      </c>
      <c r="E29" s="135">
        <f>IF(SER_hh_tes!E29=0,"",SER_hh_tes!E29/SER_hh_fec!E29)</f>
        <v>0.7254181025700186</v>
      </c>
      <c r="F29" s="135">
        <f>IF(SER_hh_tes!F29=0,"",SER_hh_tes!F29/SER_hh_fec!F29)</f>
        <v>0.72646493080094332</v>
      </c>
      <c r="G29" s="135">
        <f>IF(SER_hh_tes!G29=0,"",SER_hh_tes!G29/SER_hh_fec!G29)</f>
        <v>0.72940490361976995</v>
      </c>
      <c r="H29" s="135">
        <f>IF(SER_hh_tes!H29=0,"",SER_hh_tes!H29/SER_hh_fec!H29)</f>
        <v>0.73091955965190136</v>
      </c>
      <c r="I29" s="135">
        <f>IF(SER_hh_tes!I29=0,"",SER_hh_tes!I29/SER_hh_fec!I29)</f>
        <v>0.73441503120885654</v>
      </c>
      <c r="J29" s="135">
        <f>IF(SER_hh_tes!J29=0,"",SER_hh_tes!J29/SER_hh_fec!J29)</f>
        <v>0.73527421694231565</v>
      </c>
      <c r="K29" s="135">
        <f>IF(SER_hh_tes!K29=0,"",SER_hh_tes!K29/SER_hh_fec!K29)</f>
        <v>0.73295902525833545</v>
      </c>
      <c r="L29" s="135">
        <f>IF(SER_hh_tes!L29=0,"",SER_hh_tes!L29/SER_hh_fec!L29)</f>
        <v>0.73289962654424812</v>
      </c>
      <c r="M29" s="135">
        <f>IF(SER_hh_tes!M29=0,"",SER_hh_tes!M29/SER_hh_fec!M29)</f>
        <v>0.73582747083555256</v>
      </c>
      <c r="N29" s="135">
        <f>IF(SER_hh_tes!N29=0,"",SER_hh_tes!N29/SER_hh_fec!N29)</f>
        <v>0.73669944980781021</v>
      </c>
      <c r="O29" s="135">
        <f>IF(SER_hh_tes!O29=0,"",SER_hh_tes!O29/SER_hh_fec!O29)</f>
        <v>0.73929376529946556</v>
      </c>
      <c r="P29" s="135">
        <f>IF(SER_hh_tes!P29=0,"",SER_hh_tes!P29/SER_hh_fec!P29)</f>
        <v>0.74339195273650538</v>
      </c>
      <c r="Q29" s="135">
        <f>IF(SER_hh_tes!Q29=0,"",SER_hh_tes!Q29/SER_hh_fec!Q29)</f>
        <v>0.74632830443027676</v>
      </c>
      <c r="R29" s="135">
        <f>IF(SER_hh_tes!R29=0,"",SER_hh_tes!R29/SER_hh_fec!R29)</f>
        <v>0.74834501364824391</v>
      </c>
      <c r="S29" s="135">
        <f>IF(SER_hh_tes!S29=0,"",SER_hh_tes!S29/SER_hh_fec!S29)</f>
        <v>0.75383752084954903</v>
      </c>
      <c r="T29" s="135">
        <f>IF(SER_hh_tes!T29=0,"",SER_hh_tes!T29/SER_hh_fec!T29)</f>
        <v>0.76060358975206477</v>
      </c>
      <c r="U29" s="135">
        <f>IF(SER_hh_tes!U29=0,"",SER_hh_tes!U29/SER_hh_fec!U29)</f>
        <v>0.76727970322074135</v>
      </c>
      <c r="V29" s="135">
        <f>IF(SER_hh_tes!V29=0,"",SER_hh_tes!V29/SER_hh_fec!V29)</f>
        <v>0.77463098053235524</v>
      </c>
      <c r="W29" s="135">
        <f>IF(SER_hh_tes!W29=0,"",SER_hh_tes!W29/SER_hh_fec!W29)</f>
        <v>0.78220420139690039</v>
      </c>
      <c r="X29" s="135">
        <f>IF(SER_hh_tes!X29=0,"",SER_hh_tes!X29/SER_hh_fec!X29)</f>
        <v>0.77847962419976924</v>
      </c>
      <c r="Y29" s="135">
        <f>IF(SER_hh_tes!Y29=0,"",SER_hh_tes!Y29/SER_hh_fec!Y29)</f>
        <v>0.79373583169371709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0.57248218547122509</v>
      </c>
      <c r="C30" s="136">
        <f>IF(SER_hh_tes!C30=0,"",SER_hh_tes!C30/SER_hh_fec!C30)</f>
        <v>0.57482065030503515</v>
      </c>
      <c r="D30" s="136">
        <f>IF(SER_hh_tes!D30=0,"",SER_hh_tes!D30/SER_hh_fec!D30)</f>
        <v>0.57596364669788658</v>
      </c>
      <c r="E30" s="136">
        <f>IF(SER_hh_tes!E30=0,"",SER_hh_tes!E30/SER_hh_fec!E30)</f>
        <v>0.57698351250252455</v>
      </c>
      <c r="F30" s="136">
        <f>IF(SER_hh_tes!F30=0,"",SER_hh_tes!F30/SER_hh_fec!F30)</f>
        <v>0.57773068885185952</v>
      </c>
      <c r="G30" s="136">
        <f>IF(SER_hh_tes!G30=0,"",SER_hh_tes!G30/SER_hh_fec!G30)</f>
        <v>0.57832387027403043</v>
      </c>
      <c r="H30" s="136">
        <f>IF(SER_hh_tes!H30=0,"",SER_hh_tes!H30/SER_hh_fec!H30)</f>
        <v>0.57896467879061408</v>
      </c>
      <c r="I30" s="136">
        <f>IF(SER_hh_tes!I30=0,"",SER_hh_tes!I30/SER_hh_fec!I30)</f>
        <v>0.57959151034015666</v>
      </c>
      <c r="J30" s="136">
        <f>IF(SER_hh_tes!J30=0,"",SER_hh_tes!J30/SER_hh_fec!J30)</f>
        <v>0.5803861442649616</v>
      </c>
      <c r="K30" s="136">
        <f>IF(SER_hh_tes!K30=0,"",SER_hh_tes!K30/SER_hh_fec!K30)</f>
        <v>0.58114225503159977</v>
      </c>
      <c r="L30" s="136">
        <f>IF(SER_hh_tes!L30=0,"",SER_hh_tes!L30/SER_hh_fec!L30)</f>
        <v>0.58170342102682371</v>
      </c>
      <c r="M30" s="136">
        <f>IF(SER_hh_tes!M30=0,"",SER_hh_tes!M30/SER_hh_fec!M30)</f>
        <v>0.5820681975849139</v>
      </c>
      <c r="N30" s="136">
        <f>IF(SER_hh_tes!N30=0,"",SER_hh_tes!N30/SER_hh_fec!N30)</f>
        <v>0.58252666199792746</v>
      </c>
      <c r="O30" s="136">
        <f>IF(SER_hh_tes!O30=0,"",SER_hh_tes!O30/SER_hh_fec!O30)</f>
        <v>0.58308848650921075</v>
      </c>
      <c r="P30" s="136">
        <f>IF(SER_hh_tes!P30=0,"",SER_hh_tes!P30/SER_hh_fec!P30)</f>
        <v>0.58362223512795219</v>
      </c>
      <c r="Q30" s="136">
        <f>IF(SER_hh_tes!Q30=0,"",SER_hh_tes!Q30/SER_hh_fec!Q30)</f>
        <v>0.58430057368263455</v>
      </c>
      <c r="R30" s="136">
        <f>IF(SER_hh_tes!R30=0,"",SER_hh_tes!R30/SER_hh_fec!R30)</f>
        <v>0.58542551046902835</v>
      </c>
      <c r="S30" s="136">
        <f>IF(SER_hh_tes!S30=0,"",SER_hh_tes!S30/SER_hh_fec!S30)</f>
        <v>0.58680820543264622</v>
      </c>
      <c r="T30" s="136">
        <f>IF(SER_hh_tes!T30=0,"",SER_hh_tes!T30/SER_hh_fec!T30)</f>
        <v>0.58899879563464408</v>
      </c>
      <c r="U30" s="136">
        <f>IF(SER_hh_tes!U30=0,"",SER_hh_tes!U30/SER_hh_fec!U30)</f>
        <v>0.59234952351303982</v>
      </c>
      <c r="V30" s="136">
        <f>IF(SER_hh_tes!V30=0,"",SER_hh_tes!V30/SER_hh_fec!V30)</f>
        <v>0.59539249090416868</v>
      </c>
      <c r="W30" s="136">
        <f>IF(SER_hh_tes!W30=0,"",SER_hh_tes!W30/SER_hh_fec!W30)</f>
        <v>0.59757113859819799</v>
      </c>
      <c r="X30" s="136">
        <f>IF(SER_hh_tes!X30=0,"",SER_hh_tes!X30/SER_hh_fec!X30)</f>
        <v>0.59886432913869037</v>
      </c>
      <c r="Y30" s="136">
        <f>IF(SER_hh_tes!Y30=0,"",SER_hh_tes!Y30/SER_hh_fec!Y30)</f>
        <v>0.5998859289673778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0.57956205792041282</v>
      </c>
      <c r="C31" s="136">
        <f>IF(SER_hh_tes!C31=0,"",SER_hh_tes!C31/SER_hh_fec!C31)</f>
        <v>0.58028906106362066</v>
      </c>
      <c r="D31" s="136">
        <f>IF(SER_hh_tes!D31=0,"",SER_hh_tes!D31/SER_hh_fec!D31)</f>
        <v>0.58114296227610873</v>
      </c>
      <c r="E31" s="136">
        <f>IF(SER_hh_tes!E31=0,"",SER_hh_tes!E31/SER_hh_fec!E31)</f>
        <v>0.58206053838812855</v>
      </c>
      <c r="F31" s="136">
        <f>IF(SER_hh_tes!F31=0,"",SER_hh_tes!F31/SER_hh_fec!F31)</f>
        <v>0.58298007454783707</v>
      </c>
      <c r="G31" s="136">
        <f>IF(SER_hh_tes!G31=0,"",SER_hh_tes!G31/SER_hh_fec!G31)</f>
        <v>0.58401398693637518</v>
      </c>
      <c r="H31" s="136">
        <f>IF(SER_hh_tes!H31=0,"",SER_hh_tes!H31/SER_hh_fec!H31)</f>
        <v>0.58508587633377129</v>
      </c>
      <c r="I31" s="136">
        <f>IF(SER_hh_tes!I31=0,"",SER_hh_tes!I31/SER_hh_fec!I31)</f>
        <v>0.58625100781293504</v>
      </c>
      <c r="J31" s="136">
        <f>IF(SER_hh_tes!J31=0,"",SER_hh_tes!J31/SER_hh_fec!J31)</f>
        <v>0.58745164593284138</v>
      </c>
      <c r="K31" s="136">
        <f>IF(SER_hh_tes!K31=0,"",SER_hh_tes!K31/SER_hh_fec!K31)</f>
        <v>0.58873286432340544</v>
      </c>
      <c r="L31" s="136">
        <f>IF(SER_hh_tes!L31=0,"",SER_hh_tes!L31/SER_hh_fec!L31)</f>
        <v>0.58968627148356956</v>
      </c>
      <c r="M31" s="136">
        <f>IF(SER_hh_tes!M31=0,"",SER_hh_tes!M31/SER_hh_fec!M31)</f>
        <v>0.59007629807364304</v>
      </c>
      <c r="N31" s="136">
        <f>IF(SER_hh_tes!N31=0,"",SER_hh_tes!N31/SER_hh_fec!N31)</f>
        <v>0.59055878853483479</v>
      </c>
      <c r="O31" s="136">
        <f>IF(SER_hh_tes!O31=0,"",SER_hh_tes!O31/SER_hh_fec!O31)</f>
        <v>0.59115100752911021</v>
      </c>
      <c r="P31" s="136">
        <f>IF(SER_hh_tes!P31=0,"",SER_hh_tes!P31/SER_hh_fec!P31)</f>
        <v>0.59175049212290887</v>
      </c>
      <c r="Q31" s="136">
        <f>IF(SER_hh_tes!Q31=0,"",SER_hh_tes!Q31/SER_hh_fec!Q31)</f>
        <v>0.59258094914588277</v>
      </c>
      <c r="R31" s="136">
        <f>IF(SER_hh_tes!R31=0,"",SER_hh_tes!R31/SER_hh_fec!R31)</f>
        <v>0.59396616882145714</v>
      </c>
      <c r="S31" s="136">
        <f>IF(SER_hh_tes!S31=0,"",SER_hh_tes!S31/SER_hh_fec!S31)</f>
        <v>0.59614996053191649</v>
      </c>
      <c r="T31" s="136">
        <f>IF(SER_hh_tes!T31=0,"",SER_hh_tes!T31/SER_hh_fec!T31)</f>
        <v>0.59887056270198413</v>
      </c>
      <c r="U31" s="136">
        <f>IF(SER_hh_tes!U31=0,"",SER_hh_tes!U31/SER_hh_fec!U31)</f>
        <v>0.60206085514211249</v>
      </c>
      <c r="V31" s="136">
        <f>IF(SER_hh_tes!V31=0,"",SER_hh_tes!V31/SER_hh_fec!V31)</f>
        <v>0.6073266958759661</v>
      </c>
      <c r="W31" s="136">
        <f>IF(SER_hh_tes!W31=0,"",SER_hh_tes!W31/SER_hh_fec!W31)</f>
        <v>0.61275330582584564</v>
      </c>
      <c r="X31" s="136">
        <f>IF(SER_hh_tes!X31=0,"",SER_hh_tes!X31/SER_hh_fec!X31)</f>
        <v>0.61778826255377428</v>
      </c>
      <c r="Y31" s="136">
        <f>IF(SER_hh_tes!Y31=0,"",SER_hh_tes!Y31/SER_hh_fec!Y31)</f>
        <v>0.62166191555830763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>
        <f>IF(SER_hh_tes!K32=0,"",SER_hh_tes!K32/SER_hh_fec!K32)</f>
        <v>0.57342107550539501</v>
      </c>
      <c r="L32" s="136">
        <f>IF(SER_hh_tes!L32=0,"",SER_hh_tes!L32/SER_hh_fec!L32)</f>
        <v>0.57347982655337004</v>
      </c>
      <c r="M32" s="136">
        <f>IF(SER_hh_tes!M32=0,"",SER_hh_tes!M32/SER_hh_fec!M32)</f>
        <v>0.57351136390450264</v>
      </c>
      <c r="N32" s="136">
        <f>IF(SER_hh_tes!N32=0,"",SER_hh_tes!N32/SER_hh_fec!N32)</f>
        <v>0.57351499146610052</v>
      </c>
      <c r="O32" s="136">
        <f>IF(SER_hh_tes!O32=0,"",SER_hh_tes!O32/SER_hh_fec!O32)</f>
        <v>0.57352341983133737</v>
      </c>
      <c r="P32" s="136">
        <f>IF(SER_hh_tes!P32=0,"",SER_hh_tes!P32/SER_hh_fec!P32)</f>
        <v>0.57353804541393283</v>
      </c>
      <c r="Q32" s="136">
        <f>IF(SER_hh_tes!Q32=0,"",SER_hh_tes!Q32/SER_hh_fec!Q32)</f>
        <v>0.57362197585197827</v>
      </c>
      <c r="R32" s="136">
        <f>IF(SER_hh_tes!R32=0,"",SER_hh_tes!R32/SER_hh_fec!R32)</f>
        <v>0.57397665440444734</v>
      </c>
      <c r="S32" s="136">
        <f>IF(SER_hh_tes!S32=0,"",SER_hh_tes!S32/SER_hh_fec!S32)</f>
        <v>0.57473493063977354</v>
      </c>
      <c r="T32" s="136">
        <f>IF(SER_hh_tes!T32=0,"",SER_hh_tes!T32/SER_hh_fec!T32)</f>
        <v>0.57702692270461231</v>
      </c>
      <c r="U32" s="136">
        <f>IF(SER_hh_tes!U32=0,"",SER_hh_tes!U32/SER_hh_fec!U32)</f>
        <v>0.57935790203572968</v>
      </c>
      <c r="V32" s="136">
        <f>IF(SER_hh_tes!V32=0,"",SER_hh_tes!V32/SER_hh_fec!V32)</f>
        <v>0.58150296040252369</v>
      </c>
      <c r="W32" s="136">
        <f>IF(SER_hh_tes!W32=0,"",SER_hh_tes!W32/SER_hh_fec!W32)</f>
        <v>0.58458782409253573</v>
      </c>
      <c r="X32" s="136">
        <f>IF(SER_hh_tes!X32=0,"",SER_hh_tes!X32/SER_hh_fec!X32)</f>
        <v>0.58564260972874516</v>
      </c>
      <c r="Y32" s="136">
        <f>IF(SER_hh_tes!Y32=0,"",SER_hh_tes!Y32/SER_hh_fec!Y32)</f>
        <v>0.58635271996505323</v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0.75750572095877244</v>
      </c>
      <c r="C33" s="149">
        <f>IF(SER_hh_tes!C33=0,"",SER_hh_tes!C33/SER_hh_fec!C33)</f>
        <v>0.75913795305258991</v>
      </c>
      <c r="D33" s="149">
        <f>IF(SER_hh_tes!D33=0,"",SER_hh_tes!D33/SER_hh_fec!D33)</f>
        <v>0.7609396801586269</v>
      </c>
      <c r="E33" s="149">
        <f>IF(SER_hh_tes!E33=0,"",SER_hh_tes!E33/SER_hh_fec!E33)</f>
        <v>0.7629526205454833</v>
      </c>
      <c r="F33" s="149">
        <f>IF(SER_hh_tes!F33=0,"",SER_hh_tes!F33/SER_hh_fec!F33)</f>
        <v>0.76484909359627595</v>
      </c>
      <c r="G33" s="149">
        <f>IF(SER_hh_tes!G33=0,"",SER_hh_tes!G33/SER_hh_fec!G33)</f>
        <v>0.76681262452949983</v>
      </c>
      <c r="H33" s="149">
        <f>IF(SER_hh_tes!H33=0,"",SER_hh_tes!H33/SER_hh_fec!H33)</f>
        <v>0.76898374483983245</v>
      </c>
      <c r="I33" s="149">
        <f>IF(SER_hh_tes!I33=0,"",SER_hh_tes!I33/SER_hh_fec!I33)</f>
        <v>0.77119805918018769</v>
      </c>
      <c r="J33" s="149">
        <f>IF(SER_hh_tes!J33=0,"",SER_hh_tes!J33/SER_hh_fec!J33)</f>
        <v>0.7732336816121772</v>
      </c>
      <c r="K33" s="149">
        <f>IF(SER_hh_tes!K33=0,"",SER_hh_tes!K33/SER_hh_fec!K33)</f>
        <v>0.77542272128219247</v>
      </c>
      <c r="L33" s="149">
        <f>IF(SER_hh_tes!L33=0,"",SER_hh_tes!L33/SER_hh_fec!L33)</f>
        <v>0.77711765194805493</v>
      </c>
      <c r="M33" s="149">
        <f>IF(SER_hh_tes!M33=0,"",SER_hh_tes!M33/SER_hh_fec!M33)</f>
        <v>0.77801813714424972</v>
      </c>
      <c r="N33" s="149">
        <f>IF(SER_hh_tes!N33=0,"",SER_hh_tes!N33/SER_hh_fec!N33)</f>
        <v>0.77922318994903239</v>
      </c>
      <c r="O33" s="149">
        <f>IF(SER_hh_tes!O33=0,"",SER_hh_tes!O33/SER_hh_fec!O33)</f>
        <v>0.78151277993676738</v>
      </c>
      <c r="P33" s="149">
        <f>IF(SER_hh_tes!P33=0,"",SER_hh_tes!P33/SER_hh_fec!P33)</f>
        <v>0.78500505554073252</v>
      </c>
      <c r="Q33" s="149">
        <f>IF(SER_hh_tes!Q33=0,"",SER_hh_tes!Q33/SER_hh_fec!Q33)</f>
        <v>0.78939980215180483</v>
      </c>
      <c r="R33" s="149">
        <f>IF(SER_hh_tes!R33=0,"",SER_hh_tes!R33/SER_hh_fec!R33)</f>
        <v>0.79415206750438805</v>
      </c>
      <c r="S33" s="149">
        <f>IF(SER_hh_tes!S33=0,"",SER_hh_tes!S33/SER_hh_fec!S33)</f>
        <v>0.80037659423598129</v>
      </c>
      <c r="T33" s="149">
        <f>IF(SER_hh_tes!T33=0,"",SER_hh_tes!T33/SER_hh_fec!T33)</f>
        <v>0.8082088541449679</v>
      </c>
      <c r="U33" s="149">
        <f>IF(SER_hh_tes!U33=0,"",SER_hh_tes!U33/SER_hh_fec!U33)</f>
        <v>0.81693124653133942</v>
      </c>
      <c r="V33" s="149">
        <f>IF(SER_hh_tes!V33=0,"",SER_hh_tes!V33/SER_hh_fec!V33)</f>
        <v>0.82555038185510965</v>
      </c>
      <c r="W33" s="149">
        <f>IF(SER_hh_tes!W33=0,"",SER_hh_tes!W33/SER_hh_fec!W33)</f>
        <v>0.83435054657001795</v>
      </c>
      <c r="X33" s="149">
        <f>IF(SER_hh_tes!X33=0,"",SER_hh_tes!X33/SER_hh_fec!X33)</f>
        <v>0.84317972281537956</v>
      </c>
      <c r="Y33" s="149">
        <f>IF(SER_hh_tes!Y33=0,"",SER_hh_tes!Y33/SER_hh_fec!Y33)</f>
        <v>0.85223369227068491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607.69996272000003</v>
      </c>
      <c r="C3" s="125">
        <f t="shared" si="0"/>
        <v>714.06201095999995</v>
      </c>
      <c r="D3" s="125">
        <f t="shared" si="0"/>
        <v>755.0837747999999</v>
      </c>
      <c r="E3" s="125">
        <f t="shared" si="0"/>
        <v>779.68550051999989</v>
      </c>
      <c r="F3" s="125">
        <f t="shared" si="0"/>
        <v>778.82867315999954</v>
      </c>
      <c r="G3" s="125">
        <f t="shared" si="0"/>
        <v>751.12181495999994</v>
      </c>
      <c r="H3" s="125">
        <f t="shared" si="0"/>
        <v>692.89520903999994</v>
      </c>
      <c r="I3" s="125">
        <f t="shared" si="0"/>
        <v>614.82735323999998</v>
      </c>
      <c r="J3" s="125">
        <f t="shared" si="0"/>
        <v>627.21562643999982</v>
      </c>
      <c r="K3" s="125">
        <f t="shared" si="0"/>
        <v>628.10442396000042</v>
      </c>
      <c r="L3" s="125">
        <f t="shared" si="0"/>
        <v>671.60315339999966</v>
      </c>
      <c r="M3" s="125">
        <f t="shared" si="0"/>
        <v>613.23641711999983</v>
      </c>
      <c r="N3" s="125">
        <f t="shared" si="0"/>
        <v>543.94437239999991</v>
      </c>
      <c r="O3" s="125">
        <f t="shared" si="0"/>
        <v>513.75531132000026</v>
      </c>
      <c r="P3" s="125">
        <f t="shared" si="0"/>
        <v>470.17943280000026</v>
      </c>
      <c r="Q3" s="125">
        <f t="shared" si="0"/>
        <v>585.25182396000037</v>
      </c>
      <c r="R3" s="125">
        <f t="shared" ref="R3:W3" si="1">SUM(R4,R16,R19,R29)</f>
        <v>609.69817800000021</v>
      </c>
      <c r="S3" s="125">
        <f t="shared" si="1"/>
        <v>626.75588844000015</v>
      </c>
      <c r="T3" s="125">
        <f t="shared" si="1"/>
        <v>627.27089363999983</v>
      </c>
      <c r="U3" s="125">
        <f t="shared" si="1"/>
        <v>612.02895552000041</v>
      </c>
      <c r="V3" s="125">
        <f t="shared" si="1"/>
        <v>570.75273611999978</v>
      </c>
      <c r="W3" s="125">
        <f t="shared" si="1"/>
        <v>653.68611216000022</v>
      </c>
      <c r="X3" s="125">
        <f t="shared" ref="X3:Y3" si="2">SUM(X4,X16,X19,X29)</f>
        <v>563.05272672000069</v>
      </c>
      <c r="Y3" s="125">
        <f t="shared" si="2"/>
        <v>495.72556236000031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514.31332574379735</v>
      </c>
      <c r="C4" s="130">
        <f t="shared" si="3"/>
        <v>606.67628336426162</v>
      </c>
      <c r="D4" s="130">
        <f t="shared" si="3"/>
        <v>642.27473677956823</v>
      </c>
      <c r="E4" s="130">
        <f t="shared" si="3"/>
        <v>660.30273191840979</v>
      </c>
      <c r="F4" s="130">
        <f t="shared" si="3"/>
        <v>651.96747900824414</v>
      </c>
      <c r="G4" s="130">
        <f t="shared" si="3"/>
        <v>618.95306767554166</v>
      </c>
      <c r="H4" s="130">
        <f t="shared" si="3"/>
        <v>556.08379450791426</v>
      </c>
      <c r="I4" s="130">
        <f t="shared" si="3"/>
        <v>474.32884136012183</v>
      </c>
      <c r="J4" s="130">
        <f t="shared" si="3"/>
        <v>479.15250295192823</v>
      </c>
      <c r="K4" s="130">
        <f t="shared" si="3"/>
        <v>471.94849504230956</v>
      </c>
      <c r="L4" s="130">
        <f t="shared" si="3"/>
        <v>511.00853043004258</v>
      </c>
      <c r="M4" s="130">
        <f t="shared" si="3"/>
        <v>455.98612519524016</v>
      </c>
      <c r="N4" s="130">
        <f t="shared" si="3"/>
        <v>385.6260914615666</v>
      </c>
      <c r="O4" s="130">
        <f t="shared" si="3"/>
        <v>354.64598138982115</v>
      </c>
      <c r="P4" s="130">
        <f t="shared" si="3"/>
        <v>309.45637811019503</v>
      </c>
      <c r="Q4" s="130">
        <f t="shared" si="3"/>
        <v>419.31711911745612</v>
      </c>
      <c r="R4" s="130">
        <f t="shared" ref="R4:W4" si="4">SUM(R5:R15)</f>
        <v>436.29645427554294</v>
      </c>
      <c r="S4" s="130">
        <f t="shared" si="4"/>
        <v>450.94438576421021</v>
      </c>
      <c r="T4" s="130">
        <f t="shared" si="4"/>
        <v>450.90207151302002</v>
      </c>
      <c r="U4" s="130">
        <f t="shared" si="4"/>
        <v>434.32399369168752</v>
      </c>
      <c r="V4" s="130">
        <f t="shared" si="4"/>
        <v>413.4239035053472</v>
      </c>
      <c r="W4" s="130">
        <f t="shared" si="4"/>
        <v>478.20244606971102</v>
      </c>
      <c r="X4" s="130">
        <f t="shared" ref="X4:Y4" si="5">SUM(X5:X15)</f>
        <v>390.69500797558374</v>
      </c>
      <c r="Y4" s="130">
        <f t="shared" si="5"/>
        <v>346.56476969074151</v>
      </c>
      <c r="DA4" s="155" t="s">
        <v>234</v>
      </c>
    </row>
    <row r="5" spans="1:105" ht="12" customHeight="1" x14ac:dyDescent="0.25">
      <c r="A5" s="131" t="s">
        <v>29</v>
      </c>
      <c r="B5" s="132">
        <v>16.881495839999999</v>
      </c>
      <c r="C5" s="132">
        <v>12.714039359999999</v>
      </c>
      <c r="D5" s="132">
        <v>16.907362559999999</v>
      </c>
      <c r="E5" s="132">
        <v>20.925083519999994</v>
      </c>
      <c r="F5" s="132">
        <v>9.3684888000000015</v>
      </c>
      <c r="G5" s="132">
        <v>1.3844159999999996</v>
      </c>
      <c r="H5" s="132">
        <v>8.098833599999999</v>
      </c>
      <c r="I5" s="132">
        <v>4.3262999999999998</v>
      </c>
      <c r="J5" s="132">
        <v>7.2681840000000051</v>
      </c>
      <c r="K5" s="132">
        <v>6.9220799999999985</v>
      </c>
      <c r="L5" s="132">
        <v>4.2024312000000004</v>
      </c>
      <c r="M5" s="132">
        <v>8.8183655999999964</v>
      </c>
      <c r="N5" s="132">
        <v>8.4919348800000058</v>
      </c>
      <c r="O5" s="132">
        <v>0.77855184000000044</v>
      </c>
      <c r="P5" s="132">
        <v>0.32096592000000007</v>
      </c>
      <c r="Q5" s="132">
        <v>0.16175808000000011</v>
      </c>
      <c r="R5" s="132">
        <v>0.17086607999999992</v>
      </c>
      <c r="S5" s="132">
        <v>0.51915600000000006</v>
      </c>
      <c r="T5" s="132">
        <v>0.17305199999999993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0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359</v>
      </c>
    </row>
    <row r="7" spans="1:105" ht="12" customHeight="1" x14ac:dyDescent="0.25">
      <c r="A7" s="131" t="s">
        <v>161</v>
      </c>
      <c r="B7" s="132">
        <v>368.4899409156215</v>
      </c>
      <c r="C7" s="132">
        <v>401.77561488096308</v>
      </c>
      <c r="D7" s="132">
        <v>453.73648920622134</v>
      </c>
      <c r="E7" s="132">
        <v>455.36477022069869</v>
      </c>
      <c r="F7" s="132">
        <v>446.45644120878791</v>
      </c>
      <c r="G7" s="132">
        <v>399.8031060747694</v>
      </c>
      <c r="H7" s="132">
        <v>338.12848682743993</v>
      </c>
      <c r="I7" s="132">
        <v>267.69923441631641</v>
      </c>
      <c r="J7" s="132">
        <v>248.25470685350749</v>
      </c>
      <c r="K7" s="132">
        <v>235.08418170417315</v>
      </c>
      <c r="L7" s="132">
        <v>221.38329068480002</v>
      </c>
      <c r="M7" s="132">
        <v>200.78415754973312</v>
      </c>
      <c r="N7" s="132">
        <v>156.05936832859805</v>
      </c>
      <c r="O7" s="132">
        <v>126.12708670622098</v>
      </c>
      <c r="P7" s="132">
        <v>93.333370622485319</v>
      </c>
      <c r="Q7" s="132">
        <v>123.23641463358364</v>
      </c>
      <c r="R7" s="132">
        <v>117.86791867507227</v>
      </c>
      <c r="S7" s="132">
        <v>113.54734899310112</v>
      </c>
      <c r="T7" s="132">
        <v>92.346350439516954</v>
      </c>
      <c r="U7" s="132">
        <v>60.513228525724649</v>
      </c>
      <c r="V7" s="132">
        <v>60.01719593656015</v>
      </c>
      <c r="W7" s="132">
        <v>50.426566846126342</v>
      </c>
      <c r="X7" s="132">
        <v>61.057899773168963</v>
      </c>
      <c r="Y7" s="132">
        <v>59.329053118933011</v>
      </c>
      <c r="DA7" s="156" t="s">
        <v>360</v>
      </c>
    </row>
    <row r="8" spans="1:105" ht="12" customHeight="1" x14ac:dyDescent="0.25">
      <c r="A8" s="131" t="s">
        <v>73</v>
      </c>
      <c r="B8" s="132">
        <v>0</v>
      </c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361</v>
      </c>
    </row>
    <row r="9" spans="1:105" ht="12" customHeight="1" x14ac:dyDescent="0.25">
      <c r="A9" s="131" t="s">
        <v>78</v>
      </c>
      <c r="B9" s="132">
        <v>128.9418889881758</v>
      </c>
      <c r="C9" s="132">
        <v>192.18662912329856</v>
      </c>
      <c r="D9" s="132">
        <v>171.63088501334681</v>
      </c>
      <c r="E9" s="132">
        <v>184.01287817771112</v>
      </c>
      <c r="F9" s="132">
        <v>196.14254899945621</v>
      </c>
      <c r="G9" s="132">
        <v>217.76554560077233</v>
      </c>
      <c r="H9" s="132">
        <v>209.85647408047441</v>
      </c>
      <c r="I9" s="132">
        <v>202.30330694380544</v>
      </c>
      <c r="J9" s="132">
        <v>223.62961209842078</v>
      </c>
      <c r="K9" s="132">
        <v>229.94223333813639</v>
      </c>
      <c r="L9" s="132">
        <v>285.42280854524256</v>
      </c>
      <c r="M9" s="132">
        <v>246.38360204550705</v>
      </c>
      <c r="N9" s="132">
        <v>221.07478825296855</v>
      </c>
      <c r="O9" s="132">
        <v>227.74034284360019</v>
      </c>
      <c r="P9" s="132">
        <v>215.80204156770972</v>
      </c>
      <c r="Q9" s="132">
        <v>295.9189464038725</v>
      </c>
      <c r="R9" s="132">
        <v>318.25766952047064</v>
      </c>
      <c r="S9" s="132">
        <v>336.87788077110906</v>
      </c>
      <c r="T9" s="132">
        <v>358.38266907350305</v>
      </c>
      <c r="U9" s="132">
        <v>373.81076516596289</v>
      </c>
      <c r="V9" s="132">
        <v>353.40670756878706</v>
      </c>
      <c r="W9" s="132">
        <v>427.7758792235847</v>
      </c>
      <c r="X9" s="132">
        <v>329.63710820241477</v>
      </c>
      <c r="Y9" s="132">
        <v>287.2357165718085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2.7417867475034895E-2</v>
      </c>
      <c r="C16" s="130">
        <f t="shared" si="6"/>
        <v>2.7674005979787003E-2</v>
      </c>
      <c r="D16" s="130">
        <f t="shared" si="6"/>
        <v>3.2915710809203372E-2</v>
      </c>
      <c r="E16" s="130">
        <f t="shared" si="6"/>
        <v>7.7330283900488198E-2</v>
      </c>
      <c r="F16" s="130">
        <f t="shared" si="6"/>
        <v>4.7007876561737848E-2</v>
      </c>
      <c r="G16" s="130">
        <f t="shared" si="6"/>
        <v>5.511019173751186E-2</v>
      </c>
      <c r="H16" s="130">
        <f t="shared" si="6"/>
        <v>7.2970457818282597E-2</v>
      </c>
      <c r="I16" s="130">
        <f t="shared" si="6"/>
        <v>0.1073547700963573</v>
      </c>
      <c r="J16" s="130">
        <f t="shared" si="6"/>
        <v>0.10595605898952187</v>
      </c>
      <c r="K16" s="130">
        <f t="shared" si="6"/>
        <v>9.3542639621330193E-2</v>
      </c>
      <c r="L16" s="130">
        <f t="shared" si="6"/>
        <v>0.10968586943782606</v>
      </c>
      <c r="M16" s="130">
        <f t="shared" si="6"/>
        <v>0.13266367157462142</v>
      </c>
      <c r="N16" s="130">
        <f t="shared" si="6"/>
        <v>0.18661391699156077</v>
      </c>
      <c r="O16" s="130">
        <f t="shared" si="6"/>
        <v>0.16637494281341145</v>
      </c>
      <c r="P16" s="130">
        <f t="shared" si="6"/>
        <v>0.13701083174164017</v>
      </c>
      <c r="Q16" s="130">
        <f t="shared" si="6"/>
        <v>0.33928209320078095</v>
      </c>
      <c r="R16" s="130">
        <f t="shared" ref="R16:W16" si="7">SUM(R17:R18)</f>
        <v>0.26337840158837372</v>
      </c>
      <c r="S16" s="130">
        <f t="shared" si="7"/>
        <v>0.45825589008991918</v>
      </c>
      <c r="T16" s="130">
        <f t="shared" si="7"/>
        <v>0.42610043657531821</v>
      </c>
      <c r="U16" s="130">
        <f t="shared" si="7"/>
        <v>0.57990559076893644</v>
      </c>
      <c r="V16" s="130">
        <f t="shared" si="7"/>
        <v>0.44569984946062519</v>
      </c>
      <c r="W16" s="130">
        <f t="shared" si="7"/>
        <v>0.62071281525215782</v>
      </c>
      <c r="X16" s="130">
        <f t="shared" ref="X16:Y16" si="8">SUM(X17:X18)</f>
        <v>0.86268066939596444</v>
      </c>
      <c r="Y16" s="130">
        <f t="shared" si="8"/>
        <v>0.89073079970129232</v>
      </c>
      <c r="DA16" s="155" t="s">
        <v>235</v>
      </c>
    </row>
    <row r="17" spans="1:105" ht="12.95" customHeight="1" x14ac:dyDescent="0.25">
      <c r="A17" s="131" t="s">
        <v>73</v>
      </c>
      <c r="B17" s="132">
        <v>2.7417867475034895E-2</v>
      </c>
      <c r="C17" s="132">
        <v>2.7674005979787003E-2</v>
      </c>
      <c r="D17" s="132">
        <v>3.2915710809203372E-2</v>
      </c>
      <c r="E17" s="132">
        <v>7.7330283900488198E-2</v>
      </c>
      <c r="F17" s="132">
        <v>4.7007876561737848E-2</v>
      </c>
      <c r="G17" s="132">
        <v>5.511019173751186E-2</v>
      </c>
      <c r="H17" s="132">
        <v>7.2970457818282597E-2</v>
      </c>
      <c r="I17" s="132">
        <v>0.1073547700963573</v>
      </c>
      <c r="J17" s="132">
        <v>0.10595605898952187</v>
      </c>
      <c r="K17" s="132">
        <v>9.3542639621330193E-2</v>
      </c>
      <c r="L17" s="132">
        <v>0.10968586943782606</v>
      </c>
      <c r="M17" s="132">
        <v>0.13266367157462142</v>
      </c>
      <c r="N17" s="132">
        <v>0.18661391699156077</v>
      </c>
      <c r="O17" s="132">
        <v>0.16637494281341145</v>
      </c>
      <c r="P17" s="132">
        <v>0.13701083174164017</v>
      </c>
      <c r="Q17" s="132">
        <v>0.33928209320078095</v>
      </c>
      <c r="R17" s="132">
        <v>0.26337840158837372</v>
      </c>
      <c r="S17" s="132">
        <v>0.45825589008991918</v>
      </c>
      <c r="T17" s="132">
        <v>0.42610043657531821</v>
      </c>
      <c r="U17" s="132">
        <v>0.57990559076893644</v>
      </c>
      <c r="V17" s="132">
        <v>0.44569984946062519</v>
      </c>
      <c r="W17" s="132">
        <v>0.62071281525215782</v>
      </c>
      <c r="X17" s="132">
        <v>0.86268066939596444</v>
      </c>
      <c r="Y17" s="132">
        <v>0.89073079970129232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72.224869802253778</v>
      </c>
      <c r="C19" s="130">
        <f t="shared" si="9"/>
        <v>77.816099664199669</v>
      </c>
      <c r="D19" s="130">
        <f t="shared" si="9"/>
        <v>83.672404213962011</v>
      </c>
      <c r="E19" s="130">
        <f t="shared" si="9"/>
        <v>87.597229727528784</v>
      </c>
      <c r="F19" s="130">
        <f t="shared" si="9"/>
        <v>92.453539058518047</v>
      </c>
      <c r="G19" s="130">
        <f t="shared" si="9"/>
        <v>97.422606814301147</v>
      </c>
      <c r="H19" s="130">
        <f t="shared" si="9"/>
        <v>99.334770582754871</v>
      </c>
      <c r="I19" s="130">
        <f t="shared" si="9"/>
        <v>102.30890051132161</v>
      </c>
      <c r="J19" s="130">
        <f t="shared" si="9"/>
        <v>106.68343965420395</v>
      </c>
      <c r="K19" s="130">
        <f t="shared" si="9"/>
        <v>109.15116021485208</v>
      </c>
      <c r="L19" s="130">
        <f t="shared" si="9"/>
        <v>110.61142835886248</v>
      </c>
      <c r="M19" s="130">
        <f t="shared" si="9"/>
        <v>109.29624527132731</v>
      </c>
      <c r="N19" s="130">
        <f t="shared" si="9"/>
        <v>109.00118369876967</v>
      </c>
      <c r="O19" s="130">
        <f t="shared" si="9"/>
        <v>109.69524299306032</v>
      </c>
      <c r="P19" s="130">
        <f t="shared" si="9"/>
        <v>110.64009924287512</v>
      </c>
      <c r="Q19" s="130">
        <f t="shared" si="9"/>
        <v>113.42123590989979</v>
      </c>
      <c r="R19" s="130">
        <f t="shared" ref="R19:W19" si="10">SUM(R20:R27)</f>
        <v>116.29292085540621</v>
      </c>
      <c r="S19" s="130">
        <f t="shared" si="10"/>
        <v>117.89959091736165</v>
      </c>
      <c r="T19" s="130">
        <f t="shared" si="10"/>
        <v>118.09994468620383</v>
      </c>
      <c r="U19" s="130">
        <f t="shared" si="10"/>
        <v>117.35529104418978</v>
      </c>
      <c r="V19" s="130">
        <f t="shared" si="10"/>
        <v>105.00569251452046</v>
      </c>
      <c r="W19" s="130">
        <f t="shared" si="10"/>
        <v>113.74974419633114</v>
      </c>
      <c r="X19" s="130">
        <f t="shared" ref="X19:Y19" si="11">SUM(X20:X27)</f>
        <v>95.983502705674709</v>
      </c>
      <c r="Y19" s="130">
        <f t="shared" si="11"/>
        <v>84.435156703307314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4.6077595850133912</v>
      </c>
      <c r="C21" s="132">
        <v>5.8580912533289986</v>
      </c>
      <c r="D21" s="132">
        <v>6.7064296593953037</v>
      </c>
      <c r="E21" s="132">
        <v>7.2239413276466999</v>
      </c>
      <c r="F21" s="132">
        <v>7.9493240487903289</v>
      </c>
      <c r="G21" s="132">
        <v>8.2838088459438701</v>
      </c>
      <c r="H21" s="132">
        <v>8.8114511014717944</v>
      </c>
      <c r="I21" s="132">
        <v>9.2303032910482461</v>
      </c>
      <c r="J21" s="132">
        <v>10.113582279181671</v>
      </c>
      <c r="K21" s="132">
        <v>11.20997996845963</v>
      </c>
      <c r="L21" s="132">
        <v>11.602378611247946</v>
      </c>
      <c r="M21" s="132">
        <v>11.865001723347062</v>
      </c>
      <c r="N21" s="132">
        <v>12.076832488990419</v>
      </c>
      <c r="O21" s="132">
        <v>12.333539928061185</v>
      </c>
      <c r="P21" s="132">
        <v>12.465879500658902</v>
      </c>
      <c r="Q21" s="132">
        <v>12.593624669180739</v>
      </c>
      <c r="R21" s="132">
        <v>12.353136258356644</v>
      </c>
      <c r="S21" s="132">
        <v>11.521639704704796</v>
      </c>
      <c r="T21" s="132">
        <v>10.902266074777925</v>
      </c>
      <c r="U21" s="132">
        <v>9.926022131904336</v>
      </c>
      <c r="V21" s="132">
        <v>8.0283393310861371</v>
      </c>
      <c r="W21" s="132">
        <v>8.475945402504701</v>
      </c>
      <c r="X21" s="132">
        <v>8.0102493480259209</v>
      </c>
      <c r="Y21" s="132">
        <v>6.1875780979924331</v>
      </c>
      <c r="DA21" s="156" t="s">
        <v>372</v>
      </c>
    </row>
    <row r="22" spans="1:105" ht="12" customHeight="1" x14ac:dyDescent="0.25">
      <c r="A22" s="131" t="s">
        <v>161</v>
      </c>
      <c r="B22" s="132">
        <v>23.795338964378463</v>
      </c>
      <c r="C22" s="132">
        <v>25.284702719036851</v>
      </c>
      <c r="D22" s="132">
        <v>26.898209033778372</v>
      </c>
      <c r="E22" s="132">
        <v>28.510653779301283</v>
      </c>
      <c r="F22" s="132">
        <v>29.914371671211583</v>
      </c>
      <c r="G22" s="132">
        <v>32.260471365230515</v>
      </c>
      <c r="H22" s="132">
        <v>33.566357612559997</v>
      </c>
      <c r="I22" s="132">
        <v>35.971307823683659</v>
      </c>
      <c r="J22" s="132">
        <v>37.097755586492433</v>
      </c>
      <c r="K22" s="132">
        <v>38.037544255827015</v>
      </c>
      <c r="L22" s="132">
        <v>37.828524515199817</v>
      </c>
      <c r="M22" s="132">
        <v>35.248755970266785</v>
      </c>
      <c r="N22" s="132">
        <v>33.45060119140205</v>
      </c>
      <c r="O22" s="132">
        <v>31.886234773778909</v>
      </c>
      <c r="P22" s="132">
        <v>29.980798257514653</v>
      </c>
      <c r="Q22" s="132">
        <v>28.561053246416499</v>
      </c>
      <c r="R22" s="132">
        <v>27.637531844927803</v>
      </c>
      <c r="S22" s="132">
        <v>26.623514966898846</v>
      </c>
      <c r="T22" s="132">
        <v>25.384707680483121</v>
      </c>
      <c r="U22" s="132">
        <v>24.928915154275355</v>
      </c>
      <c r="V22" s="132">
        <v>21.002084223439908</v>
      </c>
      <c r="W22" s="132">
        <v>21.414568753873617</v>
      </c>
      <c r="X22" s="132">
        <v>17.112917106831084</v>
      </c>
      <c r="Y22" s="132">
        <v>14.094502801066923</v>
      </c>
      <c r="DA22" s="156" t="s">
        <v>373</v>
      </c>
    </row>
    <row r="23" spans="1:105" ht="12" customHeight="1" x14ac:dyDescent="0.25">
      <c r="A23" s="131" t="s">
        <v>149</v>
      </c>
      <c r="B23" s="132">
        <v>43.821771252861929</v>
      </c>
      <c r="C23" s="132">
        <v>46.673305691833818</v>
      </c>
      <c r="D23" s="132">
        <v>50.067765520788328</v>
      </c>
      <c r="E23" s="132">
        <v>51.862634620580799</v>
      </c>
      <c r="F23" s="132">
        <v>54.589843338516133</v>
      </c>
      <c r="G23" s="132">
        <v>56.878326603126766</v>
      </c>
      <c r="H23" s="132">
        <v>56.956961868723077</v>
      </c>
      <c r="I23" s="132">
        <v>57.107289396589699</v>
      </c>
      <c r="J23" s="132">
        <v>59.472101788529848</v>
      </c>
      <c r="K23" s="132">
        <v>59.903635990565441</v>
      </c>
      <c r="L23" s="132">
        <v>61.180525232414723</v>
      </c>
      <c r="M23" s="132">
        <v>62.182487577713452</v>
      </c>
      <c r="N23" s="132">
        <v>63.473750018377196</v>
      </c>
      <c r="O23" s="132">
        <v>65.475468291220224</v>
      </c>
      <c r="P23" s="132">
        <v>68.19342148470156</v>
      </c>
      <c r="Q23" s="132">
        <v>72.266557994302559</v>
      </c>
      <c r="R23" s="132">
        <v>76.30225275212176</v>
      </c>
      <c r="S23" s="132">
        <v>79.754436245758001</v>
      </c>
      <c r="T23" s="132">
        <v>81.812970930942782</v>
      </c>
      <c r="U23" s="132">
        <v>82.500353758010093</v>
      </c>
      <c r="V23" s="132">
        <v>75.975268959994409</v>
      </c>
      <c r="W23" s="132">
        <v>83.85923003995282</v>
      </c>
      <c r="X23" s="132">
        <v>70.86033625081771</v>
      </c>
      <c r="Y23" s="132">
        <v>64.153075804247962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21.134349306473815</v>
      </c>
      <c r="C29" s="130">
        <f t="shared" si="12"/>
        <v>29.541953925558886</v>
      </c>
      <c r="D29" s="130">
        <f t="shared" si="12"/>
        <v>29.103718095660454</v>
      </c>
      <c r="E29" s="130">
        <f t="shared" si="12"/>
        <v>31.708208590160872</v>
      </c>
      <c r="F29" s="130">
        <f t="shared" si="12"/>
        <v>34.360647216675623</v>
      </c>
      <c r="G29" s="130">
        <f t="shared" si="12"/>
        <v>34.691030278419561</v>
      </c>
      <c r="H29" s="130">
        <f t="shared" si="12"/>
        <v>37.403673491512428</v>
      </c>
      <c r="I29" s="130">
        <f t="shared" si="12"/>
        <v>38.082256598460177</v>
      </c>
      <c r="J29" s="130">
        <f t="shared" si="12"/>
        <v>41.273727774878182</v>
      </c>
      <c r="K29" s="130">
        <f t="shared" si="12"/>
        <v>46.91122606321747</v>
      </c>
      <c r="L29" s="130">
        <f t="shared" si="12"/>
        <v>49.873508741656771</v>
      </c>
      <c r="M29" s="130">
        <f t="shared" si="12"/>
        <v>47.821382981857688</v>
      </c>
      <c r="N29" s="130">
        <f t="shared" si="12"/>
        <v>49.130483322672077</v>
      </c>
      <c r="O29" s="130">
        <f t="shared" si="12"/>
        <v>49.247711994305391</v>
      </c>
      <c r="P29" s="130">
        <f t="shared" si="12"/>
        <v>49.94594461518848</v>
      </c>
      <c r="Q29" s="130">
        <f t="shared" si="12"/>
        <v>52.174186839443664</v>
      </c>
      <c r="R29" s="130">
        <f t="shared" ref="R29:W29" si="13">SUM(R30:R33)</f>
        <v>56.845424467462635</v>
      </c>
      <c r="S29" s="130">
        <f t="shared" si="13"/>
        <v>57.453655868338359</v>
      </c>
      <c r="T29" s="130">
        <f t="shared" si="13"/>
        <v>57.84277700420067</v>
      </c>
      <c r="U29" s="130">
        <f t="shared" si="13"/>
        <v>59.769765193354118</v>
      </c>
      <c r="V29" s="130">
        <f t="shared" si="13"/>
        <v>51.877440250671526</v>
      </c>
      <c r="W29" s="130">
        <f t="shared" si="13"/>
        <v>61.113209078706006</v>
      </c>
      <c r="X29" s="130">
        <f t="shared" ref="X29:Y29" si="14">SUM(X30:X33)</f>
        <v>75.511535369346291</v>
      </c>
      <c r="Y29" s="130">
        <f t="shared" si="14"/>
        <v>63.834905166250167</v>
      </c>
      <c r="DA29" s="155" t="s">
        <v>237</v>
      </c>
    </row>
    <row r="30" spans="1:105" ht="12" customHeight="1" x14ac:dyDescent="0.25">
      <c r="A30" s="131" t="s">
        <v>52</v>
      </c>
      <c r="B30" s="132">
        <v>4.2685174149866096</v>
      </c>
      <c r="C30" s="132">
        <v>11.894462746671005</v>
      </c>
      <c r="D30" s="132">
        <v>11.046124340604697</v>
      </c>
      <c r="E30" s="132">
        <v>13.487371672353307</v>
      </c>
      <c r="F30" s="132">
        <v>16.016737431209673</v>
      </c>
      <c r="G30" s="132">
        <v>15.386263154056138</v>
      </c>
      <c r="H30" s="132">
        <v>17.817379898528195</v>
      </c>
      <c r="I30" s="132">
        <v>17.398527708951743</v>
      </c>
      <c r="J30" s="132">
        <v>19.474007720818324</v>
      </c>
      <c r="K30" s="132">
        <v>24.295128031540361</v>
      </c>
      <c r="L30" s="132">
        <v>26.861488388752061</v>
      </c>
      <c r="M30" s="132">
        <v>23.640106276652944</v>
      </c>
      <c r="N30" s="132">
        <v>23.428275511009609</v>
      </c>
      <c r="O30" s="132">
        <v>23.1715680719388</v>
      </c>
      <c r="P30" s="132">
        <v>23.039228499341114</v>
      </c>
      <c r="Q30" s="132">
        <v>22.911483330819237</v>
      </c>
      <c r="R30" s="132">
        <v>26.110730741643366</v>
      </c>
      <c r="S30" s="132">
        <v>24.279457775295228</v>
      </c>
      <c r="T30" s="132">
        <v>23.715327805222099</v>
      </c>
      <c r="U30" s="132">
        <v>26.170837668095711</v>
      </c>
      <c r="V30" s="132">
        <v>21.559250668913869</v>
      </c>
      <c r="W30" s="132">
        <v>26.141648477495277</v>
      </c>
      <c r="X30" s="132">
        <v>17.435078051974081</v>
      </c>
      <c r="Y30" s="132">
        <v>13.636220782007559</v>
      </c>
      <c r="DA30" s="156" t="s">
        <v>379</v>
      </c>
    </row>
    <row r="31" spans="1:105" ht="12" customHeight="1" x14ac:dyDescent="0.25">
      <c r="A31" s="131" t="s">
        <v>149</v>
      </c>
      <c r="B31" s="132">
        <v>16.865831891487208</v>
      </c>
      <c r="C31" s="132">
        <v>17.647491178887883</v>
      </c>
      <c r="D31" s="132">
        <v>18.057593755055759</v>
      </c>
      <c r="E31" s="132">
        <v>18.220836917807567</v>
      </c>
      <c r="F31" s="132">
        <v>18.34390978546595</v>
      </c>
      <c r="G31" s="132">
        <v>19.304767124363423</v>
      </c>
      <c r="H31" s="132">
        <v>19.586293592984234</v>
      </c>
      <c r="I31" s="132">
        <v>20.68372888950843</v>
      </c>
      <c r="J31" s="132">
        <v>21.799720054059854</v>
      </c>
      <c r="K31" s="132">
        <v>22.616098031677108</v>
      </c>
      <c r="L31" s="132">
        <v>23.01202035290471</v>
      </c>
      <c r="M31" s="132">
        <v>24.181276705204745</v>
      </c>
      <c r="N31" s="132">
        <v>25.702207811662465</v>
      </c>
      <c r="O31" s="132">
        <v>26.076143922366594</v>
      </c>
      <c r="P31" s="132">
        <v>26.90671611584737</v>
      </c>
      <c r="Q31" s="132">
        <v>29.262703508624423</v>
      </c>
      <c r="R31" s="132">
        <v>30.734693725819266</v>
      </c>
      <c r="S31" s="132">
        <v>33.174198093043131</v>
      </c>
      <c r="T31" s="132">
        <v>34.127449198978567</v>
      </c>
      <c r="U31" s="132">
        <v>33.598927525258411</v>
      </c>
      <c r="V31" s="132">
        <v>30.318189581757657</v>
      </c>
      <c r="W31" s="132">
        <v>34.971560601210726</v>
      </c>
      <c r="X31" s="132">
        <v>58.076457317372217</v>
      </c>
      <c r="Y31" s="132">
        <v>50.198684384242604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148607.24339328217</v>
      </c>
      <c r="C3" s="125">
        <f>IF(SER_hh_fec!C3=0,0,11630*1000*SER_hh_fec!C3/SER_hh_num!C3)</f>
        <v>166321.12247409741</v>
      </c>
      <c r="D3" s="125">
        <f>IF(SER_hh_fec!D3=0,0,11630*1000*SER_hh_fec!D3/SER_hh_num!D3)</f>
        <v>167064.22991442285</v>
      </c>
      <c r="E3" s="125">
        <f>IF(SER_hh_fec!E3=0,0,11630*1000*SER_hh_fec!E3/SER_hh_num!E3)</f>
        <v>167376.15411211908</v>
      </c>
      <c r="F3" s="125">
        <f>IF(SER_hh_fec!F3=0,0,11630*1000*SER_hh_fec!F3/SER_hh_num!F3)</f>
        <v>164800.93957305714</v>
      </c>
      <c r="G3" s="125">
        <f>IF(SER_hh_fec!G3=0,0,11630*1000*SER_hh_fec!G3/SER_hh_num!G3)</f>
        <v>164749.80994734706</v>
      </c>
      <c r="H3" s="125">
        <f>IF(SER_hh_fec!H3=0,0,11630*1000*SER_hh_fec!H3/SER_hh_num!H3)</f>
        <v>151486.31841892569</v>
      </c>
      <c r="I3" s="125">
        <f>IF(SER_hh_fec!I3=0,0,11630*1000*SER_hh_fec!I3/SER_hh_num!I3)</f>
        <v>138978.93475018494</v>
      </c>
      <c r="J3" s="125">
        <f>IF(SER_hh_fec!J3=0,0,11630*1000*SER_hh_fec!J3/SER_hh_num!J3)</f>
        <v>147157.47790320666</v>
      </c>
      <c r="K3" s="125">
        <f>IF(SER_hh_fec!K3=0,0,11630*1000*SER_hh_fec!K3/SER_hh_num!K3)</f>
        <v>145133.04967213102</v>
      </c>
      <c r="L3" s="125">
        <f>IF(SER_hh_fec!L3=0,0,11630*1000*SER_hh_fec!L3/SER_hh_num!L3)</f>
        <v>154013.36727224066</v>
      </c>
      <c r="M3" s="125">
        <f>IF(SER_hh_fec!M3=0,0,11630*1000*SER_hh_fec!M3/SER_hh_num!M3)</f>
        <v>148504.33684030679</v>
      </c>
      <c r="N3" s="125">
        <f>IF(SER_hh_fec!N3=0,0,11630*1000*SER_hh_fec!N3/SER_hh_num!N3)</f>
        <v>142068.92865451475</v>
      </c>
      <c r="O3" s="125">
        <f>IF(SER_hh_fec!O3=0,0,11630*1000*SER_hh_fec!O3/SER_hh_num!O3)</f>
        <v>136892.9391630521</v>
      </c>
      <c r="P3" s="125">
        <f>IF(SER_hh_fec!P3=0,0,11630*1000*SER_hh_fec!P3/SER_hh_num!P3)</f>
        <v>119288.66443902819</v>
      </c>
      <c r="Q3" s="125">
        <f>IF(SER_hh_fec!Q3=0,0,11630*1000*SER_hh_fec!Q3/SER_hh_num!Q3)</f>
        <v>131300.83022400623</v>
      </c>
      <c r="R3" s="125">
        <f>IF(SER_hh_fec!R3=0,0,11630*1000*SER_hh_fec!R3/SER_hh_num!R3)</f>
        <v>134911.11347327894</v>
      </c>
      <c r="S3" s="125">
        <f>IF(SER_hh_fec!S3=0,0,11630*1000*SER_hh_fec!S3/SER_hh_num!S3)</f>
        <v>143611.25220922648</v>
      </c>
      <c r="T3" s="125">
        <f>IF(SER_hh_fec!T3=0,0,11630*1000*SER_hh_fec!T3/SER_hh_num!T3)</f>
        <v>146529.08203826714</v>
      </c>
      <c r="U3" s="125">
        <f>IF(SER_hh_fec!U3=0,0,11630*1000*SER_hh_fec!U3/SER_hh_num!U3)</f>
        <v>146120.76747143964</v>
      </c>
      <c r="V3" s="125">
        <f>IF(SER_hh_fec!V3=0,0,11630*1000*SER_hh_fec!V3/SER_hh_num!V3)</f>
        <v>130211.04885426846</v>
      </c>
      <c r="W3" s="125">
        <f>IF(SER_hh_fec!W3=0,0,11630*1000*SER_hh_fec!W3/SER_hh_num!W3)</f>
        <v>149229.11475859428</v>
      </c>
      <c r="X3" s="125">
        <f>IF(SER_hh_fec!X3=0,0,11630*1000*SER_hh_fec!X3/SER_hh_num!X3)</f>
        <v>138988.99564181504</v>
      </c>
      <c r="Y3" s="125">
        <f>IF(SER_hh_fec!Y3=0,0,11630*1000*SER_hh_fec!Y3/SER_hh_num!Y3)</f>
        <v>131861.30408667339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103953.04881059512</v>
      </c>
      <c r="C4" s="130">
        <f>IF(SER_hh_fec!C4=0,0,11630*1000*SER_hh_fec!C4/SER_hh_num!C4)</f>
        <v>120616.52136128531</v>
      </c>
      <c r="D4" s="130">
        <f>IF(SER_hh_fec!D4=0,0,11630*1000*SER_hh_fec!D4/SER_hh_num!D4)</f>
        <v>120927.69402182558</v>
      </c>
      <c r="E4" s="130">
        <f>IF(SER_hh_fec!E4=0,0,11630*1000*SER_hh_fec!E4/SER_hh_num!E4)</f>
        <v>119597.21099046417</v>
      </c>
      <c r="F4" s="130">
        <f>IF(SER_hh_fec!F4=0,0,11630*1000*SER_hh_fec!F4/SER_hh_num!F4)</f>
        <v>118266.99413790298</v>
      </c>
      <c r="G4" s="130">
        <f>IF(SER_hh_fec!G4=0,0,11630*1000*SER_hh_fec!G4/SER_hh_num!G4)</f>
        <v>117783.32009162928</v>
      </c>
      <c r="H4" s="130">
        <f>IF(SER_hh_fec!H4=0,0,11630*1000*SER_hh_fec!H4/SER_hh_num!H4)</f>
        <v>104403.571967899</v>
      </c>
      <c r="I4" s="130">
        <f>IF(SER_hh_fec!I4=0,0,11630*1000*SER_hh_fec!I4/SER_hh_num!I4)</f>
        <v>91611.848544933557</v>
      </c>
      <c r="J4" s="130">
        <f>IF(SER_hh_fec!J4=0,0,11630*1000*SER_hh_fec!J4/SER_hh_num!J4)</f>
        <v>98610.965293056666</v>
      </c>
      <c r="K4" s="130">
        <f>IF(SER_hh_fec!K4=0,0,11630*1000*SER_hh_fec!K4/SER_hh_num!K4)</f>
        <v>95506.863053140711</v>
      </c>
      <c r="L4" s="130">
        <f>IF(SER_hh_fec!L4=0,0,11630*1000*SER_hh_fec!L4/SER_hh_num!L4)</f>
        <v>103754.32699574096</v>
      </c>
      <c r="M4" s="130">
        <f>IF(SER_hh_fec!M4=0,0,11630*1000*SER_hh_fec!M4/SER_hh_num!M4)</f>
        <v>98199.412198975537</v>
      </c>
      <c r="N4" s="130">
        <f>IF(SER_hh_fec!N4=0,0,11630*1000*SER_hh_fec!N4/SER_hh_num!N4)</f>
        <v>88562.951864211544</v>
      </c>
      <c r="O4" s="130">
        <f>IF(SER_hh_fec!O4=0,0,11630*1000*SER_hh_fec!O4/SER_hh_num!O4)</f>
        <v>84694.432254510568</v>
      </c>
      <c r="P4" s="130">
        <f>IF(SER_hh_fec!P4=0,0,11630*1000*SER_hh_fec!P4/SER_hh_num!P4)</f>
        <v>68051.503460700711</v>
      </c>
      <c r="Q4" s="130">
        <f>IF(SER_hh_fec!Q4=0,0,11630*1000*SER_hh_fec!Q4/SER_hh_num!Q4)</f>
        <v>78791.425915223037</v>
      </c>
      <c r="R4" s="130">
        <f>IF(SER_hh_fec!R4=0,0,11630*1000*SER_hh_fec!R4/SER_hh_num!R4)</f>
        <v>83524.279851887375</v>
      </c>
      <c r="S4" s="130">
        <f>IF(SER_hh_fec!S4=0,0,11630*1000*SER_hh_fec!S4/SER_hh_num!S4)</f>
        <v>90800.305977715354</v>
      </c>
      <c r="T4" s="130">
        <f>IF(SER_hh_fec!T4=0,0,11630*1000*SER_hh_fec!T4/SER_hh_num!T4)</f>
        <v>94944.041685299715</v>
      </c>
      <c r="U4" s="130">
        <f>IF(SER_hh_fec!U4=0,0,11630*1000*SER_hh_fec!U4/SER_hh_num!U4)</f>
        <v>94097.336358749162</v>
      </c>
      <c r="V4" s="130">
        <f>IF(SER_hh_fec!V4=0,0,11630*1000*SER_hh_fec!V4/SER_hh_num!V4)</f>
        <v>84992.979158294882</v>
      </c>
      <c r="W4" s="130">
        <f>IF(SER_hh_fec!W4=0,0,11630*1000*SER_hh_fec!W4/SER_hh_num!W4)</f>
        <v>98876.880824817548</v>
      </c>
      <c r="X4" s="130">
        <f>IF(SER_hh_fec!X4=0,0,11630*1000*SER_hh_fec!X4/SER_hh_num!X4)</f>
        <v>88583.721960506286</v>
      </c>
      <c r="Y4" s="130">
        <f>IF(SER_hh_fec!Y4=0,0,11630*1000*SER_hh_fec!Y4/SER_hh_num!Y4)</f>
        <v>83385.367241323198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123900.16961504704</v>
      </c>
      <c r="C5" s="132">
        <f>IF(SER_hh_fec!C5=0,0,11630*1000*SER_hh_fec!C5/SER_hh_num!C5)</f>
        <v>95836.155674483103</v>
      </c>
      <c r="D5" s="132">
        <f>IF(SER_hh_fec!D5=0,0,11630*1000*SER_hh_fec!D5/SER_hh_num!D5)</f>
        <v>131501.14534606063</v>
      </c>
      <c r="E5" s="132">
        <f>IF(SER_hh_fec!E5=0,0,11630*1000*SER_hh_fec!E5/SER_hh_num!E5)</f>
        <v>177731.5507346605</v>
      </c>
      <c r="F5" s="132">
        <f>IF(SER_hh_fec!F5=0,0,11630*1000*SER_hh_fec!F5/SER_hh_num!F5)</f>
        <v>111090.86793562997</v>
      </c>
      <c r="G5" s="132">
        <f>IF(SER_hh_fec!G5=0,0,11630*1000*SER_hh_fec!G5/SER_hh_num!G5)</f>
        <v>26038.724187590444</v>
      </c>
      <c r="H5" s="132">
        <f>IF(SER_hh_fec!H5=0,0,11630*1000*SER_hh_fec!H5/SER_hh_num!H5)</f>
        <v>156789.31769684103</v>
      </c>
      <c r="I5" s="132">
        <f>IF(SER_hh_fec!I5=0,0,11630*1000*SER_hh_fec!I5/SER_hh_num!I5)</f>
        <v>85754.284964701859</v>
      </c>
      <c r="J5" s="132">
        <f>IF(SER_hh_fec!J5=0,0,11630*1000*SER_hh_fec!J5/SER_hh_num!J5)</f>
        <v>127312.57464081867</v>
      </c>
      <c r="K5" s="132">
        <f>IF(SER_hh_fec!K5=0,0,11630*1000*SER_hh_fec!K5/SER_hh_num!K5)</f>
        <v>119467.16555248793</v>
      </c>
      <c r="L5" s="132">
        <f>IF(SER_hh_fec!L5=0,0,11630*1000*SER_hh_fec!L5/SER_hh_num!L5)</f>
        <v>70724.796025891294</v>
      </c>
      <c r="M5" s="132">
        <f>IF(SER_hh_fec!M5=0,0,11630*1000*SER_hh_fec!M5/SER_hh_num!M5)</f>
        <v>145907.37630606885</v>
      </c>
      <c r="N5" s="132">
        <f>IF(SER_hh_fec!N5=0,0,11630*1000*SER_hh_fec!N5/SER_hh_num!N5)</f>
        <v>144465.58776187609</v>
      </c>
      <c r="O5" s="132">
        <f>IF(SER_hh_fec!O5=0,0,11630*1000*SER_hh_fec!O5/SER_hh_num!O5)</f>
        <v>25036.604650440368</v>
      </c>
      <c r="P5" s="132">
        <f>IF(SER_hh_fec!P5=0,0,11630*1000*SER_hh_fec!P5/SER_hh_num!P5)</f>
        <v>24214.397364009528</v>
      </c>
      <c r="Q5" s="132">
        <f>IF(SER_hh_fec!Q5=0,0,11630*1000*SER_hh_fec!Q5/SER_hh_num!Q5)</f>
        <v>45962.323748522314</v>
      </c>
      <c r="R5" s="132">
        <f>IF(SER_hh_fec!R5=0,0,11630*1000*SER_hh_fec!R5/SER_hh_num!R5)</f>
        <v>59205.419484727208</v>
      </c>
      <c r="S5" s="132">
        <f>IF(SER_hh_fec!S5=0,0,11630*1000*SER_hh_fec!S5/SER_hh_num!S5)</f>
        <v>167478.60291739233</v>
      </c>
      <c r="T5" s="132">
        <f>IF(SER_hh_fec!T5=0,0,11630*1000*SER_hh_fec!T5/SER_hh_num!T5)</f>
        <v>88142.194402285764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0</v>
      </c>
      <c r="C6" s="132">
        <f>IF(SER_hh_fec!C6=0,0,11630*1000*SER_hh_fec!C6/SER_hh_num!C6)</f>
        <v>0</v>
      </c>
      <c r="D6" s="132">
        <f>IF(SER_hh_fec!D6=0,0,11630*1000*SER_hh_fec!D6/SER_hh_num!D6)</f>
        <v>0</v>
      </c>
      <c r="E6" s="132">
        <f>IF(SER_hh_fec!E6=0,0,11630*1000*SER_hh_fec!E6/SER_hh_num!E6)</f>
        <v>0</v>
      </c>
      <c r="F6" s="132">
        <f>IF(SER_hh_fec!F6=0,0,11630*1000*SER_hh_fec!F6/SER_hh_num!F6)</f>
        <v>0</v>
      </c>
      <c r="G6" s="132">
        <f>IF(SER_hh_fec!G6=0,0,11630*1000*SER_hh_fec!G6/SER_hh_num!G6)</f>
        <v>0</v>
      </c>
      <c r="H6" s="132">
        <f>IF(SER_hh_fec!H6=0,0,11630*1000*SER_hh_fec!H6/SER_hh_num!H6)</f>
        <v>0</v>
      </c>
      <c r="I6" s="132">
        <f>IF(SER_hh_fec!I6=0,0,11630*1000*SER_hh_fec!I6/SER_hh_num!I6)</f>
        <v>0</v>
      </c>
      <c r="J6" s="132">
        <f>IF(SER_hh_fec!J6=0,0,11630*1000*SER_hh_fec!J6/SER_hh_num!J6)</f>
        <v>0</v>
      </c>
      <c r="K6" s="132">
        <f>IF(SER_hh_fec!K6=0,0,11630*1000*SER_hh_fec!K6/SER_hh_num!K6)</f>
        <v>0</v>
      </c>
      <c r="L6" s="132">
        <f>IF(SER_hh_fec!L6=0,0,11630*1000*SER_hh_fec!L6/SER_hh_num!L6)</f>
        <v>0</v>
      </c>
      <c r="M6" s="132">
        <f>IF(SER_hh_fec!M6=0,0,11630*1000*SER_hh_fec!M6/SER_hh_num!M6)</f>
        <v>0</v>
      </c>
      <c r="N6" s="132">
        <f>IF(SER_hh_fec!N6=0,0,11630*1000*SER_hh_fec!N6/SER_hh_num!N6)</f>
        <v>0</v>
      </c>
      <c r="O6" s="132">
        <f>IF(SER_hh_fec!O6=0,0,11630*1000*SER_hh_fec!O6/SER_hh_num!O6)</f>
        <v>0</v>
      </c>
      <c r="P6" s="132">
        <f>IF(SER_hh_fec!P6=0,0,11630*1000*SER_hh_fec!P6/SER_hh_num!P6)</f>
        <v>0</v>
      </c>
      <c r="Q6" s="132">
        <f>IF(SER_hh_fec!Q6=0,0,11630*1000*SER_hh_fec!Q6/SER_hh_num!Q6)</f>
        <v>0</v>
      </c>
      <c r="R6" s="132">
        <f>IF(SER_hh_fec!R6=0,0,11630*1000*SER_hh_fec!R6/SER_hh_num!R6)</f>
        <v>0</v>
      </c>
      <c r="S6" s="132">
        <f>IF(SER_hh_fec!S6=0,0,11630*1000*SER_hh_fec!S6/SER_hh_num!S6)</f>
        <v>0</v>
      </c>
      <c r="T6" s="132">
        <f>IF(SER_hh_fec!T6=0,0,11630*1000*SER_hh_fec!T6/SER_hh_num!T6)</f>
        <v>0</v>
      </c>
      <c r="U6" s="132">
        <f>IF(SER_hh_fec!U6=0,0,11630*1000*SER_hh_fec!U6/SER_hh_num!U6)</f>
        <v>0</v>
      </c>
      <c r="V6" s="132">
        <f>IF(SER_hh_fec!V6=0,0,11630*1000*SER_hh_fec!V6/SER_hh_num!V6)</f>
        <v>0</v>
      </c>
      <c r="W6" s="132">
        <f>IF(SER_hh_fec!W6=0,0,11630*1000*SER_hh_fec!W6/SER_hh_num!W6)</f>
        <v>0</v>
      </c>
      <c r="X6" s="132">
        <f>IF(SER_hh_fec!X6=0,0,11630*1000*SER_hh_fec!X6/SER_hh_num!X6)</f>
        <v>0</v>
      </c>
      <c r="Y6" s="132">
        <f>IF(SER_hh_fec!Y6=0,0,11630*1000*SER_hh_fec!Y6/SER_hh_num!Y6)</f>
        <v>0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133669.08898294854</v>
      </c>
      <c r="C7" s="132">
        <f>IF(SER_hh_fec!C7=0,0,11630*1000*SER_hh_fec!C7/SER_hh_num!C7)</f>
        <v>139641.07595471328</v>
      </c>
      <c r="D7" s="132">
        <f>IF(SER_hh_fec!D7=0,0,11630*1000*SER_hh_fec!D7/SER_hh_num!D7)</f>
        <v>151942.54136550165</v>
      </c>
      <c r="E7" s="132">
        <f>IF(SER_hh_fec!E7=0,0,11630*1000*SER_hh_fec!E7/SER_hh_num!E7)</f>
        <v>147186.99640791549</v>
      </c>
      <c r="F7" s="132">
        <f>IF(SER_hh_fec!F7=0,0,11630*1000*SER_hh_fec!F7/SER_hh_num!F7)</f>
        <v>149616.96244330722</v>
      </c>
      <c r="G7" s="132">
        <f>IF(SER_hh_fec!G7=0,0,11630*1000*SER_hh_fec!G7/SER_hh_num!G7)</f>
        <v>144204.70274566932</v>
      </c>
      <c r="H7" s="132">
        <f>IF(SER_hh_fec!H7=0,0,11630*1000*SER_hh_fec!H7/SER_hh_num!H7)</f>
        <v>133233.34741158629</v>
      </c>
      <c r="I7" s="132">
        <f>IF(SER_hh_fec!I7=0,0,11630*1000*SER_hh_fec!I7/SER_hh_num!I7)</f>
        <v>117429.73383595135</v>
      </c>
      <c r="J7" s="132">
        <f>IF(SER_hh_fec!J7=0,0,11630*1000*SER_hh_fec!J7/SER_hh_num!J7)</f>
        <v>122163.23756294133</v>
      </c>
      <c r="K7" s="132">
        <f>IF(SER_hh_fec!K7=0,0,11630*1000*SER_hh_fec!K7/SER_hh_num!K7)</f>
        <v>126114.97915250463</v>
      </c>
      <c r="L7" s="132">
        <f>IF(SER_hh_fec!L7=0,0,11630*1000*SER_hh_fec!L7/SER_hh_num!L7)</f>
        <v>131293.13537834003</v>
      </c>
      <c r="M7" s="132">
        <f>IF(SER_hh_fec!M7=0,0,11630*1000*SER_hh_fec!M7/SER_hh_num!M7)</f>
        <v>129748.05042168809</v>
      </c>
      <c r="N7" s="132">
        <f>IF(SER_hh_fec!N7=0,0,11630*1000*SER_hh_fec!N7/SER_hh_num!N7)</f>
        <v>112739.35398353271</v>
      </c>
      <c r="O7" s="132">
        <f>IF(SER_hh_fec!O7=0,0,11630*1000*SER_hh_fec!O7/SER_hh_num!O7)</f>
        <v>99724.668106899335</v>
      </c>
      <c r="P7" s="132">
        <f>IF(SER_hh_fec!P7=0,0,11630*1000*SER_hh_fec!P7/SER_hh_num!P7)</f>
        <v>77594.987004882889</v>
      </c>
      <c r="Q7" s="132">
        <f>IF(SER_hh_fec!Q7=0,0,11630*1000*SER_hh_fec!Q7/SER_hh_num!Q7)</f>
        <v>101602.27600303976</v>
      </c>
      <c r="R7" s="132">
        <f>IF(SER_hh_fec!R7=0,0,11630*1000*SER_hh_fec!R7/SER_hh_num!R7)</f>
        <v>102289.0551622309</v>
      </c>
      <c r="S7" s="132">
        <f>IF(SER_hh_fec!S7=0,0,11630*1000*SER_hh_fec!S7/SER_hh_num!S7)</f>
        <v>110719.96894821894</v>
      </c>
      <c r="T7" s="132">
        <f>IF(SER_hh_fec!T7=0,0,11630*1000*SER_hh_fec!T7/SER_hh_num!T7)</f>
        <v>109361.1618572322</v>
      </c>
      <c r="U7" s="132">
        <f>IF(SER_hh_fec!U7=0,0,11630*1000*SER_hh_fec!U7/SER_hh_num!U7)</f>
        <v>91119.096719587542</v>
      </c>
      <c r="V7" s="132">
        <f>IF(SER_hh_fec!V7=0,0,11630*1000*SER_hh_fec!V7/SER_hh_num!V7)</f>
        <v>103003.5031580049</v>
      </c>
      <c r="W7" s="132">
        <f>IF(SER_hh_fec!W7=0,0,11630*1000*SER_hh_fec!W7/SER_hh_num!W7)</f>
        <v>96282.682488539707</v>
      </c>
      <c r="X7" s="132">
        <f>IF(SER_hh_fec!X7=0,0,11630*1000*SER_hh_fec!X7/SER_hh_num!X7)</f>
        <v>112541.07586136794</v>
      </c>
      <c r="Y7" s="132">
        <f>IF(SER_hh_fec!Y7=0,0,11630*1000*SER_hh_fec!Y7/SER_hh_num!Y7)</f>
        <v>101402.12151437208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0</v>
      </c>
      <c r="C8" s="132">
        <f>IF(SER_hh_fec!C8=0,0,11630*1000*SER_hh_fec!C8/SER_hh_num!C8)</f>
        <v>0</v>
      </c>
      <c r="D8" s="132">
        <f>IF(SER_hh_fec!D8=0,0,11630*1000*SER_hh_fec!D8/SER_hh_num!D8)</f>
        <v>0</v>
      </c>
      <c r="E8" s="132">
        <f>IF(SER_hh_fec!E8=0,0,11630*1000*SER_hh_fec!E8/SER_hh_num!E8)</f>
        <v>0</v>
      </c>
      <c r="F8" s="132">
        <f>IF(SER_hh_fec!F8=0,0,11630*1000*SER_hh_fec!F8/SER_hh_num!F8)</f>
        <v>0</v>
      </c>
      <c r="G8" s="132">
        <f>IF(SER_hh_fec!G8=0,0,11630*1000*SER_hh_fec!G8/SER_hh_num!G8)</f>
        <v>0</v>
      </c>
      <c r="H8" s="132">
        <f>IF(SER_hh_fec!H8=0,0,11630*1000*SER_hh_fec!H8/SER_hh_num!H8)</f>
        <v>0</v>
      </c>
      <c r="I8" s="132">
        <f>IF(SER_hh_fec!I8=0,0,11630*1000*SER_hh_fec!I8/SER_hh_num!I8)</f>
        <v>0</v>
      </c>
      <c r="J8" s="132">
        <f>IF(SER_hh_fec!J8=0,0,11630*1000*SER_hh_fec!J8/SER_hh_num!J8)</f>
        <v>0</v>
      </c>
      <c r="K8" s="132">
        <f>IF(SER_hh_fec!K8=0,0,11630*1000*SER_hh_fec!K8/SER_hh_num!K8)</f>
        <v>0</v>
      </c>
      <c r="L8" s="132">
        <f>IF(SER_hh_fec!L8=0,0,11630*1000*SER_hh_fec!L8/SER_hh_num!L8)</f>
        <v>0</v>
      </c>
      <c r="M8" s="132">
        <f>IF(SER_hh_fec!M8=0,0,11630*1000*SER_hh_fec!M8/SER_hh_num!M8)</f>
        <v>0</v>
      </c>
      <c r="N8" s="132">
        <f>IF(SER_hh_fec!N8=0,0,11630*1000*SER_hh_fec!N8/SER_hh_num!N8)</f>
        <v>0</v>
      </c>
      <c r="O8" s="132">
        <f>IF(SER_hh_fec!O8=0,0,11630*1000*SER_hh_fec!O8/SER_hh_num!O8)</f>
        <v>0</v>
      </c>
      <c r="P8" s="132">
        <f>IF(SER_hh_fec!P8=0,0,11630*1000*SER_hh_fec!P8/SER_hh_num!P8)</f>
        <v>0</v>
      </c>
      <c r="Q8" s="132">
        <f>IF(SER_hh_fec!Q8=0,0,11630*1000*SER_hh_fec!Q8/SER_hh_num!Q8)</f>
        <v>0</v>
      </c>
      <c r="R8" s="132">
        <f>IF(SER_hh_fec!R8=0,0,11630*1000*SER_hh_fec!R8/SER_hh_num!R8)</f>
        <v>0</v>
      </c>
      <c r="S8" s="132">
        <f>IF(SER_hh_fec!S8=0,0,11630*1000*SER_hh_fec!S8/SER_hh_num!S8)</f>
        <v>0</v>
      </c>
      <c r="T8" s="132">
        <f>IF(SER_hh_fec!T8=0,0,11630*1000*SER_hh_fec!T8/SER_hh_num!T8)</f>
        <v>0</v>
      </c>
      <c r="U8" s="132">
        <f>IF(SER_hh_fec!U8=0,0,11630*1000*SER_hh_fec!U8/SER_hh_num!U8)</f>
        <v>0</v>
      </c>
      <c r="V8" s="132">
        <f>IF(SER_hh_fec!V8=0,0,11630*1000*SER_hh_fec!V8/SER_hh_num!V8)</f>
        <v>0</v>
      </c>
      <c r="W8" s="132">
        <f>IF(SER_hh_fec!W8=0,0,11630*1000*SER_hh_fec!W8/SER_hh_num!W8)</f>
        <v>0</v>
      </c>
      <c r="X8" s="132">
        <f>IF(SER_hh_fec!X8=0,0,11630*1000*SER_hh_fec!X8/SER_hh_num!X8)</f>
        <v>0</v>
      </c>
      <c r="Y8" s="132">
        <f>IF(SER_hh_fec!Y8=0,0,11630*1000*SER_hh_fec!Y8/SER_hh_num!Y8)</f>
        <v>0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106449.49708533306</v>
      </c>
      <c r="C9" s="132">
        <f>IF(SER_hh_fec!C9=0,0,11630*1000*SER_hh_fec!C9/SER_hh_num!C9)</f>
        <v>147765.87806001227</v>
      </c>
      <c r="D9" s="132">
        <f>IF(SER_hh_fec!D9=0,0,11630*1000*SER_hh_fec!D9/SER_hh_num!D9)</f>
        <v>129208.52436303665</v>
      </c>
      <c r="E9" s="132">
        <f>IF(SER_hh_fec!E9=0,0,11630*1000*SER_hh_fec!E9/SER_hh_num!E9)</f>
        <v>131049.38002201488</v>
      </c>
      <c r="F9" s="132">
        <f>IF(SER_hh_fec!F9=0,0,11630*1000*SER_hh_fec!F9/SER_hh_num!F9)</f>
        <v>130888.26665096827</v>
      </c>
      <c r="G9" s="132">
        <f>IF(SER_hh_fec!G9=0,0,11630*1000*SER_hh_fec!G9/SER_hh_num!G9)</f>
        <v>133229.74365865608</v>
      </c>
      <c r="H9" s="132">
        <f>IF(SER_hh_fec!H9=0,0,11630*1000*SER_hh_fec!H9/SER_hh_num!H9)</f>
        <v>118844.33614210202</v>
      </c>
      <c r="I9" s="132">
        <f>IF(SER_hh_fec!I9=0,0,11630*1000*SER_hh_fec!I9/SER_hh_num!I9)</f>
        <v>106773.08704700629</v>
      </c>
      <c r="J9" s="132">
        <f>IF(SER_hh_fec!J9=0,0,11630*1000*SER_hh_fec!J9/SER_hh_num!J9)</f>
        <v>111584.33886877024</v>
      </c>
      <c r="K9" s="132">
        <f>IF(SER_hh_fec!K9=0,0,11630*1000*SER_hh_fec!K9/SER_hh_num!K9)</f>
        <v>108692.89349695123</v>
      </c>
      <c r="L9" s="132">
        <f>IF(SER_hh_fec!L9=0,0,11630*1000*SER_hh_fec!L9/SER_hh_num!L9)</f>
        <v>128487.98013765858</v>
      </c>
      <c r="M9" s="132">
        <f>IF(SER_hh_fec!M9=0,0,11630*1000*SER_hh_fec!M9/SER_hh_num!M9)</f>
        <v>111092.26352597986</v>
      </c>
      <c r="N9" s="132">
        <f>IF(SER_hh_fec!N9=0,0,11630*1000*SER_hh_fec!N9/SER_hh_num!N9)</f>
        <v>97170.027417651101</v>
      </c>
      <c r="O9" s="132">
        <f>IF(SER_hh_fec!O9=0,0,11630*1000*SER_hh_fec!O9/SER_hh_num!O9)</f>
        <v>91672.446332071573</v>
      </c>
      <c r="P9" s="132">
        <f>IF(SER_hh_fec!P9=0,0,11630*1000*SER_hh_fec!P9/SER_hh_num!P9)</f>
        <v>75795.674869697672</v>
      </c>
      <c r="Q9" s="132">
        <f>IF(SER_hh_fec!Q9=0,0,11630*1000*SER_hh_fec!Q9/SER_hh_num!Q9)</f>
        <v>89645.537375177344</v>
      </c>
      <c r="R9" s="132">
        <f>IF(SER_hh_fec!R9=0,0,11630*1000*SER_hh_fec!R9/SER_hh_num!R9)</f>
        <v>92688.431228530942</v>
      </c>
      <c r="S9" s="132">
        <f>IF(SER_hh_fec!S9=0,0,11630*1000*SER_hh_fec!S9/SER_hh_num!S9)</f>
        <v>96940.348795844839</v>
      </c>
      <c r="T9" s="132">
        <f>IF(SER_hh_fec!T9=0,0,11630*1000*SER_hh_fec!T9/SER_hh_num!T9)</f>
        <v>100668.61521096164</v>
      </c>
      <c r="U9" s="132">
        <f>IF(SER_hh_fec!U9=0,0,11630*1000*SER_hh_fec!U9/SER_hh_num!U9)</f>
        <v>101040.21402108278</v>
      </c>
      <c r="V9" s="132">
        <f>IF(SER_hh_fec!V9=0,0,11630*1000*SER_hh_fec!V9/SER_hh_num!V9)</f>
        <v>92993.742667347775</v>
      </c>
      <c r="W9" s="132">
        <f>IF(SER_hh_fec!W9=0,0,11630*1000*SER_hh_fec!W9/SER_hh_num!W9)</f>
        <v>113614.18006744655</v>
      </c>
      <c r="X9" s="132">
        <f>IF(SER_hh_fec!X9=0,0,11630*1000*SER_hh_fec!X9/SER_hh_num!X9)</f>
        <v>95289.115686568693</v>
      </c>
      <c r="Y9" s="132">
        <f>IF(SER_hh_fec!Y9=0,0,11630*1000*SER_hh_fec!Y9/SER_hh_num!Y9)</f>
        <v>88048.92377192984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0</v>
      </c>
      <c r="C10" s="132">
        <f>IF(SER_hh_fec!C10=0,0,11630*1000*SER_hh_fec!C10/SER_hh_num!C10)</f>
        <v>0</v>
      </c>
      <c r="D10" s="132">
        <f>IF(SER_hh_fec!D10=0,0,11630*1000*SER_hh_fec!D10/SER_hh_num!D10)</f>
        <v>0</v>
      </c>
      <c r="E10" s="132">
        <f>IF(SER_hh_fec!E10=0,0,11630*1000*SER_hh_fec!E10/SER_hh_num!E10)</f>
        <v>0</v>
      </c>
      <c r="F10" s="132">
        <f>IF(SER_hh_fec!F10=0,0,11630*1000*SER_hh_fec!F10/SER_hh_num!F10)</f>
        <v>0</v>
      </c>
      <c r="G10" s="132">
        <f>IF(SER_hh_fec!G10=0,0,11630*1000*SER_hh_fec!G10/SER_hh_num!G10)</f>
        <v>0</v>
      </c>
      <c r="H10" s="132">
        <f>IF(SER_hh_fec!H10=0,0,11630*1000*SER_hh_fec!H10/SER_hh_num!H10)</f>
        <v>0</v>
      </c>
      <c r="I10" s="132">
        <f>IF(SER_hh_fec!I10=0,0,11630*1000*SER_hh_fec!I10/SER_hh_num!I10)</f>
        <v>167005.71563192521</v>
      </c>
      <c r="J10" s="132">
        <f>IF(SER_hh_fec!J10=0,0,11630*1000*SER_hh_fec!J10/SER_hh_num!J10)</f>
        <v>119470.18258408799</v>
      </c>
      <c r="K10" s="132">
        <f>IF(SER_hh_fec!K10=0,0,11630*1000*SER_hh_fec!K10/SER_hh_num!K10)</f>
        <v>134761.50027296683</v>
      </c>
      <c r="L10" s="132">
        <f>IF(SER_hh_fec!L10=0,0,11630*1000*SER_hh_fec!L10/SER_hh_num!L10)</f>
        <v>116804.17777210457</v>
      </c>
      <c r="M10" s="132">
        <f>IF(SER_hh_fec!M10=0,0,11630*1000*SER_hh_fec!M10/SER_hh_num!M10)</f>
        <v>138256.49243203097</v>
      </c>
      <c r="N10" s="132">
        <f>IF(SER_hh_fec!N10=0,0,11630*1000*SER_hh_fec!N10/SER_hh_num!N10)</f>
        <v>107286.86027048374</v>
      </c>
      <c r="O10" s="132">
        <f>IF(SER_hh_fec!O10=0,0,11630*1000*SER_hh_fec!O10/SER_hh_num!O10)</f>
        <v>91845.721363973658</v>
      </c>
      <c r="P10" s="132">
        <f>IF(SER_hh_fec!P10=0,0,11630*1000*SER_hh_fec!P10/SER_hh_num!P10)</f>
        <v>93182.258398134611</v>
      </c>
      <c r="Q10" s="132">
        <f>IF(SER_hh_fec!Q10=0,0,11630*1000*SER_hh_fec!Q10/SER_hh_num!Q10)</f>
        <v>100015.00304991577</v>
      </c>
      <c r="R10" s="132">
        <f>IF(SER_hh_fec!R10=0,0,11630*1000*SER_hh_fec!R10/SER_hh_num!R10)</f>
        <v>109146.97889379594</v>
      </c>
      <c r="S10" s="132">
        <f>IF(SER_hh_fec!S10=0,0,11630*1000*SER_hh_fec!S10/SER_hh_num!S10)</f>
        <v>114509.59877637967</v>
      </c>
      <c r="T10" s="132">
        <f>IF(SER_hh_fec!T10=0,0,11630*1000*SER_hh_fec!T10/SER_hh_num!T10)</f>
        <v>116751.04582637134</v>
      </c>
      <c r="U10" s="132">
        <f>IF(SER_hh_fec!U10=0,0,11630*1000*SER_hh_fec!U10/SER_hh_num!U10)</f>
        <v>124508.25675107795</v>
      </c>
      <c r="V10" s="132">
        <f>IF(SER_hh_fec!V10=0,0,11630*1000*SER_hh_fec!V10/SER_hh_num!V10)</f>
        <v>123145.28647100365</v>
      </c>
      <c r="W10" s="132">
        <f>IF(SER_hh_fec!W10=0,0,11630*1000*SER_hh_fec!W10/SER_hh_num!W10)</f>
        <v>115010.62232917939</v>
      </c>
      <c r="X10" s="132">
        <f>IF(SER_hh_fec!X10=0,0,11630*1000*SER_hh_fec!X10/SER_hh_num!X10)</f>
        <v>117305.1914035537</v>
      </c>
      <c r="Y10" s="132">
        <f>IF(SER_hh_fec!Y10=0,0,11630*1000*SER_hh_fec!Y10/SER_hh_num!Y10)</f>
        <v>111505.80786337394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0</v>
      </c>
      <c r="C11" s="132">
        <f>IF(SER_hh_fec!C11=0,0,11630*1000*SER_hh_fec!C11/SER_hh_num!C11)</f>
        <v>0</v>
      </c>
      <c r="D11" s="132">
        <f>IF(SER_hh_fec!D11=0,0,11630*1000*SER_hh_fec!D11/SER_hh_num!D11)</f>
        <v>0</v>
      </c>
      <c r="E11" s="132">
        <f>IF(SER_hh_fec!E11=0,0,11630*1000*SER_hh_fec!E11/SER_hh_num!E11)</f>
        <v>0</v>
      </c>
      <c r="F11" s="132">
        <f>IF(SER_hh_fec!F11=0,0,11630*1000*SER_hh_fec!F11/SER_hh_num!F11)</f>
        <v>0</v>
      </c>
      <c r="G11" s="132">
        <f>IF(SER_hh_fec!G11=0,0,11630*1000*SER_hh_fec!G11/SER_hh_num!G11)</f>
        <v>0</v>
      </c>
      <c r="H11" s="132">
        <f>IF(SER_hh_fec!H11=0,0,11630*1000*SER_hh_fec!H11/SER_hh_num!H11)</f>
        <v>0</v>
      </c>
      <c r="I11" s="132">
        <f>IF(SER_hh_fec!I11=0,0,11630*1000*SER_hh_fec!I11/SER_hh_num!I11)</f>
        <v>102690.53307066734</v>
      </c>
      <c r="J11" s="132">
        <f>IF(SER_hh_fec!J11=0,0,11630*1000*SER_hh_fec!J11/SER_hh_num!J11)</f>
        <v>72429.789000194345</v>
      </c>
      <c r="K11" s="132">
        <f>IF(SER_hh_fec!K11=0,0,11630*1000*SER_hh_fec!K11/SER_hh_num!K11)</f>
        <v>55446.34338587604</v>
      </c>
      <c r="L11" s="132">
        <f>IF(SER_hh_fec!L11=0,0,11630*1000*SER_hh_fec!L11/SER_hh_num!L11)</f>
        <v>90934.187291922048</v>
      </c>
      <c r="M11" s="132">
        <f>IF(SER_hh_fec!M11=0,0,11630*1000*SER_hh_fec!M11/SER_hh_num!M11)</f>
        <v>78988.309227134494</v>
      </c>
      <c r="N11" s="132">
        <f>IF(SER_hh_fec!N11=0,0,11630*1000*SER_hh_fec!N11/SER_hh_num!N11)</f>
        <v>75213.580918377891</v>
      </c>
      <c r="O11" s="132">
        <f>IF(SER_hh_fec!O11=0,0,11630*1000*SER_hh_fec!O11/SER_hh_num!O11)</f>
        <v>76333.934218219598</v>
      </c>
      <c r="P11" s="132">
        <f>IF(SER_hh_fec!P11=0,0,11630*1000*SER_hh_fec!P11/SER_hh_num!P11)</f>
        <v>46751.081304368425</v>
      </c>
      <c r="Q11" s="132">
        <f>IF(SER_hh_fec!Q11=0,0,11630*1000*SER_hh_fec!Q11/SER_hh_num!Q11)</f>
        <v>65484.667525604447</v>
      </c>
      <c r="R11" s="132">
        <f>IF(SER_hh_fec!R11=0,0,11630*1000*SER_hh_fec!R11/SER_hh_num!R11)</f>
        <v>73424.944811932975</v>
      </c>
      <c r="S11" s="132">
        <f>IF(SER_hh_fec!S11=0,0,11630*1000*SER_hh_fec!S11/SER_hh_num!S11)</f>
        <v>73504.448540768484</v>
      </c>
      <c r="T11" s="132">
        <f>IF(SER_hh_fec!T11=0,0,11630*1000*SER_hh_fec!T11/SER_hh_num!T11)</f>
        <v>76043.529684231937</v>
      </c>
      <c r="U11" s="132">
        <f>IF(SER_hh_fec!U11=0,0,11630*1000*SER_hh_fec!U11/SER_hh_num!U11)</f>
        <v>79373.147704875169</v>
      </c>
      <c r="V11" s="132">
        <f>IF(SER_hh_fec!V11=0,0,11630*1000*SER_hh_fec!V11/SER_hh_num!V11)</f>
        <v>82696.14873154604</v>
      </c>
      <c r="W11" s="132">
        <f>IF(SER_hh_fec!W11=0,0,11630*1000*SER_hh_fec!W11/SER_hh_num!W11)</f>
        <v>84453.572105505707</v>
      </c>
      <c r="X11" s="132">
        <f>IF(SER_hh_fec!X11=0,0,11630*1000*SER_hh_fec!X11/SER_hh_num!X11)</f>
        <v>79936.510367757946</v>
      </c>
      <c r="Y11" s="132">
        <f>IF(SER_hh_fec!Y11=0,0,11630*1000*SER_hh_fec!Y11/SER_hh_num!Y11)</f>
        <v>72379.902792481793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75624.927963248425</v>
      </c>
      <c r="C12" s="132">
        <f>IF(SER_hh_fec!C12=0,0,11630*1000*SER_hh_fec!C12/SER_hh_num!C12)</f>
        <v>87315.588972368379</v>
      </c>
      <c r="D12" s="132">
        <f>IF(SER_hh_fec!D12=0,0,11630*1000*SER_hh_fec!D12/SER_hh_num!D12)</f>
        <v>83721.03516208056</v>
      </c>
      <c r="E12" s="132">
        <f>IF(SER_hh_fec!E12=0,0,11630*1000*SER_hh_fec!E12/SER_hh_num!E12)</f>
        <v>91162.259754574974</v>
      </c>
      <c r="F12" s="132">
        <f>IF(SER_hh_fec!F12=0,0,11630*1000*SER_hh_fec!F12/SER_hh_num!F12)</f>
        <v>87225.268483253778</v>
      </c>
      <c r="G12" s="132">
        <f>IF(SER_hh_fec!G12=0,0,11630*1000*SER_hh_fec!G12/SER_hh_num!G12)</f>
        <v>91285.584414407</v>
      </c>
      <c r="H12" s="132">
        <f>IF(SER_hh_fec!H12=0,0,11630*1000*SER_hh_fec!H12/SER_hh_num!H12)</f>
        <v>78023.262811485271</v>
      </c>
      <c r="I12" s="132">
        <f>IF(SER_hh_fec!I12=0,0,11630*1000*SER_hh_fec!I12/SER_hh_num!I12)</f>
        <v>71794.105241043304</v>
      </c>
      <c r="J12" s="132">
        <f>IF(SER_hh_fec!J12=0,0,11630*1000*SER_hh_fec!J12/SER_hh_num!J12)</f>
        <v>77255.210296392441</v>
      </c>
      <c r="K12" s="132">
        <f>IF(SER_hh_fec!K12=0,0,11630*1000*SER_hh_fec!K12/SER_hh_num!K12)</f>
        <v>74180.951198211857</v>
      </c>
      <c r="L12" s="132">
        <f>IF(SER_hh_fec!L12=0,0,11630*1000*SER_hh_fec!L12/SER_hh_num!L12)</f>
        <v>83340.210097078598</v>
      </c>
      <c r="M12" s="132">
        <f>IF(SER_hh_fec!M12=0,0,11630*1000*SER_hh_fec!M12/SER_hh_num!M12)</f>
        <v>80009.315248402374</v>
      </c>
      <c r="N12" s="132">
        <f>IF(SER_hh_fec!N12=0,0,11630*1000*SER_hh_fec!N12/SER_hh_num!N12)</f>
        <v>73031.393650525846</v>
      </c>
      <c r="O12" s="132">
        <f>IF(SER_hh_fec!O12=0,0,11630*1000*SER_hh_fec!O12/SER_hh_num!O12)</f>
        <v>73746.212178180765</v>
      </c>
      <c r="P12" s="132">
        <f>IF(SER_hh_fec!P12=0,0,11630*1000*SER_hh_fec!P12/SER_hh_num!P12)</f>
        <v>55895.673734374395</v>
      </c>
      <c r="Q12" s="132">
        <f>IF(SER_hh_fec!Q12=0,0,11630*1000*SER_hh_fec!Q12/SER_hh_num!Q12)</f>
        <v>65114.505169774035</v>
      </c>
      <c r="R12" s="132">
        <f>IF(SER_hh_fec!R12=0,0,11630*1000*SER_hh_fec!R12/SER_hh_num!R12)</f>
        <v>72704.926902811334</v>
      </c>
      <c r="S12" s="132">
        <f>IF(SER_hh_fec!S12=0,0,11630*1000*SER_hh_fec!S12/SER_hh_num!S12)</f>
        <v>76739.321149550829</v>
      </c>
      <c r="T12" s="132">
        <f>IF(SER_hh_fec!T12=0,0,11630*1000*SER_hh_fec!T12/SER_hh_num!T12)</f>
        <v>76502.099959451341</v>
      </c>
      <c r="U12" s="132">
        <f>IF(SER_hh_fec!U12=0,0,11630*1000*SER_hh_fec!U12/SER_hh_num!U12)</f>
        <v>75778.014544270831</v>
      </c>
      <c r="V12" s="132">
        <f>IF(SER_hh_fec!V12=0,0,11630*1000*SER_hh_fec!V12/SER_hh_num!V12)</f>
        <v>80541.47731078761</v>
      </c>
      <c r="W12" s="132">
        <f>IF(SER_hh_fec!W12=0,0,11630*1000*SER_hh_fec!W12/SER_hh_num!W12)</f>
        <v>94956.413981168211</v>
      </c>
      <c r="X12" s="132">
        <f>IF(SER_hh_fec!X12=0,0,11630*1000*SER_hh_fec!X12/SER_hh_num!X12)</f>
        <v>64770.484937861198</v>
      </c>
      <c r="Y12" s="132">
        <f>IF(SER_hh_fec!Y12=0,0,11630*1000*SER_hh_fec!Y12/SER_hh_num!Y12)</f>
        <v>81458.879805439748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0</v>
      </c>
      <c r="C13" s="132">
        <f>IF(SER_hh_fec!C13=0,0,11630*1000*SER_hh_fec!C13/SER_hh_num!C13)</f>
        <v>0</v>
      </c>
      <c r="D13" s="132">
        <f>IF(SER_hh_fec!D13=0,0,11630*1000*SER_hh_fec!D13/SER_hh_num!D13)</f>
        <v>0</v>
      </c>
      <c r="E13" s="132">
        <f>IF(SER_hh_fec!E13=0,0,11630*1000*SER_hh_fec!E13/SER_hh_num!E13)</f>
        <v>0</v>
      </c>
      <c r="F13" s="132">
        <f>IF(SER_hh_fec!F13=0,0,11630*1000*SER_hh_fec!F13/SER_hh_num!F13)</f>
        <v>0</v>
      </c>
      <c r="G13" s="132">
        <f>IF(SER_hh_fec!G13=0,0,11630*1000*SER_hh_fec!G13/SER_hh_num!G13)</f>
        <v>0</v>
      </c>
      <c r="H13" s="132">
        <f>IF(SER_hh_fec!H13=0,0,11630*1000*SER_hh_fec!H13/SER_hh_num!H13)</f>
        <v>0</v>
      </c>
      <c r="I13" s="132">
        <f>IF(SER_hh_fec!I13=0,0,11630*1000*SER_hh_fec!I13/SER_hh_num!I13)</f>
        <v>0</v>
      </c>
      <c r="J13" s="132">
        <f>IF(SER_hh_fec!J13=0,0,11630*1000*SER_hh_fec!J13/SER_hh_num!J13)</f>
        <v>0</v>
      </c>
      <c r="K13" s="132">
        <f>IF(SER_hh_fec!K13=0,0,11630*1000*SER_hh_fec!K13/SER_hh_num!K13)</f>
        <v>0</v>
      </c>
      <c r="L13" s="132">
        <f>IF(SER_hh_fec!L13=0,0,11630*1000*SER_hh_fec!L13/SER_hh_num!L13)</f>
        <v>0</v>
      </c>
      <c r="M13" s="132">
        <f>IF(SER_hh_fec!M13=0,0,11630*1000*SER_hh_fec!M13/SER_hh_num!M13)</f>
        <v>0</v>
      </c>
      <c r="N13" s="132">
        <f>IF(SER_hh_fec!N13=0,0,11630*1000*SER_hh_fec!N13/SER_hh_num!N13)</f>
        <v>0</v>
      </c>
      <c r="O13" s="132">
        <f>IF(SER_hh_fec!O13=0,0,11630*1000*SER_hh_fec!O13/SER_hh_num!O13)</f>
        <v>0</v>
      </c>
      <c r="P13" s="132">
        <f>IF(SER_hh_fec!P13=0,0,11630*1000*SER_hh_fec!P13/SER_hh_num!P13)</f>
        <v>0</v>
      </c>
      <c r="Q13" s="132">
        <f>IF(SER_hh_fec!Q13=0,0,11630*1000*SER_hh_fec!Q13/SER_hh_num!Q13)</f>
        <v>0</v>
      </c>
      <c r="R13" s="132">
        <f>IF(SER_hh_fec!R13=0,0,11630*1000*SER_hh_fec!R13/SER_hh_num!R13)</f>
        <v>0</v>
      </c>
      <c r="S13" s="132">
        <f>IF(SER_hh_fec!S13=0,0,11630*1000*SER_hh_fec!S13/SER_hh_num!S13)</f>
        <v>0</v>
      </c>
      <c r="T13" s="132">
        <f>IF(SER_hh_fec!T13=0,0,11630*1000*SER_hh_fec!T13/SER_hh_num!T13)</f>
        <v>0</v>
      </c>
      <c r="U13" s="132">
        <f>IF(SER_hh_fec!U13=0,0,11630*1000*SER_hh_fec!U13/SER_hh_num!U13)</f>
        <v>0</v>
      </c>
      <c r="V13" s="132">
        <f>IF(SER_hh_fec!V13=0,0,11630*1000*SER_hh_fec!V13/SER_hh_num!V13)</f>
        <v>0</v>
      </c>
      <c r="W13" s="132">
        <f>IF(SER_hh_fec!W13=0,0,11630*1000*SER_hh_fec!W13/SER_hh_num!W13)</f>
        <v>0</v>
      </c>
      <c r="X13" s="132">
        <f>IF(SER_hh_fec!X13=0,0,11630*1000*SER_hh_fec!X13/SER_hh_num!X13)</f>
        <v>0</v>
      </c>
      <c r="Y13" s="132">
        <f>IF(SER_hh_fec!Y13=0,0,11630*1000*SER_hh_fec!Y13/SER_hh_num!Y13)</f>
        <v>0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81977.298665713912</v>
      </c>
      <c r="C14" s="65">
        <f>IF(SER_hh_fec!C14=0,0,11630*1000*SER_hh_fec!C14/SER_hh_num!C14)</f>
        <v>98104.126787880814</v>
      </c>
      <c r="D14" s="65">
        <f>IF(SER_hh_fec!D14=0,0,11630*1000*SER_hh_fec!D14/SER_hh_num!D14)</f>
        <v>100237.97601359583</v>
      </c>
      <c r="E14" s="65">
        <f>IF(SER_hh_fec!E14=0,0,11630*1000*SER_hh_fec!E14/SER_hh_num!E14)</f>
        <v>92493.526647322258</v>
      </c>
      <c r="F14" s="65">
        <f>IF(SER_hh_fec!F14=0,0,11630*1000*SER_hh_fec!F14/SER_hh_num!F14)</f>
        <v>94624.623410954446</v>
      </c>
      <c r="G14" s="65">
        <f>IF(SER_hh_fec!G14=0,0,11630*1000*SER_hh_fec!G14/SER_hh_num!G14)</f>
        <v>99443.565018770969</v>
      </c>
      <c r="H14" s="65">
        <f>IF(SER_hh_fec!H14=0,0,11630*1000*SER_hh_fec!H14/SER_hh_num!H14)</f>
        <v>87518.835890205664</v>
      </c>
      <c r="I14" s="65">
        <f>IF(SER_hh_fec!I14=0,0,11630*1000*SER_hh_fec!I14/SER_hh_num!I14)</f>
        <v>75650.272145927214</v>
      </c>
      <c r="J14" s="65">
        <f>IF(SER_hh_fec!J14=0,0,11630*1000*SER_hh_fec!J14/SER_hh_num!J14)</f>
        <v>89012.166183809575</v>
      </c>
      <c r="K14" s="65">
        <f>IF(SER_hh_fec!K14=0,0,11630*1000*SER_hh_fec!K14/SER_hh_num!K14)</f>
        <v>84246.41377182916</v>
      </c>
      <c r="L14" s="65">
        <f>IF(SER_hh_fec!L14=0,0,11630*1000*SER_hh_fec!L14/SER_hh_num!L14)</f>
        <v>86337.279970833551</v>
      </c>
      <c r="M14" s="65">
        <f>IF(SER_hh_fec!M14=0,0,11630*1000*SER_hh_fec!M14/SER_hh_num!M14)</f>
        <v>87347.260079994638</v>
      </c>
      <c r="N14" s="65">
        <f>IF(SER_hh_fec!N14=0,0,11630*1000*SER_hh_fec!N14/SER_hh_num!N14)</f>
        <v>82582.421516362621</v>
      </c>
      <c r="O14" s="65">
        <f>IF(SER_hh_fec!O14=0,0,11630*1000*SER_hh_fec!O14/SER_hh_num!O14)</f>
        <v>80752.787961100345</v>
      </c>
      <c r="P14" s="65">
        <f>IF(SER_hh_fec!P14=0,0,11630*1000*SER_hh_fec!P14/SER_hh_num!P14)</f>
        <v>64938.663848436758</v>
      </c>
      <c r="Q14" s="65">
        <f>IF(SER_hh_fec!Q14=0,0,11630*1000*SER_hh_fec!Q14/SER_hh_num!Q14)</f>
        <v>66693.574050863506</v>
      </c>
      <c r="R14" s="65">
        <f>IF(SER_hh_fec!R14=0,0,11630*1000*SER_hh_fec!R14/SER_hh_num!R14)</f>
        <v>72060.939035028554</v>
      </c>
      <c r="S14" s="65">
        <f>IF(SER_hh_fec!S14=0,0,11630*1000*SER_hh_fec!S14/SER_hh_num!S14)</f>
        <v>84405.808389139274</v>
      </c>
      <c r="T14" s="65">
        <f>IF(SER_hh_fec!T14=0,0,11630*1000*SER_hh_fec!T14/SER_hh_num!T14)</f>
        <v>92033.370946491559</v>
      </c>
      <c r="U14" s="65">
        <f>IF(SER_hh_fec!U14=0,0,11630*1000*SER_hh_fec!U14/SER_hh_num!U14)</f>
        <v>91698.586441161155</v>
      </c>
      <c r="V14" s="65">
        <f>IF(SER_hh_fec!V14=0,0,11630*1000*SER_hh_fec!V14/SER_hh_num!V14)</f>
        <v>73083.462974038863</v>
      </c>
      <c r="W14" s="65">
        <f>IF(SER_hh_fec!W14=0,0,11630*1000*SER_hh_fec!W14/SER_hh_num!W14)</f>
        <v>84617.711337766232</v>
      </c>
      <c r="X14" s="65">
        <f>IF(SER_hh_fec!X14=0,0,11630*1000*SER_hh_fec!X14/SER_hh_num!X14)</f>
        <v>85672.902663002504</v>
      </c>
      <c r="Y14" s="65">
        <f>IF(SER_hh_fec!Y14=0,0,11630*1000*SER_hh_fec!Y14/SER_hh_num!Y14)</f>
        <v>76814.652163086939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849.66572655356401</v>
      </c>
      <c r="C15" s="134">
        <f>IF(SER_hh_fec!C15=0,0,11630*1000*SER_hh_fec!C15/SER_hh_num!C15)</f>
        <v>987.58243288390656</v>
      </c>
      <c r="D15" s="134">
        <f>IF(SER_hh_fec!D15=0,0,11630*1000*SER_hh_fec!D15/SER_hh_num!D15)</f>
        <v>981.12782720847599</v>
      </c>
      <c r="E15" s="134">
        <f>IF(SER_hh_fec!E15=0,0,11630*1000*SER_hh_fec!E15/SER_hh_num!E15)</f>
        <v>972.13703590370562</v>
      </c>
      <c r="F15" s="134">
        <f>IF(SER_hh_fec!F15=0,0,11630*1000*SER_hh_fec!F15/SER_hh_num!F15)</f>
        <v>961.8335146119075</v>
      </c>
      <c r="G15" s="134">
        <f>IF(SER_hh_fec!G15=0,0,11630*1000*SER_hh_fec!G15/SER_hh_num!G15)</f>
        <v>938.87527002652052</v>
      </c>
      <c r="H15" s="134">
        <f>IF(SER_hh_fec!H15=0,0,11630*1000*SER_hh_fec!H15/SER_hh_num!H15)</f>
        <v>844.19898071364821</v>
      </c>
      <c r="I15" s="134">
        <f>IF(SER_hh_fec!I15=0,0,11630*1000*SER_hh_fec!I15/SER_hh_num!I15)</f>
        <v>737.00417130873097</v>
      </c>
      <c r="J15" s="134">
        <f>IF(SER_hh_fec!J15=0,0,11630*1000*SER_hh_fec!J15/SER_hh_num!J15)</f>
        <v>757.22983571934412</v>
      </c>
      <c r="K15" s="134">
        <f>IF(SER_hh_fec!K15=0,0,11630*1000*SER_hh_fec!K15/SER_hh_num!K15)</f>
        <v>740.65507861918741</v>
      </c>
      <c r="L15" s="134">
        <f>IF(SER_hh_fec!L15=0,0,11630*1000*SER_hh_fec!L15/SER_hh_num!L15)</f>
        <v>821.85698884288126</v>
      </c>
      <c r="M15" s="134">
        <f>IF(SER_hh_fec!M15=0,0,11630*1000*SER_hh_fec!M15/SER_hh_num!M15)</f>
        <v>739.75439520717919</v>
      </c>
      <c r="N15" s="134">
        <f>IF(SER_hh_fec!N15=0,0,11630*1000*SER_hh_fec!N15/SER_hh_num!N15)</f>
        <v>647.18424394514329</v>
      </c>
      <c r="O15" s="134">
        <f>IF(SER_hh_fec!O15=0,0,11630*1000*SER_hh_fec!O15/SER_hh_num!O15)</f>
        <v>618.43966291163974</v>
      </c>
      <c r="P15" s="134">
        <f>IF(SER_hh_fec!P15=0,0,11630*1000*SER_hh_fec!P15/SER_hh_num!P15)</f>
        <v>520.13276352875175</v>
      </c>
      <c r="Q15" s="134">
        <f>IF(SER_hh_fec!Q15=0,0,11630*1000*SER_hh_fec!Q15/SER_hh_num!Q15)</f>
        <v>663.66179843902091</v>
      </c>
      <c r="R15" s="134">
        <f>IF(SER_hh_fec!R15=0,0,11630*1000*SER_hh_fec!R15/SER_hh_num!R15)</f>
        <v>708.68324816555014</v>
      </c>
      <c r="S15" s="134">
        <f>IF(SER_hh_fec!S15=0,0,11630*1000*SER_hh_fec!S15/SER_hh_num!S15)</f>
        <v>766.93284775236475</v>
      </c>
      <c r="T15" s="134">
        <f>IF(SER_hh_fec!T15=0,0,11630*1000*SER_hh_fec!T15/SER_hh_num!T15)</f>
        <v>806.43542010897261</v>
      </c>
      <c r="U15" s="134">
        <f>IF(SER_hh_fec!U15=0,0,11630*1000*SER_hh_fec!U15/SER_hh_num!U15)</f>
        <v>811.03384330929669</v>
      </c>
      <c r="V15" s="134">
        <f>IF(SER_hh_fec!V15=0,0,11630*1000*SER_hh_fec!V15/SER_hh_num!V15)</f>
        <v>782.4992243539009</v>
      </c>
      <c r="W15" s="134">
        <f>IF(SER_hh_fec!W15=0,0,11630*1000*SER_hh_fec!W15/SER_hh_num!W15)</f>
        <v>938.02910193615173</v>
      </c>
      <c r="X15" s="134">
        <f>IF(SER_hh_fec!X15=0,0,11630*1000*SER_hh_fec!X15/SER_hh_num!X15)</f>
        <v>804.42854304957473</v>
      </c>
      <c r="Y15" s="134">
        <f>IF(SER_hh_fec!Y15=0,0,11630*1000*SER_hh_fec!Y15/SER_hh_num!Y15)</f>
        <v>766.65627939793046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13229.7032707988</v>
      </c>
      <c r="C16" s="130">
        <f>IF(SER_hh_fec!C16=0,0,11630*1000*SER_hh_fec!C16/SER_hh_num!C16)</f>
        <v>11934.099397802262</v>
      </c>
      <c r="D16" s="130">
        <f>IF(SER_hh_fec!D16=0,0,11630*1000*SER_hh_fec!D16/SER_hh_num!D16)</f>
        <v>10921.116583476116</v>
      </c>
      <c r="E16" s="130">
        <f>IF(SER_hh_fec!E16=0,0,11630*1000*SER_hh_fec!E16/SER_hh_num!E16)</f>
        <v>19788.000680631478</v>
      </c>
      <c r="F16" s="130">
        <f>IF(SER_hh_fec!F16=0,0,11630*1000*SER_hh_fec!F16/SER_hh_num!F16)</f>
        <v>9660.1147317102241</v>
      </c>
      <c r="G16" s="130">
        <f>IF(SER_hh_fec!G16=0,0,11630*1000*SER_hh_fec!G16/SER_hh_num!G16)</f>
        <v>9252.3291713114431</v>
      </c>
      <c r="H16" s="130">
        <f>IF(SER_hh_fec!H16=0,0,11630*1000*SER_hh_fec!H16/SER_hh_num!H16)</f>
        <v>9942.2386957689178</v>
      </c>
      <c r="I16" s="130">
        <f>IF(SER_hh_fec!I16=0,0,11630*1000*SER_hh_fec!I16/SER_hh_num!I16)</f>
        <v>9778.0436017781703</v>
      </c>
      <c r="J16" s="130">
        <f>IF(SER_hh_fec!J16=0,0,11630*1000*SER_hh_fec!J16/SER_hh_num!J16)</f>
        <v>9055.9238094838165</v>
      </c>
      <c r="K16" s="130">
        <f>IF(SER_hh_fec!K16=0,0,11630*1000*SER_hh_fec!K16/SER_hh_num!K16)</f>
        <v>8520.4038844277638</v>
      </c>
      <c r="L16" s="130">
        <f>IF(SER_hh_fec!L16=0,0,11630*1000*SER_hh_fec!L16/SER_hh_num!L16)</f>
        <v>8476.816564921899</v>
      </c>
      <c r="M16" s="130">
        <f>IF(SER_hh_fec!M16=0,0,11630*1000*SER_hh_fec!M16/SER_hh_num!M16)</f>
        <v>8880.0648477042196</v>
      </c>
      <c r="N16" s="130">
        <f>IF(SER_hh_fec!N16=0,0,11630*1000*SER_hh_fec!N16/SER_hh_num!N16)</f>
        <v>12627.130032012994</v>
      </c>
      <c r="O16" s="130">
        <f>IF(SER_hh_fec!O16=0,0,11630*1000*SER_hh_fec!O16/SER_hh_num!O16)</f>
        <v>8234.3275113271648</v>
      </c>
      <c r="P16" s="130">
        <f>IF(SER_hh_fec!P16=0,0,11630*1000*SER_hh_fec!P16/SER_hh_num!P16)</f>
        <v>6601.6884317693675</v>
      </c>
      <c r="Q16" s="130">
        <f>IF(SER_hh_fec!Q16=0,0,11630*1000*SER_hh_fec!Q16/SER_hh_num!Q16)</f>
        <v>10401.565723366812</v>
      </c>
      <c r="R16" s="130">
        <f>IF(SER_hh_fec!R16=0,0,11630*1000*SER_hh_fec!R16/SER_hh_num!R16)</f>
        <v>6933.395998131954</v>
      </c>
      <c r="S16" s="130">
        <f>IF(SER_hh_fec!S16=0,0,11630*1000*SER_hh_fec!S16/SER_hh_num!S16)</f>
        <v>9717.6169404523953</v>
      </c>
      <c r="T16" s="130">
        <f>IF(SER_hh_fec!T16=0,0,11630*1000*SER_hh_fec!T16/SER_hh_num!T16)</f>
        <v>7137.3493929751739</v>
      </c>
      <c r="U16" s="130">
        <f>IF(SER_hh_fec!U16=0,0,11630*1000*SER_hh_fec!U16/SER_hh_num!U16)</f>
        <v>8479.4133779072417</v>
      </c>
      <c r="V16" s="130">
        <f>IF(SER_hh_fec!V16=0,0,11630*1000*SER_hh_fec!V16/SER_hh_num!V16)</f>
        <v>6490.5298089948128</v>
      </c>
      <c r="W16" s="130">
        <f>IF(SER_hh_fec!W16=0,0,11630*1000*SER_hh_fec!W16/SER_hh_num!W16)</f>
        <v>8430.5740465195449</v>
      </c>
      <c r="X16" s="130">
        <f>IF(SER_hh_fec!X16=0,0,11630*1000*SER_hh_fec!X16/SER_hh_num!X16)</f>
        <v>8883.9185969047139</v>
      </c>
      <c r="Y16" s="130">
        <f>IF(SER_hh_fec!Y16=0,0,11630*1000*SER_hh_fec!Y16/SER_hh_num!Y16)</f>
        <v>7614.7009945044892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21741.909924575473</v>
      </c>
      <c r="C17" s="132">
        <f>IF(SER_hh_fec!C17=0,0,11630*1000*SER_hh_fec!C17/SER_hh_num!C17)</f>
        <v>20256.917345698701</v>
      </c>
      <c r="D17" s="132">
        <f>IF(SER_hh_fec!D17=0,0,11630*1000*SER_hh_fec!D17/SER_hh_num!D17)</f>
        <v>19067.40909216708</v>
      </c>
      <c r="E17" s="132">
        <f>IF(SER_hh_fec!E17=0,0,11630*1000*SER_hh_fec!E17/SER_hh_num!E17)</f>
        <v>35638.952805254827</v>
      </c>
      <c r="F17" s="132">
        <f>IF(SER_hh_fec!F17=0,0,11630*1000*SER_hh_fec!F17/SER_hh_num!F17)</f>
        <v>17997.810280060105</v>
      </c>
      <c r="G17" s="132">
        <f>IF(SER_hh_fec!G17=0,0,11630*1000*SER_hh_fec!G17/SER_hh_num!G17)</f>
        <v>17843.284992401805</v>
      </c>
      <c r="H17" s="132">
        <f>IF(SER_hh_fec!H17=0,0,11630*1000*SER_hh_fec!H17/SER_hh_num!H17)</f>
        <v>19874.889843523601</v>
      </c>
      <c r="I17" s="132">
        <f>IF(SER_hh_fec!I17=0,0,11630*1000*SER_hh_fec!I17/SER_hh_num!I17)</f>
        <v>26372.570630652237</v>
      </c>
      <c r="J17" s="132">
        <f>IF(SER_hh_fec!J17=0,0,11630*1000*SER_hh_fec!J17/SER_hh_num!J17)</f>
        <v>23907.997588329861</v>
      </c>
      <c r="K17" s="132">
        <f>IF(SER_hh_fec!K17=0,0,11630*1000*SER_hh_fec!K17/SER_hh_num!K17)</f>
        <v>18539.893761056755</v>
      </c>
      <c r="L17" s="132">
        <f>IF(SER_hh_fec!L17=0,0,11630*1000*SER_hh_fec!L17/SER_hh_num!L17)</f>
        <v>18648.593134850347</v>
      </c>
      <c r="M17" s="132">
        <f>IF(SER_hh_fec!M17=0,0,11630*1000*SER_hh_fec!M17/SER_hh_num!M17)</f>
        <v>19885.54180933</v>
      </c>
      <c r="N17" s="132">
        <f>IF(SER_hh_fec!N17=0,0,11630*1000*SER_hh_fec!N17/SER_hh_num!N17)</f>
        <v>25113.82384124073</v>
      </c>
      <c r="O17" s="132">
        <f>IF(SER_hh_fec!O17=0,0,11630*1000*SER_hh_fec!O17/SER_hh_num!O17)</f>
        <v>19236.625094335956</v>
      </c>
      <c r="P17" s="132">
        <f>IF(SER_hh_fec!P17=0,0,11630*1000*SER_hh_fec!P17/SER_hh_num!P17)</f>
        <v>12651.565695840976</v>
      </c>
      <c r="Q17" s="132">
        <f>IF(SER_hh_fec!Q17=0,0,11630*1000*SER_hh_fec!Q17/SER_hh_num!Q17)</f>
        <v>25777.151596368472</v>
      </c>
      <c r="R17" s="132">
        <f>IF(SER_hh_fec!R17=0,0,11630*1000*SER_hh_fec!R17/SER_hh_num!R17)</f>
        <v>17087.231307977603</v>
      </c>
      <c r="S17" s="132">
        <f>IF(SER_hh_fec!S17=0,0,11630*1000*SER_hh_fec!S17/SER_hh_num!S17)</f>
        <v>24426.965711880512</v>
      </c>
      <c r="T17" s="132">
        <f>IF(SER_hh_fec!T17=0,0,11630*1000*SER_hh_fec!T17/SER_hh_num!T17)</f>
        <v>18153.990987265366</v>
      </c>
      <c r="U17" s="132">
        <f>IF(SER_hh_fec!U17=0,0,11630*1000*SER_hh_fec!U17/SER_hh_num!U17)</f>
        <v>21786.314485318249</v>
      </c>
      <c r="V17" s="132">
        <f>IF(SER_hh_fec!V17=0,0,11630*1000*SER_hh_fec!V17/SER_hh_num!V17)</f>
        <v>13670.448381441436</v>
      </c>
      <c r="W17" s="132">
        <f>IF(SER_hh_fec!W17=0,0,11630*1000*SER_hh_fec!W17/SER_hh_num!W17)</f>
        <v>18130.672973313278</v>
      </c>
      <c r="X17" s="132">
        <f>IF(SER_hh_fec!X17=0,0,11630*1000*SER_hh_fec!X17/SER_hh_num!X17)</f>
        <v>23186.806976235152</v>
      </c>
      <c r="Y17" s="132">
        <f>IF(SER_hh_fec!Y17=0,0,11630*1000*SER_hh_fec!Y17/SER_hh_num!Y17)</f>
        <v>22951.960723616317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13220.641079674704</v>
      </c>
      <c r="C18" s="132">
        <f>IF(SER_hh_fec!C18=0,0,11630*1000*SER_hh_fec!C18/SER_hh_num!C18)</f>
        <v>11925.448676431808</v>
      </c>
      <c r="D18" s="132">
        <f>IF(SER_hh_fec!D18=0,0,11630*1000*SER_hh_fec!D18/SER_hh_num!D18)</f>
        <v>10911.697742030898</v>
      </c>
      <c r="E18" s="132">
        <f>IF(SER_hh_fec!E18=0,0,11630*1000*SER_hh_fec!E18/SER_hh_num!E18)</f>
        <v>19767.790620917916</v>
      </c>
      <c r="F18" s="132">
        <f>IF(SER_hh_fec!F18=0,0,11630*1000*SER_hh_fec!F18/SER_hh_num!F18)</f>
        <v>9648.9173146311205</v>
      </c>
      <c r="G18" s="132">
        <f>IF(SER_hh_fec!G18=0,0,11630*1000*SER_hh_fec!G18/SER_hh_num!G18)</f>
        <v>9240.3587211552785</v>
      </c>
      <c r="H18" s="132">
        <f>IF(SER_hh_fec!H18=0,0,11630*1000*SER_hh_fec!H18/SER_hh_num!H18)</f>
        <v>9928.0194939476605</v>
      </c>
      <c r="I18" s="132">
        <f>IF(SER_hh_fec!I18=0,0,11630*1000*SER_hh_fec!I18/SER_hh_num!I18)</f>
        <v>9755.7832300938826</v>
      </c>
      <c r="J18" s="132">
        <f>IF(SER_hh_fec!J18=0,0,11630*1000*SER_hh_fec!J18/SER_hh_num!J18)</f>
        <v>9036.5326400119138</v>
      </c>
      <c r="K18" s="132">
        <f>IF(SER_hh_fec!K18=0,0,11630*1000*SER_hh_fec!K18/SER_hh_num!K18)</f>
        <v>8506.6105818656088</v>
      </c>
      <c r="L18" s="132">
        <f>IF(SER_hh_fec!L18=0,0,11630*1000*SER_hh_fec!L18/SER_hh_num!L18)</f>
        <v>8461.4318051102855</v>
      </c>
      <c r="M18" s="132">
        <f>IF(SER_hh_fec!M18=0,0,11630*1000*SER_hh_fec!M18/SER_hh_num!M18)</f>
        <v>8862.130406957589</v>
      </c>
      <c r="N18" s="132">
        <f>IF(SER_hh_fec!N18=0,0,11630*1000*SER_hh_fec!N18/SER_hh_num!N18)</f>
        <v>12605.035302562432</v>
      </c>
      <c r="O18" s="132">
        <f>IF(SER_hh_fec!O18=0,0,11630*1000*SER_hh_fec!O18/SER_hh_num!O18)</f>
        <v>8212.1169470333007</v>
      </c>
      <c r="P18" s="132">
        <f>IF(SER_hh_fec!P18=0,0,11630*1000*SER_hh_fec!P18/SER_hh_num!P18)</f>
        <v>6586.6524622731167</v>
      </c>
      <c r="Q18" s="132">
        <f>IF(SER_hh_fec!Q18=0,0,11630*1000*SER_hh_fec!Q18/SER_hh_num!Q18)</f>
        <v>10356.481021263766</v>
      </c>
      <c r="R18" s="132">
        <f>IF(SER_hh_fec!R18=0,0,11630*1000*SER_hh_fec!R18/SER_hh_num!R18)</f>
        <v>6898.8842787171398</v>
      </c>
      <c r="S18" s="132">
        <f>IF(SER_hh_fec!S18=0,0,11630*1000*SER_hh_fec!S18/SER_hh_num!S18)</f>
        <v>9656.9416776717026</v>
      </c>
      <c r="T18" s="132">
        <f>IF(SER_hh_fec!T18=0,0,11630*1000*SER_hh_fec!T18/SER_hh_num!T18)</f>
        <v>7080.9278968784456</v>
      </c>
      <c r="U18" s="132">
        <f>IF(SER_hh_fec!U18=0,0,11630*1000*SER_hh_fec!U18/SER_hh_num!U18)</f>
        <v>8402.2773586169769</v>
      </c>
      <c r="V18" s="132">
        <f>IF(SER_hh_fec!V18=0,0,11630*1000*SER_hh_fec!V18/SER_hh_num!V18)</f>
        <v>6439.9587020027238</v>
      </c>
      <c r="W18" s="132">
        <f>IF(SER_hh_fec!W18=0,0,11630*1000*SER_hh_fec!W18/SER_hh_num!W18)</f>
        <v>8359.7047173824212</v>
      </c>
      <c r="X18" s="132">
        <f>IF(SER_hh_fec!X18=0,0,11630*1000*SER_hh_fec!X18/SER_hh_num!X18)</f>
        <v>8769.3165274413641</v>
      </c>
      <c r="Y18" s="132">
        <f>IF(SER_hh_fec!Y18=0,0,11630*1000*SER_hh_fec!Y18/SER_hh_num!Y18)</f>
        <v>7487.7788655003687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21578.229937033866</v>
      </c>
      <c r="C19" s="130">
        <f>IF(SER_hh_fec!C19=0,0,11630*1000*SER_hh_fec!C19/SER_hh_num!C19)</f>
        <v>21813.1249178752</v>
      </c>
      <c r="D19" s="130">
        <f>IF(SER_hh_fec!D19=0,0,11630*1000*SER_hh_fec!D19/SER_hh_num!D19)</f>
        <v>22173.564303901156</v>
      </c>
      <c r="E19" s="130">
        <f>IF(SER_hh_fec!E19=0,0,11630*1000*SER_hh_fec!E19/SER_hh_num!E19)</f>
        <v>22003.661788309637</v>
      </c>
      <c r="F19" s="130">
        <f>IF(SER_hh_fec!F19=0,0,11630*1000*SER_hh_fec!F19/SER_hh_num!F19)</f>
        <v>22545.206835921035</v>
      </c>
      <c r="G19" s="130">
        <f>IF(SER_hh_fec!G19=0,0,11630*1000*SER_hh_fec!G19/SER_hh_num!G19)</f>
        <v>22690.110061877149</v>
      </c>
      <c r="H19" s="130">
        <f>IF(SER_hh_fec!H19=0,0,11630*1000*SER_hh_fec!H19/SER_hh_num!H19)</f>
        <v>22068.361054726964</v>
      </c>
      <c r="I19" s="130">
        <f>IF(SER_hh_fec!I19=0,0,11630*1000*SER_hh_fec!I19/SER_hh_num!I19)</f>
        <v>21806.451870568369</v>
      </c>
      <c r="J19" s="130">
        <f>IF(SER_hh_fec!J19=0,0,11630*1000*SER_hh_fec!J19/SER_hh_num!J19)</f>
        <v>22151.560478481228</v>
      </c>
      <c r="K19" s="130">
        <f>IF(SER_hh_fec!K19=0,0,11630*1000*SER_hh_fec!K19/SER_hh_num!K19)</f>
        <v>22184.074375948378</v>
      </c>
      <c r="L19" s="130">
        <f>IF(SER_hh_fec!L19=0,0,11630*1000*SER_hh_fec!L19/SER_hh_num!L19)</f>
        <v>22281.158968435451</v>
      </c>
      <c r="M19" s="130">
        <f>IF(SER_hh_fec!M19=0,0,11630*1000*SER_hh_fec!M19/SER_hh_num!M19)</f>
        <v>22069.129996997774</v>
      </c>
      <c r="N19" s="130">
        <f>IF(SER_hh_fec!N19=0,0,11630*1000*SER_hh_fec!N19/SER_hh_num!N19)</f>
        <v>22454.315775710264</v>
      </c>
      <c r="O19" s="130">
        <f>IF(SER_hh_fec!O19=0,0,11630*1000*SER_hh_fec!O19/SER_hh_num!O19)</f>
        <v>22716.432821119241</v>
      </c>
      <c r="P19" s="130">
        <f>IF(SER_hh_fec!P19=0,0,11630*1000*SER_hh_fec!P19/SER_hh_num!P19)</f>
        <v>22282.282591723641</v>
      </c>
      <c r="Q19" s="130">
        <f>IF(SER_hh_fec!Q19=0,0,11630*1000*SER_hh_fec!Q19/SER_hh_num!Q19)</f>
        <v>21850.350660250653</v>
      </c>
      <c r="R19" s="130">
        <f>IF(SER_hh_fec!R19=0,0,11630*1000*SER_hh_fec!R19/SER_hh_num!R19)</f>
        <v>21688.729468662077</v>
      </c>
      <c r="S19" s="130">
        <f>IF(SER_hh_fec!S19=0,0,11630*1000*SER_hh_fec!S19/SER_hh_num!S19)</f>
        <v>21456.952366427191</v>
      </c>
      <c r="T19" s="130">
        <f>IF(SER_hh_fec!T19=0,0,11630*1000*SER_hh_fec!T19/SER_hh_num!T19)</f>
        <v>21155.620514620456</v>
      </c>
      <c r="U19" s="130">
        <f>IF(SER_hh_fec!U19=0,0,11630*1000*SER_hh_fec!U19/SER_hh_num!U19)</f>
        <v>20759.356239451692</v>
      </c>
      <c r="V19" s="130">
        <f>IF(SER_hh_fec!V19=0,0,11630*1000*SER_hh_fec!V19/SER_hh_num!V19)</f>
        <v>18923.388866094418</v>
      </c>
      <c r="W19" s="130">
        <f>IF(SER_hh_fec!W19=0,0,11630*1000*SER_hh_fec!W19/SER_hh_num!W19)</f>
        <v>19528.043870582718</v>
      </c>
      <c r="X19" s="130">
        <f>IF(SER_hh_fec!X19=0,0,11630*1000*SER_hh_fec!X19/SER_hh_num!X19)</f>
        <v>19331.768818826164</v>
      </c>
      <c r="Y19" s="130">
        <f>IF(SER_hh_fec!Y19=0,0,11630*1000*SER_hh_fec!Y19/SER_hh_num!Y19)</f>
        <v>18614.130217822749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22397.151034875311</v>
      </c>
      <c r="C21" s="132">
        <f>IF(SER_hh_fec!C21=0,0,11630*1000*SER_hh_fec!C21/SER_hh_num!C21)</f>
        <v>24988.242910460827</v>
      </c>
      <c r="D21" s="132">
        <f>IF(SER_hh_fec!D21=0,0,11630*1000*SER_hh_fec!D21/SER_hh_num!D21)</f>
        <v>25294.454370947362</v>
      </c>
      <c r="E21" s="132">
        <f>IF(SER_hh_fec!E21=0,0,11630*1000*SER_hh_fec!E21/SER_hh_num!E21)</f>
        <v>24813.520241061524</v>
      </c>
      <c r="F21" s="132">
        <f>IF(SER_hh_fec!F21=0,0,11630*1000*SER_hh_fec!F21/SER_hh_num!F21)</f>
        <v>25418.688693953693</v>
      </c>
      <c r="G21" s="132">
        <f>IF(SER_hh_fec!G21=0,0,11630*1000*SER_hh_fec!G21/SER_hh_num!G21)</f>
        <v>24957.013610452712</v>
      </c>
      <c r="H21" s="132">
        <f>IF(SER_hh_fec!H21=0,0,11630*1000*SER_hh_fec!H21/SER_hh_num!H21)</f>
        <v>24786.108547016116</v>
      </c>
      <c r="I21" s="132">
        <f>IF(SER_hh_fec!I21=0,0,11630*1000*SER_hh_fec!I21/SER_hh_num!I21)</f>
        <v>24206.453467896612</v>
      </c>
      <c r="J21" s="132">
        <f>IF(SER_hh_fec!J21=0,0,11630*1000*SER_hh_fec!J21/SER_hh_num!J21)</f>
        <v>24639.331007664521</v>
      </c>
      <c r="K21" s="132">
        <f>IF(SER_hh_fec!K21=0,0,11630*1000*SER_hh_fec!K21/SER_hh_num!K21)</f>
        <v>25483.741289978119</v>
      </c>
      <c r="L21" s="132">
        <f>IF(SER_hh_fec!L21=0,0,11630*1000*SER_hh_fec!L21/SER_hh_num!L21)</f>
        <v>25261.211895693141</v>
      </c>
      <c r="M21" s="132">
        <f>IF(SER_hh_fec!M21=0,0,11630*1000*SER_hh_fec!M21/SER_hh_num!M21)</f>
        <v>25159.154911790265</v>
      </c>
      <c r="N21" s="132">
        <f>IF(SER_hh_fec!N21=0,0,11630*1000*SER_hh_fec!N21/SER_hh_num!N21)</f>
        <v>25304.91460591022</v>
      </c>
      <c r="O21" s="132">
        <f>IF(SER_hh_fec!O21=0,0,11630*1000*SER_hh_fec!O21/SER_hh_num!O21)</f>
        <v>25460.641676643641</v>
      </c>
      <c r="P21" s="132">
        <f>IF(SER_hh_fec!P21=0,0,11630*1000*SER_hh_fec!P21/SER_hh_num!P21)</f>
        <v>25247.723057411687</v>
      </c>
      <c r="Q21" s="132">
        <f>IF(SER_hh_fec!Q21=0,0,11630*1000*SER_hh_fec!Q21/SER_hh_num!Q21)</f>
        <v>25213.523900492211</v>
      </c>
      <c r="R21" s="132">
        <f>IF(SER_hh_fec!R21=0,0,11630*1000*SER_hh_fec!R21/SER_hh_num!R21)</f>
        <v>25004.37432379348</v>
      </c>
      <c r="S21" s="132">
        <f>IF(SER_hh_fec!S21=0,0,11630*1000*SER_hh_fec!S21/SER_hh_num!S21)</f>
        <v>24257.828994934905</v>
      </c>
      <c r="T21" s="132">
        <f>IF(SER_hh_fec!T21=0,0,11630*1000*SER_hh_fec!T21/SER_hh_num!T21)</f>
        <v>24331.809075212415</v>
      </c>
      <c r="U21" s="132">
        <f>IF(SER_hh_fec!U21=0,0,11630*1000*SER_hh_fec!U21/SER_hh_num!U21)</f>
        <v>23742.972134859399</v>
      </c>
      <c r="V21" s="132">
        <f>IF(SER_hh_fec!V21=0,0,11630*1000*SER_hh_fec!V21/SER_hh_num!V21)</f>
        <v>20623.838644262851</v>
      </c>
      <c r="W21" s="132">
        <f>IF(SER_hh_fec!W21=0,0,11630*1000*SER_hh_fec!W21/SER_hh_num!W21)</f>
        <v>22984.642322382824</v>
      </c>
      <c r="X21" s="132">
        <f>IF(SER_hh_fec!X21=0,0,11630*1000*SER_hh_fec!X21/SER_hh_num!X21)</f>
        <v>23105.473631002515</v>
      </c>
      <c r="Y21" s="132">
        <f>IF(SER_hh_fec!Y21=0,0,11630*1000*SER_hh_fec!Y21/SER_hh_num!Y21)</f>
        <v>19888.571603240394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25410.793356861086</v>
      </c>
      <c r="C22" s="132">
        <f>IF(SER_hh_fec!C22=0,0,11630*1000*SER_hh_fec!C22/SER_hh_num!C22)</f>
        <v>26098.493911364945</v>
      </c>
      <c r="D22" s="132">
        <f>IF(SER_hh_fec!D22=0,0,11630*1000*SER_hh_fec!D22/SER_hh_num!D22)</f>
        <v>26316.715189006925</v>
      </c>
      <c r="E22" s="132">
        <f>IF(SER_hh_fec!E22=0,0,11630*1000*SER_hh_fec!E22/SER_hh_num!E22)</f>
        <v>26468.441304213789</v>
      </c>
      <c r="F22" s="132">
        <f>IF(SER_hh_fec!F22=0,0,11630*1000*SER_hh_fec!F22/SER_hh_num!F22)</f>
        <v>26469.501046805741</v>
      </c>
      <c r="G22" s="132">
        <f>IF(SER_hh_fec!G22=0,0,11630*1000*SER_hh_fec!G22/SER_hh_num!G22)</f>
        <v>26830.470185502782</v>
      </c>
      <c r="H22" s="132">
        <f>IF(SER_hh_fec!H22=0,0,11630*1000*SER_hh_fec!H22/SER_hh_num!H22)</f>
        <v>26272.358742917331</v>
      </c>
      <c r="I22" s="132">
        <f>IF(SER_hh_fec!I22=0,0,11630*1000*SER_hh_fec!I22/SER_hh_num!I22)</f>
        <v>26593.350562387142</v>
      </c>
      <c r="J22" s="132">
        <f>IF(SER_hh_fec!J22=0,0,11630*1000*SER_hh_fec!J22/SER_hh_num!J22)</f>
        <v>26598.857350449325</v>
      </c>
      <c r="K22" s="132">
        <f>IF(SER_hh_fec!K22=0,0,11630*1000*SER_hh_fec!K22/SER_hh_num!K22)</f>
        <v>26932.330793431283</v>
      </c>
      <c r="L22" s="132">
        <f>IF(SER_hh_fec!L22=0,0,11630*1000*SER_hh_fec!L22/SER_hh_num!L22)</f>
        <v>27317.516499991074</v>
      </c>
      <c r="M22" s="132">
        <f>IF(SER_hh_fec!M22=0,0,11630*1000*SER_hh_fec!M22/SER_hh_num!M22)</f>
        <v>26672.650569634283</v>
      </c>
      <c r="N22" s="132">
        <f>IF(SER_hh_fec!N22=0,0,11630*1000*SER_hh_fec!N22/SER_hh_num!N22)</f>
        <v>26907.32520981623</v>
      </c>
      <c r="O22" s="132">
        <f>IF(SER_hh_fec!O22=0,0,11630*1000*SER_hh_fec!O22/SER_hh_num!O22)</f>
        <v>27306.578401938164</v>
      </c>
      <c r="P22" s="132">
        <f>IF(SER_hh_fec!P22=0,0,11630*1000*SER_hh_fec!P22/SER_hh_num!P22)</f>
        <v>26995.268125583083</v>
      </c>
      <c r="Q22" s="132">
        <f>IF(SER_hh_fec!Q22=0,0,11630*1000*SER_hh_fec!Q22/SER_hh_num!Q22)</f>
        <v>26620.622920893464</v>
      </c>
      <c r="R22" s="132">
        <f>IF(SER_hh_fec!R22=0,0,11630*1000*SER_hh_fec!R22/SER_hh_num!R22)</f>
        <v>26384.265417931656</v>
      </c>
      <c r="S22" s="132">
        <f>IF(SER_hh_fec!S22=0,0,11630*1000*SER_hh_fec!S22/SER_hh_num!S22)</f>
        <v>25796.289014174308</v>
      </c>
      <c r="T22" s="132">
        <f>IF(SER_hh_fec!T22=0,0,11630*1000*SER_hh_fec!T22/SER_hh_num!T22)</f>
        <v>24968.519724636357</v>
      </c>
      <c r="U22" s="132">
        <f>IF(SER_hh_fec!U22=0,0,11630*1000*SER_hh_fec!U22/SER_hh_num!U22)</f>
        <v>24760.631059798492</v>
      </c>
      <c r="V22" s="132">
        <f>IF(SER_hh_fec!V22=0,0,11630*1000*SER_hh_fec!V22/SER_hh_num!V22)</f>
        <v>21806.486940206283</v>
      </c>
      <c r="W22" s="132">
        <f>IF(SER_hh_fec!W22=0,0,11630*1000*SER_hh_fec!W22/SER_hh_num!W22)</f>
        <v>23714.546589401507</v>
      </c>
      <c r="X22" s="132">
        <f>IF(SER_hh_fec!X22=0,0,11630*1000*SER_hh_fec!X22/SER_hh_num!X22)</f>
        <v>21577.279671764529</v>
      </c>
      <c r="Y22" s="132">
        <f>IF(SER_hh_fec!Y22=0,0,11630*1000*SER_hh_fec!Y22/SER_hh_num!Y22)</f>
        <v>20197.654571486644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24776.177808180557</v>
      </c>
      <c r="C23" s="132">
        <f>IF(SER_hh_fec!C23=0,0,11630*1000*SER_hh_fec!C23/SER_hh_num!C23)</f>
        <v>25287.492627639454</v>
      </c>
      <c r="D23" s="132">
        <f>IF(SER_hh_fec!D23=0,0,11630*1000*SER_hh_fec!D23/SER_hh_num!D23)</f>
        <v>25607.917256312256</v>
      </c>
      <c r="E23" s="132">
        <f>IF(SER_hh_fec!E23=0,0,11630*1000*SER_hh_fec!E23/SER_hh_num!E23)</f>
        <v>25306.132831364124</v>
      </c>
      <c r="F23" s="132">
        <f>IF(SER_hh_fec!F23=0,0,11630*1000*SER_hh_fec!F23/SER_hh_num!F23)</f>
        <v>25520.319245743449</v>
      </c>
      <c r="G23" s="132">
        <f>IF(SER_hh_fec!G23=0,0,11630*1000*SER_hh_fec!G23/SER_hh_num!G23)</f>
        <v>25620.894643134918</v>
      </c>
      <c r="H23" s="132">
        <f>IF(SER_hh_fec!H23=0,0,11630*1000*SER_hh_fec!H23/SER_hh_num!H23)</f>
        <v>24837.01431201645</v>
      </c>
      <c r="I23" s="132">
        <f>IF(SER_hh_fec!I23=0,0,11630*1000*SER_hh_fec!I23/SER_hh_num!I23)</f>
        <v>24209.300730868832</v>
      </c>
      <c r="J23" s="132">
        <f>IF(SER_hh_fec!J23=0,0,11630*1000*SER_hh_fec!J23/SER_hh_num!J23)</f>
        <v>24653.391069745383</v>
      </c>
      <c r="K23" s="132">
        <f>IF(SER_hh_fec!K23=0,0,11630*1000*SER_hh_fec!K23/SER_hh_num!K23)</f>
        <v>24306.293233042594</v>
      </c>
      <c r="L23" s="132">
        <f>IF(SER_hh_fec!L23=0,0,11630*1000*SER_hh_fec!L23/SER_hh_num!L23)</f>
        <v>24208.975006308712</v>
      </c>
      <c r="M23" s="132">
        <f>IF(SER_hh_fec!M23=0,0,11630*1000*SER_hh_fec!M23/SER_hh_num!M23)</f>
        <v>24037.279025564989</v>
      </c>
      <c r="N23" s="132">
        <f>IF(SER_hh_fec!N23=0,0,11630*1000*SER_hh_fec!N23/SER_hh_num!N23)</f>
        <v>23923.522005777093</v>
      </c>
      <c r="O23" s="132">
        <f>IF(SER_hh_fec!O23=0,0,11630*1000*SER_hh_fec!O23/SER_hh_num!O23)</f>
        <v>23696.265498015015</v>
      </c>
      <c r="P23" s="132">
        <f>IF(SER_hh_fec!P23=0,0,11630*1000*SER_hh_fec!P23/SER_hh_num!P23)</f>
        <v>23266.559059728337</v>
      </c>
      <c r="Q23" s="132">
        <f>IF(SER_hh_fec!Q23=0,0,11630*1000*SER_hh_fec!Q23/SER_hh_num!Q23)</f>
        <v>22927.744396139704</v>
      </c>
      <c r="R23" s="132">
        <f>IF(SER_hh_fec!R23=0,0,11630*1000*SER_hh_fec!R23/SER_hh_num!R23)</f>
        <v>22424.5337167084</v>
      </c>
      <c r="S23" s="132">
        <f>IF(SER_hh_fec!S23=0,0,11630*1000*SER_hh_fec!S23/SER_hh_num!S23)</f>
        <v>22297.46208475544</v>
      </c>
      <c r="T23" s="132">
        <f>IF(SER_hh_fec!T23=0,0,11630*1000*SER_hh_fec!T23/SER_hh_num!T23)</f>
        <v>21869.185385597379</v>
      </c>
      <c r="U23" s="132">
        <f>IF(SER_hh_fec!U23=0,0,11630*1000*SER_hh_fec!U23/SER_hh_num!U23)</f>
        <v>21300.598453227696</v>
      </c>
      <c r="V23" s="132">
        <f>IF(SER_hh_fec!V23=0,0,11630*1000*SER_hh_fec!V23/SER_hh_num!V23)</f>
        <v>19448.912387499742</v>
      </c>
      <c r="W23" s="132">
        <f>IF(SER_hh_fec!W23=0,0,11630*1000*SER_hh_fec!W23/SER_hh_num!W23)</f>
        <v>21706.337133661262</v>
      </c>
      <c r="X23" s="132">
        <f>IF(SER_hh_fec!X23=0,0,11630*1000*SER_hh_fec!X23/SER_hh_num!X23)</f>
        <v>19776.688518650932</v>
      </c>
      <c r="Y23" s="132">
        <f>IF(SER_hh_fec!Y23=0,0,11630*1000*SER_hh_fec!Y23/SER_hh_num!Y23)</f>
        <v>19444.133834372322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17051.61446310746</v>
      </c>
      <c r="C25" s="132">
        <f>IF(SER_hh_fec!C25=0,0,11630*1000*SER_hh_fec!C25/SER_hh_num!C25)</f>
        <v>17070.720898330212</v>
      </c>
      <c r="D25" s="132">
        <f>IF(SER_hh_fec!D25=0,0,11630*1000*SER_hh_fec!D25/SER_hh_num!D25)</f>
        <v>17396.635929451015</v>
      </c>
      <c r="E25" s="132">
        <f>IF(SER_hh_fec!E25=0,0,11630*1000*SER_hh_fec!E25/SER_hh_num!E25)</f>
        <v>17323.994312048377</v>
      </c>
      <c r="F25" s="132">
        <f>IF(SER_hh_fec!F25=0,0,11630*1000*SER_hh_fec!F25/SER_hh_num!F25)</f>
        <v>17634.636108610004</v>
      </c>
      <c r="G25" s="132">
        <f>IF(SER_hh_fec!G25=0,0,11630*1000*SER_hh_fec!G25/SER_hh_num!G25)</f>
        <v>17887.343472279612</v>
      </c>
      <c r="H25" s="132">
        <f>IF(SER_hh_fec!H25=0,0,11630*1000*SER_hh_fec!H25/SER_hh_num!H25)</f>
        <v>17542.438647214516</v>
      </c>
      <c r="I25" s="132">
        <f>IF(SER_hh_fec!I25=0,0,11630*1000*SER_hh_fec!I25/SER_hh_num!I25)</f>
        <v>17386.170455151016</v>
      </c>
      <c r="J25" s="132">
        <f>IF(SER_hh_fec!J25=0,0,11630*1000*SER_hh_fec!J25/SER_hh_num!J25)</f>
        <v>17627.986090244489</v>
      </c>
      <c r="K25" s="132">
        <f>IF(SER_hh_fec!K25=0,0,11630*1000*SER_hh_fec!K25/SER_hh_num!K25)</f>
        <v>17511.613413937514</v>
      </c>
      <c r="L25" s="132">
        <f>IF(SER_hh_fec!L25=0,0,11630*1000*SER_hh_fec!L25/SER_hh_num!L25)</f>
        <v>17643.505466320577</v>
      </c>
      <c r="M25" s="132">
        <f>IF(SER_hh_fec!M25=0,0,11630*1000*SER_hh_fec!M25/SER_hh_num!M25)</f>
        <v>17790.388482235699</v>
      </c>
      <c r="N25" s="132">
        <f>IF(SER_hh_fec!N25=0,0,11630*1000*SER_hh_fec!N25/SER_hh_num!N25)</f>
        <v>17971.875713882881</v>
      </c>
      <c r="O25" s="132">
        <f>IF(SER_hh_fec!O25=0,0,11630*1000*SER_hh_fec!O25/SER_hh_num!O25)</f>
        <v>18175.528444699285</v>
      </c>
      <c r="P25" s="132">
        <f>IF(SER_hh_fec!P25=0,0,11630*1000*SER_hh_fec!P25/SER_hh_num!P25)</f>
        <v>18191.457387463135</v>
      </c>
      <c r="Q25" s="132">
        <f>IF(SER_hh_fec!Q25=0,0,11630*1000*SER_hh_fec!Q25/SER_hh_num!Q25)</f>
        <v>18076.399859554276</v>
      </c>
      <c r="R25" s="132">
        <f>IF(SER_hh_fec!R25=0,0,11630*1000*SER_hh_fec!R25/SER_hh_num!R25)</f>
        <v>17949.199607778417</v>
      </c>
      <c r="S25" s="132">
        <f>IF(SER_hh_fec!S25=0,0,11630*1000*SER_hh_fec!S25/SER_hh_num!S25)</f>
        <v>18021.895460897733</v>
      </c>
      <c r="T25" s="132">
        <f>IF(SER_hh_fec!T25=0,0,11630*1000*SER_hh_fec!T25/SER_hh_num!T25)</f>
        <v>17897.382829259011</v>
      </c>
      <c r="U25" s="132">
        <f>IF(SER_hh_fec!U25=0,0,11630*1000*SER_hh_fec!U25/SER_hh_num!U25)</f>
        <v>17647.714363976767</v>
      </c>
      <c r="V25" s="132">
        <f>IF(SER_hh_fec!V25=0,0,11630*1000*SER_hh_fec!V25/SER_hh_num!V25)</f>
        <v>16861.184845106625</v>
      </c>
      <c r="W25" s="132">
        <f>IF(SER_hh_fec!W25=0,0,11630*1000*SER_hh_fec!W25/SER_hh_num!W25)</f>
        <v>17831.450757729781</v>
      </c>
      <c r="X25" s="132">
        <f>IF(SER_hh_fec!X25=0,0,11630*1000*SER_hh_fec!X25/SER_hh_num!X25)</f>
        <v>16361.912316900847</v>
      </c>
      <c r="Y25" s="132">
        <f>IF(SER_hh_fec!Y25=0,0,11630*1000*SER_hh_fec!Y25/SER_hh_num!Y25)</f>
        <v>17578.532261309949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20493.333711016068</v>
      </c>
      <c r="C26" s="65">
        <f>IF(SER_hh_fec!C26=0,0,11630*1000*SER_hh_fec!C26/SER_hh_num!C26)</f>
        <v>20073.839106278672</v>
      </c>
      <c r="D26" s="65">
        <f>IF(SER_hh_fec!D26=0,0,11630*1000*SER_hh_fec!D26/SER_hh_num!D26)</f>
        <v>20231.300807935793</v>
      </c>
      <c r="E26" s="65">
        <f>IF(SER_hh_fec!E26=0,0,11630*1000*SER_hh_fec!E26/SER_hh_num!E26)</f>
        <v>19869.843057148875</v>
      </c>
      <c r="F26" s="65">
        <f>IF(SER_hh_fec!F26=0,0,11630*1000*SER_hh_fec!F26/SER_hh_num!F26)</f>
        <v>20821.349955834288</v>
      </c>
      <c r="G26" s="65">
        <f>IF(SER_hh_fec!G26=0,0,11630*1000*SER_hh_fec!G26/SER_hh_num!G26)</f>
        <v>20735.106796172866</v>
      </c>
      <c r="H26" s="65">
        <f>IF(SER_hh_fec!H26=0,0,11630*1000*SER_hh_fec!H26/SER_hh_num!H26)</f>
        <v>19916.544488627154</v>
      </c>
      <c r="I26" s="65">
        <f>IF(SER_hh_fec!I26=0,0,11630*1000*SER_hh_fec!I26/SER_hh_num!I26)</f>
        <v>19649.30755754012</v>
      </c>
      <c r="J26" s="65">
        <f>IF(SER_hh_fec!J26=0,0,11630*1000*SER_hh_fec!J26/SER_hh_num!J26)</f>
        <v>19811.832966173984</v>
      </c>
      <c r="K26" s="65">
        <f>IF(SER_hh_fec!K26=0,0,11630*1000*SER_hh_fec!K26/SER_hh_num!K26)</f>
        <v>19811.712460103536</v>
      </c>
      <c r="L26" s="65">
        <f>IF(SER_hh_fec!L26=0,0,11630*1000*SER_hh_fec!L26/SER_hh_num!L26)</f>
        <v>19839.769677103883</v>
      </c>
      <c r="M26" s="65">
        <f>IF(SER_hh_fec!M26=0,0,11630*1000*SER_hh_fec!M26/SER_hh_num!M26)</f>
        <v>19453.337941213584</v>
      </c>
      <c r="N26" s="65">
        <f>IF(SER_hh_fec!N26=0,0,11630*1000*SER_hh_fec!N26/SER_hh_num!N26)</f>
        <v>20150.777878456545</v>
      </c>
      <c r="O26" s="65">
        <f>IF(SER_hh_fec!O26=0,0,11630*1000*SER_hh_fec!O26/SER_hh_num!O26)</f>
        <v>20607.460598603277</v>
      </c>
      <c r="P26" s="65">
        <f>IF(SER_hh_fec!P26=0,0,11630*1000*SER_hh_fec!P26/SER_hh_num!P26)</f>
        <v>19737.291998556611</v>
      </c>
      <c r="Q26" s="65">
        <f>IF(SER_hh_fec!Q26=0,0,11630*1000*SER_hh_fec!Q26/SER_hh_num!Q26)</f>
        <v>18828.637691678658</v>
      </c>
      <c r="R26" s="65">
        <f>IF(SER_hh_fec!R26=0,0,11630*1000*SER_hh_fec!R26/SER_hh_num!R26)</f>
        <v>18596.140994632489</v>
      </c>
      <c r="S26" s="65">
        <f>IF(SER_hh_fec!S26=0,0,11630*1000*SER_hh_fec!S26/SER_hh_num!S26)</f>
        <v>17864.755826927903</v>
      </c>
      <c r="T26" s="65">
        <f>IF(SER_hh_fec!T26=0,0,11630*1000*SER_hh_fec!T26/SER_hh_num!T26)</f>
        <v>17419.098660230418</v>
      </c>
      <c r="U26" s="65">
        <f>IF(SER_hh_fec!U26=0,0,11630*1000*SER_hh_fec!U26/SER_hh_num!U26)</f>
        <v>16792.969955565331</v>
      </c>
      <c r="V26" s="65">
        <f>IF(SER_hh_fec!V26=0,0,11630*1000*SER_hh_fec!V26/SER_hh_num!V26)</f>
        <v>14828.86059022371</v>
      </c>
      <c r="W26" s="65">
        <f>IF(SER_hh_fec!W26=0,0,11630*1000*SER_hh_fec!W26/SER_hh_num!W26)</f>
        <v>13052.361789819573</v>
      </c>
      <c r="X26" s="65">
        <f>IF(SER_hh_fec!X26=0,0,11630*1000*SER_hh_fec!X26/SER_hh_num!X26)</f>
        <v>16601.002140250061</v>
      </c>
      <c r="Y26" s="65">
        <f>IF(SER_hh_fec!Y26=0,0,11630*1000*SER_hh_fec!Y26/SER_hh_num!Y26)</f>
        <v>15436.634438512878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127.57529672597484</v>
      </c>
      <c r="C27" s="145">
        <f>IF(SER_hh_fec!C27=0,0,11630*1000*SER_hh_fec!C27/SER_hh_num!C19)</f>
        <v>131.45233282237569</v>
      </c>
      <c r="D27" s="145">
        <f>IF(SER_hh_fec!D27=0,0,11630*1000*SER_hh_fec!D27/SER_hh_num!D19)</f>
        <v>151.39899428939708</v>
      </c>
      <c r="E27" s="145">
        <f>IF(SER_hh_fec!E27=0,0,11630*1000*SER_hh_fec!E27/SER_hh_num!E19)</f>
        <v>167.23375391155855</v>
      </c>
      <c r="F27" s="145">
        <f>IF(SER_hh_fec!F27=0,0,11630*1000*SER_hh_fec!F27/SER_hh_num!F19)</f>
        <v>191.67243935021949</v>
      </c>
      <c r="G27" s="145">
        <f>IF(SER_hh_fec!G27=0,0,11630*1000*SER_hh_fec!G27/SER_hh_num!G19)</f>
        <v>214.42274874549369</v>
      </c>
      <c r="H27" s="145">
        <f>IF(SER_hh_fec!H27=0,0,11630*1000*SER_hh_fec!H27/SER_hh_num!H19)</f>
        <v>238.87318099618543</v>
      </c>
      <c r="I27" s="145">
        <f>IF(SER_hh_fec!I27=0,0,11630*1000*SER_hh_fec!I27/SER_hh_num!I19)</f>
        <v>267.11455539841785</v>
      </c>
      <c r="J27" s="145">
        <f>IF(SER_hh_fec!J27=0,0,11630*1000*SER_hh_fec!J27/SER_hh_num!J19)</f>
        <v>326.89102377823832</v>
      </c>
      <c r="K27" s="145">
        <f>IF(SER_hh_fec!K27=0,0,11630*1000*SER_hh_fec!K27/SER_hh_num!K19)</f>
        <v>373.85176207253852</v>
      </c>
      <c r="L27" s="145">
        <f>IF(SER_hh_fec!L27=0,0,11630*1000*SER_hh_fec!L27/SER_hh_num!L19)</f>
        <v>416.85433977454778</v>
      </c>
      <c r="M27" s="145">
        <f>IF(SER_hh_fec!M27=0,0,11630*1000*SER_hh_fec!M27/SER_hh_num!M19)</f>
        <v>481.50374515505484</v>
      </c>
      <c r="N27" s="145">
        <f>IF(SER_hh_fec!N27=0,0,11630*1000*SER_hh_fec!N27/SER_hh_num!N19)</f>
        <v>575.68987513398258</v>
      </c>
      <c r="O27" s="145">
        <f>IF(SER_hh_fec!O27=0,0,11630*1000*SER_hh_fec!O27/SER_hh_num!O19)</f>
        <v>658.79976936810124</v>
      </c>
      <c r="P27" s="145">
        <f>IF(SER_hh_fec!P27=0,0,11630*1000*SER_hh_fec!P27/SER_hh_num!P19)</f>
        <v>726.80059503496932</v>
      </c>
      <c r="Q27" s="145">
        <f>IF(SER_hh_fec!Q27=0,0,11630*1000*SER_hh_fec!Q27/SER_hh_num!Q19)</f>
        <v>781.83644243574986</v>
      </c>
      <c r="R27" s="145">
        <f>IF(SER_hh_fec!R27=0,0,11630*1000*SER_hh_fec!R27/SER_hh_num!R19)</f>
        <v>863.85792072223717</v>
      </c>
      <c r="S27" s="145">
        <f>IF(SER_hh_fec!S27=0,0,11630*1000*SER_hh_fec!S27/SER_hh_num!S19)</f>
        <v>954.17491725796367</v>
      </c>
      <c r="T27" s="145">
        <f>IF(SER_hh_fec!T27=0,0,11630*1000*SER_hh_fec!T27/SER_hh_num!T19)</f>
        <v>1022.9574551706515</v>
      </c>
      <c r="U27" s="145">
        <f>IF(SER_hh_fec!U27=0,0,11630*1000*SER_hh_fec!U27/SER_hh_num!U19)</f>
        <v>1121.8784248360937</v>
      </c>
      <c r="V27" s="145">
        <f>IF(SER_hh_fec!V27=0,0,11630*1000*SER_hh_fec!V27/SER_hh_num!V19)</f>
        <v>1174.4520770501633</v>
      </c>
      <c r="W27" s="145">
        <f>IF(SER_hh_fec!W27=0,0,11630*1000*SER_hh_fec!W27/SER_hh_num!W19)</f>
        <v>1213.8637031748194</v>
      </c>
      <c r="X27" s="145">
        <f>IF(SER_hh_fec!X27=0,0,11630*1000*SER_hh_fec!X27/SER_hh_num!X19)</f>
        <v>1130.8739790001694</v>
      </c>
      <c r="Y27" s="145">
        <f>IF(SER_hh_fec!Y27=0,0,11630*1000*SER_hh_fec!Y27/SER_hh_num!Y19)</f>
        <v>1148.1851083621782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8858.9869382978486</v>
      </c>
      <c r="C28" s="146">
        <f>IF(SER_hh_fec!C27=0,0,11630*1000*SER_hh_fec!C27/SER_hh_num!C27)</f>
        <v>9173.3662748480201</v>
      </c>
      <c r="D28" s="146">
        <f>IF(SER_hh_fec!D27=0,0,11630*1000*SER_hh_fec!D27/SER_hh_num!D27)</f>
        <v>9152.264704754265</v>
      </c>
      <c r="E28" s="146">
        <f>IF(SER_hh_fec!E27=0,0,11630*1000*SER_hh_fec!E27/SER_hh_num!E27)</f>
        <v>9739.0675391681416</v>
      </c>
      <c r="F28" s="146">
        <f>IF(SER_hh_fec!F27=0,0,11630*1000*SER_hh_fec!F27/SER_hh_num!F27)</f>
        <v>9597.4739394264689</v>
      </c>
      <c r="G28" s="146">
        <f>IF(SER_hh_fec!G27=0,0,11630*1000*SER_hh_fec!G27/SER_hh_num!G27)</f>
        <v>9748.6004534885524</v>
      </c>
      <c r="H28" s="146">
        <f>IF(SER_hh_fec!H27=0,0,11630*1000*SER_hh_fec!H27/SER_hh_num!H27)</f>
        <v>9561.6489048878957</v>
      </c>
      <c r="I28" s="146">
        <f>IF(SER_hh_fec!I27=0,0,11630*1000*SER_hh_fec!I27/SER_hh_num!I27)</f>
        <v>9622.1242242150765</v>
      </c>
      <c r="J28" s="146">
        <f>IF(SER_hh_fec!J27=0,0,11630*1000*SER_hh_fec!J27/SER_hh_num!J27)</f>
        <v>9810.9900345377082</v>
      </c>
      <c r="K28" s="146">
        <f>IF(SER_hh_fec!K27=0,0,11630*1000*SER_hh_fec!K27/SER_hh_num!K27)</f>
        <v>10165.913650635926</v>
      </c>
      <c r="L28" s="146">
        <f>IF(SER_hh_fec!L27=0,0,11630*1000*SER_hh_fec!L27/SER_hh_num!L27)</f>
        <v>10292.549101105193</v>
      </c>
      <c r="M28" s="146">
        <f>IF(SER_hh_fec!M27=0,0,11630*1000*SER_hh_fec!M27/SER_hh_num!M27)</f>
        <v>10159.174207521241</v>
      </c>
      <c r="N28" s="146">
        <f>IF(SER_hh_fec!N27=0,0,11630*1000*SER_hh_fec!N27/SER_hh_num!N27)</f>
        <v>10521.375367507844</v>
      </c>
      <c r="O28" s="146">
        <f>IF(SER_hh_fec!O27=0,0,11630*1000*SER_hh_fec!O27/SER_hh_num!O27)</f>
        <v>10922.693361784271</v>
      </c>
      <c r="P28" s="146">
        <f>IF(SER_hh_fec!P27=0,0,11630*1000*SER_hh_fec!P27/SER_hh_num!P27)</f>
        <v>10634.190363169178</v>
      </c>
      <c r="Q28" s="146">
        <f>IF(SER_hh_fec!Q27=0,0,11630*1000*SER_hh_fec!Q27/SER_hh_num!Q27)</f>
        <v>10186.767827283174</v>
      </c>
      <c r="R28" s="146">
        <f>IF(SER_hh_fec!R27=0,0,11630*1000*SER_hh_fec!R27/SER_hh_num!R27)</f>
        <v>10393.137167893166</v>
      </c>
      <c r="S28" s="146">
        <f>IF(SER_hh_fec!S27=0,0,11630*1000*SER_hh_fec!S27/SER_hh_num!S27)</f>
        <v>10565.023162316636</v>
      </c>
      <c r="T28" s="146">
        <f>IF(SER_hh_fec!T27=0,0,11630*1000*SER_hh_fec!T27/SER_hh_num!T27)</f>
        <v>10497.509768254062</v>
      </c>
      <c r="U28" s="146">
        <f>IF(SER_hh_fec!U27=0,0,11630*1000*SER_hh_fec!U27/SER_hh_num!U27)</f>
        <v>10782.27276519652</v>
      </c>
      <c r="V28" s="146">
        <f>IF(SER_hh_fec!V27=0,0,11630*1000*SER_hh_fec!V27/SER_hh_num!V27)</f>
        <v>10160.280166379045</v>
      </c>
      <c r="W28" s="146">
        <f>IF(SER_hh_fec!W27=0,0,11630*1000*SER_hh_fec!W27/SER_hh_num!W27)</f>
        <v>10163.279288479685</v>
      </c>
      <c r="X28" s="146">
        <f>IF(SER_hh_fec!X27=0,0,11630*1000*SER_hh_fec!X27/SER_hh_num!X27)</f>
        <v>9782.8755462340287</v>
      </c>
      <c r="Y28" s="146">
        <f>IF(SER_hh_fec!Y27=0,0,11630*1000*SER_hh_fec!Y27/SER_hh_num!Y27)</f>
        <v>9576.0988952437565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20523.314274533495</v>
      </c>
      <c r="C29" s="130">
        <f>IF(SER_hh_fec!C29=0,0,11630*1000*SER_hh_fec!C29/SER_hh_num!C29)</f>
        <v>21435.395226428238</v>
      </c>
      <c r="D29" s="130">
        <f>IF(SER_hh_fec!D29=0,0,11630*1000*SER_hh_fec!D29/SER_hh_num!D29)</f>
        <v>21510.912997472085</v>
      </c>
      <c r="E29" s="130">
        <f>IF(SER_hh_fec!E29=0,0,11630*1000*SER_hh_fec!E29/SER_hh_num!E29)</f>
        <v>20964.012429753289</v>
      </c>
      <c r="F29" s="130">
        <f>IF(SER_hh_fec!F29=0,0,11630*1000*SER_hh_fec!F29/SER_hh_num!F29)</f>
        <v>21408.525737186905</v>
      </c>
      <c r="G29" s="130">
        <f>IF(SER_hh_fec!G29=0,0,11630*1000*SER_hh_fec!G29/SER_hh_num!G29)</f>
        <v>21560.243065202674</v>
      </c>
      <c r="H29" s="130">
        <f>IF(SER_hh_fec!H29=0,0,11630*1000*SER_hh_fec!H29/SER_hh_num!H29)</f>
        <v>21803.297699827635</v>
      </c>
      <c r="I29" s="130">
        <f>IF(SER_hh_fec!I29=0,0,11630*1000*SER_hh_fec!I29/SER_hh_num!I29)</f>
        <v>22012.104914444109</v>
      </c>
      <c r="J29" s="130">
        <f>IF(SER_hh_fec!J29=0,0,11630*1000*SER_hh_fec!J29/SER_hh_num!J29)</f>
        <v>22780.270753301411</v>
      </c>
      <c r="K29" s="130">
        <f>IF(SER_hh_fec!K29=0,0,11630*1000*SER_hh_fec!K29/SER_hh_num!K29)</f>
        <v>23819.118246789254</v>
      </c>
      <c r="L29" s="130">
        <f>IF(SER_hh_fec!L29=0,0,11630*1000*SER_hh_fec!L29/SER_hh_num!L29)</f>
        <v>24183.950634537774</v>
      </c>
      <c r="M29" s="130">
        <f>IF(SER_hh_fec!M29=0,0,11630*1000*SER_hh_fec!M29/SER_hh_num!M29)</f>
        <v>24103.464687581141</v>
      </c>
      <c r="N29" s="130">
        <f>IF(SER_hh_fec!N29=0,0,11630*1000*SER_hh_fec!N29/SER_hh_num!N29)</f>
        <v>24965.806860809545</v>
      </c>
      <c r="O29" s="130">
        <f>IF(SER_hh_fec!O29=0,0,11630*1000*SER_hh_fec!O29/SER_hh_num!O29)</f>
        <v>25437.283389022916</v>
      </c>
      <c r="P29" s="130">
        <f>IF(SER_hh_fec!P29=0,0,11630*1000*SER_hh_fec!P29/SER_hh_num!P29)</f>
        <v>25749.399181566791</v>
      </c>
      <c r="Q29" s="130">
        <f>IF(SER_hh_fec!Q29=0,0,11630*1000*SER_hh_fec!Q29/SER_hh_num!Q29)</f>
        <v>25622.793651757453</v>
      </c>
      <c r="R29" s="130">
        <f>IF(SER_hh_fec!R29=0,0,11630*1000*SER_hh_fec!R29/SER_hh_num!R29)</f>
        <v>26338.422481108508</v>
      </c>
      <c r="S29" s="130">
        <f>IF(SER_hh_fec!S29=0,0,11630*1000*SER_hh_fec!S29/SER_hh_num!S29)</f>
        <v>26667.672775591593</v>
      </c>
      <c r="T29" s="130">
        <f>IF(SER_hh_fec!T29=0,0,11630*1000*SER_hh_fec!T29/SER_hh_num!T29)</f>
        <v>26996.387915019968</v>
      </c>
      <c r="U29" s="130">
        <f>IF(SER_hh_fec!U29=0,0,11630*1000*SER_hh_fec!U29/SER_hh_num!U29)</f>
        <v>27217.861963040592</v>
      </c>
      <c r="V29" s="130">
        <f>IF(SER_hh_fec!V29=0,0,11630*1000*SER_hh_fec!V29/SER_hh_num!V29)</f>
        <v>23202.986617970157</v>
      </c>
      <c r="W29" s="130">
        <f>IF(SER_hh_fec!W29=0,0,11630*1000*SER_hh_fec!W29/SER_hh_num!W29)</f>
        <v>26800.281392616074</v>
      </c>
      <c r="X29" s="130">
        <f>IF(SER_hh_fec!X29=0,0,11630*1000*SER_hh_fec!X29/SER_hh_num!X29)</f>
        <v>26905.330086889302</v>
      </c>
      <c r="Y29" s="130">
        <f>IF(SER_hh_fec!Y29=0,0,11630*1000*SER_hh_fec!Y29/SER_hh_num!Y29)</f>
        <v>26284.765397189669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16654.815036357297</v>
      </c>
      <c r="C30" s="132">
        <f>IF(SER_hh_fec!C30=0,0,11630*1000*SER_hh_fec!C30/SER_hh_num!C30)</f>
        <v>32703.768038228522</v>
      </c>
      <c r="D30" s="132">
        <f>IF(SER_hh_fec!D30=0,0,11630*1000*SER_hh_fec!D30/SER_hh_num!D30)</f>
        <v>25712.307241994058</v>
      </c>
      <c r="E30" s="132">
        <f>IF(SER_hh_fec!E30=0,0,11630*1000*SER_hh_fec!E30/SER_hh_num!E30)</f>
        <v>26656.499686866515</v>
      </c>
      <c r="F30" s="132">
        <f>IF(SER_hh_fec!F30=0,0,11630*1000*SER_hh_fec!F30/SER_hh_num!F30)</f>
        <v>28653.08109114804</v>
      </c>
      <c r="G30" s="132">
        <f>IF(SER_hh_fec!G30=0,0,11630*1000*SER_hh_fec!G30/SER_hh_num!G30)</f>
        <v>26152.269919195005</v>
      </c>
      <c r="H30" s="132">
        <f>IF(SER_hh_fec!H30=0,0,11630*1000*SER_hh_fec!H30/SER_hh_num!H30)</f>
        <v>28561.925859409039</v>
      </c>
      <c r="I30" s="132">
        <f>IF(SER_hh_fec!I30=0,0,11630*1000*SER_hh_fec!I30/SER_hh_num!I30)</f>
        <v>26710.165402993603</v>
      </c>
      <c r="J30" s="132">
        <f>IF(SER_hh_fec!J30=0,0,11630*1000*SER_hh_fec!J30/SER_hh_num!J30)</f>
        <v>27455.25225271978</v>
      </c>
      <c r="K30" s="132">
        <f>IF(SER_hh_fec!K30=0,0,11630*1000*SER_hh_fec!K30/SER_hh_num!K30)</f>
        <v>32307.193390705972</v>
      </c>
      <c r="L30" s="132">
        <f>IF(SER_hh_fec!L30=0,0,11630*1000*SER_hh_fec!L30/SER_hh_num!L30)</f>
        <v>35076.862471078734</v>
      </c>
      <c r="M30" s="132">
        <f>IF(SER_hh_fec!M30=0,0,11630*1000*SER_hh_fec!M30/SER_hh_num!M30)</f>
        <v>30899.86611240224</v>
      </c>
      <c r="N30" s="132">
        <f>IF(SER_hh_fec!N30=0,0,11630*1000*SER_hh_fec!N30/SER_hh_num!N30)</f>
        <v>31069.01862652542</v>
      </c>
      <c r="O30" s="132">
        <f>IF(SER_hh_fec!O30=0,0,11630*1000*SER_hh_fec!O30/SER_hh_num!O30)</f>
        <v>32010.767629463651</v>
      </c>
      <c r="P30" s="132">
        <f>IF(SER_hh_fec!P30=0,0,11630*1000*SER_hh_fec!P30/SER_hh_num!P30)</f>
        <v>32157.99358475933</v>
      </c>
      <c r="Q30" s="132">
        <f>IF(SER_hh_fec!Q30=0,0,11630*1000*SER_hh_fec!Q30/SER_hh_num!Q30)</f>
        <v>31895.212974902261</v>
      </c>
      <c r="R30" s="132">
        <f>IF(SER_hh_fec!R30=0,0,11630*1000*SER_hh_fec!R30/SER_hh_num!R30)</f>
        <v>35756.444247751599</v>
      </c>
      <c r="S30" s="132">
        <f>IF(SER_hh_fec!S30=0,0,11630*1000*SER_hh_fec!S30/SER_hh_num!S30)</f>
        <v>33773.859913629814</v>
      </c>
      <c r="T30" s="132">
        <f>IF(SER_hh_fec!T30=0,0,11630*1000*SER_hh_fec!T30/SER_hh_num!T30)</f>
        <v>33341.639025704164</v>
      </c>
      <c r="U30" s="132">
        <f>IF(SER_hh_fec!U30=0,0,11630*1000*SER_hh_fec!U30/SER_hh_num!U30)</f>
        <v>36287.778890414324</v>
      </c>
      <c r="V30" s="132">
        <f>IF(SER_hh_fec!V30=0,0,11630*1000*SER_hh_fec!V30/SER_hh_num!V30)</f>
        <v>30753.0858240052</v>
      </c>
      <c r="W30" s="132">
        <f>IF(SER_hh_fec!W30=0,0,11630*1000*SER_hh_fec!W30/SER_hh_num!W30)</f>
        <v>39968.962289496325</v>
      </c>
      <c r="X30" s="132">
        <f>IF(SER_hh_fec!X30=0,0,11630*1000*SER_hh_fec!X30/SER_hh_num!X30)</f>
        <v>32676.21071169449</v>
      </c>
      <c r="Y30" s="132">
        <f>IF(SER_hh_fec!Y30=0,0,11630*1000*SER_hh_fec!Y30/SER_hh_num!Y30)</f>
        <v>31893.0590258638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25687.766953869705</v>
      </c>
      <c r="C31" s="132">
        <f>IF(SER_hh_fec!C31=0,0,11630*1000*SER_hh_fec!C31/SER_hh_num!C31)</f>
        <v>26632.299122279292</v>
      </c>
      <c r="D31" s="132">
        <f>IF(SER_hh_fec!D31=0,0,11630*1000*SER_hh_fec!D31/SER_hh_num!D31)</f>
        <v>26734.309517542912</v>
      </c>
      <c r="E31" s="132">
        <f>IF(SER_hh_fec!E31=0,0,11630*1000*SER_hh_fec!E31/SER_hh_num!E31)</f>
        <v>26491.898212032029</v>
      </c>
      <c r="F31" s="132">
        <f>IF(SER_hh_fec!F31=0,0,11630*1000*SER_hh_fec!F31/SER_hh_num!F31)</f>
        <v>26310.942866709753</v>
      </c>
      <c r="G31" s="132">
        <f>IF(SER_hh_fec!G31=0,0,11630*1000*SER_hh_fec!G31/SER_hh_num!G31)</f>
        <v>27074.182480730557</v>
      </c>
      <c r="H31" s="132">
        <f>IF(SER_hh_fec!H31=0,0,11630*1000*SER_hh_fec!H31/SER_hh_num!H31)</f>
        <v>26967.504587961346</v>
      </c>
      <c r="I31" s="132">
        <f>IF(SER_hh_fec!I31=0,0,11630*1000*SER_hh_fec!I31/SER_hh_num!I31)</f>
        <v>27729.809281649326</v>
      </c>
      <c r="J31" s="132">
        <f>IF(SER_hh_fec!J31=0,0,11630*1000*SER_hh_fec!J31/SER_hh_num!J31)</f>
        <v>28841.634296762873</v>
      </c>
      <c r="K31" s="132">
        <f>IF(SER_hh_fec!K31=0,0,11630*1000*SER_hh_fec!K31/SER_hh_num!K31)</f>
        <v>29550.546954394064</v>
      </c>
      <c r="L31" s="132">
        <f>IF(SER_hh_fec!L31=0,0,11630*1000*SER_hh_fec!L31/SER_hh_num!L31)</f>
        <v>29532.801068182958</v>
      </c>
      <c r="M31" s="132">
        <f>IF(SER_hh_fec!M31=0,0,11630*1000*SER_hh_fec!M31/SER_hh_num!M31)</f>
        <v>30286.160018430379</v>
      </c>
      <c r="N31" s="132">
        <f>IF(SER_hh_fec!N31=0,0,11630*1000*SER_hh_fec!N31/SER_hh_num!N31)</f>
        <v>31557.108563663929</v>
      </c>
      <c r="O31" s="132">
        <f>IF(SER_hh_fec!O31=0,0,11630*1000*SER_hh_fec!O31/SER_hh_num!O31)</f>
        <v>31389.263953956208</v>
      </c>
      <c r="P31" s="132">
        <f>IF(SER_hh_fec!P31=0,0,11630*1000*SER_hh_fec!P31/SER_hh_num!P31)</f>
        <v>31544.294210898206</v>
      </c>
      <c r="Q31" s="132">
        <f>IF(SER_hh_fec!Q31=0,0,11630*1000*SER_hh_fec!Q31/SER_hh_num!Q31)</f>
        <v>32708.437600644658</v>
      </c>
      <c r="R31" s="132">
        <f>IF(SER_hh_fec!R31=0,0,11630*1000*SER_hh_fec!R31/SER_hh_num!R31)</f>
        <v>32998.45074948312</v>
      </c>
      <c r="S31" s="132">
        <f>IF(SER_hh_fec!S31=0,0,11630*1000*SER_hh_fec!S31/SER_hh_num!S31)</f>
        <v>34368.08864992961</v>
      </c>
      <c r="T31" s="132">
        <f>IF(SER_hh_fec!T31=0,0,11630*1000*SER_hh_fec!T31/SER_hh_num!T31)</f>
        <v>34686.371928938228</v>
      </c>
      <c r="U31" s="132">
        <f>IF(SER_hh_fec!U31=0,0,11630*1000*SER_hh_fec!U31/SER_hh_num!U31)</f>
        <v>33872.009198655098</v>
      </c>
      <c r="V31" s="132">
        <f>IF(SER_hh_fec!V31=0,0,11630*1000*SER_hh_fec!V31/SER_hh_num!V31)</f>
        <v>28099.476043937095</v>
      </c>
      <c r="W31" s="132">
        <f>IF(SER_hh_fec!W31=0,0,11630*1000*SER_hh_fec!W31/SER_hh_num!W31)</f>
        <v>29061.461374337716</v>
      </c>
      <c r="X31" s="132">
        <f>IF(SER_hh_fec!X31=0,0,11630*1000*SER_hh_fec!X31/SER_hh_num!X31)</f>
        <v>41931.156301415576</v>
      </c>
      <c r="Y31" s="132">
        <f>IF(SER_hh_fec!Y31=0,0,11630*1000*SER_hh_fec!Y31/SER_hh_num!Y31)</f>
        <v>32008.727016776702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44379.865703087729</v>
      </c>
      <c r="L32" s="132">
        <f>IF(SER_hh_fec!L32=0,0,11630*1000*SER_hh_fec!L32/SER_hh_num!L32)</f>
        <v>35267.143937329376</v>
      </c>
      <c r="M32" s="132">
        <f>IF(SER_hh_fec!M32=0,0,11630*1000*SER_hh_fec!M32/SER_hh_num!M32)</f>
        <v>29729.383910647481</v>
      </c>
      <c r="N32" s="132">
        <f>IF(SER_hh_fec!N32=0,0,11630*1000*SER_hh_fec!N32/SER_hh_num!N32)</f>
        <v>31699.584006898502</v>
      </c>
      <c r="O32" s="132">
        <f>IF(SER_hh_fec!O32=0,0,11630*1000*SER_hh_fec!O32/SER_hh_num!O32)</f>
        <v>32316.420341155179</v>
      </c>
      <c r="P32" s="132">
        <f>IF(SER_hh_fec!P32=0,0,11630*1000*SER_hh_fec!P32/SER_hh_num!P32)</f>
        <v>30613.650649671672</v>
      </c>
      <c r="Q32" s="132">
        <f>IF(SER_hh_fec!Q32=0,0,11630*1000*SER_hh_fec!Q32/SER_hh_num!Q32)</f>
        <v>30543.103997012404</v>
      </c>
      <c r="R32" s="132">
        <f>IF(SER_hh_fec!R32=0,0,11630*1000*SER_hh_fec!R32/SER_hh_num!R32)</f>
        <v>29734.502481324249</v>
      </c>
      <c r="S32" s="132">
        <f>IF(SER_hh_fec!S32=0,0,11630*1000*SER_hh_fec!S32/SER_hh_num!S32)</f>
        <v>31167.519458722647</v>
      </c>
      <c r="T32" s="132">
        <f>IF(SER_hh_fec!T32=0,0,11630*1000*SER_hh_fec!T32/SER_hh_num!T32)</f>
        <v>37666.53672240462</v>
      </c>
      <c r="U32" s="132">
        <f>IF(SER_hh_fec!U32=0,0,11630*1000*SER_hh_fec!U32/SER_hh_num!U32)</f>
        <v>39294.777528985294</v>
      </c>
      <c r="V32" s="132">
        <f>IF(SER_hh_fec!V32=0,0,11630*1000*SER_hh_fec!V32/SER_hh_num!V32)</f>
        <v>32278.024481772038</v>
      </c>
      <c r="W32" s="132">
        <f>IF(SER_hh_fec!W32=0,0,11630*1000*SER_hh_fec!W32/SER_hh_num!W32)</f>
        <v>32297.052575321195</v>
      </c>
      <c r="X32" s="132">
        <f>IF(SER_hh_fec!X32=0,0,11630*1000*SER_hh_fec!X32/SER_hh_num!X32)</f>
        <v>26307.48315864936</v>
      </c>
      <c r="Y32" s="132">
        <f>IF(SER_hh_fec!Y32=0,0,11630*1000*SER_hh_fec!Y32/SER_hh_num!Y32)</f>
        <v>41000.924445852965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20046.099650139993</v>
      </c>
      <c r="C33" s="68">
        <f>IF(SER_hh_fec!C33=0,0,11630*1000*SER_hh_fec!C33/SER_hh_num!C33)</f>
        <v>20125.71040129293</v>
      </c>
      <c r="D33" s="68">
        <f>IF(SER_hh_fec!D33=0,0,11630*1000*SER_hh_fec!D33/SER_hh_num!D33)</f>
        <v>20594.998332710635</v>
      </c>
      <c r="E33" s="68">
        <f>IF(SER_hh_fec!E33=0,0,11630*1000*SER_hh_fec!E33/SER_hh_num!E33)</f>
        <v>19882.835817045572</v>
      </c>
      <c r="F33" s="68">
        <f>IF(SER_hh_fec!F33=0,0,11630*1000*SER_hh_fec!F33/SER_hh_num!F33)</f>
        <v>20259.787365904096</v>
      </c>
      <c r="G33" s="68">
        <f>IF(SER_hh_fec!G33=0,0,11630*1000*SER_hh_fec!G33/SER_hh_num!G33)</f>
        <v>20560.52819842174</v>
      </c>
      <c r="H33" s="68">
        <f>IF(SER_hh_fec!H33=0,0,11630*1000*SER_hh_fec!H33/SER_hh_num!H33)</f>
        <v>20681.863021737892</v>
      </c>
      <c r="I33" s="68">
        <f>IF(SER_hh_fec!I33=0,0,11630*1000*SER_hh_fec!I33/SER_hh_num!I33)</f>
        <v>21022.512573692642</v>
      </c>
      <c r="J33" s="68">
        <f>IF(SER_hh_fec!J33=0,0,11630*1000*SER_hh_fec!J33/SER_hh_num!J33)</f>
        <v>21727.928257895805</v>
      </c>
      <c r="K33" s="68">
        <f>IF(SER_hh_fec!K33=0,0,11630*1000*SER_hh_fec!K33/SER_hh_num!K33)</f>
        <v>22310.469539366368</v>
      </c>
      <c r="L33" s="68">
        <f>IF(SER_hh_fec!L33=0,0,11630*1000*SER_hh_fec!L33/SER_hh_num!L33)</f>
        <v>22504.6559594838</v>
      </c>
      <c r="M33" s="68">
        <f>IF(SER_hh_fec!M33=0,0,11630*1000*SER_hh_fec!M33/SER_hh_num!M33)</f>
        <v>22753.820402231111</v>
      </c>
      <c r="N33" s="68">
        <f>IF(SER_hh_fec!N33=0,0,11630*1000*SER_hh_fec!N33/SER_hh_num!N33)</f>
        <v>23604.855709928343</v>
      </c>
      <c r="O33" s="68">
        <f>IF(SER_hh_fec!O33=0,0,11630*1000*SER_hh_fec!O33/SER_hh_num!O33)</f>
        <v>24118.385790071068</v>
      </c>
      <c r="P33" s="68">
        <f>IF(SER_hh_fec!P33=0,0,11630*1000*SER_hh_fec!P33/SER_hh_num!P33)</f>
        <v>24508.039674231713</v>
      </c>
      <c r="Q33" s="68">
        <f>IF(SER_hh_fec!Q33=0,0,11630*1000*SER_hh_fec!Q33/SER_hh_num!Q33)</f>
        <v>24250.994613123043</v>
      </c>
      <c r="R33" s="68">
        <f>IF(SER_hh_fec!R33=0,0,11630*1000*SER_hh_fec!R33/SER_hh_num!R33)</f>
        <v>24730.025964201592</v>
      </c>
      <c r="S33" s="68">
        <f>IF(SER_hh_fec!S33=0,0,11630*1000*SER_hh_fec!S33/SER_hh_num!S33)</f>
        <v>25105.448667148281</v>
      </c>
      <c r="T33" s="68">
        <f>IF(SER_hh_fec!T33=0,0,11630*1000*SER_hh_fec!T33/SER_hh_num!T33)</f>
        <v>25445.982222711773</v>
      </c>
      <c r="U33" s="68">
        <f>IF(SER_hh_fec!U33=0,0,11630*1000*SER_hh_fec!U33/SER_hh_num!U33)</f>
        <v>25558.27245325442</v>
      </c>
      <c r="V33" s="68">
        <f>IF(SER_hh_fec!V33=0,0,11630*1000*SER_hh_fec!V33/SER_hh_num!V33)</f>
        <v>21879.996274804766</v>
      </c>
      <c r="W33" s="68">
        <f>IF(SER_hh_fec!W33=0,0,11630*1000*SER_hh_fec!W33/SER_hh_num!W33)</f>
        <v>25461.219537541834</v>
      </c>
      <c r="X33" s="68">
        <f>IF(SER_hh_fec!X33=0,0,11630*1000*SER_hh_fec!X33/SER_hh_num!X33)</f>
        <v>23984.417922595218</v>
      </c>
      <c r="Y33" s="68">
        <f>IF(SER_hh_fec!Y33=0,0,11630*1000*SER_hh_fec!Y33/SER_hh_num!Y33)</f>
        <v>24760.828445368195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88477.456951030268</v>
      </c>
      <c r="C3" s="125">
        <f>IF(SER_hh_tes!C3=0,0,11630*1000*SER_hh_tes!C3/SER_hh_num!C3)</f>
        <v>98839.396306794835</v>
      </c>
      <c r="D3" s="125">
        <f>IF(SER_hh_tes!D3=0,0,11630*1000*SER_hh_tes!D3/SER_hh_num!D3)</f>
        <v>100012.49307488222</v>
      </c>
      <c r="E3" s="125">
        <f>IF(SER_hh_tes!E3=0,0,11630*1000*SER_hh_tes!E3/SER_hh_num!E3)</f>
        <v>104962.59197828906</v>
      </c>
      <c r="F3" s="125">
        <f>IF(SER_hh_tes!F3=0,0,11630*1000*SER_hh_tes!F3/SER_hh_num!F3)</f>
        <v>101535.60902809769</v>
      </c>
      <c r="G3" s="125">
        <f>IF(SER_hh_tes!G3=0,0,11630*1000*SER_hh_tes!G3/SER_hh_num!G3)</f>
        <v>103852.77060298024</v>
      </c>
      <c r="H3" s="125">
        <f>IF(SER_hh_tes!H3=0,0,11630*1000*SER_hh_tes!H3/SER_hh_num!H3)</f>
        <v>98421.309943514731</v>
      </c>
      <c r="I3" s="125">
        <f>IF(SER_hh_tes!I3=0,0,11630*1000*SER_hh_tes!I3/SER_hh_num!I3)</f>
        <v>93500.975456801549</v>
      </c>
      <c r="J3" s="125">
        <f>IF(SER_hh_tes!J3=0,0,11630*1000*SER_hh_tes!J3/SER_hh_num!J3)</f>
        <v>100502.21173869271</v>
      </c>
      <c r="K3" s="125">
        <f>IF(SER_hh_tes!K3=0,0,11630*1000*SER_hh_tes!K3/SER_hh_num!K3)</f>
        <v>99984.917657127153</v>
      </c>
      <c r="L3" s="125">
        <f>IF(SER_hh_tes!L3=0,0,11630*1000*SER_hh_tes!L3/SER_hh_num!L3)</f>
        <v>107016.39903308815</v>
      </c>
      <c r="M3" s="125">
        <f>IF(SER_hh_tes!M3=0,0,11630*1000*SER_hh_tes!M3/SER_hh_num!M3)</f>
        <v>106224.56238366154</v>
      </c>
      <c r="N3" s="125">
        <f>IF(SER_hh_tes!N3=0,0,11630*1000*SER_hh_tes!N3/SER_hh_num!N3)</f>
        <v>108478.96858577197</v>
      </c>
      <c r="O3" s="125">
        <f>IF(SER_hh_tes!O3=0,0,11630*1000*SER_hh_tes!O3/SER_hh_num!O3)</f>
        <v>102107.11821828835</v>
      </c>
      <c r="P3" s="125">
        <f>IF(SER_hh_tes!P3=0,0,11630*1000*SER_hh_tes!P3/SER_hh_num!P3)</f>
        <v>89020.350076470233</v>
      </c>
      <c r="Q3" s="125">
        <f>IF(SER_hh_tes!Q3=0,0,11630*1000*SER_hh_tes!Q3/SER_hh_num!Q3)</f>
        <v>102433.22047795256</v>
      </c>
      <c r="R3" s="125">
        <f>IF(SER_hh_tes!R3=0,0,11630*1000*SER_hh_tes!R3/SER_hh_num!R3)</f>
        <v>101963.64289504106</v>
      </c>
      <c r="S3" s="125">
        <f>IF(SER_hh_tes!S3=0,0,11630*1000*SER_hh_tes!S3/SER_hh_num!S3)</f>
        <v>113611.94499401908</v>
      </c>
      <c r="T3" s="125">
        <f>IF(SER_hh_tes!T3=0,0,11630*1000*SER_hh_tes!T3/SER_hh_num!T3)</f>
        <v>114104.63256835085</v>
      </c>
      <c r="U3" s="125">
        <f>IF(SER_hh_tes!U3=0,0,11630*1000*SER_hh_tes!U3/SER_hh_num!U3)</f>
        <v>117731.4874006868</v>
      </c>
      <c r="V3" s="125">
        <f>IF(SER_hh_tes!V3=0,0,11630*1000*SER_hh_tes!V3/SER_hh_num!V3)</f>
        <v>104811.72090912516</v>
      </c>
      <c r="W3" s="125">
        <f>IF(SER_hh_tes!W3=0,0,11630*1000*SER_hh_tes!W3/SER_hh_num!W3)</f>
        <v>123721.27519963685</v>
      </c>
      <c r="X3" s="125">
        <f>IF(SER_hh_tes!X3=0,0,11630*1000*SER_hh_tes!X3/SER_hh_num!X3)</f>
        <v>118520.10039209065</v>
      </c>
      <c r="Y3" s="125">
        <f>IF(SER_hh_tes!Y3=0,0,11630*1000*SER_hh_tes!Y3/SER_hh_num!Y3)</f>
        <v>113390.7849235036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56279.664494532488</v>
      </c>
      <c r="C4" s="130">
        <f>IF(SER_hh_tes!C4=0,0,11630*1000*SER_hh_tes!C4/SER_hh_num!C4)</f>
        <v>65924.341943249543</v>
      </c>
      <c r="D4" s="130">
        <f>IF(SER_hh_tes!D4=0,0,11630*1000*SER_hh_tes!D4/SER_hh_num!D4)</f>
        <v>66471.018084427895</v>
      </c>
      <c r="E4" s="130">
        <f>IF(SER_hh_tes!E4=0,0,11630*1000*SER_hh_tes!E4/SER_hh_num!E4)</f>
        <v>66733.72384620372</v>
      </c>
      <c r="F4" s="130">
        <f>IF(SER_hh_tes!F4=0,0,11630*1000*SER_hh_tes!F4/SER_hh_num!F4)</f>
        <v>66877.62468065531</v>
      </c>
      <c r="G4" s="130">
        <f>IF(SER_hh_tes!G4=0,0,11630*1000*SER_hh_tes!G4/SER_hh_num!G4)</f>
        <v>68260.968280292756</v>
      </c>
      <c r="H4" s="130">
        <f>IF(SER_hh_tes!H4=0,0,11630*1000*SER_hh_tes!H4/SER_hh_num!H4)</f>
        <v>61381.053166412064</v>
      </c>
      <c r="I4" s="130">
        <f>IF(SER_hh_tes!I4=0,0,11630*1000*SER_hh_tes!I4/SER_hh_num!I4)</f>
        <v>55014.321856633978</v>
      </c>
      <c r="J4" s="130">
        <f>IF(SER_hh_tes!J4=0,0,11630*1000*SER_hh_tes!J4/SER_hh_num!J4)</f>
        <v>60509.497327233781</v>
      </c>
      <c r="K4" s="130">
        <f>IF(SER_hh_tes!K4=0,0,11630*1000*SER_hh_tes!K4/SER_hh_num!K4)</f>
        <v>58946.672425076176</v>
      </c>
      <c r="L4" s="130">
        <f>IF(SER_hh_tes!L4=0,0,11630*1000*SER_hh_tes!L4/SER_hh_num!L4)</f>
        <v>64818.50730061224</v>
      </c>
      <c r="M4" s="130">
        <f>IF(SER_hh_tes!M4=0,0,11630*1000*SER_hh_tes!M4/SER_hh_num!M4)</f>
        <v>62656.228485351596</v>
      </c>
      <c r="N4" s="130">
        <f>IF(SER_hh_tes!N4=0,0,11630*1000*SER_hh_tes!N4/SER_hh_num!N4)</f>
        <v>57640.616647159943</v>
      </c>
      <c r="O4" s="130">
        <f>IF(SER_hh_tes!O4=0,0,11630*1000*SER_hh_tes!O4/SER_hh_num!O4)</f>
        <v>56110.13294592801</v>
      </c>
      <c r="P4" s="130">
        <f>IF(SER_hh_tes!P4=0,0,11630*1000*SER_hh_tes!P4/SER_hh_num!P4)</f>
        <v>45009.99851524648</v>
      </c>
      <c r="Q4" s="130">
        <f>IF(SER_hh_tes!Q4=0,0,11630*1000*SER_hh_tes!Q4/SER_hh_num!Q4)</f>
        <v>52076.894216956272</v>
      </c>
      <c r="R4" s="130">
        <f>IF(SER_hh_tes!R4=0,0,11630*1000*SER_hh_tes!R4/SER_hh_num!R4)</f>
        <v>55979.578528801248</v>
      </c>
      <c r="S4" s="130">
        <f>IF(SER_hh_tes!S4=0,0,11630*1000*SER_hh_tes!S4/SER_hh_num!S4)</f>
        <v>61938.297665497113</v>
      </c>
      <c r="T4" s="130">
        <f>IF(SER_hh_tes!T4=0,0,11630*1000*SER_hh_tes!T4/SER_hh_num!T4)</f>
        <v>65965.287322737888</v>
      </c>
      <c r="U4" s="130">
        <f>IF(SER_hh_tes!U4=0,0,11630*1000*SER_hh_tes!U4/SER_hh_num!U4)</f>
        <v>66576.157436730442</v>
      </c>
      <c r="V4" s="130">
        <f>IF(SER_hh_tes!V4=0,0,11630*1000*SER_hh_tes!V4/SER_hh_num!V4)</f>
        <v>60859.423474124022</v>
      </c>
      <c r="W4" s="130">
        <f>IF(SER_hh_tes!W4=0,0,11630*1000*SER_hh_tes!W4/SER_hh_num!W4)</f>
        <v>72151.459986449321</v>
      </c>
      <c r="X4" s="130">
        <f>IF(SER_hh_tes!X4=0,0,11630*1000*SER_hh_tes!X4/SER_hh_num!X4)</f>
        <v>65934.487384358508</v>
      </c>
      <c r="Y4" s="130">
        <f>IF(SER_hh_tes!Y4=0,0,11630*1000*SER_hh_tes!Y4/SER_hh_num!Y4)</f>
        <v>63274.674118274859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63151.867527868511</v>
      </c>
      <c r="C5" s="132">
        <f>IF(SER_hh_tes!C5=0,0,11630*1000*SER_hh_tes!C5/SER_hh_num!C5)</f>
        <v>49170.544811510692</v>
      </c>
      <c r="D5" s="132">
        <f>IF(SER_hh_tes!D5=0,0,11630*1000*SER_hh_tes!D5/SER_hh_num!D5)</f>
        <v>67945.365416681598</v>
      </c>
      <c r="E5" s="132">
        <f>IF(SER_hh_tes!E5=0,0,11630*1000*SER_hh_tes!E5/SER_hh_num!E5)</f>
        <v>91944.886266649759</v>
      </c>
      <c r="F5" s="132">
        <f>IF(SER_hh_tes!F5=0,0,11630*1000*SER_hh_tes!F5/SER_hh_num!F5)</f>
        <v>57552.903424255215</v>
      </c>
      <c r="G5" s="132">
        <f>IF(SER_hh_tes!G5=0,0,11630*1000*SER_hh_tes!G5/SER_hh_num!G5)</f>
        <v>13489.895310994925</v>
      </c>
      <c r="H5" s="132">
        <f>IF(SER_hh_tes!H5=0,0,11630*1000*SER_hh_tes!H5/SER_hh_num!H5)</f>
        <v>81227.922934131755</v>
      </c>
      <c r="I5" s="132">
        <f>IF(SER_hh_tes!I5=0,0,11630*1000*SER_hh_tes!I5/SER_hh_num!I5)</f>
        <v>44426.766776629192</v>
      </c>
      <c r="J5" s="132">
        <f>IF(SER_hh_tes!J5=0,0,11630*1000*SER_hh_tes!J5/SER_hh_num!J5)</f>
        <v>67272.113787131719</v>
      </c>
      <c r="K5" s="132">
        <f>IF(SER_hh_tes!K5=0,0,11630*1000*SER_hh_tes!K5/SER_hh_num!K5)</f>
        <v>64071.036219115012</v>
      </c>
      <c r="L5" s="132">
        <f>IF(SER_hh_tes!L5=0,0,11630*1000*SER_hh_tes!L5/SER_hh_num!L5)</f>
        <v>39592.299631414906</v>
      </c>
      <c r="M5" s="132">
        <f>IF(SER_hh_tes!M5=0,0,11630*1000*SER_hh_tes!M5/SER_hh_num!M5)</f>
        <v>85321.334096621475</v>
      </c>
      <c r="N5" s="132">
        <f>IF(SER_hh_tes!N5=0,0,11630*1000*SER_hh_tes!N5/SER_hh_num!N5)</f>
        <v>88251.235954073039</v>
      </c>
      <c r="O5" s="132">
        <f>IF(SER_hh_tes!O5=0,0,11630*1000*SER_hh_tes!O5/SER_hh_num!O5)</f>
        <v>15840.770354584247</v>
      </c>
      <c r="P5" s="132">
        <f>IF(SER_hh_tes!P5=0,0,11630*1000*SER_hh_tes!P5/SER_hh_num!P5)</f>
        <v>15320.55617258703</v>
      </c>
      <c r="Q5" s="132">
        <f>IF(SER_hh_tes!Q5=0,0,11630*1000*SER_hh_tes!Q5/SER_hh_num!Q5)</f>
        <v>29080.56526149562</v>
      </c>
      <c r="R5" s="132">
        <f>IF(SER_hh_tes!R5=0,0,11630*1000*SER_hh_tes!R5/SER_hh_num!R5)</f>
        <v>37459.530431491454</v>
      </c>
      <c r="S5" s="132">
        <f>IF(SER_hh_tes!S5=0,0,11630*1000*SER_hh_tes!S5/SER_hh_num!S5)</f>
        <v>107571.34721000335</v>
      </c>
      <c r="T5" s="132">
        <f>IF(SER_hh_tes!T5=0,0,11630*1000*SER_hh_tes!T5/SER_hh_num!T5)</f>
        <v>56939.833627249966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0</v>
      </c>
      <c r="C6" s="132">
        <f>IF(SER_hh_tes!C6=0,0,11630*1000*SER_hh_tes!C6/SER_hh_num!C6)</f>
        <v>0</v>
      </c>
      <c r="D6" s="132">
        <f>IF(SER_hh_tes!D6=0,0,11630*1000*SER_hh_tes!D6/SER_hh_num!D6)</f>
        <v>0</v>
      </c>
      <c r="E6" s="132">
        <f>IF(SER_hh_tes!E6=0,0,11630*1000*SER_hh_tes!E6/SER_hh_num!E6)</f>
        <v>0</v>
      </c>
      <c r="F6" s="132">
        <f>IF(SER_hh_tes!F6=0,0,11630*1000*SER_hh_tes!F6/SER_hh_num!F6)</f>
        <v>0</v>
      </c>
      <c r="G6" s="132">
        <f>IF(SER_hh_tes!G6=0,0,11630*1000*SER_hh_tes!G6/SER_hh_num!G6)</f>
        <v>0</v>
      </c>
      <c r="H6" s="132">
        <f>IF(SER_hh_tes!H6=0,0,11630*1000*SER_hh_tes!H6/SER_hh_num!H6)</f>
        <v>0</v>
      </c>
      <c r="I6" s="132">
        <f>IF(SER_hh_tes!I6=0,0,11630*1000*SER_hh_tes!I6/SER_hh_num!I6)</f>
        <v>0</v>
      </c>
      <c r="J6" s="132">
        <f>IF(SER_hh_tes!J6=0,0,11630*1000*SER_hh_tes!J6/SER_hh_num!J6)</f>
        <v>0</v>
      </c>
      <c r="K6" s="132">
        <f>IF(SER_hh_tes!K6=0,0,11630*1000*SER_hh_tes!K6/SER_hh_num!K6)</f>
        <v>0</v>
      </c>
      <c r="L6" s="132">
        <f>IF(SER_hh_tes!L6=0,0,11630*1000*SER_hh_tes!L6/SER_hh_num!L6)</f>
        <v>0</v>
      </c>
      <c r="M6" s="132">
        <f>IF(SER_hh_tes!M6=0,0,11630*1000*SER_hh_tes!M6/SER_hh_num!M6)</f>
        <v>0</v>
      </c>
      <c r="N6" s="132">
        <f>IF(SER_hh_tes!N6=0,0,11630*1000*SER_hh_tes!N6/SER_hh_num!N6)</f>
        <v>0</v>
      </c>
      <c r="O6" s="132">
        <f>IF(SER_hh_tes!O6=0,0,11630*1000*SER_hh_tes!O6/SER_hh_num!O6)</f>
        <v>0</v>
      </c>
      <c r="P6" s="132">
        <f>IF(SER_hh_tes!P6=0,0,11630*1000*SER_hh_tes!P6/SER_hh_num!P6)</f>
        <v>0</v>
      </c>
      <c r="Q6" s="132">
        <f>IF(SER_hh_tes!Q6=0,0,11630*1000*SER_hh_tes!Q6/SER_hh_num!Q6)</f>
        <v>0</v>
      </c>
      <c r="R6" s="132">
        <f>IF(SER_hh_tes!R6=0,0,11630*1000*SER_hh_tes!R6/SER_hh_num!R6)</f>
        <v>0</v>
      </c>
      <c r="S6" s="132">
        <f>IF(SER_hh_tes!S6=0,0,11630*1000*SER_hh_tes!S6/SER_hh_num!S6)</f>
        <v>0</v>
      </c>
      <c r="T6" s="132">
        <f>IF(SER_hh_tes!T6=0,0,11630*1000*SER_hh_tes!T6/SER_hh_num!T6)</f>
        <v>0</v>
      </c>
      <c r="U6" s="132">
        <f>IF(SER_hh_tes!U6=0,0,11630*1000*SER_hh_tes!U6/SER_hh_num!U6)</f>
        <v>0</v>
      </c>
      <c r="V6" s="132">
        <f>IF(SER_hh_tes!V6=0,0,11630*1000*SER_hh_tes!V6/SER_hh_num!V6)</f>
        <v>0</v>
      </c>
      <c r="W6" s="132">
        <f>IF(SER_hh_tes!W6=0,0,11630*1000*SER_hh_tes!W6/SER_hh_num!W6)</f>
        <v>0</v>
      </c>
      <c r="X6" s="132">
        <f>IF(SER_hh_tes!X6=0,0,11630*1000*SER_hh_tes!X6/SER_hh_num!X6)</f>
        <v>0</v>
      </c>
      <c r="Y6" s="132">
        <f>IF(SER_hh_tes!Y6=0,0,11630*1000*SER_hh_tes!Y6/SER_hh_num!Y6)</f>
        <v>0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58483.006353897712</v>
      </c>
      <c r="C7" s="132">
        <f>IF(SER_hh_tes!C7=0,0,11630*1000*SER_hh_tes!C7/SER_hh_num!C7)</f>
        <v>61835.547160264548</v>
      </c>
      <c r="D7" s="132">
        <f>IF(SER_hh_tes!D7=0,0,11630*1000*SER_hh_tes!D7/SER_hh_num!D7)</f>
        <v>68076.369889019508</v>
      </c>
      <c r="E7" s="132">
        <f>IF(SER_hh_tes!E7=0,0,11630*1000*SER_hh_tes!E7/SER_hh_num!E7)</f>
        <v>66750.078837949084</v>
      </c>
      <c r="F7" s="132">
        <f>IF(SER_hh_tes!F7=0,0,11630*1000*SER_hh_tes!F7/SER_hh_num!F7)</f>
        <v>68272.680553010883</v>
      </c>
      <c r="G7" s="132">
        <f>IF(SER_hh_tes!G7=0,0,11630*1000*SER_hh_tes!G7/SER_hh_num!G7)</f>
        <v>66036.344415484273</v>
      </c>
      <c r="H7" s="132">
        <f>IF(SER_hh_tes!H7=0,0,11630*1000*SER_hh_tes!H7/SER_hh_num!H7)</f>
        <v>61239.471292895199</v>
      </c>
      <c r="I7" s="132">
        <f>IF(SER_hh_tes!I7=0,0,11630*1000*SER_hh_tes!I7/SER_hh_num!I7)</f>
        <v>54207.903508743104</v>
      </c>
      <c r="J7" s="132">
        <f>IF(SER_hh_tes!J7=0,0,11630*1000*SER_hh_tes!J7/SER_hh_num!J7)</f>
        <v>56677.476830217485</v>
      </c>
      <c r="K7" s="132">
        <f>IF(SER_hh_tes!K7=0,0,11630*1000*SER_hh_tes!K7/SER_hh_num!K7)</f>
        <v>58996.132696008463</v>
      </c>
      <c r="L7" s="132">
        <f>IF(SER_hh_tes!L7=0,0,11630*1000*SER_hh_tes!L7/SER_hh_num!L7)</f>
        <v>62293.709202752078</v>
      </c>
      <c r="M7" s="132">
        <f>IF(SER_hh_tes!M7=0,0,11630*1000*SER_hh_tes!M7/SER_hh_num!M7)</f>
        <v>62984.474576991393</v>
      </c>
      <c r="N7" s="132">
        <f>IF(SER_hh_tes!N7=0,0,11630*1000*SER_hh_tes!N7/SER_hh_num!N7)</f>
        <v>56453.853954853483</v>
      </c>
      <c r="O7" s="132">
        <f>IF(SER_hh_tes!O7=0,0,11630*1000*SER_hh_tes!O7/SER_hh_num!O7)</f>
        <v>52077.946371888931</v>
      </c>
      <c r="P7" s="132">
        <f>IF(SER_hh_tes!P7=0,0,11630*1000*SER_hh_tes!P7/SER_hh_num!P7)</f>
        <v>40997.454409395214</v>
      </c>
      <c r="Q7" s="132">
        <f>IF(SER_hh_tes!Q7=0,0,11630*1000*SER_hh_tes!Q7/SER_hh_num!Q7)</f>
        <v>55295.124334364016</v>
      </c>
      <c r="R7" s="132">
        <f>IF(SER_hh_tes!R7=0,0,11630*1000*SER_hh_tes!R7/SER_hh_num!R7)</f>
        <v>57300.285087092583</v>
      </c>
      <c r="S7" s="132">
        <f>IF(SER_hh_tes!S7=0,0,11630*1000*SER_hh_tes!S7/SER_hh_num!S7)</f>
        <v>64044.864393101328</v>
      </c>
      <c r="T7" s="132">
        <f>IF(SER_hh_tes!T7=0,0,11630*1000*SER_hh_tes!T7/SER_hh_num!T7)</f>
        <v>64821.057776460773</v>
      </c>
      <c r="U7" s="132">
        <f>IF(SER_hh_tes!U7=0,0,11630*1000*SER_hh_tes!U7/SER_hh_num!U7)</f>
        <v>55002.135004115284</v>
      </c>
      <c r="V7" s="132">
        <f>IF(SER_hh_tes!V7=0,0,11630*1000*SER_hh_tes!V7/SER_hh_num!V7)</f>
        <v>62527.355079621317</v>
      </c>
      <c r="W7" s="132">
        <f>IF(SER_hh_tes!W7=0,0,11630*1000*SER_hh_tes!W7/SER_hh_num!W7)</f>
        <v>58478.360765900186</v>
      </c>
      <c r="X7" s="132">
        <f>IF(SER_hh_tes!X7=0,0,11630*1000*SER_hh_tes!X7/SER_hh_num!X7)</f>
        <v>68691.966789710525</v>
      </c>
      <c r="Y7" s="132">
        <f>IF(SER_hh_tes!Y7=0,0,11630*1000*SER_hh_tes!Y7/SER_hh_num!Y7)</f>
        <v>62864.357910111976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0</v>
      </c>
      <c r="C8" s="132">
        <f>IF(SER_hh_tes!C8=0,0,11630*1000*SER_hh_tes!C8/SER_hh_num!C8)</f>
        <v>0</v>
      </c>
      <c r="D8" s="132">
        <f>IF(SER_hh_tes!D8=0,0,11630*1000*SER_hh_tes!D8/SER_hh_num!D8)</f>
        <v>0</v>
      </c>
      <c r="E8" s="132">
        <f>IF(SER_hh_tes!E8=0,0,11630*1000*SER_hh_tes!E8/SER_hh_num!E8)</f>
        <v>0</v>
      </c>
      <c r="F8" s="132">
        <f>IF(SER_hh_tes!F8=0,0,11630*1000*SER_hh_tes!F8/SER_hh_num!F8)</f>
        <v>0</v>
      </c>
      <c r="G8" s="132">
        <f>IF(SER_hh_tes!G8=0,0,11630*1000*SER_hh_tes!G8/SER_hh_num!G8)</f>
        <v>0</v>
      </c>
      <c r="H8" s="132">
        <f>IF(SER_hh_tes!H8=0,0,11630*1000*SER_hh_tes!H8/SER_hh_num!H8)</f>
        <v>0</v>
      </c>
      <c r="I8" s="132">
        <f>IF(SER_hh_tes!I8=0,0,11630*1000*SER_hh_tes!I8/SER_hh_num!I8)</f>
        <v>0</v>
      </c>
      <c r="J8" s="132">
        <f>IF(SER_hh_tes!J8=0,0,11630*1000*SER_hh_tes!J8/SER_hh_num!J8)</f>
        <v>0</v>
      </c>
      <c r="K8" s="132">
        <f>IF(SER_hh_tes!K8=0,0,11630*1000*SER_hh_tes!K8/SER_hh_num!K8)</f>
        <v>0</v>
      </c>
      <c r="L8" s="132">
        <f>IF(SER_hh_tes!L8=0,0,11630*1000*SER_hh_tes!L8/SER_hh_num!L8)</f>
        <v>0</v>
      </c>
      <c r="M8" s="132">
        <f>IF(SER_hh_tes!M8=0,0,11630*1000*SER_hh_tes!M8/SER_hh_num!M8)</f>
        <v>0</v>
      </c>
      <c r="N8" s="132">
        <f>IF(SER_hh_tes!N8=0,0,11630*1000*SER_hh_tes!N8/SER_hh_num!N8)</f>
        <v>0</v>
      </c>
      <c r="O8" s="132">
        <f>IF(SER_hh_tes!O8=0,0,11630*1000*SER_hh_tes!O8/SER_hh_num!O8)</f>
        <v>0</v>
      </c>
      <c r="P8" s="132">
        <f>IF(SER_hh_tes!P8=0,0,11630*1000*SER_hh_tes!P8/SER_hh_num!P8)</f>
        <v>0</v>
      </c>
      <c r="Q8" s="132">
        <f>IF(SER_hh_tes!Q8=0,0,11630*1000*SER_hh_tes!Q8/SER_hh_num!Q8)</f>
        <v>0</v>
      </c>
      <c r="R8" s="132">
        <f>IF(SER_hh_tes!R8=0,0,11630*1000*SER_hh_tes!R8/SER_hh_num!R8)</f>
        <v>0</v>
      </c>
      <c r="S8" s="132">
        <f>IF(SER_hh_tes!S8=0,0,11630*1000*SER_hh_tes!S8/SER_hh_num!S8)</f>
        <v>0</v>
      </c>
      <c r="T8" s="132">
        <f>IF(SER_hh_tes!T8=0,0,11630*1000*SER_hh_tes!T8/SER_hh_num!T8)</f>
        <v>0</v>
      </c>
      <c r="U8" s="132">
        <f>IF(SER_hh_tes!U8=0,0,11630*1000*SER_hh_tes!U8/SER_hh_num!U8)</f>
        <v>0</v>
      </c>
      <c r="V8" s="132">
        <f>IF(SER_hh_tes!V8=0,0,11630*1000*SER_hh_tes!V8/SER_hh_num!V8)</f>
        <v>0</v>
      </c>
      <c r="W8" s="132">
        <f>IF(SER_hh_tes!W8=0,0,11630*1000*SER_hh_tes!W8/SER_hh_num!W8)</f>
        <v>0</v>
      </c>
      <c r="X8" s="132">
        <f>IF(SER_hh_tes!X8=0,0,11630*1000*SER_hh_tes!X8/SER_hh_num!X8)</f>
        <v>0</v>
      </c>
      <c r="Y8" s="132">
        <f>IF(SER_hh_tes!Y8=0,0,11630*1000*SER_hh_tes!Y8/SER_hh_num!Y8)</f>
        <v>0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50341.434178269003</v>
      </c>
      <c r="C9" s="132">
        <f>IF(SER_hh_tes!C9=0,0,11630*1000*SER_hh_tes!C9/SER_hh_num!C9)</f>
        <v>70797.554000086282</v>
      </c>
      <c r="D9" s="132">
        <f>IF(SER_hh_tes!D9=0,0,11630*1000*SER_hh_tes!D9/SER_hh_num!D9)</f>
        <v>62467.73976405969</v>
      </c>
      <c r="E9" s="132">
        <f>IF(SER_hh_tes!E9=0,0,11630*1000*SER_hh_tes!E9/SER_hh_num!E9)</f>
        <v>64140.566563369212</v>
      </c>
      <c r="F9" s="132">
        <f>IF(SER_hh_tes!F9=0,0,11630*1000*SER_hh_tes!F9/SER_hh_num!F9)</f>
        <v>64873.469346686026</v>
      </c>
      <c r="G9" s="132">
        <f>IF(SER_hh_tes!G9=0,0,11630*1000*SER_hh_tes!G9/SER_hh_num!G9)</f>
        <v>66969.693060368038</v>
      </c>
      <c r="H9" s="132">
        <f>IF(SER_hh_tes!H9=0,0,11630*1000*SER_hh_tes!H9/SER_hh_num!H9)</f>
        <v>60523.631621619534</v>
      </c>
      <c r="I9" s="132">
        <f>IF(SER_hh_tes!I9=0,0,11630*1000*SER_hh_tes!I9/SER_hh_num!I9)</f>
        <v>55054.687636469331</v>
      </c>
      <c r="J9" s="132">
        <f>IF(SER_hh_tes!J9=0,0,11630*1000*SER_hh_tes!J9/SER_hh_num!J9)</f>
        <v>58234.801493453619</v>
      </c>
      <c r="K9" s="132">
        <f>IF(SER_hh_tes!K9=0,0,11630*1000*SER_hh_tes!K9/SER_hh_num!K9)</f>
        <v>57418.459602011593</v>
      </c>
      <c r="L9" s="132">
        <f>IF(SER_hh_tes!L9=0,0,11630*1000*SER_hh_tes!L9/SER_hh_num!L9)</f>
        <v>68716.297039195953</v>
      </c>
      <c r="M9" s="132">
        <f>IF(SER_hh_tes!M9=0,0,11630*1000*SER_hh_tes!M9/SER_hh_num!M9)</f>
        <v>60054.418284153478</v>
      </c>
      <c r="N9" s="132">
        <f>IF(SER_hh_tes!N9=0,0,11630*1000*SER_hh_tes!N9/SER_hh_num!N9)</f>
        <v>53393.077844944572</v>
      </c>
      <c r="O9" s="132">
        <f>IF(SER_hh_tes!O9=0,0,11630*1000*SER_hh_tes!O9/SER_hh_num!O9)</f>
        <v>51680.815850539962</v>
      </c>
      <c r="P9" s="132">
        <f>IF(SER_hh_tes!P9=0,0,11630*1000*SER_hh_tes!P9/SER_hh_num!P9)</f>
        <v>43846.193259071064</v>
      </c>
      <c r="Q9" s="132">
        <f>IF(SER_hh_tes!Q9=0,0,11630*1000*SER_hh_tes!Q9/SER_hh_num!Q9)</f>
        <v>53519.377396476761</v>
      </c>
      <c r="R9" s="132">
        <f>IF(SER_hh_tes!R9=0,0,11630*1000*SER_hh_tes!R9/SER_hh_num!R9)</f>
        <v>56391.261848791226</v>
      </c>
      <c r="S9" s="132">
        <f>IF(SER_hh_tes!S9=0,0,11630*1000*SER_hh_tes!S9/SER_hh_num!S9)</f>
        <v>60063.035301852658</v>
      </c>
      <c r="T9" s="132">
        <f>IF(SER_hh_tes!T9=0,0,11630*1000*SER_hh_tes!T9/SER_hh_num!T9)</f>
        <v>63629.394509209895</v>
      </c>
      <c r="U9" s="132">
        <f>IF(SER_hh_tes!U9=0,0,11630*1000*SER_hh_tes!U9/SER_hh_num!U9)</f>
        <v>65346.185698563677</v>
      </c>
      <c r="V9" s="132">
        <f>IF(SER_hh_tes!V9=0,0,11630*1000*SER_hh_tes!V9/SER_hh_num!V9)</f>
        <v>61431.474440767881</v>
      </c>
      <c r="W9" s="132">
        <f>IF(SER_hh_tes!W9=0,0,11630*1000*SER_hh_tes!W9/SER_hh_num!W9)</f>
        <v>76345.724395586454</v>
      </c>
      <c r="X9" s="132">
        <f>IF(SER_hh_tes!X9=0,0,11630*1000*SER_hh_tes!X9/SER_hh_num!X9)</f>
        <v>64732.39222913493</v>
      </c>
      <c r="Y9" s="132">
        <f>IF(SER_hh_tes!Y9=0,0,11630*1000*SER_hh_tes!Y9/SER_hh_num!Y9)</f>
        <v>60486.871575148805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0</v>
      </c>
      <c r="C10" s="132">
        <f>IF(SER_hh_tes!C10=0,0,11630*1000*SER_hh_tes!C10/SER_hh_num!C10)</f>
        <v>0</v>
      </c>
      <c r="D10" s="132">
        <f>IF(SER_hh_tes!D10=0,0,11630*1000*SER_hh_tes!D10/SER_hh_num!D10)</f>
        <v>0</v>
      </c>
      <c r="E10" s="132">
        <f>IF(SER_hh_tes!E10=0,0,11630*1000*SER_hh_tes!E10/SER_hh_num!E10)</f>
        <v>0</v>
      </c>
      <c r="F10" s="132">
        <f>IF(SER_hh_tes!F10=0,0,11630*1000*SER_hh_tes!F10/SER_hh_num!F10)</f>
        <v>0</v>
      </c>
      <c r="G10" s="132">
        <f>IF(SER_hh_tes!G10=0,0,11630*1000*SER_hh_tes!G10/SER_hh_num!G10)</f>
        <v>0</v>
      </c>
      <c r="H10" s="132">
        <f>IF(SER_hh_tes!H10=0,0,11630*1000*SER_hh_tes!H10/SER_hh_num!H10)</f>
        <v>0</v>
      </c>
      <c r="I10" s="132">
        <f>IF(SER_hh_tes!I10=0,0,11630*1000*SER_hh_tes!I10/SER_hh_num!I10)</f>
        <v>80015.116437385936</v>
      </c>
      <c r="J10" s="132">
        <f>IF(SER_hh_tes!J10=0,0,11630*1000*SER_hh_tes!J10/SER_hh_num!J10)</f>
        <v>57460.504382675077</v>
      </c>
      <c r="K10" s="132">
        <f>IF(SER_hh_tes!K10=0,0,11630*1000*SER_hh_tes!K10/SER_hh_num!K10)</f>
        <v>65212.618202437996</v>
      </c>
      <c r="L10" s="132">
        <f>IF(SER_hh_tes!L10=0,0,11630*1000*SER_hh_tes!L10/SER_hh_num!L10)</f>
        <v>56581.850738697358</v>
      </c>
      <c r="M10" s="132">
        <f>IF(SER_hh_tes!M10=0,0,11630*1000*SER_hh_tes!M10/SER_hh_num!M10)</f>
        <v>67389.037732290686</v>
      </c>
      <c r="N10" s="132">
        <f>IF(SER_hh_tes!N10=0,0,11630*1000*SER_hh_tes!N10/SER_hh_num!N10)</f>
        <v>52636.989274127329</v>
      </c>
      <c r="O10" s="132">
        <f>IF(SER_hh_tes!O10=0,0,11630*1000*SER_hh_tes!O10/SER_hh_num!O10)</f>
        <v>45639.853282182026</v>
      </c>
      <c r="P10" s="132">
        <f>IF(SER_hh_tes!P10=0,0,11630*1000*SER_hh_tes!P10/SER_hh_num!P10)</f>
        <v>47051.973407869737</v>
      </c>
      <c r="Q10" s="132">
        <f>IF(SER_hh_tes!Q10=0,0,11630*1000*SER_hh_tes!Q10/SER_hh_num!Q10)</f>
        <v>51141.720832328756</v>
      </c>
      <c r="R10" s="132">
        <f>IF(SER_hh_tes!R10=0,0,11630*1000*SER_hh_tes!R10/SER_hh_num!R10)</f>
        <v>56558.661995165603</v>
      </c>
      <c r="S10" s="132">
        <f>IF(SER_hh_tes!S10=0,0,11630*1000*SER_hh_tes!S10/SER_hh_num!S10)</f>
        <v>60091.459360421228</v>
      </c>
      <c r="T10" s="132">
        <f>IF(SER_hh_tes!T10=0,0,11630*1000*SER_hh_tes!T10/SER_hh_num!T10)</f>
        <v>62181.040406247543</v>
      </c>
      <c r="U10" s="132">
        <f>IF(SER_hh_tes!U10=0,0,11630*1000*SER_hh_tes!U10/SER_hh_num!U10)</f>
        <v>67269.420872399263</v>
      </c>
      <c r="V10" s="132">
        <f>IF(SER_hh_tes!V10=0,0,11630*1000*SER_hh_tes!V10/SER_hh_num!V10)</f>
        <v>67405.073028017301</v>
      </c>
      <c r="W10" s="132">
        <f>IF(SER_hh_tes!W10=0,0,11630*1000*SER_hh_tes!W10/SER_hh_num!W10)</f>
        <v>63609.860329627925</v>
      </c>
      <c r="X10" s="132">
        <f>IF(SER_hh_tes!X10=0,0,11630*1000*SER_hh_tes!X10/SER_hh_num!X10)</f>
        <v>65497.467811028728</v>
      </c>
      <c r="Y10" s="132">
        <f>IF(SER_hh_tes!Y10=0,0,11630*1000*SER_hh_tes!Y10/SER_hh_num!Y10)</f>
        <v>62881.800220410216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0</v>
      </c>
      <c r="C11" s="132">
        <f>IF(SER_hh_tes!C11=0,0,11630*1000*SER_hh_tes!C11/SER_hh_num!C11)</f>
        <v>0</v>
      </c>
      <c r="D11" s="132">
        <f>IF(SER_hh_tes!D11=0,0,11630*1000*SER_hh_tes!D11/SER_hh_num!D11)</f>
        <v>0</v>
      </c>
      <c r="E11" s="132">
        <f>IF(SER_hh_tes!E11=0,0,11630*1000*SER_hh_tes!E11/SER_hh_num!E11)</f>
        <v>0</v>
      </c>
      <c r="F11" s="132">
        <f>IF(SER_hh_tes!F11=0,0,11630*1000*SER_hh_tes!F11/SER_hh_num!F11)</f>
        <v>0</v>
      </c>
      <c r="G11" s="132">
        <f>IF(SER_hh_tes!G11=0,0,11630*1000*SER_hh_tes!G11/SER_hh_num!G11)</f>
        <v>0</v>
      </c>
      <c r="H11" s="132">
        <f>IF(SER_hh_tes!H11=0,0,11630*1000*SER_hh_tes!H11/SER_hh_num!H11)</f>
        <v>0</v>
      </c>
      <c r="I11" s="132">
        <f>IF(SER_hh_tes!I11=0,0,11630*1000*SER_hh_tes!I11/SER_hh_num!I11)</f>
        <v>82662.77304659826</v>
      </c>
      <c r="J11" s="132">
        <f>IF(SER_hh_tes!J11=0,0,11630*1000*SER_hh_tes!J11/SER_hh_num!J11)</f>
        <v>58391.454330678302</v>
      </c>
      <c r="K11" s="132">
        <f>IF(SER_hh_tes!K11=0,0,11630*1000*SER_hh_tes!K11/SER_hh_num!K11)</f>
        <v>44798.471683956006</v>
      </c>
      <c r="L11" s="132">
        <f>IF(SER_hh_tes!L11=0,0,11630*1000*SER_hh_tes!L11/SER_hh_num!L11)</f>
        <v>73710.160165507346</v>
      </c>
      <c r="M11" s="132">
        <f>IF(SER_hh_tes!M11=0,0,11630*1000*SER_hh_tes!M11/SER_hh_num!M11)</f>
        <v>64169.239841675932</v>
      </c>
      <c r="N11" s="132">
        <f>IF(SER_hh_tes!N11=0,0,11630*1000*SER_hh_tes!N11/SER_hh_num!N11)</f>
        <v>61185.93951019863</v>
      </c>
      <c r="O11" s="132">
        <f>IF(SER_hh_tes!O11=0,0,11630*1000*SER_hh_tes!O11/SER_hh_num!O11)</f>
        <v>62102.451051732787</v>
      </c>
      <c r="P11" s="132">
        <f>IF(SER_hh_tes!P11=0,0,11630*1000*SER_hh_tes!P11/SER_hh_num!P11)</f>
        <v>38036.823929948892</v>
      </c>
      <c r="Q11" s="132">
        <f>IF(SER_hh_tes!Q11=0,0,11630*1000*SER_hh_tes!Q11/SER_hh_num!Q11)</f>
        <v>53278.5274540787</v>
      </c>
      <c r="R11" s="132">
        <f>IF(SER_hh_tes!R11=0,0,11630*1000*SER_hh_tes!R11/SER_hh_num!R11)</f>
        <v>59738.761542115259</v>
      </c>
      <c r="S11" s="132">
        <f>IF(SER_hh_tes!S11=0,0,11630*1000*SER_hh_tes!S11/SER_hh_num!S11)</f>
        <v>59803.446021085998</v>
      </c>
      <c r="T11" s="132">
        <f>IF(SER_hh_tes!T11=0,0,11630*1000*SER_hh_tes!T11/SER_hh_num!T11)</f>
        <v>61869.250269954719</v>
      </c>
      <c r="U11" s="132">
        <f>IF(SER_hh_tes!U11=0,0,11630*1000*SER_hh_tes!U11/SER_hh_num!U11)</f>
        <v>64578.237760119111</v>
      </c>
      <c r="V11" s="132">
        <f>IF(SER_hh_tes!V11=0,0,11630*1000*SER_hh_tes!V11/SER_hh_num!V11)</f>
        <v>67301.401705895507</v>
      </c>
      <c r="W11" s="132">
        <f>IF(SER_hh_tes!W11=0,0,11630*1000*SER_hh_tes!W11/SER_hh_num!W11)</f>
        <v>68801.453236092289</v>
      </c>
      <c r="X11" s="132">
        <f>IF(SER_hh_tes!X11=0,0,11630*1000*SER_hh_tes!X11/SER_hh_num!X11)</f>
        <v>65239.388957234587</v>
      </c>
      <c r="Y11" s="132">
        <f>IF(SER_hh_tes!Y11=0,0,11630*1000*SER_hh_tes!Y11/SER_hh_num!Y11)</f>
        <v>59889.906693144767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56649.968921073807</v>
      </c>
      <c r="C12" s="132">
        <f>IF(SER_hh_tes!C12=0,0,11630*1000*SER_hh_tes!C12/SER_hh_num!C12)</f>
        <v>65529.857634892935</v>
      </c>
      <c r="D12" s="132">
        <f>IF(SER_hh_tes!D12=0,0,11630*1000*SER_hh_tes!D12/SER_hh_num!D12)</f>
        <v>63041.122195873846</v>
      </c>
      <c r="E12" s="132">
        <f>IF(SER_hh_tes!E12=0,0,11630*1000*SER_hh_tes!E12/SER_hh_num!E12)</f>
        <v>68932.061896553379</v>
      </c>
      <c r="F12" s="132">
        <f>IF(SER_hh_tes!F12=0,0,11630*1000*SER_hh_tes!F12/SER_hh_num!F12)</f>
        <v>66188.933736215709</v>
      </c>
      <c r="G12" s="132">
        <f>IF(SER_hh_tes!G12=0,0,11630*1000*SER_hh_tes!G12/SER_hh_num!G12)</f>
        <v>69539.207561354255</v>
      </c>
      <c r="H12" s="132">
        <f>IF(SER_hh_tes!H12=0,0,11630*1000*SER_hh_tes!H12/SER_hh_num!H12)</f>
        <v>59635.393986943811</v>
      </c>
      <c r="I12" s="132">
        <f>IF(SER_hh_tes!I12=0,0,11630*1000*SER_hh_tes!I12/SER_hh_num!I12)</f>
        <v>55104.808787819093</v>
      </c>
      <c r="J12" s="132">
        <f>IF(SER_hh_tes!J12=0,0,11630*1000*SER_hh_tes!J12/SER_hh_num!J12)</f>
        <v>59566.476998995749</v>
      </c>
      <c r="K12" s="132">
        <f>IF(SER_hh_tes!K12=0,0,11630*1000*SER_hh_tes!K12/SER_hh_num!K12)</f>
        <v>57501.862148633169</v>
      </c>
      <c r="L12" s="132">
        <f>IF(SER_hh_tes!L12=0,0,11630*1000*SER_hh_tes!L12/SER_hh_num!L12)</f>
        <v>64985.233748480488</v>
      </c>
      <c r="M12" s="132">
        <f>IF(SER_hh_tes!M12=0,0,11630*1000*SER_hh_tes!M12/SER_hh_num!M12)</f>
        <v>62777.932124012972</v>
      </c>
      <c r="N12" s="132">
        <f>IF(SER_hh_tes!N12=0,0,11630*1000*SER_hh_tes!N12/SER_hh_num!N12)</f>
        <v>57677.895931122061</v>
      </c>
      <c r="O12" s="132">
        <f>IF(SER_hh_tes!O12=0,0,11630*1000*SER_hh_tes!O12/SER_hh_num!O12)</f>
        <v>58591.827690290404</v>
      </c>
      <c r="P12" s="132">
        <f>IF(SER_hh_tes!P12=0,0,11630*1000*SER_hh_tes!P12/SER_hh_num!P12)</f>
        <v>44446.198794994234</v>
      </c>
      <c r="Q12" s="132">
        <f>IF(SER_hh_tes!Q12=0,0,11630*1000*SER_hh_tes!Q12/SER_hh_num!Q12)</f>
        <v>51830.089733541616</v>
      </c>
      <c r="R12" s="132">
        <f>IF(SER_hh_tes!R12=0,0,11630*1000*SER_hh_tes!R12/SER_hh_num!R12)</f>
        <v>57938.109070082101</v>
      </c>
      <c r="S12" s="132">
        <f>IF(SER_hh_tes!S12=0,0,11630*1000*SER_hh_tes!S12/SER_hh_num!S12)</f>
        <v>61243.216824702431</v>
      </c>
      <c r="T12" s="132">
        <f>IF(SER_hh_tes!T12=0,0,11630*1000*SER_hh_tes!T12/SER_hh_num!T12)</f>
        <v>61258.789351928164</v>
      </c>
      <c r="U12" s="132">
        <f>IF(SER_hh_tes!U12=0,0,11630*1000*SER_hh_tes!U12/SER_hh_num!U12)</f>
        <v>61149.175494403891</v>
      </c>
      <c r="V12" s="132">
        <f>IF(SER_hh_tes!V12=0,0,11630*1000*SER_hh_tes!V12/SER_hh_num!V12)</f>
        <v>65647.391441235042</v>
      </c>
      <c r="W12" s="132">
        <f>IF(SER_hh_tes!W12=0,0,11630*1000*SER_hh_tes!W12/SER_hh_num!W12)</f>
        <v>78070.244796403102</v>
      </c>
      <c r="X12" s="132">
        <f>IF(SER_hh_tes!X12=0,0,11630*1000*SER_hh_tes!X12/SER_hh_num!X12)</f>
        <v>53636.825092085557</v>
      </c>
      <c r="Y12" s="132">
        <f>IF(SER_hh_tes!Y12=0,0,11630*1000*SER_hh_tes!Y12/SER_hh_num!Y12)</f>
        <v>68066.051370596964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0</v>
      </c>
      <c r="C13" s="132">
        <f>IF(SER_hh_tes!C13=0,0,11630*1000*SER_hh_tes!C13/SER_hh_num!C13)</f>
        <v>0</v>
      </c>
      <c r="D13" s="132">
        <f>IF(SER_hh_tes!D13=0,0,11630*1000*SER_hh_tes!D13/SER_hh_num!D13)</f>
        <v>0</v>
      </c>
      <c r="E13" s="132">
        <f>IF(SER_hh_tes!E13=0,0,11630*1000*SER_hh_tes!E13/SER_hh_num!E13)</f>
        <v>0</v>
      </c>
      <c r="F13" s="132">
        <f>IF(SER_hh_tes!F13=0,0,11630*1000*SER_hh_tes!F13/SER_hh_num!F13)</f>
        <v>0</v>
      </c>
      <c r="G13" s="132">
        <f>IF(SER_hh_tes!G13=0,0,11630*1000*SER_hh_tes!G13/SER_hh_num!G13)</f>
        <v>0</v>
      </c>
      <c r="H13" s="132">
        <f>IF(SER_hh_tes!H13=0,0,11630*1000*SER_hh_tes!H13/SER_hh_num!H13)</f>
        <v>0</v>
      </c>
      <c r="I13" s="132">
        <f>IF(SER_hh_tes!I13=0,0,11630*1000*SER_hh_tes!I13/SER_hh_num!I13)</f>
        <v>0</v>
      </c>
      <c r="J13" s="132">
        <f>IF(SER_hh_tes!J13=0,0,11630*1000*SER_hh_tes!J13/SER_hh_num!J13)</f>
        <v>0</v>
      </c>
      <c r="K13" s="132">
        <f>IF(SER_hh_tes!K13=0,0,11630*1000*SER_hh_tes!K13/SER_hh_num!K13)</f>
        <v>0</v>
      </c>
      <c r="L13" s="132">
        <f>IF(SER_hh_tes!L13=0,0,11630*1000*SER_hh_tes!L13/SER_hh_num!L13)</f>
        <v>0</v>
      </c>
      <c r="M13" s="132">
        <f>IF(SER_hh_tes!M13=0,0,11630*1000*SER_hh_tes!M13/SER_hh_num!M13)</f>
        <v>0</v>
      </c>
      <c r="N13" s="132">
        <f>IF(SER_hh_tes!N13=0,0,11630*1000*SER_hh_tes!N13/SER_hh_num!N13)</f>
        <v>0</v>
      </c>
      <c r="O13" s="132">
        <f>IF(SER_hh_tes!O13=0,0,11630*1000*SER_hh_tes!O13/SER_hh_num!O13)</f>
        <v>0</v>
      </c>
      <c r="P13" s="132">
        <f>IF(SER_hh_tes!P13=0,0,11630*1000*SER_hh_tes!P13/SER_hh_num!P13)</f>
        <v>0</v>
      </c>
      <c r="Q13" s="132">
        <f>IF(SER_hh_tes!Q13=0,0,11630*1000*SER_hh_tes!Q13/SER_hh_num!Q13)</f>
        <v>0</v>
      </c>
      <c r="R13" s="132">
        <f>IF(SER_hh_tes!R13=0,0,11630*1000*SER_hh_tes!R13/SER_hh_num!R13)</f>
        <v>0</v>
      </c>
      <c r="S13" s="132">
        <f>IF(SER_hh_tes!S13=0,0,11630*1000*SER_hh_tes!S13/SER_hh_num!S13)</f>
        <v>0</v>
      </c>
      <c r="T13" s="132">
        <f>IF(SER_hh_tes!T13=0,0,11630*1000*SER_hh_tes!T13/SER_hh_num!T13)</f>
        <v>0</v>
      </c>
      <c r="U13" s="132">
        <f>IF(SER_hh_tes!U13=0,0,11630*1000*SER_hh_tes!U13/SER_hh_num!U13)</f>
        <v>0</v>
      </c>
      <c r="V13" s="132">
        <f>IF(SER_hh_tes!V13=0,0,11630*1000*SER_hh_tes!V13/SER_hh_num!V13)</f>
        <v>0</v>
      </c>
      <c r="W13" s="132">
        <f>IF(SER_hh_tes!W13=0,0,11630*1000*SER_hh_tes!W13/SER_hh_num!W13)</f>
        <v>0</v>
      </c>
      <c r="X13" s="132">
        <f>IF(SER_hh_tes!X13=0,0,11630*1000*SER_hh_tes!X13/SER_hh_num!X13)</f>
        <v>0</v>
      </c>
      <c r="Y13" s="132">
        <f>IF(SER_hh_tes!Y13=0,0,11630*1000*SER_hh_tes!Y13/SER_hh_num!Y13)</f>
        <v>0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54289.641310446154</v>
      </c>
      <c r="C14" s="65">
        <f>IF(SER_hh_tes!C14=0,0,11630*1000*SER_hh_tes!C14/SER_hh_num!C14)</f>
        <v>65502.379106671731</v>
      </c>
      <c r="D14" s="65">
        <f>IF(SER_hh_tes!D14=0,0,11630*1000*SER_hh_tes!D14/SER_hh_num!D14)</f>
        <v>67529.000259787019</v>
      </c>
      <c r="E14" s="65">
        <f>IF(SER_hh_tes!E14=0,0,11630*1000*SER_hh_tes!E14/SER_hh_num!E14)</f>
        <v>62856.163952628624</v>
      </c>
      <c r="F14" s="65">
        <f>IF(SER_hh_tes!F14=0,0,11630*1000*SER_hh_tes!F14/SER_hh_num!F14)</f>
        <v>64949.013895695622</v>
      </c>
      <c r="G14" s="65">
        <f>IF(SER_hh_tes!G14=0,0,11630*1000*SER_hh_tes!G14/SER_hh_num!G14)</f>
        <v>68866.254788473321</v>
      </c>
      <c r="H14" s="65">
        <f>IF(SER_hh_tes!H14=0,0,11630*1000*SER_hh_tes!H14/SER_hh_num!H14)</f>
        <v>61193.604919967955</v>
      </c>
      <c r="I14" s="65">
        <f>IF(SER_hh_tes!I14=0,0,11630*1000*SER_hh_tes!I14/SER_hh_num!I14)</f>
        <v>53268.637683813278</v>
      </c>
      <c r="J14" s="65">
        <f>IF(SER_hh_tes!J14=0,0,11630*1000*SER_hh_tes!J14/SER_hh_num!J14)</f>
        <v>62995.340106448421</v>
      </c>
      <c r="K14" s="65">
        <f>IF(SER_hh_tes!K14=0,0,11630*1000*SER_hh_tes!K14/SER_hh_num!K14)</f>
        <v>59858.406297563313</v>
      </c>
      <c r="L14" s="65">
        <f>IF(SER_hh_tes!L14=0,0,11630*1000*SER_hh_tes!L14/SER_hh_num!L14)</f>
        <v>61558.477265869384</v>
      </c>
      <c r="M14" s="65">
        <f>IF(SER_hh_tes!M14=0,0,11630*1000*SER_hh_tes!M14/SER_hh_num!M14)</f>
        <v>62603.168552552597</v>
      </c>
      <c r="N14" s="65">
        <f>IF(SER_hh_tes!N14=0,0,11630*1000*SER_hh_tes!N14/SER_hh_num!N14)</f>
        <v>59420.387735845798</v>
      </c>
      <c r="O14" s="65">
        <f>IF(SER_hh_tes!O14=0,0,11630*1000*SER_hh_tes!O14/SER_hh_num!O14)</f>
        <v>58305.467918920505</v>
      </c>
      <c r="P14" s="65">
        <f>IF(SER_hh_tes!P14=0,0,11630*1000*SER_hh_tes!P14/SER_hh_num!P14)</f>
        <v>46984.239954426033</v>
      </c>
      <c r="Q14" s="65">
        <f>IF(SER_hh_tes!Q14=0,0,11630*1000*SER_hh_tes!Q14/SER_hh_num!Q14)</f>
        <v>48354.831971919273</v>
      </c>
      <c r="R14" s="65">
        <f>IF(SER_hh_tes!R14=0,0,11630*1000*SER_hh_tes!R14/SER_hh_num!R14)</f>
        <v>52606.155940807068</v>
      </c>
      <c r="S14" s="65">
        <f>IF(SER_hh_tes!S14=0,0,11630*1000*SER_hh_tes!S14/SER_hh_num!S14)</f>
        <v>62460.194656774147</v>
      </c>
      <c r="T14" s="65">
        <f>IF(SER_hh_tes!T14=0,0,11630*1000*SER_hh_tes!T14/SER_hh_num!T14)</f>
        <v>69183.645975872583</v>
      </c>
      <c r="U14" s="65">
        <f>IF(SER_hh_tes!U14=0,0,11630*1000*SER_hh_tes!U14/SER_hh_num!U14)</f>
        <v>69968.39838799306</v>
      </c>
      <c r="V14" s="65">
        <f>IF(SER_hh_tes!V14=0,0,11630*1000*SER_hh_tes!V14/SER_hh_num!V14)</f>
        <v>56589.605699091786</v>
      </c>
      <c r="W14" s="65">
        <f>IF(SER_hh_tes!W14=0,0,11630*1000*SER_hh_tes!W14/SER_hh_num!W14)</f>
        <v>66800.147097496956</v>
      </c>
      <c r="X14" s="65">
        <f>IF(SER_hh_tes!X14=0,0,11630*1000*SER_hh_tes!X14/SER_hh_num!X14)</f>
        <v>69261.244051467816</v>
      </c>
      <c r="Y14" s="65">
        <f>IF(SER_hh_tes!Y14=0,0,11630*1000*SER_hh_tes!Y14/SER_hh_num!Y14)</f>
        <v>63158.237042246888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849.66572655356401</v>
      </c>
      <c r="C15" s="134">
        <f>IF(SER_hh_tes!C15=0,0,11630*1000*SER_hh_tes!C15/SER_hh_num!C15)</f>
        <v>987.58243288390656</v>
      </c>
      <c r="D15" s="134">
        <f>IF(SER_hh_tes!D15=0,0,11630*1000*SER_hh_tes!D15/SER_hh_num!D15)</f>
        <v>981.12782720847599</v>
      </c>
      <c r="E15" s="134">
        <f>IF(SER_hh_tes!E15=0,0,11630*1000*SER_hh_tes!E15/SER_hh_num!E15)</f>
        <v>972.13703590370562</v>
      </c>
      <c r="F15" s="134">
        <f>IF(SER_hh_tes!F15=0,0,11630*1000*SER_hh_tes!F15/SER_hh_num!F15)</f>
        <v>961.8335146119075</v>
      </c>
      <c r="G15" s="134">
        <f>IF(SER_hh_tes!G15=0,0,11630*1000*SER_hh_tes!G15/SER_hh_num!G15)</f>
        <v>938.87527002652052</v>
      </c>
      <c r="H15" s="134">
        <f>IF(SER_hh_tes!H15=0,0,11630*1000*SER_hh_tes!H15/SER_hh_num!H15)</f>
        <v>844.19898071364821</v>
      </c>
      <c r="I15" s="134">
        <f>IF(SER_hh_tes!I15=0,0,11630*1000*SER_hh_tes!I15/SER_hh_num!I15)</f>
        <v>737.00417130873097</v>
      </c>
      <c r="J15" s="134">
        <f>IF(SER_hh_tes!J15=0,0,11630*1000*SER_hh_tes!J15/SER_hh_num!J15)</f>
        <v>757.22983571934412</v>
      </c>
      <c r="K15" s="134">
        <f>IF(SER_hh_tes!K15=0,0,11630*1000*SER_hh_tes!K15/SER_hh_num!K15)</f>
        <v>740.65507861918741</v>
      </c>
      <c r="L15" s="134">
        <f>IF(SER_hh_tes!L15=0,0,11630*1000*SER_hh_tes!L15/SER_hh_num!L15)</f>
        <v>821.85698884288126</v>
      </c>
      <c r="M15" s="134">
        <f>IF(SER_hh_tes!M15=0,0,11630*1000*SER_hh_tes!M15/SER_hh_num!M15)</f>
        <v>739.75439520717919</v>
      </c>
      <c r="N15" s="134">
        <f>IF(SER_hh_tes!N15=0,0,11630*1000*SER_hh_tes!N15/SER_hh_num!N15)</f>
        <v>647.18424394514329</v>
      </c>
      <c r="O15" s="134">
        <f>IF(SER_hh_tes!O15=0,0,11630*1000*SER_hh_tes!O15/SER_hh_num!O15)</f>
        <v>618.43966291163974</v>
      </c>
      <c r="P15" s="134">
        <f>IF(SER_hh_tes!P15=0,0,11630*1000*SER_hh_tes!P15/SER_hh_num!P15)</f>
        <v>520.13276352875175</v>
      </c>
      <c r="Q15" s="134">
        <f>IF(SER_hh_tes!Q15=0,0,11630*1000*SER_hh_tes!Q15/SER_hh_num!Q15)</f>
        <v>663.66179843902091</v>
      </c>
      <c r="R15" s="134">
        <f>IF(SER_hh_tes!R15=0,0,11630*1000*SER_hh_tes!R15/SER_hh_num!R15)</f>
        <v>708.68324816555014</v>
      </c>
      <c r="S15" s="134">
        <f>IF(SER_hh_tes!S15=0,0,11630*1000*SER_hh_tes!S15/SER_hh_num!S15)</f>
        <v>766.93284775236475</v>
      </c>
      <c r="T15" s="134">
        <f>IF(SER_hh_tes!T15=0,0,11630*1000*SER_hh_tes!T15/SER_hh_num!T15)</f>
        <v>806.43542010897261</v>
      </c>
      <c r="U15" s="134">
        <f>IF(SER_hh_tes!U15=0,0,11630*1000*SER_hh_tes!U15/SER_hh_num!U15)</f>
        <v>811.03384330929669</v>
      </c>
      <c r="V15" s="134">
        <f>IF(SER_hh_tes!V15=0,0,11630*1000*SER_hh_tes!V15/SER_hh_num!V15)</f>
        <v>782.4992243539009</v>
      </c>
      <c r="W15" s="134">
        <f>IF(SER_hh_tes!W15=0,0,11630*1000*SER_hh_tes!W15/SER_hh_num!W15)</f>
        <v>938.02910193615173</v>
      </c>
      <c r="X15" s="134">
        <f>IF(SER_hh_tes!X15=0,0,11630*1000*SER_hh_tes!X15/SER_hh_num!X15)</f>
        <v>804.42854304957473</v>
      </c>
      <c r="Y15" s="134">
        <f>IF(SER_hh_tes!Y15=0,0,11630*1000*SER_hh_tes!Y15/SER_hh_num!Y15)</f>
        <v>766.65627939793046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23486.261516257109</v>
      </c>
      <c r="C16" s="130">
        <f>IF(SER_hh_tes!C16=0,0,11630*1000*SER_hh_tes!C16/SER_hh_num!C16)</f>
        <v>22186.036038877977</v>
      </c>
      <c r="D16" s="130">
        <f>IF(SER_hh_tes!D16=0,0,11630*1000*SER_hh_tes!D16/SER_hh_num!D16)</f>
        <v>21376.475010992559</v>
      </c>
      <c r="E16" s="130">
        <f>IF(SER_hh_tes!E16=0,0,11630*1000*SER_hh_tes!E16/SER_hh_num!E16)</f>
        <v>40804.125876320337</v>
      </c>
      <c r="F16" s="130">
        <f>IF(SER_hh_tes!F16=0,0,11630*1000*SER_hh_tes!F16/SER_hh_num!F16)</f>
        <v>20964.945792524402</v>
      </c>
      <c r="G16" s="130">
        <f>IF(SER_hh_tes!G16=0,0,11630*1000*SER_hh_tes!G16/SER_hh_num!G16)</f>
        <v>21118.582174900523</v>
      </c>
      <c r="H16" s="130">
        <f>IF(SER_hh_tes!H16=0,0,11630*1000*SER_hh_tes!H16/SER_hh_num!H16)</f>
        <v>23896.233424440237</v>
      </c>
      <c r="I16" s="130">
        <f>IF(SER_hh_tes!I16=0,0,11630*1000*SER_hh_tes!I16/SER_hh_num!I16)</f>
        <v>24781.975523046334</v>
      </c>
      <c r="J16" s="130">
        <f>IF(SER_hh_tes!J16=0,0,11630*1000*SER_hh_tes!J16/SER_hh_num!J16)</f>
        <v>24082.568634255404</v>
      </c>
      <c r="K16" s="130">
        <f>IF(SER_hh_tes!K16=0,0,11630*1000*SER_hh_tes!K16/SER_hh_num!K16)</f>
        <v>23125.794622284338</v>
      </c>
      <c r="L16" s="130">
        <f>IF(SER_hh_tes!L16=0,0,11630*1000*SER_hh_tes!L16/SER_hh_num!L16)</f>
        <v>23570.569730038667</v>
      </c>
      <c r="M16" s="130">
        <f>IF(SER_hh_tes!M16=0,0,11630*1000*SER_hh_tes!M16/SER_hh_num!M16)</f>
        <v>25497.085690323878</v>
      </c>
      <c r="N16" s="130">
        <f>IF(SER_hh_tes!N16=0,0,11630*1000*SER_hh_tes!N16/SER_hh_num!N16)</f>
        <v>37430.692582739772</v>
      </c>
      <c r="O16" s="130">
        <f>IF(SER_hh_tes!O16=0,0,11630*1000*SER_hh_tes!O16/SER_hh_num!O16)</f>
        <v>25234.020812361727</v>
      </c>
      <c r="P16" s="130">
        <f>IF(SER_hh_tes!P16=0,0,11630*1000*SER_hh_tes!P16/SER_hh_num!P16)</f>
        <v>20954.818463060838</v>
      </c>
      <c r="Q16" s="130">
        <f>IF(SER_hh_tes!Q16=0,0,11630*1000*SER_hh_tes!Q16/SER_hh_num!Q16)</f>
        <v>34288.573125448354</v>
      </c>
      <c r="R16" s="130">
        <f>IF(SER_hh_tes!R16=0,0,11630*1000*SER_hh_tes!R16/SER_hh_num!R16)</f>
        <v>23767.578783886336</v>
      </c>
      <c r="S16" s="130">
        <f>IF(SER_hh_tes!S16=0,0,11630*1000*SER_hh_tes!S16/SER_hh_num!S16)</f>
        <v>34553.112547990902</v>
      </c>
      <c r="T16" s="130">
        <f>IF(SER_hh_tes!T16=0,0,11630*1000*SER_hh_tes!T16/SER_hh_num!T16)</f>
        <v>26166.070484783839</v>
      </c>
      <c r="U16" s="130">
        <f>IF(SER_hh_tes!U16=0,0,11630*1000*SER_hh_tes!U16/SER_hh_num!U16)</f>
        <v>31848.089638696139</v>
      </c>
      <c r="V16" s="130">
        <f>IF(SER_hh_tes!V16=0,0,11630*1000*SER_hh_tes!V16/SER_hh_num!V16)</f>
        <v>24964.458074342358</v>
      </c>
      <c r="W16" s="130">
        <f>IF(SER_hh_tes!W16=0,0,11630*1000*SER_hh_tes!W16/SER_hh_num!W16)</f>
        <v>33097.476613636558</v>
      </c>
      <c r="X16" s="130">
        <f>IF(SER_hh_tes!X16=0,0,11630*1000*SER_hh_tes!X16/SER_hh_num!X16)</f>
        <v>35307.829227294009</v>
      </c>
      <c r="Y16" s="130">
        <f>IF(SER_hh_tes!Y16=0,0,11630*1000*SER_hh_tes!Y16/SER_hh_num!Y16)</f>
        <v>30576.758275111064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23486.261516257106</v>
      </c>
      <c r="C17" s="132">
        <f>IF(SER_hh_tes!C17=0,0,11630*1000*SER_hh_tes!C17/SER_hh_num!C17)</f>
        <v>22186.036038877908</v>
      </c>
      <c r="D17" s="132">
        <f>IF(SER_hh_tes!D17=0,0,11630*1000*SER_hh_tes!D17/SER_hh_num!D17)</f>
        <v>21376.475010365531</v>
      </c>
      <c r="E17" s="132">
        <f>IF(SER_hh_tes!E17=0,0,11630*1000*SER_hh_tes!E17/SER_hh_num!E17)</f>
        <v>40804.125876193706</v>
      </c>
      <c r="F17" s="132">
        <f>IF(SER_hh_tes!F17=0,0,11630*1000*SER_hh_tes!F17/SER_hh_num!F17)</f>
        <v>20964.945792925893</v>
      </c>
      <c r="G17" s="132">
        <f>IF(SER_hh_tes!G17=0,0,11630*1000*SER_hh_tes!G17/SER_hh_num!G17)</f>
        <v>21118.582175441694</v>
      </c>
      <c r="H17" s="132">
        <f>IF(SER_hh_tes!H17=0,0,11630*1000*SER_hh_tes!H17/SER_hh_num!H17)</f>
        <v>23896.233424693364</v>
      </c>
      <c r="I17" s="132">
        <f>IF(SER_hh_tes!I17=0,0,11630*1000*SER_hh_tes!I17/SER_hh_num!I17)</f>
        <v>32121.958019319329</v>
      </c>
      <c r="J17" s="132">
        <f>IF(SER_hh_tes!J17=0,0,11630*1000*SER_hh_tes!J17/SER_hh_num!J17)</f>
        <v>29519.109294059748</v>
      </c>
      <c r="K17" s="132">
        <f>IF(SER_hh_tes!K17=0,0,11630*1000*SER_hh_tes!K17/SER_hh_num!K17)</f>
        <v>23125.794621936981</v>
      </c>
      <c r="L17" s="132">
        <f>IF(SER_hh_tes!L17=0,0,11630*1000*SER_hh_tes!L17/SER_hh_num!L17)</f>
        <v>23570.569729650426</v>
      </c>
      <c r="M17" s="132">
        <f>IF(SER_hh_tes!M17=0,0,11630*1000*SER_hh_tes!M17/SER_hh_num!M17)</f>
        <v>25497.085690010204</v>
      </c>
      <c r="N17" s="132">
        <f>IF(SER_hh_tes!N17=0,0,11630*1000*SER_hh_tes!N17/SER_hh_num!N17)</f>
        <v>32688.466025126039</v>
      </c>
      <c r="O17" s="132">
        <f>IF(SER_hh_tes!O17=0,0,11630*1000*SER_hh_tes!O17/SER_hh_num!O17)</f>
        <v>25472.834837117513</v>
      </c>
      <c r="P17" s="132">
        <f>IF(SER_hh_tes!P17=0,0,11630*1000*SER_hh_tes!P17/SER_hh_num!P17)</f>
        <v>17069.800205616473</v>
      </c>
      <c r="Q17" s="132">
        <f>IF(SER_hh_tes!Q17=0,0,11630*1000*SER_hh_tes!Q17/SER_hh_num!Q17)</f>
        <v>35334.280110383974</v>
      </c>
      <c r="R17" s="132">
        <f>IF(SER_hh_tes!R17=0,0,11630*1000*SER_hh_tes!R17/SER_hh_num!R17)</f>
        <v>23767.578729481927</v>
      </c>
      <c r="S17" s="132">
        <f>IF(SER_hh_tes!S17=0,0,11630*1000*SER_hh_tes!S17/SER_hh_num!S17)</f>
        <v>34553.1124505068</v>
      </c>
      <c r="T17" s="132">
        <f>IF(SER_hh_tes!T17=0,0,11630*1000*SER_hh_tes!T17/SER_hh_num!T17)</f>
        <v>26166.070422541605</v>
      </c>
      <c r="U17" s="132">
        <f>IF(SER_hh_tes!U17=0,0,11630*1000*SER_hh_tes!U17/SER_hh_num!U17)</f>
        <v>31848.089580423701</v>
      </c>
      <c r="V17" s="132">
        <f>IF(SER_hh_tes!V17=0,0,11630*1000*SER_hh_tes!V17/SER_hh_num!V17)</f>
        <v>20361.310533779575</v>
      </c>
      <c r="W17" s="132">
        <f>IF(SER_hh_tes!W17=0,0,11630*1000*SER_hh_tes!W17/SER_hh_num!W17)</f>
        <v>27286.566749268404</v>
      </c>
      <c r="X17" s="132">
        <f>IF(SER_hh_tes!X17=0,0,11630*1000*SER_hh_tes!X17/SER_hh_num!X17)</f>
        <v>35307.834225651255</v>
      </c>
      <c r="Y17" s="132">
        <f>IF(SER_hh_tes!Y17=0,0,11630*1000*SER_hh_tes!Y17/SER_hh_num!Y17)</f>
        <v>35291.754705237588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23486.261516257109</v>
      </c>
      <c r="C18" s="132">
        <f>IF(SER_hh_tes!C18=0,0,11630*1000*SER_hh_tes!C18/SER_hh_num!C18)</f>
        <v>22186.036038877974</v>
      </c>
      <c r="D18" s="132">
        <f>IF(SER_hh_tes!D18=0,0,11630*1000*SER_hh_tes!D18/SER_hh_num!D18)</f>
        <v>21376.475010993283</v>
      </c>
      <c r="E18" s="132">
        <f>IF(SER_hh_tes!E18=0,0,11630*1000*SER_hh_tes!E18/SER_hh_num!E18)</f>
        <v>40804.12587632049</v>
      </c>
      <c r="F18" s="132">
        <f>IF(SER_hh_tes!F18=0,0,11630*1000*SER_hh_tes!F18/SER_hh_num!F18)</f>
        <v>20964.945792523864</v>
      </c>
      <c r="G18" s="132">
        <f>IF(SER_hh_tes!G18=0,0,11630*1000*SER_hh_tes!G18/SER_hh_num!G18)</f>
        <v>21118.58217489977</v>
      </c>
      <c r="H18" s="132">
        <f>IF(SER_hh_tes!H18=0,0,11630*1000*SER_hh_tes!H18/SER_hh_num!H18)</f>
        <v>23896.233424439873</v>
      </c>
      <c r="I18" s="132">
        <f>IF(SER_hh_tes!I18=0,0,11630*1000*SER_hh_tes!I18/SER_hh_num!I18)</f>
        <v>24772.129461255059</v>
      </c>
      <c r="J18" s="132">
        <f>IF(SER_hh_tes!J18=0,0,11630*1000*SER_hh_tes!J18/SER_hh_num!J18)</f>
        <v>24075.470576243781</v>
      </c>
      <c r="K18" s="132">
        <f>IF(SER_hh_tes!K18=0,0,11630*1000*SER_hh_tes!K18/SER_hh_num!K18)</f>
        <v>23125.794622284815</v>
      </c>
      <c r="L18" s="132">
        <f>IF(SER_hh_tes!L18=0,0,11630*1000*SER_hh_tes!L18/SER_hh_num!L18)</f>
        <v>23570.569730039253</v>
      </c>
      <c r="M18" s="132">
        <f>IF(SER_hh_tes!M18=0,0,11630*1000*SER_hh_tes!M18/SER_hh_num!M18)</f>
        <v>25497.085690324388</v>
      </c>
      <c r="N18" s="132">
        <f>IF(SER_hh_tes!N18=0,0,11630*1000*SER_hh_tes!N18/SER_hh_num!N18)</f>
        <v>37439.083772143829</v>
      </c>
      <c r="O18" s="132">
        <f>IF(SER_hh_tes!O18=0,0,11630*1000*SER_hh_tes!O18/SER_hh_num!O18)</f>
        <v>25233.538713580889</v>
      </c>
      <c r="P18" s="132">
        <f>IF(SER_hh_tes!P18=0,0,11630*1000*SER_hh_tes!P18/SER_hh_num!P18)</f>
        <v>20964.474033490045</v>
      </c>
      <c r="Q18" s="132">
        <f>IF(SER_hh_tes!Q18=0,0,11630*1000*SER_hh_tes!Q18/SER_hh_num!Q18)</f>
        <v>34285.506875596649</v>
      </c>
      <c r="R18" s="132">
        <f>IF(SER_hh_tes!R18=0,0,11630*1000*SER_hh_tes!R18/SER_hh_num!R18)</f>
        <v>23767.578784071251</v>
      </c>
      <c r="S18" s="132">
        <f>IF(SER_hh_tes!S18=0,0,11630*1000*SER_hh_tes!S18/SER_hh_num!S18)</f>
        <v>34553.112548393023</v>
      </c>
      <c r="T18" s="132">
        <f>IF(SER_hh_tes!T18=0,0,11630*1000*SER_hh_tes!T18/SER_hh_num!T18)</f>
        <v>26166.070485102606</v>
      </c>
      <c r="U18" s="132">
        <f>IF(SER_hh_tes!U18=0,0,11630*1000*SER_hh_tes!U18/SER_hh_num!U18)</f>
        <v>31848.089639033933</v>
      </c>
      <c r="V18" s="132">
        <f>IF(SER_hh_tes!V18=0,0,11630*1000*SER_hh_tes!V18/SER_hh_num!V18)</f>
        <v>24996.879927658007</v>
      </c>
      <c r="W18" s="132">
        <f>IF(SER_hh_tes!W18=0,0,11630*1000*SER_hh_tes!W18/SER_hh_num!W18)</f>
        <v>33139.931364549091</v>
      </c>
      <c r="X18" s="132">
        <f>IF(SER_hh_tes!X18=0,0,11630*1000*SER_hh_tes!X18/SER_hh_num!X18)</f>
        <v>35307.829187244606</v>
      </c>
      <c r="Y18" s="132">
        <f>IF(SER_hh_tes!Y18=0,0,11630*1000*SER_hh_tes!Y18/SER_hh_num!Y18)</f>
        <v>30537.739741440244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12722.021299616721</v>
      </c>
      <c r="C19" s="130">
        <f>IF(SER_hh_tes!C19=0,0,11630*1000*SER_hh_tes!C19/SER_hh_num!C19)</f>
        <v>12874.811118901949</v>
      </c>
      <c r="D19" s="130">
        <f>IF(SER_hh_tes!D19=0,0,11630*1000*SER_hh_tes!D19/SER_hh_num!D19)</f>
        <v>13133.460596866486</v>
      </c>
      <c r="E19" s="130">
        <f>IF(SER_hh_tes!E19=0,0,11630*1000*SER_hh_tes!E19/SER_hh_num!E19)</f>
        <v>13100.04911641772</v>
      </c>
      <c r="F19" s="130">
        <f>IF(SER_hh_tes!F19=0,0,11630*1000*SER_hh_tes!F19/SER_hh_num!F19)</f>
        <v>13505.712367683174</v>
      </c>
      <c r="G19" s="130">
        <f>IF(SER_hh_tes!G19=0,0,11630*1000*SER_hh_tes!G19/SER_hh_num!G19)</f>
        <v>13666.031878832453</v>
      </c>
      <c r="H19" s="130">
        <f>IF(SER_hh_tes!H19=0,0,11630*1000*SER_hh_tes!H19/SER_hh_num!H19)</f>
        <v>13385.930488237282</v>
      </c>
      <c r="I19" s="130">
        <f>IF(SER_hh_tes!I19=0,0,11630*1000*SER_hh_tes!I19/SER_hh_num!I19)</f>
        <v>13327.057805821682</v>
      </c>
      <c r="J19" s="130">
        <f>IF(SER_hh_tes!J19=0,0,11630*1000*SER_hh_tes!J19/SER_hh_num!J19)</f>
        <v>13630.386430745497</v>
      </c>
      <c r="K19" s="130">
        <f>IF(SER_hh_tes!K19=0,0,11630*1000*SER_hh_tes!K19/SER_hh_num!K19)</f>
        <v>13746.398676179135</v>
      </c>
      <c r="L19" s="130">
        <f>IF(SER_hh_tes!L19=0,0,11630*1000*SER_hh_tes!L19/SER_hh_num!L19)</f>
        <v>13924.109436247491</v>
      </c>
      <c r="M19" s="130">
        <f>IF(SER_hh_tes!M19=0,0,11630*1000*SER_hh_tes!M19/SER_hh_num!M19)</f>
        <v>13967.297215104729</v>
      </c>
      <c r="N19" s="130">
        <f>IF(SER_hh_tes!N19=0,0,11630*1000*SER_hh_tes!N19/SER_hh_num!N19)</f>
        <v>14405.714419328848</v>
      </c>
      <c r="O19" s="130">
        <f>IF(SER_hh_tes!O19=0,0,11630*1000*SER_hh_tes!O19/SER_hh_num!O19)</f>
        <v>14796.136417879738</v>
      </c>
      <c r="P19" s="130">
        <f>IF(SER_hh_tes!P19=0,0,11630*1000*SER_hh_tes!P19/SER_hh_num!P19)</f>
        <v>14693.750038081329</v>
      </c>
      <c r="Q19" s="130">
        <f>IF(SER_hh_tes!Q19=0,0,11630*1000*SER_hh_tes!Q19/SER_hh_num!Q19)</f>
        <v>14631.370203485252</v>
      </c>
      <c r="R19" s="130">
        <f>IF(SER_hh_tes!R19=0,0,11630*1000*SER_hh_tes!R19/SER_hh_num!R19)</f>
        <v>14756.898228549964</v>
      </c>
      <c r="S19" s="130">
        <f>IF(SER_hh_tes!S19=0,0,11630*1000*SER_hh_tes!S19/SER_hh_num!S19)</f>
        <v>14907.315332589533</v>
      </c>
      <c r="T19" s="130">
        <f>IF(SER_hh_tes!T19=0,0,11630*1000*SER_hh_tes!T19/SER_hh_num!T19)</f>
        <v>15020.037258259294</v>
      </c>
      <c r="U19" s="130">
        <f>IF(SER_hh_tes!U19=0,0,11630*1000*SER_hh_tes!U19/SER_hh_num!U19)</f>
        <v>15074.321333215048</v>
      </c>
      <c r="V19" s="130">
        <f>IF(SER_hh_tes!V19=0,0,11630*1000*SER_hh_tes!V19/SER_hh_num!V19)</f>
        <v>14086.993498694772</v>
      </c>
      <c r="W19" s="130">
        <f>IF(SER_hh_tes!W19=0,0,11630*1000*SER_hh_tes!W19/SER_hh_num!W19)</f>
        <v>14809.113888572874</v>
      </c>
      <c r="X19" s="130">
        <f>IF(SER_hh_tes!X19=0,0,11630*1000*SER_hh_tes!X19/SER_hh_num!X19)</f>
        <v>15074.563500421786</v>
      </c>
      <c r="Y19" s="130">
        <f>IF(SER_hh_tes!Y19=0,0,11630*1000*SER_hh_tes!Y19/SER_hh_num!Y19)</f>
        <v>14889.376180456302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11656.21888125658</v>
      </c>
      <c r="C21" s="132">
        <f>IF(SER_hh_tes!C21=0,0,11630*1000*SER_hh_tes!C21/SER_hh_num!C21)</f>
        <v>13100.66201142464</v>
      </c>
      <c r="D21" s="132">
        <f>IF(SER_hh_tes!D21=0,0,11630*1000*SER_hh_tes!D21/SER_hh_num!D21)</f>
        <v>13350.877314595098</v>
      </c>
      <c r="E21" s="132">
        <f>IF(SER_hh_tes!E21=0,0,11630*1000*SER_hh_tes!E21/SER_hh_num!E21)</f>
        <v>13172.037261390997</v>
      </c>
      <c r="F21" s="132">
        <f>IF(SER_hh_tes!F21=0,0,11630*1000*SER_hh_tes!F21/SER_hh_num!F21)</f>
        <v>13561.854869198532</v>
      </c>
      <c r="G21" s="132">
        <f>IF(SER_hh_tes!G21=0,0,11630*1000*SER_hh_tes!G21/SER_hh_num!G21)</f>
        <v>13380.557518586282</v>
      </c>
      <c r="H21" s="132">
        <f>IF(SER_hh_tes!H21=0,0,11630*1000*SER_hh_tes!H21/SER_hh_num!H21)</f>
        <v>13360.491072974895</v>
      </c>
      <c r="I21" s="132">
        <f>IF(SER_hh_tes!I21=0,0,11630*1000*SER_hh_tes!I21/SER_hh_num!I21)</f>
        <v>13122.458544986681</v>
      </c>
      <c r="J21" s="132">
        <f>IF(SER_hh_tes!J21=0,0,11630*1000*SER_hh_tes!J21/SER_hh_num!J21)</f>
        <v>13439.817930305237</v>
      </c>
      <c r="K21" s="132">
        <f>IF(SER_hh_tes!K21=0,0,11630*1000*SER_hh_tes!K21/SER_hh_num!K21)</f>
        <v>13991.93266174515</v>
      </c>
      <c r="L21" s="132">
        <f>IF(SER_hh_tes!L21=0,0,11630*1000*SER_hh_tes!L21/SER_hh_num!L21)</f>
        <v>13956.959449932468</v>
      </c>
      <c r="M21" s="132">
        <f>IF(SER_hh_tes!M21=0,0,11630*1000*SER_hh_tes!M21/SER_hh_num!M21)</f>
        <v>14001.676226109983</v>
      </c>
      <c r="N21" s="132">
        <f>IF(SER_hh_tes!N21=0,0,11630*1000*SER_hh_tes!N21/SER_hh_num!N21)</f>
        <v>14209.729621139477</v>
      </c>
      <c r="O21" s="132">
        <f>IF(SER_hh_tes!O21=0,0,11630*1000*SER_hh_tes!O21/SER_hh_num!O21)</f>
        <v>14474.898826013532</v>
      </c>
      <c r="P21" s="132">
        <f>IF(SER_hh_tes!P21=0,0,11630*1000*SER_hh_tes!P21/SER_hh_num!P21)</f>
        <v>14526.500477760805</v>
      </c>
      <c r="Q21" s="132">
        <f>IF(SER_hh_tes!Q21=0,0,11630*1000*SER_hh_tes!Q21/SER_hh_num!Q21)</f>
        <v>14734.382666799618</v>
      </c>
      <c r="R21" s="132">
        <f>IF(SER_hh_tes!R21=0,0,11630*1000*SER_hh_tes!R21/SER_hh_num!R21)</f>
        <v>14840.591960134194</v>
      </c>
      <c r="S21" s="132">
        <f>IF(SER_hh_tes!S21=0,0,11630*1000*SER_hh_tes!S21/SER_hh_num!S21)</f>
        <v>14641.755917805669</v>
      </c>
      <c r="T21" s="132">
        <f>IF(SER_hh_tes!T21=0,0,11630*1000*SER_hh_tes!T21/SER_hh_num!T21)</f>
        <v>14910.903916985968</v>
      </c>
      <c r="U21" s="132">
        <f>IF(SER_hh_tes!U21=0,0,11630*1000*SER_hh_tes!U21/SER_hh_num!U21)</f>
        <v>14765.33885206897</v>
      </c>
      <c r="V21" s="132">
        <f>IF(SER_hh_tes!V21=0,0,11630*1000*SER_hh_tes!V21/SER_hh_num!V21)</f>
        <v>13039.823687936785</v>
      </c>
      <c r="W21" s="132">
        <f>IF(SER_hh_tes!W21=0,0,11630*1000*SER_hh_tes!W21/SER_hh_num!W21)</f>
        <v>14879.525979330996</v>
      </c>
      <c r="X21" s="132">
        <f>IF(SER_hh_tes!X21=0,0,11630*1000*SER_hh_tes!X21/SER_hh_num!X21)</f>
        <v>15347.858204131493</v>
      </c>
      <c r="Y21" s="132">
        <f>IF(SER_hh_tes!Y21=0,0,11630*1000*SER_hh_tes!Y21/SER_hh_num!Y21)</f>
        <v>13487.72922752613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12462.732074571268</v>
      </c>
      <c r="C22" s="132">
        <f>IF(SER_hh_tes!C22=0,0,11630*1000*SER_hh_tes!C22/SER_hh_num!C22)</f>
        <v>12854.2345713139</v>
      </c>
      <c r="D22" s="132">
        <f>IF(SER_hh_tes!D22=0,0,11630*1000*SER_hh_tes!D22/SER_hh_num!D22)</f>
        <v>13028.341740598849</v>
      </c>
      <c r="E22" s="132">
        <f>IF(SER_hh_tes!E22=0,0,11630*1000*SER_hh_tes!E22/SER_hh_num!E22)</f>
        <v>13174.548294844411</v>
      </c>
      <c r="F22" s="132">
        <f>IF(SER_hh_tes!F22=0,0,11630*1000*SER_hh_tes!F22/SER_hh_num!F22)</f>
        <v>13247.247739679566</v>
      </c>
      <c r="G22" s="132">
        <f>IF(SER_hh_tes!G22=0,0,11630*1000*SER_hh_tes!G22/SER_hh_num!G22)</f>
        <v>13511.234402849046</v>
      </c>
      <c r="H22" s="132">
        <f>IF(SER_hh_tes!H22=0,0,11630*1000*SER_hh_tes!H22/SER_hh_num!H22)</f>
        <v>13315.025058185374</v>
      </c>
      <c r="I22" s="132">
        <f>IF(SER_hh_tes!I22=0,0,11630*1000*SER_hh_tes!I22/SER_hh_num!I22)</f>
        <v>13566.128689984829</v>
      </c>
      <c r="J22" s="132">
        <f>IF(SER_hh_tes!J22=0,0,11630*1000*SER_hh_tes!J22/SER_hh_num!J22)</f>
        <v>13650.624389152375</v>
      </c>
      <c r="K22" s="132">
        <f>IF(SER_hh_tes!K22=0,0,11630*1000*SER_hh_tes!K22/SER_hh_num!K22)</f>
        <v>13902.795000572763</v>
      </c>
      <c r="L22" s="132">
        <f>IF(SER_hh_tes!L22=0,0,11630*1000*SER_hh_tes!L22/SER_hh_num!L22)</f>
        <v>14177.931315945443</v>
      </c>
      <c r="M22" s="132">
        <f>IF(SER_hh_tes!M22=0,0,11630*1000*SER_hh_tes!M22/SER_hh_num!M22)</f>
        <v>13918.313076741444</v>
      </c>
      <c r="N22" s="132">
        <f>IF(SER_hh_tes!N22=0,0,11630*1000*SER_hh_tes!N22/SER_hh_num!N22)</f>
        <v>14135.601318325631</v>
      </c>
      <c r="O22" s="132">
        <f>IF(SER_hh_tes!O22=0,0,11630*1000*SER_hh_tes!O22/SER_hh_num!O22)</f>
        <v>14472.700374371103</v>
      </c>
      <c r="P22" s="132">
        <f>IF(SER_hh_tes!P22=0,0,11630*1000*SER_hh_tes!P22/SER_hh_num!P22)</f>
        <v>14355.284618422334</v>
      </c>
      <c r="Q22" s="132">
        <f>IF(SER_hh_tes!Q22=0,0,11630*1000*SER_hh_tes!Q22/SER_hh_num!Q22)</f>
        <v>14313.127150476968</v>
      </c>
      <c r="R22" s="132">
        <f>IF(SER_hh_tes!R22=0,0,11630*1000*SER_hh_tes!R22/SER_hh_num!R22)</f>
        <v>14466.501460662477</v>
      </c>
      <c r="S22" s="132">
        <f>IF(SER_hh_tes!S22=0,0,11630*1000*SER_hh_tes!S22/SER_hh_num!S22)</f>
        <v>14590.783673241145</v>
      </c>
      <c r="T22" s="132">
        <f>IF(SER_hh_tes!T22=0,0,11630*1000*SER_hh_tes!T22/SER_hh_num!T22)</f>
        <v>14627.314601643786</v>
      </c>
      <c r="U22" s="132">
        <f>IF(SER_hh_tes!U22=0,0,11630*1000*SER_hh_tes!U22/SER_hh_num!U22)</f>
        <v>15074.570888877339</v>
      </c>
      <c r="V22" s="132">
        <f>IF(SER_hh_tes!V22=0,0,11630*1000*SER_hh_tes!V22/SER_hh_num!V22)</f>
        <v>13729.005101829509</v>
      </c>
      <c r="W22" s="132">
        <f>IF(SER_hh_tes!W22=0,0,11630*1000*SER_hh_tes!W22/SER_hh_num!W22)</f>
        <v>15433.023816302606</v>
      </c>
      <c r="X22" s="132">
        <f>IF(SER_hh_tes!X22=0,0,11630*1000*SER_hh_tes!X22/SER_hh_num!X22)</f>
        <v>14413.097046484496</v>
      </c>
      <c r="Y22" s="132">
        <f>IF(SER_hh_tes!Y22=0,0,11630*1000*SER_hh_tes!Y22/SER_hh_num!Y22)</f>
        <v>13844.39748610163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12424.496491669584</v>
      </c>
      <c r="C23" s="132">
        <f>IF(SER_hh_tes!C23=0,0,11630*1000*SER_hh_tes!C23/SER_hh_num!C23)</f>
        <v>12820.522048067111</v>
      </c>
      <c r="D23" s="132">
        <f>IF(SER_hh_tes!D23=0,0,11630*1000*SER_hh_tes!D23/SER_hh_num!D23)</f>
        <v>13149.167673242557</v>
      </c>
      <c r="E23" s="132">
        <f>IF(SER_hh_tes!E23=0,0,11630*1000*SER_hh_tes!E23/SER_hh_num!E23)</f>
        <v>13156.477396628181</v>
      </c>
      <c r="F23" s="132">
        <f>IF(SER_hh_tes!F23=0,0,11630*1000*SER_hh_tes!F23/SER_hh_num!F23)</f>
        <v>13427.88813134565</v>
      </c>
      <c r="G23" s="132">
        <f>IF(SER_hh_tes!G23=0,0,11630*1000*SER_hh_tes!G23/SER_hh_num!G23)</f>
        <v>13644.983944206608</v>
      </c>
      <c r="H23" s="132">
        <f>IF(SER_hh_tes!H23=0,0,11630*1000*SER_hh_tes!H23/SER_hh_num!H23)</f>
        <v>13390.813618266395</v>
      </c>
      <c r="I23" s="132">
        <f>IF(SER_hh_tes!I23=0,0,11630*1000*SER_hh_tes!I23/SER_hh_num!I23)</f>
        <v>13215.833805274</v>
      </c>
      <c r="J23" s="132">
        <f>IF(SER_hh_tes!J23=0,0,11630*1000*SER_hh_tes!J23/SER_hh_num!J23)</f>
        <v>13636.155574908076</v>
      </c>
      <c r="K23" s="132">
        <f>IF(SER_hh_tes!K23=0,0,11630*1000*SER_hh_tes!K23/SER_hh_num!K23)</f>
        <v>13630.305735392458</v>
      </c>
      <c r="L23" s="132">
        <f>IF(SER_hh_tes!L23=0,0,11630*1000*SER_hh_tes!L23/SER_hh_num!L23)</f>
        <v>13779.489341580635</v>
      </c>
      <c r="M23" s="132">
        <f>IF(SER_hh_tes!M23=0,0,11630*1000*SER_hh_tes!M23/SER_hh_num!M23)</f>
        <v>13916.741879679646</v>
      </c>
      <c r="N23" s="132">
        <f>IF(SER_hh_tes!N23=0,0,11630*1000*SER_hh_tes!N23/SER_hh_num!N23)</f>
        <v>14132.524142285971</v>
      </c>
      <c r="O23" s="132">
        <f>IF(SER_hh_tes!O23=0,0,11630*1000*SER_hh_tes!O23/SER_hh_num!O23)</f>
        <v>14327.138802951022</v>
      </c>
      <c r="P23" s="132">
        <f>IF(SER_hh_tes!P23=0,0,11630*1000*SER_hh_tes!P23/SER_hh_num!P23)</f>
        <v>14312.847488131945</v>
      </c>
      <c r="Q23" s="132">
        <f>IF(SER_hh_tes!Q23=0,0,11630*1000*SER_hh_tes!Q23/SER_hh_num!Q23)</f>
        <v>14438.496931263389</v>
      </c>
      <c r="R23" s="132">
        <f>IF(SER_hh_tes!R23=0,0,11630*1000*SER_hh_tes!R23/SER_hh_num!R23)</f>
        <v>14491.753951115095</v>
      </c>
      <c r="S23" s="132">
        <f>IF(SER_hh_tes!S23=0,0,11630*1000*SER_hh_tes!S23/SER_hh_num!S23)</f>
        <v>14783.410517155393</v>
      </c>
      <c r="T23" s="132">
        <f>IF(SER_hh_tes!T23=0,0,11630*1000*SER_hh_tes!T23/SER_hh_num!T23)</f>
        <v>14858.089261349172</v>
      </c>
      <c r="U23" s="132">
        <f>IF(SER_hh_tes!U23=0,0,11630*1000*SER_hh_tes!U23/SER_hh_num!U23)</f>
        <v>14794.247425265981</v>
      </c>
      <c r="V23" s="132">
        <f>IF(SER_hh_tes!V23=0,0,11630*1000*SER_hh_tes!V23/SER_hh_num!V23)</f>
        <v>13750.186608735876</v>
      </c>
      <c r="W23" s="132">
        <f>IF(SER_hh_tes!W23=0,0,11630*1000*SER_hh_tes!W23/SER_hh_num!W23)</f>
        <v>15587.476978471925</v>
      </c>
      <c r="X23" s="132">
        <f>IF(SER_hh_tes!X23=0,0,11630*1000*SER_hh_tes!X23/SER_hh_num!X23)</f>
        <v>14343.504214161139</v>
      </c>
      <c r="Y23" s="132">
        <f>IF(SER_hh_tes!Y23=0,0,11630*1000*SER_hh_tes!Y23/SER_hh_num!Y23)</f>
        <v>14240.551470516701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12760.010233615831</v>
      </c>
      <c r="C25" s="132">
        <f>IF(SER_hh_tes!C25=0,0,11630*1000*SER_hh_tes!C25/SER_hh_num!C25)</f>
        <v>12804.197606056076</v>
      </c>
      <c r="D25" s="132">
        <f>IF(SER_hh_tes!D25=0,0,11630*1000*SER_hh_tes!D25/SER_hh_num!D25)</f>
        <v>13083.105168273078</v>
      </c>
      <c r="E25" s="132">
        <f>IF(SER_hh_tes!E25=0,0,11630*1000*SER_hh_tes!E25/SER_hh_num!E25)</f>
        <v>13067.697534203795</v>
      </c>
      <c r="F25" s="132">
        <f>IF(SER_hh_tes!F25=0,0,11630*1000*SER_hh_tes!F25/SER_hh_num!F25)</f>
        <v>13347.366220062757</v>
      </c>
      <c r="G25" s="132">
        <f>IF(SER_hh_tes!G25=0,0,11630*1000*SER_hh_tes!G25/SER_hh_num!G25)</f>
        <v>13592.187484009071</v>
      </c>
      <c r="H25" s="132">
        <f>IF(SER_hh_tes!H25=0,0,11630*1000*SER_hh_tes!H25/SER_hh_num!H25)</f>
        <v>13387.540495966572</v>
      </c>
      <c r="I25" s="132">
        <f>IF(SER_hh_tes!I25=0,0,11630*1000*SER_hh_tes!I25/SER_hh_num!I25)</f>
        <v>13328.463926310873</v>
      </c>
      <c r="J25" s="132">
        <f>IF(SER_hh_tes!J25=0,0,11630*1000*SER_hh_tes!J25/SER_hh_num!J25)</f>
        <v>13578.34638935566</v>
      </c>
      <c r="K25" s="132">
        <f>IF(SER_hh_tes!K25=0,0,11630*1000*SER_hh_tes!K25/SER_hh_num!K25)</f>
        <v>13559.725739378751</v>
      </c>
      <c r="L25" s="132">
        <f>IF(SER_hh_tes!L25=0,0,11630*1000*SER_hh_tes!L25/SER_hh_num!L25)</f>
        <v>13743.255104860815</v>
      </c>
      <c r="M25" s="132">
        <f>IF(SER_hh_tes!M25=0,0,11630*1000*SER_hh_tes!M25/SER_hh_num!M25)</f>
        <v>13953.205497996412</v>
      </c>
      <c r="N25" s="132">
        <f>IF(SER_hh_tes!N25=0,0,11630*1000*SER_hh_tes!N25/SER_hh_num!N25)</f>
        <v>14206.582974493262</v>
      </c>
      <c r="O25" s="132">
        <f>IF(SER_hh_tes!O25=0,0,11630*1000*SER_hh_tes!O25/SER_hh_num!O25)</f>
        <v>14483.633225934604</v>
      </c>
      <c r="P25" s="132">
        <f>IF(SER_hh_tes!P25=0,0,11630*1000*SER_hh_tes!P25/SER_hh_num!P25)</f>
        <v>14541.158868067851</v>
      </c>
      <c r="Q25" s="132">
        <f>IF(SER_hh_tes!Q25=0,0,11630*1000*SER_hh_tes!Q25/SER_hh_num!Q25)</f>
        <v>14511.980326112163</v>
      </c>
      <c r="R25" s="132">
        <f>IF(SER_hh_tes!R25=0,0,11630*1000*SER_hh_tes!R25/SER_hh_num!R25)</f>
        <v>14486.731646016626</v>
      </c>
      <c r="S25" s="132">
        <f>IF(SER_hh_tes!S25=0,0,11630*1000*SER_hh_tes!S25/SER_hh_num!S25)</f>
        <v>14645.864582012566</v>
      </c>
      <c r="T25" s="132">
        <f>IF(SER_hh_tes!T25=0,0,11630*1000*SER_hh_tes!T25/SER_hh_num!T25)</f>
        <v>14653.347729510042</v>
      </c>
      <c r="U25" s="132">
        <f>IF(SER_hh_tes!U25=0,0,11630*1000*SER_hh_tes!U25/SER_hh_num!U25)</f>
        <v>14566.433033155934</v>
      </c>
      <c r="V25" s="132">
        <f>IF(SER_hh_tes!V25=0,0,11630*1000*SER_hh_tes!V25/SER_hh_num!V25)</f>
        <v>14028.982943748115</v>
      </c>
      <c r="W25" s="132">
        <f>IF(SER_hh_tes!W25=0,0,11630*1000*SER_hh_tes!W25/SER_hh_num!W25)</f>
        <v>14953.690736742365</v>
      </c>
      <c r="X25" s="132">
        <f>IF(SER_hh_tes!X25=0,0,11630*1000*SER_hh_tes!X25/SER_hh_num!X25)</f>
        <v>13821.389757533889</v>
      </c>
      <c r="Y25" s="132">
        <f>IF(SER_hh_tes!Y25=0,0,11630*1000*SER_hh_tes!Y25/SER_hh_num!Y25)</f>
        <v>14957.351247714929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12753.411842934463</v>
      </c>
      <c r="C26" s="65">
        <f>IF(SER_hh_tes!C26=0,0,11630*1000*SER_hh_tes!C26/SER_hh_num!C26)</f>
        <v>12547.917206405931</v>
      </c>
      <c r="D26" s="65">
        <f>IF(SER_hh_tes!D26=0,0,11630*1000*SER_hh_tes!D26/SER_hh_num!D26)</f>
        <v>12695.273304422053</v>
      </c>
      <c r="E26" s="65">
        <f>IF(SER_hh_tes!E26=0,0,11630*1000*SER_hh_tes!E26/SER_hh_num!E26)</f>
        <v>12535.642729611158</v>
      </c>
      <c r="F26" s="65">
        <f>IF(SER_hh_tes!F26=0,0,11630*1000*SER_hh_tes!F26/SER_hh_num!F26)</f>
        <v>13189.511771881964</v>
      </c>
      <c r="G26" s="65">
        <f>IF(SER_hh_tes!G26=0,0,11630*1000*SER_hh_tes!G26/SER_hh_num!G26)</f>
        <v>13187.448198442966</v>
      </c>
      <c r="H26" s="65">
        <f>IF(SER_hh_tes!H26=0,0,11630*1000*SER_hh_tes!H26/SER_hh_num!H26)</f>
        <v>12733.680494416354</v>
      </c>
      <c r="I26" s="65">
        <f>IF(SER_hh_tes!I26=0,0,11630*1000*SER_hh_tes!I26/SER_hh_num!I26)</f>
        <v>12631.086758460815</v>
      </c>
      <c r="J26" s="65">
        <f>IF(SER_hh_tes!J26=0,0,11630*1000*SER_hh_tes!J26/SER_hh_num!J26)</f>
        <v>12781.041584824556</v>
      </c>
      <c r="K26" s="65">
        <f>IF(SER_hh_tes!K26=0,0,11630*1000*SER_hh_tes!K26/SER_hh_num!K26)</f>
        <v>12830.483652361296</v>
      </c>
      <c r="L26" s="65">
        <f>IF(SER_hh_tes!L26=0,0,11630*1000*SER_hh_tes!L26/SER_hh_num!L26)</f>
        <v>12900.715440108579</v>
      </c>
      <c r="M26" s="65">
        <f>IF(SER_hh_tes!M26=0,0,11630*1000*SER_hh_tes!M26/SER_hh_num!M26)</f>
        <v>12725.529995044424</v>
      </c>
      <c r="N26" s="65">
        <f>IF(SER_hh_tes!N26=0,0,11630*1000*SER_hh_tes!N26/SER_hh_num!N26)</f>
        <v>13251.37736426067</v>
      </c>
      <c r="O26" s="65">
        <f>IF(SER_hh_tes!O26=0,0,11630*1000*SER_hh_tes!O26/SER_hh_num!O26)</f>
        <v>13651.733016803453</v>
      </c>
      <c r="P26" s="65">
        <f>IF(SER_hh_tes!P26=0,0,11630*1000*SER_hh_tes!P26/SER_hh_num!P26)</f>
        <v>13188.271443508645</v>
      </c>
      <c r="Q26" s="65">
        <f>IF(SER_hh_tes!Q26=0,0,11630*1000*SER_hh_tes!Q26/SER_hh_num!Q26)</f>
        <v>12726.161817737486</v>
      </c>
      <c r="R26" s="65">
        <f>IF(SER_hh_tes!R26=0,0,11630*1000*SER_hh_tes!R26/SER_hh_num!R26)</f>
        <v>12657.829990798511</v>
      </c>
      <c r="S26" s="65">
        <f>IF(SER_hh_tes!S26=0,0,11630*1000*SER_hh_tes!S26/SER_hh_num!S26)</f>
        <v>12350.370528963833</v>
      </c>
      <c r="T26" s="65">
        <f>IF(SER_hh_tes!T26=0,0,11630*1000*SER_hh_tes!T26/SER_hh_num!T26)</f>
        <v>12285.098566385785</v>
      </c>
      <c r="U26" s="65">
        <f>IF(SER_hh_tes!U26=0,0,11630*1000*SER_hh_tes!U26/SER_hh_num!U26)</f>
        <v>12131.689528663683</v>
      </c>
      <c r="V26" s="65">
        <f>IF(SER_hh_tes!V26=0,0,11630*1000*SER_hh_tes!V26/SER_hh_num!V26)</f>
        <v>11045.409525813831</v>
      </c>
      <c r="W26" s="65">
        <f>IF(SER_hh_tes!W26=0,0,11630*1000*SER_hh_tes!W26/SER_hh_num!W26)</f>
        <v>10087.76327986425</v>
      </c>
      <c r="X26" s="65">
        <f>IF(SER_hh_tes!X26=0,0,11630*1000*SER_hh_tes!X26/SER_hh_num!X26)</f>
        <v>13436.758981190698</v>
      </c>
      <c r="Y26" s="65">
        <f>IF(SER_hh_tes!Y26=0,0,11630*1000*SER_hh_tes!Y26/SER_hh_num!Y26)</f>
        <v>12912.259372994908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127.57529672597484</v>
      </c>
      <c r="C27" s="145">
        <f>IF(SER_hh_tes!C27=0,0,11630*1000*SER_hh_tes!C27/SER_hh_num!C19)</f>
        <v>131.45233282237569</v>
      </c>
      <c r="D27" s="145">
        <f>IF(SER_hh_tes!D27=0,0,11630*1000*SER_hh_tes!D27/SER_hh_num!D19)</f>
        <v>151.39899428939708</v>
      </c>
      <c r="E27" s="145">
        <f>IF(SER_hh_tes!E27=0,0,11630*1000*SER_hh_tes!E27/SER_hh_num!E19)</f>
        <v>167.23375391155855</v>
      </c>
      <c r="F27" s="145">
        <f>IF(SER_hh_tes!F27=0,0,11630*1000*SER_hh_tes!F27/SER_hh_num!F19)</f>
        <v>191.67243935021949</v>
      </c>
      <c r="G27" s="145">
        <f>IF(SER_hh_tes!G27=0,0,11630*1000*SER_hh_tes!G27/SER_hh_num!G19)</f>
        <v>214.42274874549369</v>
      </c>
      <c r="H27" s="145">
        <f>IF(SER_hh_tes!H27=0,0,11630*1000*SER_hh_tes!H27/SER_hh_num!H19)</f>
        <v>238.87318099618543</v>
      </c>
      <c r="I27" s="145">
        <f>IF(SER_hh_tes!I27=0,0,11630*1000*SER_hh_tes!I27/SER_hh_num!I19)</f>
        <v>267.11455539841785</v>
      </c>
      <c r="J27" s="145">
        <f>IF(SER_hh_tes!J27=0,0,11630*1000*SER_hh_tes!J27/SER_hh_num!J19)</f>
        <v>326.89102377823832</v>
      </c>
      <c r="K27" s="145">
        <f>IF(SER_hh_tes!K27=0,0,11630*1000*SER_hh_tes!K27/SER_hh_num!K19)</f>
        <v>373.85176207253852</v>
      </c>
      <c r="L27" s="145">
        <f>IF(SER_hh_tes!L27=0,0,11630*1000*SER_hh_tes!L27/SER_hh_num!L19)</f>
        <v>416.85433977454778</v>
      </c>
      <c r="M27" s="145">
        <f>IF(SER_hh_tes!M27=0,0,11630*1000*SER_hh_tes!M27/SER_hh_num!M19)</f>
        <v>481.50374515505484</v>
      </c>
      <c r="N27" s="145">
        <f>IF(SER_hh_tes!N27=0,0,11630*1000*SER_hh_tes!N27/SER_hh_num!N19)</f>
        <v>575.68987513398258</v>
      </c>
      <c r="O27" s="145">
        <f>IF(SER_hh_tes!O27=0,0,11630*1000*SER_hh_tes!O27/SER_hh_num!O19)</f>
        <v>658.79976936810124</v>
      </c>
      <c r="P27" s="145">
        <f>IF(SER_hh_tes!P27=0,0,11630*1000*SER_hh_tes!P27/SER_hh_num!P19)</f>
        <v>726.80059503496932</v>
      </c>
      <c r="Q27" s="145">
        <f>IF(SER_hh_tes!Q27=0,0,11630*1000*SER_hh_tes!Q27/SER_hh_num!Q19)</f>
        <v>781.83644243574986</v>
      </c>
      <c r="R27" s="145">
        <f>IF(SER_hh_tes!R27=0,0,11630*1000*SER_hh_tes!R27/SER_hh_num!R19)</f>
        <v>863.85792072223717</v>
      </c>
      <c r="S27" s="145">
        <f>IF(SER_hh_tes!S27=0,0,11630*1000*SER_hh_tes!S27/SER_hh_num!S19)</f>
        <v>954.17491725796367</v>
      </c>
      <c r="T27" s="145">
        <f>IF(SER_hh_tes!T27=0,0,11630*1000*SER_hh_tes!T27/SER_hh_num!T19)</f>
        <v>1022.9574551706515</v>
      </c>
      <c r="U27" s="145">
        <f>IF(SER_hh_tes!U27=0,0,11630*1000*SER_hh_tes!U27/SER_hh_num!U19)</f>
        <v>1121.8784248360937</v>
      </c>
      <c r="V27" s="145">
        <f>IF(SER_hh_tes!V27=0,0,11630*1000*SER_hh_tes!V27/SER_hh_num!V19)</f>
        <v>1174.4520770501633</v>
      </c>
      <c r="W27" s="145">
        <f>IF(SER_hh_tes!W27=0,0,11630*1000*SER_hh_tes!W27/SER_hh_num!W19)</f>
        <v>1213.8637031748194</v>
      </c>
      <c r="X27" s="145">
        <f>IF(SER_hh_tes!X27=0,0,11630*1000*SER_hh_tes!X27/SER_hh_num!X19)</f>
        <v>1130.8739790001694</v>
      </c>
      <c r="Y27" s="145">
        <f>IF(SER_hh_tes!Y27=0,0,11630*1000*SER_hh_tes!Y27/SER_hh_num!Y19)</f>
        <v>1148.1851083621782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8858.9869382978486</v>
      </c>
      <c r="C28" s="146">
        <f>IF(SER_hh_tes!C27=0,0,11630*1000*SER_hh_tes!C27/SER_hh_num!C27)</f>
        <v>9173.3662748480201</v>
      </c>
      <c r="D28" s="146">
        <f>IF(SER_hh_tes!D27=0,0,11630*1000*SER_hh_tes!D27/SER_hh_num!D27)</f>
        <v>9152.264704754265</v>
      </c>
      <c r="E28" s="146">
        <f>IF(SER_hh_tes!E27=0,0,11630*1000*SER_hh_tes!E27/SER_hh_num!E27)</f>
        <v>9739.0675391681416</v>
      </c>
      <c r="F28" s="146">
        <f>IF(SER_hh_tes!F27=0,0,11630*1000*SER_hh_tes!F27/SER_hh_num!F27)</f>
        <v>9597.4739394264689</v>
      </c>
      <c r="G28" s="146">
        <f>IF(SER_hh_tes!G27=0,0,11630*1000*SER_hh_tes!G27/SER_hh_num!G27)</f>
        <v>9748.6004534885524</v>
      </c>
      <c r="H28" s="146">
        <f>IF(SER_hh_tes!H27=0,0,11630*1000*SER_hh_tes!H27/SER_hh_num!H27)</f>
        <v>9561.6489048878957</v>
      </c>
      <c r="I28" s="146">
        <f>IF(SER_hh_tes!I27=0,0,11630*1000*SER_hh_tes!I27/SER_hh_num!I27)</f>
        <v>9622.1242242150765</v>
      </c>
      <c r="J28" s="146">
        <f>IF(SER_hh_tes!J27=0,0,11630*1000*SER_hh_tes!J27/SER_hh_num!J27)</f>
        <v>9810.9900345377082</v>
      </c>
      <c r="K28" s="146">
        <f>IF(SER_hh_tes!K27=0,0,11630*1000*SER_hh_tes!K27/SER_hh_num!K27)</f>
        <v>10165.913650635926</v>
      </c>
      <c r="L28" s="146">
        <f>IF(SER_hh_tes!L27=0,0,11630*1000*SER_hh_tes!L27/SER_hh_num!L27)</f>
        <v>10292.549101105193</v>
      </c>
      <c r="M28" s="146">
        <f>IF(SER_hh_tes!M27=0,0,11630*1000*SER_hh_tes!M27/SER_hh_num!M27)</f>
        <v>10159.174207521241</v>
      </c>
      <c r="N28" s="146">
        <f>IF(SER_hh_tes!N27=0,0,11630*1000*SER_hh_tes!N27/SER_hh_num!N27)</f>
        <v>10521.375367507844</v>
      </c>
      <c r="O28" s="146">
        <f>IF(SER_hh_tes!O27=0,0,11630*1000*SER_hh_tes!O27/SER_hh_num!O27)</f>
        <v>10922.693361784271</v>
      </c>
      <c r="P28" s="146">
        <f>IF(SER_hh_tes!P27=0,0,11630*1000*SER_hh_tes!P27/SER_hh_num!P27)</f>
        <v>10634.190363169178</v>
      </c>
      <c r="Q28" s="146">
        <f>IF(SER_hh_tes!Q27=0,0,11630*1000*SER_hh_tes!Q27/SER_hh_num!Q27)</f>
        <v>10186.767827283174</v>
      </c>
      <c r="R28" s="146">
        <f>IF(SER_hh_tes!R27=0,0,11630*1000*SER_hh_tes!R27/SER_hh_num!R27)</f>
        <v>10393.137167893166</v>
      </c>
      <c r="S28" s="146">
        <f>IF(SER_hh_tes!S27=0,0,11630*1000*SER_hh_tes!S27/SER_hh_num!S27)</f>
        <v>10565.023162316636</v>
      </c>
      <c r="T28" s="146">
        <f>IF(SER_hh_tes!T27=0,0,11630*1000*SER_hh_tes!T27/SER_hh_num!T27)</f>
        <v>10497.509768254062</v>
      </c>
      <c r="U28" s="146">
        <f>IF(SER_hh_tes!U27=0,0,11630*1000*SER_hh_tes!U27/SER_hh_num!U27)</f>
        <v>10782.27276519652</v>
      </c>
      <c r="V28" s="146">
        <f>IF(SER_hh_tes!V27=0,0,11630*1000*SER_hh_tes!V27/SER_hh_num!V27)</f>
        <v>10160.280166379045</v>
      </c>
      <c r="W28" s="146">
        <f>IF(SER_hh_tes!W27=0,0,11630*1000*SER_hh_tes!W27/SER_hh_num!W27)</f>
        <v>10163.279288479685</v>
      </c>
      <c r="X28" s="146">
        <f>IF(SER_hh_tes!X27=0,0,11630*1000*SER_hh_tes!X27/SER_hh_num!X27)</f>
        <v>9782.8755462340287</v>
      </c>
      <c r="Y28" s="146">
        <f>IF(SER_hh_tes!Y27=0,0,11630*1000*SER_hh_tes!Y27/SER_hh_num!Y27)</f>
        <v>9576.0988952437565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14944.13405599332</v>
      </c>
      <c r="C29" s="130">
        <f>IF(SER_hh_tes!C29=0,0,11630*1000*SER_hh_tes!C29/SER_hh_num!C29)</f>
        <v>15474.276508035613</v>
      </c>
      <c r="D29" s="130">
        <f>IF(SER_hh_tes!D29=0,0,11630*1000*SER_hh_tes!D29/SER_hh_num!D29)</f>
        <v>15608.471343191548</v>
      </c>
      <c r="E29" s="130">
        <f>IF(SER_hh_tes!E29=0,0,11630*1000*SER_hh_tes!E29/SER_hh_num!E29)</f>
        <v>15207.674119045916</v>
      </c>
      <c r="F29" s="130">
        <f>IF(SER_hh_tes!F29=0,0,11630*1000*SER_hh_tes!F29/SER_hh_num!F29)</f>
        <v>15552.543168215696</v>
      </c>
      <c r="G29" s="130">
        <f>IF(SER_hh_tes!G29=0,0,11630*1000*SER_hh_tes!G29/SER_hh_num!G29)</f>
        <v>15726.14701499297</v>
      </c>
      <c r="H29" s="130">
        <f>IF(SER_hh_tes!H29=0,0,11630*1000*SER_hh_tes!H29/SER_hh_num!H29)</f>
        <v>15936.456753717328</v>
      </c>
      <c r="I29" s="130">
        <f>IF(SER_hh_tes!I29=0,0,11630*1000*SER_hh_tes!I29/SER_hh_num!I29)</f>
        <v>16166.020717714096</v>
      </c>
      <c r="J29" s="130">
        <f>IF(SER_hh_tes!J29=0,0,11630*1000*SER_hh_tes!J29/SER_hh_num!J29)</f>
        <v>16749.745739867627</v>
      </c>
      <c r="K29" s="130">
        <f>IF(SER_hh_tes!K29=0,0,11630*1000*SER_hh_tes!K29/SER_hh_num!K29)</f>
        <v>17458.437692679683</v>
      </c>
      <c r="L29" s="130">
        <f>IF(SER_hh_tes!L29=0,0,11630*1000*SER_hh_tes!L29/SER_hh_num!L29)</f>
        <v>17724.408388417265</v>
      </c>
      <c r="M29" s="130">
        <f>IF(SER_hh_tes!M29=0,0,11630*1000*SER_hh_tes!M29/SER_hh_num!M29)</f>
        <v>17735.991459436886</v>
      </c>
      <c r="N29" s="130">
        <f>IF(SER_hh_tes!N29=0,0,11630*1000*SER_hh_tes!N29/SER_hh_num!N29)</f>
        <v>18392.296178366447</v>
      </c>
      <c r="O29" s="130">
        <f>IF(SER_hh_tes!O29=0,0,11630*1000*SER_hh_tes!O29/SER_hh_num!O29)</f>
        <v>18805.625015660302</v>
      </c>
      <c r="P29" s="130">
        <f>IF(SER_hh_tes!P29=0,0,11630*1000*SER_hh_tes!P29/SER_hh_num!P29)</f>
        <v>19141.896139376709</v>
      </c>
      <c r="Q29" s="130">
        <f>IF(SER_hh_tes!Q29=0,0,11630*1000*SER_hh_tes!Q29/SER_hh_num!Q29)</f>
        <v>19123.016140882999</v>
      </c>
      <c r="R29" s="130">
        <f>IF(SER_hh_tes!R29=0,0,11630*1000*SER_hh_tes!R29/SER_hh_num!R29)</f>
        <v>19710.22713109836</v>
      </c>
      <c r="S29" s="130">
        <f>IF(SER_hh_tes!S29=0,0,11630*1000*SER_hh_tes!S29/SER_hh_num!S29)</f>
        <v>20103.09233197898</v>
      </c>
      <c r="T29" s="130">
        <f>IF(SER_hh_tes!T29=0,0,11630*1000*SER_hh_tes!T29/SER_hh_num!T29)</f>
        <v>20533.549558503448</v>
      </c>
      <c r="U29" s="130">
        <f>IF(SER_hh_tes!U29=0,0,11630*1000*SER_hh_tes!U29/SER_hh_num!U29)</f>
        <v>20883.71304930489</v>
      </c>
      <c r="V29" s="130">
        <f>IF(SER_hh_tes!V29=0,0,11630*1000*SER_hh_tes!V29/SER_hh_num!V29)</f>
        <v>17973.752275157342</v>
      </c>
      <c r="W29" s="130">
        <f>IF(SER_hh_tes!W29=0,0,11630*1000*SER_hh_tes!W29/SER_hh_num!W29)</f>
        <v>20963.292703923467</v>
      </c>
      <c r="X29" s="130">
        <f>IF(SER_hh_tes!X29=0,0,11630*1000*SER_hh_tes!X29/SER_hh_num!X29)</f>
        <v>20945.251255012325</v>
      </c>
      <c r="Y29" s="130">
        <f>IF(SER_hh_tes!Y29=0,0,11630*1000*SER_hh_tes!Y29/SER_hh_num!Y29)</f>
        <v>20863.160123412577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9534.584910632846</v>
      </c>
      <c r="C30" s="132">
        <f>IF(SER_hh_tes!C30=0,0,11630*1000*SER_hh_tes!C30/SER_hh_num!C30)</f>
        <v>18798.801211159542</v>
      </c>
      <c r="D30" s="132">
        <f>IF(SER_hh_tes!D30=0,0,11630*1000*SER_hh_tes!D30/SER_hh_num!D30)</f>
        <v>14809.354244115377</v>
      </c>
      <c r="E30" s="132">
        <f>IF(SER_hh_tes!E30=0,0,11630*1000*SER_hh_tes!E30/SER_hh_num!E30)</f>
        <v>15380.360820350686</v>
      </c>
      <c r="F30" s="132">
        <f>IF(SER_hh_tes!F30=0,0,11630*1000*SER_hh_tes!F30/SER_hh_num!F30)</f>
        <v>16553.764276517148</v>
      </c>
      <c r="G30" s="132">
        <f>IF(SER_hh_tes!G30=0,0,11630*1000*SER_hh_tes!G30/SER_hh_num!G30)</f>
        <v>15124.481956119964</v>
      </c>
      <c r="H30" s="132">
        <f>IF(SER_hh_tes!H30=0,0,11630*1000*SER_hh_tes!H30/SER_hh_num!H30)</f>
        <v>16536.34623083409</v>
      </c>
      <c r="I30" s="132">
        <f>IF(SER_hh_tes!I30=0,0,11630*1000*SER_hh_tes!I30/SER_hh_num!I30)</f>
        <v>15480.985107356461</v>
      </c>
      <c r="J30" s="132">
        <f>IF(SER_hh_tes!J30=0,0,11630*1000*SER_hh_tes!J30/SER_hh_num!J30)</f>
        <v>15934.647994777933</v>
      </c>
      <c r="K30" s="132">
        <f>IF(SER_hh_tes!K30=0,0,11630*1000*SER_hh_tes!K30/SER_hh_num!K30)</f>
        <v>18775.075220816863</v>
      </c>
      <c r="L30" s="132">
        <f>IF(SER_hh_tes!L30=0,0,11630*1000*SER_hh_tes!L30/SER_hh_num!L30)</f>
        <v>20404.330898313907</v>
      </c>
      <c r="M30" s="132">
        <f>IF(SER_hh_tes!M30=0,0,11630*1000*SER_hh_tes!M30/SER_hh_num!M30)</f>
        <v>17985.829373661134</v>
      </c>
      <c r="N30" s="132">
        <f>IF(SER_hh_tes!N30=0,0,11630*1000*SER_hh_tes!N30/SER_hh_num!N30)</f>
        <v>18098.531712061285</v>
      </c>
      <c r="O30" s="132">
        <f>IF(SER_hh_tes!O30=0,0,11630*1000*SER_hh_tes!O30/SER_hh_num!O30)</f>
        <v>18665.110049061997</v>
      </c>
      <c r="P30" s="132">
        <f>IF(SER_hh_tes!P30=0,0,11630*1000*SER_hh_tes!P30/SER_hh_num!P30)</f>
        <v>18768.120093167585</v>
      </c>
      <c r="Q30" s="132">
        <f>IF(SER_hh_tes!Q30=0,0,11630*1000*SER_hh_tes!Q30/SER_hh_num!Q30)</f>
        <v>18636.3912389652</v>
      </c>
      <c r="R30" s="132">
        <f>IF(SER_hh_tes!R30=0,0,11630*1000*SER_hh_tes!R30/SER_hh_num!R30)</f>
        <v>20932.734626297333</v>
      </c>
      <c r="S30" s="132">
        <f>IF(SER_hh_tes!S30=0,0,11630*1000*SER_hh_tes!S30/SER_hh_num!S30)</f>
        <v>19818.778126450699</v>
      </c>
      <c r="T30" s="132">
        <f>IF(SER_hh_tes!T30=0,0,11630*1000*SER_hh_tes!T30/SER_hh_num!T30)</f>
        <v>19638.1852306248</v>
      </c>
      <c r="U30" s="132">
        <f>IF(SER_hh_tes!U30=0,0,11630*1000*SER_hh_tes!U30/SER_hh_num!U30)</f>
        <v>21495.048535083468</v>
      </c>
      <c r="V30" s="132">
        <f>IF(SER_hh_tes!V30=0,0,11630*1000*SER_hh_tes!V30/SER_hh_num!V30)</f>
        <v>18310.156371744135</v>
      </c>
      <c r="W30" s="132">
        <f>IF(SER_hh_tes!W30=0,0,11630*1000*SER_hh_tes!W30/SER_hh_num!W30)</f>
        <v>23884.298303922758</v>
      </c>
      <c r="X30" s="132">
        <f>IF(SER_hh_tes!X30=0,0,11630*1000*SER_hh_tes!X30/SER_hh_num!X30)</f>
        <v>19568.617006653407</v>
      </c>
      <c r="Y30" s="132">
        <f>IF(SER_hh_tes!Y30=0,0,11630*1000*SER_hh_tes!Y30/SER_hh_num!Y30)</f>
        <v>19132.197341341718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14887.655079164702</v>
      </c>
      <c r="C31" s="132">
        <f>IF(SER_hh_tes!C31=0,0,11630*1000*SER_hh_tes!C31/SER_hh_num!C31)</f>
        <v>15454.431851632942</v>
      </c>
      <c r="D31" s="132">
        <f>IF(SER_hh_tes!D31=0,0,11630*1000*SER_hh_tes!D31/SER_hh_num!D31)</f>
        <v>15536.455827431257</v>
      </c>
      <c r="E31" s="132">
        <f>IF(SER_hh_tes!E31=0,0,11630*1000*SER_hh_tes!E31/SER_hh_num!E31)</f>
        <v>15419.888536218863</v>
      </c>
      <c r="F31" s="132">
        <f>IF(SER_hh_tes!F31=0,0,11630*1000*SER_hh_tes!F31/SER_hh_num!F31)</f>
        <v>15338.755433858336</v>
      </c>
      <c r="G31" s="132">
        <f>IF(SER_hh_tes!G31=0,0,11630*1000*SER_hh_tes!G31/SER_hh_num!G31)</f>
        <v>15811.701253614414</v>
      </c>
      <c r="H31" s="132">
        <f>IF(SER_hh_tes!H31=0,0,11630*1000*SER_hh_tes!H31/SER_hh_num!H31)</f>
        <v>15778.306054382363</v>
      </c>
      <c r="I31" s="132">
        <f>IF(SER_hh_tes!I31=0,0,11630*1000*SER_hh_tes!I31/SER_hh_num!I31)</f>
        <v>16256.628637827398</v>
      </c>
      <c r="J31" s="132">
        <f>IF(SER_hh_tes!J31=0,0,11630*1000*SER_hh_tes!J31/SER_hh_num!J31)</f>
        <v>16943.06553902644</v>
      </c>
      <c r="K31" s="132">
        <f>IF(SER_hh_tes!K31=0,0,11630*1000*SER_hh_tes!K31/SER_hh_num!K31)</f>
        <v>17397.378150783701</v>
      </c>
      <c r="L31" s="132">
        <f>IF(SER_hh_tes!L31=0,0,11630*1000*SER_hh_tes!L31/SER_hh_num!L31)</f>
        <v>17415.087348362787</v>
      </c>
      <c r="M31" s="132">
        <f>IF(SER_hh_tes!M31=0,0,11630*1000*SER_hh_tes!M31/SER_hh_num!M31)</f>
        <v>17871.145186541376</v>
      </c>
      <c r="N31" s="132">
        <f>IF(SER_hh_tes!N31=0,0,11630*1000*SER_hh_tes!N31/SER_hh_num!N31)</f>
        <v>18636.327803019631</v>
      </c>
      <c r="O31" s="132">
        <f>IF(SER_hh_tes!O31=0,0,11630*1000*SER_hh_tes!O31/SER_hh_num!O31)</f>
        <v>18555.795011978393</v>
      </c>
      <c r="P31" s="132">
        <f>IF(SER_hh_tes!P31=0,0,11630*1000*SER_hh_tes!P31/SER_hh_num!P31)</f>
        <v>18666.351622968839</v>
      </c>
      <c r="Q31" s="132">
        <f>IF(SER_hh_tes!Q31=0,0,11630*1000*SER_hh_tes!Q31/SER_hh_num!Q31)</f>
        <v>19382.396998468892</v>
      </c>
      <c r="R31" s="132">
        <f>IF(SER_hh_tes!R31=0,0,11630*1000*SER_hh_tes!R31/SER_hh_num!R31)</f>
        <v>19599.963368714027</v>
      </c>
      <c r="S31" s="132">
        <f>IF(SER_hh_tes!S31=0,0,11630*1000*SER_hh_tes!S31/SER_hh_num!S31)</f>
        <v>20488.53469221295</v>
      </c>
      <c r="T31" s="132">
        <f>IF(SER_hh_tes!T31=0,0,11630*1000*SER_hh_tes!T31/SER_hh_num!T31)</f>
        <v>20772.647075173543</v>
      </c>
      <c r="U31" s="132">
        <f>IF(SER_hh_tes!U31=0,0,11630*1000*SER_hh_tes!U31/SER_hh_num!U31)</f>
        <v>20393.010823523789</v>
      </c>
      <c r="V31" s="132">
        <f>IF(SER_hh_tes!V31=0,0,11630*1000*SER_hh_tes!V31/SER_hh_num!V31)</f>
        <v>17065.561941610176</v>
      </c>
      <c r="W31" s="132">
        <f>IF(SER_hh_tes!W31=0,0,11630*1000*SER_hh_tes!W31/SER_hh_num!W31)</f>
        <v>17807.506529255559</v>
      </c>
      <c r="X31" s="132">
        <f>IF(SER_hh_tes!X31=0,0,11630*1000*SER_hh_tes!X31/SER_hh_num!X31)</f>
        <v>25904.576198322273</v>
      </c>
      <c r="Y31" s="132">
        <f>IF(SER_hh_tes!Y31=0,0,11630*1000*SER_hh_tes!Y31/SER_hh_num!Y31)</f>
        <v>19898.606551832359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25448.350322249556</v>
      </c>
      <c r="L32" s="132">
        <f>IF(SER_hh_tes!L32=0,0,11630*1000*SER_hh_tes!L32/SER_hh_num!L32)</f>
        <v>20224.995588212387</v>
      </c>
      <c r="M32" s="132">
        <f>IF(SER_hh_tes!M32=0,0,11630*1000*SER_hh_tes!M32/SER_hh_num!M32)</f>
        <v>17050.139514636016</v>
      </c>
      <c r="N32" s="132">
        <f>IF(SER_hh_tes!N32=0,0,11630*1000*SER_hh_tes!N32/SER_hh_num!N32)</f>
        <v>18180.18665119533</v>
      </c>
      <c r="O32" s="132">
        <f>IF(SER_hh_tes!O32=0,0,11630*1000*SER_hh_tes!O32/SER_hh_num!O32)</f>
        <v>18534.223910766312</v>
      </c>
      <c r="P32" s="132">
        <f>IF(SER_hh_tes!P32=0,0,11630*1000*SER_hh_tes!P32/SER_hh_num!P32)</f>
        <v>17558.093356597667</v>
      </c>
      <c r="Q32" s="132">
        <f>IF(SER_hh_tes!Q32=0,0,11630*1000*SER_hh_tes!Q32/SER_hh_num!Q32)</f>
        <v>17520.195663418708</v>
      </c>
      <c r="R32" s="132">
        <f>IF(SER_hh_tes!R32=0,0,11630*1000*SER_hh_tes!R32/SER_hh_num!R32)</f>
        <v>17066.91025461123</v>
      </c>
      <c r="S32" s="132">
        <f>IF(SER_hh_tes!S32=0,0,11630*1000*SER_hh_tes!S32/SER_hh_num!S32)</f>
        <v>17913.062134322754</v>
      </c>
      <c r="T32" s="132">
        <f>IF(SER_hh_tes!T32=0,0,11630*1000*SER_hh_tes!T32/SER_hh_num!T32)</f>
        <v>21734.605773869414</v>
      </c>
      <c r="U32" s="132">
        <f>IF(SER_hh_tes!U32=0,0,11630*1000*SER_hh_tes!U32/SER_hh_num!U32)</f>
        <v>22765.739870153659</v>
      </c>
      <c r="V32" s="132">
        <f>IF(SER_hh_tes!V32=0,0,11630*1000*SER_hh_tes!V32/SER_hh_num!V32)</f>
        <v>18769.766792095576</v>
      </c>
      <c r="W32" s="132">
        <f>IF(SER_hh_tes!W32=0,0,11630*1000*SER_hh_tes!W32/SER_hh_num!W32)</f>
        <v>18880.463689609245</v>
      </c>
      <c r="X32" s="132">
        <f>IF(SER_hh_tes!X32=0,0,11630*1000*SER_hh_tes!X32/SER_hh_num!X32)</f>
        <v>15406.783092426424</v>
      </c>
      <c r="Y32" s="132">
        <f>IF(SER_hh_tes!Y32=0,0,11630*1000*SER_hh_tes!Y32/SER_hh_num!Y32)</f>
        <v>24041.003569907527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15185.03516789069</v>
      </c>
      <c r="C33" s="68">
        <f>IF(SER_hh_tes!C33=0,0,11630*1000*SER_hh_tes!C33/SER_hh_num!C33)</f>
        <v>15278.190597766732</v>
      </c>
      <c r="D33" s="68">
        <f>IF(SER_hh_tes!D33=0,0,11630*1000*SER_hh_tes!D33/SER_hh_num!D33)</f>
        <v>15671.551444160286</v>
      </c>
      <c r="E33" s="68">
        <f>IF(SER_hh_tes!E33=0,0,11630*1000*SER_hh_tes!E33/SER_hh_num!E33)</f>
        <v>15169.661690490515</v>
      </c>
      <c r="F33" s="68">
        <f>IF(SER_hh_tes!F33=0,0,11630*1000*SER_hh_tes!F33/SER_hh_num!F33)</f>
        <v>15495.680003265032</v>
      </c>
      <c r="G33" s="68">
        <f>IF(SER_hh_tes!G33=0,0,11630*1000*SER_hh_tes!G33/SER_hh_num!G33)</f>
        <v>15766.072589544563</v>
      </c>
      <c r="H33" s="68">
        <f>IF(SER_hh_tes!H33=0,0,11630*1000*SER_hh_tes!H33/SER_hh_num!H33)</f>
        <v>15904.016476720455</v>
      </c>
      <c r="I33" s="68">
        <f>IF(SER_hh_tes!I33=0,0,11630*1000*SER_hh_tes!I33/SER_hh_num!I33)</f>
        <v>16212.520895922858</v>
      </c>
      <c r="J33" s="68">
        <f>IF(SER_hh_tes!J33=0,0,11630*1000*SER_hh_tes!J33/SER_hh_num!J33)</f>
        <v>16800.765960658031</v>
      </c>
      <c r="K33" s="68">
        <f>IF(SER_hh_tes!K33=0,0,11630*1000*SER_hh_tes!K33/SER_hh_num!K33)</f>
        <v>17300.045003298932</v>
      </c>
      <c r="L33" s="68">
        <f>IF(SER_hh_tes!L33=0,0,11630*1000*SER_hh_tes!L33/SER_hh_num!L33)</f>
        <v>17488.765397132855</v>
      </c>
      <c r="M33" s="68">
        <f>IF(SER_hh_tes!M33=0,0,11630*1000*SER_hh_tes!M33/SER_hh_num!M33)</f>
        <v>17702.884962258671</v>
      </c>
      <c r="N33" s="68">
        <f>IF(SER_hh_tes!N33=0,0,11630*1000*SER_hh_tes!N33/SER_hh_num!N33)</f>
        <v>18393.450964576998</v>
      </c>
      <c r="O33" s="68">
        <f>IF(SER_hh_tes!O33=0,0,11630*1000*SER_hh_tes!O33/SER_hh_num!O33)</f>
        <v>18848.826726385869</v>
      </c>
      <c r="P33" s="68">
        <f>IF(SER_hh_tes!P33=0,0,11630*1000*SER_hh_tes!P33/SER_hh_num!P33)</f>
        <v>19238.935045664741</v>
      </c>
      <c r="Q33" s="68">
        <f>IF(SER_hh_tes!Q33=0,0,11630*1000*SER_hh_tes!Q33/SER_hh_num!Q33)</f>
        <v>19143.730349583813</v>
      </c>
      <c r="R33" s="68">
        <f>IF(SER_hh_tes!R33=0,0,11630*1000*SER_hh_tes!R33/SER_hh_num!R33)</f>
        <v>19639.401248907892</v>
      </c>
      <c r="S33" s="68">
        <f>IF(SER_hh_tes!S33=0,0,11630*1000*SER_hh_tes!S33/SER_hh_num!S33)</f>
        <v>20093.813500978398</v>
      </c>
      <c r="T33" s="68">
        <f>IF(SER_hh_tes!T33=0,0,11630*1000*SER_hh_tes!T33/SER_hh_num!T33)</f>
        <v>20565.668134811105</v>
      </c>
      <c r="U33" s="68">
        <f>IF(SER_hh_tes!U33=0,0,11630*1000*SER_hh_tes!U33/SER_hh_num!U33)</f>
        <v>20879.351374424728</v>
      </c>
      <c r="V33" s="68">
        <f>IF(SER_hh_tes!V33=0,0,11630*1000*SER_hh_tes!V33/SER_hh_num!V33)</f>
        <v>18063.039279653451</v>
      </c>
      <c r="W33" s="68">
        <f>IF(SER_hh_tes!W33=0,0,11630*1000*SER_hh_tes!W33/SER_hh_num!W33)</f>
        <v>21243.582437487246</v>
      </c>
      <c r="X33" s="68">
        <f>IF(SER_hh_tes!X33=0,0,11630*1000*SER_hh_tes!X33/SER_hh_num!X33)</f>
        <v>20223.17485586206</v>
      </c>
      <c r="Y33" s="68">
        <f>IF(SER_hh_tes!Y33=0,0,11630*1000*SER_hh_tes!Y33/SER_hh_num!Y33)</f>
        <v>21102.01224967714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19935.074071578259</v>
      </c>
      <c r="C3" s="125">
        <f>IF(SER_hh_emi!C3=0,0,1000000*SER_hh_emi!C3/SER_hh_num!C3)</f>
        <v>22525.826042843484</v>
      </c>
      <c r="D3" s="125">
        <f>IF(SER_hh_emi!D3=0,0,1000000*SER_hh_emi!D3/SER_hh_num!D3)</f>
        <v>22863.784821792317</v>
      </c>
      <c r="E3" s="125">
        <f>IF(SER_hh_emi!E3=0,0,1000000*SER_hh_emi!E3/SER_hh_num!E3)</f>
        <v>22353.80303829454</v>
      </c>
      <c r="F3" s="125">
        <f>IF(SER_hh_emi!F3=0,0,1000000*SER_hh_emi!F3/SER_hh_num!F3)</f>
        <v>21497.694645805292</v>
      </c>
      <c r="G3" s="125">
        <f>IF(SER_hh_emi!G3=0,0,1000000*SER_hh_emi!G3/SER_hh_num!G3)</f>
        <v>19992.254742605175</v>
      </c>
      <c r="H3" s="125">
        <f>IF(SER_hh_emi!H3=0,0,1000000*SER_hh_emi!H3/SER_hh_num!H3)</f>
        <v>17525.845264760861</v>
      </c>
      <c r="I3" s="125">
        <f>IF(SER_hh_emi!I3=0,0,1000000*SER_hh_emi!I3/SER_hh_num!I3)</f>
        <v>14780.787967553648</v>
      </c>
      <c r="J3" s="125">
        <f>IF(SER_hh_emi!J3=0,0,1000000*SER_hh_emi!J3/SER_hh_num!J3)</f>
        <v>14762.125297478622</v>
      </c>
      <c r="K3" s="125">
        <f>IF(SER_hh_emi!K3=0,0,1000000*SER_hh_emi!K3/SER_hh_num!K3)</f>
        <v>14575.007489479423</v>
      </c>
      <c r="L3" s="125">
        <f>IF(SER_hh_emi!L3=0,0,1000000*SER_hh_emi!L3/SER_hh_num!L3)</f>
        <v>15505.133423851401</v>
      </c>
      <c r="M3" s="125">
        <f>IF(SER_hh_emi!M3=0,0,1000000*SER_hh_emi!M3/SER_hh_num!M3)</f>
        <v>13986.814054698842</v>
      </c>
      <c r="N3" s="125">
        <f>IF(SER_hh_emi!N3=0,0,1000000*SER_hh_emi!N3/SER_hh_num!N3)</f>
        <v>12525.730713071542</v>
      </c>
      <c r="O3" s="125">
        <f>IF(SER_hh_emi!O3=0,0,1000000*SER_hh_emi!O3/SER_hh_num!O3)</f>
        <v>11829.7815738441</v>
      </c>
      <c r="P3" s="125">
        <f>IF(SER_hh_emi!P3=0,0,1000000*SER_hh_emi!P3/SER_hh_num!P3)</f>
        <v>10514.667431761376</v>
      </c>
      <c r="Q3" s="125">
        <f>IF(SER_hh_emi!Q3=0,0,1000000*SER_hh_emi!Q3/SER_hh_num!Q3)</f>
        <v>12671.241560021055</v>
      </c>
      <c r="R3" s="125">
        <f>IF(SER_hh_emi!R3=0,0,1000000*SER_hh_emi!R3/SER_hh_num!R3)</f>
        <v>13076.433793018927</v>
      </c>
      <c r="S3" s="125">
        <f>IF(SER_hh_emi!S3=0,0,1000000*SER_hh_emi!S3/SER_hh_num!S3)</f>
        <v>13330.838545578104</v>
      </c>
      <c r="T3" s="125">
        <f>IF(SER_hh_emi!T3=0,0,1000000*SER_hh_emi!T3/SER_hh_num!T3)</f>
        <v>13200.128305539809</v>
      </c>
      <c r="U3" s="125">
        <f>IF(SER_hh_emi!U3=0,0,1000000*SER_hh_emi!U3/SER_hh_num!U3)</f>
        <v>12741.414399466632</v>
      </c>
      <c r="V3" s="125">
        <f>IF(SER_hh_emi!V3=0,0,1000000*SER_hh_emi!V3/SER_hh_num!V3)</f>
        <v>11754.256442768419</v>
      </c>
      <c r="W3" s="125">
        <f>IF(SER_hh_emi!W3=0,0,1000000*SER_hh_emi!W3/SER_hh_num!W3)</f>
        <v>13323.35692156101</v>
      </c>
      <c r="X3" s="125">
        <f>IF(SER_hh_emi!X3=0,0,1000000*SER_hh_emi!X3/SER_hh_num!X3)</f>
        <v>11364.704744997898</v>
      </c>
      <c r="Y3" s="125">
        <f>IF(SER_hh_emi!Y3=0,0,1000000*SER_hh_emi!Y3/SER_hh_num!Y3)</f>
        <v>9918.0105688584754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16871.605847746952</v>
      </c>
      <c r="C4" s="130">
        <f>IF(SER_hh_emi!C4=0,0,1000000*SER_hh_emi!C4/SER_hh_num!C4)</f>
        <v>19138.23199333833</v>
      </c>
      <c r="D4" s="130">
        <f>IF(SER_hh_emi!D4=0,0,1000000*SER_hh_emi!D4/SER_hh_num!D4)</f>
        <v>19447.94984118277</v>
      </c>
      <c r="E4" s="130">
        <f>IF(SER_hh_emi!E4=0,0,1000000*SER_hh_emi!E4/SER_hh_num!E4)</f>
        <v>18931.06541689923</v>
      </c>
      <c r="F4" s="130">
        <f>IF(SER_hh_emi!F4=0,0,1000000*SER_hh_emi!F4/SER_hh_num!F4)</f>
        <v>17995.996123059216</v>
      </c>
      <c r="G4" s="130">
        <f>IF(SER_hh_emi!G4=0,0,1000000*SER_hh_emi!G4/SER_hh_num!G4)</f>
        <v>16474.381593277711</v>
      </c>
      <c r="H4" s="130">
        <f>IF(SER_hh_emi!H4=0,0,1000000*SER_hh_emi!H4/SER_hh_num!H4)</f>
        <v>14065.385948171806</v>
      </c>
      <c r="I4" s="130">
        <f>IF(SER_hh_emi!I4=0,0,1000000*SER_hh_emi!I4/SER_hh_num!I4)</f>
        <v>11403.126412794132</v>
      </c>
      <c r="J4" s="130">
        <f>IF(SER_hh_emi!J4=0,0,1000000*SER_hh_emi!J4/SER_hh_num!J4)</f>
        <v>11277.316742448062</v>
      </c>
      <c r="K4" s="130">
        <f>IF(SER_hh_emi!K4=0,0,1000000*SER_hh_emi!K4/SER_hh_num!K4)</f>
        <v>10951.447860409049</v>
      </c>
      <c r="L4" s="130">
        <f>IF(SER_hh_emi!L4=0,0,1000000*SER_hh_emi!L4/SER_hh_num!L4)</f>
        <v>11797.525674101522</v>
      </c>
      <c r="M4" s="130">
        <f>IF(SER_hh_emi!M4=0,0,1000000*SER_hh_emi!M4/SER_hh_num!M4)</f>
        <v>10400.219175796967</v>
      </c>
      <c r="N4" s="130">
        <f>IF(SER_hh_emi!N4=0,0,1000000*SER_hh_emi!N4/SER_hh_num!N4)</f>
        <v>8880.0414576766052</v>
      </c>
      <c r="O4" s="130">
        <f>IF(SER_hh_emi!O4=0,0,1000000*SER_hh_emi!O4/SER_hh_num!O4)</f>
        <v>8166.1141081031201</v>
      </c>
      <c r="P4" s="130">
        <f>IF(SER_hh_emi!P4=0,0,1000000*SER_hh_emi!P4/SER_hh_num!P4)</f>
        <v>6920.4024537801952</v>
      </c>
      <c r="Q4" s="130">
        <f>IF(SER_hh_emi!Q4=0,0,1000000*SER_hh_emi!Q4/SER_hh_num!Q4)</f>
        <v>9078.6022171415734</v>
      </c>
      <c r="R4" s="130">
        <f>IF(SER_hh_emi!R4=0,0,1000000*SER_hh_emi!R4/SER_hh_num!R4)</f>
        <v>9357.4196288036874</v>
      </c>
      <c r="S4" s="130">
        <f>IF(SER_hh_emi!S4=0,0,1000000*SER_hh_emi!S4/SER_hh_num!S4)</f>
        <v>9591.4005923744244</v>
      </c>
      <c r="T4" s="130">
        <f>IF(SER_hh_emi!T4=0,0,1000000*SER_hh_emi!T4/SER_hh_num!T4)</f>
        <v>9488.6679065671306</v>
      </c>
      <c r="U4" s="130">
        <f>IF(SER_hh_emi!U4=0,0,1000000*SER_hh_emi!U4/SER_hh_num!U4)</f>
        <v>9041.8957099102154</v>
      </c>
      <c r="V4" s="130">
        <f>IF(SER_hh_emi!V4=0,0,1000000*SER_hh_emi!V4/SER_hh_num!V4)</f>
        <v>8514.178336502091</v>
      </c>
      <c r="W4" s="130">
        <f>IF(SER_hh_emi!W4=0,0,1000000*SER_hh_emi!W4/SER_hh_num!W4)</f>
        <v>9746.668548146883</v>
      </c>
      <c r="X4" s="130">
        <f>IF(SER_hh_emi!X4=0,0,1000000*SER_hh_emi!X4/SER_hh_num!X4)</f>
        <v>7885.8217006648692</v>
      </c>
      <c r="Y4" s="130">
        <f>IF(SER_hh_emi!Y4=0,0,1000000*SER_hh_emi!Y4/SER_hh_num!Y4)</f>
        <v>6933.7417909682636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45139.309794153945</v>
      </c>
      <c r="C5" s="132">
        <f>IF(SER_hh_emi!C5=0,0,1000000*SER_hh_emi!C5/SER_hh_num!C5)</f>
        <v>34915.028235327685</v>
      </c>
      <c r="D5" s="132">
        <f>IF(SER_hh_emi!D5=0,0,1000000*SER_hh_emi!D5/SER_hh_num!D5)</f>
        <v>47908.497272476801</v>
      </c>
      <c r="E5" s="132">
        <f>IF(SER_hh_emi!E5=0,0,1000000*SER_hh_emi!E5/SER_hh_num!E5)</f>
        <v>64751.158563651523</v>
      </c>
      <c r="F5" s="132">
        <f>IF(SER_hh_emi!F5=0,0,1000000*SER_hh_emi!F5/SER_hh_num!F5)</f>
        <v>40472.625006308714</v>
      </c>
      <c r="G5" s="132">
        <f>IF(SER_hh_emi!G5=0,0,1000000*SER_hh_emi!G5/SER_hh_num!G5)</f>
        <v>9486.4279960229505</v>
      </c>
      <c r="H5" s="132">
        <f>IF(SER_hh_emi!H5=0,0,1000000*SER_hh_emi!H5/SER_hh_num!H5)</f>
        <v>57121.484223313135</v>
      </c>
      <c r="I5" s="132">
        <f>IF(SER_hh_emi!I5=0,0,1000000*SER_hh_emi!I5/SER_hh_num!I5)</f>
        <v>31242.001098340184</v>
      </c>
      <c r="J5" s="132">
        <f>IF(SER_hh_emi!J5=0,0,1000000*SER_hh_emi!J5/SER_hh_num!J5)</f>
        <v>46382.51719314306</v>
      </c>
      <c r="K5" s="132">
        <f>IF(SER_hh_emi!K5=0,0,1000000*SER_hh_emi!K5/SER_hh_num!K5)</f>
        <v>43524.277754082395</v>
      </c>
      <c r="L5" s="132">
        <f>IF(SER_hh_emi!L5=0,0,1000000*SER_hh_emi!L5/SER_hh_num!L5)</f>
        <v>25766.457688152717</v>
      </c>
      <c r="M5" s="132">
        <f>IF(SER_hh_emi!M5=0,0,1000000*SER_hh_emi!M5/SER_hh_num!M5)</f>
        <v>53156.97533582701</v>
      </c>
      <c r="N5" s="132">
        <f>IF(SER_hh_emi!N5=0,0,1000000*SER_hh_emi!N5/SER_hh_num!N5)</f>
        <v>52631.702933406697</v>
      </c>
      <c r="O5" s="132">
        <f>IF(SER_hh_emi!O5=0,0,1000000*SER_hh_emi!O5/SER_hh_num!O5)</f>
        <v>9121.3358062484349</v>
      </c>
      <c r="P5" s="132">
        <f>IF(SER_hh_emi!P5=0,0,1000000*SER_hh_emi!P5/SER_hh_num!P5)</f>
        <v>8821.7892476559537</v>
      </c>
      <c r="Q5" s="132">
        <f>IF(SER_hh_emi!Q5=0,0,1000000*SER_hh_emi!Q5/SER_hh_num!Q5)</f>
        <v>16744.993788061653</v>
      </c>
      <c r="R5" s="132">
        <f>IF(SER_hh_emi!R5=0,0,1000000*SER_hh_emi!R5/SER_hh_num!R5)</f>
        <v>21569.71842667582</v>
      </c>
      <c r="S5" s="132">
        <f>IF(SER_hh_emi!S5=0,0,1000000*SER_hh_emi!S5/SER_hh_num!S5)</f>
        <v>61015.804614864384</v>
      </c>
      <c r="T5" s="132">
        <f>IF(SER_hh_emi!T5=0,0,1000000*SER_hh_emi!T5/SER_hh_num!T5)</f>
        <v>32111.964264640752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0</v>
      </c>
      <c r="C6" s="132">
        <f>IF(SER_hh_emi!C6=0,0,1000000*SER_hh_emi!C6/SER_hh_num!C6)</f>
        <v>0</v>
      </c>
      <c r="D6" s="132">
        <f>IF(SER_hh_emi!D6=0,0,1000000*SER_hh_emi!D6/SER_hh_num!D6)</f>
        <v>0</v>
      </c>
      <c r="E6" s="132">
        <f>IF(SER_hh_emi!E6=0,0,1000000*SER_hh_emi!E6/SER_hh_num!E6)</f>
        <v>0</v>
      </c>
      <c r="F6" s="132">
        <f>IF(SER_hh_emi!F6=0,0,1000000*SER_hh_emi!F6/SER_hh_num!F6)</f>
        <v>0</v>
      </c>
      <c r="G6" s="132">
        <f>IF(SER_hh_emi!G6=0,0,1000000*SER_hh_emi!G6/SER_hh_num!G6)</f>
        <v>0</v>
      </c>
      <c r="H6" s="132">
        <f>IF(SER_hh_emi!H6=0,0,1000000*SER_hh_emi!H6/SER_hh_num!H6)</f>
        <v>0</v>
      </c>
      <c r="I6" s="132">
        <f>IF(SER_hh_emi!I6=0,0,1000000*SER_hh_emi!I6/SER_hh_num!I6)</f>
        <v>0</v>
      </c>
      <c r="J6" s="132">
        <f>IF(SER_hh_emi!J6=0,0,1000000*SER_hh_emi!J6/SER_hh_num!J6)</f>
        <v>0</v>
      </c>
      <c r="K6" s="132">
        <f>IF(SER_hh_emi!K6=0,0,1000000*SER_hh_emi!K6/SER_hh_num!K6)</f>
        <v>0</v>
      </c>
      <c r="L6" s="132">
        <f>IF(SER_hh_emi!L6=0,0,1000000*SER_hh_emi!L6/SER_hh_num!L6)</f>
        <v>0</v>
      </c>
      <c r="M6" s="132">
        <f>IF(SER_hh_emi!M6=0,0,1000000*SER_hh_emi!M6/SER_hh_num!M6)</f>
        <v>0</v>
      </c>
      <c r="N6" s="132">
        <f>IF(SER_hh_emi!N6=0,0,1000000*SER_hh_emi!N6/SER_hh_num!N6)</f>
        <v>0</v>
      </c>
      <c r="O6" s="132">
        <f>IF(SER_hh_emi!O6=0,0,1000000*SER_hh_emi!O6/SER_hh_num!O6)</f>
        <v>0</v>
      </c>
      <c r="P6" s="132">
        <f>IF(SER_hh_emi!P6=0,0,1000000*SER_hh_emi!P6/SER_hh_num!P6)</f>
        <v>0</v>
      </c>
      <c r="Q6" s="132">
        <f>IF(SER_hh_emi!Q6=0,0,1000000*SER_hh_emi!Q6/SER_hh_num!Q6)</f>
        <v>0</v>
      </c>
      <c r="R6" s="132">
        <f>IF(SER_hh_emi!R6=0,0,1000000*SER_hh_emi!R6/SER_hh_num!R6)</f>
        <v>0</v>
      </c>
      <c r="S6" s="132">
        <f>IF(SER_hh_emi!S6=0,0,1000000*SER_hh_emi!S6/SER_hh_num!S6)</f>
        <v>0</v>
      </c>
      <c r="T6" s="132">
        <f>IF(SER_hh_emi!T6=0,0,1000000*SER_hh_emi!T6/SER_hh_num!T6)</f>
        <v>0</v>
      </c>
      <c r="U6" s="132">
        <f>IF(SER_hh_emi!U6=0,0,1000000*SER_hh_emi!U6/SER_hh_num!U6)</f>
        <v>0</v>
      </c>
      <c r="V6" s="132">
        <f>IF(SER_hh_emi!V6=0,0,1000000*SER_hh_emi!V6/SER_hh_num!V6)</f>
        <v>0</v>
      </c>
      <c r="W6" s="132">
        <f>IF(SER_hh_emi!W6=0,0,1000000*SER_hh_emi!W6/SER_hh_num!W6)</f>
        <v>0</v>
      </c>
      <c r="X6" s="132">
        <f>IF(SER_hh_emi!X6=0,0,1000000*SER_hh_emi!X6/SER_hh_num!X6)</f>
        <v>0</v>
      </c>
      <c r="Y6" s="132">
        <f>IF(SER_hh_emi!Y6=0,0,1000000*SER_hh_emi!Y6/SER_hh_num!Y6)</f>
        <v>0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35706.105850223343</v>
      </c>
      <c r="C7" s="132">
        <f>IF(SER_hh_emi!C7=0,0,1000000*SER_hh_emi!C7/SER_hh_num!C7)</f>
        <v>37308.888886458029</v>
      </c>
      <c r="D7" s="132">
        <f>IF(SER_hh_emi!D7=0,0,1000000*SER_hh_emi!D7/SER_hh_num!D7)</f>
        <v>40656.242842889864</v>
      </c>
      <c r="E7" s="132">
        <f>IF(SER_hh_emi!E7=0,0,1000000*SER_hh_emi!E7/SER_hh_num!E7)</f>
        <v>39361.208297870347</v>
      </c>
      <c r="F7" s="132">
        <f>IF(SER_hh_emi!F7=0,0,1000000*SER_hh_emi!F7/SER_hh_num!F7)</f>
        <v>39985.679409354954</v>
      </c>
      <c r="G7" s="132">
        <f>IF(SER_hh_emi!G7=0,0,1000000*SER_hh_emi!G7/SER_hh_num!G7)</f>
        <v>38546.548198940269</v>
      </c>
      <c r="H7" s="132">
        <f>IF(SER_hh_emi!H7=0,0,1000000*SER_hh_emi!H7/SER_hh_num!H7)</f>
        <v>35598.786545486073</v>
      </c>
      <c r="I7" s="132">
        <f>IF(SER_hh_emi!I7=0,0,1000000*SER_hh_emi!I7/SER_hh_num!I7)</f>
        <v>31380.66394840947</v>
      </c>
      <c r="J7" s="132">
        <f>IF(SER_hh_emi!J7=0,0,1000000*SER_hh_emi!J7/SER_hh_num!J7)</f>
        <v>32634.006671261333</v>
      </c>
      <c r="K7" s="132">
        <f>IF(SER_hh_emi!K7=0,0,1000000*SER_hh_emi!K7/SER_hh_num!K7)</f>
        <v>33780.945202315968</v>
      </c>
      <c r="L7" s="132">
        <f>IF(SER_hh_emi!L7=0,0,1000000*SER_hh_emi!L7/SER_hh_num!L7)</f>
        <v>35168.462265108261</v>
      </c>
      <c r="M7" s="132">
        <f>IF(SER_hh_emi!M7=0,0,1000000*SER_hh_emi!M7/SER_hh_num!M7)</f>
        <v>34808.198946792181</v>
      </c>
      <c r="N7" s="132">
        <f>IF(SER_hh_emi!N7=0,0,1000000*SER_hh_emi!N7/SER_hh_num!N7)</f>
        <v>30287.421233887202</v>
      </c>
      <c r="O7" s="132">
        <f>IF(SER_hh_emi!O7=0,0,1000000*SER_hh_emi!O7/SER_hh_num!O7)</f>
        <v>26737.908659563494</v>
      </c>
      <c r="P7" s="132">
        <f>IF(SER_hh_emi!P7=0,0,1000000*SER_hh_emi!P7/SER_hh_num!P7)</f>
        <v>20766.594247768469</v>
      </c>
      <c r="Q7" s="132">
        <f>IF(SER_hh_emi!Q7=0,0,1000000*SER_hh_emi!Q7/SER_hh_num!Q7)</f>
        <v>27175.025333995232</v>
      </c>
      <c r="R7" s="132">
        <f>IF(SER_hh_emi!R7=0,0,1000000*SER_hh_emi!R7/SER_hh_num!R7)</f>
        <v>27336.72214351147</v>
      </c>
      <c r="S7" s="132">
        <f>IF(SER_hh_emi!S7=0,0,1000000*SER_hh_emi!S7/SER_hh_num!S7)</f>
        <v>29558.150267678029</v>
      </c>
      <c r="T7" s="132">
        <f>IF(SER_hh_emi!T7=0,0,1000000*SER_hh_emi!T7/SER_hh_num!T7)</f>
        <v>29173.183537035267</v>
      </c>
      <c r="U7" s="132">
        <f>IF(SER_hh_emi!U7=0,0,1000000*SER_hh_emi!U7/SER_hh_num!U7)</f>
        <v>24314.5165895477</v>
      </c>
      <c r="V7" s="132">
        <f>IF(SER_hh_emi!V7=0,0,1000000*SER_hh_emi!V7/SER_hh_num!V7)</f>
        <v>27477.214502429386</v>
      </c>
      <c r="W7" s="132">
        <f>IF(SER_hh_emi!W7=0,0,1000000*SER_hh_emi!W7/SER_hh_num!W7)</f>
        <v>25684.368380642849</v>
      </c>
      <c r="X7" s="132">
        <f>IF(SER_hh_emi!X7=0,0,1000000*SER_hh_emi!X7/SER_hh_num!X7)</f>
        <v>30021.457396778515</v>
      </c>
      <c r="Y7" s="132">
        <f>IF(SER_hh_emi!Y7=0,0,1000000*SER_hh_emi!Y7/SER_hh_num!Y7)</f>
        <v>27050.029935173894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0</v>
      </c>
      <c r="C8" s="132">
        <f>IF(SER_hh_emi!C8=0,0,1000000*SER_hh_emi!C8/SER_hh_num!C8)</f>
        <v>0</v>
      </c>
      <c r="D8" s="132">
        <f>IF(SER_hh_emi!D8=0,0,1000000*SER_hh_emi!D8/SER_hh_num!D8)</f>
        <v>0</v>
      </c>
      <c r="E8" s="132">
        <f>IF(SER_hh_emi!E8=0,0,1000000*SER_hh_emi!E8/SER_hh_num!E8)</f>
        <v>0</v>
      </c>
      <c r="F8" s="132">
        <f>IF(SER_hh_emi!F8=0,0,1000000*SER_hh_emi!F8/SER_hh_num!F8)</f>
        <v>0</v>
      </c>
      <c r="G8" s="132">
        <f>IF(SER_hh_emi!G8=0,0,1000000*SER_hh_emi!G8/SER_hh_num!G8)</f>
        <v>0</v>
      </c>
      <c r="H8" s="132">
        <f>IF(SER_hh_emi!H8=0,0,1000000*SER_hh_emi!H8/SER_hh_num!H8)</f>
        <v>0</v>
      </c>
      <c r="I8" s="132">
        <f>IF(SER_hh_emi!I8=0,0,1000000*SER_hh_emi!I8/SER_hh_num!I8)</f>
        <v>0</v>
      </c>
      <c r="J8" s="132">
        <f>IF(SER_hh_emi!J8=0,0,1000000*SER_hh_emi!J8/SER_hh_num!J8)</f>
        <v>0</v>
      </c>
      <c r="K8" s="132">
        <f>IF(SER_hh_emi!K8=0,0,1000000*SER_hh_emi!K8/SER_hh_num!K8)</f>
        <v>0</v>
      </c>
      <c r="L8" s="132">
        <f>IF(SER_hh_emi!L8=0,0,1000000*SER_hh_emi!L8/SER_hh_num!L8)</f>
        <v>0</v>
      </c>
      <c r="M8" s="132">
        <f>IF(SER_hh_emi!M8=0,0,1000000*SER_hh_emi!M8/SER_hh_num!M8)</f>
        <v>0</v>
      </c>
      <c r="N8" s="132">
        <f>IF(SER_hh_emi!N8=0,0,1000000*SER_hh_emi!N8/SER_hh_num!N8)</f>
        <v>0</v>
      </c>
      <c r="O8" s="132">
        <f>IF(SER_hh_emi!O8=0,0,1000000*SER_hh_emi!O8/SER_hh_num!O8)</f>
        <v>0</v>
      </c>
      <c r="P8" s="132">
        <f>IF(SER_hh_emi!P8=0,0,1000000*SER_hh_emi!P8/SER_hh_num!P8)</f>
        <v>0</v>
      </c>
      <c r="Q8" s="132">
        <f>IF(SER_hh_emi!Q8=0,0,1000000*SER_hh_emi!Q8/SER_hh_num!Q8)</f>
        <v>0</v>
      </c>
      <c r="R8" s="132">
        <f>IF(SER_hh_emi!R8=0,0,1000000*SER_hh_emi!R8/SER_hh_num!R8)</f>
        <v>0</v>
      </c>
      <c r="S8" s="132">
        <f>IF(SER_hh_emi!S8=0,0,1000000*SER_hh_emi!S8/SER_hh_num!S8)</f>
        <v>0</v>
      </c>
      <c r="T8" s="132">
        <f>IF(SER_hh_emi!T8=0,0,1000000*SER_hh_emi!T8/SER_hh_num!T8)</f>
        <v>0</v>
      </c>
      <c r="U8" s="132">
        <f>IF(SER_hh_emi!U8=0,0,1000000*SER_hh_emi!U8/SER_hh_num!U8)</f>
        <v>0</v>
      </c>
      <c r="V8" s="132">
        <f>IF(SER_hh_emi!V8=0,0,1000000*SER_hh_emi!V8/SER_hh_num!V8)</f>
        <v>0</v>
      </c>
      <c r="W8" s="132">
        <f>IF(SER_hh_emi!W8=0,0,1000000*SER_hh_emi!W8/SER_hh_num!W8)</f>
        <v>0</v>
      </c>
      <c r="X8" s="132">
        <f>IF(SER_hh_emi!X8=0,0,1000000*SER_hh_emi!X8/SER_hh_num!X8)</f>
        <v>0</v>
      </c>
      <c r="Y8" s="132">
        <f>IF(SER_hh_emi!Y8=0,0,1000000*SER_hh_emi!Y8/SER_hh_num!Y8)</f>
        <v>0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21460.412105509728</v>
      </c>
      <c r="C9" s="132">
        <f>IF(SER_hh_emi!C9=0,0,1000000*SER_hh_emi!C9/SER_hh_num!C9)</f>
        <v>29801.206214397054</v>
      </c>
      <c r="D9" s="132">
        <f>IF(SER_hh_emi!D9=0,0,1000000*SER_hh_emi!D9/SER_hh_num!D9)</f>
        <v>26046.913427366206</v>
      </c>
      <c r="E9" s="132">
        <f>IF(SER_hh_emi!E9=0,0,1000000*SER_hh_emi!E9/SER_hh_num!E9)</f>
        <v>26331.464965939926</v>
      </c>
      <c r="F9" s="132">
        <f>IF(SER_hh_emi!F9=0,0,1000000*SER_hh_emi!F9/SER_hh_num!F9)</f>
        <v>26341.434706503045</v>
      </c>
      <c r="G9" s="132">
        <f>IF(SER_hh_emi!G9=0,0,1000000*SER_hh_emi!G9/SER_hh_num!G9)</f>
        <v>26812.96671638617</v>
      </c>
      <c r="H9" s="132">
        <f>IF(SER_hh_emi!H9=0,0,1000000*SER_hh_emi!H9/SER_hh_num!H9)</f>
        <v>23904.270917560505</v>
      </c>
      <c r="I9" s="132">
        <f>IF(SER_hh_emi!I9=0,0,1000000*SER_hh_emi!I9/SER_hh_num!I9)</f>
        <v>21492.814920515371</v>
      </c>
      <c r="J9" s="132">
        <f>IF(SER_hh_emi!J9=0,0,1000000*SER_hh_emi!J9/SER_hh_num!J9)</f>
        <v>22363.014385559509</v>
      </c>
      <c r="K9" s="132">
        <f>IF(SER_hh_emi!K9=0,0,1000000*SER_hh_emi!K9/SER_hh_num!K9)</f>
        <v>21769.469139485369</v>
      </c>
      <c r="L9" s="132">
        <f>IF(SER_hh_emi!L9=0,0,1000000*SER_hh_emi!L9/SER_hh_num!L9)</f>
        <v>25812.837619739395</v>
      </c>
      <c r="M9" s="132">
        <f>IF(SER_hh_emi!M9=0,0,1000000*SER_hh_emi!M9/SER_hh_num!M9)</f>
        <v>22327.422294275708</v>
      </c>
      <c r="N9" s="132">
        <f>IF(SER_hh_emi!N9=0,0,1000000*SER_hh_emi!N9/SER_hh_num!N9)</f>
        <v>19530.878053221022</v>
      </c>
      <c r="O9" s="132">
        <f>IF(SER_hh_emi!O9=0,0,1000000*SER_hh_emi!O9/SER_hh_num!O9)</f>
        <v>18448.029030167178</v>
      </c>
      <c r="P9" s="132">
        <f>IF(SER_hh_emi!P9=0,0,1000000*SER_hh_emi!P9/SER_hh_num!P9)</f>
        <v>15249.028683163642</v>
      </c>
      <c r="Q9" s="132">
        <f>IF(SER_hh_emi!Q9=0,0,1000000*SER_hh_emi!Q9/SER_hh_num!Q9)</f>
        <v>18046.613313839101</v>
      </c>
      <c r="R9" s="132">
        <f>IF(SER_hh_emi!R9=0,0,1000000*SER_hh_emi!R9/SER_hh_num!R9)</f>
        <v>18667.812089826661</v>
      </c>
      <c r="S9" s="132">
        <f>IF(SER_hh_emi!S9=0,0,1000000*SER_hh_emi!S9/SER_hh_num!S9)</f>
        <v>19525.376942177023</v>
      </c>
      <c r="T9" s="132">
        <f>IF(SER_hh_emi!T9=0,0,1000000*SER_hh_emi!T9/SER_hh_num!T9)</f>
        <v>20288.001415117422</v>
      </c>
      <c r="U9" s="132">
        <f>IF(SER_hh_emi!U9=0,0,1000000*SER_hh_emi!U9/SER_hh_num!U9)</f>
        <v>20359.187529475174</v>
      </c>
      <c r="V9" s="132">
        <f>IF(SER_hh_emi!V9=0,0,1000000*SER_hh_emi!V9/SER_hh_num!V9)</f>
        <v>18741.721516468777</v>
      </c>
      <c r="W9" s="132">
        <f>IF(SER_hh_emi!W9=0,0,1000000*SER_hh_emi!W9/SER_hh_num!W9)</f>
        <v>22900.345936850998</v>
      </c>
      <c r="X9" s="132">
        <f>IF(SER_hh_emi!X9=0,0,1000000*SER_hh_emi!X9/SER_hh_num!X9)</f>
        <v>19187.454788356961</v>
      </c>
      <c r="Y9" s="132">
        <f>IF(SER_hh_emi!Y9=0,0,1000000*SER_hh_emi!Y9/SER_hh_num!Y9)</f>
        <v>17731.786383250517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0</v>
      </c>
      <c r="X10" s="132">
        <f>IF(SER_hh_emi!X10=0,0,1000000*SER_hh_emi!X10/SER_hh_num!X10)</f>
        <v>0</v>
      </c>
      <c r="Y10" s="132">
        <f>IF(SER_hh_emi!Y10=0,0,1000000*SER_hh_emi!Y10/SER_hh_num!Y10)</f>
        <v>0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4.6614505937857791</v>
      </c>
      <c r="C16" s="130">
        <f>IF(SER_hh_emi!C16=0,0,1000000*SER_hh_emi!C16/SER_hh_num!C16)</f>
        <v>4.241932939904129</v>
      </c>
      <c r="D16" s="130">
        <f>IF(SER_hh_emi!D16=0,0,1000000*SER_hh_emi!D16/SER_hh_num!D16)</f>
        <v>4.4390743992156905</v>
      </c>
      <c r="E16" s="130">
        <f>IF(SER_hh_emi!E16=0,0,1000000*SER_hh_emi!E16/SER_hh_num!E16)</f>
        <v>9.1185094570065477</v>
      </c>
      <c r="F16" s="130">
        <f>IF(SER_hh_emi!F16=0,0,1000000*SER_hh_emi!F16/SER_hh_num!F16)</f>
        <v>4.8578862373522185</v>
      </c>
      <c r="G16" s="130">
        <f>IF(SER_hh_emi!G16=0,0,1000000*SER_hh_emi!G16/SER_hh_num!G16)</f>
        <v>4.9966941923904171</v>
      </c>
      <c r="H16" s="130">
        <f>IF(SER_hh_emi!H16=0,0,1000000*SER_hh_emi!H16/SER_hh_num!H16)</f>
        <v>5.7146614204794108</v>
      </c>
      <c r="I16" s="130">
        <f>IF(SER_hh_emi!I16=0,0,1000000*SER_hh_emi!I16/SER_hh_num!I16)</f>
        <v>7.1116325952549015</v>
      </c>
      <c r="J16" s="130">
        <f>IF(SER_hh_emi!J16=0,0,1000000*SER_hh_emi!J16/SER_hh_num!J16)</f>
        <v>6.2477055312982968</v>
      </c>
      <c r="K16" s="130">
        <f>IF(SER_hh_emi!K16=0,0,1000000*SER_hh_emi!K16/SER_hh_num!K16)</f>
        <v>5.1048045941157429</v>
      </c>
      <c r="L16" s="130">
        <f>IF(SER_hh_emi!L16=0,0,1000000*SER_hh_emi!L16/SER_hh_num!L16)</f>
        <v>5.6579207200124078</v>
      </c>
      <c r="M16" s="130">
        <f>IF(SER_hh_emi!M16=0,0,1000000*SER_hh_emi!M16/SER_hh_num!M16)</f>
        <v>6.5022553688140432</v>
      </c>
      <c r="N16" s="130">
        <f>IF(SER_hh_emi!N16=0,0,1000000*SER_hh_emi!N16/SER_hh_num!N16)</f>
        <v>8.9161162836486465</v>
      </c>
      <c r="O16" s="130">
        <f>IF(SER_hh_emi!O16=0,0,1000000*SER_hh_emi!O16/SER_hh_num!O16)</f>
        <v>7.7990266319114943</v>
      </c>
      <c r="P16" s="130">
        <f>IF(SER_hh_emi!P16=0,0,1000000*SER_hh_emi!P16/SER_hh_num!P16)</f>
        <v>6.3102835716428789</v>
      </c>
      <c r="Q16" s="130">
        <f>IF(SER_hh_emi!Q16=0,0,1000000*SER_hh_emi!Q16/SER_hh_num!Q16)</f>
        <v>15.171478581289259</v>
      </c>
      <c r="R16" s="130">
        <f>IF(SER_hh_emi!R16=0,0,1000000*SER_hh_emi!R16/SER_hh_num!R16)</f>
        <v>11.657420304008101</v>
      </c>
      <c r="S16" s="130">
        <f>IF(SER_hh_emi!S16=0,0,1000000*SER_hh_emi!S16/SER_hh_num!S16)</f>
        <v>20.211327320187426</v>
      </c>
      <c r="T16" s="130">
        <f>IF(SER_hh_emi!T16=0,0,1000000*SER_hh_emi!T16/SER_hh_num!T16)</f>
        <v>18.642068995494892</v>
      </c>
      <c r="U16" s="130">
        <f>IF(SER_hh_emi!U16=0,0,1000000*SER_hh_emi!U16/SER_hh_num!U16)</f>
        <v>25.299972184170134</v>
      </c>
      <c r="V16" s="130">
        <f>IF(SER_hh_emi!V16=0,0,1000000*SER_hh_emi!V16/SER_hh_num!V16)</f>
        <v>19.26962498365085</v>
      </c>
      <c r="W16" s="130">
        <f>IF(SER_hh_emi!W16=0,0,1000000*SER_hh_emi!W16/SER_hh_num!W16)</f>
        <v>26.505997224443014</v>
      </c>
      <c r="X16" s="130">
        <f>IF(SER_hh_emi!X16=0,0,1000000*SER_hh_emi!X16/SER_hh_num!X16)</f>
        <v>37.112294627248083</v>
      </c>
      <c r="Y16" s="130">
        <f>IF(SER_hh_emi!Y16=0,0,1000000*SER_hh_emi!Y16/SER_hh_num!Y16)</f>
        <v>37.936619690916125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4383.2085610346185</v>
      </c>
      <c r="C17" s="132">
        <f>IF(SER_hh_emi!C17=0,0,1000000*SER_hh_emi!C17/SER_hh_num!C17)</f>
        <v>4085.3854693164708</v>
      </c>
      <c r="D17" s="132">
        <f>IF(SER_hh_emi!D17=0,0,1000000*SER_hh_emi!D17/SER_hh_num!D17)</f>
        <v>3843.7646150375012</v>
      </c>
      <c r="E17" s="132">
        <f>IF(SER_hh_emi!E17=0,0,1000000*SER_hh_emi!E17/SER_hh_num!E17)</f>
        <v>7160.8567477137894</v>
      </c>
      <c r="F17" s="132">
        <f>IF(SER_hh_emi!F17=0,0,1000000*SER_hh_emi!F17/SER_hh_num!F17)</f>
        <v>3622.0828381542738</v>
      </c>
      <c r="G17" s="132">
        <f>IF(SER_hh_emi!G17=0,0,1000000*SER_hh_emi!G17/SER_hh_num!G17)</f>
        <v>3591.02549831543</v>
      </c>
      <c r="H17" s="132">
        <f>IF(SER_hh_emi!H17=0,0,1000000*SER_hh_emi!H17/SER_hh_num!H17)</f>
        <v>3997.6221559956343</v>
      </c>
      <c r="I17" s="132">
        <f>IF(SER_hh_emi!I17=0,0,1000000*SER_hh_emi!I17/SER_hh_num!I17)</f>
        <v>5308.6484171173979</v>
      </c>
      <c r="J17" s="132">
        <f>IF(SER_hh_emi!J17=0,0,1000000*SER_hh_emi!J17/SER_hh_num!J17)</f>
        <v>4791.4868647161002</v>
      </c>
      <c r="K17" s="132">
        <f>IF(SER_hh_emi!K17=0,0,1000000*SER_hh_emi!K17/SER_hh_num!K17)</f>
        <v>3713.2477763321581</v>
      </c>
      <c r="L17" s="132">
        <f>IF(SER_hh_emi!L17=0,0,1000000*SER_hh_emi!L17/SER_hh_num!L17)</f>
        <v>3746.4446550622765</v>
      </c>
      <c r="M17" s="132">
        <f>IF(SER_hh_emi!M17=0,0,1000000*SER_hh_emi!M17/SER_hh_num!M17)</f>
        <v>3996.6139444404685</v>
      </c>
      <c r="N17" s="132">
        <f>IF(SER_hh_emi!N17=0,0,1000000*SER_hh_emi!N17/SER_hh_num!N17)</f>
        <v>5047.8017134350239</v>
      </c>
      <c r="O17" s="132">
        <f>IF(SER_hh_emi!O17=0,0,1000000*SER_hh_emi!O17/SER_hh_num!O17)</f>
        <v>3871.1503006830771</v>
      </c>
      <c r="P17" s="132">
        <f>IF(SER_hh_emi!P17=0,0,1000000*SER_hh_emi!P17/SER_hh_num!P17)</f>
        <v>2545.3179025646136</v>
      </c>
      <c r="Q17" s="132">
        <f>IF(SER_hh_emi!Q17=0,0,1000000*SER_hh_emi!Q17/SER_hh_num!Q17)</f>
        <v>5189.2185691853783</v>
      </c>
      <c r="R17" s="132">
        <f>IF(SER_hh_emi!R17=0,0,1000000*SER_hh_emi!R17/SER_hh_num!R17)</f>
        <v>3441.4351280393826</v>
      </c>
      <c r="S17" s="132">
        <f>IF(SER_hh_emi!S17=0,0,1000000*SER_hh_emi!S17/SER_hh_num!S17)</f>
        <v>4919.9917165817342</v>
      </c>
      <c r="T17" s="132">
        <f>IF(SER_hh_emi!T17=0,0,1000000*SER_hh_emi!T17/SER_hh_num!T17)</f>
        <v>3658.6198595047731</v>
      </c>
      <c r="U17" s="132">
        <f>IF(SER_hh_emi!U17=0,0,1000000*SER_hh_emi!U17/SER_hh_num!U17)</f>
        <v>4389.8527579342353</v>
      </c>
      <c r="V17" s="132">
        <f>IF(SER_hh_emi!V17=0,0,1000000*SER_hh_emi!V17/SER_hh_num!V17)</f>
        <v>2755.1072708916481</v>
      </c>
      <c r="W17" s="132">
        <f>IF(SER_hh_emi!W17=0,0,1000000*SER_hh_emi!W17/SER_hh_num!W17)</f>
        <v>3654.4618190291744</v>
      </c>
      <c r="X17" s="132">
        <f>IF(SER_hh_emi!X17=0,0,1000000*SER_hh_emi!X17/SER_hh_num!X17)</f>
        <v>4668.9048097188015</v>
      </c>
      <c r="Y17" s="132">
        <f>IF(SER_hh_emi!Y17=0,0,1000000*SER_hh_emi!Y17/SER_hh_num!Y17)</f>
        <v>4622.1946526240927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2369.2746711281629</v>
      </c>
      <c r="C19" s="130">
        <f>IF(SER_hh_emi!C19=0,0,1000000*SER_hh_emi!C19/SER_hh_num!C19)</f>
        <v>2454.7894965196861</v>
      </c>
      <c r="D19" s="130">
        <f>IF(SER_hh_emi!D19=0,0,1000000*SER_hh_emi!D19/SER_hh_num!D19)</f>
        <v>2533.5835695539513</v>
      </c>
      <c r="E19" s="130">
        <f>IF(SER_hh_emi!E19=0,0,1000000*SER_hh_emi!E19/SER_hh_num!E19)</f>
        <v>2511.4372637729839</v>
      </c>
      <c r="F19" s="130">
        <f>IF(SER_hh_emi!F19=0,0,1000000*SER_hh_emi!F19/SER_hh_num!F19)</f>
        <v>2551.9578568414395</v>
      </c>
      <c r="G19" s="130">
        <f>IF(SER_hh_emi!G19=0,0,1000000*SER_hh_emi!G19/SER_hh_num!G19)</f>
        <v>2593.0515321591256</v>
      </c>
      <c r="H19" s="130">
        <f>IF(SER_hh_emi!H19=0,0,1000000*SER_hh_emi!H19/SER_hh_num!H19)</f>
        <v>2512.5383982029807</v>
      </c>
      <c r="I19" s="130">
        <f>IF(SER_hh_emi!I19=0,0,1000000*SER_hh_emi!I19/SER_hh_num!I19)</f>
        <v>2459.5622782272198</v>
      </c>
      <c r="J19" s="130">
        <f>IF(SER_hh_emi!J19=0,0,1000000*SER_hh_emi!J19/SER_hh_num!J19)</f>
        <v>2510.8977470477807</v>
      </c>
      <c r="K19" s="130">
        <f>IF(SER_hh_emi!K19=0,0,1000000*SER_hh_emi!K19/SER_hh_num!K19)</f>
        <v>2532.8256209164183</v>
      </c>
      <c r="L19" s="130">
        <f>IF(SER_hh_emi!L19=0,0,1000000*SER_hh_emi!L19/SER_hh_num!L19)</f>
        <v>2553.6582820144708</v>
      </c>
      <c r="M19" s="130">
        <f>IF(SER_hh_emi!M19=0,0,1000000*SER_hh_emi!M19/SER_hh_num!M19)</f>
        <v>2492.8497669238568</v>
      </c>
      <c r="N19" s="130">
        <f>IF(SER_hh_emi!N19=0,0,1000000*SER_hh_emi!N19/SER_hh_num!N19)</f>
        <v>2510.0351133200411</v>
      </c>
      <c r="O19" s="130">
        <f>IF(SER_hh_emi!O19=0,0,1000000*SER_hh_emi!O19/SER_hh_num!O19)</f>
        <v>2525.853720058929</v>
      </c>
      <c r="P19" s="130">
        <f>IF(SER_hh_emi!P19=0,0,1000000*SER_hh_emi!P19/SER_hh_num!P19)</f>
        <v>2474.2550758292227</v>
      </c>
      <c r="Q19" s="130">
        <f>IF(SER_hh_emi!Q19=0,0,1000000*SER_hh_emi!Q19/SER_hh_num!Q19)</f>
        <v>2455.6743258414886</v>
      </c>
      <c r="R19" s="130">
        <f>IF(SER_hh_emi!R19=0,0,1000000*SER_hh_emi!R19/SER_hh_num!R19)</f>
        <v>2494.17947278581</v>
      </c>
      <c r="S19" s="130">
        <f>IF(SER_hh_emi!S19=0,0,1000000*SER_hh_emi!S19/SER_hh_num!S19)</f>
        <v>2507.6755401868313</v>
      </c>
      <c r="T19" s="130">
        <f>IF(SER_hh_emi!T19=0,0,1000000*SER_hh_emi!T19/SER_hh_num!T19)</f>
        <v>2485.2650402582522</v>
      </c>
      <c r="U19" s="130">
        <f>IF(SER_hh_emi!U19=0,0,1000000*SER_hh_emi!U19/SER_hh_num!U19)</f>
        <v>2443.139955516654</v>
      </c>
      <c r="V19" s="130">
        <f>IF(SER_hh_emi!V19=0,0,1000000*SER_hh_emi!V19/SER_hh_num!V19)</f>
        <v>2162.5193532259464</v>
      </c>
      <c r="W19" s="130">
        <f>IF(SER_hh_emi!W19=0,0,1000000*SER_hh_emi!W19/SER_hh_num!W19)</f>
        <v>2318.4345108023854</v>
      </c>
      <c r="X19" s="130">
        <f>IF(SER_hh_emi!X19=0,0,1000000*SER_hh_emi!X19/SER_hh_num!X19)</f>
        <v>1937.3392879121136</v>
      </c>
      <c r="Y19" s="130">
        <f>IF(SER_hh_emi!Y19=0,0,1000000*SER_hh_emi!Y19/SER_hh_num!Y19)</f>
        <v>1689.2991609709957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5087.7368290822769</v>
      </c>
      <c r="C21" s="132">
        <f>IF(SER_hh_emi!C21=0,0,1000000*SER_hh_emi!C21/SER_hh_num!C21)</f>
        <v>5676.3292595402827</v>
      </c>
      <c r="D21" s="132">
        <f>IF(SER_hh_emi!D21=0,0,1000000*SER_hh_emi!D21/SER_hh_num!D21)</f>
        <v>5745.8882549044029</v>
      </c>
      <c r="E21" s="132">
        <f>IF(SER_hh_emi!E21=0,0,1000000*SER_hh_emi!E21/SER_hh_num!E21)</f>
        <v>5636.6392579595367</v>
      </c>
      <c r="F21" s="132">
        <f>IF(SER_hh_emi!F21=0,0,1000000*SER_hh_emi!F21/SER_hh_num!F21)</f>
        <v>5774.1093237185223</v>
      </c>
      <c r="G21" s="132">
        <f>IF(SER_hh_emi!G21=0,0,1000000*SER_hh_emi!G21/SER_hh_num!G21)</f>
        <v>5669.2352117504397</v>
      </c>
      <c r="H21" s="132">
        <f>IF(SER_hh_emi!H21=0,0,1000000*SER_hh_emi!H21/SER_hh_num!H21)</f>
        <v>5630.412417540183</v>
      </c>
      <c r="I21" s="132">
        <f>IF(SER_hh_emi!I21=0,0,1000000*SER_hh_emi!I21/SER_hh_num!I21)</f>
        <v>5498.7379697673941</v>
      </c>
      <c r="J21" s="132">
        <f>IF(SER_hh_emi!J21=0,0,1000000*SER_hh_emi!J21/SER_hh_num!J21)</f>
        <v>5597.0704317010732</v>
      </c>
      <c r="K21" s="132">
        <f>IF(SER_hh_emi!K21=0,0,1000000*SER_hh_emi!K21/SER_hh_num!K21)</f>
        <v>5788.8866714314299</v>
      </c>
      <c r="L21" s="132">
        <f>IF(SER_hh_emi!L21=0,0,1000000*SER_hh_emi!L21/SER_hh_num!L21)</f>
        <v>5738.3368942256539</v>
      </c>
      <c r="M21" s="132">
        <f>IF(SER_hh_emi!M21=0,0,1000000*SER_hh_emi!M21/SER_hh_num!M21)</f>
        <v>5715.1536297622779</v>
      </c>
      <c r="N21" s="132">
        <f>IF(SER_hh_emi!N21=0,0,1000000*SER_hh_emi!N21/SER_hh_num!N21)</f>
        <v>5748.2644018785659</v>
      </c>
      <c r="O21" s="132">
        <f>IF(SER_hh_emi!O21=0,0,1000000*SER_hh_emi!O21/SER_hh_num!O21)</f>
        <v>5783.6393632663694</v>
      </c>
      <c r="P21" s="132">
        <f>IF(SER_hh_emi!P21=0,0,1000000*SER_hh_emi!P21/SER_hh_num!P21)</f>
        <v>5735.2727697216396</v>
      </c>
      <c r="Q21" s="132">
        <f>IF(SER_hh_emi!Q21=0,0,1000000*SER_hh_emi!Q21/SER_hh_num!Q21)</f>
        <v>5727.504089235812</v>
      </c>
      <c r="R21" s="132">
        <f>IF(SER_hh_emi!R21=0,0,1000000*SER_hh_emi!R21/SER_hh_num!R21)</f>
        <v>5679.9936713929283</v>
      </c>
      <c r="S21" s="132">
        <f>IF(SER_hh_emi!S21=0,0,1000000*SER_hh_emi!S21/SER_hh_num!S21)</f>
        <v>5510.4084344894145</v>
      </c>
      <c r="T21" s="132">
        <f>IF(SER_hh_emi!T21=0,0,1000000*SER_hh_emi!T21/SER_hh_num!T21)</f>
        <v>5527.2137495252528</v>
      </c>
      <c r="U21" s="132">
        <f>IF(SER_hh_emi!U21=0,0,1000000*SER_hh_emi!U21/SER_hh_num!U21)</f>
        <v>5393.4535501546607</v>
      </c>
      <c r="V21" s="132">
        <f>IF(SER_hh_emi!V21=0,0,1000000*SER_hh_emi!V21/SER_hh_num!V21)</f>
        <v>4684.9111864307506</v>
      </c>
      <c r="W21" s="132">
        <f>IF(SER_hh_emi!W21=0,0,1000000*SER_hh_emi!W21/SER_hh_num!W21)</f>
        <v>5221.1913499524844</v>
      </c>
      <c r="X21" s="132">
        <f>IF(SER_hh_emi!X21=0,0,1000000*SER_hh_emi!X21/SER_hh_num!X21)</f>
        <v>5248.6393900185321</v>
      </c>
      <c r="Y21" s="132">
        <f>IF(SER_hh_emi!Y21=0,0,1000000*SER_hh_emi!Y21/SER_hh_num!Y21)</f>
        <v>4517.8879253920886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6787.8107365119859</v>
      </c>
      <c r="C22" s="132">
        <f>IF(SER_hh_emi!C22=0,0,1000000*SER_hh_emi!C22/SER_hh_num!C22)</f>
        <v>6972.9182676793225</v>
      </c>
      <c r="D22" s="132">
        <f>IF(SER_hh_emi!D22=0,0,1000000*SER_hh_emi!D22/SER_hh_num!D22)</f>
        <v>7041.732709851608</v>
      </c>
      <c r="E22" s="132">
        <f>IF(SER_hh_emi!E22=0,0,1000000*SER_hh_emi!E22/SER_hh_num!E22)</f>
        <v>7078.2736037888608</v>
      </c>
      <c r="F22" s="132">
        <f>IF(SER_hh_emi!F22=0,0,1000000*SER_hh_emi!F22/SER_hh_num!F22)</f>
        <v>7074.0707851505022</v>
      </c>
      <c r="G22" s="132">
        <f>IF(SER_hh_emi!G22=0,0,1000000*SER_hh_emi!G22/SER_hh_num!G22)</f>
        <v>7171.9021121644528</v>
      </c>
      <c r="H22" s="132">
        <f>IF(SER_hh_emi!H22=0,0,1000000*SER_hh_emi!H22/SER_hh_num!H22)</f>
        <v>7019.7447493855898</v>
      </c>
      <c r="I22" s="132">
        <f>IF(SER_hh_emi!I22=0,0,1000000*SER_hh_emi!I22/SER_hh_num!I22)</f>
        <v>7106.5220877221109</v>
      </c>
      <c r="J22" s="132">
        <f>IF(SER_hh_emi!J22=0,0,1000000*SER_hh_emi!J22/SER_hh_num!J22)</f>
        <v>7105.470561675842</v>
      </c>
      <c r="K22" s="132">
        <f>IF(SER_hh_emi!K22=0,0,1000000*SER_hh_emi!K22/SER_hh_num!K22)</f>
        <v>7214.0486151401055</v>
      </c>
      <c r="L22" s="132">
        <f>IF(SER_hh_emi!L22=0,0,1000000*SER_hh_emi!L22/SER_hh_num!L22)</f>
        <v>7317.3288568208063</v>
      </c>
      <c r="M22" s="132">
        <f>IF(SER_hh_emi!M22=0,0,1000000*SER_hh_emi!M22/SER_hh_num!M22)</f>
        <v>7155.6137024692298</v>
      </c>
      <c r="N22" s="132">
        <f>IF(SER_hh_emi!N22=0,0,1000000*SER_hh_emi!N22/SER_hh_num!N22)</f>
        <v>7228.6514345818669</v>
      </c>
      <c r="O22" s="132">
        <f>IF(SER_hh_emi!O22=0,0,1000000*SER_hh_emi!O22/SER_hh_num!O22)</f>
        <v>7321.3660469000761</v>
      </c>
      <c r="P22" s="132">
        <f>IF(SER_hh_emi!P22=0,0,1000000*SER_hh_emi!P22/SER_hh_num!P22)</f>
        <v>7224.6906844436198</v>
      </c>
      <c r="Q22" s="132">
        <f>IF(SER_hh_emi!Q22=0,0,1000000*SER_hh_emi!Q22/SER_hh_num!Q22)</f>
        <v>7120.0777260183677</v>
      </c>
      <c r="R22" s="132">
        <f>IF(SER_hh_emi!R22=0,0,1000000*SER_hh_emi!R22/SER_hh_num!R22)</f>
        <v>7051.187749722937</v>
      </c>
      <c r="S22" s="132">
        <f>IF(SER_hh_emi!S22=0,0,1000000*SER_hh_emi!S22/SER_hh_num!S22)</f>
        <v>6886.6582448737381</v>
      </c>
      <c r="T22" s="132">
        <f>IF(SER_hh_emi!T22=0,0,1000000*SER_hh_emi!T22/SER_hh_num!T22)</f>
        <v>6660.6023217439961</v>
      </c>
      <c r="U22" s="132">
        <f>IF(SER_hh_emi!U22=0,0,1000000*SER_hh_emi!U22/SER_hh_num!U22)</f>
        <v>6607.2074498706197</v>
      </c>
      <c r="V22" s="132">
        <f>IF(SER_hh_emi!V22=0,0,1000000*SER_hh_emi!V22/SER_hh_num!V22)</f>
        <v>5817.0984561694286</v>
      </c>
      <c r="W22" s="132">
        <f>IF(SER_hh_emi!W22=0,0,1000000*SER_hh_emi!W22/SER_hh_num!W22)</f>
        <v>6326.0924481887459</v>
      </c>
      <c r="X22" s="132">
        <f>IF(SER_hh_emi!X22=0,0,1000000*SER_hh_emi!X22/SER_hh_num!X22)</f>
        <v>5755.955125239906</v>
      </c>
      <c r="Y22" s="132">
        <f>IF(SER_hh_emi!Y22=0,0,1000000*SER_hh_emi!Y22/SER_hh_num!Y22)</f>
        <v>5387.926333489776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4994.9224817540235</v>
      </c>
      <c r="C23" s="132">
        <f>IF(SER_hh_emi!C23=0,0,1000000*SER_hh_emi!C23/SER_hh_num!C23)</f>
        <v>5099.9445361483886</v>
      </c>
      <c r="D23" s="132">
        <f>IF(SER_hh_emi!D23=0,0,1000000*SER_hh_emi!D23/SER_hh_num!D23)</f>
        <v>5162.2538614885425</v>
      </c>
      <c r="E23" s="132">
        <f>IF(SER_hh_emi!E23=0,0,1000000*SER_hh_emi!E23/SER_hh_num!E23)</f>
        <v>5084.7058563767905</v>
      </c>
      <c r="F23" s="132">
        <f>IF(SER_hh_emi!F23=0,0,1000000*SER_hh_emi!F23/SER_hh_num!F23)</f>
        <v>5135.9975978098191</v>
      </c>
      <c r="G23" s="132">
        <f>IF(SER_hh_emi!G23=0,0,1000000*SER_hh_emi!G23/SER_hh_num!G23)</f>
        <v>5156.297508689082</v>
      </c>
      <c r="H23" s="132">
        <f>IF(SER_hh_emi!H23=0,0,1000000*SER_hh_emi!H23/SER_hh_num!H23)</f>
        <v>4995.7005791834272</v>
      </c>
      <c r="I23" s="132">
        <f>IF(SER_hh_emi!I23=0,0,1000000*SER_hh_emi!I23/SER_hh_num!I23)</f>
        <v>4873.1944945507712</v>
      </c>
      <c r="J23" s="132">
        <f>IF(SER_hh_emi!J23=0,0,1000000*SER_hh_emi!J23/SER_hh_num!J23)</f>
        <v>4940.8738245420818</v>
      </c>
      <c r="K23" s="132">
        <f>IF(SER_hh_emi!K23=0,0,1000000*SER_hh_emi!K23/SER_hh_num!K23)</f>
        <v>4868.1664772025288</v>
      </c>
      <c r="L23" s="132">
        <f>IF(SER_hh_emi!L23=0,0,1000000*SER_hh_emi!L23/SER_hh_num!L23)</f>
        <v>4863.5081671349535</v>
      </c>
      <c r="M23" s="132">
        <f>IF(SER_hh_emi!M23=0,0,1000000*SER_hh_emi!M23/SER_hh_num!M23)</f>
        <v>4831.0337963688717</v>
      </c>
      <c r="N23" s="132">
        <f>IF(SER_hh_emi!N23=0,0,1000000*SER_hh_emi!N23/SER_hh_num!N23)</f>
        <v>4808.5546882690869</v>
      </c>
      <c r="O23" s="132">
        <f>IF(SER_hh_emi!O23=0,0,1000000*SER_hh_emi!O23/SER_hh_num!O23)</f>
        <v>4768.6018133563575</v>
      </c>
      <c r="P23" s="132">
        <f>IF(SER_hh_emi!P23=0,0,1000000*SER_hh_emi!P23/SER_hh_num!P23)</f>
        <v>4680.90596290951</v>
      </c>
      <c r="Q23" s="132">
        <f>IF(SER_hh_emi!Q23=0,0,1000000*SER_hh_emi!Q23/SER_hh_num!Q23)</f>
        <v>4615.6021748634876</v>
      </c>
      <c r="R23" s="132">
        <f>IF(SER_hh_emi!R23=0,0,1000000*SER_hh_emi!R23/SER_hh_num!R23)</f>
        <v>4516.3886806257415</v>
      </c>
      <c r="S23" s="132">
        <f>IF(SER_hh_emi!S23=0,0,1000000*SER_hh_emi!S23/SER_hh_num!S23)</f>
        <v>4491.0747430425126</v>
      </c>
      <c r="T23" s="132">
        <f>IF(SER_hh_emi!T23=0,0,1000000*SER_hh_emi!T23/SER_hh_num!T23)</f>
        <v>4407.3524118781461</v>
      </c>
      <c r="U23" s="132">
        <f>IF(SER_hh_emi!U23=0,0,1000000*SER_hh_emi!U23/SER_hh_num!U23)</f>
        <v>4291.982975301542</v>
      </c>
      <c r="V23" s="132">
        <f>IF(SER_hh_emi!V23=0,0,1000000*SER_hh_emi!V23/SER_hh_num!V23)</f>
        <v>3919.684156262123</v>
      </c>
      <c r="W23" s="132">
        <f>IF(SER_hh_emi!W23=0,0,1000000*SER_hh_emi!W23/SER_hh_num!W23)</f>
        <v>4375.1812413526777</v>
      </c>
      <c r="X23" s="132">
        <f>IF(SER_hh_emi!X23=0,0,1000000*SER_hh_emi!X23/SER_hh_num!X23)</f>
        <v>3982.241980953967</v>
      </c>
      <c r="Y23" s="132">
        <f>IF(SER_hh_emi!Y23=0,0,1000000*SER_hh_emi!Y23/SER_hh_num!Y23)</f>
        <v>3915.7687884010234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693.29413316631462</v>
      </c>
      <c r="C29" s="130">
        <f>IF(SER_hh_emi!C29=0,0,1000000*SER_hh_emi!C29/SER_hh_num!C29)</f>
        <v>931.93154779118197</v>
      </c>
      <c r="D29" s="130">
        <f>IF(SER_hh_emi!D29=0,0,1000000*SER_hh_emi!D29/SER_hh_num!D29)</f>
        <v>881.25472995302391</v>
      </c>
      <c r="E29" s="130">
        <f>IF(SER_hh_emi!E29=0,0,1000000*SER_hh_emi!E29/SER_hh_num!E29)</f>
        <v>909.08327658894768</v>
      </c>
      <c r="F29" s="130">
        <f>IF(SER_hh_emi!F29=0,0,1000000*SER_hh_emi!F29/SER_hh_num!F29)</f>
        <v>948.44312639293639</v>
      </c>
      <c r="G29" s="130">
        <f>IF(SER_hh_emi!G29=0,0,1000000*SER_hh_emi!G29/SER_hh_num!G29)</f>
        <v>923.35477521249652</v>
      </c>
      <c r="H29" s="130">
        <f>IF(SER_hh_emi!H29=0,0,1000000*SER_hh_emi!H29/SER_hh_num!H29)</f>
        <v>946.07522954894853</v>
      </c>
      <c r="I29" s="130">
        <f>IF(SER_hh_emi!I29=0,0,1000000*SER_hh_emi!I29/SER_hh_num!I29)</f>
        <v>915.51840877204143</v>
      </c>
      <c r="J29" s="130">
        <f>IF(SER_hh_emi!J29=0,0,1000000*SER_hh_emi!J29/SER_hh_num!J29)</f>
        <v>971.4170298419059</v>
      </c>
      <c r="K29" s="130">
        <f>IF(SER_hh_emi!K29=0,0,1000000*SER_hh_emi!K29/SER_hh_num!K29)</f>
        <v>1088.5633743850196</v>
      </c>
      <c r="L29" s="130">
        <f>IF(SER_hh_emi!L29=0,0,1000000*SER_hh_emi!L29/SER_hh_num!L29)</f>
        <v>1151.4171775998807</v>
      </c>
      <c r="M29" s="130">
        <f>IF(SER_hh_emi!M29=0,0,1000000*SER_hh_emi!M29/SER_hh_num!M29)</f>
        <v>1090.719293461166</v>
      </c>
      <c r="N29" s="130">
        <f>IF(SER_hh_emi!N29=0,0,1000000*SER_hh_emi!N29/SER_hh_num!N29)</f>
        <v>1131.3568723720525</v>
      </c>
      <c r="O29" s="130">
        <f>IF(SER_hh_emi!O29=0,0,1000000*SER_hh_emi!O29/SER_hh_num!O29)</f>
        <v>1133.9827794818452</v>
      </c>
      <c r="P29" s="130">
        <f>IF(SER_hh_emi!P29=0,0,1000000*SER_hh_emi!P29/SER_hh_num!P29)</f>
        <v>1116.9459158739264</v>
      </c>
      <c r="Q29" s="130">
        <f>IF(SER_hh_emi!Q29=0,0,1000000*SER_hh_emi!Q29/SER_hh_num!Q29)</f>
        <v>1129.619246920018</v>
      </c>
      <c r="R29" s="130">
        <f>IF(SER_hh_emi!R29=0,0,1000000*SER_hh_emi!R29/SER_hh_num!R29)</f>
        <v>1219.185912484116</v>
      </c>
      <c r="S29" s="130">
        <f>IF(SER_hh_emi!S29=0,0,1000000*SER_hh_emi!S29/SER_hh_num!S29)</f>
        <v>1222.0154997512168</v>
      </c>
      <c r="T29" s="130">
        <f>IF(SER_hh_emi!T29=0,0,1000000*SER_hh_emi!T29/SER_hh_num!T29)</f>
        <v>1217.2286100722192</v>
      </c>
      <c r="U29" s="130">
        <f>IF(SER_hh_emi!U29=0,0,1000000*SER_hh_emi!U29/SER_hh_num!U29)</f>
        <v>1244.3060741142597</v>
      </c>
      <c r="V29" s="130">
        <f>IF(SER_hh_emi!V29=0,0,1000000*SER_hh_emi!V29/SER_hh_num!V29)</f>
        <v>1068.3798739995595</v>
      </c>
      <c r="W29" s="130">
        <f>IF(SER_hh_emi!W29=0,0,1000000*SER_hh_emi!W29/SER_hh_num!W29)</f>
        <v>1245.6025637244775</v>
      </c>
      <c r="X29" s="130">
        <f>IF(SER_hh_emi!X29=0,0,1000000*SER_hh_emi!X29/SER_hh_num!X29)</f>
        <v>1524.1313354669919</v>
      </c>
      <c r="Y29" s="130">
        <f>IF(SER_hh_emi!Y29=0,0,1000000*SER_hh_emi!Y29/SER_hh_num!Y29)</f>
        <v>1277.1487132656143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3783.3077836589241</v>
      </c>
      <c r="C30" s="132">
        <f>IF(SER_hh_emi!C30=0,0,1000000*SER_hh_emi!C30/SER_hh_num!C30)</f>
        <v>7428.9879475639909</v>
      </c>
      <c r="D30" s="132">
        <f>IF(SER_hh_emi!D30=0,0,1000000*SER_hh_emi!D30/SER_hh_num!D30)</f>
        <v>5840.8077130913707</v>
      </c>
      <c r="E30" s="132">
        <f>IF(SER_hh_emi!E30=0,0,1000000*SER_hh_emi!E30/SER_hh_num!E30)</f>
        <v>6055.2904688685985</v>
      </c>
      <c r="F30" s="132">
        <f>IF(SER_hh_emi!F30=0,0,1000000*SER_hh_emi!F30/SER_hh_num!F30)</f>
        <v>6508.8339006651895</v>
      </c>
      <c r="G30" s="132">
        <f>IF(SER_hh_emi!G30=0,0,1000000*SER_hh_emi!G30/SER_hh_num!G30)</f>
        <v>5940.7496348443383</v>
      </c>
      <c r="H30" s="132">
        <f>IF(SER_hh_emi!H30=0,0,1000000*SER_hh_emi!H30/SER_hh_num!H30)</f>
        <v>6488.1270782233587</v>
      </c>
      <c r="I30" s="132">
        <f>IF(SER_hh_emi!I30=0,0,1000000*SER_hh_emi!I30/SER_hh_num!I30)</f>
        <v>6067.4811729440262</v>
      </c>
      <c r="J30" s="132">
        <f>IF(SER_hh_emi!J30=0,0,1000000*SER_hh_emi!J30/SER_hh_num!J30)</f>
        <v>6236.735101727827</v>
      </c>
      <c r="K30" s="132">
        <f>IF(SER_hh_emi!K30=0,0,1000000*SER_hh_emi!K30/SER_hh_num!K30)</f>
        <v>7338.9020506327697</v>
      </c>
      <c r="L30" s="132">
        <f>IF(SER_hh_emi!L30=0,0,1000000*SER_hh_emi!L30/SER_hh_num!L30)</f>
        <v>7968.0600789302471</v>
      </c>
      <c r="M30" s="132">
        <f>IF(SER_hh_emi!M30=0,0,1000000*SER_hh_emi!M30/SER_hh_num!M30)</f>
        <v>7019.213586093294</v>
      </c>
      <c r="N30" s="132">
        <f>IF(SER_hh_emi!N30=0,0,1000000*SER_hh_emi!N30/SER_hh_num!N30)</f>
        <v>7057.6382712015156</v>
      </c>
      <c r="O30" s="132">
        <f>IF(SER_hh_emi!O30=0,0,1000000*SER_hh_emi!O30/SER_hh_num!O30)</f>
        <v>7271.5659747089649</v>
      </c>
      <c r="P30" s="132">
        <f>IF(SER_hh_emi!P30=0,0,1000000*SER_hh_emi!P30/SER_hh_num!P30)</f>
        <v>7305.0098227139306</v>
      </c>
      <c r="Q30" s="132">
        <f>IF(SER_hh_emi!Q30=0,0,1000000*SER_hh_emi!Q30/SER_hh_num!Q30)</f>
        <v>7245.3165793787985</v>
      </c>
      <c r="R30" s="132">
        <f>IF(SER_hh_emi!R30=0,0,1000000*SER_hh_emi!R30/SER_hh_num!R30)</f>
        <v>8122.4338753192533</v>
      </c>
      <c r="S30" s="132">
        <f>IF(SER_hh_emi!S30=0,0,1000000*SER_hh_emi!S30/SER_hh_num!S30)</f>
        <v>7672.0700179801497</v>
      </c>
      <c r="T30" s="132">
        <f>IF(SER_hh_emi!T30=0,0,1000000*SER_hh_emi!T30/SER_hh_num!T30)</f>
        <v>7573.8867210789585</v>
      </c>
      <c r="U30" s="132">
        <f>IF(SER_hh_emi!U30=0,0,1000000*SER_hh_emi!U30/SER_hh_num!U30)</f>
        <v>8243.1318527465173</v>
      </c>
      <c r="V30" s="132">
        <f>IF(SER_hh_emi!V30=0,0,1000000*SER_hh_emi!V30/SER_hh_num!V30)</f>
        <v>6985.870975781022</v>
      </c>
      <c r="W30" s="132">
        <f>IF(SER_hh_emi!W30=0,0,1000000*SER_hh_emi!W30/SER_hh_num!W30)</f>
        <v>9079.3494736819848</v>
      </c>
      <c r="X30" s="132">
        <f>IF(SER_hh_emi!X30=0,0,1000000*SER_hh_emi!X30/SER_hh_num!X30)</f>
        <v>7422.7280252685214</v>
      </c>
      <c r="Y30" s="132">
        <f>IF(SER_hh_emi!Y30=0,0,1000000*SER_hh_emi!Y30/SER_hh_num!Y30)</f>
        <v>7244.8272883152213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5178.7005105193102</v>
      </c>
      <c r="C31" s="132">
        <f>IF(SER_hh_emi!C31=0,0,1000000*SER_hh_emi!C31/SER_hh_num!C31)</f>
        <v>5371.1631435250238</v>
      </c>
      <c r="D31" s="132">
        <f>IF(SER_hh_emi!D31=0,0,1000000*SER_hh_emi!D31/SER_hh_num!D31)</f>
        <v>5389.321246230872</v>
      </c>
      <c r="E31" s="132">
        <f>IF(SER_hh_emi!E31=0,0,1000000*SER_hh_emi!E31/SER_hh_num!E31)</f>
        <v>5322.9590978162869</v>
      </c>
      <c r="F31" s="132">
        <f>IF(SER_hh_emi!F31=0,0,1000000*SER_hh_emi!F31/SER_hh_num!F31)</f>
        <v>5295.1116347054158</v>
      </c>
      <c r="G31" s="132">
        <f>IF(SER_hh_emi!G31=0,0,1000000*SER_hh_emi!G31/SER_hh_num!G31)</f>
        <v>5448.7769306912487</v>
      </c>
      <c r="H31" s="132">
        <f>IF(SER_hh_emi!H31=0,0,1000000*SER_hh_emi!H31/SER_hh_num!H31)</f>
        <v>5424.2259796915396</v>
      </c>
      <c r="I31" s="132">
        <f>IF(SER_hh_emi!I31=0,0,1000000*SER_hh_emi!I31/SER_hh_num!I31)</f>
        <v>5581.8528353432002</v>
      </c>
      <c r="J31" s="132">
        <f>IF(SER_hh_emi!J31=0,0,1000000*SER_hh_emi!J31/SER_hh_num!J31)</f>
        <v>5780.2545520307849</v>
      </c>
      <c r="K31" s="132">
        <f>IF(SER_hh_emi!K31=0,0,1000000*SER_hh_emi!K31/SER_hh_num!K31)</f>
        <v>5918.5076345091411</v>
      </c>
      <c r="L31" s="132">
        <f>IF(SER_hh_emi!L31=0,0,1000000*SER_hh_emi!L31/SER_hh_num!L31)</f>
        <v>5933.0483490544239</v>
      </c>
      <c r="M31" s="132">
        <f>IF(SER_hh_emi!M31=0,0,1000000*SER_hh_emi!M31/SER_hh_num!M31)</f>
        <v>6086.9394766213054</v>
      </c>
      <c r="N31" s="132">
        <f>IF(SER_hh_emi!N31=0,0,1000000*SER_hh_emi!N31/SER_hh_num!N31)</f>
        <v>6342.882218403267</v>
      </c>
      <c r="O31" s="132">
        <f>IF(SER_hh_emi!O31=0,0,1000000*SER_hh_emi!O31/SER_hh_num!O31)</f>
        <v>6316.7295717249426</v>
      </c>
      <c r="P31" s="132">
        <f>IF(SER_hh_emi!P31=0,0,1000000*SER_hh_emi!P31/SER_hh_num!P31)</f>
        <v>6346.2703912732932</v>
      </c>
      <c r="Q31" s="132">
        <f>IF(SER_hh_emi!Q31=0,0,1000000*SER_hh_emi!Q31/SER_hh_num!Q31)</f>
        <v>6584.5611813144833</v>
      </c>
      <c r="R31" s="132">
        <f>IF(SER_hh_emi!R31=0,0,1000000*SER_hh_emi!R31/SER_hh_num!R31)</f>
        <v>6646.0168726766997</v>
      </c>
      <c r="S31" s="132">
        <f>IF(SER_hh_emi!S31=0,0,1000000*SER_hh_emi!S31/SER_hh_num!S31)</f>
        <v>6922.2970002434622</v>
      </c>
      <c r="T31" s="132">
        <f>IF(SER_hh_emi!T31=0,0,1000000*SER_hh_emi!T31/SER_hh_num!T31)</f>
        <v>6990.4325325710979</v>
      </c>
      <c r="U31" s="132">
        <f>IF(SER_hh_emi!U31=0,0,1000000*SER_hh_emi!U31/SER_hh_num!U31)</f>
        <v>6825.0705321312553</v>
      </c>
      <c r="V31" s="132">
        <f>IF(SER_hh_emi!V31=0,0,1000000*SER_hh_emi!V31/SER_hh_num!V31)</f>
        <v>5663.0966736976743</v>
      </c>
      <c r="W31" s="132">
        <f>IF(SER_hh_emi!W31=0,0,1000000*SER_hh_emi!W31/SER_hh_num!W31)</f>
        <v>5857.6976791777697</v>
      </c>
      <c r="X31" s="132">
        <f>IF(SER_hh_emi!X31=0,0,1000000*SER_hh_emi!X31/SER_hh_num!X31)</f>
        <v>8443.2745540773758</v>
      </c>
      <c r="Y31" s="132">
        <f>IF(SER_hh_emi!Y31=0,0,1000000*SER_hh_emi!Y31/SER_hh_num!Y31)</f>
        <v>6446.0970736158733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165.11915932586908</v>
      </c>
      <c r="C3" s="125">
        <f>IF(SER_hh_fech!C3=0,0,SER_hh_fech!C3/SER_summary!C$26)</f>
        <v>184.80124719344158</v>
      </c>
      <c r="D3" s="125">
        <f>IF(SER_hh_fech!D3=0,0,SER_hh_fech!D3/SER_summary!D$26)</f>
        <v>185.62692212713651</v>
      </c>
      <c r="E3" s="125">
        <f>IF(SER_hh_fech!E3=0,0,SER_hh_fech!E3/SER_summary!E$26)</f>
        <v>185.97350456902123</v>
      </c>
      <c r="F3" s="125">
        <f>IF(SER_hh_fech!F3=0,0,SER_hh_fech!F3/SER_summary!F$26)</f>
        <v>183.11215508117459</v>
      </c>
      <c r="G3" s="125">
        <f>IF(SER_hh_fech!G3=0,0,SER_hh_fech!G3/SER_summary!G$26)</f>
        <v>183.0553443859412</v>
      </c>
      <c r="H3" s="125">
        <f>IF(SER_hh_fech!H3=0,0,SER_hh_fech!H3/SER_summary!H$26)</f>
        <v>168.31813157658411</v>
      </c>
      <c r="I3" s="125">
        <f>IF(SER_hh_fech!I3=0,0,SER_hh_fech!I3/SER_summary!I$26)</f>
        <v>154.42103861131662</v>
      </c>
      <c r="J3" s="125">
        <f>IF(SER_hh_fech!J3=0,0,SER_hh_fech!J3/SER_summary!J$26)</f>
        <v>163.5083087813407</v>
      </c>
      <c r="K3" s="125">
        <f>IF(SER_hh_fech!K3=0,0,SER_hh_fech!K3/SER_summary!K$26)</f>
        <v>161.2589440801456</v>
      </c>
      <c r="L3" s="125">
        <f>IF(SER_hh_fech!L3=0,0,SER_hh_fech!L3/SER_summary!L$26)</f>
        <v>171.12596363582296</v>
      </c>
      <c r="M3" s="125">
        <f>IF(SER_hh_fech!M3=0,0,SER_hh_fech!M3/SER_summary!M$26)</f>
        <v>165.00481871145197</v>
      </c>
      <c r="N3" s="125">
        <f>IF(SER_hh_fech!N3=0,0,SER_hh_fech!N3/SER_summary!N$26)</f>
        <v>157.85436517168307</v>
      </c>
      <c r="O3" s="125">
        <f>IF(SER_hh_fech!O3=0,0,SER_hh_fech!O3/SER_summary!O$26)</f>
        <v>152.10326573672452</v>
      </c>
      <c r="P3" s="125">
        <f>IF(SER_hh_fech!P3=0,0,SER_hh_fech!P3/SER_summary!P$26)</f>
        <v>132.5429604878091</v>
      </c>
      <c r="Q3" s="125">
        <f>IF(SER_hh_fech!Q3=0,0,SER_hh_fech!Q3/SER_summary!Q$26)</f>
        <v>145.88981136000692</v>
      </c>
      <c r="R3" s="125">
        <f>IF(SER_hh_fech!R3=0,0,SER_hh_fech!R3/SER_summary!R$26)</f>
        <v>149.90123719253216</v>
      </c>
      <c r="S3" s="125">
        <f>IF(SER_hh_fech!S3=0,0,SER_hh_fech!S3/SER_summary!S$26)</f>
        <v>159.56805801025166</v>
      </c>
      <c r="T3" s="125">
        <f>IF(SER_hh_fech!T3=0,0,SER_hh_fech!T3/SER_summary!T$26)</f>
        <v>162.81009115363014</v>
      </c>
      <c r="U3" s="125">
        <f>IF(SER_hh_fech!U3=0,0,SER_hh_fech!U3/SER_summary!U$26)</f>
        <v>162.35640830159963</v>
      </c>
      <c r="V3" s="125">
        <f>IF(SER_hh_fech!V3=0,0,SER_hh_fech!V3/SER_summary!V$26)</f>
        <v>144.6789431714094</v>
      </c>
      <c r="W3" s="125">
        <f>IF(SER_hh_fech!W3=0,0,SER_hh_fech!W3/SER_summary!W$26)</f>
        <v>165.81012750954918</v>
      </c>
      <c r="X3" s="125">
        <f>IF(SER_hh_fech!X3=0,0,SER_hh_fech!X3/SER_summary!X$26)</f>
        <v>154.43221737979448</v>
      </c>
      <c r="Y3" s="125">
        <f>IF(SER_hh_fech!Y3=0,0,SER_hh_fech!Y3/SER_summary!Y$26)</f>
        <v>146.51256009630376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115.50338756732792</v>
      </c>
      <c r="C4" s="130">
        <f>IF(SER_hh_fech!C4=0,0,SER_hh_fech!C4/SER_summary!C$26)</f>
        <v>134.01835706809479</v>
      </c>
      <c r="D4" s="130">
        <f>IF(SER_hh_fech!D4=0,0,SER_hh_fech!D4/SER_summary!D$26)</f>
        <v>134.3641044686951</v>
      </c>
      <c r="E4" s="130">
        <f>IF(SER_hh_fech!E4=0,0,SER_hh_fech!E4/SER_summary!E$26)</f>
        <v>132.88578998940466</v>
      </c>
      <c r="F4" s="130">
        <f>IF(SER_hh_fech!F4=0,0,SER_hh_fech!F4/SER_summary!F$26)</f>
        <v>131.40777126433665</v>
      </c>
      <c r="G4" s="130">
        <f>IF(SER_hh_fech!G4=0,0,SER_hh_fech!G4/SER_summary!G$26)</f>
        <v>130.87035565736588</v>
      </c>
      <c r="H4" s="130">
        <f>IF(SER_hh_fech!H4=0,0,SER_hh_fech!H4/SER_summary!H$26)</f>
        <v>116.00396885322112</v>
      </c>
      <c r="I4" s="130">
        <f>IF(SER_hh_fech!I4=0,0,SER_hh_fech!I4/SER_summary!I$26)</f>
        <v>101.79094282770396</v>
      </c>
      <c r="J4" s="130">
        <f>IF(SER_hh_fech!J4=0,0,SER_hh_fech!J4/SER_summary!J$26)</f>
        <v>109.5677392145074</v>
      </c>
      <c r="K4" s="130">
        <f>IF(SER_hh_fech!K4=0,0,SER_hh_fech!K4/SER_summary!K$26)</f>
        <v>106.11873672571191</v>
      </c>
      <c r="L4" s="130">
        <f>IF(SER_hh_fech!L4=0,0,SER_hh_fech!L4/SER_summary!L$26)</f>
        <v>115.2825855508233</v>
      </c>
      <c r="M4" s="130">
        <f>IF(SER_hh_fech!M4=0,0,SER_hh_fech!M4/SER_summary!M$26)</f>
        <v>109.11045799886169</v>
      </c>
      <c r="N4" s="130">
        <f>IF(SER_hh_fech!N4=0,0,SER_hh_fech!N4/SER_summary!N$26)</f>
        <v>98.403279849123948</v>
      </c>
      <c r="O4" s="130">
        <f>IF(SER_hh_fech!O4=0,0,SER_hh_fech!O4/SER_summary!O$26)</f>
        <v>94.10492472723395</v>
      </c>
      <c r="P4" s="130">
        <f>IF(SER_hh_fech!P4=0,0,SER_hh_fech!P4/SER_summary!P$26)</f>
        <v>75.612781623000785</v>
      </c>
      <c r="Q4" s="130">
        <f>IF(SER_hh_fech!Q4=0,0,SER_hh_fech!Q4/SER_summary!Q$26)</f>
        <v>87.546028794692248</v>
      </c>
      <c r="R4" s="130">
        <f>IF(SER_hh_fech!R4=0,0,SER_hh_fech!R4/SER_summary!R$26)</f>
        <v>92.804755390985974</v>
      </c>
      <c r="S4" s="130">
        <f>IF(SER_hh_fech!S4=0,0,SER_hh_fech!S4/SER_summary!S$26)</f>
        <v>100.88922886412817</v>
      </c>
      <c r="T4" s="130">
        <f>IF(SER_hh_fech!T4=0,0,SER_hh_fech!T4/SER_summary!T$26)</f>
        <v>105.49337965033301</v>
      </c>
      <c r="U4" s="130">
        <f>IF(SER_hh_fech!U4=0,0,SER_hh_fech!U4/SER_summary!U$26)</f>
        <v>104.55259595416575</v>
      </c>
      <c r="V4" s="130">
        <f>IF(SER_hh_fech!V4=0,0,SER_hh_fech!V4/SER_summary!V$26)</f>
        <v>94.436643509216537</v>
      </c>
      <c r="W4" s="130">
        <f>IF(SER_hh_fech!W4=0,0,SER_hh_fech!W4/SER_summary!W$26)</f>
        <v>109.86320091646392</v>
      </c>
      <c r="X4" s="130">
        <f>IF(SER_hh_fech!X4=0,0,SER_hh_fech!X4/SER_summary!X$26)</f>
        <v>98.426357733895856</v>
      </c>
      <c r="Y4" s="130">
        <f>IF(SER_hh_fech!Y4=0,0,SER_hh_fech!Y4/SER_summary!Y$26)</f>
        <v>92.650408045914659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137.66685512783005</v>
      </c>
      <c r="C5" s="132">
        <f>IF(SER_hh_fech!C5=0,0,SER_hh_fech!C5/SER_summary!C$26)</f>
        <v>106.48461741609233</v>
      </c>
      <c r="D5" s="132">
        <f>IF(SER_hh_fech!D5=0,0,SER_hh_fech!D5/SER_summary!D$26)</f>
        <v>146.11238371784515</v>
      </c>
      <c r="E5" s="132">
        <f>IF(SER_hh_fech!E5=0,0,SER_hh_fech!E5/SER_summary!E$26)</f>
        <v>197.47950081628946</v>
      </c>
      <c r="F5" s="132">
        <f>IF(SER_hh_fech!F5=0,0,SER_hh_fech!F5/SER_summary!F$26)</f>
        <v>123.43429770625552</v>
      </c>
      <c r="G5" s="132">
        <f>IF(SER_hh_fech!G5=0,0,SER_hh_fech!G5/SER_summary!G$26)</f>
        <v>28.931915763989387</v>
      </c>
      <c r="H5" s="132">
        <f>IF(SER_hh_fech!H5=0,0,SER_hh_fech!H5/SER_summary!H$26)</f>
        <v>174.21035299649006</v>
      </c>
      <c r="I5" s="132">
        <f>IF(SER_hh_fech!I5=0,0,SER_hh_fech!I5/SER_summary!I$26)</f>
        <v>95.28253884966874</v>
      </c>
      <c r="J5" s="132">
        <f>IF(SER_hh_fech!J5=0,0,SER_hh_fech!J5/SER_summary!J$26)</f>
        <v>141.45841626757627</v>
      </c>
      <c r="K5" s="132">
        <f>IF(SER_hh_fech!K5=0,0,SER_hh_fech!K5/SER_summary!K$26)</f>
        <v>132.74129505831993</v>
      </c>
      <c r="L5" s="132">
        <f>IF(SER_hh_fech!L5=0,0,SER_hh_fech!L5/SER_summary!L$26)</f>
        <v>78.583106695434765</v>
      </c>
      <c r="M5" s="132">
        <f>IF(SER_hh_fech!M5=0,0,SER_hh_fech!M5/SER_summary!M$26)</f>
        <v>162.11930700674316</v>
      </c>
      <c r="N5" s="132">
        <f>IF(SER_hh_fech!N5=0,0,SER_hh_fech!N5/SER_summary!N$26)</f>
        <v>160.51731973541789</v>
      </c>
      <c r="O5" s="132">
        <f>IF(SER_hh_fech!O5=0,0,SER_hh_fech!O5/SER_summary!O$26)</f>
        <v>27.818449611600403</v>
      </c>
      <c r="P5" s="132">
        <f>IF(SER_hh_fech!P5=0,0,SER_hh_fech!P5/SER_summary!P$26)</f>
        <v>26.904885960010589</v>
      </c>
      <c r="Q5" s="132">
        <f>IF(SER_hh_fech!Q5=0,0,SER_hh_fech!Q5/SER_summary!Q$26)</f>
        <v>51.069248609469234</v>
      </c>
      <c r="R5" s="132">
        <f>IF(SER_hh_fech!R5=0,0,SER_hh_fech!R5/SER_summary!R$26)</f>
        <v>65.783799427474676</v>
      </c>
      <c r="S5" s="132">
        <f>IF(SER_hh_fech!S5=0,0,SER_hh_fech!S5/SER_summary!S$26)</f>
        <v>186.08733657488037</v>
      </c>
      <c r="T5" s="132">
        <f>IF(SER_hh_fech!T5=0,0,SER_hh_fech!T5/SER_summary!T$26)</f>
        <v>97.935771558095297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0</v>
      </c>
      <c r="C6" s="132">
        <f>IF(SER_hh_fech!C6=0,0,SER_hh_fech!C6/SER_summary!C$26)</f>
        <v>0</v>
      </c>
      <c r="D6" s="132">
        <f>IF(SER_hh_fech!D6=0,0,SER_hh_fech!D6/SER_summary!D$26)</f>
        <v>0</v>
      </c>
      <c r="E6" s="132">
        <f>IF(SER_hh_fech!E6=0,0,SER_hh_fech!E6/SER_summary!E$26)</f>
        <v>0</v>
      </c>
      <c r="F6" s="132">
        <f>IF(SER_hh_fech!F6=0,0,SER_hh_fech!F6/SER_summary!F$26)</f>
        <v>0</v>
      </c>
      <c r="G6" s="132">
        <f>IF(SER_hh_fech!G6=0,0,SER_hh_fech!G6/SER_summary!G$26)</f>
        <v>0</v>
      </c>
      <c r="H6" s="132">
        <f>IF(SER_hh_fech!H6=0,0,SER_hh_fech!H6/SER_summary!H$26)</f>
        <v>0</v>
      </c>
      <c r="I6" s="132">
        <f>IF(SER_hh_fech!I6=0,0,SER_hh_fech!I6/SER_summary!I$26)</f>
        <v>0</v>
      </c>
      <c r="J6" s="132">
        <f>IF(SER_hh_fech!J6=0,0,SER_hh_fech!J6/SER_summary!J$26)</f>
        <v>0</v>
      </c>
      <c r="K6" s="132">
        <f>IF(SER_hh_fech!K6=0,0,SER_hh_fech!K6/SER_summary!K$26)</f>
        <v>0</v>
      </c>
      <c r="L6" s="132">
        <f>IF(SER_hh_fech!L6=0,0,SER_hh_fech!L6/SER_summary!L$26)</f>
        <v>0</v>
      </c>
      <c r="M6" s="132">
        <f>IF(SER_hh_fech!M6=0,0,SER_hh_fech!M6/SER_summary!M$26)</f>
        <v>0</v>
      </c>
      <c r="N6" s="132">
        <f>IF(SER_hh_fech!N6=0,0,SER_hh_fech!N6/SER_summary!N$26)</f>
        <v>0</v>
      </c>
      <c r="O6" s="132">
        <f>IF(SER_hh_fech!O6=0,0,SER_hh_fech!O6/SER_summary!O$26)</f>
        <v>0</v>
      </c>
      <c r="P6" s="132">
        <f>IF(SER_hh_fech!P6=0,0,SER_hh_fech!P6/SER_summary!P$26)</f>
        <v>0</v>
      </c>
      <c r="Q6" s="132">
        <f>IF(SER_hh_fech!Q6=0,0,SER_hh_fech!Q6/SER_summary!Q$26)</f>
        <v>0</v>
      </c>
      <c r="R6" s="132">
        <f>IF(SER_hh_fech!R6=0,0,SER_hh_fech!R6/SER_summary!R$26)</f>
        <v>0</v>
      </c>
      <c r="S6" s="132">
        <f>IF(SER_hh_fech!S6=0,0,SER_hh_fech!S6/SER_summary!S$26)</f>
        <v>0</v>
      </c>
      <c r="T6" s="132">
        <f>IF(SER_hh_fech!T6=0,0,SER_hh_fech!T6/SER_summary!T$26)</f>
        <v>0</v>
      </c>
      <c r="U6" s="132">
        <f>IF(SER_hh_fech!U6=0,0,SER_hh_fech!U6/SER_summary!U$26)</f>
        <v>0</v>
      </c>
      <c r="V6" s="132">
        <f>IF(SER_hh_fech!V6=0,0,SER_hh_fech!V6/SER_summary!V$26)</f>
        <v>0</v>
      </c>
      <c r="W6" s="132">
        <f>IF(SER_hh_fech!W6=0,0,SER_hh_fech!W6/SER_summary!W$26)</f>
        <v>0</v>
      </c>
      <c r="X6" s="132">
        <f>IF(SER_hh_fech!X6=0,0,SER_hh_fech!X6/SER_summary!X$26)</f>
        <v>0</v>
      </c>
      <c r="Y6" s="132">
        <f>IF(SER_hh_fech!Y6=0,0,SER_hh_fech!Y6/SER_summary!Y$26)</f>
        <v>0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148.52120998105394</v>
      </c>
      <c r="C7" s="132">
        <f>IF(SER_hh_fech!C7=0,0,SER_hh_fech!C7/SER_summary!C$26)</f>
        <v>155.15675106079252</v>
      </c>
      <c r="D7" s="132">
        <f>IF(SER_hh_fech!D7=0,0,SER_hh_fech!D7/SER_summary!D$26)</f>
        <v>168.82504596166851</v>
      </c>
      <c r="E7" s="132">
        <f>IF(SER_hh_fech!E7=0,0,SER_hh_fech!E7/SER_summary!E$26)</f>
        <v>163.54110711990612</v>
      </c>
      <c r="F7" s="132">
        <f>IF(SER_hh_fech!F7=0,0,SER_hh_fech!F7/SER_summary!F$26)</f>
        <v>166.24106938145246</v>
      </c>
      <c r="G7" s="132">
        <f>IF(SER_hh_fech!G7=0,0,SER_hh_fech!G7/SER_summary!G$26)</f>
        <v>160.22744749518816</v>
      </c>
      <c r="H7" s="132">
        <f>IF(SER_hh_fech!H7=0,0,SER_hh_fech!H7/SER_summary!H$26)</f>
        <v>148.03705267954035</v>
      </c>
      <c r="I7" s="132">
        <f>IF(SER_hh_fech!I7=0,0,SER_hh_fech!I7/SER_summary!I$26)</f>
        <v>130.47748203994595</v>
      </c>
      <c r="J7" s="132">
        <f>IF(SER_hh_fech!J7=0,0,SER_hh_fech!J7/SER_summary!J$26)</f>
        <v>135.73693062549034</v>
      </c>
      <c r="K7" s="132">
        <f>IF(SER_hh_fech!K7=0,0,SER_hh_fech!K7/SER_summary!K$26)</f>
        <v>140.12775461389404</v>
      </c>
      <c r="L7" s="132">
        <f>IF(SER_hh_fech!L7=0,0,SER_hh_fech!L7/SER_summary!L$26)</f>
        <v>145.88126153148892</v>
      </c>
      <c r="M7" s="132">
        <f>IF(SER_hh_fech!M7=0,0,SER_hh_fech!M7/SER_summary!M$26)</f>
        <v>144.16450046854231</v>
      </c>
      <c r="N7" s="132">
        <f>IF(SER_hh_fech!N7=0,0,SER_hh_fech!N7/SER_summary!N$26)</f>
        <v>125.26594887059191</v>
      </c>
      <c r="O7" s="132">
        <f>IF(SER_hh_fech!O7=0,0,SER_hh_fech!O7/SER_summary!O$26)</f>
        <v>110.80518678544369</v>
      </c>
      <c r="P7" s="132">
        <f>IF(SER_hh_fech!P7=0,0,SER_hh_fech!P7/SER_summary!P$26)</f>
        <v>86.216652227647657</v>
      </c>
      <c r="Q7" s="132">
        <f>IF(SER_hh_fech!Q7=0,0,SER_hh_fech!Q7/SER_summary!Q$26)</f>
        <v>112.89141778115528</v>
      </c>
      <c r="R7" s="132">
        <f>IF(SER_hh_fech!R7=0,0,SER_hh_fech!R7/SER_summary!R$26)</f>
        <v>113.65450573581211</v>
      </c>
      <c r="S7" s="132">
        <f>IF(SER_hh_fech!S7=0,0,SER_hh_fech!S7/SER_summary!S$26)</f>
        <v>123.02218772024327</v>
      </c>
      <c r="T7" s="132">
        <f>IF(SER_hh_fech!T7=0,0,SER_hh_fech!T7/SER_summary!T$26)</f>
        <v>121.51240206359134</v>
      </c>
      <c r="U7" s="132">
        <f>IF(SER_hh_fech!U7=0,0,SER_hh_fech!U7/SER_summary!U$26)</f>
        <v>101.24344079954173</v>
      </c>
      <c r="V7" s="132">
        <f>IF(SER_hh_fech!V7=0,0,SER_hh_fech!V7/SER_summary!V$26)</f>
        <v>114.44833684222766</v>
      </c>
      <c r="W7" s="132">
        <f>IF(SER_hh_fech!W7=0,0,SER_hh_fech!W7/SER_summary!W$26)</f>
        <v>106.98075832059966</v>
      </c>
      <c r="X7" s="132">
        <f>IF(SER_hh_fech!X7=0,0,SER_hh_fech!X7/SER_summary!X$26)</f>
        <v>125.04563984596436</v>
      </c>
      <c r="Y7" s="132">
        <f>IF(SER_hh_fech!Y7=0,0,SER_hh_fech!Y7/SER_summary!Y$26)</f>
        <v>112.66902390485787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0</v>
      </c>
      <c r="C8" s="132">
        <f>IF(SER_hh_fech!C8=0,0,SER_hh_fech!C8/SER_summary!C$26)</f>
        <v>0</v>
      </c>
      <c r="D8" s="132">
        <f>IF(SER_hh_fech!D8=0,0,SER_hh_fech!D8/SER_summary!D$26)</f>
        <v>0</v>
      </c>
      <c r="E8" s="132">
        <f>IF(SER_hh_fech!E8=0,0,SER_hh_fech!E8/SER_summary!E$26)</f>
        <v>0</v>
      </c>
      <c r="F8" s="132">
        <f>IF(SER_hh_fech!F8=0,0,SER_hh_fech!F8/SER_summary!F$26)</f>
        <v>0</v>
      </c>
      <c r="G8" s="132">
        <f>IF(SER_hh_fech!G8=0,0,SER_hh_fech!G8/SER_summary!G$26)</f>
        <v>0</v>
      </c>
      <c r="H8" s="132">
        <f>IF(SER_hh_fech!H8=0,0,SER_hh_fech!H8/SER_summary!H$26)</f>
        <v>0</v>
      </c>
      <c r="I8" s="132">
        <f>IF(SER_hh_fech!I8=0,0,SER_hh_fech!I8/SER_summary!I$26)</f>
        <v>0</v>
      </c>
      <c r="J8" s="132">
        <f>IF(SER_hh_fech!J8=0,0,SER_hh_fech!J8/SER_summary!J$26)</f>
        <v>0</v>
      </c>
      <c r="K8" s="132">
        <f>IF(SER_hh_fech!K8=0,0,SER_hh_fech!K8/SER_summary!K$26)</f>
        <v>0</v>
      </c>
      <c r="L8" s="132">
        <f>IF(SER_hh_fech!L8=0,0,SER_hh_fech!L8/SER_summary!L$26)</f>
        <v>0</v>
      </c>
      <c r="M8" s="132">
        <f>IF(SER_hh_fech!M8=0,0,SER_hh_fech!M8/SER_summary!M$26)</f>
        <v>0</v>
      </c>
      <c r="N8" s="132">
        <f>IF(SER_hh_fech!N8=0,0,SER_hh_fech!N8/SER_summary!N$26)</f>
        <v>0</v>
      </c>
      <c r="O8" s="132">
        <f>IF(SER_hh_fech!O8=0,0,SER_hh_fech!O8/SER_summary!O$26)</f>
        <v>0</v>
      </c>
      <c r="P8" s="132">
        <f>IF(SER_hh_fech!P8=0,0,SER_hh_fech!P8/SER_summary!P$26)</f>
        <v>0</v>
      </c>
      <c r="Q8" s="132">
        <f>IF(SER_hh_fech!Q8=0,0,SER_hh_fech!Q8/SER_summary!Q$26)</f>
        <v>0</v>
      </c>
      <c r="R8" s="132">
        <f>IF(SER_hh_fech!R8=0,0,SER_hh_fech!R8/SER_summary!R$26)</f>
        <v>0</v>
      </c>
      <c r="S8" s="132">
        <f>IF(SER_hh_fech!S8=0,0,SER_hh_fech!S8/SER_summary!S$26)</f>
        <v>0</v>
      </c>
      <c r="T8" s="132">
        <f>IF(SER_hh_fech!T8=0,0,SER_hh_fech!T8/SER_summary!T$26)</f>
        <v>0</v>
      </c>
      <c r="U8" s="132">
        <f>IF(SER_hh_fech!U8=0,0,SER_hh_fech!U8/SER_summary!U$26)</f>
        <v>0</v>
      </c>
      <c r="V8" s="132">
        <f>IF(SER_hh_fech!V8=0,0,SER_hh_fech!V8/SER_summary!V$26)</f>
        <v>0</v>
      </c>
      <c r="W8" s="132">
        <f>IF(SER_hh_fech!W8=0,0,SER_hh_fech!W8/SER_summary!W$26)</f>
        <v>0</v>
      </c>
      <c r="X8" s="132">
        <f>IF(SER_hh_fech!X8=0,0,SER_hh_fech!X8/SER_summary!X$26)</f>
        <v>0</v>
      </c>
      <c r="Y8" s="132">
        <f>IF(SER_hh_fech!Y8=0,0,SER_hh_fech!Y8/SER_summary!Y$26)</f>
        <v>0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118.27721898370341</v>
      </c>
      <c r="C9" s="132">
        <f>IF(SER_hh_fech!C9=0,0,SER_hh_fech!C9/SER_summary!C$26)</f>
        <v>164.18430895556918</v>
      </c>
      <c r="D9" s="132">
        <f>IF(SER_hh_fech!D9=0,0,SER_hh_fech!D9/SER_summary!D$26)</f>
        <v>143.56502707004074</v>
      </c>
      <c r="E9" s="132">
        <f>IF(SER_hh_fech!E9=0,0,SER_hh_fech!E9/SER_summary!E$26)</f>
        <v>145.61042224668321</v>
      </c>
      <c r="F9" s="132">
        <f>IF(SER_hh_fech!F9=0,0,SER_hh_fech!F9/SER_summary!F$26)</f>
        <v>145.43140738996476</v>
      </c>
      <c r="G9" s="132">
        <f>IF(SER_hh_fech!G9=0,0,SER_hh_fech!G9/SER_summary!G$26)</f>
        <v>148.03304850961788</v>
      </c>
      <c r="H9" s="132">
        <f>IF(SER_hh_fech!H9=0,0,SER_hh_fech!H9/SER_summary!H$26)</f>
        <v>132.04926238011339</v>
      </c>
      <c r="I9" s="132">
        <f>IF(SER_hh_fech!I9=0,0,SER_hh_fech!I9/SER_summary!I$26)</f>
        <v>118.63676338556256</v>
      </c>
      <c r="J9" s="132">
        <f>IF(SER_hh_fech!J9=0,0,SER_hh_fech!J9/SER_summary!J$26)</f>
        <v>123.98259874307803</v>
      </c>
      <c r="K9" s="132">
        <f>IF(SER_hh_fech!K9=0,0,SER_hh_fech!K9/SER_summary!K$26)</f>
        <v>120.76988166327916</v>
      </c>
      <c r="L9" s="132">
        <f>IF(SER_hh_fech!L9=0,0,SER_hh_fech!L9/SER_summary!L$26)</f>
        <v>142.7644223751762</v>
      </c>
      <c r="M9" s="132">
        <f>IF(SER_hh_fech!M9=0,0,SER_hh_fech!M9/SER_summary!M$26)</f>
        <v>123.43584836219982</v>
      </c>
      <c r="N9" s="132">
        <f>IF(SER_hh_fech!N9=0,0,SER_hh_fech!N9/SER_summary!N$26)</f>
        <v>107.96669713072346</v>
      </c>
      <c r="O9" s="132">
        <f>IF(SER_hh_fech!O9=0,0,SER_hh_fech!O9/SER_summary!O$26)</f>
        <v>101.85827370230173</v>
      </c>
      <c r="P9" s="132">
        <f>IF(SER_hh_fech!P9=0,0,SER_hh_fech!P9/SER_summary!P$26)</f>
        <v>84.217416521886307</v>
      </c>
      <c r="Q9" s="132">
        <f>IF(SER_hh_fech!Q9=0,0,SER_hh_fech!Q9/SER_summary!Q$26)</f>
        <v>99.60615263908592</v>
      </c>
      <c r="R9" s="132">
        <f>IF(SER_hh_fech!R9=0,0,SER_hh_fech!R9/SER_summary!R$26)</f>
        <v>102.98714580947882</v>
      </c>
      <c r="S9" s="132">
        <f>IF(SER_hh_fech!S9=0,0,SER_hh_fech!S9/SER_summary!S$26)</f>
        <v>107.71149866204982</v>
      </c>
      <c r="T9" s="132">
        <f>IF(SER_hh_fech!T9=0,0,SER_hh_fech!T9/SER_summary!T$26)</f>
        <v>111.85401690106849</v>
      </c>
      <c r="U9" s="132">
        <f>IF(SER_hh_fech!U9=0,0,SER_hh_fech!U9/SER_summary!U$26)</f>
        <v>112.26690446786976</v>
      </c>
      <c r="V9" s="132">
        <f>IF(SER_hh_fech!V9=0,0,SER_hh_fech!V9/SER_summary!V$26)</f>
        <v>103.32638074149753</v>
      </c>
      <c r="W9" s="132">
        <f>IF(SER_hh_fech!W9=0,0,SER_hh_fech!W9/SER_summary!W$26)</f>
        <v>126.23797785271837</v>
      </c>
      <c r="X9" s="132">
        <f>IF(SER_hh_fech!X9=0,0,SER_hh_fech!X9/SER_summary!X$26)</f>
        <v>105.87679520729853</v>
      </c>
      <c r="Y9" s="132">
        <f>IF(SER_hh_fech!Y9=0,0,SER_hh_fech!Y9/SER_summary!Y$26)</f>
        <v>97.832137524366487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0</v>
      </c>
      <c r="C10" s="132">
        <f>IF(SER_hh_fech!C10=0,0,SER_hh_fech!C10/SER_summary!C$26)</f>
        <v>0</v>
      </c>
      <c r="D10" s="132">
        <f>IF(SER_hh_fech!D10=0,0,SER_hh_fech!D10/SER_summary!D$26)</f>
        <v>0</v>
      </c>
      <c r="E10" s="132">
        <f>IF(SER_hh_fech!E10=0,0,SER_hh_fech!E10/SER_summary!E$26)</f>
        <v>0</v>
      </c>
      <c r="F10" s="132">
        <f>IF(SER_hh_fech!F10=0,0,SER_hh_fech!F10/SER_summary!F$26)</f>
        <v>0</v>
      </c>
      <c r="G10" s="132">
        <f>IF(SER_hh_fech!G10=0,0,SER_hh_fech!G10/SER_summary!G$26)</f>
        <v>0</v>
      </c>
      <c r="H10" s="132">
        <f>IF(SER_hh_fech!H10=0,0,SER_hh_fech!H10/SER_summary!H$26)</f>
        <v>0</v>
      </c>
      <c r="I10" s="132">
        <f>IF(SER_hh_fech!I10=0,0,SER_hh_fech!I10/SER_summary!I$26)</f>
        <v>185.56190625769469</v>
      </c>
      <c r="J10" s="132">
        <f>IF(SER_hh_fech!J10=0,0,SER_hh_fech!J10/SER_summary!J$26)</f>
        <v>132.74464731565331</v>
      </c>
      <c r="K10" s="132">
        <f>IF(SER_hh_fech!K10=0,0,SER_hh_fech!K10/SER_summary!K$26)</f>
        <v>149.73500030329649</v>
      </c>
      <c r="L10" s="132">
        <f>IF(SER_hh_fech!L10=0,0,SER_hh_fech!L10/SER_summary!L$26)</f>
        <v>129.78241974678286</v>
      </c>
      <c r="M10" s="132">
        <f>IF(SER_hh_fech!M10=0,0,SER_hh_fech!M10/SER_summary!M$26)</f>
        <v>153.61832492447883</v>
      </c>
      <c r="N10" s="132">
        <f>IF(SER_hh_fech!N10=0,0,SER_hh_fech!N10/SER_summary!N$26)</f>
        <v>119.20762252275972</v>
      </c>
      <c r="O10" s="132">
        <f>IF(SER_hh_fech!O10=0,0,SER_hh_fech!O10/SER_summary!O$26)</f>
        <v>102.05080151552627</v>
      </c>
      <c r="P10" s="132">
        <f>IF(SER_hh_fech!P10=0,0,SER_hh_fech!P10/SER_summary!P$26)</f>
        <v>103.53584266459401</v>
      </c>
      <c r="Q10" s="132">
        <f>IF(SER_hh_fech!Q10=0,0,SER_hh_fech!Q10/SER_summary!Q$26)</f>
        <v>111.12778116657307</v>
      </c>
      <c r="R10" s="132">
        <f>IF(SER_hh_fech!R10=0,0,SER_hh_fech!R10/SER_summary!R$26)</f>
        <v>121.2744209931066</v>
      </c>
      <c r="S10" s="132">
        <f>IF(SER_hh_fech!S10=0,0,SER_hh_fech!S10/SER_summary!S$26)</f>
        <v>127.23288752931074</v>
      </c>
      <c r="T10" s="132">
        <f>IF(SER_hh_fech!T10=0,0,SER_hh_fech!T10/SER_summary!T$26)</f>
        <v>129.7233842515237</v>
      </c>
      <c r="U10" s="132">
        <f>IF(SER_hh_fech!U10=0,0,SER_hh_fech!U10/SER_summary!U$26)</f>
        <v>138.34250750119773</v>
      </c>
      <c r="V10" s="132">
        <f>IF(SER_hh_fech!V10=0,0,SER_hh_fech!V10/SER_summary!V$26)</f>
        <v>136.82809607889294</v>
      </c>
      <c r="W10" s="132">
        <f>IF(SER_hh_fech!W10=0,0,SER_hh_fech!W10/SER_summary!W$26)</f>
        <v>127.78958036575486</v>
      </c>
      <c r="X10" s="132">
        <f>IF(SER_hh_fech!X10=0,0,SER_hh_fech!X10/SER_summary!X$26)</f>
        <v>130.33910155950409</v>
      </c>
      <c r="Y10" s="132">
        <f>IF(SER_hh_fech!Y10=0,0,SER_hh_fech!Y10/SER_summary!Y$26)</f>
        <v>123.89534207041548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0</v>
      </c>
      <c r="C11" s="132">
        <f>IF(SER_hh_fech!C11=0,0,SER_hh_fech!C11/SER_summary!C$26)</f>
        <v>0</v>
      </c>
      <c r="D11" s="132">
        <f>IF(SER_hh_fech!D11=0,0,SER_hh_fech!D11/SER_summary!D$26)</f>
        <v>0</v>
      </c>
      <c r="E11" s="132">
        <f>IF(SER_hh_fech!E11=0,0,SER_hh_fech!E11/SER_summary!E$26)</f>
        <v>0</v>
      </c>
      <c r="F11" s="132">
        <f>IF(SER_hh_fech!F11=0,0,SER_hh_fech!F11/SER_summary!F$26)</f>
        <v>0</v>
      </c>
      <c r="G11" s="132">
        <f>IF(SER_hh_fech!G11=0,0,SER_hh_fech!G11/SER_summary!G$26)</f>
        <v>0</v>
      </c>
      <c r="H11" s="132">
        <f>IF(SER_hh_fech!H11=0,0,SER_hh_fech!H11/SER_summary!H$26)</f>
        <v>0</v>
      </c>
      <c r="I11" s="132">
        <f>IF(SER_hh_fech!I11=0,0,SER_hh_fech!I11/SER_summary!I$26)</f>
        <v>114.10059230074151</v>
      </c>
      <c r="J11" s="132">
        <f>IF(SER_hh_fech!J11=0,0,SER_hh_fech!J11/SER_summary!J$26)</f>
        <v>80.477543333549264</v>
      </c>
      <c r="K11" s="132">
        <f>IF(SER_hh_fech!K11=0,0,SER_hh_fech!K11/SER_summary!K$26)</f>
        <v>61.607048206528944</v>
      </c>
      <c r="L11" s="132">
        <f>IF(SER_hh_fech!L11=0,0,SER_hh_fech!L11/SER_summary!L$26)</f>
        <v>101.03798587991339</v>
      </c>
      <c r="M11" s="132">
        <f>IF(SER_hh_fech!M11=0,0,SER_hh_fech!M11/SER_summary!M$26)</f>
        <v>87.764788030149433</v>
      </c>
      <c r="N11" s="132">
        <f>IF(SER_hh_fech!N11=0,0,SER_hh_fech!N11/SER_summary!N$26)</f>
        <v>83.570645464864327</v>
      </c>
      <c r="O11" s="132">
        <f>IF(SER_hh_fech!O11=0,0,SER_hh_fech!O11/SER_summary!O$26)</f>
        <v>84.815482464688429</v>
      </c>
      <c r="P11" s="132">
        <f>IF(SER_hh_fech!P11=0,0,SER_hh_fech!P11/SER_summary!P$26)</f>
        <v>51.945645893742693</v>
      </c>
      <c r="Q11" s="132">
        <f>IF(SER_hh_fech!Q11=0,0,SER_hh_fech!Q11/SER_summary!Q$26)</f>
        <v>72.760741695116039</v>
      </c>
      <c r="R11" s="132">
        <f>IF(SER_hh_fech!R11=0,0,SER_hh_fech!R11/SER_summary!R$26)</f>
        <v>81.583272013258863</v>
      </c>
      <c r="S11" s="132">
        <f>IF(SER_hh_fech!S11=0,0,SER_hh_fech!S11/SER_summary!S$26)</f>
        <v>81.671609489742764</v>
      </c>
      <c r="T11" s="132">
        <f>IF(SER_hh_fech!T11=0,0,SER_hh_fech!T11/SER_summary!T$26)</f>
        <v>84.492810760257711</v>
      </c>
      <c r="U11" s="132">
        <f>IF(SER_hh_fech!U11=0,0,SER_hh_fech!U11/SER_summary!U$26)</f>
        <v>88.192386338750197</v>
      </c>
      <c r="V11" s="132">
        <f>IF(SER_hh_fech!V11=0,0,SER_hh_fech!V11/SER_summary!V$26)</f>
        <v>91.884609701717821</v>
      </c>
      <c r="W11" s="132">
        <f>IF(SER_hh_fech!W11=0,0,SER_hh_fech!W11/SER_summary!W$26)</f>
        <v>93.837302339450773</v>
      </c>
      <c r="X11" s="132">
        <f>IF(SER_hh_fech!X11=0,0,SER_hh_fech!X11/SER_summary!X$26)</f>
        <v>88.818344853064374</v>
      </c>
      <c r="Y11" s="132">
        <f>IF(SER_hh_fech!Y11=0,0,SER_hh_fech!Y11/SER_summary!Y$26)</f>
        <v>80.422114213868653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84.027697736942699</v>
      </c>
      <c r="C12" s="132">
        <f>IF(SER_hh_fech!C12=0,0,SER_hh_fech!C12/SER_summary!C$26)</f>
        <v>97.017321080409317</v>
      </c>
      <c r="D12" s="132">
        <f>IF(SER_hh_fech!D12=0,0,SER_hh_fech!D12/SER_summary!D$26)</f>
        <v>93.02337240231175</v>
      </c>
      <c r="E12" s="132">
        <f>IF(SER_hh_fech!E12=0,0,SER_hh_fech!E12/SER_summary!E$26)</f>
        <v>101.29139972730555</v>
      </c>
      <c r="F12" s="132">
        <f>IF(SER_hh_fech!F12=0,0,SER_hh_fech!F12/SER_summary!F$26)</f>
        <v>96.916964981393093</v>
      </c>
      <c r="G12" s="132">
        <f>IF(SER_hh_fech!G12=0,0,SER_hh_fech!G12/SER_summary!G$26)</f>
        <v>101.42842712711891</v>
      </c>
      <c r="H12" s="132">
        <f>IF(SER_hh_fech!H12=0,0,SER_hh_fech!H12/SER_summary!H$26)</f>
        <v>86.692514234983648</v>
      </c>
      <c r="I12" s="132">
        <f>IF(SER_hh_fech!I12=0,0,SER_hh_fech!I12/SER_summary!I$26)</f>
        <v>79.771228045603678</v>
      </c>
      <c r="J12" s="132">
        <f>IF(SER_hh_fech!J12=0,0,SER_hh_fech!J12/SER_summary!J$26)</f>
        <v>85.839122551547149</v>
      </c>
      <c r="K12" s="132">
        <f>IF(SER_hh_fech!K12=0,0,SER_hh_fech!K12/SER_summary!K$26)</f>
        <v>82.423279109124294</v>
      </c>
      <c r="L12" s="132">
        <f>IF(SER_hh_fech!L12=0,0,SER_hh_fech!L12/SER_summary!L$26)</f>
        <v>92.600233441198441</v>
      </c>
      <c r="M12" s="132">
        <f>IF(SER_hh_fech!M12=0,0,SER_hh_fech!M12/SER_summary!M$26)</f>
        <v>88.899239164891512</v>
      </c>
      <c r="N12" s="132">
        <f>IF(SER_hh_fech!N12=0,0,SER_hh_fech!N12/SER_summary!N$26)</f>
        <v>81.145992945028723</v>
      </c>
      <c r="O12" s="132">
        <f>IF(SER_hh_fech!O12=0,0,SER_hh_fech!O12/SER_summary!O$26)</f>
        <v>81.940235753534168</v>
      </c>
      <c r="P12" s="132">
        <f>IF(SER_hh_fech!P12=0,0,SER_hh_fech!P12/SER_summary!P$26)</f>
        <v>62.106304149304883</v>
      </c>
      <c r="Q12" s="132">
        <f>IF(SER_hh_fech!Q12=0,0,SER_hh_fech!Q12/SER_summary!Q$26)</f>
        <v>72.349450188637803</v>
      </c>
      <c r="R12" s="132">
        <f>IF(SER_hh_fech!R12=0,0,SER_hh_fech!R12/SER_summary!R$26)</f>
        <v>80.783252114234813</v>
      </c>
      <c r="S12" s="132">
        <f>IF(SER_hh_fech!S12=0,0,SER_hh_fech!S12/SER_summary!S$26)</f>
        <v>85.265912388389808</v>
      </c>
      <c r="T12" s="132">
        <f>IF(SER_hh_fech!T12=0,0,SER_hh_fech!T12/SER_summary!T$26)</f>
        <v>85.002333288279274</v>
      </c>
      <c r="U12" s="132">
        <f>IF(SER_hh_fech!U12=0,0,SER_hh_fech!U12/SER_summary!U$26)</f>
        <v>84.197793938078718</v>
      </c>
      <c r="V12" s="132">
        <f>IF(SER_hh_fech!V12=0,0,SER_hh_fech!V12/SER_summary!V$26)</f>
        <v>89.49053034531957</v>
      </c>
      <c r="W12" s="132">
        <f>IF(SER_hh_fech!W12=0,0,SER_hh_fech!W12/SER_summary!W$26)</f>
        <v>105.50712664574245</v>
      </c>
      <c r="X12" s="132">
        <f>IF(SER_hh_fech!X12=0,0,SER_hh_fech!X12/SER_summary!X$26)</f>
        <v>71.967205486512427</v>
      </c>
      <c r="Y12" s="132">
        <f>IF(SER_hh_fech!Y12=0,0,SER_hh_fech!Y12/SER_summary!Y$26)</f>
        <v>90.509866450488616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0</v>
      </c>
      <c r="C13" s="132">
        <f>IF(SER_hh_fech!C13=0,0,SER_hh_fech!C13/SER_summary!C$26)</f>
        <v>0</v>
      </c>
      <c r="D13" s="132">
        <f>IF(SER_hh_fech!D13=0,0,SER_hh_fech!D13/SER_summary!D$26)</f>
        <v>0</v>
      </c>
      <c r="E13" s="132">
        <f>IF(SER_hh_fech!E13=0,0,SER_hh_fech!E13/SER_summary!E$26)</f>
        <v>0</v>
      </c>
      <c r="F13" s="132">
        <f>IF(SER_hh_fech!F13=0,0,SER_hh_fech!F13/SER_summary!F$26)</f>
        <v>0</v>
      </c>
      <c r="G13" s="132">
        <f>IF(SER_hh_fech!G13=0,0,SER_hh_fech!G13/SER_summary!G$26)</f>
        <v>0</v>
      </c>
      <c r="H13" s="132">
        <f>IF(SER_hh_fech!H13=0,0,SER_hh_fech!H13/SER_summary!H$26)</f>
        <v>0</v>
      </c>
      <c r="I13" s="132">
        <f>IF(SER_hh_fech!I13=0,0,SER_hh_fech!I13/SER_summary!I$26)</f>
        <v>0</v>
      </c>
      <c r="J13" s="132">
        <f>IF(SER_hh_fech!J13=0,0,SER_hh_fech!J13/SER_summary!J$26)</f>
        <v>0</v>
      </c>
      <c r="K13" s="132">
        <f>IF(SER_hh_fech!K13=0,0,SER_hh_fech!K13/SER_summary!K$26)</f>
        <v>0</v>
      </c>
      <c r="L13" s="132">
        <f>IF(SER_hh_fech!L13=0,0,SER_hh_fech!L13/SER_summary!L$26)</f>
        <v>0</v>
      </c>
      <c r="M13" s="132">
        <f>IF(SER_hh_fech!M13=0,0,SER_hh_fech!M13/SER_summary!M$26)</f>
        <v>0</v>
      </c>
      <c r="N13" s="132">
        <f>IF(SER_hh_fech!N13=0,0,SER_hh_fech!N13/SER_summary!N$26)</f>
        <v>0</v>
      </c>
      <c r="O13" s="132">
        <f>IF(SER_hh_fech!O13=0,0,SER_hh_fech!O13/SER_summary!O$26)</f>
        <v>0</v>
      </c>
      <c r="P13" s="132">
        <f>IF(SER_hh_fech!P13=0,0,SER_hh_fech!P13/SER_summary!P$26)</f>
        <v>0</v>
      </c>
      <c r="Q13" s="132">
        <f>IF(SER_hh_fech!Q13=0,0,SER_hh_fech!Q13/SER_summary!Q$26)</f>
        <v>0</v>
      </c>
      <c r="R13" s="132">
        <f>IF(SER_hh_fech!R13=0,0,SER_hh_fech!R13/SER_summary!R$26)</f>
        <v>0</v>
      </c>
      <c r="S13" s="132">
        <f>IF(SER_hh_fech!S13=0,0,SER_hh_fech!S13/SER_summary!S$26)</f>
        <v>0</v>
      </c>
      <c r="T13" s="132">
        <f>IF(SER_hh_fech!T13=0,0,SER_hh_fech!T13/SER_summary!T$26)</f>
        <v>0</v>
      </c>
      <c r="U13" s="132">
        <f>IF(SER_hh_fech!U13=0,0,SER_hh_fech!U13/SER_summary!U$26)</f>
        <v>0</v>
      </c>
      <c r="V13" s="132">
        <f>IF(SER_hh_fech!V13=0,0,SER_hh_fech!V13/SER_summary!V$26)</f>
        <v>0</v>
      </c>
      <c r="W13" s="132">
        <f>IF(SER_hh_fech!W13=0,0,SER_hh_fech!W13/SER_summary!W$26)</f>
        <v>0</v>
      </c>
      <c r="X13" s="132">
        <f>IF(SER_hh_fech!X13=0,0,SER_hh_fech!X13/SER_summary!X$26)</f>
        <v>0</v>
      </c>
      <c r="Y13" s="132">
        <f>IF(SER_hh_fech!Y13=0,0,SER_hh_fech!Y13/SER_summary!Y$26)</f>
        <v>0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91.085887406348789</v>
      </c>
      <c r="C14" s="65">
        <f>IF(SER_hh_fech!C14=0,0,SER_hh_fech!C14/SER_summary!C$26)</f>
        <v>109.00458531986757</v>
      </c>
      <c r="D14" s="65">
        <f>IF(SER_hh_fech!D14=0,0,SER_hh_fech!D14/SER_summary!D$26)</f>
        <v>111.37552890399539</v>
      </c>
      <c r="E14" s="65">
        <f>IF(SER_hh_fech!E14=0,0,SER_hh_fech!E14/SER_summary!E$26)</f>
        <v>102.77058516369141</v>
      </c>
      <c r="F14" s="65">
        <f>IF(SER_hh_fech!F14=0,0,SER_hh_fech!F14/SER_summary!F$26)</f>
        <v>105.13847045661605</v>
      </c>
      <c r="G14" s="65">
        <f>IF(SER_hh_fech!G14=0,0,SER_hh_fech!G14/SER_summary!G$26)</f>
        <v>110.49285002085665</v>
      </c>
      <c r="H14" s="65">
        <f>IF(SER_hh_fech!H14=0,0,SER_hh_fech!H14/SER_summary!H$26)</f>
        <v>97.24315098911741</v>
      </c>
      <c r="I14" s="65">
        <f>IF(SER_hh_fech!I14=0,0,SER_hh_fech!I14/SER_summary!I$26)</f>
        <v>84.055857939919136</v>
      </c>
      <c r="J14" s="65">
        <f>IF(SER_hh_fech!J14=0,0,SER_hh_fech!J14/SER_summary!J$26)</f>
        <v>98.902406870899512</v>
      </c>
      <c r="K14" s="65">
        <f>IF(SER_hh_fech!K14=0,0,SER_hh_fech!K14/SER_summary!K$26)</f>
        <v>93.607126413143519</v>
      </c>
      <c r="L14" s="65">
        <f>IF(SER_hh_fech!L14=0,0,SER_hh_fech!L14/SER_summary!L$26)</f>
        <v>95.930311078703951</v>
      </c>
      <c r="M14" s="65">
        <f>IF(SER_hh_fech!M14=0,0,SER_hh_fech!M14/SER_summary!M$26)</f>
        <v>97.052511199994029</v>
      </c>
      <c r="N14" s="65">
        <f>IF(SER_hh_fech!N14=0,0,SER_hh_fech!N14/SER_summary!N$26)</f>
        <v>91.75824612929182</v>
      </c>
      <c r="O14" s="65">
        <f>IF(SER_hh_fech!O14=0,0,SER_hh_fech!O14/SER_summary!O$26)</f>
        <v>89.725319956778151</v>
      </c>
      <c r="P14" s="65">
        <f>IF(SER_hh_fech!P14=0,0,SER_hh_fech!P14/SER_summary!P$26)</f>
        <v>72.154070942707506</v>
      </c>
      <c r="Q14" s="65">
        <f>IF(SER_hh_fech!Q14=0,0,SER_hh_fech!Q14/SER_summary!Q$26)</f>
        <v>74.103971167626113</v>
      </c>
      <c r="R14" s="65">
        <f>IF(SER_hh_fech!R14=0,0,SER_hh_fech!R14/SER_summary!R$26)</f>
        <v>80.067710038920609</v>
      </c>
      <c r="S14" s="65">
        <f>IF(SER_hh_fech!S14=0,0,SER_hh_fech!S14/SER_summary!S$26)</f>
        <v>93.784231543488076</v>
      </c>
      <c r="T14" s="65">
        <f>IF(SER_hh_fech!T14=0,0,SER_hh_fech!T14/SER_summary!T$26)</f>
        <v>102.25930105165729</v>
      </c>
      <c r="U14" s="65">
        <f>IF(SER_hh_fech!U14=0,0,SER_hh_fech!U14/SER_summary!U$26)</f>
        <v>101.88731826795686</v>
      </c>
      <c r="V14" s="65">
        <f>IF(SER_hh_fech!V14=0,0,SER_hh_fech!V14/SER_summary!V$26)</f>
        <v>81.203847748932063</v>
      </c>
      <c r="W14" s="65">
        <f>IF(SER_hh_fech!W14=0,0,SER_hh_fech!W14/SER_summary!W$26)</f>
        <v>94.019679264184688</v>
      </c>
      <c r="X14" s="65">
        <f>IF(SER_hh_fech!X14=0,0,SER_hh_fech!X14/SER_summary!X$26)</f>
        <v>95.192114070002773</v>
      </c>
      <c r="Y14" s="65">
        <f>IF(SER_hh_fech!Y14=0,0,SER_hh_fech!Y14/SER_summary!Y$26)</f>
        <v>85.349613514541048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0.94407302950395999</v>
      </c>
      <c r="C15" s="134">
        <f>IF(SER_hh_fech!C15=0,0,SER_hh_fech!C15/SER_summary!C$26)</f>
        <v>1.0973138143154517</v>
      </c>
      <c r="D15" s="134">
        <f>IF(SER_hh_fech!D15=0,0,SER_hh_fech!D15/SER_summary!D$26)</f>
        <v>1.09014203023164</v>
      </c>
      <c r="E15" s="134">
        <f>IF(SER_hh_fech!E15=0,0,SER_hh_fech!E15/SER_summary!E$26)</f>
        <v>1.0801522621152286</v>
      </c>
      <c r="F15" s="134">
        <f>IF(SER_hh_fech!F15=0,0,SER_hh_fech!F15/SER_summary!F$26)</f>
        <v>1.0687039051243417</v>
      </c>
      <c r="G15" s="134">
        <f>IF(SER_hh_fech!G15=0,0,SER_hh_fech!G15/SER_summary!G$26)</f>
        <v>1.0431947444739118</v>
      </c>
      <c r="H15" s="134">
        <f>IF(SER_hh_fech!H15=0,0,SER_hh_fech!H15/SER_summary!H$26)</f>
        <v>0.93799886745960925</v>
      </c>
      <c r="I15" s="134">
        <f>IF(SER_hh_fech!I15=0,0,SER_hh_fech!I15/SER_summary!I$26)</f>
        <v>0.81889352367636781</v>
      </c>
      <c r="J15" s="134">
        <f>IF(SER_hh_fech!J15=0,0,SER_hh_fech!J15/SER_summary!J$26)</f>
        <v>0.84136648413260451</v>
      </c>
      <c r="K15" s="134">
        <f>IF(SER_hh_fech!K15=0,0,SER_hh_fech!K15/SER_summary!K$26)</f>
        <v>0.8229500873546528</v>
      </c>
      <c r="L15" s="134">
        <f>IF(SER_hh_fech!L15=0,0,SER_hh_fech!L15/SER_summary!L$26)</f>
        <v>0.91317443204764581</v>
      </c>
      <c r="M15" s="134">
        <f>IF(SER_hh_fech!M15=0,0,SER_hh_fech!M15/SER_summary!M$26)</f>
        <v>0.82194932800797682</v>
      </c>
      <c r="N15" s="134">
        <f>IF(SER_hh_fech!N15=0,0,SER_hh_fech!N15/SER_summary!N$26)</f>
        <v>0.71909360438349268</v>
      </c>
      <c r="O15" s="134">
        <f>IF(SER_hh_fech!O15=0,0,SER_hh_fech!O15/SER_summary!O$26)</f>
        <v>0.68715518101293294</v>
      </c>
      <c r="P15" s="134">
        <f>IF(SER_hh_fech!P15=0,0,SER_hh_fech!P15/SER_summary!P$26)</f>
        <v>0.57792529280972416</v>
      </c>
      <c r="Q15" s="134">
        <f>IF(SER_hh_fech!Q15=0,0,SER_hh_fech!Q15/SER_summary!Q$26)</f>
        <v>0.73740199826557873</v>
      </c>
      <c r="R15" s="134">
        <f>IF(SER_hh_fech!R15=0,0,SER_hh_fech!R15/SER_summary!R$26)</f>
        <v>0.78742583129505572</v>
      </c>
      <c r="S15" s="134">
        <f>IF(SER_hh_fech!S15=0,0,SER_hh_fech!S15/SER_summary!S$26)</f>
        <v>0.85214760861373862</v>
      </c>
      <c r="T15" s="134">
        <f>IF(SER_hh_fech!T15=0,0,SER_hh_fech!T15/SER_summary!T$26)</f>
        <v>0.89603935567663628</v>
      </c>
      <c r="U15" s="134">
        <f>IF(SER_hh_fech!U15=0,0,SER_hh_fech!U15/SER_summary!U$26)</f>
        <v>0.90114871478810754</v>
      </c>
      <c r="V15" s="134">
        <f>IF(SER_hh_fech!V15=0,0,SER_hh_fech!V15/SER_summary!V$26)</f>
        <v>0.86944358261544541</v>
      </c>
      <c r="W15" s="134">
        <f>IF(SER_hh_fech!W15=0,0,SER_hh_fech!W15/SER_summary!W$26)</f>
        <v>1.0422545577068352</v>
      </c>
      <c r="X15" s="134">
        <f>IF(SER_hh_fech!X15=0,0,SER_hh_fech!X15/SER_summary!X$26)</f>
        <v>0.89380949227730511</v>
      </c>
      <c r="Y15" s="134">
        <f>IF(SER_hh_fech!Y15=0,0,SER_hh_fech!Y15/SER_summary!Y$26)</f>
        <v>0.85184031044214492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14.699670300887556</v>
      </c>
      <c r="C16" s="130">
        <f>IF(SER_hh_fech!C16=0,0,SER_hh_fech!C16/SER_summary!C$26)</f>
        <v>13.260110442002514</v>
      </c>
      <c r="D16" s="130">
        <f>IF(SER_hh_fech!D16=0,0,SER_hh_fech!D16/SER_summary!D$26)</f>
        <v>12.134573981640131</v>
      </c>
      <c r="E16" s="130">
        <f>IF(SER_hh_fech!E16=0,0,SER_hh_fech!E16/SER_summary!E$26)</f>
        <v>21.986667422923865</v>
      </c>
      <c r="F16" s="130">
        <f>IF(SER_hh_fech!F16=0,0,SER_hh_fech!F16/SER_summary!F$26)</f>
        <v>10.73346081301136</v>
      </c>
      <c r="G16" s="130">
        <f>IF(SER_hh_fech!G16=0,0,SER_hh_fech!G16/SER_summary!G$26)</f>
        <v>10.280365745901605</v>
      </c>
      <c r="H16" s="130">
        <f>IF(SER_hh_fech!H16=0,0,SER_hh_fech!H16/SER_summary!H$26)</f>
        <v>11.046931884187687</v>
      </c>
      <c r="I16" s="130">
        <f>IF(SER_hh_fech!I16=0,0,SER_hh_fech!I16/SER_summary!I$26)</f>
        <v>10.864492890864636</v>
      </c>
      <c r="J16" s="130">
        <f>IF(SER_hh_fech!J16=0,0,SER_hh_fech!J16/SER_summary!J$26)</f>
        <v>10.062137566093128</v>
      </c>
      <c r="K16" s="130">
        <f>IF(SER_hh_fech!K16=0,0,SER_hh_fech!K16/SER_summary!K$26)</f>
        <v>9.4671154271419606</v>
      </c>
      <c r="L16" s="130">
        <f>IF(SER_hh_fech!L16=0,0,SER_hh_fech!L16/SER_summary!L$26)</f>
        <v>9.4186850721354443</v>
      </c>
      <c r="M16" s="130">
        <f>IF(SER_hh_fech!M16=0,0,SER_hh_fech!M16/SER_summary!M$26)</f>
        <v>9.8667387196713534</v>
      </c>
      <c r="N16" s="130">
        <f>IF(SER_hh_fech!N16=0,0,SER_hh_fech!N16/SER_summary!N$26)</f>
        <v>14.030144480014439</v>
      </c>
      <c r="O16" s="130">
        <f>IF(SER_hh_fech!O16=0,0,SER_hh_fech!O16/SER_summary!O$26)</f>
        <v>9.1492527903635157</v>
      </c>
      <c r="P16" s="130">
        <f>IF(SER_hh_fech!P16=0,0,SER_hh_fech!P16/SER_summary!P$26)</f>
        <v>7.335209368632631</v>
      </c>
      <c r="Q16" s="130">
        <f>IF(SER_hh_fech!Q16=0,0,SER_hh_fech!Q16/SER_summary!Q$26)</f>
        <v>11.557295248185344</v>
      </c>
      <c r="R16" s="130">
        <f>IF(SER_hh_fech!R16=0,0,SER_hh_fech!R16/SER_summary!R$26)</f>
        <v>7.703773331257727</v>
      </c>
      <c r="S16" s="130">
        <f>IF(SER_hh_fech!S16=0,0,SER_hh_fech!S16/SER_summary!S$26)</f>
        <v>10.797352156058217</v>
      </c>
      <c r="T16" s="130">
        <f>IF(SER_hh_fech!T16=0,0,SER_hh_fech!T16/SER_summary!T$26)</f>
        <v>7.93038821441686</v>
      </c>
      <c r="U16" s="130">
        <f>IF(SER_hh_fech!U16=0,0,SER_hh_fech!U16/SER_summary!U$26)</f>
        <v>9.4215704198969359</v>
      </c>
      <c r="V16" s="130">
        <f>IF(SER_hh_fech!V16=0,0,SER_hh_fech!V16/SER_summary!V$26)</f>
        <v>7.2116997877720141</v>
      </c>
      <c r="W16" s="130">
        <f>IF(SER_hh_fech!W16=0,0,SER_hh_fech!W16/SER_summary!W$26)</f>
        <v>9.3673044961328262</v>
      </c>
      <c r="X16" s="130">
        <f>IF(SER_hh_fech!X16=0,0,SER_hh_fech!X16/SER_summary!X$26)</f>
        <v>9.8710206632274584</v>
      </c>
      <c r="Y16" s="130">
        <f>IF(SER_hh_fech!Y16=0,0,SER_hh_fech!Y16/SER_summary!Y$26)</f>
        <v>8.4607788827827655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24.157677693972747</v>
      </c>
      <c r="C17" s="132">
        <f>IF(SER_hh_fech!C17=0,0,SER_hh_fech!C17/SER_summary!C$26)</f>
        <v>22.507685939665222</v>
      </c>
      <c r="D17" s="132">
        <f>IF(SER_hh_fech!D17=0,0,SER_hh_fech!D17/SER_summary!D$26)</f>
        <v>21.18601010240787</v>
      </c>
      <c r="E17" s="132">
        <f>IF(SER_hh_fech!E17=0,0,SER_hh_fech!E17/SER_summary!E$26)</f>
        <v>39.598836450283144</v>
      </c>
      <c r="F17" s="132">
        <f>IF(SER_hh_fech!F17=0,0,SER_hh_fech!F17/SER_summary!F$26)</f>
        <v>19.99756697784456</v>
      </c>
      <c r="G17" s="132">
        <f>IF(SER_hh_fech!G17=0,0,SER_hh_fech!G17/SER_summary!G$26)</f>
        <v>19.825872213779785</v>
      </c>
      <c r="H17" s="132">
        <f>IF(SER_hh_fech!H17=0,0,SER_hh_fech!H17/SER_summary!H$26)</f>
        <v>22.083210937248449</v>
      </c>
      <c r="I17" s="132">
        <f>IF(SER_hh_fech!I17=0,0,SER_hh_fech!I17/SER_summary!I$26)</f>
        <v>29.302856256280268</v>
      </c>
      <c r="J17" s="132">
        <f>IF(SER_hh_fech!J17=0,0,SER_hh_fech!J17/SER_summary!J$26)</f>
        <v>26.564441764810955</v>
      </c>
      <c r="K17" s="132">
        <f>IF(SER_hh_fech!K17=0,0,SER_hh_fech!K17/SER_summary!K$26)</f>
        <v>20.599881956729732</v>
      </c>
      <c r="L17" s="132">
        <f>IF(SER_hh_fech!L17=0,0,SER_hh_fech!L17/SER_summary!L$26)</f>
        <v>20.720659038722609</v>
      </c>
      <c r="M17" s="132">
        <f>IF(SER_hh_fech!M17=0,0,SER_hh_fech!M17/SER_summary!M$26)</f>
        <v>22.095046454811108</v>
      </c>
      <c r="N17" s="132">
        <f>IF(SER_hh_fech!N17=0,0,SER_hh_fech!N17/SER_summary!N$26)</f>
        <v>27.904248712489704</v>
      </c>
      <c r="O17" s="132">
        <f>IF(SER_hh_fech!O17=0,0,SER_hh_fech!O17/SER_summary!O$26)</f>
        <v>21.374027882595502</v>
      </c>
      <c r="P17" s="132">
        <f>IF(SER_hh_fech!P17=0,0,SER_hh_fech!P17/SER_summary!P$26)</f>
        <v>14.057295217601085</v>
      </c>
      <c r="Q17" s="132">
        <f>IF(SER_hh_fech!Q17=0,0,SER_hh_fech!Q17/SER_summary!Q$26)</f>
        <v>28.641279551520523</v>
      </c>
      <c r="R17" s="132">
        <f>IF(SER_hh_fech!R17=0,0,SER_hh_fech!R17/SER_summary!R$26)</f>
        <v>18.985812564419557</v>
      </c>
      <c r="S17" s="132">
        <f>IF(SER_hh_fech!S17=0,0,SER_hh_fech!S17/SER_summary!S$26)</f>
        <v>27.141073013200568</v>
      </c>
      <c r="T17" s="132">
        <f>IF(SER_hh_fech!T17=0,0,SER_hh_fech!T17/SER_summary!T$26)</f>
        <v>20.171101096961518</v>
      </c>
      <c r="U17" s="132">
        <f>IF(SER_hh_fech!U17=0,0,SER_hh_fech!U17/SER_summary!U$26)</f>
        <v>24.207016094798057</v>
      </c>
      <c r="V17" s="132">
        <f>IF(SER_hh_fech!V17=0,0,SER_hh_fech!V17/SER_summary!V$26)</f>
        <v>15.189387090490484</v>
      </c>
      <c r="W17" s="132">
        <f>IF(SER_hh_fech!W17=0,0,SER_hh_fech!W17/SER_summary!W$26)</f>
        <v>20.145192192570306</v>
      </c>
      <c r="X17" s="132">
        <f>IF(SER_hh_fech!X17=0,0,SER_hh_fech!X17/SER_summary!X$26)</f>
        <v>25.763118862483498</v>
      </c>
      <c r="Y17" s="132">
        <f>IF(SER_hh_fech!Y17=0,0,SER_hh_fech!Y17/SER_summary!Y$26)</f>
        <v>25.50217858179591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14.68960119963856</v>
      </c>
      <c r="C18" s="132">
        <f>IF(SER_hh_fech!C18=0,0,SER_hh_fech!C18/SER_summary!C$26)</f>
        <v>13.250498529368675</v>
      </c>
      <c r="D18" s="132">
        <f>IF(SER_hh_fech!D18=0,0,SER_hh_fech!D18/SER_summary!D$26)</f>
        <v>12.124108602256554</v>
      </c>
      <c r="E18" s="132">
        <f>IF(SER_hh_fech!E18=0,0,SER_hh_fech!E18/SER_summary!E$26)</f>
        <v>21.964211801019911</v>
      </c>
      <c r="F18" s="132">
        <f>IF(SER_hh_fech!F18=0,0,SER_hh_fech!F18/SER_summary!F$26)</f>
        <v>10.721019238479023</v>
      </c>
      <c r="G18" s="132">
        <f>IF(SER_hh_fech!G18=0,0,SER_hh_fech!G18/SER_summary!G$26)</f>
        <v>10.267065245728089</v>
      </c>
      <c r="H18" s="132">
        <f>IF(SER_hh_fech!H18=0,0,SER_hh_fech!H18/SER_summary!H$26)</f>
        <v>11.031132771052958</v>
      </c>
      <c r="I18" s="132">
        <f>IF(SER_hh_fech!I18=0,0,SER_hh_fech!I18/SER_summary!I$26)</f>
        <v>10.83975914454876</v>
      </c>
      <c r="J18" s="132">
        <f>IF(SER_hh_fech!J18=0,0,SER_hh_fech!J18/SER_summary!J$26)</f>
        <v>10.040591822235459</v>
      </c>
      <c r="K18" s="132">
        <f>IF(SER_hh_fech!K18=0,0,SER_hh_fech!K18/SER_summary!K$26)</f>
        <v>9.4517895354062329</v>
      </c>
      <c r="L18" s="132">
        <f>IF(SER_hh_fech!L18=0,0,SER_hh_fech!L18/SER_summary!L$26)</f>
        <v>9.4015908945669846</v>
      </c>
      <c r="M18" s="132">
        <f>IF(SER_hh_fech!M18=0,0,SER_hh_fech!M18/SER_summary!M$26)</f>
        <v>9.8468115632862094</v>
      </c>
      <c r="N18" s="132">
        <f>IF(SER_hh_fech!N18=0,0,SER_hh_fech!N18/SER_summary!N$26)</f>
        <v>14.005594780624927</v>
      </c>
      <c r="O18" s="132">
        <f>IF(SER_hh_fech!O18=0,0,SER_hh_fech!O18/SER_summary!O$26)</f>
        <v>9.1245743855925543</v>
      </c>
      <c r="P18" s="132">
        <f>IF(SER_hh_fech!P18=0,0,SER_hh_fech!P18/SER_summary!P$26)</f>
        <v>7.3185027358590187</v>
      </c>
      <c r="Q18" s="132">
        <f>IF(SER_hh_fech!Q18=0,0,SER_hh_fech!Q18/SER_summary!Q$26)</f>
        <v>11.507201134737516</v>
      </c>
      <c r="R18" s="132">
        <f>IF(SER_hh_fech!R18=0,0,SER_hh_fech!R18/SER_summary!R$26)</f>
        <v>7.6654269763523777</v>
      </c>
      <c r="S18" s="132">
        <f>IF(SER_hh_fech!S18=0,0,SER_hh_fech!S18/SER_summary!S$26)</f>
        <v>10.729935197413003</v>
      </c>
      <c r="T18" s="132">
        <f>IF(SER_hh_fech!T18=0,0,SER_hh_fech!T18/SER_summary!T$26)</f>
        <v>7.8676976631982729</v>
      </c>
      <c r="U18" s="132">
        <f>IF(SER_hh_fech!U18=0,0,SER_hh_fech!U18/SER_summary!U$26)</f>
        <v>9.3358637317966426</v>
      </c>
      <c r="V18" s="132">
        <f>IF(SER_hh_fech!V18=0,0,SER_hh_fech!V18/SER_summary!V$26)</f>
        <v>7.1555096688919155</v>
      </c>
      <c r="W18" s="132">
        <f>IF(SER_hh_fech!W18=0,0,SER_hh_fech!W18/SER_summary!W$26)</f>
        <v>9.2885607970915771</v>
      </c>
      <c r="X18" s="132">
        <f>IF(SER_hh_fech!X18=0,0,SER_hh_fech!X18/SER_summary!X$26)</f>
        <v>9.7436850304904041</v>
      </c>
      <c r="Y18" s="132">
        <f>IF(SER_hh_fech!Y18=0,0,SER_hh_fech!Y18/SER_summary!Y$26)</f>
        <v>8.3197542950004095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23.975811041148742</v>
      </c>
      <c r="C19" s="130">
        <f>IF(SER_hh_fech!C19=0,0,SER_hh_fech!C19/SER_summary!C$26)</f>
        <v>24.236805464305778</v>
      </c>
      <c r="D19" s="130">
        <f>IF(SER_hh_fech!D19=0,0,SER_hh_fech!D19/SER_summary!D$26)</f>
        <v>24.637293671001288</v>
      </c>
      <c r="E19" s="130">
        <f>IF(SER_hh_fech!E19=0,0,SER_hh_fech!E19/SER_summary!E$26)</f>
        <v>24.448513098121822</v>
      </c>
      <c r="F19" s="130">
        <f>IF(SER_hh_fech!F19=0,0,SER_hh_fech!F19/SER_summary!F$26)</f>
        <v>25.050229817690038</v>
      </c>
      <c r="G19" s="130">
        <f>IF(SER_hh_fech!G19=0,0,SER_hh_fech!G19/SER_summary!G$26)</f>
        <v>25.211233402085725</v>
      </c>
      <c r="H19" s="130">
        <f>IF(SER_hh_fech!H19=0,0,SER_hh_fech!H19/SER_summary!H$26)</f>
        <v>24.520401171918852</v>
      </c>
      <c r="I19" s="130">
        <f>IF(SER_hh_fech!I19=0,0,SER_hh_fech!I19/SER_summary!I$26)</f>
        <v>24.22939096729819</v>
      </c>
      <c r="J19" s="130">
        <f>IF(SER_hh_fech!J19=0,0,SER_hh_fech!J19/SER_summary!J$26)</f>
        <v>24.612844976090251</v>
      </c>
      <c r="K19" s="130">
        <f>IF(SER_hh_fech!K19=0,0,SER_hh_fech!K19/SER_summary!K$26)</f>
        <v>24.648971528831535</v>
      </c>
      <c r="L19" s="130">
        <f>IF(SER_hh_fech!L19=0,0,SER_hh_fech!L19/SER_summary!L$26)</f>
        <v>24.756843298261611</v>
      </c>
      <c r="M19" s="130">
        <f>IF(SER_hh_fech!M19=0,0,SER_hh_fech!M19/SER_summary!M$26)</f>
        <v>24.521255552219746</v>
      </c>
      <c r="N19" s="130">
        <f>IF(SER_hh_fech!N19=0,0,SER_hh_fech!N19/SER_summary!N$26)</f>
        <v>24.949239750789186</v>
      </c>
      <c r="O19" s="130">
        <f>IF(SER_hh_fech!O19=0,0,SER_hh_fech!O19/SER_summary!O$26)</f>
        <v>25.240480912354709</v>
      </c>
      <c r="P19" s="130">
        <f>IF(SER_hh_fech!P19=0,0,SER_hh_fech!P19/SER_summary!P$26)</f>
        <v>24.758091768581824</v>
      </c>
      <c r="Q19" s="130">
        <f>IF(SER_hh_fech!Q19=0,0,SER_hh_fech!Q19/SER_summary!Q$26)</f>
        <v>24.278167400278502</v>
      </c>
      <c r="R19" s="130">
        <f>IF(SER_hh_fech!R19=0,0,SER_hh_fech!R19/SER_summary!R$26)</f>
        <v>24.09858829851342</v>
      </c>
      <c r="S19" s="130">
        <f>IF(SER_hh_fech!S19=0,0,SER_hh_fech!S19/SER_summary!S$26)</f>
        <v>23.841058184919103</v>
      </c>
      <c r="T19" s="130">
        <f>IF(SER_hh_fech!T19=0,0,SER_hh_fech!T19/SER_summary!T$26)</f>
        <v>23.50624501624495</v>
      </c>
      <c r="U19" s="130">
        <f>IF(SER_hh_fech!U19=0,0,SER_hh_fech!U19/SER_summary!U$26)</f>
        <v>23.065951377168549</v>
      </c>
      <c r="V19" s="130">
        <f>IF(SER_hh_fech!V19=0,0,SER_hh_fech!V19/SER_summary!V$26)</f>
        <v>21.025987628993796</v>
      </c>
      <c r="W19" s="130">
        <f>IF(SER_hh_fech!W19=0,0,SER_hh_fech!W19/SER_summary!W$26)</f>
        <v>21.697826522869683</v>
      </c>
      <c r="X19" s="130">
        <f>IF(SER_hh_fech!X19=0,0,SER_hh_fech!X19/SER_summary!X$26)</f>
        <v>21.479743132029068</v>
      </c>
      <c r="Y19" s="130">
        <f>IF(SER_hh_fech!Y19=0,0,SER_hh_fech!Y19/SER_summary!Y$26)</f>
        <v>20.682366908691943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24.885723372083678</v>
      </c>
      <c r="C21" s="132">
        <f>IF(SER_hh_fech!C21=0,0,SER_hh_fech!C21/SER_summary!C$26)</f>
        <v>27.764714344956474</v>
      </c>
      <c r="D21" s="132">
        <f>IF(SER_hh_fech!D21=0,0,SER_hh_fech!D21/SER_summary!D$26)</f>
        <v>28.104949301052628</v>
      </c>
      <c r="E21" s="132">
        <f>IF(SER_hh_fech!E21=0,0,SER_hh_fech!E21/SER_summary!E$26)</f>
        <v>27.570578045623918</v>
      </c>
      <c r="F21" s="132">
        <f>IF(SER_hh_fech!F21=0,0,SER_hh_fech!F21/SER_summary!F$26)</f>
        <v>28.242987437726324</v>
      </c>
      <c r="G21" s="132">
        <f>IF(SER_hh_fech!G21=0,0,SER_hh_fech!G21/SER_summary!G$26)</f>
        <v>27.730015122725238</v>
      </c>
      <c r="H21" s="132">
        <f>IF(SER_hh_fech!H21=0,0,SER_hh_fech!H21/SER_summary!H$26)</f>
        <v>27.540120607795689</v>
      </c>
      <c r="I21" s="132">
        <f>IF(SER_hh_fech!I21=0,0,SER_hh_fech!I21/SER_summary!I$26)</f>
        <v>26.896059408774018</v>
      </c>
      <c r="J21" s="132">
        <f>IF(SER_hh_fech!J21=0,0,SER_hh_fech!J21/SER_summary!J$26)</f>
        <v>27.377034452960576</v>
      </c>
      <c r="K21" s="132">
        <f>IF(SER_hh_fech!K21=0,0,SER_hh_fech!K21/SER_summary!K$26)</f>
        <v>28.315268099975693</v>
      </c>
      <c r="L21" s="132">
        <f>IF(SER_hh_fech!L21=0,0,SER_hh_fech!L21/SER_summary!L$26)</f>
        <v>28.068013217436825</v>
      </c>
      <c r="M21" s="132">
        <f>IF(SER_hh_fech!M21=0,0,SER_hh_fech!M21/SER_summary!M$26)</f>
        <v>27.954616568655847</v>
      </c>
      <c r="N21" s="132">
        <f>IF(SER_hh_fech!N21=0,0,SER_hh_fech!N21/SER_summary!N$26)</f>
        <v>28.116571784344693</v>
      </c>
      <c r="O21" s="132">
        <f>IF(SER_hh_fech!O21=0,0,SER_hh_fech!O21/SER_summary!O$26)</f>
        <v>28.289601862937374</v>
      </c>
      <c r="P21" s="132">
        <f>IF(SER_hh_fech!P21=0,0,SER_hh_fech!P21/SER_summary!P$26)</f>
        <v>28.053025619346318</v>
      </c>
      <c r="Q21" s="132">
        <f>IF(SER_hh_fech!Q21=0,0,SER_hh_fech!Q21/SER_summary!Q$26)</f>
        <v>28.015026556102452</v>
      </c>
      <c r="R21" s="132">
        <f>IF(SER_hh_fech!R21=0,0,SER_hh_fech!R21/SER_summary!R$26)</f>
        <v>27.782638137548311</v>
      </c>
      <c r="S21" s="132">
        <f>IF(SER_hh_fech!S21=0,0,SER_hh_fech!S21/SER_summary!S$26)</f>
        <v>26.953143327705451</v>
      </c>
      <c r="T21" s="132">
        <f>IF(SER_hh_fech!T21=0,0,SER_hh_fech!T21/SER_summary!T$26)</f>
        <v>27.035343416902684</v>
      </c>
      <c r="U21" s="132">
        <f>IF(SER_hh_fech!U21=0,0,SER_hh_fech!U21/SER_summary!U$26)</f>
        <v>26.381080149843779</v>
      </c>
      <c r="V21" s="132">
        <f>IF(SER_hh_fech!V21=0,0,SER_hh_fech!V21/SER_summary!V$26)</f>
        <v>22.915376271403169</v>
      </c>
      <c r="W21" s="132">
        <f>IF(SER_hh_fech!W21=0,0,SER_hh_fech!W21/SER_summary!W$26)</f>
        <v>25.538491469314245</v>
      </c>
      <c r="X21" s="132">
        <f>IF(SER_hh_fech!X21=0,0,SER_hh_fech!X21/SER_summary!X$26)</f>
        <v>25.67274847889168</v>
      </c>
      <c r="Y21" s="132">
        <f>IF(SER_hh_fech!Y21=0,0,SER_hh_fech!Y21/SER_summary!Y$26)</f>
        <v>22.098412892489328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28.234214840956763</v>
      </c>
      <c r="C22" s="132">
        <f>IF(SER_hh_fech!C22=0,0,SER_hh_fech!C22/SER_summary!C$26)</f>
        <v>28.998326568183273</v>
      </c>
      <c r="D22" s="132">
        <f>IF(SER_hh_fech!D22=0,0,SER_hh_fech!D22/SER_summary!D$26)</f>
        <v>29.240794654452142</v>
      </c>
      <c r="E22" s="132">
        <f>IF(SER_hh_fech!E22=0,0,SER_hh_fech!E22/SER_summary!E$26)</f>
        <v>29.409379226904214</v>
      </c>
      <c r="F22" s="132">
        <f>IF(SER_hh_fech!F22=0,0,SER_hh_fech!F22/SER_summary!F$26)</f>
        <v>29.410556718673046</v>
      </c>
      <c r="G22" s="132">
        <f>IF(SER_hh_fech!G22=0,0,SER_hh_fech!G22/SER_summary!G$26)</f>
        <v>29.811633539447538</v>
      </c>
      <c r="H22" s="132">
        <f>IF(SER_hh_fech!H22=0,0,SER_hh_fech!H22/SER_summary!H$26)</f>
        <v>29.191509714352595</v>
      </c>
      <c r="I22" s="132">
        <f>IF(SER_hh_fech!I22=0,0,SER_hh_fech!I22/SER_summary!I$26)</f>
        <v>29.548167291541272</v>
      </c>
      <c r="J22" s="132">
        <f>IF(SER_hh_fech!J22=0,0,SER_hh_fech!J22/SER_summary!J$26)</f>
        <v>29.55428594494369</v>
      </c>
      <c r="K22" s="132">
        <f>IF(SER_hh_fech!K22=0,0,SER_hh_fech!K22/SER_summary!K$26)</f>
        <v>29.924811992701429</v>
      </c>
      <c r="L22" s="132">
        <f>IF(SER_hh_fech!L22=0,0,SER_hh_fech!L22/SER_summary!L$26)</f>
        <v>30.352796111101192</v>
      </c>
      <c r="M22" s="132">
        <f>IF(SER_hh_fech!M22=0,0,SER_hh_fech!M22/SER_summary!M$26)</f>
        <v>29.636278410704755</v>
      </c>
      <c r="N22" s="132">
        <f>IF(SER_hh_fech!N22=0,0,SER_hh_fech!N22/SER_summary!N$26)</f>
        <v>29.897028010906926</v>
      </c>
      <c r="O22" s="132">
        <f>IF(SER_hh_fech!O22=0,0,SER_hh_fech!O22/SER_summary!O$26)</f>
        <v>30.34064266882018</v>
      </c>
      <c r="P22" s="132">
        <f>IF(SER_hh_fech!P22=0,0,SER_hh_fech!P22/SER_summary!P$26)</f>
        <v>29.994742361758981</v>
      </c>
      <c r="Q22" s="132">
        <f>IF(SER_hh_fech!Q22=0,0,SER_hh_fech!Q22/SER_summary!Q$26)</f>
        <v>29.578469912103845</v>
      </c>
      <c r="R22" s="132">
        <f>IF(SER_hh_fech!R22=0,0,SER_hh_fech!R22/SER_summary!R$26)</f>
        <v>29.315850464368506</v>
      </c>
      <c r="S22" s="132">
        <f>IF(SER_hh_fech!S22=0,0,SER_hh_fech!S22/SER_summary!S$26)</f>
        <v>28.662543349082565</v>
      </c>
      <c r="T22" s="132">
        <f>IF(SER_hh_fech!T22=0,0,SER_hh_fech!T22/SER_summary!T$26)</f>
        <v>27.742799694040396</v>
      </c>
      <c r="U22" s="132">
        <f>IF(SER_hh_fech!U22=0,0,SER_hh_fech!U22/SER_summary!U$26)</f>
        <v>27.511812288664995</v>
      </c>
      <c r="V22" s="132">
        <f>IF(SER_hh_fech!V22=0,0,SER_hh_fech!V22/SER_summary!V$26)</f>
        <v>24.229429933562535</v>
      </c>
      <c r="W22" s="132">
        <f>IF(SER_hh_fech!W22=0,0,SER_hh_fech!W22/SER_summary!W$26)</f>
        <v>26.349496210446116</v>
      </c>
      <c r="X22" s="132">
        <f>IF(SER_hh_fech!X22=0,0,SER_hh_fech!X22/SER_summary!X$26)</f>
        <v>23.974755190849475</v>
      </c>
      <c r="Y22" s="132">
        <f>IF(SER_hh_fech!Y22=0,0,SER_hh_fech!Y22/SER_summary!Y$26)</f>
        <v>22.441838412762937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27.529086453533953</v>
      </c>
      <c r="C23" s="132">
        <f>IF(SER_hh_fech!C23=0,0,SER_hh_fech!C23/SER_summary!C$26)</f>
        <v>28.097214030710504</v>
      </c>
      <c r="D23" s="132">
        <f>IF(SER_hh_fech!D23=0,0,SER_hh_fech!D23/SER_summary!D$26)</f>
        <v>28.453241395902509</v>
      </c>
      <c r="E23" s="132">
        <f>IF(SER_hh_fech!E23=0,0,SER_hh_fech!E23/SER_summary!E$26)</f>
        <v>28.117925368182362</v>
      </c>
      <c r="F23" s="132">
        <f>IF(SER_hh_fech!F23=0,0,SER_hh_fech!F23/SER_summary!F$26)</f>
        <v>28.355910273048277</v>
      </c>
      <c r="G23" s="132">
        <f>IF(SER_hh_fech!G23=0,0,SER_hh_fech!G23/SER_summary!G$26)</f>
        <v>28.467660714594356</v>
      </c>
      <c r="H23" s="132">
        <f>IF(SER_hh_fech!H23=0,0,SER_hh_fech!H23/SER_summary!H$26)</f>
        <v>27.59668256890717</v>
      </c>
      <c r="I23" s="132">
        <f>IF(SER_hh_fech!I23=0,0,SER_hh_fech!I23/SER_summary!I$26)</f>
        <v>26.899223034298707</v>
      </c>
      <c r="J23" s="132">
        <f>IF(SER_hh_fech!J23=0,0,SER_hh_fech!J23/SER_summary!J$26)</f>
        <v>27.392656744161535</v>
      </c>
      <c r="K23" s="132">
        <f>IF(SER_hh_fech!K23=0,0,SER_hh_fech!K23/SER_summary!K$26)</f>
        <v>27.006992481158441</v>
      </c>
      <c r="L23" s="132">
        <f>IF(SER_hh_fech!L23=0,0,SER_hh_fech!L23/SER_summary!L$26)</f>
        <v>26.898861118120792</v>
      </c>
      <c r="M23" s="132">
        <f>IF(SER_hh_fech!M23=0,0,SER_hh_fech!M23/SER_summary!M$26)</f>
        <v>26.708087806183318</v>
      </c>
      <c r="N23" s="132">
        <f>IF(SER_hh_fech!N23=0,0,SER_hh_fech!N23/SER_summary!N$26)</f>
        <v>26.581691117530106</v>
      </c>
      <c r="O23" s="132">
        <f>IF(SER_hh_fech!O23=0,0,SER_hh_fech!O23/SER_summary!O$26)</f>
        <v>26.329183886683346</v>
      </c>
      <c r="P23" s="132">
        <f>IF(SER_hh_fech!P23=0,0,SER_hh_fech!P23/SER_summary!P$26)</f>
        <v>25.851732288587041</v>
      </c>
      <c r="Q23" s="132">
        <f>IF(SER_hh_fech!Q23=0,0,SER_hh_fech!Q23/SER_summary!Q$26)</f>
        <v>25.475271551266335</v>
      </c>
      <c r="R23" s="132">
        <f>IF(SER_hh_fech!R23=0,0,SER_hh_fech!R23/SER_summary!R$26)</f>
        <v>24.916148574120445</v>
      </c>
      <c r="S23" s="132">
        <f>IF(SER_hh_fech!S23=0,0,SER_hh_fech!S23/SER_summary!S$26)</f>
        <v>24.774957871950487</v>
      </c>
      <c r="T23" s="132">
        <f>IF(SER_hh_fech!T23=0,0,SER_hh_fech!T23/SER_summary!T$26)</f>
        <v>24.299094872885977</v>
      </c>
      <c r="U23" s="132">
        <f>IF(SER_hh_fech!U23=0,0,SER_hh_fech!U23/SER_summary!U$26)</f>
        <v>23.667331614697442</v>
      </c>
      <c r="V23" s="132">
        <f>IF(SER_hh_fech!V23=0,0,SER_hh_fech!V23/SER_summary!V$26)</f>
        <v>21.609902652777492</v>
      </c>
      <c r="W23" s="132">
        <f>IF(SER_hh_fech!W23=0,0,SER_hh_fech!W23/SER_summary!W$26)</f>
        <v>24.118152370734734</v>
      </c>
      <c r="X23" s="132">
        <f>IF(SER_hh_fech!X23=0,0,SER_hh_fech!X23/SER_summary!X$26)</f>
        <v>21.974098354056586</v>
      </c>
      <c r="Y23" s="132">
        <f>IF(SER_hh_fech!Y23=0,0,SER_hh_fech!Y23/SER_summary!Y$26)</f>
        <v>21.60459314930258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18.946238292341622</v>
      </c>
      <c r="C25" s="132">
        <f>IF(SER_hh_fech!C25=0,0,SER_hh_fech!C25/SER_summary!C$26)</f>
        <v>18.967467664811345</v>
      </c>
      <c r="D25" s="132">
        <f>IF(SER_hh_fech!D25=0,0,SER_hh_fech!D25/SER_summary!D$26)</f>
        <v>19.329595477167796</v>
      </c>
      <c r="E25" s="132">
        <f>IF(SER_hh_fech!E25=0,0,SER_hh_fech!E25/SER_summary!E$26)</f>
        <v>19.248882568942644</v>
      </c>
      <c r="F25" s="132">
        <f>IF(SER_hh_fech!F25=0,0,SER_hh_fech!F25/SER_summary!F$26)</f>
        <v>19.594040120677782</v>
      </c>
      <c r="G25" s="132">
        <f>IF(SER_hh_fech!G25=0,0,SER_hh_fech!G25/SER_summary!G$26)</f>
        <v>19.874826080310683</v>
      </c>
      <c r="H25" s="132">
        <f>IF(SER_hh_fech!H25=0,0,SER_hh_fech!H25/SER_summary!H$26)</f>
        <v>19.49159849690502</v>
      </c>
      <c r="I25" s="132">
        <f>IF(SER_hh_fech!I25=0,0,SER_hh_fech!I25/SER_summary!I$26)</f>
        <v>19.31796717239002</v>
      </c>
      <c r="J25" s="132">
        <f>IF(SER_hh_fech!J25=0,0,SER_hh_fech!J25/SER_summary!J$26)</f>
        <v>19.586651211382762</v>
      </c>
      <c r="K25" s="132">
        <f>IF(SER_hh_fech!K25=0,0,SER_hh_fech!K25/SER_summary!K$26)</f>
        <v>19.457348237708352</v>
      </c>
      <c r="L25" s="132">
        <f>IF(SER_hh_fech!L25=0,0,SER_hh_fech!L25/SER_summary!L$26)</f>
        <v>19.603894962578419</v>
      </c>
      <c r="M25" s="132">
        <f>IF(SER_hh_fech!M25=0,0,SER_hh_fech!M25/SER_summary!M$26)</f>
        <v>19.76709831359522</v>
      </c>
      <c r="N25" s="132">
        <f>IF(SER_hh_fech!N25=0,0,SER_hh_fech!N25/SER_summary!N$26)</f>
        <v>19.968750793203203</v>
      </c>
      <c r="O25" s="132">
        <f>IF(SER_hh_fech!O25=0,0,SER_hh_fech!O25/SER_summary!O$26)</f>
        <v>20.195031605221423</v>
      </c>
      <c r="P25" s="132">
        <f>IF(SER_hh_fech!P25=0,0,SER_hh_fech!P25/SER_summary!P$26)</f>
        <v>20.212730430514593</v>
      </c>
      <c r="Q25" s="132">
        <f>IF(SER_hh_fech!Q25=0,0,SER_hh_fech!Q25/SER_summary!Q$26)</f>
        <v>20.084888732838081</v>
      </c>
      <c r="R25" s="132">
        <f>IF(SER_hh_fech!R25=0,0,SER_hh_fech!R25/SER_summary!R$26)</f>
        <v>19.943555119753796</v>
      </c>
      <c r="S25" s="132">
        <f>IF(SER_hh_fech!S25=0,0,SER_hh_fech!S25/SER_summary!S$26)</f>
        <v>20.02432828988637</v>
      </c>
      <c r="T25" s="132">
        <f>IF(SER_hh_fech!T25=0,0,SER_hh_fech!T25/SER_summary!T$26)</f>
        <v>19.8859809213989</v>
      </c>
      <c r="U25" s="132">
        <f>IF(SER_hh_fech!U25=0,0,SER_hh_fech!U25/SER_summary!U$26)</f>
        <v>19.608571515529743</v>
      </c>
      <c r="V25" s="132">
        <f>IF(SER_hh_fech!V25=0,0,SER_hh_fech!V25/SER_summary!V$26)</f>
        <v>18.734649827896249</v>
      </c>
      <c r="W25" s="132">
        <f>IF(SER_hh_fech!W25=0,0,SER_hh_fech!W25/SER_summary!W$26)</f>
        <v>19.812723064144198</v>
      </c>
      <c r="X25" s="132">
        <f>IF(SER_hh_fech!X25=0,0,SER_hh_fech!X25/SER_summary!X$26)</f>
        <v>18.179902574334271</v>
      </c>
      <c r="Y25" s="132">
        <f>IF(SER_hh_fech!Y25=0,0,SER_hh_fech!Y25/SER_summary!Y$26)</f>
        <v>19.531702512566611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22.770370790017854</v>
      </c>
      <c r="C26" s="65">
        <f>IF(SER_hh_fech!C26=0,0,SER_hh_fech!C26/SER_summary!C$26)</f>
        <v>22.30426567364297</v>
      </c>
      <c r="D26" s="65">
        <f>IF(SER_hh_fech!D26=0,0,SER_hh_fech!D26/SER_summary!D$26)</f>
        <v>22.479223119928662</v>
      </c>
      <c r="E26" s="65">
        <f>IF(SER_hh_fech!E26=0,0,SER_hh_fech!E26/SER_summary!E$26)</f>
        <v>22.077603396832085</v>
      </c>
      <c r="F26" s="65">
        <f>IF(SER_hh_fech!F26=0,0,SER_hh_fech!F26/SER_summary!F$26)</f>
        <v>23.134833284260321</v>
      </c>
      <c r="G26" s="65">
        <f>IF(SER_hh_fech!G26=0,0,SER_hh_fech!G26/SER_summary!G$26)</f>
        <v>23.039007551303186</v>
      </c>
      <c r="H26" s="65">
        <f>IF(SER_hh_fech!H26=0,0,SER_hh_fech!H26/SER_summary!H$26)</f>
        <v>22.129493876252397</v>
      </c>
      <c r="I26" s="65">
        <f>IF(SER_hh_fech!I26=0,0,SER_hh_fech!I26/SER_summary!I$26)</f>
        <v>21.832563952822358</v>
      </c>
      <c r="J26" s="65">
        <f>IF(SER_hh_fech!J26=0,0,SER_hh_fech!J26/SER_summary!J$26)</f>
        <v>22.013147740193315</v>
      </c>
      <c r="K26" s="65">
        <f>IF(SER_hh_fech!K26=0,0,SER_hh_fech!K26/SER_summary!K$26)</f>
        <v>22.013013844559488</v>
      </c>
      <c r="L26" s="65">
        <f>IF(SER_hh_fech!L26=0,0,SER_hh_fech!L26/SER_summary!L$26)</f>
        <v>22.044188530115424</v>
      </c>
      <c r="M26" s="65">
        <f>IF(SER_hh_fech!M26=0,0,SER_hh_fech!M26/SER_summary!M$26)</f>
        <v>21.614819934681758</v>
      </c>
      <c r="N26" s="65">
        <f>IF(SER_hh_fech!N26=0,0,SER_hh_fech!N26/SER_summary!N$26)</f>
        <v>22.389753198285053</v>
      </c>
      <c r="O26" s="65">
        <f>IF(SER_hh_fech!O26=0,0,SER_hh_fech!O26/SER_summary!O$26)</f>
        <v>22.897178442892528</v>
      </c>
      <c r="P26" s="65">
        <f>IF(SER_hh_fech!P26=0,0,SER_hh_fech!P26/SER_summary!P$26)</f>
        <v>21.930324442840679</v>
      </c>
      <c r="Q26" s="65">
        <f>IF(SER_hh_fech!Q26=0,0,SER_hh_fech!Q26/SER_summary!Q$26)</f>
        <v>20.920708546309616</v>
      </c>
      <c r="R26" s="65">
        <f>IF(SER_hh_fech!R26=0,0,SER_hh_fech!R26/SER_summary!R$26)</f>
        <v>20.662378882924987</v>
      </c>
      <c r="S26" s="65">
        <f>IF(SER_hh_fech!S26=0,0,SER_hh_fech!S26/SER_summary!S$26)</f>
        <v>19.84972869658656</v>
      </c>
      <c r="T26" s="65">
        <f>IF(SER_hh_fech!T26=0,0,SER_hh_fech!T26/SER_summary!T$26)</f>
        <v>19.354554066922688</v>
      </c>
      <c r="U26" s="65">
        <f>IF(SER_hh_fech!U26=0,0,SER_hh_fech!U26/SER_summary!U$26)</f>
        <v>18.658855506183706</v>
      </c>
      <c r="V26" s="65">
        <f>IF(SER_hh_fech!V26=0,0,SER_hh_fech!V26/SER_summary!V$26)</f>
        <v>16.476511766915234</v>
      </c>
      <c r="W26" s="65">
        <f>IF(SER_hh_fech!W26=0,0,SER_hh_fech!W26/SER_summary!W$26)</f>
        <v>14.502624210910636</v>
      </c>
      <c r="X26" s="65">
        <f>IF(SER_hh_fech!X26=0,0,SER_hh_fech!X26/SER_summary!X$26)</f>
        <v>18.445557933611177</v>
      </c>
      <c r="Y26" s="65">
        <f>IF(SER_hh_fech!Y26=0,0,SER_hh_fech!Y26/SER_summary!Y$26)</f>
        <v>17.151816042792085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0.14175032969552759</v>
      </c>
      <c r="C27" s="145">
        <f>IF(SER_hh_fech!C27=0,0,SER_hh_fech!C27/SER_summary!C$26)</f>
        <v>0.14605814758041744</v>
      </c>
      <c r="D27" s="145">
        <f>IF(SER_hh_fech!D27=0,0,SER_hh_fech!D27/SER_summary!D$26)</f>
        <v>0.16822110476599678</v>
      </c>
      <c r="E27" s="145">
        <f>IF(SER_hh_fech!E27=0,0,SER_hh_fech!E27/SER_summary!E$26)</f>
        <v>0.18581528212395396</v>
      </c>
      <c r="F27" s="145">
        <f>IF(SER_hh_fech!F27=0,0,SER_hh_fech!F27/SER_summary!F$26)</f>
        <v>0.21296937705579944</v>
      </c>
      <c r="G27" s="145">
        <f>IF(SER_hh_fech!G27=0,0,SER_hh_fech!G27/SER_summary!G$26)</f>
        <v>0.23824749860610414</v>
      </c>
      <c r="H27" s="145">
        <f>IF(SER_hh_fech!H27=0,0,SER_hh_fech!H27/SER_summary!H$26)</f>
        <v>0.26541464555131716</v>
      </c>
      <c r="I27" s="145">
        <f>IF(SER_hh_fech!I27=0,0,SER_hh_fech!I27/SER_summary!I$26)</f>
        <v>0.29679395044268653</v>
      </c>
      <c r="J27" s="145">
        <f>IF(SER_hh_fech!J27=0,0,SER_hh_fech!J27/SER_summary!J$26)</f>
        <v>0.36321224864248697</v>
      </c>
      <c r="K27" s="145">
        <f>IF(SER_hh_fech!K27=0,0,SER_hh_fech!K27/SER_summary!K$26)</f>
        <v>0.41539084674726506</v>
      </c>
      <c r="L27" s="145">
        <f>IF(SER_hh_fech!L27=0,0,SER_hh_fech!L27/SER_summary!L$26)</f>
        <v>0.46317148863838642</v>
      </c>
      <c r="M27" s="145">
        <f>IF(SER_hh_fech!M27=0,0,SER_hh_fech!M27/SER_summary!M$26)</f>
        <v>0.53500416128339423</v>
      </c>
      <c r="N27" s="145">
        <f>IF(SER_hh_fech!N27=0,0,SER_hh_fech!N27/SER_summary!N$26)</f>
        <v>0.63965541681553628</v>
      </c>
      <c r="O27" s="145">
        <f>IF(SER_hh_fech!O27=0,0,SER_hh_fech!O27/SER_summary!O$26)</f>
        <v>0.73199974374233456</v>
      </c>
      <c r="P27" s="145">
        <f>IF(SER_hh_fech!P27=0,0,SER_hh_fech!P27/SER_summary!P$26)</f>
        <v>0.80755621670552147</v>
      </c>
      <c r="Q27" s="145">
        <f>IF(SER_hh_fech!Q27=0,0,SER_hh_fech!Q27/SER_summary!Q$26)</f>
        <v>0.86870715826194422</v>
      </c>
      <c r="R27" s="145">
        <f>IF(SER_hh_fech!R27=0,0,SER_hh_fech!R27/SER_summary!R$26)</f>
        <v>0.95984213413581909</v>
      </c>
      <c r="S27" s="145">
        <f>IF(SER_hh_fech!S27=0,0,SER_hh_fech!S27/SER_summary!S$26)</f>
        <v>1.0601943525088484</v>
      </c>
      <c r="T27" s="145">
        <f>IF(SER_hh_fech!T27=0,0,SER_hh_fech!T27/SER_summary!T$26)</f>
        <v>1.1366193946340573</v>
      </c>
      <c r="U27" s="145">
        <f>IF(SER_hh_fech!U27=0,0,SER_hh_fech!U27/SER_summary!U$26)</f>
        <v>1.2465315831512154</v>
      </c>
      <c r="V27" s="145">
        <f>IF(SER_hh_fech!V27=0,0,SER_hh_fech!V27/SER_summary!V$26)</f>
        <v>1.3049467522779592</v>
      </c>
      <c r="W27" s="145">
        <f>IF(SER_hh_fech!W27=0,0,SER_hh_fech!W27/SER_summary!W$26)</f>
        <v>1.3487374479720213</v>
      </c>
      <c r="X27" s="145">
        <f>IF(SER_hh_fech!X27=0,0,SER_hh_fech!X27/SER_summary!X$26)</f>
        <v>1.2565266433335214</v>
      </c>
      <c r="Y27" s="145">
        <f>IF(SER_hh_fech!Y27=0,0,SER_hh_fech!Y27/SER_summary!Y$26)</f>
        <v>1.2757612315135314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9.8433188203309427</v>
      </c>
      <c r="C28" s="146">
        <f>IF(SER_hh_fech!C28=0,0,SER_hh_fech!C28/SER_summary!C$26)</f>
        <v>10.192629194275577</v>
      </c>
      <c r="D28" s="146">
        <f>IF(SER_hh_fech!D28=0,0,SER_hh_fech!D28/SER_summary!D$26)</f>
        <v>10.169183005282518</v>
      </c>
      <c r="E28" s="146">
        <f>IF(SER_hh_fech!E28=0,0,SER_hh_fech!E28/SER_summary!E$26)</f>
        <v>10.82118615463127</v>
      </c>
      <c r="F28" s="146">
        <f>IF(SER_hh_fech!F28=0,0,SER_hh_fech!F28/SER_summary!F$26)</f>
        <v>10.663859932696077</v>
      </c>
      <c r="G28" s="146">
        <f>IF(SER_hh_fech!G28=0,0,SER_hh_fech!G28/SER_summary!G$26)</f>
        <v>10.831778281653948</v>
      </c>
      <c r="H28" s="146">
        <f>IF(SER_hh_fech!H28=0,0,SER_hh_fech!H28/SER_summary!H$26)</f>
        <v>10.62405433876433</v>
      </c>
      <c r="I28" s="146">
        <f>IF(SER_hh_fech!I28=0,0,SER_hh_fech!I28/SER_summary!I$26)</f>
        <v>10.691249138016753</v>
      </c>
      <c r="J28" s="146">
        <f>IF(SER_hh_fech!J28=0,0,SER_hh_fech!J28/SER_summary!J$26)</f>
        <v>10.90110003837523</v>
      </c>
      <c r="K28" s="146">
        <f>IF(SER_hh_fech!K28=0,0,SER_hh_fech!K28/SER_summary!K$26)</f>
        <v>11.295459611817698</v>
      </c>
      <c r="L28" s="146">
        <f>IF(SER_hh_fech!L28=0,0,SER_hh_fech!L28/SER_summary!L$26)</f>
        <v>11.436165667894658</v>
      </c>
      <c r="M28" s="146">
        <f>IF(SER_hh_fech!M28=0,0,SER_hh_fech!M28/SER_summary!M$26)</f>
        <v>11.287971341690266</v>
      </c>
      <c r="N28" s="146">
        <f>IF(SER_hh_fech!N28=0,0,SER_hh_fech!N28/SER_summary!N$26)</f>
        <v>11.690417075008718</v>
      </c>
      <c r="O28" s="146">
        <f>IF(SER_hh_fech!O28=0,0,SER_hh_fech!O28/SER_summary!O$26)</f>
        <v>12.136325957538078</v>
      </c>
      <c r="P28" s="146">
        <f>IF(SER_hh_fech!P28=0,0,SER_hh_fech!P28/SER_summary!P$26)</f>
        <v>11.815767070187976</v>
      </c>
      <c r="Q28" s="146">
        <f>IF(SER_hh_fech!Q28=0,0,SER_hh_fech!Q28/SER_summary!Q$26)</f>
        <v>11.318630919203526</v>
      </c>
      <c r="R28" s="146">
        <f>IF(SER_hh_fech!R28=0,0,SER_hh_fech!R28/SER_summary!R$26)</f>
        <v>11.547930186547962</v>
      </c>
      <c r="S28" s="146">
        <f>IF(SER_hh_fech!S28=0,0,SER_hh_fech!S28/SER_summary!S$26)</f>
        <v>11.738914624796262</v>
      </c>
      <c r="T28" s="146">
        <f>IF(SER_hh_fech!T28=0,0,SER_hh_fech!T28/SER_summary!T$26)</f>
        <v>11.663899742504514</v>
      </c>
      <c r="U28" s="146">
        <f>IF(SER_hh_fech!U28=0,0,SER_hh_fech!U28/SER_summary!U$26)</f>
        <v>11.980303072440579</v>
      </c>
      <c r="V28" s="146">
        <f>IF(SER_hh_fech!V28=0,0,SER_hh_fech!V28/SER_summary!V$26)</f>
        <v>11.289200184865607</v>
      </c>
      <c r="W28" s="146">
        <f>IF(SER_hh_fech!W28=0,0,SER_hh_fech!W28/SER_summary!W$26)</f>
        <v>11.292532542755204</v>
      </c>
      <c r="X28" s="146">
        <f>IF(SER_hh_fech!X28=0,0,SER_hh_fech!X28/SER_summary!X$26)</f>
        <v>10.869861718037809</v>
      </c>
      <c r="Y28" s="146">
        <f>IF(SER_hh_fech!Y28=0,0,SER_hh_fech!Y28/SER_summary!Y$26)</f>
        <v>10.640109883604174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22.80368252725944</v>
      </c>
      <c r="C29" s="130">
        <f>IF(SER_hh_fech!C29=0,0,SER_hh_fech!C29/SER_summary!C$26)</f>
        <v>23.817105807142486</v>
      </c>
      <c r="D29" s="130">
        <f>IF(SER_hh_fech!D29=0,0,SER_hh_fech!D29/SER_summary!D$26)</f>
        <v>23.901014441635652</v>
      </c>
      <c r="E29" s="130">
        <f>IF(SER_hh_fech!E29=0,0,SER_hh_fech!E29/SER_summary!E$26)</f>
        <v>23.293347144170326</v>
      </c>
      <c r="F29" s="130">
        <f>IF(SER_hh_fech!F29=0,0,SER_hh_fech!F29/SER_summary!F$26)</f>
        <v>23.78725081909656</v>
      </c>
      <c r="G29" s="130">
        <f>IF(SER_hh_fech!G29=0,0,SER_hh_fech!G29/SER_summary!G$26)</f>
        <v>23.955825628002973</v>
      </c>
      <c r="H29" s="130">
        <f>IF(SER_hh_fech!H29=0,0,SER_hh_fech!H29/SER_summary!H$26)</f>
        <v>24.225886333141819</v>
      </c>
      <c r="I29" s="130">
        <f>IF(SER_hh_fech!I29=0,0,SER_hh_fech!I29/SER_summary!I$26)</f>
        <v>24.457894349382347</v>
      </c>
      <c r="J29" s="130">
        <f>IF(SER_hh_fech!J29=0,0,SER_hh_fech!J29/SER_summary!J$26)</f>
        <v>25.311411948112674</v>
      </c>
      <c r="K29" s="130">
        <f>IF(SER_hh_fech!K29=0,0,SER_hh_fech!K29/SER_summary!K$26)</f>
        <v>26.465686940876953</v>
      </c>
      <c r="L29" s="130">
        <f>IF(SER_hh_fech!L29=0,0,SER_hh_fech!L29/SER_summary!L$26)</f>
        <v>26.871056260597527</v>
      </c>
      <c r="M29" s="130">
        <f>IF(SER_hh_fech!M29=0,0,SER_hh_fech!M29/SER_summary!M$26)</f>
        <v>26.78162743064571</v>
      </c>
      <c r="N29" s="130">
        <f>IF(SER_hh_fech!N29=0,0,SER_hh_fech!N29/SER_summary!N$26)</f>
        <v>27.7397854008995</v>
      </c>
      <c r="O29" s="130">
        <f>IF(SER_hh_fech!O29=0,0,SER_hh_fech!O29/SER_summary!O$26)</f>
        <v>28.263648210025458</v>
      </c>
      <c r="P29" s="130">
        <f>IF(SER_hh_fech!P29=0,0,SER_hh_fech!P29/SER_summary!P$26)</f>
        <v>28.610443535074211</v>
      </c>
      <c r="Q29" s="130">
        <f>IF(SER_hh_fech!Q29=0,0,SER_hh_fech!Q29/SER_summary!Q$26)</f>
        <v>28.469770724174943</v>
      </c>
      <c r="R29" s="130">
        <f>IF(SER_hh_fech!R29=0,0,SER_hh_fech!R29/SER_summary!R$26)</f>
        <v>29.264913867898343</v>
      </c>
      <c r="S29" s="130">
        <f>IF(SER_hh_fech!S29=0,0,SER_hh_fech!S29/SER_summary!S$26)</f>
        <v>29.630747528435101</v>
      </c>
      <c r="T29" s="130">
        <f>IF(SER_hh_fech!T29=0,0,SER_hh_fech!T29/SER_summary!T$26)</f>
        <v>29.995986572244409</v>
      </c>
      <c r="U29" s="130">
        <f>IF(SER_hh_fech!U29=0,0,SER_hh_fech!U29/SER_summary!U$26)</f>
        <v>30.242068847822885</v>
      </c>
      <c r="V29" s="130">
        <f>IF(SER_hh_fech!V29=0,0,SER_hh_fech!V29/SER_summary!V$26)</f>
        <v>25.781096242189061</v>
      </c>
      <c r="W29" s="130">
        <f>IF(SER_hh_fech!W29=0,0,SER_hh_fech!W29/SER_summary!W$26)</f>
        <v>29.778090436240078</v>
      </c>
      <c r="X29" s="130">
        <f>IF(SER_hh_fech!X29=0,0,SER_hh_fech!X29/SER_summary!X$26)</f>
        <v>29.894811207654776</v>
      </c>
      <c r="Y29" s="130">
        <f>IF(SER_hh_fech!Y29=0,0,SER_hh_fech!Y29/SER_summary!Y$26)</f>
        <v>29.2052948857663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18.505350040396998</v>
      </c>
      <c r="C30" s="132">
        <f>IF(SER_hh_fech!C30=0,0,SER_hh_fech!C30/SER_summary!C$26)</f>
        <v>36.337520042476136</v>
      </c>
      <c r="D30" s="132">
        <f>IF(SER_hh_fech!D30=0,0,SER_hh_fech!D30/SER_summary!D$26)</f>
        <v>28.56923026888229</v>
      </c>
      <c r="E30" s="132">
        <f>IF(SER_hh_fech!E30=0,0,SER_hh_fech!E30/SER_summary!E$26)</f>
        <v>29.618332985407243</v>
      </c>
      <c r="F30" s="132">
        <f>IF(SER_hh_fech!F30=0,0,SER_hh_fech!F30/SER_summary!F$26)</f>
        <v>31.836756767942266</v>
      </c>
      <c r="G30" s="132">
        <f>IF(SER_hh_fech!G30=0,0,SER_hh_fech!G30/SER_summary!G$26)</f>
        <v>29.058077687994455</v>
      </c>
      <c r="H30" s="132">
        <f>IF(SER_hh_fech!H30=0,0,SER_hh_fech!H30/SER_summary!H$26)</f>
        <v>31.735473177121158</v>
      </c>
      <c r="I30" s="132">
        <f>IF(SER_hh_fech!I30=0,0,SER_hh_fech!I30/SER_summary!I$26)</f>
        <v>29.677961558881787</v>
      </c>
      <c r="J30" s="132">
        <f>IF(SER_hh_fech!J30=0,0,SER_hh_fech!J30/SER_summary!J$26)</f>
        <v>30.505835836355306</v>
      </c>
      <c r="K30" s="132">
        <f>IF(SER_hh_fech!K30=0,0,SER_hh_fech!K30/SER_summary!K$26)</f>
        <v>35.896881545228865</v>
      </c>
      <c r="L30" s="132">
        <f>IF(SER_hh_fech!L30=0,0,SER_hh_fech!L30/SER_summary!L$26)</f>
        <v>38.974291634531923</v>
      </c>
      <c r="M30" s="132">
        <f>IF(SER_hh_fech!M30=0,0,SER_hh_fech!M30/SER_summary!M$26)</f>
        <v>34.33318456933582</v>
      </c>
      <c r="N30" s="132">
        <f>IF(SER_hh_fech!N30=0,0,SER_hh_fech!N30/SER_summary!N$26)</f>
        <v>34.52113180725047</v>
      </c>
      <c r="O30" s="132">
        <f>IF(SER_hh_fech!O30=0,0,SER_hh_fech!O30/SER_summary!O$26)</f>
        <v>35.567519588292939</v>
      </c>
      <c r="P30" s="132">
        <f>IF(SER_hh_fech!P30=0,0,SER_hh_fech!P30/SER_summary!P$26)</f>
        <v>35.731103983065921</v>
      </c>
      <c r="Q30" s="132">
        <f>IF(SER_hh_fech!Q30=0,0,SER_hh_fech!Q30/SER_summary!Q$26)</f>
        <v>35.439125527669177</v>
      </c>
      <c r="R30" s="132">
        <f>IF(SER_hh_fech!R30=0,0,SER_hh_fech!R30/SER_summary!R$26)</f>
        <v>39.729382497501774</v>
      </c>
      <c r="S30" s="132">
        <f>IF(SER_hh_fech!S30=0,0,SER_hh_fech!S30/SER_summary!S$26)</f>
        <v>37.526511015144237</v>
      </c>
      <c r="T30" s="132">
        <f>IF(SER_hh_fech!T30=0,0,SER_hh_fech!T30/SER_summary!T$26)</f>
        <v>37.046265584115737</v>
      </c>
      <c r="U30" s="132">
        <f>IF(SER_hh_fech!U30=0,0,SER_hh_fech!U30/SER_summary!U$26)</f>
        <v>40.319754322682584</v>
      </c>
      <c r="V30" s="132">
        <f>IF(SER_hh_fech!V30=0,0,SER_hh_fech!V30/SER_summary!V$26)</f>
        <v>34.170095360005782</v>
      </c>
      <c r="W30" s="132">
        <f>IF(SER_hh_fech!W30=0,0,SER_hh_fech!W30/SER_summary!W$26)</f>
        <v>44.409958099440352</v>
      </c>
      <c r="X30" s="132">
        <f>IF(SER_hh_fech!X30=0,0,SER_hh_fech!X30/SER_summary!X$26)</f>
        <v>36.30690079077165</v>
      </c>
      <c r="Y30" s="132">
        <f>IF(SER_hh_fech!Y30=0,0,SER_hh_fech!Y30/SER_summary!Y$26)</f>
        <v>35.436732250959778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28.54196328207745</v>
      </c>
      <c r="C31" s="132">
        <f>IF(SER_hh_fech!C31=0,0,SER_hh_fech!C31/SER_summary!C$26)</f>
        <v>29.591443469199213</v>
      </c>
      <c r="D31" s="132">
        <f>IF(SER_hh_fech!D31=0,0,SER_hh_fech!D31/SER_summary!D$26)</f>
        <v>29.70478835282546</v>
      </c>
      <c r="E31" s="132">
        <f>IF(SER_hh_fech!E31=0,0,SER_hh_fech!E31/SER_summary!E$26)</f>
        <v>29.43544245781337</v>
      </c>
      <c r="F31" s="132">
        <f>IF(SER_hh_fech!F31=0,0,SER_hh_fech!F31/SER_summary!F$26)</f>
        <v>29.234380963010835</v>
      </c>
      <c r="G31" s="132">
        <f>IF(SER_hh_fech!G31=0,0,SER_hh_fech!G31/SER_summary!G$26)</f>
        <v>30.082424978589511</v>
      </c>
      <c r="H31" s="132">
        <f>IF(SER_hh_fech!H31=0,0,SER_hh_fech!H31/SER_summary!H$26)</f>
        <v>29.96389398662372</v>
      </c>
      <c r="I31" s="132">
        <f>IF(SER_hh_fech!I31=0,0,SER_hh_fech!I31/SER_summary!I$26)</f>
        <v>30.810899201832587</v>
      </c>
      <c r="J31" s="132">
        <f>IF(SER_hh_fech!J31=0,0,SER_hh_fech!J31/SER_summary!J$26)</f>
        <v>32.046260329736519</v>
      </c>
      <c r="K31" s="132">
        <f>IF(SER_hh_fech!K31=0,0,SER_hh_fech!K31/SER_summary!K$26)</f>
        <v>32.833941060437851</v>
      </c>
      <c r="L31" s="132">
        <f>IF(SER_hh_fech!L31=0,0,SER_hh_fech!L31/SER_summary!L$26)</f>
        <v>32.814223409092179</v>
      </c>
      <c r="M31" s="132">
        <f>IF(SER_hh_fech!M31=0,0,SER_hh_fech!M31/SER_summary!M$26)</f>
        <v>33.651288909367082</v>
      </c>
      <c r="N31" s="132">
        <f>IF(SER_hh_fech!N31=0,0,SER_hh_fech!N31/SER_summary!N$26)</f>
        <v>35.063453959626592</v>
      </c>
      <c r="O31" s="132">
        <f>IF(SER_hh_fech!O31=0,0,SER_hh_fech!O31/SER_summary!O$26)</f>
        <v>34.876959948840224</v>
      </c>
      <c r="P31" s="132">
        <f>IF(SER_hh_fech!P31=0,0,SER_hh_fech!P31/SER_summary!P$26)</f>
        <v>35.049215789886894</v>
      </c>
      <c r="Q31" s="132">
        <f>IF(SER_hh_fech!Q31=0,0,SER_hh_fech!Q31/SER_summary!Q$26)</f>
        <v>36.342708445160724</v>
      </c>
      <c r="R31" s="132">
        <f>IF(SER_hh_fech!R31=0,0,SER_hh_fech!R31/SER_summary!R$26)</f>
        <v>36.664945277203465</v>
      </c>
      <c r="S31" s="132">
        <f>IF(SER_hh_fech!S31=0,0,SER_hh_fech!S31/SER_summary!S$26)</f>
        <v>38.186765166588458</v>
      </c>
      <c r="T31" s="132">
        <f>IF(SER_hh_fech!T31=0,0,SER_hh_fech!T31/SER_summary!T$26)</f>
        <v>38.540413254375807</v>
      </c>
      <c r="U31" s="132">
        <f>IF(SER_hh_fech!U31=0,0,SER_hh_fech!U31/SER_summary!U$26)</f>
        <v>37.63556577628345</v>
      </c>
      <c r="V31" s="132">
        <f>IF(SER_hh_fech!V31=0,0,SER_hh_fech!V31/SER_summary!V$26)</f>
        <v>31.221640048818994</v>
      </c>
      <c r="W31" s="132">
        <f>IF(SER_hh_fech!W31=0,0,SER_hh_fech!W31/SER_summary!W$26)</f>
        <v>32.290512638153011</v>
      </c>
      <c r="X31" s="132">
        <f>IF(SER_hh_fech!X31=0,0,SER_hh_fech!X31/SER_summary!X$26)</f>
        <v>46.590173668239522</v>
      </c>
      <c r="Y31" s="132">
        <f>IF(SER_hh_fech!Y31=0,0,SER_hh_fech!Y31/SER_summary!Y$26)</f>
        <v>35.565252240863003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49.310961892319703</v>
      </c>
      <c r="L32" s="132">
        <f>IF(SER_hh_fech!L32=0,0,SER_hh_fech!L32/SER_summary!L$26)</f>
        <v>39.185715485921527</v>
      </c>
      <c r="M32" s="132">
        <f>IF(SER_hh_fech!M32=0,0,SER_hh_fech!M32/SER_summary!M$26)</f>
        <v>33.032648789608309</v>
      </c>
      <c r="N32" s="132">
        <f>IF(SER_hh_fech!N32=0,0,SER_hh_fech!N32/SER_summary!N$26)</f>
        <v>35.221760007665004</v>
      </c>
      <c r="O32" s="132">
        <f>IF(SER_hh_fech!O32=0,0,SER_hh_fech!O32/SER_summary!O$26)</f>
        <v>35.907133712394639</v>
      </c>
      <c r="P32" s="132">
        <f>IF(SER_hh_fech!P32=0,0,SER_hh_fech!P32/SER_summary!P$26)</f>
        <v>34.015167388524077</v>
      </c>
      <c r="Q32" s="132">
        <f>IF(SER_hh_fech!Q32=0,0,SER_hh_fech!Q32/SER_summary!Q$26)</f>
        <v>33.936782218902664</v>
      </c>
      <c r="R32" s="132">
        <f>IF(SER_hh_fech!R32=0,0,SER_hh_fech!R32/SER_summary!R$26)</f>
        <v>33.038336090360275</v>
      </c>
      <c r="S32" s="132">
        <f>IF(SER_hh_fech!S32=0,0,SER_hh_fech!S32/SER_summary!S$26)</f>
        <v>34.6305771763585</v>
      </c>
      <c r="T32" s="132">
        <f>IF(SER_hh_fech!T32=0,0,SER_hh_fech!T32/SER_summary!T$26)</f>
        <v>41.851707469338464</v>
      </c>
      <c r="U32" s="132">
        <f>IF(SER_hh_fech!U32=0,0,SER_hh_fech!U32/SER_summary!U$26)</f>
        <v>43.66086392109478</v>
      </c>
      <c r="V32" s="132">
        <f>IF(SER_hh_fech!V32=0,0,SER_hh_fech!V32/SER_summary!V$26)</f>
        <v>35.864471646413378</v>
      </c>
      <c r="W32" s="132">
        <f>IF(SER_hh_fech!W32=0,0,SER_hh_fech!W32/SER_summary!W$26)</f>
        <v>35.885613972579101</v>
      </c>
      <c r="X32" s="132">
        <f>IF(SER_hh_fech!X32=0,0,SER_hh_fech!X32/SER_summary!X$26)</f>
        <v>29.230536842943728</v>
      </c>
      <c r="Y32" s="132">
        <f>IF(SER_hh_fech!Y32=0,0,SER_hh_fech!Y32/SER_summary!Y$26)</f>
        <v>45.556582717614404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22.273444055711103</v>
      </c>
      <c r="C33" s="68">
        <f>IF(SER_hh_fech!C33=0,0,SER_hh_fech!C33/SER_summary!C$26)</f>
        <v>22.361900445881034</v>
      </c>
      <c r="D33" s="68">
        <f>IF(SER_hh_fech!D33=0,0,SER_hh_fech!D33/SER_summary!D$26)</f>
        <v>22.883331480789597</v>
      </c>
      <c r="E33" s="68">
        <f>IF(SER_hh_fech!E33=0,0,SER_hh_fech!E33/SER_summary!E$26)</f>
        <v>22.092039796717305</v>
      </c>
      <c r="F33" s="68">
        <f>IF(SER_hh_fech!F33=0,0,SER_hh_fech!F33/SER_summary!F$26)</f>
        <v>22.510874851004552</v>
      </c>
      <c r="G33" s="68">
        <f>IF(SER_hh_fech!G33=0,0,SER_hh_fech!G33/SER_summary!G$26)</f>
        <v>22.845031331579715</v>
      </c>
      <c r="H33" s="68">
        <f>IF(SER_hh_fech!H33=0,0,SER_hh_fech!H33/SER_summary!H$26)</f>
        <v>22.979847801930994</v>
      </c>
      <c r="I33" s="68">
        <f>IF(SER_hh_fech!I33=0,0,SER_hh_fech!I33/SER_summary!I$26)</f>
        <v>23.358347304102939</v>
      </c>
      <c r="J33" s="68">
        <f>IF(SER_hh_fech!J33=0,0,SER_hh_fech!J33/SER_summary!J$26)</f>
        <v>24.142142508773112</v>
      </c>
      <c r="K33" s="68">
        <f>IF(SER_hh_fech!K33=0,0,SER_hh_fech!K33/SER_summary!K$26)</f>
        <v>24.789410599295966</v>
      </c>
      <c r="L33" s="68">
        <f>IF(SER_hh_fech!L33=0,0,SER_hh_fech!L33/SER_summary!L$26)</f>
        <v>25.005173288315333</v>
      </c>
      <c r="M33" s="68">
        <f>IF(SER_hh_fech!M33=0,0,SER_hh_fech!M33/SER_summary!M$26)</f>
        <v>25.282022669145675</v>
      </c>
      <c r="N33" s="68">
        <f>IF(SER_hh_fech!N33=0,0,SER_hh_fech!N33/SER_summary!N$26)</f>
        <v>26.22761745547594</v>
      </c>
      <c r="O33" s="68">
        <f>IF(SER_hh_fech!O33=0,0,SER_hh_fech!O33/SER_summary!O$26)</f>
        <v>26.798206433412293</v>
      </c>
      <c r="P33" s="68">
        <f>IF(SER_hh_fech!P33=0,0,SER_hh_fech!P33/SER_summary!P$26)</f>
        <v>27.231155193590794</v>
      </c>
      <c r="Q33" s="68">
        <f>IF(SER_hh_fech!Q33=0,0,SER_hh_fech!Q33/SER_summary!Q$26)</f>
        <v>26.945549570136709</v>
      </c>
      <c r="R33" s="68">
        <f>IF(SER_hh_fech!R33=0,0,SER_hh_fech!R33/SER_summary!R$26)</f>
        <v>27.477806626890658</v>
      </c>
      <c r="S33" s="68">
        <f>IF(SER_hh_fech!S33=0,0,SER_hh_fech!S33/SER_summary!S$26)</f>
        <v>27.894942963498089</v>
      </c>
      <c r="T33" s="68">
        <f>IF(SER_hh_fech!T33=0,0,SER_hh_fech!T33/SER_summary!T$26)</f>
        <v>28.273313580790859</v>
      </c>
      <c r="U33" s="68">
        <f>IF(SER_hh_fech!U33=0,0,SER_hh_fech!U33/SER_summary!U$26)</f>
        <v>28.398080503616026</v>
      </c>
      <c r="V33" s="68">
        <f>IF(SER_hh_fech!V33=0,0,SER_hh_fech!V33/SER_summary!V$26)</f>
        <v>24.311106972005295</v>
      </c>
      <c r="W33" s="68">
        <f>IF(SER_hh_fech!W33=0,0,SER_hh_fech!W33/SER_summary!W$26)</f>
        <v>28.290243930602035</v>
      </c>
      <c r="X33" s="68">
        <f>IF(SER_hh_fech!X33=0,0,SER_hh_fech!X33/SER_summary!X$26)</f>
        <v>26.649353247328015</v>
      </c>
      <c r="Y33" s="68">
        <f>IF(SER_hh_fech!Y33=0,0,SER_hh_fech!Y33/SER_summary!Y$26)</f>
        <v>27.512031605964662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98.308285501144738</v>
      </c>
      <c r="C3" s="125">
        <f>IF(SER_hh_tesh!C3=0,0,SER_hh_tesh!C3/SER_summary!C$26)</f>
        <v>109.82155145199427</v>
      </c>
      <c r="D3" s="125">
        <f>IF(SER_hh_tesh!D3=0,0,SER_hh_tesh!D3/SER_summary!D$26)</f>
        <v>111.12499230542471</v>
      </c>
      <c r="E3" s="125">
        <f>IF(SER_hh_tesh!E3=0,0,SER_hh_tesh!E3/SER_summary!E$26)</f>
        <v>116.62510219809897</v>
      </c>
      <c r="F3" s="125">
        <f>IF(SER_hh_tesh!F3=0,0,SER_hh_tesh!F3/SER_summary!F$26)</f>
        <v>112.817343364553</v>
      </c>
      <c r="G3" s="125">
        <f>IF(SER_hh_tesh!G3=0,0,SER_hh_tesh!G3/SER_summary!G$26)</f>
        <v>115.39196733664473</v>
      </c>
      <c r="H3" s="125">
        <f>IF(SER_hh_tesh!H3=0,0,SER_hh_tesh!H3/SER_summary!H$26)</f>
        <v>109.35701104834972</v>
      </c>
      <c r="I3" s="125">
        <f>IF(SER_hh_tesh!I3=0,0,SER_hh_tesh!I3/SER_summary!I$26)</f>
        <v>103.88997272977952</v>
      </c>
      <c r="J3" s="125">
        <f>IF(SER_hh_tesh!J3=0,0,SER_hh_tesh!J3/SER_summary!J$26)</f>
        <v>111.669124154103</v>
      </c>
      <c r="K3" s="125">
        <f>IF(SER_hh_tesh!K3=0,0,SER_hh_tesh!K3/SER_summary!K$26)</f>
        <v>111.09435295236352</v>
      </c>
      <c r="L3" s="125">
        <f>IF(SER_hh_tesh!L3=0,0,SER_hh_tesh!L3/SER_summary!L$26)</f>
        <v>118.90711003676461</v>
      </c>
      <c r="M3" s="125">
        <f>IF(SER_hh_tesh!M3=0,0,SER_hh_tesh!M3/SER_summary!M$26)</f>
        <v>118.02729153740169</v>
      </c>
      <c r="N3" s="125">
        <f>IF(SER_hh_tesh!N3=0,0,SER_hh_tesh!N3/SER_summary!N$26)</f>
        <v>120.53218731752443</v>
      </c>
      <c r="O3" s="125">
        <f>IF(SER_hh_tesh!O3=0,0,SER_hh_tesh!O3/SER_summary!O$26)</f>
        <v>113.45235357587593</v>
      </c>
      <c r="P3" s="125">
        <f>IF(SER_hh_tesh!P3=0,0,SER_hh_tesh!P3/SER_summary!P$26)</f>
        <v>98.911500084966931</v>
      </c>
      <c r="Q3" s="125">
        <f>IF(SER_hh_tesh!Q3=0,0,SER_hh_tesh!Q3/SER_summary!Q$26)</f>
        <v>113.81468941994729</v>
      </c>
      <c r="R3" s="125">
        <f>IF(SER_hh_tesh!R3=0,0,SER_hh_tesh!R3/SER_summary!R$26)</f>
        <v>113.29293655004562</v>
      </c>
      <c r="S3" s="125">
        <f>IF(SER_hh_tesh!S3=0,0,SER_hh_tesh!S3/SER_summary!S$26)</f>
        <v>126.23549443779898</v>
      </c>
      <c r="T3" s="125">
        <f>IF(SER_hh_tesh!T3=0,0,SER_hh_tesh!T3/SER_summary!T$26)</f>
        <v>126.78292507594539</v>
      </c>
      <c r="U3" s="125">
        <f>IF(SER_hh_tesh!U3=0,0,SER_hh_tesh!U3/SER_summary!U$26)</f>
        <v>130.8127637785409</v>
      </c>
      <c r="V3" s="125">
        <f>IF(SER_hh_tesh!V3=0,0,SER_hh_tesh!V3/SER_summary!V$26)</f>
        <v>116.45746767680573</v>
      </c>
      <c r="W3" s="125">
        <f>IF(SER_hh_tesh!W3=0,0,SER_hh_tesh!W3/SER_summary!W$26)</f>
        <v>137.46808355515202</v>
      </c>
      <c r="X3" s="125">
        <f>IF(SER_hh_tesh!X3=0,0,SER_hh_tesh!X3/SER_summary!X$26)</f>
        <v>131.68900043565625</v>
      </c>
      <c r="Y3" s="125">
        <f>IF(SER_hh_tesh!Y3=0,0,SER_hh_tesh!Y3/SER_summary!Y$26)</f>
        <v>125.9897610261151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62.532960549480542</v>
      </c>
      <c r="C4" s="130">
        <f>IF(SER_hh_tesh!C4=0,0,SER_hh_tesh!C4/SER_summary!C$26)</f>
        <v>73.249268825832829</v>
      </c>
      <c r="D4" s="130">
        <f>IF(SER_hh_tesh!D4=0,0,SER_hh_tesh!D4/SER_summary!D$26)</f>
        <v>73.856686760475455</v>
      </c>
      <c r="E4" s="130">
        <f>IF(SER_hh_tesh!E4=0,0,SER_hh_tesh!E4/SER_summary!E$26)</f>
        <v>74.14858205133747</v>
      </c>
      <c r="F4" s="130">
        <f>IF(SER_hh_tesh!F4=0,0,SER_hh_tesh!F4/SER_summary!F$26)</f>
        <v>74.308471867394786</v>
      </c>
      <c r="G4" s="130">
        <f>IF(SER_hh_tesh!G4=0,0,SER_hh_tesh!G4/SER_summary!G$26)</f>
        <v>75.845520311436402</v>
      </c>
      <c r="H4" s="130">
        <f>IF(SER_hh_tesh!H4=0,0,SER_hh_tesh!H4/SER_summary!H$26)</f>
        <v>68.201170184902296</v>
      </c>
      <c r="I4" s="130">
        <f>IF(SER_hh_tesh!I4=0,0,SER_hh_tesh!I4/SER_summary!I$26)</f>
        <v>61.12702428514887</v>
      </c>
      <c r="J4" s="130">
        <f>IF(SER_hh_tesh!J4=0,0,SER_hh_tesh!J4/SER_summary!J$26)</f>
        <v>67.232774808037533</v>
      </c>
      <c r="K4" s="130">
        <f>IF(SER_hh_tesh!K4=0,0,SER_hh_tesh!K4/SER_summary!K$26)</f>
        <v>65.496302694529092</v>
      </c>
      <c r="L4" s="130">
        <f>IF(SER_hh_tesh!L4=0,0,SER_hh_tesh!L4/SER_summary!L$26)</f>
        <v>72.020563667346934</v>
      </c>
      <c r="M4" s="130">
        <f>IF(SER_hh_tesh!M4=0,0,SER_hh_tesh!M4/SER_summary!M$26)</f>
        <v>69.618031650390648</v>
      </c>
      <c r="N4" s="130">
        <f>IF(SER_hh_tesh!N4=0,0,SER_hh_tesh!N4/SER_summary!N$26)</f>
        <v>64.045129607955502</v>
      </c>
      <c r="O4" s="130">
        <f>IF(SER_hh_tesh!O4=0,0,SER_hh_tesh!O4/SER_summary!O$26)</f>
        <v>62.344592162142227</v>
      </c>
      <c r="P4" s="130">
        <f>IF(SER_hh_tesh!P4=0,0,SER_hh_tesh!P4/SER_summary!P$26)</f>
        <v>50.011109461384976</v>
      </c>
      <c r="Q4" s="130">
        <f>IF(SER_hh_tesh!Q4=0,0,SER_hh_tesh!Q4/SER_summary!Q$26)</f>
        <v>57.863215796618071</v>
      </c>
      <c r="R4" s="130">
        <f>IF(SER_hh_tesh!R4=0,0,SER_hh_tesh!R4/SER_summary!R$26)</f>
        <v>62.199531698668054</v>
      </c>
      <c r="S4" s="130">
        <f>IF(SER_hh_tesh!S4=0,0,SER_hh_tesh!S4/SER_summary!S$26)</f>
        <v>68.820330739441232</v>
      </c>
      <c r="T4" s="130">
        <f>IF(SER_hh_tesh!T4=0,0,SER_hh_tesh!T4/SER_summary!T$26)</f>
        <v>73.294763691930982</v>
      </c>
      <c r="U4" s="130">
        <f>IF(SER_hh_tesh!U4=0,0,SER_hh_tesh!U4/SER_summary!U$26)</f>
        <v>73.973508263033835</v>
      </c>
      <c r="V4" s="130">
        <f>IF(SER_hh_tesh!V4=0,0,SER_hh_tesh!V4/SER_summary!V$26)</f>
        <v>67.621581637915583</v>
      </c>
      <c r="W4" s="130">
        <f>IF(SER_hh_tesh!W4=0,0,SER_hh_tesh!W4/SER_summary!W$26)</f>
        <v>80.168288873832566</v>
      </c>
      <c r="X4" s="130">
        <f>IF(SER_hh_tesh!X4=0,0,SER_hh_tesh!X4/SER_summary!X$26)</f>
        <v>73.260541538176113</v>
      </c>
      <c r="Y4" s="130">
        <f>IF(SER_hh_tesh!Y4=0,0,SER_hh_tesh!Y4/SER_summary!Y$26)</f>
        <v>70.305193464749848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70.168741697631674</v>
      </c>
      <c r="C5" s="132">
        <f>IF(SER_hh_tesh!C5=0,0,SER_hh_tesh!C5/SER_summary!C$26)</f>
        <v>54.633938679456321</v>
      </c>
      <c r="D5" s="132">
        <f>IF(SER_hh_tesh!D5=0,0,SER_hh_tesh!D5/SER_summary!D$26)</f>
        <v>75.494850462979556</v>
      </c>
      <c r="E5" s="132">
        <f>IF(SER_hh_tesh!E5=0,0,SER_hh_tesh!E5/SER_summary!E$26)</f>
        <v>102.16098474072197</v>
      </c>
      <c r="F5" s="132">
        <f>IF(SER_hh_tesh!F5=0,0,SER_hh_tesh!F5/SER_summary!F$26)</f>
        <v>63.94767047139468</v>
      </c>
      <c r="G5" s="132">
        <f>IF(SER_hh_tesh!G5=0,0,SER_hh_tesh!G5/SER_summary!G$26)</f>
        <v>14.988772567772141</v>
      </c>
      <c r="H5" s="132">
        <f>IF(SER_hh_tesh!H5=0,0,SER_hh_tesh!H5/SER_summary!H$26)</f>
        <v>90.253247704590848</v>
      </c>
      <c r="I5" s="132">
        <f>IF(SER_hh_tesh!I5=0,0,SER_hh_tesh!I5/SER_summary!I$26)</f>
        <v>49.363074196254665</v>
      </c>
      <c r="J5" s="132">
        <f>IF(SER_hh_tesh!J5=0,0,SER_hh_tesh!J5/SER_summary!J$26)</f>
        <v>74.746793096813008</v>
      </c>
      <c r="K5" s="132">
        <f>IF(SER_hh_tesh!K5=0,0,SER_hh_tesh!K5/SER_summary!K$26)</f>
        <v>71.190040243461141</v>
      </c>
      <c r="L5" s="132">
        <f>IF(SER_hh_tesh!L5=0,0,SER_hh_tesh!L5/SER_summary!L$26)</f>
        <v>43.991444034905449</v>
      </c>
      <c r="M5" s="132">
        <f>IF(SER_hh_tesh!M5=0,0,SER_hh_tesh!M5/SER_summary!M$26)</f>
        <v>94.8014823295794</v>
      </c>
      <c r="N5" s="132">
        <f>IF(SER_hh_tesh!N5=0,0,SER_hh_tesh!N5/SER_summary!N$26)</f>
        <v>98.056928837858948</v>
      </c>
      <c r="O5" s="132">
        <f>IF(SER_hh_tesh!O5=0,0,SER_hh_tesh!O5/SER_summary!O$26)</f>
        <v>17.600855949538051</v>
      </c>
      <c r="P5" s="132">
        <f>IF(SER_hh_tesh!P5=0,0,SER_hh_tesh!P5/SER_summary!P$26)</f>
        <v>17.022840191763368</v>
      </c>
      <c r="Q5" s="132">
        <f>IF(SER_hh_tesh!Q5=0,0,SER_hh_tesh!Q5/SER_summary!Q$26)</f>
        <v>32.31173917943957</v>
      </c>
      <c r="R5" s="132">
        <f>IF(SER_hh_tesh!R5=0,0,SER_hh_tesh!R5/SER_summary!R$26)</f>
        <v>41.621700479434949</v>
      </c>
      <c r="S5" s="132">
        <f>IF(SER_hh_tesh!S5=0,0,SER_hh_tesh!S5/SER_summary!S$26)</f>
        <v>119.52371912222596</v>
      </c>
      <c r="T5" s="132">
        <f>IF(SER_hh_tesh!T5=0,0,SER_hh_tesh!T5/SER_summary!T$26)</f>
        <v>63.266481808055516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0</v>
      </c>
      <c r="C6" s="132">
        <f>IF(SER_hh_tesh!C6=0,0,SER_hh_tesh!C6/SER_summary!C$26)</f>
        <v>0</v>
      </c>
      <c r="D6" s="132">
        <f>IF(SER_hh_tesh!D6=0,0,SER_hh_tesh!D6/SER_summary!D$26)</f>
        <v>0</v>
      </c>
      <c r="E6" s="132">
        <f>IF(SER_hh_tesh!E6=0,0,SER_hh_tesh!E6/SER_summary!E$26)</f>
        <v>0</v>
      </c>
      <c r="F6" s="132">
        <f>IF(SER_hh_tesh!F6=0,0,SER_hh_tesh!F6/SER_summary!F$26)</f>
        <v>0</v>
      </c>
      <c r="G6" s="132">
        <f>IF(SER_hh_tesh!G6=0,0,SER_hh_tesh!G6/SER_summary!G$26)</f>
        <v>0</v>
      </c>
      <c r="H6" s="132">
        <f>IF(SER_hh_tesh!H6=0,0,SER_hh_tesh!H6/SER_summary!H$26)</f>
        <v>0</v>
      </c>
      <c r="I6" s="132">
        <f>IF(SER_hh_tesh!I6=0,0,SER_hh_tesh!I6/SER_summary!I$26)</f>
        <v>0</v>
      </c>
      <c r="J6" s="132">
        <f>IF(SER_hh_tesh!J6=0,0,SER_hh_tesh!J6/SER_summary!J$26)</f>
        <v>0</v>
      </c>
      <c r="K6" s="132">
        <f>IF(SER_hh_tesh!K6=0,0,SER_hh_tesh!K6/SER_summary!K$26)</f>
        <v>0</v>
      </c>
      <c r="L6" s="132">
        <f>IF(SER_hh_tesh!L6=0,0,SER_hh_tesh!L6/SER_summary!L$26)</f>
        <v>0</v>
      </c>
      <c r="M6" s="132">
        <f>IF(SER_hh_tesh!M6=0,0,SER_hh_tesh!M6/SER_summary!M$26)</f>
        <v>0</v>
      </c>
      <c r="N6" s="132">
        <f>IF(SER_hh_tesh!N6=0,0,SER_hh_tesh!N6/SER_summary!N$26)</f>
        <v>0</v>
      </c>
      <c r="O6" s="132">
        <f>IF(SER_hh_tesh!O6=0,0,SER_hh_tesh!O6/SER_summary!O$26)</f>
        <v>0</v>
      </c>
      <c r="P6" s="132">
        <f>IF(SER_hh_tesh!P6=0,0,SER_hh_tesh!P6/SER_summary!P$26)</f>
        <v>0</v>
      </c>
      <c r="Q6" s="132">
        <f>IF(SER_hh_tesh!Q6=0,0,SER_hh_tesh!Q6/SER_summary!Q$26)</f>
        <v>0</v>
      </c>
      <c r="R6" s="132">
        <f>IF(SER_hh_tesh!R6=0,0,SER_hh_tesh!R6/SER_summary!R$26)</f>
        <v>0</v>
      </c>
      <c r="S6" s="132">
        <f>IF(SER_hh_tesh!S6=0,0,SER_hh_tesh!S6/SER_summary!S$26)</f>
        <v>0</v>
      </c>
      <c r="T6" s="132">
        <f>IF(SER_hh_tesh!T6=0,0,SER_hh_tesh!T6/SER_summary!T$26)</f>
        <v>0</v>
      </c>
      <c r="U6" s="132">
        <f>IF(SER_hh_tesh!U6=0,0,SER_hh_tesh!U6/SER_summary!U$26)</f>
        <v>0</v>
      </c>
      <c r="V6" s="132">
        <f>IF(SER_hh_tesh!V6=0,0,SER_hh_tesh!V6/SER_summary!V$26)</f>
        <v>0</v>
      </c>
      <c r="W6" s="132">
        <f>IF(SER_hh_tesh!W6=0,0,SER_hh_tesh!W6/SER_summary!W$26)</f>
        <v>0</v>
      </c>
      <c r="X6" s="132">
        <f>IF(SER_hh_tesh!X6=0,0,SER_hh_tesh!X6/SER_summary!X$26)</f>
        <v>0</v>
      </c>
      <c r="Y6" s="132">
        <f>IF(SER_hh_tesh!Y6=0,0,SER_hh_tesh!Y6/SER_summary!Y$26)</f>
        <v>0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64.981118170997462</v>
      </c>
      <c r="C7" s="132">
        <f>IF(SER_hh_tesh!C7=0,0,SER_hh_tesh!C7/SER_summary!C$26)</f>
        <v>68.706163511405052</v>
      </c>
      <c r="D7" s="132">
        <f>IF(SER_hh_tesh!D7=0,0,SER_hh_tesh!D7/SER_summary!D$26)</f>
        <v>75.64041098779947</v>
      </c>
      <c r="E7" s="132">
        <f>IF(SER_hh_tesh!E7=0,0,SER_hh_tesh!E7/SER_summary!E$26)</f>
        <v>74.166754264387876</v>
      </c>
      <c r="F7" s="132">
        <f>IF(SER_hh_tesh!F7=0,0,SER_hh_tesh!F7/SER_summary!F$26)</f>
        <v>75.858533947789866</v>
      </c>
      <c r="G7" s="132">
        <f>IF(SER_hh_tesh!G7=0,0,SER_hh_tesh!G7/SER_summary!G$26)</f>
        <v>73.373716017204757</v>
      </c>
      <c r="H7" s="132">
        <f>IF(SER_hh_tesh!H7=0,0,SER_hh_tesh!H7/SER_summary!H$26)</f>
        <v>68.043856992105788</v>
      </c>
      <c r="I7" s="132">
        <f>IF(SER_hh_tesh!I7=0,0,SER_hh_tesh!I7/SER_summary!I$26)</f>
        <v>60.231003898603454</v>
      </c>
      <c r="J7" s="132">
        <f>IF(SER_hh_tesh!J7=0,0,SER_hh_tesh!J7/SER_summary!J$26)</f>
        <v>62.9749742557972</v>
      </c>
      <c r="K7" s="132">
        <f>IF(SER_hh_tesh!K7=0,0,SER_hh_tesh!K7/SER_summary!K$26)</f>
        <v>65.551258551120526</v>
      </c>
      <c r="L7" s="132">
        <f>IF(SER_hh_tesh!L7=0,0,SER_hh_tesh!L7/SER_summary!L$26)</f>
        <v>69.215232447502302</v>
      </c>
      <c r="M7" s="132">
        <f>IF(SER_hh_tesh!M7=0,0,SER_hh_tesh!M7/SER_summary!M$26)</f>
        <v>69.982749529990429</v>
      </c>
      <c r="N7" s="132">
        <f>IF(SER_hh_tesh!N7=0,0,SER_hh_tesh!N7/SER_summary!N$26)</f>
        <v>62.726504394281655</v>
      </c>
      <c r="O7" s="132">
        <f>IF(SER_hh_tesh!O7=0,0,SER_hh_tesh!O7/SER_summary!O$26)</f>
        <v>57.864384857654358</v>
      </c>
      <c r="P7" s="132">
        <f>IF(SER_hh_tesh!P7=0,0,SER_hh_tesh!P7/SER_summary!P$26)</f>
        <v>45.552727121550234</v>
      </c>
      <c r="Q7" s="132">
        <f>IF(SER_hh_tesh!Q7=0,0,SER_hh_tesh!Q7/SER_summary!Q$26)</f>
        <v>61.439027038182232</v>
      </c>
      <c r="R7" s="132">
        <f>IF(SER_hh_tesh!R7=0,0,SER_hh_tesh!R7/SER_summary!R$26)</f>
        <v>63.666983430102867</v>
      </c>
      <c r="S7" s="132">
        <f>IF(SER_hh_tesh!S7=0,0,SER_hh_tesh!S7/SER_summary!S$26)</f>
        <v>71.160960436779249</v>
      </c>
      <c r="T7" s="132">
        <f>IF(SER_hh_tesh!T7=0,0,SER_hh_tesh!T7/SER_summary!T$26)</f>
        <v>72.023397529400853</v>
      </c>
      <c r="U7" s="132">
        <f>IF(SER_hh_tesh!U7=0,0,SER_hh_tesh!U7/SER_summary!U$26)</f>
        <v>61.113483337905876</v>
      </c>
      <c r="V7" s="132">
        <f>IF(SER_hh_tesh!V7=0,0,SER_hh_tesh!V7/SER_summary!V$26)</f>
        <v>69.474838977357024</v>
      </c>
      <c r="W7" s="132">
        <f>IF(SER_hh_tesh!W7=0,0,SER_hh_tesh!W7/SER_summary!W$26)</f>
        <v>64.975956406555753</v>
      </c>
      <c r="X7" s="132">
        <f>IF(SER_hh_tesh!X7=0,0,SER_hh_tesh!X7/SER_summary!X$26)</f>
        <v>76.324407544122792</v>
      </c>
      <c r="Y7" s="132">
        <f>IF(SER_hh_tesh!Y7=0,0,SER_hh_tesh!Y7/SER_summary!Y$26)</f>
        <v>69.849286566791079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0</v>
      </c>
      <c r="C8" s="132">
        <f>IF(SER_hh_tesh!C8=0,0,SER_hh_tesh!C8/SER_summary!C$26)</f>
        <v>0</v>
      </c>
      <c r="D8" s="132">
        <f>IF(SER_hh_tesh!D8=0,0,SER_hh_tesh!D8/SER_summary!D$26)</f>
        <v>0</v>
      </c>
      <c r="E8" s="132">
        <f>IF(SER_hh_tesh!E8=0,0,SER_hh_tesh!E8/SER_summary!E$26)</f>
        <v>0</v>
      </c>
      <c r="F8" s="132">
        <f>IF(SER_hh_tesh!F8=0,0,SER_hh_tesh!F8/SER_summary!F$26)</f>
        <v>0</v>
      </c>
      <c r="G8" s="132">
        <f>IF(SER_hh_tesh!G8=0,0,SER_hh_tesh!G8/SER_summary!G$26)</f>
        <v>0</v>
      </c>
      <c r="H8" s="132">
        <f>IF(SER_hh_tesh!H8=0,0,SER_hh_tesh!H8/SER_summary!H$26)</f>
        <v>0</v>
      </c>
      <c r="I8" s="132">
        <f>IF(SER_hh_tesh!I8=0,0,SER_hh_tesh!I8/SER_summary!I$26)</f>
        <v>0</v>
      </c>
      <c r="J8" s="132">
        <f>IF(SER_hh_tesh!J8=0,0,SER_hh_tesh!J8/SER_summary!J$26)</f>
        <v>0</v>
      </c>
      <c r="K8" s="132">
        <f>IF(SER_hh_tesh!K8=0,0,SER_hh_tesh!K8/SER_summary!K$26)</f>
        <v>0</v>
      </c>
      <c r="L8" s="132">
        <f>IF(SER_hh_tesh!L8=0,0,SER_hh_tesh!L8/SER_summary!L$26)</f>
        <v>0</v>
      </c>
      <c r="M8" s="132">
        <f>IF(SER_hh_tesh!M8=0,0,SER_hh_tesh!M8/SER_summary!M$26)</f>
        <v>0</v>
      </c>
      <c r="N8" s="132">
        <f>IF(SER_hh_tesh!N8=0,0,SER_hh_tesh!N8/SER_summary!N$26)</f>
        <v>0</v>
      </c>
      <c r="O8" s="132">
        <f>IF(SER_hh_tesh!O8=0,0,SER_hh_tesh!O8/SER_summary!O$26)</f>
        <v>0</v>
      </c>
      <c r="P8" s="132">
        <f>IF(SER_hh_tesh!P8=0,0,SER_hh_tesh!P8/SER_summary!P$26)</f>
        <v>0</v>
      </c>
      <c r="Q8" s="132">
        <f>IF(SER_hh_tesh!Q8=0,0,SER_hh_tesh!Q8/SER_summary!Q$26)</f>
        <v>0</v>
      </c>
      <c r="R8" s="132">
        <f>IF(SER_hh_tesh!R8=0,0,SER_hh_tesh!R8/SER_summary!R$26)</f>
        <v>0</v>
      </c>
      <c r="S8" s="132">
        <f>IF(SER_hh_tesh!S8=0,0,SER_hh_tesh!S8/SER_summary!S$26)</f>
        <v>0</v>
      </c>
      <c r="T8" s="132">
        <f>IF(SER_hh_tesh!T8=0,0,SER_hh_tesh!T8/SER_summary!T$26)</f>
        <v>0</v>
      </c>
      <c r="U8" s="132">
        <f>IF(SER_hh_tesh!U8=0,0,SER_hh_tesh!U8/SER_summary!U$26)</f>
        <v>0</v>
      </c>
      <c r="V8" s="132">
        <f>IF(SER_hh_tesh!V8=0,0,SER_hh_tesh!V8/SER_summary!V$26)</f>
        <v>0</v>
      </c>
      <c r="W8" s="132">
        <f>IF(SER_hh_tesh!W8=0,0,SER_hh_tesh!W8/SER_summary!W$26)</f>
        <v>0</v>
      </c>
      <c r="X8" s="132">
        <f>IF(SER_hh_tesh!X8=0,0,SER_hh_tesh!X8/SER_summary!X$26)</f>
        <v>0</v>
      </c>
      <c r="Y8" s="132">
        <f>IF(SER_hh_tesh!Y8=0,0,SER_hh_tesh!Y8/SER_summary!Y$26)</f>
        <v>0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55.934926864743339</v>
      </c>
      <c r="C9" s="132">
        <f>IF(SER_hh_tesh!C9=0,0,SER_hh_tesh!C9/SER_summary!C$26)</f>
        <v>78.663948888984763</v>
      </c>
      <c r="D9" s="132">
        <f>IF(SER_hh_tesh!D9=0,0,SER_hh_tesh!D9/SER_summary!D$26)</f>
        <v>69.408599737844114</v>
      </c>
      <c r="E9" s="132">
        <f>IF(SER_hh_tesh!E9=0,0,SER_hh_tesh!E9/SER_summary!E$26)</f>
        <v>71.26729618152136</v>
      </c>
      <c r="F9" s="132">
        <f>IF(SER_hh_tesh!F9=0,0,SER_hh_tesh!F9/SER_summary!F$26)</f>
        <v>72.081632607428915</v>
      </c>
      <c r="G9" s="132">
        <f>IF(SER_hh_tesh!G9=0,0,SER_hh_tesh!G9/SER_summary!G$26)</f>
        <v>74.410770067075603</v>
      </c>
      <c r="H9" s="132">
        <f>IF(SER_hh_tesh!H9=0,0,SER_hh_tesh!H9/SER_summary!H$26)</f>
        <v>67.248479579577264</v>
      </c>
      <c r="I9" s="132">
        <f>IF(SER_hh_tesh!I9=0,0,SER_hh_tesh!I9/SER_summary!I$26)</f>
        <v>61.171875151632598</v>
      </c>
      <c r="J9" s="132">
        <f>IF(SER_hh_tesh!J9=0,0,SER_hh_tesh!J9/SER_summary!J$26)</f>
        <v>64.705334992726236</v>
      </c>
      <c r="K9" s="132">
        <f>IF(SER_hh_tesh!K9=0,0,SER_hh_tesh!K9/SER_summary!K$26)</f>
        <v>63.798288446679557</v>
      </c>
      <c r="L9" s="132">
        <f>IF(SER_hh_tesh!L9=0,0,SER_hh_tesh!L9/SER_summary!L$26)</f>
        <v>76.351441154662169</v>
      </c>
      <c r="M9" s="132">
        <f>IF(SER_hh_tesh!M9=0,0,SER_hh_tesh!M9/SER_summary!M$26)</f>
        <v>66.72713142683719</v>
      </c>
      <c r="N9" s="132">
        <f>IF(SER_hh_tesh!N9=0,0,SER_hh_tesh!N9/SER_summary!N$26)</f>
        <v>59.325642049938423</v>
      </c>
      <c r="O9" s="132">
        <f>IF(SER_hh_tesh!O9=0,0,SER_hh_tesh!O9/SER_summary!O$26)</f>
        <v>57.42312872282217</v>
      </c>
      <c r="P9" s="132">
        <f>IF(SER_hh_tesh!P9=0,0,SER_hh_tesh!P9/SER_summary!P$26)</f>
        <v>48.717992510078957</v>
      </c>
      <c r="Q9" s="132">
        <f>IF(SER_hh_tesh!Q9=0,0,SER_hh_tesh!Q9/SER_summary!Q$26)</f>
        <v>59.465974884974173</v>
      </c>
      <c r="R9" s="132">
        <f>IF(SER_hh_tesh!R9=0,0,SER_hh_tesh!R9/SER_summary!R$26)</f>
        <v>62.656957609768028</v>
      </c>
      <c r="S9" s="132">
        <f>IF(SER_hh_tesh!S9=0,0,SER_hh_tesh!S9/SER_summary!S$26)</f>
        <v>66.736705890947405</v>
      </c>
      <c r="T9" s="132">
        <f>IF(SER_hh_tesh!T9=0,0,SER_hh_tesh!T9/SER_summary!T$26)</f>
        <v>70.699327232455445</v>
      </c>
      <c r="U9" s="132">
        <f>IF(SER_hh_tesh!U9=0,0,SER_hh_tesh!U9/SER_summary!U$26)</f>
        <v>72.6068729984041</v>
      </c>
      <c r="V9" s="132">
        <f>IF(SER_hh_tesh!V9=0,0,SER_hh_tesh!V9/SER_summary!V$26)</f>
        <v>68.257193823075426</v>
      </c>
      <c r="W9" s="132">
        <f>IF(SER_hh_tesh!W9=0,0,SER_hh_tesh!W9/SER_summary!W$26)</f>
        <v>84.828582661762709</v>
      </c>
      <c r="X9" s="132">
        <f>IF(SER_hh_tesh!X9=0,0,SER_hh_tesh!X9/SER_summary!X$26)</f>
        <v>71.924880254594356</v>
      </c>
      <c r="Y9" s="132">
        <f>IF(SER_hh_tesh!Y9=0,0,SER_hh_tesh!Y9/SER_summary!Y$26)</f>
        <v>67.207635083498673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0</v>
      </c>
      <c r="C10" s="132">
        <f>IF(SER_hh_tesh!C10=0,0,SER_hh_tesh!C10/SER_summary!C$26)</f>
        <v>0</v>
      </c>
      <c r="D10" s="132">
        <f>IF(SER_hh_tesh!D10=0,0,SER_hh_tesh!D10/SER_summary!D$26)</f>
        <v>0</v>
      </c>
      <c r="E10" s="132">
        <f>IF(SER_hh_tesh!E10=0,0,SER_hh_tesh!E10/SER_summary!E$26)</f>
        <v>0</v>
      </c>
      <c r="F10" s="132">
        <f>IF(SER_hh_tesh!F10=0,0,SER_hh_tesh!F10/SER_summary!F$26)</f>
        <v>0</v>
      </c>
      <c r="G10" s="132">
        <f>IF(SER_hh_tesh!G10=0,0,SER_hh_tesh!G10/SER_summary!G$26)</f>
        <v>0</v>
      </c>
      <c r="H10" s="132">
        <f>IF(SER_hh_tesh!H10=0,0,SER_hh_tesh!H10/SER_summary!H$26)</f>
        <v>0</v>
      </c>
      <c r="I10" s="132">
        <f>IF(SER_hh_tesh!I10=0,0,SER_hh_tesh!I10/SER_summary!I$26)</f>
        <v>88.905684930428833</v>
      </c>
      <c r="J10" s="132">
        <f>IF(SER_hh_tesh!J10=0,0,SER_hh_tesh!J10/SER_summary!J$26)</f>
        <v>63.845004869638963</v>
      </c>
      <c r="K10" s="132">
        <f>IF(SER_hh_tesh!K10=0,0,SER_hh_tesh!K10/SER_summary!K$26)</f>
        <v>72.458464669375559</v>
      </c>
      <c r="L10" s="132">
        <f>IF(SER_hh_tesh!L10=0,0,SER_hh_tesh!L10/SER_summary!L$26)</f>
        <v>62.868723042997061</v>
      </c>
      <c r="M10" s="132">
        <f>IF(SER_hh_tesh!M10=0,0,SER_hh_tesh!M10/SER_summary!M$26)</f>
        <v>74.876708591434081</v>
      </c>
      <c r="N10" s="132">
        <f>IF(SER_hh_tesh!N10=0,0,SER_hh_tesh!N10/SER_summary!N$26)</f>
        <v>58.485543637919264</v>
      </c>
      <c r="O10" s="132">
        <f>IF(SER_hh_tesh!O10=0,0,SER_hh_tesh!O10/SER_summary!O$26)</f>
        <v>50.710948091313355</v>
      </c>
      <c r="P10" s="132">
        <f>IF(SER_hh_tesh!P10=0,0,SER_hh_tesh!P10/SER_summary!P$26)</f>
        <v>52.279970453188596</v>
      </c>
      <c r="Q10" s="132">
        <f>IF(SER_hh_tesh!Q10=0,0,SER_hh_tesh!Q10/SER_summary!Q$26)</f>
        <v>56.824134258143054</v>
      </c>
      <c r="R10" s="132">
        <f>IF(SER_hh_tesh!R10=0,0,SER_hh_tesh!R10/SER_summary!R$26)</f>
        <v>62.842957772406223</v>
      </c>
      <c r="S10" s="132">
        <f>IF(SER_hh_tesh!S10=0,0,SER_hh_tesh!S10/SER_summary!S$26)</f>
        <v>66.768288178245811</v>
      </c>
      <c r="T10" s="132">
        <f>IF(SER_hh_tesh!T10=0,0,SER_hh_tesh!T10/SER_summary!T$26)</f>
        <v>69.090044895830601</v>
      </c>
      <c r="U10" s="132">
        <f>IF(SER_hh_tesh!U10=0,0,SER_hh_tesh!U10/SER_summary!U$26)</f>
        <v>74.743800969332526</v>
      </c>
      <c r="V10" s="132">
        <f>IF(SER_hh_tesh!V10=0,0,SER_hh_tesh!V10/SER_summary!V$26)</f>
        <v>74.894525586685887</v>
      </c>
      <c r="W10" s="132">
        <f>IF(SER_hh_tesh!W10=0,0,SER_hh_tesh!W10/SER_summary!W$26)</f>
        <v>70.677622588475458</v>
      </c>
      <c r="X10" s="132">
        <f>IF(SER_hh_tesh!X10=0,0,SER_hh_tesh!X10/SER_summary!X$26)</f>
        <v>72.774964234476357</v>
      </c>
      <c r="Y10" s="132">
        <f>IF(SER_hh_tesh!Y10=0,0,SER_hh_tesh!Y10/SER_summary!Y$26)</f>
        <v>69.868666911566905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0</v>
      </c>
      <c r="C11" s="132">
        <f>IF(SER_hh_tesh!C11=0,0,SER_hh_tesh!C11/SER_summary!C$26)</f>
        <v>0</v>
      </c>
      <c r="D11" s="132">
        <f>IF(SER_hh_tesh!D11=0,0,SER_hh_tesh!D11/SER_summary!D$26)</f>
        <v>0</v>
      </c>
      <c r="E11" s="132">
        <f>IF(SER_hh_tesh!E11=0,0,SER_hh_tesh!E11/SER_summary!E$26)</f>
        <v>0</v>
      </c>
      <c r="F11" s="132">
        <f>IF(SER_hh_tesh!F11=0,0,SER_hh_tesh!F11/SER_summary!F$26)</f>
        <v>0</v>
      </c>
      <c r="G11" s="132">
        <f>IF(SER_hh_tesh!G11=0,0,SER_hh_tesh!G11/SER_summary!G$26)</f>
        <v>0</v>
      </c>
      <c r="H11" s="132">
        <f>IF(SER_hh_tesh!H11=0,0,SER_hh_tesh!H11/SER_summary!H$26)</f>
        <v>0</v>
      </c>
      <c r="I11" s="132">
        <f>IF(SER_hh_tesh!I11=0,0,SER_hh_tesh!I11/SER_summary!I$26)</f>
        <v>91.847525607331406</v>
      </c>
      <c r="J11" s="132">
        <f>IF(SER_hh_tesh!J11=0,0,SER_hh_tesh!J11/SER_summary!J$26)</f>
        <v>64.879393700753667</v>
      </c>
      <c r="K11" s="132">
        <f>IF(SER_hh_tesh!K11=0,0,SER_hh_tesh!K11/SER_summary!K$26)</f>
        <v>49.77607964884001</v>
      </c>
      <c r="L11" s="132">
        <f>IF(SER_hh_tesh!L11=0,0,SER_hh_tesh!L11/SER_summary!L$26)</f>
        <v>81.900177961674828</v>
      </c>
      <c r="M11" s="132">
        <f>IF(SER_hh_tesh!M11=0,0,SER_hh_tesh!M11/SER_summary!M$26)</f>
        <v>71.299155379639913</v>
      </c>
      <c r="N11" s="132">
        <f>IF(SER_hh_tesh!N11=0,0,SER_hh_tesh!N11/SER_summary!N$26)</f>
        <v>67.984377233554042</v>
      </c>
      <c r="O11" s="132">
        <f>IF(SER_hh_tesh!O11=0,0,SER_hh_tesh!O11/SER_summary!O$26)</f>
        <v>69.002723390814197</v>
      </c>
      <c r="P11" s="132">
        <f>IF(SER_hh_tesh!P11=0,0,SER_hh_tesh!P11/SER_summary!P$26)</f>
        <v>42.263137699943215</v>
      </c>
      <c r="Q11" s="132">
        <f>IF(SER_hh_tesh!Q11=0,0,SER_hh_tesh!Q11/SER_summary!Q$26)</f>
        <v>59.198363837865216</v>
      </c>
      <c r="R11" s="132">
        <f>IF(SER_hh_tesh!R11=0,0,SER_hh_tesh!R11/SER_summary!R$26)</f>
        <v>66.376401713461405</v>
      </c>
      <c r="S11" s="132">
        <f>IF(SER_hh_tesh!S11=0,0,SER_hh_tesh!S11/SER_summary!S$26)</f>
        <v>66.448273356762215</v>
      </c>
      <c r="T11" s="132">
        <f>IF(SER_hh_tesh!T11=0,0,SER_hh_tesh!T11/SER_summary!T$26)</f>
        <v>68.743611411060797</v>
      </c>
      <c r="U11" s="132">
        <f>IF(SER_hh_tesh!U11=0,0,SER_hh_tesh!U11/SER_summary!U$26)</f>
        <v>71.75359751124347</v>
      </c>
      <c r="V11" s="132">
        <f>IF(SER_hh_tesh!V11=0,0,SER_hh_tesh!V11/SER_summary!V$26)</f>
        <v>74.77933522877278</v>
      </c>
      <c r="W11" s="132">
        <f>IF(SER_hh_tesh!W11=0,0,SER_hh_tesh!W11/SER_summary!W$26)</f>
        <v>76.446059151213646</v>
      </c>
      <c r="X11" s="132">
        <f>IF(SER_hh_tesh!X11=0,0,SER_hh_tesh!X11/SER_summary!X$26)</f>
        <v>72.488209952482862</v>
      </c>
      <c r="Y11" s="132">
        <f>IF(SER_hh_tesh!Y11=0,0,SER_hh_tesh!Y11/SER_summary!Y$26)</f>
        <v>66.544340770160858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62.944409912304231</v>
      </c>
      <c r="C12" s="132">
        <f>IF(SER_hh_tesh!C12=0,0,SER_hh_tesh!C12/SER_summary!C$26)</f>
        <v>72.810952927658818</v>
      </c>
      <c r="D12" s="132">
        <f>IF(SER_hh_tesh!D12=0,0,SER_hh_tesh!D12/SER_summary!D$26)</f>
        <v>70.045691328748731</v>
      </c>
      <c r="E12" s="132">
        <f>IF(SER_hh_tesh!E12=0,0,SER_hh_tesh!E12/SER_summary!E$26)</f>
        <v>76.591179885059319</v>
      </c>
      <c r="F12" s="132">
        <f>IF(SER_hh_tesh!F12=0,0,SER_hh_tesh!F12/SER_summary!F$26)</f>
        <v>73.543259706906341</v>
      </c>
      <c r="G12" s="132">
        <f>IF(SER_hh_tesh!G12=0,0,SER_hh_tesh!G12/SER_summary!G$26)</f>
        <v>77.265786179282514</v>
      </c>
      <c r="H12" s="132">
        <f>IF(SER_hh_tesh!H12=0,0,SER_hh_tesh!H12/SER_summary!H$26)</f>
        <v>66.261548874382015</v>
      </c>
      <c r="I12" s="132">
        <f>IF(SER_hh_tesh!I12=0,0,SER_hh_tesh!I12/SER_summary!I$26)</f>
        <v>61.227565319798998</v>
      </c>
      <c r="J12" s="132">
        <f>IF(SER_hh_tesh!J12=0,0,SER_hh_tesh!J12/SER_summary!J$26)</f>
        <v>66.184974443328599</v>
      </c>
      <c r="K12" s="132">
        <f>IF(SER_hh_tesh!K12=0,0,SER_hh_tesh!K12/SER_summary!K$26)</f>
        <v>63.890957942925752</v>
      </c>
      <c r="L12" s="132">
        <f>IF(SER_hh_tesh!L12=0,0,SER_hh_tesh!L12/SER_summary!L$26)</f>
        <v>72.205815276089425</v>
      </c>
      <c r="M12" s="132">
        <f>IF(SER_hh_tesh!M12=0,0,SER_hh_tesh!M12/SER_summary!M$26)</f>
        <v>69.753257915569961</v>
      </c>
      <c r="N12" s="132">
        <f>IF(SER_hh_tesh!N12=0,0,SER_hh_tesh!N12/SER_summary!N$26)</f>
        <v>64.086551034580069</v>
      </c>
      <c r="O12" s="132">
        <f>IF(SER_hh_tesh!O12=0,0,SER_hh_tesh!O12/SER_summary!O$26)</f>
        <v>65.10203076698933</v>
      </c>
      <c r="P12" s="132">
        <f>IF(SER_hh_tesh!P12=0,0,SER_hh_tesh!P12/SER_summary!P$26)</f>
        <v>49.384665327771373</v>
      </c>
      <c r="Q12" s="132">
        <f>IF(SER_hh_tesh!Q12=0,0,SER_hh_tesh!Q12/SER_summary!Q$26)</f>
        <v>57.588988592824009</v>
      </c>
      <c r="R12" s="132">
        <f>IF(SER_hh_tesh!R12=0,0,SER_hh_tesh!R12/SER_summary!R$26)</f>
        <v>64.375676744535667</v>
      </c>
      <c r="S12" s="132">
        <f>IF(SER_hh_tesh!S12=0,0,SER_hh_tesh!S12/SER_summary!S$26)</f>
        <v>68.048018694113807</v>
      </c>
      <c r="T12" s="132">
        <f>IF(SER_hh_tesh!T12=0,0,SER_hh_tesh!T12/SER_summary!T$26)</f>
        <v>68.06532150214241</v>
      </c>
      <c r="U12" s="132">
        <f>IF(SER_hh_tesh!U12=0,0,SER_hh_tesh!U12/SER_summary!U$26)</f>
        <v>67.943528327115445</v>
      </c>
      <c r="V12" s="132">
        <f>IF(SER_hh_tesh!V12=0,0,SER_hh_tesh!V12/SER_summary!V$26)</f>
        <v>72.941546045816708</v>
      </c>
      <c r="W12" s="132">
        <f>IF(SER_hh_tesh!W12=0,0,SER_hh_tesh!W12/SER_summary!W$26)</f>
        <v>86.744716440447874</v>
      </c>
      <c r="X12" s="132">
        <f>IF(SER_hh_tesh!X12=0,0,SER_hh_tesh!X12/SER_summary!X$26)</f>
        <v>59.596472324539498</v>
      </c>
      <c r="Y12" s="132">
        <f>IF(SER_hh_tesh!Y12=0,0,SER_hh_tesh!Y12/SER_summary!Y$26)</f>
        <v>75.628945967329955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0</v>
      </c>
      <c r="C13" s="132">
        <f>IF(SER_hh_tesh!C13=0,0,SER_hh_tesh!C13/SER_summary!C$26)</f>
        <v>0</v>
      </c>
      <c r="D13" s="132">
        <f>IF(SER_hh_tesh!D13=0,0,SER_hh_tesh!D13/SER_summary!D$26)</f>
        <v>0</v>
      </c>
      <c r="E13" s="132">
        <f>IF(SER_hh_tesh!E13=0,0,SER_hh_tesh!E13/SER_summary!E$26)</f>
        <v>0</v>
      </c>
      <c r="F13" s="132">
        <f>IF(SER_hh_tesh!F13=0,0,SER_hh_tesh!F13/SER_summary!F$26)</f>
        <v>0</v>
      </c>
      <c r="G13" s="132">
        <f>IF(SER_hh_tesh!G13=0,0,SER_hh_tesh!G13/SER_summary!G$26)</f>
        <v>0</v>
      </c>
      <c r="H13" s="132">
        <f>IF(SER_hh_tesh!H13=0,0,SER_hh_tesh!H13/SER_summary!H$26)</f>
        <v>0</v>
      </c>
      <c r="I13" s="132">
        <f>IF(SER_hh_tesh!I13=0,0,SER_hh_tesh!I13/SER_summary!I$26)</f>
        <v>0</v>
      </c>
      <c r="J13" s="132">
        <f>IF(SER_hh_tesh!J13=0,0,SER_hh_tesh!J13/SER_summary!J$26)</f>
        <v>0</v>
      </c>
      <c r="K13" s="132">
        <f>IF(SER_hh_tesh!K13=0,0,SER_hh_tesh!K13/SER_summary!K$26)</f>
        <v>0</v>
      </c>
      <c r="L13" s="132">
        <f>IF(SER_hh_tesh!L13=0,0,SER_hh_tesh!L13/SER_summary!L$26)</f>
        <v>0</v>
      </c>
      <c r="M13" s="132">
        <f>IF(SER_hh_tesh!M13=0,0,SER_hh_tesh!M13/SER_summary!M$26)</f>
        <v>0</v>
      </c>
      <c r="N13" s="132">
        <f>IF(SER_hh_tesh!N13=0,0,SER_hh_tesh!N13/SER_summary!N$26)</f>
        <v>0</v>
      </c>
      <c r="O13" s="132">
        <f>IF(SER_hh_tesh!O13=0,0,SER_hh_tesh!O13/SER_summary!O$26)</f>
        <v>0</v>
      </c>
      <c r="P13" s="132">
        <f>IF(SER_hh_tesh!P13=0,0,SER_hh_tesh!P13/SER_summary!P$26)</f>
        <v>0</v>
      </c>
      <c r="Q13" s="132">
        <f>IF(SER_hh_tesh!Q13=0,0,SER_hh_tesh!Q13/SER_summary!Q$26)</f>
        <v>0</v>
      </c>
      <c r="R13" s="132">
        <f>IF(SER_hh_tesh!R13=0,0,SER_hh_tesh!R13/SER_summary!R$26)</f>
        <v>0</v>
      </c>
      <c r="S13" s="132">
        <f>IF(SER_hh_tesh!S13=0,0,SER_hh_tesh!S13/SER_summary!S$26)</f>
        <v>0</v>
      </c>
      <c r="T13" s="132">
        <f>IF(SER_hh_tesh!T13=0,0,SER_hh_tesh!T13/SER_summary!T$26)</f>
        <v>0</v>
      </c>
      <c r="U13" s="132">
        <f>IF(SER_hh_tesh!U13=0,0,SER_hh_tesh!U13/SER_summary!U$26)</f>
        <v>0</v>
      </c>
      <c r="V13" s="132">
        <f>IF(SER_hh_tesh!V13=0,0,SER_hh_tesh!V13/SER_summary!V$26)</f>
        <v>0</v>
      </c>
      <c r="W13" s="132">
        <f>IF(SER_hh_tesh!W13=0,0,SER_hh_tesh!W13/SER_summary!W$26)</f>
        <v>0</v>
      </c>
      <c r="X13" s="132">
        <f>IF(SER_hh_tesh!X13=0,0,SER_hh_tesh!X13/SER_summary!X$26)</f>
        <v>0</v>
      </c>
      <c r="Y13" s="132">
        <f>IF(SER_hh_tesh!Y13=0,0,SER_hh_tesh!Y13/SER_summary!Y$26)</f>
        <v>0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60.321823678273503</v>
      </c>
      <c r="C14" s="65">
        <f>IF(SER_hh_tesh!C14=0,0,SER_hh_tesh!C14/SER_summary!C$26)</f>
        <v>72.780421229635252</v>
      </c>
      <c r="D14" s="65">
        <f>IF(SER_hh_tesh!D14=0,0,SER_hh_tesh!D14/SER_summary!D$26)</f>
        <v>75.032222510874476</v>
      </c>
      <c r="E14" s="65">
        <f>IF(SER_hh_tesh!E14=0,0,SER_hh_tesh!E14/SER_summary!E$26)</f>
        <v>69.840182169587365</v>
      </c>
      <c r="F14" s="65">
        <f>IF(SER_hh_tesh!F14=0,0,SER_hh_tesh!F14/SER_summary!F$26)</f>
        <v>72.165570995217351</v>
      </c>
      <c r="G14" s="65">
        <f>IF(SER_hh_tesh!G14=0,0,SER_hh_tesh!G14/SER_summary!G$26)</f>
        <v>76.518060876081478</v>
      </c>
      <c r="H14" s="65">
        <f>IF(SER_hh_tesh!H14=0,0,SER_hh_tesh!H14/SER_summary!H$26)</f>
        <v>67.992894355519965</v>
      </c>
      <c r="I14" s="65">
        <f>IF(SER_hh_tesh!I14=0,0,SER_hh_tesh!I14/SER_summary!I$26)</f>
        <v>59.187375204236986</v>
      </c>
      <c r="J14" s="65">
        <f>IF(SER_hh_tesh!J14=0,0,SER_hh_tesh!J14/SER_summary!J$26)</f>
        <v>69.994822340498231</v>
      </c>
      <c r="K14" s="65">
        <f>IF(SER_hh_tesh!K14=0,0,SER_hh_tesh!K14/SER_summary!K$26)</f>
        <v>66.509340330625918</v>
      </c>
      <c r="L14" s="65">
        <f>IF(SER_hh_tesh!L14=0,0,SER_hh_tesh!L14/SER_summary!L$26)</f>
        <v>68.398308073188204</v>
      </c>
      <c r="M14" s="65">
        <f>IF(SER_hh_tesh!M14=0,0,SER_hh_tesh!M14/SER_summary!M$26)</f>
        <v>69.559076169502873</v>
      </c>
      <c r="N14" s="65">
        <f>IF(SER_hh_tesh!N14=0,0,SER_hh_tesh!N14/SER_summary!N$26)</f>
        <v>66.022653039828668</v>
      </c>
      <c r="O14" s="65">
        <f>IF(SER_hh_tesh!O14=0,0,SER_hh_tesh!O14/SER_summary!O$26)</f>
        <v>64.783853243244991</v>
      </c>
      <c r="P14" s="65">
        <f>IF(SER_hh_tesh!P14=0,0,SER_hh_tesh!P14/SER_summary!P$26)</f>
        <v>52.204711060473372</v>
      </c>
      <c r="Q14" s="65">
        <f>IF(SER_hh_tesh!Q14=0,0,SER_hh_tesh!Q14/SER_summary!Q$26)</f>
        <v>53.727591079910297</v>
      </c>
      <c r="R14" s="65">
        <f>IF(SER_hh_tesh!R14=0,0,SER_hh_tesh!R14/SER_summary!R$26)</f>
        <v>58.451284378674522</v>
      </c>
      <c r="S14" s="65">
        <f>IF(SER_hh_tesh!S14=0,0,SER_hh_tesh!S14/SER_summary!S$26)</f>
        <v>69.400216285304609</v>
      </c>
      <c r="T14" s="65">
        <f>IF(SER_hh_tesh!T14=0,0,SER_hh_tesh!T14/SER_summary!T$26)</f>
        <v>76.870717750969533</v>
      </c>
      <c r="U14" s="65">
        <f>IF(SER_hh_tesh!U14=0,0,SER_hh_tesh!U14/SER_summary!U$26)</f>
        <v>77.74266487554786</v>
      </c>
      <c r="V14" s="65">
        <f>IF(SER_hh_tesh!V14=0,0,SER_hh_tesh!V14/SER_summary!V$26)</f>
        <v>62.877339665657537</v>
      </c>
      <c r="W14" s="65">
        <f>IF(SER_hh_tesh!W14=0,0,SER_hh_tesh!W14/SER_summary!W$26)</f>
        <v>74.222385663885504</v>
      </c>
      <c r="X14" s="65">
        <f>IF(SER_hh_tesh!X14=0,0,SER_hh_tesh!X14/SER_summary!X$26)</f>
        <v>76.956937834964236</v>
      </c>
      <c r="Y14" s="65">
        <f>IF(SER_hh_tesh!Y14=0,0,SER_hh_tesh!Y14/SER_summary!Y$26)</f>
        <v>70.175818935829881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0.94407302950395999</v>
      </c>
      <c r="C15" s="134">
        <f>IF(SER_hh_tesh!C15=0,0,SER_hh_tesh!C15/SER_summary!C$26)</f>
        <v>1.0973138143154517</v>
      </c>
      <c r="D15" s="134">
        <f>IF(SER_hh_tesh!D15=0,0,SER_hh_tesh!D15/SER_summary!D$26)</f>
        <v>1.09014203023164</v>
      </c>
      <c r="E15" s="134">
        <f>IF(SER_hh_tesh!E15=0,0,SER_hh_tesh!E15/SER_summary!E$26)</f>
        <v>1.0801522621152286</v>
      </c>
      <c r="F15" s="134">
        <f>IF(SER_hh_tesh!F15=0,0,SER_hh_tesh!F15/SER_summary!F$26)</f>
        <v>1.0687039051243417</v>
      </c>
      <c r="G15" s="134">
        <f>IF(SER_hh_tesh!G15=0,0,SER_hh_tesh!G15/SER_summary!G$26)</f>
        <v>1.0431947444739118</v>
      </c>
      <c r="H15" s="134">
        <f>IF(SER_hh_tesh!H15=0,0,SER_hh_tesh!H15/SER_summary!H$26)</f>
        <v>0.93799886745960925</v>
      </c>
      <c r="I15" s="134">
        <f>IF(SER_hh_tesh!I15=0,0,SER_hh_tesh!I15/SER_summary!I$26)</f>
        <v>0.81889352367636781</v>
      </c>
      <c r="J15" s="134">
        <f>IF(SER_hh_tesh!J15=0,0,SER_hh_tesh!J15/SER_summary!J$26)</f>
        <v>0.84136648413260451</v>
      </c>
      <c r="K15" s="134">
        <f>IF(SER_hh_tesh!K15=0,0,SER_hh_tesh!K15/SER_summary!K$26)</f>
        <v>0.8229500873546528</v>
      </c>
      <c r="L15" s="134">
        <f>IF(SER_hh_tesh!L15=0,0,SER_hh_tesh!L15/SER_summary!L$26)</f>
        <v>0.91317443204764581</v>
      </c>
      <c r="M15" s="134">
        <f>IF(SER_hh_tesh!M15=0,0,SER_hh_tesh!M15/SER_summary!M$26)</f>
        <v>0.82194932800797682</v>
      </c>
      <c r="N15" s="134">
        <f>IF(SER_hh_tesh!N15=0,0,SER_hh_tesh!N15/SER_summary!N$26)</f>
        <v>0.71909360438349268</v>
      </c>
      <c r="O15" s="134">
        <f>IF(SER_hh_tesh!O15=0,0,SER_hh_tesh!O15/SER_summary!O$26)</f>
        <v>0.68715518101293294</v>
      </c>
      <c r="P15" s="134">
        <f>IF(SER_hh_tesh!P15=0,0,SER_hh_tesh!P15/SER_summary!P$26)</f>
        <v>0.57792529280972416</v>
      </c>
      <c r="Q15" s="134">
        <f>IF(SER_hh_tesh!Q15=0,0,SER_hh_tesh!Q15/SER_summary!Q$26)</f>
        <v>0.73740199826557873</v>
      </c>
      <c r="R15" s="134">
        <f>IF(SER_hh_tesh!R15=0,0,SER_hh_tesh!R15/SER_summary!R$26)</f>
        <v>0.78742583129505572</v>
      </c>
      <c r="S15" s="134">
        <f>IF(SER_hh_tesh!S15=0,0,SER_hh_tesh!S15/SER_summary!S$26)</f>
        <v>0.85214760861373862</v>
      </c>
      <c r="T15" s="134">
        <f>IF(SER_hh_tesh!T15=0,0,SER_hh_tesh!T15/SER_summary!T$26)</f>
        <v>0.89603935567663628</v>
      </c>
      <c r="U15" s="134">
        <f>IF(SER_hh_tesh!U15=0,0,SER_hh_tesh!U15/SER_summary!U$26)</f>
        <v>0.90114871478810754</v>
      </c>
      <c r="V15" s="134">
        <f>IF(SER_hh_tesh!V15=0,0,SER_hh_tesh!V15/SER_summary!V$26)</f>
        <v>0.86944358261544541</v>
      </c>
      <c r="W15" s="134">
        <f>IF(SER_hh_tesh!W15=0,0,SER_hh_tesh!W15/SER_summary!W$26)</f>
        <v>1.0422545577068352</v>
      </c>
      <c r="X15" s="134">
        <f>IF(SER_hh_tesh!X15=0,0,SER_hh_tesh!X15/SER_summary!X$26)</f>
        <v>0.89380949227730511</v>
      </c>
      <c r="Y15" s="134">
        <f>IF(SER_hh_tesh!Y15=0,0,SER_hh_tesh!Y15/SER_summary!Y$26)</f>
        <v>0.85184031044214492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26.095846129174564</v>
      </c>
      <c r="C16" s="130">
        <f>IF(SER_hh_tesh!C16=0,0,SER_hh_tesh!C16/SER_summary!C$26)</f>
        <v>24.651151154308863</v>
      </c>
      <c r="D16" s="130">
        <f>IF(SER_hh_tesh!D16=0,0,SER_hh_tesh!D16/SER_summary!D$26)</f>
        <v>23.751638901102847</v>
      </c>
      <c r="E16" s="130">
        <f>IF(SER_hh_tesh!E16=0,0,SER_hh_tesh!E16/SER_summary!E$26)</f>
        <v>45.337917640355933</v>
      </c>
      <c r="F16" s="130">
        <f>IF(SER_hh_tesh!F16=0,0,SER_hh_tesh!F16/SER_summary!F$26)</f>
        <v>23.294384213916004</v>
      </c>
      <c r="G16" s="130">
        <f>IF(SER_hh_tesh!G16=0,0,SER_hh_tesh!G16/SER_summary!G$26)</f>
        <v>23.465091305445029</v>
      </c>
      <c r="H16" s="130">
        <f>IF(SER_hh_tesh!H16=0,0,SER_hh_tesh!H16/SER_summary!H$26)</f>
        <v>26.551370471600269</v>
      </c>
      <c r="I16" s="130">
        <f>IF(SER_hh_tesh!I16=0,0,SER_hh_tesh!I16/SER_summary!I$26)</f>
        <v>27.535528358940375</v>
      </c>
      <c r="J16" s="130">
        <f>IF(SER_hh_tesh!J16=0,0,SER_hh_tesh!J16/SER_summary!J$26)</f>
        <v>26.758409593617113</v>
      </c>
      <c r="K16" s="130">
        <f>IF(SER_hh_tesh!K16=0,0,SER_hh_tesh!K16/SER_summary!K$26)</f>
        <v>25.695327358093714</v>
      </c>
      <c r="L16" s="130">
        <f>IF(SER_hh_tesh!L16=0,0,SER_hh_tesh!L16/SER_summary!L$26)</f>
        <v>26.189521922265186</v>
      </c>
      <c r="M16" s="130">
        <f>IF(SER_hh_tesh!M16=0,0,SER_hh_tesh!M16/SER_summary!M$26)</f>
        <v>28.330095211470972</v>
      </c>
      <c r="N16" s="130">
        <f>IF(SER_hh_tesh!N16=0,0,SER_hh_tesh!N16/SER_summary!N$26)</f>
        <v>41.589658425266421</v>
      </c>
      <c r="O16" s="130">
        <f>IF(SER_hh_tesh!O16=0,0,SER_hh_tesh!O16/SER_summary!O$26)</f>
        <v>28.037800902624138</v>
      </c>
      <c r="P16" s="130">
        <f>IF(SER_hh_tesh!P16=0,0,SER_hh_tesh!P16/SER_summary!P$26)</f>
        <v>23.283131625623152</v>
      </c>
      <c r="Q16" s="130">
        <f>IF(SER_hh_tesh!Q16=0,0,SER_hh_tesh!Q16/SER_summary!Q$26)</f>
        <v>38.098414583831499</v>
      </c>
      <c r="R16" s="130">
        <f>IF(SER_hh_tesh!R16=0,0,SER_hh_tesh!R16/SER_summary!R$26)</f>
        <v>26.408420870984816</v>
      </c>
      <c r="S16" s="130">
        <f>IF(SER_hh_tesh!S16=0,0,SER_hh_tesh!S16/SER_summary!S$26)</f>
        <v>38.392347275545447</v>
      </c>
      <c r="T16" s="130">
        <f>IF(SER_hh_tesh!T16=0,0,SER_hh_tesh!T16/SER_summary!T$26)</f>
        <v>29.073411649759819</v>
      </c>
      <c r="U16" s="130">
        <f>IF(SER_hh_tesh!U16=0,0,SER_hh_tesh!U16/SER_summary!U$26)</f>
        <v>35.386766265217936</v>
      </c>
      <c r="V16" s="130">
        <f>IF(SER_hh_tesh!V16=0,0,SER_hh_tesh!V16/SER_summary!V$26)</f>
        <v>27.738286749269285</v>
      </c>
      <c r="W16" s="130">
        <f>IF(SER_hh_tesh!W16=0,0,SER_hh_tesh!W16/SER_summary!W$26)</f>
        <v>36.774974015151727</v>
      </c>
      <c r="X16" s="130">
        <f>IF(SER_hh_tesh!X16=0,0,SER_hh_tesh!X16/SER_summary!X$26)</f>
        <v>39.230921363660002</v>
      </c>
      <c r="Y16" s="130">
        <f>IF(SER_hh_tesh!Y16=0,0,SER_hh_tesh!Y16/SER_summary!Y$26)</f>
        <v>33.974175861234514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26.095846129174561</v>
      </c>
      <c r="C17" s="132">
        <f>IF(SER_hh_tesh!C17=0,0,SER_hh_tesh!C17/SER_summary!C$26)</f>
        <v>24.651151154308788</v>
      </c>
      <c r="D17" s="132">
        <f>IF(SER_hh_tesh!D17=0,0,SER_hh_tesh!D17/SER_summary!D$26)</f>
        <v>23.751638900406149</v>
      </c>
      <c r="E17" s="132">
        <f>IF(SER_hh_tesh!E17=0,0,SER_hh_tesh!E17/SER_summary!E$26)</f>
        <v>45.337917640215238</v>
      </c>
      <c r="F17" s="132">
        <f>IF(SER_hh_tesh!F17=0,0,SER_hh_tesh!F17/SER_summary!F$26)</f>
        <v>23.294384214362104</v>
      </c>
      <c r="G17" s="132">
        <f>IF(SER_hh_tesh!G17=0,0,SER_hh_tesh!G17/SER_summary!G$26)</f>
        <v>23.465091306046329</v>
      </c>
      <c r="H17" s="132">
        <f>IF(SER_hh_tesh!H17=0,0,SER_hh_tesh!H17/SER_summary!H$26)</f>
        <v>26.551370471881519</v>
      </c>
      <c r="I17" s="132">
        <f>IF(SER_hh_tesh!I17=0,0,SER_hh_tesh!I17/SER_summary!I$26)</f>
        <v>35.691064465910372</v>
      </c>
      <c r="J17" s="132">
        <f>IF(SER_hh_tesh!J17=0,0,SER_hh_tesh!J17/SER_summary!J$26)</f>
        <v>32.799010326733047</v>
      </c>
      <c r="K17" s="132">
        <f>IF(SER_hh_tesh!K17=0,0,SER_hh_tesh!K17/SER_summary!K$26)</f>
        <v>25.695327357707761</v>
      </c>
      <c r="L17" s="132">
        <f>IF(SER_hh_tesh!L17=0,0,SER_hh_tesh!L17/SER_summary!L$26)</f>
        <v>26.189521921833805</v>
      </c>
      <c r="M17" s="132">
        <f>IF(SER_hh_tesh!M17=0,0,SER_hh_tesh!M17/SER_summary!M$26)</f>
        <v>28.330095211122444</v>
      </c>
      <c r="N17" s="132">
        <f>IF(SER_hh_tesh!N17=0,0,SER_hh_tesh!N17/SER_summary!N$26)</f>
        <v>36.320517805695602</v>
      </c>
      <c r="O17" s="132">
        <f>IF(SER_hh_tesh!O17=0,0,SER_hh_tesh!O17/SER_summary!O$26)</f>
        <v>28.303149819019456</v>
      </c>
      <c r="P17" s="132">
        <f>IF(SER_hh_tesh!P17=0,0,SER_hh_tesh!P17/SER_summary!P$26)</f>
        <v>18.966444672907194</v>
      </c>
      <c r="Q17" s="132">
        <f>IF(SER_hh_tesh!Q17=0,0,SER_hh_tesh!Q17/SER_summary!Q$26)</f>
        <v>39.260311233759964</v>
      </c>
      <c r="R17" s="132">
        <f>IF(SER_hh_tesh!R17=0,0,SER_hh_tesh!R17/SER_summary!R$26)</f>
        <v>26.408420810535475</v>
      </c>
      <c r="S17" s="132">
        <f>IF(SER_hh_tesh!S17=0,0,SER_hh_tesh!S17/SER_summary!S$26)</f>
        <v>38.392347167229779</v>
      </c>
      <c r="T17" s="132">
        <f>IF(SER_hh_tesh!T17=0,0,SER_hh_tesh!T17/SER_summary!T$26)</f>
        <v>29.073411580601782</v>
      </c>
      <c r="U17" s="132">
        <f>IF(SER_hh_tesh!U17=0,0,SER_hh_tesh!U17/SER_summary!U$26)</f>
        <v>35.386766200470781</v>
      </c>
      <c r="V17" s="132">
        <f>IF(SER_hh_tesh!V17=0,0,SER_hh_tesh!V17/SER_summary!V$26)</f>
        <v>22.623678370866195</v>
      </c>
      <c r="W17" s="132">
        <f>IF(SER_hh_tesh!W17=0,0,SER_hh_tesh!W17/SER_summary!W$26)</f>
        <v>30.318407499187114</v>
      </c>
      <c r="X17" s="132">
        <f>IF(SER_hh_tesh!X17=0,0,SER_hh_tesh!X17/SER_summary!X$26)</f>
        <v>39.230926917390278</v>
      </c>
      <c r="Y17" s="132">
        <f>IF(SER_hh_tesh!Y17=0,0,SER_hh_tesh!Y17/SER_summary!Y$26)</f>
        <v>39.213060783597321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26.095846129174564</v>
      </c>
      <c r="C18" s="132">
        <f>IF(SER_hh_tesh!C18=0,0,SER_hh_tesh!C18/SER_summary!C$26)</f>
        <v>24.65115115430886</v>
      </c>
      <c r="D18" s="132">
        <f>IF(SER_hh_tesh!D18=0,0,SER_hh_tesh!D18/SER_summary!D$26)</f>
        <v>23.75163890110365</v>
      </c>
      <c r="E18" s="132">
        <f>IF(SER_hh_tesh!E18=0,0,SER_hh_tesh!E18/SER_summary!E$26)</f>
        <v>45.337917640356103</v>
      </c>
      <c r="F18" s="132">
        <f>IF(SER_hh_tesh!F18=0,0,SER_hh_tesh!F18/SER_summary!F$26)</f>
        <v>23.294384213915404</v>
      </c>
      <c r="G18" s="132">
        <f>IF(SER_hh_tesh!G18=0,0,SER_hh_tesh!G18/SER_summary!G$26)</f>
        <v>23.46509130544419</v>
      </c>
      <c r="H18" s="132">
        <f>IF(SER_hh_tesh!H18=0,0,SER_hh_tesh!H18/SER_summary!H$26)</f>
        <v>26.551370471599864</v>
      </c>
      <c r="I18" s="132">
        <f>IF(SER_hh_tesh!I18=0,0,SER_hh_tesh!I18/SER_summary!I$26)</f>
        <v>27.524588290283404</v>
      </c>
      <c r="J18" s="132">
        <f>IF(SER_hh_tesh!J18=0,0,SER_hh_tesh!J18/SER_summary!J$26)</f>
        <v>26.750522862493085</v>
      </c>
      <c r="K18" s="132">
        <f>IF(SER_hh_tesh!K18=0,0,SER_hh_tesh!K18/SER_summary!K$26)</f>
        <v>25.695327358094243</v>
      </c>
      <c r="L18" s="132">
        <f>IF(SER_hh_tesh!L18=0,0,SER_hh_tesh!L18/SER_summary!L$26)</f>
        <v>26.189521922265836</v>
      </c>
      <c r="M18" s="132">
        <f>IF(SER_hh_tesh!M18=0,0,SER_hh_tesh!M18/SER_summary!M$26)</f>
        <v>28.330095211471537</v>
      </c>
      <c r="N18" s="132">
        <f>IF(SER_hh_tesh!N18=0,0,SER_hh_tesh!N18/SER_summary!N$26)</f>
        <v>41.598981969048701</v>
      </c>
      <c r="O18" s="132">
        <f>IF(SER_hh_tesh!O18=0,0,SER_hh_tesh!O18/SER_summary!O$26)</f>
        <v>28.037265237312095</v>
      </c>
      <c r="P18" s="132">
        <f>IF(SER_hh_tesh!P18=0,0,SER_hh_tesh!P18/SER_summary!P$26)</f>
        <v>23.293860037211161</v>
      </c>
      <c r="Q18" s="132">
        <f>IF(SER_hh_tesh!Q18=0,0,SER_hh_tesh!Q18/SER_summary!Q$26)</f>
        <v>38.095007639551831</v>
      </c>
      <c r="R18" s="132">
        <f>IF(SER_hh_tesh!R18=0,0,SER_hh_tesh!R18/SER_summary!R$26)</f>
        <v>26.40842087119028</v>
      </c>
      <c r="S18" s="132">
        <f>IF(SER_hh_tesh!S18=0,0,SER_hh_tesh!S18/SER_summary!S$26)</f>
        <v>38.39234727599225</v>
      </c>
      <c r="T18" s="132">
        <f>IF(SER_hh_tesh!T18=0,0,SER_hh_tesh!T18/SER_summary!T$26)</f>
        <v>29.073411650114007</v>
      </c>
      <c r="U18" s="132">
        <f>IF(SER_hh_tesh!U18=0,0,SER_hh_tesh!U18/SER_summary!U$26)</f>
        <v>35.386766265593266</v>
      </c>
      <c r="V18" s="132">
        <f>IF(SER_hh_tesh!V18=0,0,SER_hh_tesh!V18/SER_summary!V$26)</f>
        <v>27.77431103073112</v>
      </c>
      <c r="W18" s="132">
        <f>IF(SER_hh_tesh!W18=0,0,SER_hh_tesh!W18/SER_summary!W$26)</f>
        <v>36.822145960610094</v>
      </c>
      <c r="X18" s="132">
        <f>IF(SER_hh_tesh!X18=0,0,SER_hh_tesh!X18/SER_summary!X$26)</f>
        <v>39.230921319160672</v>
      </c>
      <c r="Y18" s="132">
        <f>IF(SER_hh_tesh!Y18=0,0,SER_hh_tesh!Y18/SER_summary!Y$26)</f>
        <v>33.930821934933604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14.135579221796357</v>
      </c>
      <c r="C19" s="130">
        <f>IF(SER_hh_tesh!C19=0,0,SER_hh_tesh!C19/SER_summary!C$26)</f>
        <v>14.305345687668833</v>
      </c>
      <c r="D19" s="130">
        <f>IF(SER_hh_tesh!D19=0,0,SER_hh_tesh!D19/SER_summary!D$26)</f>
        <v>14.592733996518319</v>
      </c>
      <c r="E19" s="130">
        <f>IF(SER_hh_tesh!E19=0,0,SER_hh_tesh!E19/SER_summary!E$26)</f>
        <v>14.555610129353024</v>
      </c>
      <c r="F19" s="130">
        <f>IF(SER_hh_tesh!F19=0,0,SER_hh_tesh!F19/SER_summary!F$26)</f>
        <v>15.006347075203527</v>
      </c>
      <c r="G19" s="130">
        <f>IF(SER_hh_tesh!G19=0,0,SER_hh_tesh!G19/SER_summary!G$26)</f>
        <v>15.184479865369394</v>
      </c>
      <c r="H19" s="130">
        <f>IF(SER_hh_tesh!H19=0,0,SER_hh_tesh!H19/SER_summary!H$26)</f>
        <v>14.873256098041425</v>
      </c>
      <c r="I19" s="130">
        <f>IF(SER_hh_tesh!I19=0,0,SER_hh_tesh!I19/SER_summary!I$26)</f>
        <v>14.807842006468537</v>
      </c>
      <c r="J19" s="130">
        <f>IF(SER_hh_tesh!J19=0,0,SER_hh_tesh!J19/SER_summary!J$26)</f>
        <v>15.144873811939439</v>
      </c>
      <c r="K19" s="130">
        <f>IF(SER_hh_tesh!K19=0,0,SER_hh_tesh!K19/SER_summary!K$26)</f>
        <v>15.273776306865708</v>
      </c>
      <c r="L19" s="130">
        <f>IF(SER_hh_tesh!L19=0,0,SER_hh_tesh!L19/SER_summary!L$26)</f>
        <v>15.471232706941656</v>
      </c>
      <c r="M19" s="130">
        <f>IF(SER_hh_tesh!M19=0,0,SER_hh_tesh!M19/SER_summary!M$26)</f>
        <v>15.519219127894141</v>
      </c>
      <c r="N19" s="130">
        <f>IF(SER_hh_tesh!N19=0,0,SER_hh_tesh!N19/SER_summary!N$26)</f>
        <v>16.006349354809831</v>
      </c>
      <c r="O19" s="130">
        <f>IF(SER_hh_tesh!O19=0,0,SER_hh_tesh!O19/SER_summary!O$26)</f>
        <v>16.440151575421929</v>
      </c>
      <c r="P19" s="130">
        <f>IF(SER_hh_tesh!P19=0,0,SER_hh_tesh!P19/SER_summary!P$26)</f>
        <v>16.326388931201478</v>
      </c>
      <c r="Q19" s="130">
        <f>IF(SER_hh_tesh!Q19=0,0,SER_hh_tesh!Q19/SER_summary!Q$26)</f>
        <v>16.2570780038725</v>
      </c>
      <c r="R19" s="130">
        <f>IF(SER_hh_tesh!R19=0,0,SER_hh_tesh!R19/SER_summary!R$26)</f>
        <v>16.396553587277737</v>
      </c>
      <c r="S19" s="130">
        <f>IF(SER_hh_tesh!S19=0,0,SER_hh_tesh!S19/SER_summary!S$26)</f>
        <v>16.56368370287726</v>
      </c>
      <c r="T19" s="130">
        <f>IF(SER_hh_tesh!T19=0,0,SER_hh_tesh!T19/SER_summary!T$26)</f>
        <v>16.688930286954772</v>
      </c>
      <c r="U19" s="130">
        <f>IF(SER_hh_tesh!U19=0,0,SER_hh_tesh!U19/SER_summary!U$26)</f>
        <v>16.749245925794501</v>
      </c>
      <c r="V19" s="130">
        <f>IF(SER_hh_tesh!V19=0,0,SER_hh_tesh!V19/SER_summary!V$26)</f>
        <v>15.652214998549747</v>
      </c>
      <c r="W19" s="130">
        <f>IF(SER_hh_tesh!W19=0,0,SER_hh_tesh!W19/SER_summary!W$26)</f>
        <v>16.454570987303192</v>
      </c>
      <c r="X19" s="130">
        <f>IF(SER_hh_tesh!X19=0,0,SER_hh_tesh!X19/SER_summary!X$26)</f>
        <v>16.749515000468648</v>
      </c>
      <c r="Y19" s="130">
        <f>IF(SER_hh_tesh!Y19=0,0,SER_hh_tesh!Y19/SER_summary!Y$26)</f>
        <v>16.543751311618113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12.951354312507311</v>
      </c>
      <c r="C21" s="132">
        <f>IF(SER_hh_tesh!C21=0,0,SER_hh_tesh!C21/SER_summary!C$26)</f>
        <v>14.556291123805154</v>
      </c>
      <c r="D21" s="132">
        <f>IF(SER_hh_tesh!D21=0,0,SER_hh_tesh!D21/SER_summary!D$26)</f>
        <v>14.834308127327889</v>
      </c>
      <c r="E21" s="132">
        <f>IF(SER_hh_tesh!E21=0,0,SER_hh_tesh!E21/SER_summary!E$26)</f>
        <v>14.635596957101109</v>
      </c>
      <c r="F21" s="132">
        <f>IF(SER_hh_tesh!F21=0,0,SER_hh_tesh!F21/SER_summary!F$26)</f>
        <v>15.068727632442814</v>
      </c>
      <c r="G21" s="132">
        <f>IF(SER_hh_tesh!G21=0,0,SER_hh_tesh!G21/SER_summary!G$26)</f>
        <v>14.867286131762537</v>
      </c>
      <c r="H21" s="132">
        <f>IF(SER_hh_tesh!H21=0,0,SER_hh_tesh!H21/SER_summary!H$26)</f>
        <v>14.844990081083219</v>
      </c>
      <c r="I21" s="132">
        <f>IF(SER_hh_tesh!I21=0,0,SER_hh_tesh!I21/SER_summary!I$26)</f>
        <v>14.580509494429647</v>
      </c>
      <c r="J21" s="132">
        <f>IF(SER_hh_tesh!J21=0,0,SER_hh_tesh!J21/SER_summary!J$26)</f>
        <v>14.933131033672483</v>
      </c>
      <c r="K21" s="132">
        <f>IF(SER_hh_tesh!K21=0,0,SER_hh_tesh!K21/SER_summary!K$26)</f>
        <v>15.546591846383501</v>
      </c>
      <c r="L21" s="132">
        <f>IF(SER_hh_tesh!L21=0,0,SER_hh_tesh!L21/SER_summary!L$26)</f>
        <v>15.507732722147187</v>
      </c>
      <c r="M21" s="132">
        <f>IF(SER_hh_tesh!M21=0,0,SER_hh_tesh!M21/SER_summary!M$26)</f>
        <v>15.557418029011091</v>
      </c>
      <c r="N21" s="132">
        <f>IF(SER_hh_tesh!N21=0,0,SER_hh_tesh!N21/SER_summary!N$26)</f>
        <v>15.788588467932755</v>
      </c>
      <c r="O21" s="132">
        <f>IF(SER_hh_tesh!O21=0,0,SER_hh_tesh!O21/SER_summary!O$26)</f>
        <v>16.083220917792811</v>
      </c>
      <c r="P21" s="132">
        <f>IF(SER_hh_tesh!P21=0,0,SER_hh_tesh!P21/SER_summary!P$26)</f>
        <v>16.140556086400895</v>
      </c>
      <c r="Q21" s="132">
        <f>IF(SER_hh_tesh!Q21=0,0,SER_hh_tesh!Q21/SER_summary!Q$26)</f>
        <v>16.371536296444017</v>
      </c>
      <c r="R21" s="132">
        <f>IF(SER_hh_tesh!R21=0,0,SER_hh_tesh!R21/SER_summary!R$26)</f>
        <v>16.489546622371325</v>
      </c>
      <c r="S21" s="132">
        <f>IF(SER_hh_tesh!S21=0,0,SER_hh_tesh!S21/SER_summary!S$26)</f>
        <v>16.268617686450742</v>
      </c>
      <c r="T21" s="132">
        <f>IF(SER_hh_tesh!T21=0,0,SER_hh_tesh!T21/SER_summary!T$26)</f>
        <v>16.567671018873298</v>
      </c>
      <c r="U21" s="132">
        <f>IF(SER_hh_tesh!U21=0,0,SER_hh_tesh!U21/SER_summary!U$26)</f>
        <v>16.405932057854411</v>
      </c>
      <c r="V21" s="132">
        <f>IF(SER_hh_tesh!V21=0,0,SER_hh_tesh!V21/SER_summary!V$26)</f>
        <v>14.488692986596428</v>
      </c>
      <c r="W21" s="132">
        <f>IF(SER_hh_tesh!W21=0,0,SER_hh_tesh!W21/SER_summary!W$26)</f>
        <v>16.532806643701104</v>
      </c>
      <c r="X21" s="132">
        <f>IF(SER_hh_tesh!X21=0,0,SER_hh_tesh!X21/SER_summary!X$26)</f>
        <v>17.053175782368324</v>
      </c>
      <c r="Y21" s="132">
        <f>IF(SER_hh_tesh!Y21=0,0,SER_hh_tesh!Y21/SER_summary!Y$26)</f>
        <v>14.986365808362367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13.847480082856965</v>
      </c>
      <c r="C22" s="132">
        <f>IF(SER_hh_tesh!C22=0,0,SER_hh_tesh!C22/SER_summary!C$26)</f>
        <v>14.282482857015445</v>
      </c>
      <c r="D22" s="132">
        <f>IF(SER_hh_tesh!D22=0,0,SER_hh_tesh!D22/SER_summary!D$26)</f>
        <v>14.475935267332057</v>
      </c>
      <c r="E22" s="132">
        <f>IF(SER_hh_tesh!E22=0,0,SER_hh_tesh!E22/SER_summary!E$26)</f>
        <v>14.638386994271571</v>
      </c>
      <c r="F22" s="132">
        <f>IF(SER_hh_tesh!F22=0,0,SER_hh_tesh!F22/SER_summary!F$26)</f>
        <v>14.719164155199518</v>
      </c>
      <c r="G22" s="132">
        <f>IF(SER_hh_tesh!G22=0,0,SER_hh_tesh!G22/SER_summary!G$26)</f>
        <v>15.012482669832275</v>
      </c>
      <c r="H22" s="132">
        <f>IF(SER_hh_tesh!H22=0,0,SER_hh_tesh!H22/SER_summary!H$26)</f>
        <v>14.79447228687264</v>
      </c>
      <c r="I22" s="132">
        <f>IF(SER_hh_tesh!I22=0,0,SER_hh_tesh!I22/SER_summary!I$26)</f>
        <v>15.073476322205368</v>
      </c>
      <c r="J22" s="132">
        <f>IF(SER_hh_tesh!J22=0,0,SER_hh_tesh!J22/SER_summary!J$26)</f>
        <v>15.167360432391526</v>
      </c>
      <c r="K22" s="132">
        <f>IF(SER_hh_tesh!K22=0,0,SER_hh_tesh!K22/SER_summary!K$26)</f>
        <v>15.447550000636406</v>
      </c>
      <c r="L22" s="132">
        <f>IF(SER_hh_tesh!L22=0,0,SER_hh_tesh!L22/SER_summary!L$26)</f>
        <v>15.753257017717159</v>
      </c>
      <c r="M22" s="132">
        <f>IF(SER_hh_tesh!M22=0,0,SER_hh_tesh!M22/SER_summary!M$26)</f>
        <v>15.464792307490491</v>
      </c>
      <c r="N22" s="132">
        <f>IF(SER_hh_tesh!N22=0,0,SER_hh_tesh!N22/SER_summary!N$26)</f>
        <v>15.70622368702848</v>
      </c>
      <c r="O22" s="132">
        <f>IF(SER_hh_tesh!O22=0,0,SER_hh_tesh!O22/SER_summary!O$26)</f>
        <v>16.080778193745669</v>
      </c>
      <c r="P22" s="132">
        <f>IF(SER_hh_tesh!P22=0,0,SER_hh_tesh!P22/SER_summary!P$26)</f>
        <v>15.950316242691482</v>
      </c>
      <c r="Q22" s="132">
        <f>IF(SER_hh_tesh!Q22=0,0,SER_hh_tesh!Q22/SER_summary!Q$26)</f>
        <v>15.903474611641075</v>
      </c>
      <c r="R22" s="132">
        <f>IF(SER_hh_tesh!R22=0,0,SER_hh_tesh!R22/SER_summary!R$26)</f>
        <v>16.073890511847196</v>
      </c>
      <c r="S22" s="132">
        <f>IF(SER_hh_tesh!S22=0,0,SER_hh_tesh!S22/SER_summary!S$26)</f>
        <v>16.211981859156829</v>
      </c>
      <c r="T22" s="132">
        <f>IF(SER_hh_tesh!T22=0,0,SER_hh_tesh!T22/SER_summary!T$26)</f>
        <v>16.252571779604207</v>
      </c>
      <c r="U22" s="132">
        <f>IF(SER_hh_tesh!U22=0,0,SER_hh_tesh!U22/SER_summary!U$26)</f>
        <v>16.74952320986371</v>
      </c>
      <c r="V22" s="132">
        <f>IF(SER_hh_tesh!V22=0,0,SER_hh_tesh!V22/SER_summary!V$26)</f>
        <v>15.254450113143898</v>
      </c>
      <c r="W22" s="132">
        <f>IF(SER_hh_tesh!W22=0,0,SER_hh_tesh!W22/SER_summary!W$26)</f>
        <v>17.147804240336228</v>
      </c>
      <c r="X22" s="132">
        <f>IF(SER_hh_tesh!X22=0,0,SER_hh_tesh!X22/SER_summary!X$26)</f>
        <v>16.014552273871661</v>
      </c>
      <c r="Y22" s="132">
        <f>IF(SER_hh_tesh!Y22=0,0,SER_hh_tesh!Y22/SER_summary!Y$26)</f>
        <v>15.382663873446257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13.804996101855094</v>
      </c>
      <c r="C23" s="132">
        <f>IF(SER_hh_tesh!C23=0,0,SER_hh_tesh!C23/SER_summary!C$26)</f>
        <v>14.245024497852345</v>
      </c>
      <c r="D23" s="132">
        <f>IF(SER_hh_tesh!D23=0,0,SER_hh_tesh!D23/SER_summary!D$26)</f>
        <v>14.610186303602843</v>
      </c>
      <c r="E23" s="132">
        <f>IF(SER_hh_tesh!E23=0,0,SER_hh_tesh!E23/SER_summary!E$26)</f>
        <v>14.618308218475759</v>
      </c>
      <c r="F23" s="132">
        <f>IF(SER_hh_tesh!F23=0,0,SER_hh_tesh!F23/SER_summary!F$26)</f>
        <v>14.919875701495165</v>
      </c>
      <c r="G23" s="132">
        <f>IF(SER_hh_tesh!G23=0,0,SER_hh_tesh!G23/SER_summary!G$26)</f>
        <v>15.161093271340677</v>
      </c>
      <c r="H23" s="132">
        <f>IF(SER_hh_tesh!H23=0,0,SER_hh_tesh!H23/SER_summary!H$26)</f>
        <v>14.878681798073774</v>
      </c>
      <c r="I23" s="132">
        <f>IF(SER_hh_tesh!I23=0,0,SER_hh_tesh!I23/SER_summary!I$26)</f>
        <v>14.68425978363778</v>
      </c>
      <c r="J23" s="132">
        <f>IF(SER_hh_tesh!J23=0,0,SER_hh_tesh!J23/SER_summary!J$26)</f>
        <v>15.151283972120083</v>
      </c>
      <c r="K23" s="132">
        <f>IF(SER_hh_tesh!K23=0,0,SER_hh_tesh!K23/SER_summary!K$26)</f>
        <v>15.144784150436067</v>
      </c>
      <c r="L23" s="132">
        <f>IF(SER_hh_tesh!L23=0,0,SER_hh_tesh!L23/SER_summary!L$26)</f>
        <v>15.310543712867371</v>
      </c>
      <c r="M23" s="132">
        <f>IF(SER_hh_tesh!M23=0,0,SER_hh_tesh!M23/SER_summary!M$26)</f>
        <v>15.463046532977383</v>
      </c>
      <c r="N23" s="132">
        <f>IF(SER_hh_tesh!N23=0,0,SER_hh_tesh!N23/SER_summary!N$26)</f>
        <v>15.70280460253997</v>
      </c>
      <c r="O23" s="132">
        <f>IF(SER_hh_tesh!O23=0,0,SER_hh_tesh!O23/SER_summary!O$26)</f>
        <v>15.919043114390021</v>
      </c>
      <c r="P23" s="132">
        <f>IF(SER_hh_tesh!P23=0,0,SER_hh_tesh!P23/SER_summary!P$26)</f>
        <v>15.903163875702161</v>
      </c>
      <c r="Q23" s="132">
        <f>IF(SER_hh_tesh!Q23=0,0,SER_hh_tesh!Q23/SER_summary!Q$26)</f>
        <v>16.042774368070429</v>
      </c>
      <c r="R23" s="132">
        <f>IF(SER_hh_tesh!R23=0,0,SER_hh_tesh!R23/SER_summary!R$26)</f>
        <v>16.10194883457233</v>
      </c>
      <c r="S23" s="132">
        <f>IF(SER_hh_tesh!S23=0,0,SER_hh_tesh!S23/SER_summary!S$26)</f>
        <v>16.426011685728213</v>
      </c>
      <c r="T23" s="132">
        <f>IF(SER_hh_tesh!T23=0,0,SER_hh_tesh!T23/SER_summary!T$26)</f>
        <v>16.508988068165745</v>
      </c>
      <c r="U23" s="132">
        <f>IF(SER_hh_tesh!U23=0,0,SER_hh_tesh!U23/SER_summary!U$26)</f>
        <v>16.43805269473998</v>
      </c>
      <c r="V23" s="132">
        <f>IF(SER_hh_tesh!V23=0,0,SER_hh_tesh!V23/SER_summary!V$26)</f>
        <v>15.27798512081764</v>
      </c>
      <c r="W23" s="132">
        <f>IF(SER_hh_tesh!W23=0,0,SER_hh_tesh!W23/SER_summary!W$26)</f>
        <v>17.319418864968803</v>
      </c>
      <c r="X23" s="132">
        <f>IF(SER_hh_tesh!X23=0,0,SER_hh_tesh!X23/SER_summary!X$26)</f>
        <v>15.937226904623486</v>
      </c>
      <c r="Y23" s="132">
        <f>IF(SER_hh_tesh!Y23=0,0,SER_hh_tesh!Y23/SER_summary!Y$26)</f>
        <v>15.822834967240778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14.177789148462034</v>
      </c>
      <c r="C25" s="132">
        <f>IF(SER_hh_tesh!C25=0,0,SER_hh_tesh!C25/SER_summary!C$26)</f>
        <v>14.226886228951194</v>
      </c>
      <c r="D25" s="132">
        <f>IF(SER_hh_tesh!D25=0,0,SER_hh_tesh!D25/SER_summary!D$26)</f>
        <v>14.536783520303421</v>
      </c>
      <c r="E25" s="132">
        <f>IF(SER_hh_tesh!E25=0,0,SER_hh_tesh!E25/SER_summary!E$26)</f>
        <v>14.519663926893108</v>
      </c>
      <c r="F25" s="132">
        <f>IF(SER_hh_tesh!F25=0,0,SER_hh_tesh!F25/SER_summary!F$26)</f>
        <v>14.830406911180841</v>
      </c>
      <c r="G25" s="132">
        <f>IF(SER_hh_tesh!G25=0,0,SER_hh_tesh!G25/SER_summary!G$26)</f>
        <v>15.102430537787859</v>
      </c>
      <c r="H25" s="132">
        <f>IF(SER_hh_tesh!H25=0,0,SER_hh_tesh!H25/SER_summary!H$26)</f>
        <v>14.875044995518415</v>
      </c>
      <c r="I25" s="132">
        <f>IF(SER_hh_tesh!I25=0,0,SER_hh_tesh!I25/SER_summary!I$26)</f>
        <v>14.809404362567639</v>
      </c>
      <c r="J25" s="132">
        <f>IF(SER_hh_tesh!J25=0,0,SER_hh_tesh!J25/SER_summary!J$26)</f>
        <v>15.08705154372851</v>
      </c>
      <c r="K25" s="132">
        <f>IF(SER_hh_tesh!K25=0,0,SER_hh_tesh!K25/SER_summary!K$26)</f>
        <v>15.066361932643058</v>
      </c>
      <c r="L25" s="132">
        <f>IF(SER_hh_tesh!L25=0,0,SER_hh_tesh!L25/SER_summary!L$26)</f>
        <v>15.270283449845349</v>
      </c>
      <c r="M25" s="132">
        <f>IF(SER_hh_tesh!M25=0,0,SER_hh_tesh!M25/SER_summary!M$26)</f>
        <v>15.503561664440456</v>
      </c>
      <c r="N25" s="132">
        <f>IF(SER_hh_tesh!N25=0,0,SER_hh_tesh!N25/SER_summary!N$26)</f>
        <v>15.785092193881404</v>
      </c>
      <c r="O25" s="132">
        <f>IF(SER_hh_tesh!O25=0,0,SER_hh_tesh!O25/SER_summary!O$26)</f>
        <v>16.092925806594003</v>
      </c>
      <c r="P25" s="132">
        <f>IF(SER_hh_tesh!P25=0,0,SER_hh_tesh!P25/SER_summary!P$26)</f>
        <v>16.156843186742055</v>
      </c>
      <c r="Q25" s="132">
        <f>IF(SER_hh_tesh!Q25=0,0,SER_hh_tesh!Q25/SER_summary!Q$26)</f>
        <v>16.124422584569068</v>
      </c>
      <c r="R25" s="132">
        <f>IF(SER_hh_tesh!R25=0,0,SER_hh_tesh!R25/SER_summary!R$26)</f>
        <v>16.09636849557403</v>
      </c>
      <c r="S25" s="132">
        <f>IF(SER_hh_tesh!S25=0,0,SER_hh_tesh!S25/SER_summary!S$26)</f>
        <v>16.27318286890285</v>
      </c>
      <c r="T25" s="132">
        <f>IF(SER_hh_tesh!T25=0,0,SER_hh_tesh!T25/SER_summary!T$26)</f>
        <v>16.28149747723338</v>
      </c>
      <c r="U25" s="132">
        <f>IF(SER_hh_tesh!U25=0,0,SER_hh_tesh!U25/SER_summary!U$26)</f>
        <v>16.184925592395484</v>
      </c>
      <c r="V25" s="132">
        <f>IF(SER_hh_tesh!V25=0,0,SER_hh_tesh!V25/SER_summary!V$26)</f>
        <v>15.587758826386795</v>
      </c>
      <c r="W25" s="132">
        <f>IF(SER_hh_tesh!W25=0,0,SER_hh_tesh!W25/SER_summary!W$26)</f>
        <v>16.615211929713738</v>
      </c>
      <c r="X25" s="132">
        <f>IF(SER_hh_tesh!X25=0,0,SER_hh_tesh!X25/SER_summary!X$26)</f>
        <v>15.357099730593207</v>
      </c>
      <c r="Y25" s="132">
        <f>IF(SER_hh_tesh!Y25=0,0,SER_hh_tesh!Y25/SER_summary!Y$26)</f>
        <v>16.6192791641277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14.170457603260514</v>
      </c>
      <c r="C26" s="65">
        <f>IF(SER_hh_tesh!C26=0,0,SER_hh_tesh!C26/SER_summary!C$26)</f>
        <v>13.942130229339924</v>
      </c>
      <c r="D26" s="65">
        <f>IF(SER_hh_tesh!D26=0,0,SER_hh_tesh!D26/SER_summary!D$26)</f>
        <v>14.105859227135616</v>
      </c>
      <c r="E26" s="65">
        <f>IF(SER_hh_tesh!E26=0,0,SER_hh_tesh!E26/SER_summary!E$26)</f>
        <v>13.928491921790178</v>
      </c>
      <c r="F26" s="65">
        <f>IF(SER_hh_tesh!F26=0,0,SER_hh_tesh!F26/SER_summary!F$26)</f>
        <v>14.655013079868848</v>
      </c>
      <c r="G26" s="65">
        <f>IF(SER_hh_tesh!G26=0,0,SER_hh_tesh!G26/SER_summary!G$26)</f>
        <v>14.652720220492187</v>
      </c>
      <c r="H26" s="65">
        <f>IF(SER_hh_tesh!H26=0,0,SER_hh_tesh!H26/SER_summary!H$26)</f>
        <v>14.148533882684839</v>
      </c>
      <c r="I26" s="65">
        <f>IF(SER_hh_tesh!I26=0,0,SER_hh_tesh!I26/SER_summary!I$26)</f>
        <v>14.034540842734241</v>
      </c>
      <c r="J26" s="65">
        <f>IF(SER_hh_tesh!J26=0,0,SER_hh_tesh!J26/SER_summary!J$26)</f>
        <v>14.201157316471727</v>
      </c>
      <c r="K26" s="65">
        <f>IF(SER_hh_tesh!K26=0,0,SER_hh_tesh!K26/SER_summary!K$26)</f>
        <v>14.256092947068108</v>
      </c>
      <c r="L26" s="65">
        <f>IF(SER_hh_tesh!L26=0,0,SER_hh_tesh!L26/SER_summary!L$26)</f>
        <v>14.33412826678731</v>
      </c>
      <c r="M26" s="65">
        <f>IF(SER_hh_tesh!M26=0,0,SER_hh_tesh!M26/SER_summary!M$26)</f>
        <v>14.139477772271581</v>
      </c>
      <c r="N26" s="65">
        <f>IF(SER_hh_tesh!N26=0,0,SER_hh_tesh!N26/SER_summary!N$26)</f>
        <v>14.723752626956301</v>
      </c>
      <c r="O26" s="65">
        <f>IF(SER_hh_tesh!O26=0,0,SER_hh_tesh!O26/SER_summary!O$26)</f>
        <v>15.168592240892725</v>
      </c>
      <c r="P26" s="65">
        <f>IF(SER_hh_tesh!P26=0,0,SER_hh_tesh!P26/SER_summary!P$26)</f>
        <v>14.653634937231828</v>
      </c>
      <c r="Q26" s="65">
        <f>IF(SER_hh_tesh!Q26=0,0,SER_hh_tesh!Q26/SER_summary!Q$26)</f>
        <v>14.140179797486093</v>
      </c>
      <c r="R26" s="65">
        <f>IF(SER_hh_tesh!R26=0,0,SER_hh_tesh!R26/SER_summary!R$26)</f>
        <v>14.06425554533168</v>
      </c>
      <c r="S26" s="65">
        <f>IF(SER_hh_tesh!S26=0,0,SER_hh_tesh!S26/SER_summary!S$26)</f>
        <v>13.722633921070925</v>
      </c>
      <c r="T26" s="65">
        <f>IF(SER_hh_tesh!T26=0,0,SER_hh_tesh!T26/SER_summary!T$26)</f>
        <v>13.650109518206428</v>
      </c>
      <c r="U26" s="65">
        <f>IF(SER_hh_tesh!U26=0,0,SER_hh_tesh!U26/SER_summary!U$26)</f>
        <v>13.479655031848537</v>
      </c>
      <c r="V26" s="65">
        <f>IF(SER_hh_tesh!V26=0,0,SER_hh_tesh!V26/SER_summary!V$26)</f>
        <v>12.272677250904257</v>
      </c>
      <c r="W26" s="65">
        <f>IF(SER_hh_tesh!W26=0,0,SER_hh_tesh!W26/SER_summary!W$26)</f>
        <v>11.208625866515831</v>
      </c>
      <c r="X26" s="65">
        <f>IF(SER_hh_tesh!X26=0,0,SER_hh_tesh!X26/SER_summary!X$26)</f>
        <v>14.929732201322997</v>
      </c>
      <c r="Y26" s="65">
        <f>IF(SER_hh_tesh!Y26=0,0,SER_hh_tesh!Y26/SER_summary!Y$26)</f>
        <v>14.346954858883231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0.14175032969552759</v>
      </c>
      <c r="C27" s="145">
        <f>IF(SER_hh_tesh!C27=0,0,SER_hh_tesh!C27/SER_summary!C$26)</f>
        <v>0.14605814758041744</v>
      </c>
      <c r="D27" s="145">
        <f>IF(SER_hh_tesh!D27=0,0,SER_hh_tesh!D27/SER_summary!D$26)</f>
        <v>0.16822110476599678</v>
      </c>
      <c r="E27" s="145">
        <f>IF(SER_hh_tesh!E27=0,0,SER_hh_tesh!E27/SER_summary!E$26)</f>
        <v>0.18581528212395396</v>
      </c>
      <c r="F27" s="145">
        <f>IF(SER_hh_tesh!F27=0,0,SER_hh_tesh!F27/SER_summary!F$26)</f>
        <v>0.21296937705579944</v>
      </c>
      <c r="G27" s="145">
        <f>IF(SER_hh_tesh!G27=0,0,SER_hh_tesh!G27/SER_summary!G$26)</f>
        <v>0.23824749860610414</v>
      </c>
      <c r="H27" s="145">
        <f>IF(SER_hh_tesh!H27=0,0,SER_hh_tesh!H27/SER_summary!H$26)</f>
        <v>0.26541464555131716</v>
      </c>
      <c r="I27" s="145">
        <f>IF(SER_hh_tesh!I27=0,0,SER_hh_tesh!I27/SER_summary!I$26)</f>
        <v>0.29679395044268653</v>
      </c>
      <c r="J27" s="145">
        <f>IF(SER_hh_tesh!J27=0,0,SER_hh_tesh!J27/SER_summary!J$26)</f>
        <v>0.36321224864248697</v>
      </c>
      <c r="K27" s="145">
        <f>IF(SER_hh_tesh!K27=0,0,SER_hh_tesh!K27/SER_summary!K$26)</f>
        <v>0.41539084674726506</v>
      </c>
      <c r="L27" s="145">
        <f>IF(SER_hh_tesh!L27=0,0,SER_hh_tesh!L27/SER_summary!L$26)</f>
        <v>0.46317148863838642</v>
      </c>
      <c r="M27" s="145">
        <f>IF(SER_hh_tesh!M27=0,0,SER_hh_tesh!M27/SER_summary!M$26)</f>
        <v>0.53500416128339423</v>
      </c>
      <c r="N27" s="145">
        <f>IF(SER_hh_tesh!N27=0,0,SER_hh_tesh!N27/SER_summary!N$26)</f>
        <v>0.63965541681553628</v>
      </c>
      <c r="O27" s="145">
        <f>IF(SER_hh_tesh!O27=0,0,SER_hh_tesh!O27/SER_summary!O$26)</f>
        <v>0.73199974374233456</v>
      </c>
      <c r="P27" s="145">
        <f>IF(SER_hh_tesh!P27=0,0,SER_hh_tesh!P27/SER_summary!P$26)</f>
        <v>0.80755621670552147</v>
      </c>
      <c r="Q27" s="145">
        <f>IF(SER_hh_tesh!Q27=0,0,SER_hh_tesh!Q27/SER_summary!Q$26)</f>
        <v>0.86870715826194422</v>
      </c>
      <c r="R27" s="145">
        <f>IF(SER_hh_tesh!R27=0,0,SER_hh_tesh!R27/SER_summary!R$26)</f>
        <v>0.95984213413581909</v>
      </c>
      <c r="S27" s="145">
        <f>IF(SER_hh_tesh!S27=0,0,SER_hh_tesh!S27/SER_summary!S$26)</f>
        <v>1.0601943525088484</v>
      </c>
      <c r="T27" s="145">
        <f>IF(SER_hh_tesh!T27=0,0,SER_hh_tesh!T27/SER_summary!T$26)</f>
        <v>1.1366193946340573</v>
      </c>
      <c r="U27" s="145">
        <f>IF(SER_hh_tesh!U27=0,0,SER_hh_tesh!U27/SER_summary!U$26)</f>
        <v>1.2465315831512154</v>
      </c>
      <c r="V27" s="145">
        <f>IF(SER_hh_tesh!V27=0,0,SER_hh_tesh!V27/SER_summary!V$26)</f>
        <v>1.3049467522779592</v>
      </c>
      <c r="W27" s="145">
        <f>IF(SER_hh_tesh!W27=0,0,SER_hh_tesh!W27/SER_summary!W$26)</f>
        <v>1.3487374479720213</v>
      </c>
      <c r="X27" s="145">
        <f>IF(SER_hh_tesh!X27=0,0,SER_hh_tesh!X27/SER_summary!X$26)</f>
        <v>1.2565266433335214</v>
      </c>
      <c r="Y27" s="145">
        <f>IF(SER_hh_tesh!Y27=0,0,SER_hh_tesh!Y27/SER_summary!Y$26)</f>
        <v>1.2757612315135314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9.8433188203309427</v>
      </c>
      <c r="C28" s="146">
        <f>IF(SER_hh_tesh!C28=0,0,SER_hh_tesh!C28/SER_summary!C$26)</f>
        <v>10.192629194275577</v>
      </c>
      <c r="D28" s="146">
        <f>IF(SER_hh_tesh!D28=0,0,SER_hh_tesh!D28/SER_summary!D$26)</f>
        <v>10.169183005282518</v>
      </c>
      <c r="E28" s="146">
        <f>IF(SER_hh_tesh!E28=0,0,SER_hh_tesh!E28/SER_summary!E$26)</f>
        <v>10.82118615463127</v>
      </c>
      <c r="F28" s="146">
        <f>IF(SER_hh_tesh!F28=0,0,SER_hh_tesh!F28/SER_summary!F$26)</f>
        <v>10.663859932696077</v>
      </c>
      <c r="G28" s="146">
        <f>IF(SER_hh_tesh!G28=0,0,SER_hh_tesh!G28/SER_summary!G$26)</f>
        <v>10.831778281653948</v>
      </c>
      <c r="H28" s="146">
        <f>IF(SER_hh_tesh!H28=0,0,SER_hh_tesh!H28/SER_summary!H$26)</f>
        <v>10.62405433876433</v>
      </c>
      <c r="I28" s="146">
        <f>IF(SER_hh_tesh!I28=0,0,SER_hh_tesh!I28/SER_summary!I$26)</f>
        <v>10.691249138016753</v>
      </c>
      <c r="J28" s="146">
        <f>IF(SER_hh_tesh!J28=0,0,SER_hh_tesh!J28/SER_summary!J$26)</f>
        <v>10.90110003837523</v>
      </c>
      <c r="K28" s="146">
        <f>IF(SER_hh_tesh!K28=0,0,SER_hh_tesh!K28/SER_summary!K$26)</f>
        <v>11.295459611817698</v>
      </c>
      <c r="L28" s="146">
        <f>IF(SER_hh_tesh!L28=0,0,SER_hh_tesh!L28/SER_summary!L$26)</f>
        <v>11.436165667894658</v>
      </c>
      <c r="M28" s="146">
        <f>IF(SER_hh_tesh!M28=0,0,SER_hh_tesh!M28/SER_summary!M$26)</f>
        <v>11.287971341690266</v>
      </c>
      <c r="N28" s="146">
        <f>IF(SER_hh_tesh!N28=0,0,SER_hh_tesh!N28/SER_summary!N$26)</f>
        <v>11.690417075008718</v>
      </c>
      <c r="O28" s="146">
        <f>IF(SER_hh_tesh!O28=0,0,SER_hh_tesh!O28/SER_summary!O$26)</f>
        <v>12.136325957538078</v>
      </c>
      <c r="P28" s="146">
        <f>IF(SER_hh_tesh!P28=0,0,SER_hh_tesh!P28/SER_summary!P$26)</f>
        <v>11.815767070187976</v>
      </c>
      <c r="Q28" s="146">
        <f>IF(SER_hh_tesh!Q28=0,0,SER_hh_tesh!Q28/SER_summary!Q$26)</f>
        <v>11.318630919203526</v>
      </c>
      <c r="R28" s="146">
        <f>IF(SER_hh_tesh!R28=0,0,SER_hh_tesh!R28/SER_summary!R$26)</f>
        <v>11.547930186547962</v>
      </c>
      <c r="S28" s="146">
        <f>IF(SER_hh_tesh!S28=0,0,SER_hh_tesh!S28/SER_summary!S$26)</f>
        <v>11.738914624796262</v>
      </c>
      <c r="T28" s="146">
        <f>IF(SER_hh_tesh!T28=0,0,SER_hh_tesh!T28/SER_summary!T$26)</f>
        <v>11.663899742504514</v>
      </c>
      <c r="U28" s="146">
        <f>IF(SER_hh_tesh!U28=0,0,SER_hh_tesh!U28/SER_summary!U$26)</f>
        <v>11.980303072440579</v>
      </c>
      <c r="V28" s="146">
        <f>IF(SER_hh_tesh!V28=0,0,SER_hh_tesh!V28/SER_summary!V$26)</f>
        <v>11.289200184865607</v>
      </c>
      <c r="W28" s="146">
        <f>IF(SER_hh_tesh!W28=0,0,SER_hh_tesh!W28/SER_summary!W$26)</f>
        <v>11.292532542755204</v>
      </c>
      <c r="X28" s="146">
        <f>IF(SER_hh_tesh!X28=0,0,SER_hh_tesh!X28/SER_summary!X$26)</f>
        <v>10.869861718037809</v>
      </c>
      <c r="Y28" s="146">
        <f>IF(SER_hh_tesh!Y28=0,0,SER_hh_tesh!Y28/SER_summary!Y$26)</f>
        <v>10.640109883604174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16.604593395548132</v>
      </c>
      <c r="C29" s="130">
        <f>IF(SER_hh_tesh!C29=0,0,SER_hh_tesh!C29/SER_summary!C$26)</f>
        <v>17.193640564484014</v>
      </c>
      <c r="D29" s="130">
        <f>IF(SER_hh_tesh!D29=0,0,SER_hh_tesh!D29/SER_summary!D$26)</f>
        <v>17.342745936879499</v>
      </c>
      <c r="E29" s="130">
        <f>IF(SER_hh_tesh!E29=0,0,SER_hh_tesh!E29/SER_summary!E$26)</f>
        <v>16.897415687828797</v>
      </c>
      <c r="F29" s="130">
        <f>IF(SER_hh_tesh!F29=0,0,SER_hh_tesh!F29/SER_summary!F$26)</f>
        <v>17.280603520239662</v>
      </c>
      <c r="G29" s="130">
        <f>IF(SER_hh_tesh!G29=0,0,SER_hh_tesh!G29/SER_summary!G$26)</f>
        <v>17.473496683325525</v>
      </c>
      <c r="H29" s="130">
        <f>IF(SER_hh_tesh!H29=0,0,SER_hh_tesh!H29/SER_summary!H$26)</f>
        <v>17.707174170797032</v>
      </c>
      <c r="I29" s="130">
        <f>IF(SER_hh_tesh!I29=0,0,SER_hh_tesh!I29/SER_summary!I$26)</f>
        <v>17.962245241904554</v>
      </c>
      <c r="J29" s="130">
        <f>IF(SER_hh_tesh!J29=0,0,SER_hh_tesh!J29/SER_summary!J$26)</f>
        <v>18.610828599852915</v>
      </c>
      <c r="K29" s="130">
        <f>IF(SER_hh_tesh!K29=0,0,SER_hh_tesh!K29/SER_summary!K$26)</f>
        <v>19.398264102977429</v>
      </c>
      <c r="L29" s="130">
        <f>IF(SER_hh_tesh!L29=0,0,SER_hh_tesh!L29/SER_summary!L$26)</f>
        <v>19.693787098241405</v>
      </c>
      <c r="M29" s="130">
        <f>IF(SER_hh_tesh!M29=0,0,SER_hh_tesh!M29/SER_summary!M$26)</f>
        <v>19.706657177152092</v>
      </c>
      <c r="N29" s="130">
        <f>IF(SER_hh_tesh!N29=0,0,SER_hh_tesh!N29/SER_summary!N$26)</f>
        <v>20.435884642629389</v>
      </c>
      <c r="O29" s="130">
        <f>IF(SER_hh_tesh!O29=0,0,SER_hh_tesh!O29/SER_summary!O$26)</f>
        <v>20.895138906289223</v>
      </c>
      <c r="P29" s="130">
        <f>IF(SER_hh_tesh!P29=0,0,SER_hh_tesh!P29/SER_summary!P$26)</f>
        <v>21.268773488196345</v>
      </c>
      <c r="Q29" s="130">
        <f>IF(SER_hh_tesh!Q29=0,0,SER_hh_tesh!Q29/SER_summary!Q$26)</f>
        <v>21.24779571209222</v>
      </c>
      <c r="R29" s="130">
        <f>IF(SER_hh_tesh!R29=0,0,SER_hh_tesh!R29/SER_summary!R$26)</f>
        <v>21.900252367887067</v>
      </c>
      <c r="S29" s="130">
        <f>IF(SER_hh_tesh!S29=0,0,SER_hh_tesh!S29/SER_summary!S$26)</f>
        <v>22.336769257754423</v>
      </c>
      <c r="T29" s="130">
        <f>IF(SER_hh_tesh!T29=0,0,SER_hh_tesh!T29/SER_summary!T$26)</f>
        <v>22.815055065003833</v>
      </c>
      <c r="U29" s="130">
        <f>IF(SER_hh_tesh!U29=0,0,SER_hh_tesh!U29/SER_summary!U$26)</f>
        <v>23.204125610338771</v>
      </c>
      <c r="V29" s="130">
        <f>IF(SER_hh_tesh!V29=0,0,SER_hh_tesh!V29/SER_summary!V$26)</f>
        <v>19.970835861285934</v>
      </c>
      <c r="W29" s="130">
        <f>IF(SER_hh_tesh!W29=0,0,SER_hh_tesh!W29/SER_summary!W$26)</f>
        <v>23.292547448803848</v>
      </c>
      <c r="X29" s="130">
        <f>IF(SER_hh_tesh!X29=0,0,SER_hh_tesh!X29/SER_summary!X$26)</f>
        <v>23.272501394458136</v>
      </c>
      <c r="Y29" s="130">
        <f>IF(SER_hh_tesh!Y29=0,0,SER_hh_tesh!Y29/SER_summary!Y$26)</f>
        <v>23.181289026013975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10.593983234036495</v>
      </c>
      <c r="C30" s="132">
        <f>IF(SER_hh_tesh!C30=0,0,SER_hh_tesh!C30/SER_summary!C$26)</f>
        <v>20.887556901288381</v>
      </c>
      <c r="D30" s="132">
        <f>IF(SER_hh_tesh!D30=0,0,SER_hh_tesh!D30/SER_summary!D$26)</f>
        <v>16.454838049017088</v>
      </c>
      <c r="E30" s="132">
        <f>IF(SER_hh_tesh!E30=0,0,SER_hh_tesh!E30/SER_summary!E$26)</f>
        <v>17.089289800389654</v>
      </c>
      <c r="F30" s="132">
        <f>IF(SER_hh_tesh!F30=0,0,SER_hh_tesh!F30/SER_summary!F$26)</f>
        <v>18.393071418352385</v>
      </c>
      <c r="G30" s="132">
        <f>IF(SER_hh_tesh!G30=0,0,SER_hh_tesh!G30/SER_summary!G$26)</f>
        <v>16.804979951244405</v>
      </c>
      <c r="H30" s="132">
        <f>IF(SER_hh_tesh!H30=0,0,SER_hh_tesh!H30/SER_summary!H$26)</f>
        <v>18.373718034260101</v>
      </c>
      <c r="I30" s="132">
        <f>IF(SER_hh_tesh!I30=0,0,SER_hh_tesh!I30/SER_summary!I$26)</f>
        <v>17.201094563729402</v>
      </c>
      <c r="J30" s="132">
        <f>IF(SER_hh_tesh!J30=0,0,SER_hh_tesh!J30/SER_summary!J$26)</f>
        <v>17.705164438642147</v>
      </c>
      <c r="K30" s="132">
        <f>IF(SER_hh_tesh!K30=0,0,SER_hh_tesh!K30/SER_summary!K$26)</f>
        <v>20.861194689796516</v>
      </c>
      <c r="L30" s="132">
        <f>IF(SER_hh_tesh!L30=0,0,SER_hh_tesh!L30/SER_summary!L$26)</f>
        <v>22.67147877590434</v>
      </c>
      <c r="M30" s="132">
        <f>IF(SER_hh_tesh!M30=0,0,SER_hh_tesh!M30/SER_summary!M$26)</f>
        <v>19.98425485962348</v>
      </c>
      <c r="N30" s="132">
        <f>IF(SER_hh_tesh!N30=0,0,SER_hh_tesh!N30/SER_summary!N$26)</f>
        <v>20.109479680068098</v>
      </c>
      <c r="O30" s="132">
        <f>IF(SER_hh_tesh!O30=0,0,SER_hh_tesh!O30/SER_summary!O$26)</f>
        <v>20.73901116562444</v>
      </c>
      <c r="P30" s="132">
        <f>IF(SER_hh_tesh!P30=0,0,SER_hh_tesh!P30/SER_summary!P$26)</f>
        <v>20.853466770186206</v>
      </c>
      <c r="Q30" s="132">
        <f>IF(SER_hh_tesh!Q30=0,0,SER_hh_tesh!Q30/SER_summary!Q$26)</f>
        <v>20.707101376627996</v>
      </c>
      <c r="R30" s="132">
        <f>IF(SER_hh_tesh!R30=0,0,SER_hh_tesh!R30/SER_summary!R$26)</f>
        <v>23.25859402921926</v>
      </c>
      <c r="S30" s="132">
        <f>IF(SER_hh_tesh!S30=0,0,SER_hh_tesh!S30/SER_summary!S$26)</f>
        <v>22.020864584945222</v>
      </c>
      <c r="T30" s="132">
        <f>IF(SER_hh_tesh!T30=0,0,SER_hh_tesh!T30/SER_summary!T$26)</f>
        <v>21.820205811805334</v>
      </c>
      <c r="U30" s="132">
        <f>IF(SER_hh_tesh!U30=0,0,SER_hh_tesh!U30/SER_summary!U$26)</f>
        <v>23.883387261203858</v>
      </c>
      <c r="V30" s="132">
        <f>IF(SER_hh_tesh!V30=0,0,SER_hh_tesh!V30/SER_summary!V$26)</f>
        <v>20.344618190826818</v>
      </c>
      <c r="W30" s="132">
        <f>IF(SER_hh_tesh!W30=0,0,SER_hh_tesh!W30/SER_summary!W$26)</f>
        <v>26.53810922658084</v>
      </c>
      <c r="X30" s="132">
        <f>IF(SER_hh_tesh!X30=0,0,SER_hh_tesh!X30/SER_summary!X$26)</f>
        <v>21.742907785170448</v>
      </c>
      <c r="Y30" s="132">
        <f>IF(SER_hh_tesh!Y30=0,0,SER_hh_tesh!Y30/SER_summary!Y$26)</f>
        <v>21.257997045935241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16.541838976849668</v>
      </c>
      <c r="C31" s="132">
        <f>IF(SER_hh_tesh!C31=0,0,SER_hh_tesh!C31/SER_summary!C$26)</f>
        <v>17.171590946258824</v>
      </c>
      <c r="D31" s="132">
        <f>IF(SER_hh_tesh!D31=0,0,SER_hh_tesh!D31/SER_summary!D$26)</f>
        <v>17.262728697145842</v>
      </c>
      <c r="E31" s="132">
        <f>IF(SER_hh_tesh!E31=0,0,SER_hh_tesh!E31/SER_summary!E$26)</f>
        <v>17.133209484687629</v>
      </c>
      <c r="F31" s="132">
        <f>IF(SER_hh_tesh!F31=0,0,SER_hh_tesh!F31/SER_summary!F$26)</f>
        <v>17.043061593175928</v>
      </c>
      <c r="G31" s="132">
        <f>IF(SER_hh_tesh!G31=0,0,SER_hh_tesh!G31/SER_summary!G$26)</f>
        <v>17.568556948460461</v>
      </c>
      <c r="H31" s="132">
        <f>IF(SER_hh_tesh!H31=0,0,SER_hh_tesh!H31/SER_summary!H$26)</f>
        <v>17.531451171535963</v>
      </c>
      <c r="I31" s="132">
        <f>IF(SER_hh_tesh!I31=0,0,SER_hh_tesh!I31/SER_summary!I$26)</f>
        <v>18.06292070869711</v>
      </c>
      <c r="J31" s="132">
        <f>IF(SER_hh_tesh!J31=0,0,SER_hh_tesh!J31/SER_summary!J$26)</f>
        <v>18.825628376696041</v>
      </c>
      <c r="K31" s="132">
        <f>IF(SER_hh_tesh!K31=0,0,SER_hh_tesh!K31/SER_summary!K$26)</f>
        <v>19.330420167537447</v>
      </c>
      <c r="L31" s="132">
        <f>IF(SER_hh_tesh!L31=0,0,SER_hh_tesh!L31/SER_summary!L$26)</f>
        <v>19.35009705373643</v>
      </c>
      <c r="M31" s="132">
        <f>IF(SER_hh_tesh!M31=0,0,SER_hh_tesh!M31/SER_summary!M$26)</f>
        <v>19.856827985045971</v>
      </c>
      <c r="N31" s="132">
        <f>IF(SER_hh_tesh!N31=0,0,SER_hh_tesh!N31/SER_summary!N$26)</f>
        <v>20.707030892244038</v>
      </c>
      <c r="O31" s="132">
        <f>IF(SER_hh_tesh!O31=0,0,SER_hh_tesh!O31/SER_summary!O$26)</f>
        <v>20.617550013309323</v>
      </c>
      <c r="P31" s="132">
        <f>IF(SER_hh_tesh!P31=0,0,SER_hh_tesh!P31/SER_summary!P$26)</f>
        <v>20.740390692187599</v>
      </c>
      <c r="Q31" s="132">
        <f>IF(SER_hh_tesh!Q31=0,0,SER_hh_tesh!Q31/SER_summary!Q$26)</f>
        <v>21.535996664965431</v>
      </c>
      <c r="R31" s="132">
        <f>IF(SER_hh_tesh!R31=0,0,SER_hh_tesh!R31/SER_summary!R$26)</f>
        <v>21.77773707634892</v>
      </c>
      <c r="S31" s="132">
        <f>IF(SER_hh_tesh!S31=0,0,SER_hh_tesh!S31/SER_summary!S$26)</f>
        <v>22.765038546903277</v>
      </c>
      <c r="T31" s="132">
        <f>IF(SER_hh_tesh!T31=0,0,SER_hh_tesh!T31/SER_summary!T$26)</f>
        <v>23.080718972415049</v>
      </c>
      <c r="U31" s="132">
        <f>IF(SER_hh_tesh!U31=0,0,SER_hh_tesh!U31/SER_summary!U$26)</f>
        <v>22.658900915026436</v>
      </c>
      <c r="V31" s="132">
        <f>IF(SER_hh_tesh!V31=0,0,SER_hh_tesh!V31/SER_summary!V$26)</f>
        <v>18.961735490677974</v>
      </c>
      <c r="W31" s="132">
        <f>IF(SER_hh_tesh!W31=0,0,SER_hh_tesh!W31/SER_summary!W$26)</f>
        <v>19.786118365839506</v>
      </c>
      <c r="X31" s="132">
        <f>IF(SER_hh_tesh!X31=0,0,SER_hh_tesh!X31/SER_summary!X$26)</f>
        <v>28.782862442580299</v>
      </c>
      <c r="Y31" s="132">
        <f>IF(SER_hh_tesh!Y31=0,0,SER_hh_tesh!Y31/SER_summary!Y$26)</f>
        <v>22.109562835369289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28.275944802499509</v>
      </c>
      <c r="L32" s="132">
        <f>IF(SER_hh_tesh!L32=0,0,SER_hh_tesh!L32/SER_summary!L$26)</f>
        <v>22.472217320235984</v>
      </c>
      <c r="M32" s="132">
        <f>IF(SER_hh_tesh!M32=0,0,SER_hh_tesh!M32/SER_summary!M$26)</f>
        <v>18.94459946070668</v>
      </c>
      <c r="N32" s="132">
        <f>IF(SER_hh_tesh!N32=0,0,SER_hh_tesh!N32/SER_summary!N$26)</f>
        <v>20.200207390217038</v>
      </c>
      <c r="O32" s="132">
        <f>IF(SER_hh_tesh!O32=0,0,SER_hh_tesh!O32/SER_summary!O$26)</f>
        <v>20.593582123073677</v>
      </c>
      <c r="P32" s="132">
        <f>IF(SER_hh_tesh!P32=0,0,SER_hh_tesh!P32/SER_summary!P$26)</f>
        <v>19.508992618441852</v>
      </c>
      <c r="Q32" s="132">
        <f>IF(SER_hh_tesh!Q32=0,0,SER_hh_tesh!Q32/SER_summary!Q$26)</f>
        <v>19.46688407046523</v>
      </c>
      <c r="R32" s="132">
        <f>IF(SER_hh_tesh!R32=0,0,SER_hh_tesh!R32/SER_summary!R$26)</f>
        <v>18.963233616234699</v>
      </c>
      <c r="S32" s="132">
        <f>IF(SER_hh_tesh!S32=0,0,SER_hh_tesh!S32/SER_summary!S$26)</f>
        <v>19.903402371469728</v>
      </c>
      <c r="T32" s="132">
        <f>IF(SER_hh_tesh!T32=0,0,SER_hh_tesh!T32/SER_summary!T$26)</f>
        <v>24.149561970966015</v>
      </c>
      <c r="U32" s="132">
        <f>IF(SER_hh_tesh!U32=0,0,SER_hh_tesh!U32/SER_summary!U$26)</f>
        <v>25.295266522392957</v>
      </c>
      <c r="V32" s="132">
        <f>IF(SER_hh_tesh!V32=0,0,SER_hh_tesh!V32/SER_summary!V$26)</f>
        <v>20.855296435661749</v>
      </c>
      <c r="W32" s="132">
        <f>IF(SER_hh_tesh!W32=0,0,SER_hh_tesh!W32/SER_summary!W$26)</f>
        <v>20.978292988454715</v>
      </c>
      <c r="X32" s="132">
        <f>IF(SER_hh_tesh!X32=0,0,SER_hh_tesh!X32/SER_summary!X$26)</f>
        <v>17.118647880473802</v>
      </c>
      <c r="Y32" s="132">
        <f>IF(SER_hh_tesh!Y32=0,0,SER_hh_tesh!Y32/SER_summary!Y$26)</f>
        <v>26.71222618878614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16.872261297656323</v>
      </c>
      <c r="C33" s="68">
        <f>IF(SER_hh_tesh!C33=0,0,SER_hh_tesh!C33/SER_summary!C$26)</f>
        <v>16.975767330851923</v>
      </c>
      <c r="D33" s="68">
        <f>IF(SER_hh_tesh!D33=0,0,SER_hh_tesh!D33/SER_summary!D$26)</f>
        <v>17.412834937955875</v>
      </c>
      <c r="E33" s="68">
        <f>IF(SER_hh_tesh!E33=0,0,SER_hh_tesh!E33/SER_summary!E$26)</f>
        <v>16.855179656100574</v>
      </c>
      <c r="F33" s="68">
        <f>IF(SER_hh_tesh!F33=0,0,SER_hh_tesh!F33/SER_summary!F$26)</f>
        <v>17.217422225850036</v>
      </c>
      <c r="G33" s="68">
        <f>IF(SER_hh_tesh!G33=0,0,SER_hh_tesh!G33/SER_summary!G$26)</f>
        <v>17.517858432827296</v>
      </c>
      <c r="H33" s="68">
        <f>IF(SER_hh_tesh!H33=0,0,SER_hh_tesh!H33/SER_summary!H$26)</f>
        <v>17.671129418578285</v>
      </c>
      <c r="I33" s="68">
        <f>IF(SER_hh_tesh!I33=0,0,SER_hh_tesh!I33/SER_summary!I$26)</f>
        <v>18.013912106580957</v>
      </c>
      <c r="J33" s="68">
        <f>IF(SER_hh_tesh!J33=0,0,SER_hh_tesh!J33/SER_summary!J$26)</f>
        <v>18.667517734064475</v>
      </c>
      <c r="K33" s="68">
        <f>IF(SER_hh_tesh!K33=0,0,SER_hh_tesh!K33/SER_summary!K$26)</f>
        <v>19.222272225887703</v>
      </c>
      <c r="L33" s="68">
        <f>IF(SER_hh_tesh!L33=0,0,SER_hh_tesh!L33/SER_summary!L$26)</f>
        <v>19.431961552369838</v>
      </c>
      <c r="M33" s="68">
        <f>IF(SER_hh_tesh!M33=0,0,SER_hh_tesh!M33/SER_summary!M$26)</f>
        <v>19.66987218028741</v>
      </c>
      <c r="N33" s="68">
        <f>IF(SER_hh_tesh!N33=0,0,SER_hh_tesh!N33/SER_summary!N$26)</f>
        <v>20.437167738418889</v>
      </c>
      <c r="O33" s="68">
        <f>IF(SER_hh_tesh!O33=0,0,SER_hh_tesh!O33/SER_summary!O$26)</f>
        <v>20.943140807095407</v>
      </c>
      <c r="P33" s="68">
        <f>IF(SER_hh_tesh!P33=0,0,SER_hh_tesh!P33/SER_summary!P$26)</f>
        <v>21.376594495183046</v>
      </c>
      <c r="Q33" s="68">
        <f>IF(SER_hh_tesh!Q33=0,0,SER_hh_tesh!Q33/SER_summary!Q$26)</f>
        <v>21.270811499537569</v>
      </c>
      <c r="R33" s="68">
        <f>IF(SER_hh_tesh!R33=0,0,SER_hh_tesh!R33/SER_summary!R$26)</f>
        <v>21.821556943230991</v>
      </c>
      <c r="S33" s="68">
        <f>IF(SER_hh_tesh!S33=0,0,SER_hh_tesh!S33/SER_summary!S$26)</f>
        <v>22.326459445531555</v>
      </c>
      <c r="T33" s="68">
        <f>IF(SER_hh_tesh!T33=0,0,SER_hh_tesh!T33/SER_summary!T$26)</f>
        <v>22.850742372012338</v>
      </c>
      <c r="U33" s="68">
        <f>IF(SER_hh_tesh!U33=0,0,SER_hh_tesh!U33/SER_summary!U$26)</f>
        <v>23.199279304916367</v>
      </c>
      <c r="V33" s="68">
        <f>IF(SER_hh_tesh!V33=0,0,SER_hh_tesh!V33/SER_summary!V$26)</f>
        <v>20.070043644059389</v>
      </c>
      <c r="W33" s="68">
        <f>IF(SER_hh_tesh!W33=0,0,SER_hh_tesh!W33/SER_summary!W$26)</f>
        <v>23.603980486096937</v>
      </c>
      <c r="X33" s="68">
        <f>IF(SER_hh_tesh!X33=0,0,SER_hh_tesh!X33/SER_summary!X$26)</f>
        <v>22.470194284291175</v>
      </c>
      <c r="Y33" s="68">
        <f>IF(SER_hh_tesh!Y33=0,0,SER_hh_tesh!Y33/SER_summary!Y$26)</f>
        <v>23.446680277419045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22.150082301753621</v>
      </c>
      <c r="C3" s="125">
        <f>IF(SER_hh_emih!C3=0,0,SER_hh_emih!C3/SER_summary!C$26)</f>
        <v>25.028695603159427</v>
      </c>
      <c r="D3" s="125">
        <f>IF(SER_hh_emih!D3=0,0,SER_hh_emih!D3/SER_summary!D$26)</f>
        <v>25.404205357547021</v>
      </c>
      <c r="E3" s="125">
        <f>IF(SER_hh_emih!E3=0,0,SER_hh_emih!E3/SER_summary!E$26)</f>
        <v>24.83755893143838</v>
      </c>
      <c r="F3" s="125">
        <f>IF(SER_hh_emih!F3=0,0,SER_hh_emih!F3/SER_summary!F$26)</f>
        <v>23.886327384228103</v>
      </c>
      <c r="G3" s="125">
        <f>IF(SER_hh_emih!G3=0,0,SER_hh_emih!G3/SER_summary!G$26)</f>
        <v>22.21361638067242</v>
      </c>
      <c r="H3" s="125">
        <f>IF(SER_hh_emih!H3=0,0,SER_hh_emih!H3/SER_summary!H$26)</f>
        <v>19.473161405289847</v>
      </c>
      <c r="I3" s="125">
        <f>IF(SER_hh_emih!I3=0,0,SER_hh_emih!I3/SER_summary!I$26)</f>
        <v>16.423097741726277</v>
      </c>
      <c r="J3" s="125">
        <f>IF(SER_hh_emih!J3=0,0,SER_hh_emih!J3/SER_summary!J$26)</f>
        <v>16.40236144164291</v>
      </c>
      <c r="K3" s="125">
        <f>IF(SER_hh_emih!K3=0,0,SER_hh_emih!K3/SER_summary!K$26)</f>
        <v>16.194452766088251</v>
      </c>
      <c r="L3" s="125">
        <f>IF(SER_hh_emih!L3=0,0,SER_hh_emih!L3/SER_summary!L$26)</f>
        <v>17.227926026501557</v>
      </c>
      <c r="M3" s="125">
        <f>IF(SER_hh_emih!M3=0,0,SER_hh_emih!M3/SER_summary!M$26)</f>
        <v>15.540904505220933</v>
      </c>
      <c r="N3" s="125">
        <f>IF(SER_hh_emih!N3=0,0,SER_hh_emih!N3/SER_summary!N$26)</f>
        <v>13.917478570079492</v>
      </c>
      <c r="O3" s="125">
        <f>IF(SER_hh_emih!O3=0,0,SER_hh_emih!O3/SER_summary!O$26)</f>
        <v>13.144201748715666</v>
      </c>
      <c r="P3" s="125">
        <f>IF(SER_hh_emih!P3=0,0,SER_hh_emih!P3/SER_summary!P$26)</f>
        <v>11.682963813068195</v>
      </c>
      <c r="Q3" s="125">
        <f>IF(SER_hh_emih!Q3=0,0,SER_hh_emih!Q3/SER_summary!Q$26)</f>
        <v>14.079157288912281</v>
      </c>
      <c r="R3" s="125">
        <f>IF(SER_hh_emih!R3=0,0,SER_hh_emih!R3/SER_summary!R$26)</f>
        <v>14.529370881132142</v>
      </c>
      <c r="S3" s="125">
        <f>IF(SER_hh_emih!S3=0,0,SER_hh_emih!S3/SER_summary!S$26)</f>
        <v>14.812042828420116</v>
      </c>
      <c r="T3" s="125">
        <f>IF(SER_hh_emih!T3=0,0,SER_hh_emih!T3/SER_summary!T$26)</f>
        <v>14.666809228377565</v>
      </c>
      <c r="U3" s="125">
        <f>IF(SER_hh_emih!U3=0,0,SER_hh_emih!U3/SER_summary!U$26)</f>
        <v>14.157127110518482</v>
      </c>
      <c r="V3" s="125">
        <f>IF(SER_hh_emih!V3=0,0,SER_hh_emih!V3/SER_summary!V$26)</f>
        <v>13.060284936409355</v>
      </c>
      <c r="W3" s="125">
        <f>IF(SER_hh_emih!W3=0,0,SER_hh_emih!W3/SER_summary!W$26)</f>
        <v>14.803729912845565</v>
      </c>
      <c r="X3" s="125">
        <f>IF(SER_hh_emih!X3=0,0,SER_hh_emih!X3/SER_summary!X$26)</f>
        <v>12.62744971666433</v>
      </c>
      <c r="Y3" s="125">
        <f>IF(SER_hh_emih!Y3=0,0,SER_hh_emih!Y3/SER_summary!Y$26)</f>
        <v>11.020011743176084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18.746228719718836</v>
      </c>
      <c r="C4" s="130">
        <f>IF(SER_hh_emih!C4=0,0,SER_hh_emih!C4/SER_summary!C$26)</f>
        <v>21.264702214820367</v>
      </c>
      <c r="D4" s="130">
        <f>IF(SER_hh_emih!D4=0,0,SER_hh_emih!D4/SER_summary!D$26)</f>
        <v>21.608833156869746</v>
      </c>
      <c r="E4" s="130">
        <f>IF(SER_hh_emih!E4=0,0,SER_hh_emih!E4/SER_summary!E$26)</f>
        <v>21.034517129888034</v>
      </c>
      <c r="F4" s="130">
        <f>IF(SER_hh_emih!F4=0,0,SER_hh_emih!F4/SER_summary!F$26)</f>
        <v>19.995551247843572</v>
      </c>
      <c r="G4" s="130">
        <f>IF(SER_hh_emih!G4=0,0,SER_hh_emih!G4/SER_summary!G$26)</f>
        <v>18.304868436975237</v>
      </c>
      <c r="H4" s="130">
        <f>IF(SER_hh_emih!H4=0,0,SER_hh_emih!H4/SER_summary!H$26)</f>
        <v>15.628206609079786</v>
      </c>
      <c r="I4" s="130">
        <f>IF(SER_hh_emih!I4=0,0,SER_hh_emih!I4/SER_summary!I$26)</f>
        <v>12.670140458660148</v>
      </c>
      <c r="J4" s="130">
        <f>IF(SER_hh_emih!J4=0,0,SER_hh_emih!J4/SER_summary!J$26)</f>
        <v>12.5303519360534</v>
      </c>
      <c r="K4" s="130">
        <f>IF(SER_hh_emih!K4=0,0,SER_hh_emih!K4/SER_summary!K$26)</f>
        <v>12.168275400454501</v>
      </c>
      <c r="L4" s="130">
        <f>IF(SER_hh_emih!L4=0,0,SER_hh_emih!L4/SER_summary!L$26)</f>
        <v>13.108361860112803</v>
      </c>
      <c r="M4" s="130">
        <f>IF(SER_hh_emih!M4=0,0,SER_hh_emih!M4/SER_summary!M$26)</f>
        <v>11.555799084218851</v>
      </c>
      <c r="N4" s="130">
        <f>IF(SER_hh_emih!N4=0,0,SER_hh_emih!N4/SER_summary!N$26)</f>
        <v>9.8667127307517841</v>
      </c>
      <c r="O4" s="130">
        <f>IF(SER_hh_emih!O4=0,0,SER_hh_emih!O4/SER_summary!O$26)</f>
        <v>9.0734601201145768</v>
      </c>
      <c r="P4" s="130">
        <f>IF(SER_hh_emih!P4=0,0,SER_hh_emih!P4/SER_summary!P$26)</f>
        <v>7.6893360597557727</v>
      </c>
      <c r="Q4" s="130">
        <f>IF(SER_hh_emih!Q4=0,0,SER_hh_emih!Q4/SER_summary!Q$26)</f>
        <v>10.08733579682397</v>
      </c>
      <c r="R4" s="130">
        <f>IF(SER_hh_emih!R4=0,0,SER_hh_emih!R4/SER_summary!R$26)</f>
        <v>10.397132920892986</v>
      </c>
      <c r="S4" s="130">
        <f>IF(SER_hh_emih!S4=0,0,SER_hh_emih!S4/SER_summary!S$26)</f>
        <v>10.657111769304915</v>
      </c>
      <c r="T4" s="130">
        <f>IF(SER_hh_emih!T4=0,0,SER_hh_emih!T4/SER_summary!T$26)</f>
        <v>10.542964340630146</v>
      </c>
      <c r="U4" s="130">
        <f>IF(SER_hh_emih!U4=0,0,SER_hh_emih!U4/SER_summary!U$26)</f>
        <v>10.04655078878913</v>
      </c>
      <c r="V4" s="130">
        <f>IF(SER_hh_emih!V4=0,0,SER_hh_emih!V4/SER_summary!V$26)</f>
        <v>9.4601981516689904</v>
      </c>
      <c r="W4" s="130">
        <f>IF(SER_hh_emih!W4=0,0,SER_hh_emih!W4/SER_summary!W$26)</f>
        <v>10.829631720163203</v>
      </c>
      <c r="X4" s="130">
        <f>IF(SER_hh_emih!X4=0,0,SER_hh_emih!X4/SER_summary!X$26)</f>
        <v>8.7620241118498541</v>
      </c>
      <c r="Y4" s="130">
        <f>IF(SER_hh_emih!Y4=0,0,SER_hh_emih!Y4/SER_summary!Y$26)</f>
        <v>7.7041575455202924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50.15478866017105</v>
      </c>
      <c r="C5" s="132">
        <f>IF(SER_hh_emih!C5=0,0,SER_hh_emih!C5/SER_summary!C$26)</f>
        <v>38.794475817030758</v>
      </c>
      <c r="D5" s="132">
        <f>IF(SER_hh_emih!D5=0,0,SER_hh_emih!D5/SER_summary!D$26)</f>
        <v>53.231663636085344</v>
      </c>
      <c r="E5" s="132">
        <f>IF(SER_hh_emih!E5=0,0,SER_hh_emih!E5/SER_summary!E$26)</f>
        <v>71.945731737390588</v>
      </c>
      <c r="F5" s="132">
        <f>IF(SER_hh_emih!F5=0,0,SER_hh_emih!F5/SER_summary!F$26)</f>
        <v>44.969583340343014</v>
      </c>
      <c r="G5" s="132">
        <f>IF(SER_hh_emih!G5=0,0,SER_hh_emih!G5/SER_summary!G$26)</f>
        <v>10.540475551136613</v>
      </c>
      <c r="H5" s="132">
        <f>IF(SER_hh_emih!H5=0,0,SER_hh_emih!H5/SER_summary!H$26)</f>
        <v>63.468315803681271</v>
      </c>
      <c r="I5" s="132">
        <f>IF(SER_hh_emih!I5=0,0,SER_hh_emih!I5/SER_summary!I$26)</f>
        <v>34.71333455371132</v>
      </c>
      <c r="J5" s="132">
        <f>IF(SER_hh_emih!J5=0,0,SER_hh_emih!J5/SER_summary!J$26)</f>
        <v>51.536130214603396</v>
      </c>
      <c r="K5" s="132">
        <f>IF(SER_hh_emih!K5=0,0,SER_hh_emih!K5/SER_summary!K$26)</f>
        <v>48.360308615647114</v>
      </c>
      <c r="L5" s="132">
        <f>IF(SER_hh_emih!L5=0,0,SER_hh_emih!L5/SER_summary!L$26)</f>
        <v>28.629397431280797</v>
      </c>
      <c r="M5" s="132">
        <f>IF(SER_hh_emih!M5=0,0,SER_hh_emih!M5/SER_summary!M$26)</f>
        <v>59.063305928696671</v>
      </c>
      <c r="N5" s="132">
        <f>IF(SER_hh_emih!N5=0,0,SER_hh_emih!N5/SER_summary!N$26)</f>
        <v>58.479669926007446</v>
      </c>
      <c r="O5" s="132">
        <f>IF(SER_hh_emih!O5=0,0,SER_hh_emih!O5/SER_summary!O$26)</f>
        <v>10.134817562498259</v>
      </c>
      <c r="P5" s="132">
        <f>IF(SER_hh_emih!P5=0,0,SER_hh_emih!P5/SER_summary!P$26)</f>
        <v>9.8019880529510601</v>
      </c>
      <c r="Q5" s="132">
        <f>IF(SER_hh_emih!Q5=0,0,SER_hh_emih!Q5/SER_summary!Q$26)</f>
        <v>18.605548653401833</v>
      </c>
      <c r="R5" s="132">
        <f>IF(SER_hh_emih!R5=0,0,SER_hh_emih!R5/SER_summary!R$26)</f>
        <v>23.966353807417576</v>
      </c>
      <c r="S5" s="132">
        <f>IF(SER_hh_emih!S5=0,0,SER_hh_emih!S5/SER_summary!S$26)</f>
        <v>67.795338460960423</v>
      </c>
      <c r="T5" s="132">
        <f>IF(SER_hh_emih!T5=0,0,SER_hh_emih!T5/SER_summary!T$26)</f>
        <v>35.67996029404528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0</v>
      </c>
      <c r="C6" s="132">
        <f>IF(SER_hh_emih!C6=0,0,SER_hh_emih!C6/SER_summary!C$26)</f>
        <v>0</v>
      </c>
      <c r="D6" s="132">
        <f>IF(SER_hh_emih!D6=0,0,SER_hh_emih!D6/SER_summary!D$26)</f>
        <v>0</v>
      </c>
      <c r="E6" s="132">
        <f>IF(SER_hh_emih!E6=0,0,SER_hh_emih!E6/SER_summary!E$26)</f>
        <v>0</v>
      </c>
      <c r="F6" s="132">
        <f>IF(SER_hh_emih!F6=0,0,SER_hh_emih!F6/SER_summary!F$26)</f>
        <v>0</v>
      </c>
      <c r="G6" s="132">
        <f>IF(SER_hh_emih!G6=0,0,SER_hh_emih!G6/SER_summary!G$26)</f>
        <v>0</v>
      </c>
      <c r="H6" s="132">
        <f>IF(SER_hh_emih!H6=0,0,SER_hh_emih!H6/SER_summary!H$26)</f>
        <v>0</v>
      </c>
      <c r="I6" s="132">
        <f>IF(SER_hh_emih!I6=0,0,SER_hh_emih!I6/SER_summary!I$26)</f>
        <v>0</v>
      </c>
      <c r="J6" s="132">
        <f>IF(SER_hh_emih!J6=0,0,SER_hh_emih!J6/SER_summary!J$26)</f>
        <v>0</v>
      </c>
      <c r="K6" s="132">
        <f>IF(SER_hh_emih!K6=0,0,SER_hh_emih!K6/SER_summary!K$26)</f>
        <v>0</v>
      </c>
      <c r="L6" s="132">
        <f>IF(SER_hh_emih!L6=0,0,SER_hh_emih!L6/SER_summary!L$26)</f>
        <v>0</v>
      </c>
      <c r="M6" s="132">
        <f>IF(SER_hh_emih!M6=0,0,SER_hh_emih!M6/SER_summary!M$26)</f>
        <v>0</v>
      </c>
      <c r="N6" s="132">
        <f>IF(SER_hh_emih!N6=0,0,SER_hh_emih!N6/SER_summary!N$26)</f>
        <v>0</v>
      </c>
      <c r="O6" s="132">
        <f>IF(SER_hh_emih!O6=0,0,SER_hh_emih!O6/SER_summary!O$26)</f>
        <v>0</v>
      </c>
      <c r="P6" s="132">
        <f>IF(SER_hh_emih!P6=0,0,SER_hh_emih!P6/SER_summary!P$26)</f>
        <v>0</v>
      </c>
      <c r="Q6" s="132">
        <f>IF(SER_hh_emih!Q6=0,0,SER_hh_emih!Q6/SER_summary!Q$26)</f>
        <v>0</v>
      </c>
      <c r="R6" s="132">
        <f>IF(SER_hh_emih!R6=0,0,SER_hh_emih!R6/SER_summary!R$26)</f>
        <v>0</v>
      </c>
      <c r="S6" s="132">
        <f>IF(SER_hh_emih!S6=0,0,SER_hh_emih!S6/SER_summary!S$26)</f>
        <v>0</v>
      </c>
      <c r="T6" s="132">
        <f>IF(SER_hh_emih!T6=0,0,SER_hh_emih!T6/SER_summary!T$26)</f>
        <v>0</v>
      </c>
      <c r="U6" s="132">
        <f>IF(SER_hh_emih!U6=0,0,SER_hh_emih!U6/SER_summary!U$26)</f>
        <v>0</v>
      </c>
      <c r="V6" s="132">
        <f>IF(SER_hh_emih!V6=0,0,SER_hh_emih!V6/SER_summary!V$26)</f>
        <v>0</v>
      </c>
      <c r="W6" s="132">
        <f>IF(SER_hh_emih!W6=0,0,SER_hh_emih!W6/SER_summary!W$26)</f>
        <v>0</v>
      </c>
      <c r="X6" s="132">
        <f>IF(SER_hh_emih!X6=0,0,SER_hh_emih!X6/SER_summary!X$26)</f>
        <v>0</v>
      </c>
      <c r="Y6" s="132">
        <f>IF(SER_hh_emih!Y6=0,0,SER_hh_emih!Y6/SER_summary!Y$26)</f>
        <v>0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39.673450944692604</v>
      </c>
      <c r="C7" s="132">
        <f>IF(SER_hh_emih!C7=0,0,SER_hh_emih!C7/SER_summary!C$26)</f>
        <v>41.45432098495337</v>
      </c>
      <c r="D7" s="132">
        <f>IF(SER_hh_emih!D7=0,0,SER_hh_emih!D7/SER_summary!D$26)</f>
        <v>45.173603158766518</v>
      </c>
      <c r="E7" s="132">
        <f>IF(SER_hh_emih!E7=0,0,SER_hh_emih!E7/SER_summary!E$26)</f>
        <v>43.734675886522616</v>
      </c>
      <c r="F7" s="132">
        <f>IF(SER_hh_emih!F7=0,0,SER_hh_emih!F7/SER_summary!F$26)</f>
        <v>44.428532677061064</v>
      </c>
      <c r="G7" s="132">
        <f>IF(SER_hh_emih!G7=0,0,SER_hh_emih!G7/SER_summary!G$26)</f>
        <v>42.829497998822525</v>
      </c>
      <c r="H7" s="132">
        <f>IF(SER_hh_emih!H7=0,0,SER_hh_emih!H7/SER_summary!H$26)</f>
        <v>39.554207272762305</v>
      </c>
      <c r="I7" s="132">
        <f>IF(SER_hh_emih!I7=0,0,SER_hh_emih!I7/SER_summary!I$26)</f>
        <v>34.867404387121638</v>
      </c>
      <c r="J7" s="132">
        <f>IF(SER_hh_emih!J7=0,0,SER_hh_emih!J7/SER_summary!J$26)</f>
        <v>36.260007412512586</v>
      </c>
      <c r="K7" s="132">
        <f>IF(SER_hh_emih!K7=0,0,SER_hh_emih!K7/SER_summary!K$26)</f>
        <v>37.534383558128859</v>
      </c>
      <c r="L7" s="132">
        <f>IF(SER_hh_emih!L7=0,0,SER_hh_emih!L7/SER_summary!L$26)</f>
        <v>39.076069183453626</v>
      </c>
      <c r="M7" s="132">
        <f>IF(SER_hh_emih!M7=0,0,SER_hh_emih!M7/SER_summary!M$26)</f>
        <v>38.675776607546865</v>
      </c>
      <c r="N7" s="132">
        <f>IF(SER_hh_emih!N7=0,0,SER_hh_emih!N7/SER_summary!N$26)</f>
        <v>33.652690259874674</v>
      </c>
      <c r="O7" s="132">
        <f>IF(SER_hh_emih!O7=0,0,SER_hh_emih!O7/SER_summary!O$26)</f>
        <v>29.708787399514989</v>
      </c>
      <c r="P7" s="132">
        <f>IF(SER_hh_emih!P7=0,0,SER_hh_emih!P7/SER_summary!P$26)</f>
        <v>23.073993608631632</v>
      </c>
      <c r="Q7" s="132">
        <f>IF(SER_hh_emih!Q7=0,0,SER_hh_emih!Q7/SER_summary!Q$26)</f>
        <v>30.194472593328033</v>
      </c>
      <c r="R7" s="132">
        <f>IF(SER_hh_emih!R7=0,0,SER_hh_emih!R7/SER_summary!R$26)</f>
        <v>30.374135715012745</v>
      </c>
      <c r="S7" s="132">
        <f>IF(SER_hh_emih!S7=0,0,SER_hh_emih!S7/SER_summary!S$26)</f>
        <v>32.842389186308921</v>
      </c>
      <c r="T7" s="132">
        <f>IF(SER_hh_emih!T7=0,0,SER_hh_emih!T7/SER_summary!T$26)</f>
        <v>32.414648374483633</v>
      </c>
      <c r="U7" s="132">
        <f>IF(SER_hh_emih!U7=0,0,SER_hh_emih!U7/SER_summary!U$26)</f>
        <v>27.016129543941894</v>
      </c>
      <c r="V7" s="132">
        <f>IF(SER_hh_emih!V7=0,0,SER_hh_emih!V7/SER_summary!V$26)</f>
        <v>30.530238336032649</v>
      </c>
      <c r="W7" s="132">
        <f>IF(SER_hh_emih!W7=0,0,SER_hh_emih!W7/SER_summary!W$26)</f>
        <v>28.538187089603163</v>
      </c>
      <c r="X7" s="132">
        <f>IF(SER_hh_emih!X7=0,0,SER_hh_emih!X7/SER_summary!X$26)</f>
        <v>33.357174885309455</v>
      </c>
      <c r="Y7" s="132">
        <f>IF(SER_hh_emih!Y7=0,0,SER_hh_emih!Y7/SER_summary!Y$26)</f>
        <v>30.055588816859881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0</v>
      </c>
      <c r="C8" s="132">
        <f>IF(SER_hh_emih!C8=0,0,SER_hh_emih!C8/SER_summary!C$26)</f>
        <v>0</v>
      </c>
      <c r="D8" s="132">
        <f>IF(SER_hh_emih!D8=0,0,SER_hh_emih!D8/SER_summary!D$26)</f>
        <v>0</v>
      </c>
      <c r="E8" s="132">
        <f>IF(SER_hh_emih!E8=0,0,SER_hh_emih!E8/SER_summary!E$26)</f>
        <v>0</v>
      </c>
      <c r="F8" s="132">
        <f>IF(SER_hh_emih!F8=0,0,SER_hh_emih!F8/SER_summary!F$26)</f>
        <v>0</v>
      </c>
      <c r="G8" s="132">
        <f>IF(SER_hh_emih!G8=0,0,SER_hh_emih!G8/SER_summary!G$26)</f>
        <v>0</v>
      </c>
      <c r="H8" s="132">
        <f>IF(SER_hh_emih!H8=0,0,SER_hh_emih!H8/SER_summary!H$26)</f>
        <v>0</v>
      </c>
      <c r="I8" s="132">
        <f>IF(SER_hh_emih!I8=0,0,SER_hh_emih!I8/SER_summary!I$26)</f>
        <v>0</v>
      </c>
      <c r="J8" s="132">
        <f>IF(SER_hh_emih!J8=0,0,SER_hh_emih!J8/SER_summary!J$26)</f>
        <v>0</v>
      </c>
      <c r="K8" s="132">
        <f>IF(SER_hh_emih!K8=0,0,SER_hh_emih!K8/SER_summary!K$26)</f>
        <v>0</v>
      </c>
      <c r="L8" s="132">
        <f>IF(SER_hh_emih!L8=0,0,SER_hh_emih!L8/SER_summary!L$26)</f>
        <v>0</v>
      </c>
      <c r="M8" s="132">
        <f>IF(SER_hh_emih!M8=0,0,SER_hh_emih!M8/SER_summary!M$26)</f>
        <v>0</v>
      </c>
      <c r="N8" s="132">
        <f>IF(SER_hh_emih!N8=0,0,SER_hh_emih!N8/SER_summary!N$26)</f>
        <v>0</v>
      </c>
      <c r="O8" s="132">
        <f>IF(SER_hh_emih!O8=0,0,SER_hh_emih!O8/SER_summary!O$26)</f>
        <v>0</v>
      </c>
      <c r="P8" s="132">
        <f>IF(SER_hh_emih!P8=0,0,SER_hh_emih!P8/SER_summary!P$26)</f>
        <v>0</v>
      </c>
      <c r="Q8" s="132">
        <f>IF(SER_hh_emih!Q8=0,0,SER_hh_emih!Q8/SER_summary!Q$26)</f>
        <v>0</v>
      </c>
      <c r="R8" s="132">
        <f>IF(SER_hh_emih!R8=0,0,SER_hh_emih!R8/SER_summary!R$26)</f>
        <v>0</v>
      </c>
      <c r="S8" s="132">
        <f>IF(SER_hh_emih!S8=0,0,SER_hh_emih!S8/SER_summary!S$26)</f>
        <v>0</v>
      </c>
      <c r="T8" s="132">
        <f>IF(SER_hh_emih!T8=0,0,SER_hh_emih!T8/SER_summary!T$26)</f>
        <v>0</v>
      </c>
      <c r="U8" s="132">
        <f>IF(SER_hh_emih!U8=0,0,SER_hh_emih!U8/SER_summary!U$26)</f>
        <v>0</v>
      </c>
      <c r="V8" s="132">
        <f>IF(SER_hh_emih!V8=0,0,SER_hh_emih!V8/SER_summary!V$26)</f>
        <v>0</v>
      </c>
      <c r="W8" s="132">
        <f>IF(SER_hh_emih!W8=0,0,SER_hh_emih!W8/SER_summary!W$26)</f>
        <v>0</v>
      </c>
      <c r="X8" s="132">
        <f>IF(SER_hh_emih!X8=0,0,SER_hh_emih!X8/SER_summary!X$26)</f>
        <v>0</v>
      </c>
      <c r="Y8" s="132">
        <f>IF(SER_hh_emih!Y8=0,0,SER_hh_emih!Y8/SER_summary!Y$26)</f>
        <v>0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23.844902339455253</v>
      </c>
      <c r="C9" s="132">
        <f>IF(SER_hh_emih!C9=0,0,SER_hh_emih!C9/SER_summary!C$26)</f>
        <v>33.112451349330058</v>
      </c>
      <c r="D9" s="132">
        <f>IF(SER_hh_emih!D9=0,0,SER_hh_emih!D9/SER_summary!D$26)</f>
        <v>28.941014919295789</v>
      </c>
      <c r="E9" s="132">
        <f>IF(SER_hh_emih!E9=0,0,SER_hh_emih!E9/SER_summary!E$26)</f>
        <v>29.257183295488812</v>
      </c>
      <c r="F9" s="132">
        <f>IF(SER_hh_emih!F9=0,0,SER_hh_emih!F9/SER_summary!F$26)</f>
        <v>29.268260785003385</v>
      </c>
      <c r="G9" s="132">
        <f>IF(SER_hh_emih!G9=0,0,SER_hh_emih!G9/SER_summary!G$26)</f>
        <v>29.792185240429081</v>
      </c>
      <c r="H9" s="132">
        <f>IF(SER_hh_emih!H9=0,0,SER_hh_emih!H9/SER_summary!H$26)</f>
        <v>26.560301019511677</v>
      </c>
      <c r="I9" s="132">
        <f>IF(SER_hh_emih!I9=0,0,SER_hh_emih!I9/SER_summary!I$26)</f>
        <v>23.880905467239305</v>
      </c>
      <c r="J9" s="132">
        <f>IF(SER_hh_emih!J9=0,0,SER_hh_emih!J9/SER_summary!J$26)</f>
        <v>24.847793761732785</v>
      </c>
      <c r="K9" s="132">
        <f>IF(SER_hh_emih!K9=0,0,SER_hh_emih!K9/SER_summary!K$26)</f>
        <v>24.188299043872636</v>
      </c>
      <c r="L9" s="132">
        <f>IF(SER_hh_emih!L9=0,0,SER_hh_emih!L9/SER_summary!L$26)</f>
        <v>28.680930688599329</v>
      </c>
      <c r="M9" s="132">
        <f>IF(SER_hh_emih!M9=0,0,SER_hh_emih!M9/SER_summary!M$26)</f>
        <v>24.808246993639671</v>
      </c>
      <c r="N9" s="132">
        <f>IF(SER_hh_emih!N9=0,0,SER_hh_emih!N9/SER_summary!N$26)</f>
        <v>21.700975614690027</v>
      </c>
      <c r="O9" s="132">
        <f>IF(SER_hh_emih!O9=0,0,SER_hh_emih!O9/SER_summary!O$26)</f>
        <v>20.497810033519084</v>
      </c>
      <c r="P9" s="132">
        <f>IF(SER_hh_emih!P9=0,0,SER_hh_emih!P9/SER_summary!P$26)</f>
        <v>16.943365203515157</v>
      </c>
      <c r="Q9" s="132">
        <f>IF(SER_hh_emih!Q9=0,0,SER_hh_emih!Q9/SER_summary!Q$26)</f>
        <v>20.051792570932331</v>
      </c>
      <c r="R9" s="132">
        <f>IF(SER_hh_emih!R9=0,0,SER_hh_emih!R9/SER_summary!R$26)</f>
        <v>20.742013433140734</v>
      </c>
      <c r="S9" s="132">
        <f>IF(SER_hh_emih!S9=0,0,SER_hh_emih!S9/SER_summary!S$26)</f>
        <v>21.69486326908558</v>
      </c>
      <c r="T9" s="132">
        <f>IF(SER_hh_emih!T9=0,0,SER_hh_emih!T9/SER_summary!T$26)</f>
        <v>22.542223794574912</v>
      </c>
      <c r="U9" s="132">
        <f>IF(SER_hh_emih!U9=0,0,SER_hh_emih!U9/SER_summary!U$26)</f>
        <v>22.621319477194639</v>
      </c>
      <c r="V9" s="132">
        <f>IF(SER_hh_emih!V9=0,0,SER_hh_emih!V9/SER_summary!V$26)</f>
        <v>20.824135018298641</v>
      </c>
      <c r="W9" s="132">
        <f>IF(SER_hh_emih!W9=0,0,SER_hh_emih!W9/SER_summary!W$26)</f>
        <v>25.444828818723327</v>
      </c>
      <c r="X9" s="132">
        <f>IF(SER_hh_emih!X9=0,0,SER_hh_emih!X9/SER_summary!X$26)</f>
        <v>21.319394209285509</v>
      </c>
      <c r="Y9" s="132">
        <f>IF(SER_hh_emih!Y9=0,0,SER_hh_emih!Y9/SER_summary!Y$26)</f>
        <v>19.701984870278352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0</v>
      </c>
      <c r="X10" s="132">
        <f>IF(SER_hh_emih!X10=0,0,SER_hh_emih!X10/SER_summary!X$26)</f>
        <v>0</v>
      </c>
      <c r="Y10" s="132">
        <f>IF(SER_hh_emih!Y10=0,0,SER_hh_emih!Y10/SER_summary!Y$26)</f>
        <v>0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5.1793895486508656E-3</v>
      </c>
      <c r="C16" s="130">
        <f>IF(SER_hh_emih!C16=0,0,SER_hh_emih!C16/SER_summary!C$26)</f>
        <v>4.713258822115699E-3</v>
      </c>
      <c r="D16" s="130">
        <f>IF(SER_hh_emih!D16=0,0,SER_hh_emih!D16/SER_summary!D$26)</f>
        <v>4.9323048880174341E-3</v>
      </c>
      <c r="E16" s="130">
        <f>IF(SER_hh_emih!E16=0,0,SER_hh_emih!E16/SER_summary!E$26)</f>
        <v>1.0131677174451721E-2</v>
      </c>
      <c r="F16" s="130">
        <f>IF(SER_hh_emih!F16=0,0,SER_hh_emih!F16/SER_summary!F$26)</f>
        <v>5.3976513748357985E-3</v>
      </c>
      <c r="G16" s="130">
        <f>IF(SER_hh_emih!G16=0,0,SER_hh_emih!G16/SER_summary!G$26)</f>
        <v>5.5518824359893533E-3</v>
      </c>
      <c r="H16" s="130">
        <f>IF(SER_hh_emih!H16=0,0,SER_hh_emih!H16/SER_summary!H$26)</f>
        <v>6.3496238005326796E-3</v>
      </c>
      <c r="I16" s="130">
        <f>IF(SER_hh_emih!I16=0,0,SER_hh_emih!I16/SER_summary!I$26)</f>
        <v>7.9018139947276689E-3</v>
      </c>
      <c r="J16" s="130">
        <f>IF(SER_hh_emih!J16=0,0,SER_hh_emih!J16/SER_summary!J$26)</f>
        <v>6.9418950347758844E-3</v>
      </c>
      <c r="K16" s="130">
        <f>IF(SER_hh_emih!K16=0,0,SER_hh_emih!K16/SER_summary!K$26)</f>
        <v>5.6720051045730481E-3</v>
      </c>
      <c r="L16" s="130">
        <f>IF(SER_hh_emih!L16=0,0,SER_hh_emih!L16/SER_summary!L$26)</f>
        <v>6.2865785777915639E-3</v>
      </c>
      <c r="M16" s="130">
        <f>IF(SER_hh_emih!M16=0,0,SER_hh_emih!M16/SER_summary!M$26)</f>
        <v>7.224728187571158E-3</v>
      </c>
      <c r="N16" s="130">
        <f>IF(SER_hh_emih!N16=0,0,SER_hh_emih!N16/SER_summary!N$26)</f>
        <v>9.906795870720719E-3</v>
      </c>
      <c r="O16" s="130">
        <f>IF(SER_hh_emih!O16=0,0,SER_hh_emih!O16/SER_summary!O$26)</f>
        <v>8.6655851465683251E-3</v>
      </c>
      <c r="P16" s="130">
        <f>IF(SER_hh_emih!P16=0,0,SER_hh_emih!P16/SER_summary!P$26)</f>
        <v>7.0114261907143101E-3</v>
      </c>
      <c r="Q16" s="130">
        <f>IF(SER_hh_emih!Q16=0,0,SER_hh_emih!Q16/SER_summary!Q$26)</f>
        <v>1.685719842365473E-2</v>
      </c>
      <c r="R16" s="130">
        <f>IF(SER_hh_emih!R16=0,0,SER_hh_emih!R16/SER_summary!R$26)</f>
        <v>1.2952689226675668E-2</v>
      </c>
      <c r="S16" s="130">
        <f>IF(SER_hh_emih!S16=0,0,SER_hh_emih!S16/SER_summary!S$26)</f>
        <v>2.2457030355763807E-2</v>
      </c>
      <c r="T16" s="130">
        <f>IF(SER_hh_emih!T16=0,0,SER_hh_emih!T16/SER_summary!T$26)</f>
        <v>2.0713409994994325E-2</v>
      </c>
      <c r="U16" s="130">
        <f>IF(SER_hh_emih!U16=0,0,SER_hh_emih!U16/SER_summary!U$26)</f>
        <v>2.8111080204633484E-2</v>
      </c>
      <c r="V16" s="130">
        <f>IF(SER_hh_emih!V16=0,0,SER_hh_emih!V16/SER_summary!V$26)</f>
        <v>2.1410694426278722E-2</v>
      </c>
      <c r="W16" s="130">
        <f>IF(SER_hh_emih!W16=0,0,SER_hh_emih!W16/SER_summary!W$26)</f>
        <v>2.94511080271589E-2</v>
      </c>
      <c r="X16" s="130">
        <f>IF(SER_hh_emih!X16=0,0,SER_hh_emih!X16/SER_summary!X$26)</f>
        <v>4.1235882919164531E-2</v>
      </c>
      <c r="Y16" s="130">
        <f>IF(SER_hh_emih!Y16=0,0,SER_hh_emih!Y16/SER_summary!Y$26)</f>
        <v>4.2151799656573473E-2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4.8702317344829096</v>
      </c>
      <c r="C17" s="132">
        <f>IF(SER_hh_emih!C17=0,0,SER_hh_emih!C17/SER_summary!C$26)</f>
        <v>4.5393171881294121</v>
      </c>
      <c r="D17" s="132">
        <f>IF(SER_hh_emih!D17=0,0,SER_hh_emih!D17/SER_summary!D$26)</f>
        <v>4.2708495722638906</v>
      </c>
      <c r="E17" s="132">
        <f>IF(SER_hh_emih!E17=0,0,SER_hh_emih!E17/SER_summary!E$26)</f>
        <v>7.9565074974597669</v>
      </c>
      <c r="F17" s="132">
        <f>IF(SER_hh_emih!F17=0,0,SER_hh_emih!F17/SER_summary!F$26)</f>
        <v>4.0245364868380822</v>
      </c>
      <c r="G17" s="132">
        <f>IF(SER_hh_emih!G17=0,0,SER_hh_emih!G17/SER_summary!G$26)</f>
        <v>3.9900283314615894</v>
      </c>
      <c r="H17" s="132">
        <f>IF(SER_hh_emih!H17=0,0,SER_hh_emih!H17/SER_summary!H$26)</f>
        <v>4.4418023955507051</v>
      </c>
      <c r="I17" s="132">
        <f>IF(SER_hh_emih!I17=0,0,SER_hh_emih!I17/SER_summary!I$26)</f>
        <v>5.8984982412415539</v>
      </c>
      <c r="J17" s="132">
        <f>IF(SER_hh_emih!J17=0,0,SER_hh_emih!J17/SER_summary!J$26)</f>
        <v>5.3238742941289994</v>
      </c>
      <c r="K17" s="132">
        <f>IF(SER_hh_emih!K17=0,0,SER_hh_emih!K17/SER_summary!K$26)</f>
        <v>4.125830862591287</v>
      </c>
      <c r="L17" s="132">
        <f>IF(SER_hh_emih!L17=0,0,SER_hh_emih!L17/SER_summary!L$26)</f>
        <v>4.1627162834025295</v>
      </c>
      <c r="M17" s="132">
        <f>IF(SER_hh_emih!M17=0,0,SER_hh_emih!M17/SER_summary!M$26)</f>
        <v>4.4406821604894091</v>
      </c>
      <c r="N17" s="132">
        <f>IF(SER_hh_emih!N17=0,0,SER_hh_emih!N17/SER_summary!N$26)</f>
        <v>5.6086685704833608</v>
      </c>
      <c r="O17" s="132">
        <f>IF(SER_hh_emih!O17=0,0,SER_hh_emih!O17/SER_summary!O$26)</f>
        <v>4.3012781118700856</v>
      </c>
      <c r="P17" s="132">
        <f>IF(SER_hh_emih!P17=0,0,SER_hh_emih!P17/SER_summary!P$26)</f>
        <v>2.8281310028495708</v>
      </c>
      <c r="Q17" s="132">
        <f>IF(SER_hh_emih!Q17=0,0,SER_hh_emih!Q17/SER_summary!Q$26)</f>
        <v>5.7657984102059752</v>
      </c>
      <c r="R17" s="132">
        <f>IF(SER_hh_emih!R17=0,0,SER_hh_emih!R17/SER_summary!R$26)</f>
        <v>3.8238168089326474</v>
      </c>
      <c r="S17" s="132">
        <f>IF(SER_hh_emih!S17=0,0,SER_hh_emih!S17/SER_summary!S$26)</f>
        <v>5.4666574628685938</v>
      </c>
      <c r="T17" s="132">
        <f>IF(SER_hh_emih!T17=0,0,SER_hh_emih!T17/SER_summary!T$26)</f>
        <v>4.0651331772275254</v>
      </c>
      <c r="U17" s="132">
        <f>IF(SER_hh_emih!U17=0,0,SER_hh_emih!U17/SER_summary!U$26)</f>
        <v>4.877614175482484</v>
      </c>
      <c r="V17" s="132">
        <f>IF(SER_hh_emih!V17=0,0,SER_hh_emih!V17/SER_summary!V$26)</f>
        <v>3.06123030099072</v>
      </c>
      <c r="W17" s="132">
        <f>IF(SER_hh_emih!W17=0,0,SER_hh_emih!W17/SER_summary!W$26)</f>
        <v>4.0605131322546377</v>
      </c>
      <c r="X17" s="132">
        <f>IF(SER_hh_emih!X17=0,0,SER_hh_emih!X17/SER_summary!X$26)</f>
        <v>5.1876720107986678</v>
      </c>
      <c r="Y17" s="132">
        <f>IF(SER_hh_emih!Y17=0,0,SER_hh_emih!Y17/SER_summary!Y$26)</f>
        <v>5.1357718362489919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2.6325274123646256</v>
      </c>
      <c r="C19" s="130">
        <f>IF(SER_hh_emih!C19=0,0,SER_hh_emih!C19/SER_summary!C$26)</f>
        <v>2.7275438850218734</v>
      </c>
      <c r="D19" s="130">
        <f>IF(SER_hh_emih!D19=0,0,SER_hh_emih!D19/SER_summary!D$26)</f>
        <v>2.8150928550599463</v>
      </c>
      <c r="E19" s="130">
        <f>IF(SER_hh_emih!E19=0,0,SER_hh_emih!E19/SER_summary!E$26)</f>
        <v>2.7904858486366493</v>
      </c>
      <c r="F19" s="130">
        <f>IF(SER_hh_emih!F19=0,0,SER_hh_emih!F19/SER_summary!F$26)</f>
        <v>2.8355087298238217</v>
      </c>
      <c r="G19" s="130">
        <f>IF(SER_hh_emih!G19=0,0,SER_hh_emih!G19/SER_summary!G$26)</f>
        <v>2.8811683690656955</v>
      </c>
      <c r="H19" s="130">
        <f>IF(SER_hh_emih!H19=0,0,SER_hh_emih!H19/SER_summary!H$26)</f>
        <v>2.7917093313366457</v>
      </c>
      <c r="I19" s="130">
        <f>IF(SER_hh_emih!I19=0,0,SER_hh_emih!I19/SER_summary!I$26)</f>
        <v>2.7328469758080223</v>
      </c>
      <c r="J19" s="130">
        <f>IF(SER_hh_emih!J19=0,0,SER_hh_emih!J19/SER_summary!J$26)</f>
        <v>2.7898863856086451</v>
      </c>
      <c r="K19" s="130">
        <f>IF(SER_hh_emih!K19=0,0,SER_hh_emih!K19/SER_summary!K$26)</f>
        <v>2.8142506899071318</v>
      </c>
      <c r="L19" s="130">
        <f>IF(SER_hh_emih!L19=0,0,SER_hh_emih!L19/SER_summary!L$26)</f>
        <v>2.8373980911271897</v>
      </c>
      <c r="M19" s="130">
        <f>IF(SER_hh_emih!M19=0,0,SER_hh_emih!M19/SER_summary!M$26)</f>
        <v>2.7698330743598407</v>
      </c>
      <c r="N19" s="130">
        <f>IF(SER_hh_emih!N19=0,0,SER_hh_emih!N19/SER_summary!N$26)</f>
        <v>2.788927903688935</v>
      </c>
      <c r="O19" s="130">
        <f>IF(SER_hh_emih!O19=0,0,SER_hh_emih!O19/SER_summary!O$26)</f>
        <v>2.8065041333988097</v>
      </c>
      <c r="P19" s="130">
        <f>IF(SER_hh_emih!P19=0,0,SER_hh_emih!P19/SER_summary!P$26)</f>
        <v>2.7491723064769142</v>
      </c>
      <c r="Q19" s="130">
        <f>IF(SER_hh_emih!Q19=0,0,SER_hh_emih!Q19/SER_summary!Q$26)</f>
        <v>2.7285270287127648</v>
      </c>
      <c r="R19" s="130">
        <f>IF(SER_hh_emih!R19=0,0,SER_hh_emih!R19/SER_summary!R$26)</f>
        <v>2.7713105253175669</v>
      </c>
      <c r="S19" s="130">
        <f>IF(SER_hh_emih!S19=0,0,SER_hh_emih!S19/SER_summary!S$26)</f>
        <v>2.7863061557631461</v>
      </c>
      <c r="T19" s="130">
        <f>IF(SER_hh_emih!T19=0,0,SER_hh_emih!T19/SER_summary!T$26)</f>
        <v>2.7614056002869467</v>
      </c>
      <c r="U19" s="130">
        <f>IF(SER_hh_emih!U19=0,0,SER_hh_emih!U19/SER_summary!U$26)</f>
        <v>2.7145999505740606</v>
      </c>
      <c r="V19" s="130">
        <f>IF(SER_hh_emih!V19=0,0,SER_hh_emih!V19/SER_summary!V$26)</f>
        <v>2.4027992813621628</v>
      </c>
      <c r="W19" s="130">
        <f>IF(SER_hh_emih!W19=0,0,SER_hh_emih!W19/SER_summary!W$26)</f>
        <v>2.5760383453359834</v>
      </c>
      <c r="X19" s="130">
        <f>IF(SER_hh_emih!X19=0,0,SER_hh_emih!X19/SER_summary!X$26)</f>
        <v>2.1525992087912371</v>
      </c>
      <c r="Y19" s="130">
        <f>IF(SER_hh_emih!Y19=0,0,SER_hh_emih!Y19/SER_summary!Y$26)</f>
        <v>1.8769990677455508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5.6530409212025301</v>
      </c>
      <c r="C21" s="132">
        <f>IF(SER_hh_emih!C21=0,0,SER_hh_emih!C21/SER_summary!C$26)</f>
        <v>6.3070325106003144</v>
      </c>
      <c r="D21" s="132">
        <f>IF(SER_hh_emih!D21=0,0,SER_hh_emih!D21/SER_summary!D$26)</f>
        <v>6.3843202832271153</v>
      </c>
      <c r="E21" s="132">
        <f>IF(SER_hh_emih!E21=0,0,SER_hh_emih!E21/SER_summary!E$26)</f>
        <v>6.2629325088439307</v>
      </c>
      <c r="F21" s="132">
        <f>IF(SER_hh_emih!F21=0,0,SER_hh_emih!F21/SER_summary!F$26)</f>
        <v>6.4156770263539133</v>
      </c>
      <c r="G21" s="132">
        <f>IF(SER_hh_emih!G21=0,0,SER_hh_emih!G21/SER_summary!G$26)</f>
        <v>6.2991502352782671</v>
      </c>
      <c r="H21" s="132">
        <f>IF(SER_hh_emih!H21=0,0,SER_hh_emih!H21/SER_summary!H$26)</f>
        <v>6.2560137972668706</v>
      </c>
      <c r="I21" s="132">
        <f>IF(SER_hh_emih!I21=0,0,SER_hh_emih!I21/SER_summary!I$26)</f>
        <v>6.1097088552971055</v>
      </c>
      <c r="J21" s="132">
        <f>IF(SER_hh_emih!J21=0,0,SER_hh_emih!J21/SER_summary!J$26)</f>
        <v>6.2189671463345251</v>
      </c>
      <c r="K21" s="132">
        <f>IF(SER_hh_emih!K21=0,0,SER_hh_emih!K21/SER_summary!K$26)</f>
        <v>6.4320963015904784</v>
      </c>
      <c r="L21" s="132">
        <f>IF(SER_hh_emih!L21=0,0,SER_hh_emih!L21/SER_summary!L$26)</f>
        <v>6.3759298824729491</v>
      </c>
      <c r="M21" s="132">
        <f>IF(SER_hh_emih!M21=0,0,SER_hh_emih!M21/SER_summary!M$26)</f>
        <v>6.3501706997358633</v>
      </c>
      <c r="N21" s="132">
        <f>IF(SER_hh_emih!N21=0,0,SER_hh_emih!N21/SER_summary!N$26)</f>
        <v>6.3869604465317407</v>
      </c>
      <c r="O21" s="132">
        <f>IF(SER_hh_emih!O21=0,0,SER_hh_emih!O21/SER_summary!O$26)</f>
        <v>6.4262659591848541</v>
      </c>
      <c r="P21" s="132">
        <f>IF(SER_hh_emih!P21=0,0,SER_hh_emih!P21/SER_summary!P$26)</f>
        <v>6.3725252996907109</v>
      </c>
      <c r="Q21" s="132">
        <f>IF(SER_hh_emih!Q21=0,0,SER_hh_emih!Q21/SER_summary!Q$26)</f>
        <v>6.3638934324842351</v>
      </c>
      <c r="R21" s="132">
        <f>IF(SER_hh_emih!R21=0,0,SER_hh_emih!R21/SER_summary!R$26)</f>
        <v>6.3111040793254762</v>
      </c>
      <c r="S21" s="132">
        <f>IF(SER_hh_emih!S21=0,0,SER_hh_emih!S21/SER_summary!S$26)</f>
        <v>6.1226760383215719</v>
      </c>
      <c r="T21" s="132">
        <f>IF(SER_hh_emih!T21=0,0,SER_hh_emih!T21/SER_summary!T$26)</f>
        <v>6.1413486105836146</v>
      </c>
      <c r="U21" s="132">
        <f>IF(SER_hh_emih!U21=0,0,SER_hh_emih!U21/SER_summary!U$26)</f>
        <v>5.992726166838513</v>
      </c>
      <c r="V21" s="132">
        <f>IF(SER_hh_emih!V21=0,0,SER_hh_emih!V21/SER_summary!V$26)</f>
        <v>5.2054568738119453</v>
      </c>
      <c r="W21" s="132">
        <f>IF(SER_hh_emih!W21=0,0,SER_hh_emih!W21/SER_summary!W$26)</f>
        <v>5.8013237221694265</v>
      </c>
      <c r="X21" s="132">
        <f>IF(SER_hh_emih!X21=0,0,SER_hh_emih!X21/SER_summary!X$26)</f>
        <v>5.8318215444650345</v>
      </c>
      <c r="Y21" s="132">
        <f>IF(SER_hh_emih!Y21=0,0,SER_hh_emih!Y21/SER_summary!Y$26)</f>
        <v>5.0198754726578763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7.5420119294577619</v>
      </c>
      <c r="C22" s="132">
        <f>IF(SER_hh_emih!C22=0,0,SER_hh_emih!C22/SER_summary!C$26)</f>
        <v>7.7476869640881363</v>
      </c>
      <c r="D22" s="132">
        <f>IF(SER_hh_emih!D22=0,0,SER_hh_emih!D22/SER_summary!D$26)</f>
        <v>7.8241474553906762</v>
      </c>
      <c r="E22" s="132">
        <f>IF(SER_hh_emih!E22=0,0,SER_hh_emih!E22/SER_summary!E$26)</f>
        <v>7.8647484486542911</v>
      </c>
      <c r="F22" s="132">
        <f>IF(SER_hh_emih!F22=0,0,SER_hh_emih!F22/SER_summary!F$26)</f>
        <v>7.8600786501672246</v>
      </c>
      <c r="G22" s="132">
        <f>IF(SER_hh_emih!G22=0,0,SER_hh_emih!G22/SER_summary!G$26)</f>
        <v>7.9687801246271706</v>
      </c>
      <c r="H22" s="132">
        <f>IF(SER_hh_emih!H22=0,0,SER_hh_emih!H22/SER_summary!H$26)</f>
        <v>7.7997163882062122</v>
      </c>
      <c r="I22" s="132">
        <f>IF(SER_hh_emih!I22=0,0,SER_hh_emih!I22/SER_summary!I$26)</f>
        <v>7.8961356530245688</v>
      </c>
      <c r="J22" s="132">
        <f>IF(SER_hh_emih!J22=0,0,SER_hh_emih!J22/SER_summary!J$26)</f>
        <v>7.8949672907509347</v>
      </c>
      <c r="K22" s="132">
        <f>IF(SER_hh_emih!K22=0,0,SER_hh_emih!K22/SER_summary!K$26)</f>
        <v>8.0156095723778957</v>
      </c>
      <c r="L22" s="132">
        <f>IF(SER_hh_emih!L22=0,0,SER_hh_emih!L22/SER_summary!L$26)</f>
        <v>8.1303653964675622</v>
      </c>
      <c r="M22" s="132">
        <f>IF(SER_hh_emih!M22=0,0,SER_hh_emih!M22/SER_summary!M$26)</f>
        <v>7.9506818916324766</v>
      </c>
      <c r="N22" s="132">
        <f>IF(SER_hh_emih!N22=0,0,SER_hh_emih!N22/SER_summary!N$26)</f>
        <v>8.0318349273131862</v>
      </c>
      <c r="O22" s="132">
        <f>IF(SER_hh_emih!O22=0,0,SER_hh_emih!O22/SER_summary!O$26)</f>
        <v>8.1348511632223062</v>
      </c>
      <c r="P22" s="132">
        <f>IF(SER_hh_emih!P22=0,0,SER_hh_emih!P22/SER_summary!P$26)</f>
        <v>8.0274340938262441</v>
      </c>
      <c r="Q22" s="132">
        <f>IF(SER_hh_emih!Q22=0,0,SER_hh_emih!Q22/SER_summary!Q$26)</f>
        <v>7.9111974733537407</v>
      </c>
      <c r="R22" s="132">
        <f>IF(SER_hh_emih!R22=0,0,SER_hh_emih!R22/SER_summary!R$26)</f>
        <v>7.8346530552477081</v>
      </c>
      <c r="S22" s="132">
        <f>IF(SER_hh_emih!S22=0,0,SER_hh_emih!S22/SER_summary!S$26)</f>
        <v>7.6518424943041534</v>
      </c>
      <c r="T22" s="132">
        <f>IF(SER_hh_emih!T22=0,0,SER_hh_emih!T22/SER_summary!T$26)</f>
        <v>7.4006692463822175</v>
      </c>
      <c r="U22" s="132">
        <f>IF(SER_hh_emih!U22=0,0,SER_hh_emih!U22/SER_summary!U$26)</f>
        <v>7.3413416109673566</v>
      </c>
      <c r="V22" s="132">
        <f>IF(SER_hh_emih!V22=0,0,SER_hh_emih!V22/SER_summary!V$26)</f>
        <v>6.4634427290771432</v>
      </c>
      <c r="W22" s="132">
        <f>IF(SER_hh_emih!W22=0,0,SER_hh_emih!W22/SER_summary!W$26)</f>
        <v>7.0289916090986058</v>
      </c>
      <c r="X22" s="132">
        <f>IF(SER_hh_emih!X22=0,0,SER_hh_emih!X22/SER_summary!X$26)</f>
        <v>6.3955056947110061</v>
      </c>
      <c r="Y22" s="132">
        <f>IF(SER_hh_emih!Y22=0,0,SER_hh_emih!Y22/SER_summary!Y$26)</f>
        <v>5.9865848149886398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5.5499138686155813</v>
      </c>
      <c r="C23" s="132">
        <f>IF(SER_hh_emih!C23=0,0,SER_hh_emih!C23/SER_summary!C$26)</f>
        <v>5.6666050401648764</v>
      </c>
      <c r="D23" s="132">
        <f>IF(SER_hh_emih!D23=0,0,SER_hh_emih!D23/SER_summary!D$26)</f>
        <v>5.7358376238761588</v>
      </c>
      <c r="E23" s="132">
        <f>IF(SER_hh_emih!E23=0,0,SER_hh_emih!E23/SER_summary!E$26)</f>
        <v>5.6496731737519905</v>
      </c>
      <c r="F23" s="132">
        <f>IF(SER_hh_emih!F23=0,0,SER_hh_emih!F23/SER_summary!F$26)</f>
        <v>5.7066639975664657</v>
      </c>
      <c r="G23" s="132">
        <f>IF(SER_hh_emih!G23=0,0,SER_hh_emih!G23/SER_summary!G$26)</f>
        <v>5.7292194540989803</v>
      </c>
      <c r="H23" s="132">
        <f>IF(SER_hh_emih!H23=0,0,SER_hh_emih!H23/SER_summary!H$26)</f>
        <v>5.5507784213149201</v>
      </c>
      <c r="I23" s="132">
        <f>IF(SER_hh_emih!I23=0,0,SER_hh_emih!I23/SER_summary!I$26)</f>
        <v>5.4146605495008577</v>
      </c>
      <c r="J23" s="132">
        <f>IF(SER_hh_emih!J23=0,0,SER_hh_emih!J23/SER_summary!J$26)</f>
        <v>5.4898598050467573</v>
      </c>
      <c r="K23" s="132">
        <f>IF(SER_hh_emih!K23=0,0,SER_hh_emih!K23/SER_summary!K$26)</f>
        <v>5.4090738635583664</v>
      </c>
      <c r="L23" s="132">
        <f>IF(SER_hh_emih!L23=0,0,SER_hh_emih!L23/SER_summary!L$26)</f>
        <v>5.4038979634832813</v>
      </c>
      <c r="M23" s="132">
        <f>IF(SER_hh_emih!M23=0,0,SER_hh_emih!M23/SER_summary!M$26)</f>
        <v>5.3678153292987458</v>
      </c>
      <c r="N23" s="132">
        <f>IF(SER_hh_emih!N23=0,0,SER_hh_emih!N23/SER_summary!N$26)</f>
        <v>5.3428385425212079</v>
      </c>
      <c r="O23" s="132">
        <f>IF(SER_hh_emih!O23=0,0,SER_hh_emih!O23/SER_summary!O$26)</f>
        <v>5.2984464592848406</v>
      </c>
      <c r="P23" s="132">
        <f>IF(SER_hh_emih!P23=0,0,SER_hh_emih!P23/SER_summary!P$26)</f>
        <v>5.2010066254550109</v>
      </c>
      <c r="Q23" s="132">
        <f>IF(SER_hh_emih!Q23=0,0,SER_hh_emih!Q23/SER_summary!Q$26)</f>
        <v>5.1284468609594303</v>
      </c>
      <c r="R23" s="132">
        <f>IF(SER_hh_emih!R23=0,0,SER_hh_emih!R23/SER_summary!R$26)</f>
        <v>5.0182096451397129</v>
      </c>
      <c r="S23" s="132">
        <f>IF(SER_hh_emih!S23=0,0,SER_hh_emih!S23/SER_summary!S$26)</f>
        <v>4.9900830478250144</v>
      </c>
      <c r="T23" s="132">
        <f>IF(SER_hh_emih!T23=0,0,SER_hh_emih!T23/SER_summary!T$26)</f>
        <v>4.8970582354201619</v>
      </c>
      <c r="U23" s="132">
        <f>IF(SER_hh_emih!U23=0,0,SER_hh_emih!U23/SER_summary!U$26)</f>
        <v>4.7688699725572699</v>
      </c>
      <c r="V23" s="132">
        <f>IF(SER_hh_emih!V23=0,0,SER_hh_emih!V23/SER_summary!V$26)</f>
        <v>4.3552046180690258</v>
      </c>
      <c r="W23" s="132">
        <f>IF(SER_hh_emih!W23=0,0,SER_hh_emih!W23/SER_summary!W$26)</f>
        <v>4.8613124903918639</v>
      </c>
      <c r="X23" s="132">
        <f>IF(SER_hh_emih!X23=0,0,SER_hh_emih!X23/SER_summary!X$26)</f>
        <v>4.4247133121710736</v>
      </c>
      <c r="Y23" s="132">
        <f>IF(SER_hh_emih!Y23=0,0,SER_hh_emih!Y23/SER_summary!Y$26)</f>
        <v>4.3508542093344706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0.77032681462923847</v>
      </c>
      <c r="C29" s="130">
        <f>IF(SER_hh_emih!C29=0,0,SER_hh_emih!C29/SER_summary!C$26)</f>
        <v>1.0354794975457577</v>
      </c>
      <c r="D29" s="130">
        <f>IF(SER_hh_emih!D29=0,0,SER_hh_emih!D29/SER_summary!D$26)</f>
        <v>0.97917192217002669</v>
      </c>
      <c r="E29" s="130">
        <f>IF(SER_hh_emih!E29=0,0,SER_hh_emih!E29/SER_summary!E$26)</f>
        <v>1.0100925295432754</v>
      </c>
      <c r="F29" s="130">
        <f>IF(SER_hh_emih!F29=0,0,SER_hh_emih!F29/SER_summary!F$26)</f>
        <v>1.0538256959921515</v>
      </c>
      <c r="G29" s="130">
        <f>IF(SER_hh_emih!G29=0,0,SER_hh_emih!G29/SER_summary!G$26)</f>
        <v>1.0259497502361075</v>
      </c>
      <c r="H29" s="130">
        <f>IF(SER_hh_emih!H29=0,0,SER_hh_emih!H29/SER_summary!H$26)</f>
        <v>1.0511946994988319</v>
      </c>
      <c r="I29" s="130">
        <f>IF(SER_hh_emih!I29=0,0,SER_hh_emih!I29/SER_summary!I$26)</f>
        <v>1.0172426764133795</v>
      </c>
      <c r="J29" s="130">
        <f>IF(SER_hh_emih!J29=0,0,SER_hh_emih!J29/SER_summary!J$26)</f>
        <v>1.0793522553798953</v>
      </c>
      <c r="K29" s="130">
        <f>IF(SER_hh_emih!K29=0,0,SER_hh_emih!K29/SER_summary!K$26)</f>
        <v>1.2095148604277997</v>
      </c>
      <c r="L29" s="130">
        <f>IF(SER_hh_emih!L29=0,0,SER_hh_emih!L29/SER_summary!L$26)</f>
        <v>1.2793524195554229</v>
      </c>
      <c r="M29" s="130">
        <f>IF(SER_hh_emih!M29=0,0,SER_hh_emih!M29/SER_summary!M$26)</f>
        <v>1.211910326067962</v>
      </c>
      <c r="N29" s="130">
        <f>IF(SER_hh_emih!N29=0,0,SER_hh_emih!N29/SER_summary!N$26)</f>
        <v>1.257063191524503</v>
      </c>
      <c r="O29" s="130">
        <f>IF(SER_hh_emih!O29=0,0,SER_hh_emih!O29/SER_summary!O$26)</f>
        <v>1.2599808660909391</v>
      </c>
      <c r="P29" s="130">
        <f>IF(SER_hh_emih!P29=0,0,SER_hh_emih!P29/SER_summary!P$26)</f>
        <v>1.2410510176376961</v>
      </c>
      <c r="Q29" s="130">
        <f>IF(SER_hh_emih!Q29=0,0,SER_hh_emih!Q29/SER_summary!Q$26)</f>
        <v>1.2551324965777977</v>
      </c>
      <c r="R29" s="130">
        <f>IF(SER_hh_emih!R29=0,0,SER_hh_emih!R29/SER_summary!R$26)</f>
        <v>1.35465101387124</v>
      </c>
      <c r="S29" s="130">
        <f>IF(SER_hh_emih!S29=0,0,SER_hh_emih!S29/SER_summary!S$26)</f>
        <v>1.3577949997235743</v>
      </c>
      <c r="T29" s="130">
        <f>IF(SER_hh_emih!T29=0,0,SER_hh_emih!T29/SER_summary!T$26)</f>
        <v>1.3524762334135769</v>
      </c>
      <c r="U29" s="130">
        <f>IF(SER_hh_emih!U29=0,0,SER_hh_emih!U29/SER_summary!U$26)</f>
        <v>1.3825623045713997</v>
      </c>
      <c r="V29" s="130">
        <f>IF(SER_hh_emih!V29=0,0,SER_hh_emih!V29/SER_summary!V$26)</f>
        <v>1.1870887488883994</v>
      </c>
      <c r="W29" s="130">
        <f>IF(SER_hh_emih!W29=0,0,SER_hh_emih!W29/SER_summary!W$26)</f>
        <v>1.3840028485827527</v>
      </c>
      <c r="X29" s="130">
        <f>IF(SER_hh_emih!X29=0,0,SER_hh_emih!X29/SER_summary!X$26)</f>
        <v>1.6934792616299907</v>
      </c>
      <c r="Y29" s="130">
        <f>IF(SER_hh_emih!Y29=0,0,SER_hh_emih!Y29/SER_summary!Y$26)</f>
        <v>1.4190541258506826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4.2036753151765822</v>
      </c>
      <c r="C30" s="132">
        <f>IF(SER_hh_emih!C30=0,0,SER_hh_emih!C30/SER_summary!C$26)</f>
        <v>8.2544310528488793</v>
      </c>
      <c r="D30" s="132">
        <f>IF(SER_hh_emih!D30=0,0,SER_hh_emih!D30/SER_summary!D$26)</f>
        <v>6.4897863478793019</v>
      </c>
      <c r="E30" s="132">
        <f>IF(SER_hh_emih!E30=0,0,SER_hh_emih!E30/SER_summary!E$26)</f>
        <v>6.7281005209651106</v>
      </c>
      <c r="F30" s="132">
        <f>IF(SER_hh_emih!F30=0,0,SER_hh_emih!F30/SER_summary!F$26)</f>
        <v>7.2320376674057663</v>
      </c>
      <c r="G30" s="132">
        <f>IF(SER_hh_emih!G30=0,0,SER_hh_emih!G30/SER_summary!G$26)</f>
        <v>6.600832927604821</v>
      </c>
      <c r="H30" s="132">
        <f>IF(SER_hh_emih!H30=0,0,SER_hh_emih!H30/SER_summary!H$26)</f>
        <v>7.2090300869148436</v>
      </c>
      <c r="I30" s="132">
        <f>IF(SER_hh_emih!I30=0,0,SER_hh_emih!I30/SER_summary!I$26)</f>
        <v>6.7416457477155856</v>
      </c>
      <c r="J30" s="132">
        <f>IF(SER_hh_emih!J30=0,0,SER_hh_emih!J30/SER_summary!J$26)</f>
        <v>6.9297056685864735</v>
      </c>
      <c r="K30" s="132">
        <f>IF(SER_hh_emih!K30=0,0,SER_hh_emih!K30/SER_summary!K$26)</f>
        <v>8.1543356118141901</v>
      </c>
      <c r="L30" s="132">
        <f>IF(SER_hh_emih!L30=0,0,SER_hh_emih!L30/SER_summary!L$26)</f>
        <v>8.8534000877002743</v>
      </c>
      <c r="M30" s="132">
        <f>IF(SER_hh_emih!M30=0,0,SER_hh_emih!M30/SER_summary!M$26)</f>
        <v>7.7991262067703255</v>
      </c>
      <c r="N30" s="132">
        <f>IF(SER_hh_emih!N30=0,0,SER_hh_emih!N30/SER_summary!N$26)</f>
        <v>7.8418203013350185</v>
      </c>
      <c r="O30" s="132">
        <f>IF(SER_hh_emih!O30=0,0,SER_hh_emih!O30/SER_summary!O$26)</f>
        <v>8.0795177496766257</v>
      </c>
      <c r="P30" s="132">
        <f>IF(SER_hh_emih!P30=0,0,SER_hh_emih!P30/SER_summary!P$26)</f>
        <v>8.1166775807932563</v>
      </c>
      <c r="Q30" s="132">
        <f>IF(SER_hh_emih!Q30=0,0,SER_hh_emih!Q30/SER_summary!Q$26)</f>
        <v>8.0503517548653303</v>
      </c>
      <c r="R30" s="132">
        <f>IF(SER_hh_emih!R30=0,0,SER_hh_emih!R30/SER_summary!R$26)</f>
        <v>9.0249265281325037</v>
      </c>
      <c r="S30" s="132">
        <f>IF(SER_hh_emih!S30=0,0,SER_hh_emih!S30/SER_summary!S$26)</f>
        <v>8.5245222422001667</v>
      </c>
      <c r="T30" s="132">
        <f>IF(SER_hh_emih!T30=0,0,SER_hh_emih!T30/SER_summary!T$26)</f>
        <v>8.4154296900877323</v>
      </c>
      <c r="U30" s="132">
        <f>IF(SER_hh_emih!U30=0,0,SER_hh_emih!U30/SER_summary!U$26)</f>
        <v>9.1590353919405754</v>
      </c>
      <c r="V30" s="132">
        <f>IF(SER_hh_emih!V30=0,0,SER_hh_emih!V30/SER_summary!V$26)</f>
        <v>7.7620788619789129</v>
      </c>
      <c r="W30" s="132">
        <f>IF(SER_hh_emih!W30=0,0,SER_hh_emih!W30/SER_summary!W$26)</f>
        <v>10.08816608186887</v>
      </c>
      <c r="X30" s="132">
        <f>IF(SER_hh_emih!X30=0,0,SER_hh_emih!X30/SER_summary!X$26)</f>
        <v>8.2474755836316902</v>
      </c>
      <c r="Y30" s="132">
        <f>IF(SER_hh_emih!Y30=0,0,SER_hh_emih!Y30/SER_summary!Y$26)</f>
        <v>8.0498080981280236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5.7541116783547892</v>
      </c>
      <c r="C31" s="132">
        <f>IF(SER_hh_emih!C31=0,0,SER_hh_emih!C31/SER_summary!C$26)</f>
        <v>5.9679590483611378</v>
      </c>
      <c r="D31" s="132">
        <f>IF(SER_hh_emih!D31=0,0,SER_hh_emih!D31/SER_summary!D$26)</f>
        <v>5.9881347180343028</v>
      </c>
      <c r="E31" s="132">
        <f>IF(SER_hh_emih!E31=0,0,SER_hh_emih!E31/SER_summary!E$26)</f>
        <v>5.9143989975736533</v>
      </c>
      <c r="F31" s="132">
        <f>IF(SER_hh_emih!F31=0,0,SER_hh_emih!F31/SER_summary!F$26)</f>
        <v>5.8834573718949068</v>
      </c>
      <c r="G31" s="132">
        <f>IF(SER_hh_emih!G31=0,0,SER_hh_emih!G31/SER_summary!G$26)</f>
        <v>6.0541965896569438</v>
      </c>
      <c r="H31" s="132">
        <f>IF(SER_hh_emih!H31=0,0,SER_hh_emih!H31/SER_summary!H$26)</f>
        <v>6.0269177552128221</v>
      </c>
      <c r="I31" s="132">
        <f>IF(SER_hh_emih!I31=0,0,SER_hh_emih!I31/SER_summary!I$26)</f>
        <v>6.2020587059368903</v>
      </c>
      <c r="J31" s="132">
        <f>IF(SER_hh_emih!J31=0,0,SER_hh_emih!J31/SER_summary!J$26)</f>
        <v>6.422505057811982</v>
      </c>
      <c r="K31" s="132">
        <f>IF(SER_hh_emih!K31=0,0,SER_hh_emih!K31/SER_summary!K$26)</f>
        <v>6.5761195938990467</v>
      </c>
      <c r="L31" s="132">
        <f>IF(SER_hh_emih!L31=0,0,SER_hh_emih!L31/SER_summary!L$26)</f>
        <v>6.5922759433938038</v>
      </c>
      <c r="M31" s="132">
        <f>IF(SER_hh_emih!M31=0,0,SER_hh_emih!M31/SER_summary!M$26)</f>
        <v>6.7632660851347826</v>
      </c>
      <c r="N31" s="132">
        <f>IF(SER_hh_emih!N31=0,0,SER_hh_emih!N31/SER_summary!N$26)</f>
        <v>7.0476469093369642</v>
      </c>
      <c r="O31" s="132">
        <f>IF(SER_hh_emih!O31=0,0,SER_hh_emih!O31/SER_summary!O$26)</f>
        <v>7.0185884130277127</v>
      </c>
      <c r="P31" s="132">
        <f>IF(SER_hh_emih!P31=0,0,SER_hh_emih!P31/SER_summary!P$26)</f>
        <v>7.0514115458592146</v>
      </c>
      <c r="Q31" s="132">
        <f>IF(SER_hh_emih!Q31=0,0,SER_hh_emih!Q31/SER_summary!Q$26)</f>
        <v>7.3161790903494248</v>
      </c>
      <c r="R31" s="132">
        <f>IF(SER_hh_emih!R31=0,0,SER_hh_emih!R31/SER_summary!R$26)</f>
        <v>7.3844631918629995</v>
      </c>
      <c r="S31" s="132">
        <f>IF(SER_hh_emih!S31=0,0,SER_hh_emih!S31/SER_summary!S$26)</f>
        <v>7.691441111381625</v>
      </c>
      <c r="T31" s="132">
        <f>IF(SER_hh_emih!T31=0,0,SER_hh_emih!T31/SER_summary!T$26)</f>
        <v>7.7671472584123311</v>
      </c>
      <c r="U31" s="132">
        <f>IF(SER_hh_emih!U31=0,0,SER_hh_emih!U31/SER_summary!U$26)</f>
        <v>7.5834117023680623</v>
      </c>
      <c r="V31" s="132">
        <f>IF(SER_hh_emih!V31=0,0,SER_hh_emih!V31/SER_summary!V$26)</f>
        <v>6.2923296374418607</v>
      </c>
      <c r="W31" s="132">
        <f>IF(SER_hh_emih!W31=0,0,SER_hh_emih!W31/SER_summary!W$26)</f>
        <v>6.5085529768641877</v>
      </c>
      <c r="X31" s="132">
        <f>IF(SER_hh_emih!X31=0,0,SER_hh_emih!X31/SER_summary!X$26)</f>
        <v>9.3814161711970829</v>
      </c>
      <c r="Y31" s="132">
        <f>IF(SER_hh_emih!Y31=0,0,SER_hh_emih!Y31/SER_summary!Y$26)</f>
        <v>7.1623300817954147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1337.8264947964008</v>
      </c>
      <c r="D3" s="124">
        <f t="shared" si="0"/>
        <v>1452.4458958303217</v>
      </c>
      <c r="E3" s="124">
        <f t="shared" si="0"/>
        <v>1986.0602194382861</v>
      </c>
      <c r="F3" s="124">
        <f t="shared" si="0"/>
        <v>1488.8085417479883</v>
      </c>
      <c r="G3" s="124">
        <f t="shared" si="0"/>
        <v>1487.0483926629695</v>
      </c>
      <c r="H3" s="124">
        <f t="shared" si="0"/>
        <v>2115.089676778035</v>
      </c>
      <c r="I3" s="124">
        <f t="shared" si="0"/>
        <v>2218.9451982418218</v>
      </c>
      <c r="J3" s="124">
        <f t="shared" si="0"/>
        <v>1058.0383596082784</v>
      </c>
      <c r="K3" s="124">
        <f t="shared" si="0"/>
        <v>776.513483945301</v>
      </c>
      <c r="L3" s="124">
        <f t="shared" si="0"/>
        <v>392.70263348415506</v>
      </c>
      <c r="M3" s="124">
        <f t="shared" si="0"/>
        <v>702.38881857395859</v>
      </c>
      <c r="N3" s="124">
        <f t="shared" si="0"/>
        <v>175.28347633652703</v>
      </c>
      <c r="O3" s="124">
        <f t="shared" si="0"/>
        <v>176.67645039564508</v>
      </c>
      <c r="P3" s="124">
        <f t="shared" si="0"/>
        <v>1461.4106133184459</v>
      </c>
      <c r="Q3" s="124">
        <f t="shared" si="0"/>
        <v>1649.964093076723</v>
      </c>
      <c r="R3" s="124">
        <f t="shared" si="0"/>
        <v>672.76712240084146</v>
      </c>
      <c r="S3" s="124">
        <f t="shared" si="0"/>
        <v>626.44459646534631</v>
      </c>
      <c r="T3" s="124">
        <f t="shared" si="0"/>
        <v>743.22898985092843</v>
      </c>
      <c r="U3" s="124">
        <f t="shared" si="0"/>
        <v>755.77482765026127</v>
      </c>
      <c r="V3" s="124">
        <f t="shared" si="0"/>
        <v>766.32506004415416</v>
      </c>
      <c r="W3" s="124">
        <f t="shared" si="0"/>
        <v>752.54067665983598</v>
      </c>
      <c r="X3" s="124">
        <f t="shared" si="0"/>
        <v>729.86457606112128</v>
      </c>
      <c r="Y3" s="124">
        <f t="shared" si="0"/>
        <v>689.8690991935166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1337.8264947964008</v>
      </c>
      <c r="D4" s="139">
        <f t="shared" si="1"/>
        <v>1452.4458958303217</v>
      </c>
      <c r="E4" s="139">
        <f t="shared" si="1"/>
        <v>1986.0602194382861</v>
      </c>
      <c r="F4" s="139">
        <f t="shared" si="1"/>
        <v>1488.8085417479883</v>
      </c>
      <c r="G4" s="139">
        <f t="shared" si="1"/>
        <v>1487.0483926629695</v>
      </c>
      <c r="H4" s="139">
        <f t="shared" si="1"/>
        <v>2115.089676778035</v>
      </c>
      <c r="I4" s="139">
        <f t="shared" si="1"/>
        <v>2218.9451982418218</v>
      </c>
      <c r="J4" s="139">
        <f t="shared" si="1"/>
        <v>1058.0383596082784</v>
      </c>
      <c r="K4" s="139">
        <f t="shared" si="1"/>
        <v>776.513483945301</v>
      </c>
      <c r="L4" s="139">
        <f t="shared" si="1"/>
        <v>392.70263348415506</v>
      </c>
      <c r="M4" s="139">
        <f t="shared" si="1"/>
        <v>702.38881857395859</v>
      </c>
      <c r="N4" s="139">
        <f t="shared" si="1"/>
        <v>175.28347633652703</v>
      </c>
      <c r="O4" s="139">
        <f t="shared" si="1"/>
        <v>176.67645039564508</v>
      </c>
      <c r="P4" s="139">
        <f t="shared" si="1"/>
        <v>1461.4106133184459</v>
      </c>
      <c r="Q4" s="139">
        <f t="shared" si="1"/>
        <v>1649.964093076723</v>
      </c>
      <c r="R4" s="139">
        <f t="shared" ref="R4:W4" si="2">SUM(R5:R14)</f>
        <v>672.76712240084146</v>
      </c>
      <c r="S4" s="139">
        <f t="shared" si="2"/>
        <v>626.44459646534631</v>
      </c>
      <c r="T4" s="139">
        <f t="shared" si="2"/>
        <v>743.22898985092843</v>
      </c>
      <c r="U4" s="139">
        <f t="shared" si="2"/>
        <v>755.77482765026127</v>
      </c>
      <c r="V4" s="139">
        <f t="shared" si="2"/>
        <v>766.32506004415416</v>
      </c>
      <c r="W4" s="139">
        <f t="shared" si="2"/>
        <v>752.54067665983598</v>
      </c>
      <c r="X4" s="139">
        <f t="shared" ref="X4:Y4" si="3">SUM(X5:X14)</f>
        <v>729.86457606112128</v>
      </c>
      <c r="Y4" s="139">
        <f t="shared" si="3"/>
        <v>689.8690991935166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7.2049244415299727</v>
      </c>
      <c r="D5" s="140">
        <v>7.0465295041275144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5.3694308656419194</v>
      </c>
      <c r="K5" s="140">
        <v>2.9025660907616802</v>
      </c>
      <c r="L5" s="140">
        <v>3.9867186632474363</v>
      </c>
      <c r="M5" s="140">
        <v>5.8560958059293755</v>
      </c>
      <c r="N5" s="140">
        <v>1.3577001421027635</v>
      </c>
      <c r="O5" s="140">
        <v>0</v>
      </c>
      <c r="P5" s="140">
        <v>0</v>
      </c>
      <c r="Q5" s="140">
        <v>0</v>
      </c>
      <c r="R5" s="140">
        <v>0</v>
      </c>
      <c r="S5" s="140">
        <v>0.16095145161915439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466.75748549456495</v>
      </c>
      <c r="D7" s="140">
        <v>469.24945028809907</v>
      </c>
      <c r="E7" s="140">
        <v>569.75494374388848</v>
      </c>
      <c r="F7" s="140">
        <v>160.2885117121603</v>
      </c>
      <c r="G7" s="140">
        <v>12.352733482045108</v>
      </c>
      <c r="H7" s="140">
        <v>0</v>
      </c>
      <c r="I7" s="140">
        <v>0</v>
      </c>
      <c r="J7" s="140">
        <v>0</v>
      </c>
      <c r="K7" s="140">
        <v>28.845688867314387</v>
      </c>
      <c r="L7" s="140">
        <v>35.924327707371106</v>
      </c>
      <c r="M7" s="140">
        <v>89.28007400416908</v>
      </c>
      <c r="N7" s="140">
        <v>24.74588292513311</v>
      </c>
      <c r="O7" s="140">
        <v>26.140858749341863</v>
      </c>
      <c r="P7" s="140">
        <v>71.519521395769985</v>
      </c>
      <c r="Q7" s="140">
        <v>205.60850218688665</v>
      </c>
      <c r="R7" s="140">
        <v>61.833625560065308</v>
      </c>
      <c r="S7" s="140">
        <v>27.071954329850943</v>
      </c>
      <c r="T7" s="140">
        <v>0</v>
      </c>
      <c r="U7" s="140">
        <v>0</v>
      </c>
      <c r="V7" s="140">
        <v>0</v>
      </c>
      <c r="W7" s="140">
        <v>0</v>
      </c>
      <c r="X7" s="140">
        <v>12.8603320296998</v>
      </c>
      <c r="Y7" s="140">
        <v>40.786691124447842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338.4252524860355</v>
      </c>
      <c r="D9" s="140">
        <v>238.92516394947873</v>
      </c>
      <c r="E9" s="140">
        <v>407.28191043557388</v>
      </c>
      <c r="F9" s="140">
        <v>363.79057184461436</v>
      </c>
      <c r="G9" s="140">
        <v>448.57774683325192</v>
      </c>
      <c r="H9" s="140">
        <v>545.38159333745614</v>
      </c>
      <c r="I9" s="140">
        <v>539.40768690280163</v>
      </c>
      <c r="J9" s="140">
        <v>332.21682097143508</v>
      </c>
      <c r="K9" s="140">
        <v>269.17821743865528</v>
      </c>
      <c r="L9" s="140">
        <v>134.10385759879199</v>
      </c>
      <c r="M9" s="140">
        <v>121.22455994430524</v>
      </c>
      <c r="N9" s="140">
        <v>57.023066135759883</v>
      </c>
      <c r="O9" s="140">
        <v>87.368693701558982</v>
      </c>
      <c r="P9" s="140">
        <v>957.99687831105598</v>
      </c>
      <c r="Q9" s="140">
        <v>1150.918501731539</v>
      </c>
      <c r="R9" s="140">
        <v>263.04958921828887</v>
      </c>
      <c r="S9" s="140">
        <v>169.36997555074768</v>
      </c>
      <c r="T9" s="140">
        <v>228.21175962517188</v>
      </c>
      <c r="U9" s="140">
        <v>283.3073248956731</v>
      </c>
      <c r="V9" s="140">
        <v>282.93662662042499</v>
      </c>
      <c r="W9" s="140">
        <v>176.48848443755512</v>
      </c>
      <c r="X9" s="140">
        <v>0</v>
      </c>
      <c r="Y9" s="140">
        <v>15.310221322814124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70.415794870577912</v>
      </c>
      <c r="J10" s="140">
        <v>11.394368251088308</v>
      </c>
      <c r="K10" s="140">
        <v>10.106708328900508</v>
      </c>
      <c r="L10" s="140">
        <v>0.64009148211056743</v>
      </c>
      <c r="M10" s="140">
        <v>4.9867065857210298</v>
      </c>
      <c r="N10" s="140">
        <v>1.4930989761118303</v>
      </c>
      <c r="O10" s="140">
        <v>2.9458438980867734</v>
      </c>
      <c r="P10" s="140">
        <v>46.466202641909916</v>
      </c>
      <c r="Q10" s="140">
        <v>44.734376161015135</v>
      </c>
      <c r="R10" s="140">
        <v>22.75632642594196</v>
      </c>
      <c r="S10" s="140">
        <v>17.741625745007759</v>
      </c>
      <c r="T10" s="140">
        <v>25.708766841790759</v>
      </c>
      <c r="U10" s="140">
        <v>26.482166218535966</v>
      </c>
      <c r="V10" s="140">
        <v>27.648343157536544</v>
      </c>
      <c r="W10" s="140">
        <v>20.146645190310217</v>
      </c>
      <c r="X10" s="140">
        <v>14.737248807735508</v>
      </c>
      <c r="Y10" s="140">
        <v>13.720831669503639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178.13849530742291</v>
      </c>
      <c r="J11" s="140">
        <v>39.863219944160925</v>
      </c>
      <c r="K11" s="140">
        <v>34.973055968978258</v>
      </c>
      <c r="L11" s="140">
        <v>25.291800815127093</v>
      </c>
      <c r="M11" s="140">
        <v>26.073938597968688</v>
      </c>
      <c r="N11" s="140">
        <v>3.9913081592955608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12.266693748744215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153.12198508014785</v>
      </c>
      <c r="D12" s="140">
        <v>268.7301128541942</v>
      </c>
      <c r="E12" s="140">
        <v>402.288012568395</v>
      </c>
      <c r="F12" s="140">
        <v>262.23607493483991</v>
      </c>
      <c r="G12" s="140">
        <v>277.60569244997288</v>
      </c>
      <c r="H12" s="140">
        <v>249.57818422596748</v>
      </c>
      <c r="I12" s="140">
        <v>325.94894303460046</v>
      </c>
      <c r="J12" s="140">
        <v>213.28665475798866</v>
      </c>
      <c r="K12" s="140">
        <v>212.51713111284448</v>
      </c>
      <c r="L12" s="140">
        <v>125.58604422825975</v>
      </c>
      <c r="M12" s="140">
        <v>201.88166721972183</v>
      </c>
      <c r="N12" s="140">
        <v>55.577958730922539</v>
      </c>
      <c r="O12" s="140">
        <v>39.631858701752392</v>
      </c>
      <c r="P12" s="140">
        <v>22.13382247491985</v>
      </c>
      <c r="Q12" s="140">
        <v>17.66551880014358</v>
      </c>
      <c r="R12" s="140">
        <v>1.6529340169634261</v>
      </c>
      <c r="S12" s="140">
        <v>0</v>
      </c>
      <c r="T12" s="140">
        <v>31.64244813468467</v>
      </c>
      <c r="U12" s="140">
        <v>100.79858388777419</v>
      </c>
      <c r="V12" s="140">
        <v>151.72462359473079</v>
      </c>
      <c r="W12" s="140">
        <v>117.35288249825423</v>
      </c>
      <c r="X12" s="140">
        <v>72.698900819722581</v>
      </c>
      <c r="Y12" s="140">
        <v>101.24376621689001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372.31684729412257</v>
      </c>
      <c r="D14" s="141">
        <v>468.49463923442221</v>
      </c>
      <c r="E14" s="141">
        <v>606.73535269042873</v>
      </c>
      <c r="F14" s="141">
        <v>702.49338325637382</v>
      </c>
      <c r="G14" s="141">
        <v>748.51221989769965</v>
      </c>
      <c r="H14" s="141">
        <v>1320.1298992146112</v>
      </c>
      <c r="I14" s="141">
        <v>1105.0342781264189</v>
      </c>
      <c r="J14" s="141">
        <v>455.90786481796346</v>
      </c>
      <c r="K14" s="141">
        <v>217.99011613784637</v>
      </c>
      <c r="L14" s="141">
        <v>67.169792989247142</v>
      </c>
      <c r="M14" s="141">
        <v>253.08577641614332</v>
      </c>
      <c r="N14" s="141">
        <v>31.09446126720136</v>
      </c>
      <c r="O14" s="141">
        <v>20.589195344905065</v>
      </c>
      <c r="P14" s="141">
        <v>363.29418849479015</v>
      </c>
      <c r="Q14" s="141">
        <v>231.03719419713843</v>
      </c>
      <c r="R14" s="141">
        <v>323.47464717958195</v>
      </c>
      <c r="S14" s="141">
        <v>412.10008938812075</v>
      </c>
      <c r="T14" s="141">
        <v>457.66601524928109</v>
      </c>
      <c r="U14" s="141">
        <v>345.186752648278</v>
      </c>
      <c r="V14" s="141">
        <v>304.01546667146181</v>
      </c>
      <c r="W14" s="141">
        <v>438.55266453371638</v>
      </c>
      <c r="X14" s="141">
        <v>629.56809440396341</v>
      </c>
      <c r="Y14" s="141">
        <v>506.54089511111675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965.50964750227831</v>
      </c>
      <c r="D15" s="143">
        <f t="shared" si="4"/>
        <v>983.95125659589951</v>
      </c>
      <c r="E15" s="143">
        <f t="shared" si="4"/>
        <v>1379.3248667478574</v>
      </c>
      <c r="F15" s="143">
        <f t="shared" si="4"/>
        <v>786.31515849161451</v>
      </c>
      <c r="G15" s="143">
        <f t="shared" si="4"/>
        <v>738.53617276526984</v>
      </c>
      <c r="H15" s="143">
        <f t="shared" si="4"/>
        <v>794.95977756342359</v>
      </c>
      <c r="I15" s="143">
        <f t="shared" si="4"/>
        <v>1113.9109201154029</v>
      </c>
      <c r="J15" s="143">
        <f t="shared" si="4"/>
        <v>602.13049479031486</v>
      </c>
      <c r="K15" s="143">
        <f t="shared" si="4"/>
        <v>558.52336780745463</v>
      </c>
      <c r="L15" s="143">
        <f t="shared" si="4"/>
        <v>325.53284049490793</v>
      </c>
      <c r="M15" s="143">
        <f t="shared" si="4"/>
        <v>449.30304215781524</v>
      </c>
      <c r="N15" s="143">
        <f t="shared" si="4"/>
        <v>144.18901506932568</v>
      </c>
      <c r="O15" s="143">
        <f t="shared" si="4"/>
        <v>156.08725505074</v>
      </c>
      <c r="P15" s="143">
        <f t="shared" si="4"/>
        <v>1098.1164248236557</v>
      </c>
      <c r="Q15" s="143">
        <f t="shared" si="4"/>
        <v>1418.9268988795845</v>
      </c>
      <c r="R15" s="143">
        <f t="shared" ref="R15:W15" si="5">SUM(R5:R12)</f>
        <v>349.29247522125951</v>
      </c>
      <c r="S15" s="143">
        <f t="shared" si="5"/>
        <v>214.34450707722553</v>
      </c>
      <c r="T15" s="143">
        <f t="shared" si="5"/>
        <v>285.56297460164728</v>
      </c>
      <c r="U15" s="143">
        <f t="shared" si="5"/>
        <v>410.58807500198327</v>
      </c>
      <c r="V15" s="143">
        <f t="shared" si="5"/>
        <v>462.30959337269235</v>
      </c>
      <c r="W15" s="143">
        <f t="shared" si="5"/>
        <v>313.98801212611954</v>
      </c>
      <c r="X15" s="143">
        <f t="shared" ref="X15:Y15" si="6">SUM(X5:X12)</f>
        <v>100.2964816571579</v>
      </c>
      <c r="Y15" s="143">
        <f t="shared" si="6"/>
        <v>183.32820408239982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1337.8264947964005</v>
      </c>
      <c r="D16" s="139">
        <f t="shared" si="7"/>
        <v>1452.4458958303217</v>
      </c>
      <c r="E16" s="139">
        <f t="shared" si="7"/>
        <v>1812.0874788654626</v>
      </c>
      <c r="F16" s="139">
        <f t="shared" si="7"/>
        <v>1488.8085417479883</v>
      </c>
      <c r="G16" s="139">
        <f t="shared" si="7"/>
        <v>1487.0483926629695</v>
      </c>
      <c r="H16" s="139">
        <f t="shared" si="7"/>
        <v>2115.0896767780346</v>
      </c>
      <c r="I16" s="139">
        <f t="shared" si="7"/>
        <v>2218.9451982418218</v>
      </c>
      <c r="J16" s="139">
        <f t="shared" si="7"/>
        <v>1058.0383596082784</v>
      </c>
      <c r="K16" s="139">
        <f t="shared" si="7"/>
        <v>776.51348394530089</v>
      </c>
      <c r="L16" s="139">
        <f t="shared" si="7"/>
        <v>392.70263348415506</v>
      </c>
      <c r="M16" s="139">
        <f t="shared" si="7"/>
        <v>702.38881857395859</v>
      </c>
      <c r="N16" s="139">
        <f t="shared" si="7"/>
        <v>175.28347633652703</v>
      </c>
      <c r="O16" s="139">
        <f t="shared" si="7"/>
        <v>176.67645039564508</v>
      </c>
      <c r="P16" s="139">
        <f t="shared" si="7"/>
        <v>1461.4106133184462</v>
      </c>
      <c r="Q16" s="139">
        <f t="shared" si="7"/>
        <v>1649.9640930767225</v>
      </c>
      <c r="R16" s="139">
        <f t="shared" ref="R16:W16" si="8">SUM(R17:R18)</f>
        <v>672.76712240084157</v>
      </c>
      <c r="S16" s="139">
        <f t="shared" si="8"/>
        <v>626.44459646534631</v>
      </c>
      <c r="T16" s="139">
        <f t="shared" si="8"/>
        <v>743.22898985092854</v>
      </c>
      <c r="U16" s="139">
        <f t="shared" si="8"/>
        <v>755.77482765026127</v>
      </c>
      <c r="V16" s="139">
        <f t="shared" si="8"/>
        <v>766.32506004415416</v>
      </c>
      <c r="W16" s="139">
        <f t="shared" si="8"/>
        <v>752.54067665983587</v>
      </c>
      <c r="X16" s="139">
        <f t="shared" ref="X16:Y16" si="9">SUM(X17:X18)</f>
        <v>729.8645760611214</v>
      </c>
      <c r="Y16" s="139">
        <f t="shared" si="9"/>
        <v>689.8690991935166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1.2633133081275052</v>
      </c>
      <c r="D17" s="140">
        <v>2.2957192604089491</v>
      </c>
      <c r="E17" s="140">
        <v>3.0291999004120234</v>
      </c>
      <c r="F17" s="140">
        <v>2.2716001338324947</v>
      </c>
      <c r="G17" s="140">
        <v>2.2270945265533375</v>
      </c>
      <c r="H17" s="140">
        <v>3.1257417714824034</v>
      </c>
      <c r="I17" s="140">
        <v>2.0975027573204028</v>
      </c>
      <c r="J17" s="140">
        <v>1.1555822181630588</v>
      </c>
      <c r="K17" s="140">
        <v>1.4870687848577131</v>
      </c>
      <c r="L17" s="140">
        <v>0.97847084582135779</v>
      </c>
      <c r="M17" s="140">
        <v>1.5885165195409756</v>
      </c>
      <c r="N17" s="140">
        <v>0.46252024060431013</v>
      </c>
      <c r="O17" s="140">
        <v>0.61638126888817624</v>
      </c>
      <c r="P17" s="140">
        <v>7.3718968073989206</v>
      </c>
      <c r="Q17" s="140">
        <v>7.6786073951102303</v>
      </c>
      <c r="R17" s="140">
        <v>3.3976265076123124</v>
      </c>
      <c r="S17" s="140">
        <v>4.5249296926373583</v>
      </c>
      <c r="T17" s="140">
        <v>7.5059690597708997</v>
      </c>
      <c r="U17" s="140">
        <v>6.5710302978533237</v>
      </c>
      <c r="V17" s="140">
        <v>10.141505982627018</v>
      </c>
      <c r="W17" s="140">
        <v>4.4926642658619382</v>
      </c>
      <c r="X17" s="140">
        <v>7.6057062180115969</v>
      </c>
      <c r="Y17" s="140">
        <v>5.1675018622990798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1336.5631814882731</v>
      </c>
      <c r="D18" s="140">
        <v>1450.1501765699127</v>
      </c>
      <c r="E18" s="140">
        <v>1809.0582789650505</v>
      </c>
      <c r="F18" s="140">
        <v>1486.5369416141559</v>
      </c>
      <c r="G18" s="140">
        <v>1484.8212981364161</v>
      </c>
      <c r="H18" s="140">
        <v>2111.9639350065522</v>
      </c>
      <c r="I18" s="140">
        <v>2216.8476954845014</v>
      </c>
      <c r="J18" s="140">
        <v>1056.8827773901153</v>
      </c>
      <c r="K18" s="140">
        <v>775.02641516044321</v>
      </c>
      <c r="L18" s="140">
        <v>391.72416263833372</v>
      </c>
      <c r="M18" s="140">
        <v>700.80030205441756</v>
      </c>
      <c r="N18" s="140">
        <v>174.82095609592272</v>
      </c>
      <c r="O18" s="140">
        <v>176.0600691267569</v>
      </c>
      <c r="P18" s="140">
        <v>1454.0387165110471</v>
      </c>
      <c r="Q18" s="140">
        <v>1642.2854856816123</v>
      </c>
      <c r="R18" s="140">
        <v>669.36949589322921</v>
      </c>
      <c r="S18" s="140">
        <v>621.91966677270898</v>
      </c>
      <c r="T18" s="140">
        <v>735.72302079115764</v>
      </c>
      <c r="U18" s="140">
        <v>749.20379735240795</v>
      </c>
      <c r="V18" s="140">
        <v>756.18355406152716</v>
      </c>
      <c r="W18" s="140">
        <v>748.04801239397398</v>
      </c>
      <c r="X18" s="140">
        <v>722.25886984310978</v>
      </c>
      <c r="Y18" s="140">
        <v>684.7015973312175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1337.8264947964008</v>
      </c>
      <c r="D19" s="139">
        <f t="shared" si="10"/>
        <v>1452.4458958303217</v>
      </c>
      <c r="E19" s="139">
        <f t="shared" si="10"/>
        <v>1986.0602194382859</v>
      </c>
      <c r="F19" s="139">
        <f t="shared" si="10"/>
        <v>1488.8085417479883</v>
      </c>
      <c r="G19" s="139">
        <f t="shared" si="10"/>
        <v>1487.0483926629695</v>
      </c>
      <c r="H19" s="139">
        <f t="shared" si="10"/>
        <v>2115.0896767780346</v>
      </c>
      <c r="I19" s="139">
        <f t="shared" si="10"/>
        <v>2218.9451982418223</v>
      </c>
      <c r="J19" s="139">
        <f t="shared" si="10"/>
        <v>1058.0383596082784</v>
      </c>
      <c r="K19" s="139">
        <f t="shared" si="10"/>
        <v>776.51348394530089</v>
      </c>
      <c r="L19" s="139">
        <f t="shared" si="10"/>
        <v>392.70263348415506</v>
      </c>
      <c r="M19" s="139">
        <f t="shared" si="10"/>
        <v>702.38881857395859</v>
      </c>
      <c r="N19" s="139">
        <f t="shared" si="10"/>
        <v>175.28347633652706</v>
      </c>
      <c r="O19" s="139">
        <f t="shared" si="10"/>
        <v>176.67645039564505</v>
      </c>
      <c r="P19" s="139">
        <f t="shared" si="10"/>
        <v>1461.4106133184459</v>
      </c>
      <c r="Q19" s="139">
        <f t="shared" si="10"/>
        <v>1649.9640930767225</v>
      </c>
      <c r="R19" s="139">
        <f t="shared" ref="R19:W19" si="11">SUM(R20:R26)</f>
        <v>672.76712240084169</v>
      </c>
      <c r="S19" s="139">
        <f t="shared" si="11"/>
        <v>626.44459646534631</v>
      </c>
      <c r="T19" s="139">
        <f t="shared" si="11"/>
        <v>743.22898985092843</v>
      </c>
      <c r="U19" s="139">
        <f t="shared" si="11"/>
        <v>755.77482765026127</v>
      </c>
      <c r="V19" s="139">
        <f t="shared" si="11"/>
        <v>766.32506004415404</v>
      </c>
      <c r="W19" s="139">
        <f t="shared" si="11"/>
        <v>752.54067665983598</v>
      </c>
      <c r="X19" s="139">
        <f t="shared" ref="X19:Y19" si="12">SUM(X20:X26)</f>
        <v>729.86457606112128</v>
      </c>
      <c r="Y19" s="139">
        <f t="shared" si="12"/>
        <v>689.86909919351649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73.306739179744795</v>
      </c>
      <c r="D21" s="140">
        <v>80.67149419122515</v>
      </c>
      <c r="E21" s="140">
        <v>86.872111390229747</v>
      </c>
      <c r="F21" s="140">
        <v>66.288993797064165</v>
      </c>
      <c r="G21" s="140">
        <v>62.255288714740509</v>
      </c>
      <c r="H21" s="140">
        <v>85.598713976641434</v>
      </c>
      <c r="I21" s="140">
        <v>93.053943411936928</v>
      </c>
      <c r="J21" s="140">
        <v>63.390032535501604</v>
      </c>
      <c r="K21" s="140">
        <v>50.209232755365925</v>
      </c>
      <c r="L21" s="140">
        <v>22.700147003366602</v>
      </c>
      <c r="M21" s="140">
        <v>31.195793465649118</v>
      </c>
      <c r="N21" s="140">
        <v>8.5516173718616137</v>
      </c>
      <c r="O21" s="140">
        <v>8.3784324674167596</v>
      </c>
      <c r="P21" s="140">
        <v>61.890793723323334</v>
      </c>
      <c r="Q21" s="140">
        <v>61.653168414354674</v>
      </c>
      <c r="R21" s="140">
        <v>24.422739068990641</v>
      </c>
      <c r="S21" s="140">
        <v>15.3833316416667</v>
      </c>
      <c r="T21" s="140">
        <v>11.390503424564162</v>
      </c>
      <c r="U21" s="140">
        <v>8.3657155823547917</v>
      </c>
      <c r="V21" s="140">
        <v>9.2669801644720131</v>
      </c>
      <c r="W21" s="140">
        <v>15.596812334503184</v>
      </c>
      <c r="X21" s="140">
        <v>13.911747545126964</v>
      </c>
      <c r="Y21" s="140">
        <v>3.9539477707967468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146.6782301598912</v>
      </c>
      <c r="D22" s="140">
        <v>183.18661913464399</v>
      </c>
      <c r="E22" s="140">
        <v>225.9836335640577</v>
      </c>
      <c r="F22" s="140">
        <v>189.31266767292811</v>
      </c>
      <c r="G22" s="140">
        <v>216.27406910783182</v>
      </c>
      <c r="H22" s="140">
        <v>270.60495753858487</v>
      </c>
      <c r="I22" s="140">
        <v>276.02334354806919</v>
      </c>
      <c r="J22" s="140">
        <v>138.77070066472868</v>
      </c>
      <c r="K22" s="140">
        <v>85.800795004615196</v>
      </c>
      <c r="L22" s="140">
        <v>30.309125695244422</v>
      </c>
      <c r="M22" s="140">
        <v>26.36751546096697</v>
      </c>
      <c r="N22" s="140">
        <v>6.9820818407974397</v>
      </c>
      <c r="O22" s="140">
        <v>7.2461050439132251</v>
      </c>
      <c r="P22" s="140">
        <v>19.808111533109457</v>
      </c>
      <c r="Q22" s="140">
        <v>70.123775286311513</v>
      </c>
      <c r="R22" s="140">
        <v>53.271093245053173</v>
      </c>
      <c r="S22" s="140">
        <v>59.012834256546519</v>
      </c>
      <c r="T22" s="140">
        <v>68.062283304681614</v>
      </c>
      <c r="U22" s="140">
        <v>69.564823733464706</v>
      </c>
      <c r="V22" s="140">
        <v>46.898268806403863</v>
      </c>
      <c r="W22" s="140">
        <v>31.999560883185389</v>
      </c>
      <c r="X22" s="140">
        <v>0</v>
      </c>
      <c r="Y22" s="140">
        <v>0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395.65209863214847</v>
      </c>
      <c r="D23" s="140">
        <v>482.87340435783295</v>
      </c>
      <c r="E23" s="140">
        <v>556.33579557308394</v>
      </c>
      <c r="F23" s="140">
        <v>444.83802709806184</v>
      </c>
      <c r="G23" s="140">
        <v>434.53228038176462</v>
      </c>
      <c r="H23" s="140">
        <v>517.05220871263839</v>
      </c>
      <c r="I23" s="140">
        <v>508.24675351220463</v>
      </c>
      <c r="J23" s="140">
        <v>323.82709792195124</v>
      </c>
      <c r="K23" s="140">
        <v>245.63919671491803</v>
      </c>
      <c r="L23" s="140">
        <v>138.90463305049494</v>
      </c>
      <c r="M23" s="140">
        <v>228.74331903381261</v>
      </c>
      <c r="N23" s="140">
        <v>75.257236225107576</v>
      </c>
      <c r="O23" s="140">
        <v>77.672362702404143</v>
      </c>
      <c r="P23" s="140">
        <v>628.1259687525544</v>
      </c>
      <c r="Q23" s="140">
        <v>750.9509860329398</v>
      </c>
      <c r="R23" s="140">
        <v>403.98790265994131</v>
      </c>
      <c r="S23" s="140">
        <v>295.79602686876433</v>
      </c>
      <c r="T23" s="140">
        <v>332.00982850095852</v>
      </c>
      <c r="U23" s="140">
        <v>309.38815580417941</v>
      </c>
      <c r="V23" s="140">
        <v>233.01350473324692</v>
      </c>
      <c r="W23" s="140">
        <v>169.10245997403484</v>
      </c>
      <c r="X23" s="140">
        <v>0</v>
      </c>
      <c r="Y23" s="140">
        <v>0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205.60429223693225</v>
      </c>
      <c r="D25" s="140">
        <v>218.5506757640762</v>
      </c>
      <c r="E25" s="140">
        <v>267.23252504836699</v>
      </c>
      <c r="F25" s="140">
        <v>235.60808651393879</v>
      </c>
      <c r="G25" s="140">
        <v>255.69816926455334</v>
      </c>
      <c r="H25" s="140">
        <v>316.34157437559253</v>
      </c>
      <c r="I25" s="140">
        <v>310.89136951183298</v>
      </c>
      <c r="J25" s="140">
        <v>185.30517539769323</v>
      </c>
      <c r="K25" s="140">
        <v>145.18885575809864</v>
      </c>
      <c r="L25" s="140">
        <v>85.392999621169537</v>
      </c>
      <c r="M25" s="140">
        <v>144.30860766622931</v>
      </c>
      <c r="N25" s="140">
        <v>45.32240318234004</v>
      </c>
      <c r="O25" s="140">
        <v>40.075788748435542</v>
      </c>
      <c r="P25" s="140">
        <v>183.85292571356956</v>
      </c>
      <c r="Q25" s="140">
        <v>206.98082997361567</v>
      </c>
      <c r="R25" s="140">
        <v>106.39722812644922</v>
      </c>
      <c r="S25" s="140">
        <v>99.808339729709772</v>
      </c>
      <c r="T25" s="140">
        <v>119.37050855426924</v>
      </c>
      <c r="U25" s="140">
        <v>129.60781399057353</v>
      </c>
      <c r="V25" s="140">
        <v>127.61861467426702</v>
      </c>
      <c r="W25" s="140">
        <v>108.75910346372322</v>
      </c>
      <c r="X25" s="140">
        <v>81.70343988576299</v>
      </c>
      <c r="Y25" s="140">
        <v>78.701271918483343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516.58513458768402</v>
      </c>
      <c r="D26" s="141">
        <v>487.16370238254342</v>
      </c>
      <c r="E26" s="141">
        <v>849.63615386254753</v>
      </c>
      <c r="F26" s="141">
        <v>552.76076666599533</v>
      </c>
      <c r="G26" s="141">
        <v>518.28858519407925</v>
      </c>
      <c r="H26" s="141">
        <v>925.49222217457736</v>
      </c>
      <c r="I26" s="141">
        <v>1030.7297882577784</v>
      </c>
      <c r="J26" s="141">
        <v>346.74535308840348</v>
      </c>
      <c r="K26" s="141">
        <v>249.67540371230314</v>
      </c>
      <c r="L26" s="141">
        <v>115.39572811387954</v>
      </c>
      <c r="M26" s="141">
        <v>271.7735829473005</v>
      </c>
      <c r="N26" s="141">
        <v>39.170137716420385</v>
      </c>
      <c r="O26" s="141">
        <v>43.303761433475394</v>
      </c>
      <c r="P26" s="141">
        <v>567.73281359588907</v>
      </c>
      <c r="Q26" s="141">
        <v>560.25533336950093</v>
      </c>
      <c r="R26" s="141">
        <v>84.688159300407236</v>
      </c>
      <c r="S26" s="141">
        <v>156.44406396865901</v>
      </c>
      <c r="T26" s="141">
        <v>212.39586606645489</v>
      </c>
      <c r="U26" s="141">
        <v>238.84831853968885</v>
      </c>
      <c r="V26" s="141">
        <v>349.52769166576428</v>
      </c>
      <c r="W26" s="141">
        <v>427.08274000438928</v>
      </c>
      <c r="X26" s="141">
        <v>634.24938863023135</v>
      </c>
      <c r="Y26" s="141">
        <v>607.21387950423639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47.937365802605342</v>
      </c>
      <c r="D27" s="150">
        <v>122.56440239093773</v>
      </c>
      <c r="E27" s="150">
        <v>85.093034314065875</v>
      </c>
      <c r="F27" s="150">
        <v>154.65128923166523</v>
      </c>
      <c r="G27" s="150">
        <v>134.22655752315794</v>
      </c>
      <c r="H27" s="150">
        <v>193.90547731403973</v>
      </c>
      <c r="I27" s="150">
        <v>201.72474334024017</v>
      </c>
      <c r="J27" s="150">
        <v>289.47122654502436</v>
      </c>
      <c r="K27" s="150">
        <v>202.30034463780098</v>
      </c>
      <c r="L27" s="150">
        <v>153.75530197386652</v>
      </c>
      <c r="M27" s="150">
        <v>304.63320219848083</v>
      </c>
      <c r="N27" s="150">
        <v>66.842870217651935</v>
      </c>
      <c r="O27" s="150">
        <v>50.617787867698702</v>
      </c>
      <c r="P27" s="150">
        <v>495.74716106053586</v>
      </c>
      <c r="Q27" s="150">
        <v>566.14712797353116</v>
      </c>
      <c r="R27" s="150">
        <v>202.23122618548095</v>
      </c>
      <c r="S27" s="150">
        <v>192.44994738139675</v>
      </c>
      <c r="T27" s="150">
        <v>250.82674748050371</v>
      </c>
      <c r="U27" s="150">
        <v>273.23122916737583</v>
      </c>
      <c r="V27" s="150">
        <v>393.63758280987713</v>
      </c>
      <c r="W27" s="150">
        <v>429.91021380758963</v>
      </c>
      <c r="X27" s="150">
        <v>145.42282590775636</v>
      </c>
      <c r="Y27" s="150">
        <v>531.38166097939302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1337.8264947964003</v>
      </c>
      <c r="D29" s="139">
        <f t="shared" si="13"/>
        <v>1452.4458958303221</v>
      </c>
      <c r="E29" s="139">
        <f t="shared" si="13"/>
        <v>1986.0602194382864</v>
      </c>
      <c r="F29" s="139">
        <f t="shared" si="13"/>
        <v>1488.8085417479883</v>
      </c>
      <c r="G29" s="139">
        <f t="shared" si="13"/>
        <v>1487.0483926629697</v>
      </c>
      <c r="H29" s="139">
        <f t="shared" si="13"/>
        <v>2115.089676778035</v>
      </c>
      <c r="I29" s="139">
        <f t="shared" si="13"/>
        <v>2218.9451982418213</v>
      </c>
      <c r="J29" s="139">
        <f t="shared" si="13"/>
        <v>1058.0383596082784</v>
      </c>
      <c r="K29" s="139">
        <f t="shared" si="13"/>
        <v>776.513483945301</v>
      </c>
      <c r="L29" s="139">
        <f t="shared" si="13"/>
        <v>392.70263348415511</v>
      </c>
      <c r="M29" s="139">
        <f t="shared" si="13"/>
        <v>702.38881857395847</v>
      </c>
      <c r="N29" s="139">
        <f t="shared" si="13"/>
        <v>175.28347633652706</v>
      </c>
      <c r="O29" s="139">
        <f t="shared" si="13"/>
        <v>176.67645039564508</v>
      </c>
      <c r="P29" s="139">
        <f t="shared" si="13"/>
        <v>1461.4106133184459</v>
      </c>
      <c r="Q29" s="139">
        <f t="shared" si="13"/>
        <v>1649.9640930767223</v>
      </c>
      <c r="R29" s="139">
        <f t="shared" ref="R29:W29" si="14">SUM(R30:R33)</f>
        <v>672.76712240084157</v>
      </c>
      <c r="S29" s="139">
        <f t="shared" si="14"/>
        <v>626.44459646534631</v>
      </c>
      <c r="T29" s="139">
        <f t="shared" si="14"/>
        <v>743.22898985092854</v>
      </c>
      <c r="U29" s="139">
        <f t="shared" si="14"/>
        <v>755.77482765026116</v>
      </c>
      <c r="V29" s="139">
        <f t="shared" si="14"/>
        <v>766.32506004415404</v>
      </c>
      <c r="W29" s="139">
        <f t="shared" si="14"/>
        <v>752.54067665983598</v>
      </c>
      <c r="X29" s="139">
        <f t="shared" ref="X29:Y29" si="15">SUM(X30:X33)</f>
        <v>729.86457606112128</v>
      </c>
      <c r="Y29" s="139">
        <f t="shared" si="15"/>
        <v>689.86909919351649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179.86244605210325</v>
      </c>
      <c r="D30" s="140">
        <v>131.57695377291461</v>
      </c>
      <c r="E30" s="140">
        <v>179.47007384174626</v>
      </c>
      <c r="F30" s="140">
        <v>116.45125174388619</v>
      </c>
      <c r="G30" s="140">
        <v>84.409979777862191</v>
      </c>
      <c r="H30" s="140">
        <v>119.86877481865854</v>
      </c>
      <c r="I30" s="140">
        <v>114.3822689072986</v>
      </c>
      <c r="J30" s="140">
        <v>98.888387860793785</v>
      </c>
      <c r="K30" s="140">
        <v>66.330421968780684</v>
      </c>
      <c r="L30" s="140">
        <v>30.569588487452329</v>
      </c>
      <c r="M30" s="140">
        <v>53.930933125548428</v>
      </c>
      <c r="N30" s="140">
        <v>15.392815086515169</v>
      </c>
      <c r="O30" s="140">
        <v>10.871067168927333</v>
      </c>
      <c r="P30" s="140">
        <v>81.224096734268656</v>
      </c>
      <c r="Q30" s="140">
        <v>95.344896380047473</v>
      </c>
      <c r="R30" s="140">
        <v>48.832037798646752</v>
      </c>
      <c r="S30" s="140">
        <v>32.539459336641059</v>
      </c>
      <c r="T30" s="140">
        <v>42.024354394503099</v>
      </c>
      <c r="U30" s="140">
        <v>55.875687689236564</v>
      </c>
      <c r="V30" s="140">
        <v>41.485710412220151</v>
      </c>
      <c r="W30" s="140">
        <v>19.180954299794944</v>
      </c>
      <c r="X30" s="140">
        <v>0</v>
      </c>
      <c r="Y30" s="140">
        <v>0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112.13977178454668</v>
      </c>
      <c r="D31" s="140">
        <v>130.45050118754517</v>
      </c>
      <c r="E31" s="140">
        <v>162.59262247240909</v>
      </c>
      <c r="F31" s="140">
        <v>125.22830813117561</v>
      </c>
      <c r="G31" s="140">
        <v>137.17926502606022</v>
      </c>
      <c r="H31" s="140">
        <v>168.31963478904282</v>
      </c>
      <c r="I31" s="140">
        <v>184.42285415938559</v>
      </c>
      <c r="J31" s="140">
        <v>102.63189959268985</v>
      </c>
      <c r="K31" s="140">
        <v>76.261561504336356</v>
      </c>
      <c r="L31" s="140">
        <v>41.144302383363801</v>
      </c>
      <c r="M31" s="140">
        <v>70.620024283745551</v>
      </c>
      <c r="N31" s="140">
        <v>21.295569551942165</v>
      </c>
      <c r="O31" s="140">
        <v>18.027082755432353</v>
      </c>
      <c r="P31" s="140">
        <v>127.1838287594552</v>
      </c>
      <c r="Q31" s="140">
        <v>163.15841015488485</v>
      </c>
      <c r="R31" s="140">
        <v>77.791822873551567</v>
      </c>
      <c r="S31" s="140">
        <v>72.535832820907245</v>
      </c>
      <c r="T31" s="140">
        <v>73.769602587225691</v>
      </c>
      <c r="U31" s="140">
        <v>71.226968525863541</v>
      </c>
      <c r="V31" s="140">
        <v>133.85629870765922</v>
      </c>
      <c r="W31" s="140">
        <v>161.3600819376982</v>
      </c>
      <c r="X31" s="140">
        <v>194.95147456447225</v>
      </c>
      <c r="Y31" s="140">
        <v>184.97049961817083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29.027840017741447</v>
      </c>
      <c r="L32" s="140">
        <v>4.7821200738697254</v>
      </c>
      <c r="M32" s="140">
        <v>3.9722216426510397</v>
      </c>
      <c r="N32" s="140">
        <v>8.0725634819086844E-2</v>
      </c>
      <c r="O32" s="140">
        <v>0.11864146629892869</v>
      </c>
      <c r="P32" s="140">
        <v>0.98670781345906666</v>
      </c>
      <c r="Q32" s="140">
        <v>3.3187754878816902</v>
      </c>
      <c r="R32" s="140">
        <v>3.1198535978125865</v>
      </c>
      <c r="S32" s="140">
        <v>3.5673389054149127</v>
      </c>
      <c r="T32" s="140">
        <v>10.392940652851248</v>
      </c>
      <c r="U32" s="140">
        <v>9.7350131641209448</v>
      </c>
      <c r="V32" s="140">
        <v>7.1429182206461403</v>
      </c>
      <c r="W32" s="140">
        <v>11.128162548916615</v>
      </c>
      <c r="X32" s="140">
        <v>4.7000115514368845</v>
      </c>
      <c r="Y32" s="140">
        <v>4.8629614810299184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1045.8242769597505</v>
      </c>
      <c r="D33" s="152">
        <v>1190.4184408698623</v>
      </c>
      <c r="E33" s="152">
        <v>1643.997523124131</v>
      </c>
      <c r="F33" s="152">
        <v>1247.1289818729265</v>
      </c>
      <c r="G33" s="152">
        <v>1265.4591478590473</v>
      </c>
      <c r="H33" s="152">
        <v>1826.9012671703335</v>
      </c>
      <c r="I33" s="152">
        <v>1920.1400751751373</v>
      </c>
      <c r="J33" s="152">
        <v>856.51807215479471</v>
      </c>
      <c r="K33" s="152">
        <v>604.89366045444251</v>
      </c>
      <c r="L33" s="152">
        <v>316.20662253946927</v>
      </c>
      <c r="M33" s="152">
        <v>573.86563952201345</v>
      </c>
      <c r="N33" s="152">
        <v>138.51436606325063</v>
      </c>
      <c r="O33" s="152">
        <v>147.65965900498645</v>
      </c>
      <c r="P33" s="152">
        <v>1252.0159800112631</v>
      </c>
      <c r="Q33" s="152">
        <v>1388.1420110539084</v>
      </c>
      <c r="R33" s="152">
        <v>543.02340813083072</v>
      </c>
      <c r="S33" s="152">
        <v>517.80196540238308</v>
      </c>
      <c r="T33" s="152">
        <v>617.04209221634846</v>
      </c>
      <c r="U33" s="152">
        <v>618.93715827104018</v>
      </c>
      <c r="V33" s="152">
        <v>583.84013270362857</v>
      </c>
      <c r="W33" s="152">
        <v>560.87147787342622</v>
      </c>
      <c r="X33" s="152">
        <v>530.21308994521212</v>
      </c>
      <c r="Y33" s="152">
        <v>500.03563809431574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19.244272086289467</v>
      </c>
      <c r="D3" s="125">
        <f t="shared" si="0"/>
        <v>20.068207065147078</v>
      </c>
      <c r="E3" s="125">
        <f t="shared" si="0"/>
        <v>27.728993661494961</v>
      </c>
      <c r="F3" s="125">
        <f t="shared" si="0"/>
        <v>19.052750357513432</v>
      </c>
      <c r="G3" s="125">
        <f t="shared" si="0"/>
        <v>19.013984155111384</v>
      </c>
      <c r="H3" s="125">
        <f t="shared" si="0"/>
        <v>24.640793722429795</v>
      </c>
      <c r="I3" s="125">
        <f t="shared" si="0"/>
        <v>24.638619116346774</v>
      </c>
      <c r="J3" s="125">
        <f t="shared" si="0"/>
        <v>12.013718573632568</v>
      </c>
      <c r="K3" s="125">
        <f t="shared" si="0"/>
        <v>8.584742242151771</v>
      </c>
      <c r="L3" s="125">
        <f t="shared" si="0"/>
        <v>4.5756321068229306</v>
      </c>
      <c r="M3" s="125">
        <f t="shared" si="0"/>
        <v>7.5626780852275566</v>
      </c>
      <c r="N3" s="125">
        <f t="shared" si="0"/>
        <v>1.8249674769168311</v>
      </c>
      <c r="O3" s="125">
        <f t="shared" si="0"/>
        <v>1.7184066619187117</v>
      </c>
      <c r="P3" s="125">
        <f t="shared" si="0"/>
        <v>12.390140641782033</v>
      </c>
      <c r="Q3" s="125">
        <f t="shared" si="0"/>
        <v>15.219214726227566</v>
      </c>
      <c r="R3" s="125">
        <f t="shared" ref="R3:W3" si="1">SUM(R4,R16,R19,R29)</f>
        <v>5.9066109186718778</v>
      </c>
      <c r="S3" s="125">
        <f t="shared" si="1"/>
        <v>5.6744718416443272</v>
      </c>
      <c r="T3" s="125">
        <f t="shared" si="1"/>
        <v>6.5923839634830141</v>
      </c>
      <c r="U3" s="125">
        <f t="shared" si="1"/>
        <v>6.4842195054191611</v>
      </c>
      <c r="V3" s="125">
        <f t="shared" si="1"/>
        <v>5.5472968402171796</v>
      </c>
      <c r="W3" s="125">
        <f t="shared" si="1"/>
        <v>5.6182692553760747</v>
      </c>
      <c r="X3" s="125">
        <f t="shared" ref="X3:Y3" si="2">SUM(X4,X16,X19,X29)</f>
        <v>5.4712292972173806</v>
      </c>
      <c r="Y3" s="125">
        <f t="shared" si="2"/>
        <v>4.8529348044415057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13.16396720006977</v>
      </c>
      <c r="D4" s="130">
        <f t="shared" si="3"/>
        <v>13.629594678154239</v>
      </c>
      <c r="E4" s="130">
        <f t="shared" si="3"/>
        <v>18.043775566088385</v>
      </c>
      <c r="F4" s="130">
        <f t="shared" si="3"/>
        <v>12.597010107467051</v>
      </c>
      <c r="G4" s="130">
        <f t="shared" si="3"/>
        <v>12.579778343480669</v>
      </c>
      <c r="H4" s="130">
        <f t="shared" si="3"/>
        <v>15.480947587885309</v>
      </c>
      <c r="I4" s="130">
        <f t="shared" si="3"/>
        <v>15.044988895062325</v>
      </c>
      <c r="J4" s="130">
        <f t="shared" si="3"/>
        <v>7.4432875884858243</v>
      </c>
      <c r="K4" s="130">
        <f t="shared" si="3"/>
        <v>5.1662668079549103</v>
      </c>
      <c r="L4" s="130">
        <f t="shared" si="3"/>
        <v>2.896404448291741</v>
      </c>
      <c r="M4" s="130">
        <f t="shared" si="3"/>
        <v>4.6015608821797702</v>
      </c>
      <c r="N4" s="130">
        <f t="shared" si="3"/>
        <v>1.0271903364189174</v>
      </c>
      <c r="O4" s="130">
        <f t="shared" si="3"/>
        <v>0.96246981652921193</v>
      </c>
      <c r="P4" s="130">
        <f t="shared" si="3"/>
        <v>6.3848510336615423</v>
      </c>
      <c r="Q4" s="130">
        <f t="shared" si="3"/>
        <v>8.1464560450128083</v>
      </c>
      <c r="R4" s="130">
        <f t="shared" ref="R4:W4" si="4">SUM(R5:R15)</f>
        <v>3.1298816737671684</v>
      </c>
      <c r="S4" s="130">
        <f t="shared" si="4"/>
        <v>3.0032668138535081</v>
      </c>
      <c r="T4" s="130">
        <f t="shared" si="4"/>
        <v>3.556454913381311</v>
      </c>
      <c r="U4" s="130">
        <f t="shared" si="4"/>
        <v>3.3573203165220269</v>
      </c>
      <c r="V4" s="130">
        <f t="shared" si="4"/>
        <v>2.8271533691013104</v>
      </c>
      <c r="W4" s="130">
        <f t="shared" si="4"/>
        <v>2.7181477214353391</v>
      </c>
      <c r="X4" s="130">
        <f t="shared" ref="X4:Y4" si="5">SUM(X5:X15)</f>
        <v>2.422006245042045</v>
      </c>
      <c r="Y4" s="130">
        <f t="shared" si="5"/>
        <v>2.1759842470507706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5.1848020719214849E-2</v>
      </c>
      <c r="D5" s="132">
        <v>6.8550498960489634E-2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4.4125254859221273E-2</v>
      </c>
      <c r="K5" s="132">
        <v>2.2033417072506317E-2</v>
      </c>
      <c r="L5" s="132">
        <v>1.8129782169369731E-2</v>
      </c>
      <c r="M5" s="132">
        <v>5.568737602113584E-2</v>
      </c>
      <c r="N5" s="132">
        <v>1.2885965093632839E-2</v>
      </c>
      <c r="O5" s="132">
        <v>0</v>
      </c>
      <c r="P5" s="132">
        <v>0</v>
      </c>
      <c r="Q5" s="132">
        <v>0</v>
      </c>
      <c r="R5" s="132">
        <v>0</v>
      </c>
      <c r="S5" s="132">
        <v>1.4445750908355726E-3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5.0394008348018771</v>
      </c>
      <c r="D7" s="132">
        <v>5.4647540875354315</v>
      </c>
      <c r="E7" s="132">
        <v>6.3677247550271714</v>
      </c>
      <c r="F7" s="132">
        <v>1.7896300092966673</v>
      </c>
      <c r="G7" s="132">
        <v>0.12999522207282005</v>
      </c>
      <c r="H7" s="132">
        <v>0</v>
      </c>
      <c r="I7" s="132">
        <v>0</v>
      </c>
      <c r="J7" s="132">
        <v>0</v>
      </c>
      <c r="K7" s="132">
        <v>0.23917042174934383</v>
      </c>
      <c r="L7" s="132">
        <v>0.3026277315881003</v>
      </c>
      <c r="M7" s="132">
        <v>0.72309274979886262</v>
      </c>
      <c r="N7" s="132">
        <v>0.16789493390171928</v>
      </c>
      <c r="O7" s="132">
        <v>0.15048924129578173</v>
      </c>
      <c r="P7" s="132">
        <v>0.29613260396071006</v>
      </c>
      <c r="Q7" s="132">
        <v>1.0687202146752952</v>
      </c>
      <c r="R7" s="132">
        <v>0.31479917110739652</v>
      </c>
      <c r="S7" s="132">
        <v>0.14605108820322174</v>
      </c>
      <c r="T7" s="132">
        <v>0</v>
      </c>
      <c r="U7" s="132">
        <v>0</v>
      </c>
      <c r="V7" s="132">
        <v>0</v>
      </c>
      <c r="W7" s="132">
        <v>0</v>
      </c>
      <c r="X7" s="132">
        <v>5.248921999902454E-2</v>
      </c>
      <c r="Y7" s="132">
        <v>0.15366934630675505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3.9176524555868131</v>
      </c>
      <c r="D9" s="132">
        <v>2.3952699077577111</v>
      </c>
      <c r="E9" s="132">
        <v>4.1122053921089927</v>
      </c>
      <c r="F9" s="132">
        <v>3.6400129378618784</v>
      </c>
      <c r="G9" s="132">
        <v>4.5352185370842841</v>
      </c>
      <c r="H9" s="132">
        <v>4.8742759854084676</v>
      </c>
      <c r="I9" s="132">
        <v>4.2818963897845626</v>
      </c>
      <c r="J9" s="132">
        <v>2.7111931853534763</v>
      </c>
      <c r="K9" s="132">
        <v>2.0972225984675328</v>
      </c>
      <c r="L9" s="132">
        <v>1.2046340771944171</v>
      </c>
      <c r="M9" s="132">
        <v>0.90577021970100335</v>
      </c>
      <c r="N9" s="132">
        <v>0.3544975125751183</v>
      </c>
      <c r="O9" s="132">
        <v>0.48385696889004748</v>
      </c>
      <c r="P9" s="132">
        <v>4.1696130968763452</v>
      </c>
      <c r="Q9" s="132">
        <v>5.705998925382163</v>
      </c>
      <c r="R9" s="132">
        <v>1.2875023484426673</v>
      </c>
      <c r="S9" s="132">
        <v>0.82661909462323124</v>
      </c>
      <c r="T9" s="132">
        <v>1.102054776160887</v>
      </c>
      <c r="U9" s="132">
        <v>1.3056879751644879</v>
      </c>
      <c r="V9" s="132">
        <v>1.130217959710818</v>
      </c>
      <c r="W9" s="132">
        <v>0.75430637213936924</v>
      </c>
      <c r="X9" s="132">
        <v>0</v>
      </c>
      <c r="Y9" s="132">
        <v>5.1728917522572818E-2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0.95837694485165215</v>
      </c>
      <c r="J10" s="132">
        <v>0.10679256128186625</v>
      </c>
      <c r="K10" s="132">
        <v>0.10294987953993046</v>
      </c>
      <c r="L10" s="132">
        <v>5.4149999081097508E-3</v>
      </c>
      <c r="M10" s="132">
        <v>4.8049670412568385E-2</v>
      </c>
      <c r="N10" s="132">
        <v>1.0721327704760121E-2</v>
      </c>
      <c r="O10" s="132">
        <v>1.7468564544224043E-2</v>
      </c>
      <c r="P10" s="132">
        <v>0.27700549878195396</v>
      </c>
      <c r="Q10" s="132">
        <v>0.27923122224563901</v>
      </c>
      <c r="R10" s="132">
        <v>0.14767146638482537</v>
      </c>
      <c r="S10" s="132">
        <v>0.1139724191948976</v>
      </c>
      <c r="T10" s="132">
        <v>0.15867581506442804</v>
      </c>
      <c r="U10" s="132">
        <v>0.16330324258398918</v>
      </c>
      <c r="V10" s="132">
        <v>0.15689670020497956</v>
      </c>
      <c r="W10" s="132">
        <v>9.2584662429303646E-2</v>
      </c>
      <c r="X10" s="132">
        <v>6.9406655423067287E-2</v>
      </c>
      <c r="Y10" s="132">
        <v>6.1798989579318654E-2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1.4908128403334355</v>
      </c>
      <c r="J11" s="132">
        <v>0.2287907894806169</v>
      </c>
      <c r="K11" s="132">
        <v>0.14931514186438463</v>
      </c>
      <c r="L11" s="132">
        <v>0.17142126244105041</v>
      </c>
      <c r="M11" s="132">
        <v>0.14876107826512147</v>
      </c>
      <c r="N11" s="132">
        <v>2.0903932823379174E-2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3.4660851072085289E-2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1.1031159537366368</v>
      </c>
      <c r="D12" s="132">
        <v>1.8372213306782799</v>
      </c>
      <c r="E12" s="132">
        <v>2.9652689834300934</v>
      </c>
      <c r="F12" s="132">
        <v>1.8271693028006712</v>
      </c>
      <c r="G12" s="132">
        <v>1.9985007550331937</v>
      </c>
      <c r="H12" s="132">
        <v>1.5134003402312062</v>
      </c>
      <c r="I12" s="132">
        <v>1.7928744531280312</v>
      </c>
      <c r="J12" s="132">
        <v>1.2411754041143019</v>
      </c>
      <c r="K12" s="132">
        <v>1.1658838268844023</v>
      </c>
      <c r="L12" s="132">
        <v>0.75739684818549857</v>
      </c>
      <c r="M12" s="132">
        <v>1.1414368327736517</v>
      </c>
      <c r="N12" s="132">
        <v>0.27815953905107382</v>
      </c>
      <c r="O12" s="132">
        <v>0.19308773818199101</v>
      </c>
      <c r="P12" s="132">
        <v>7.7972476221139078E-2</v>
      </c>
      <c r="Q12" s="132">
        <v>6.8933933152575899E-2</v>
      </c>
      <c r="R12" s="132">
        <v>6.8297345100689789E-3</v>
      </c>
      <c r="S12" s="132">
        <v>0</v>
      </c>
      <c r="T12" s="132">
        <v>0.12213895116519753</v>
      </c>
      <c r="U12" s="132">
        <v>0.36313128838348047</v>
      </c>
      <c r="V12" s="132">
        <v>0.5456984928471329</v>
      </c>
      <c r="W12" s="132">
        <v>0.43496253922212813</v>
      </c>
      <c r="X12" s="132">
        <v>0.1856702677950251</v>
      </c>
      <c r="Y12" s="132">
        <v>0.33010703938479385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2.9593707324719887</v>
      </c>
      <c r="D14" s="65">
        <v>3.780736094943931</v>
      </c>
      <c r="E14" s="65">
        <v>4.4869666513205848</v>
      </c>
      <c r="F14" s="65">
        <v>5.2809742163063467</v>
      </c>
      <c r="G14" s="65">
        <v>5.8632883816634758</v>
      </c>
      <c r="H14" s="65">
        <v>9.0405003069102801</v>
      </c>
      <c r="I14" s="65">
        <v>6.4640017752174792</v>
      </c>
      <c r="J14" s="65">
        <v>3.079287265781919</v>
      </c>
      <c r="K14" s="65">
        <v>1.3622451860621287</v>
      </c>
      <c r="L14" s="65">
        <v>0.41911152360613096</v>
      </c>
      <c r="M14" s="65">
        <v>1.5583277823426056</v>
      </c>
      <c r="N14" s="65">
        <v>0.1758459334387685</v>
      </c>
      <c r="O14" s="65">
        <v>0.11029346824824565</v>
      </c>
      <c r="P14" s="65">
        <v>1.5140079243257079</v>
      </c>
      <c r="Q14" s="65">
        <v>0.94580915041755931</v>
      </c>
      <c r="R14" s="65">
        <v>1.354120094236446</v>
      </c>
      <c r="S14" s="65">
        <v>1.9034297521575381</v>
      </c>
      <c r="T14" s="65">
        <v>2.1595094244411639</v>
      </c>
      <c r="U14" s="65">
        <v>1.5077506813770065</v>
      </c>
      <c r="V14" s="65">
        <v>0.97825298086598755</v>
      </c>
      <c r="W14" s="65">
        <v>1.4253025423896122</v>
      </c>
      <c r="X14" s="65">
        <v>2.1128887259826508</v>
      </c>
      <c r="Y14" s="65">
        <v>1.5401276123770959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9.2579202753238721E-2</v>
      </c>
      <c r="D15" s="134">
        <v>8.3062758278394155E-2</v>
      </c>
      <c r="E15" s="134">
        <v>0.11160978420154281</v>
      </c>
      <c r="F15" s="134">
        <v>5.9223641201488389E-2</v>
      </c>
      <c r="G15" s="134">
        <v>5.2775447626895546E-2</v>
      </c>
      <c r="H15" s="134">
        <v>5.2770955335353885E-2</v>
      </c>
      <c r="I15" s="134">
        <v>5.7026491747163857E-2</v>
      </c>
      <c r="J15" s="134">
        <v>3.1923127614421717E-2</v>
      </c>
      <c r="K15" s="134">
        <v>2.7446336314681019E-2</v>
      </c>
      <c r="L15" s="134">
        <v>1.7668223199064161E-2</v>
      </c>
      <c r="M15" s="134">
        <v>2.0435172864821702E-2</v>
      </c>
      <c r="N15" s="134">
        <v>6.2811918304655134E-3</v>
      </c>
      <c r="O15" s="134">
        <v>7.2738353689220043E-3</v>
      </c>
      <c r="P15" s="134">
        <v>5.0119433495685733E-2</v>
      </c>
      <c r="Q15" s="134">
        <v>7.7762599139575866E-2</v>
      </c>
      <c r="R15" s="134">
        <v>1.8958859085764477E-2</v>
      </c>
      <c r="S15" s="134">
        <v>1.1749884583783956E-2</v>
      </c>
      <c r="T15" s="134">
        <v>1.4075946549634582E-2</v>
      </c>
      <c r="U15" s="134">
        <v>1.7447129013063237E-2</v>
      </c>
      <c r="V15" s="134">
        <v>1.6087235472392627E-2</v>
      </c>
      <c r="W15" s="134">
        <v>1.0991605254925808E-2</v>
      </c>
      <c r="X15" s="134">
        <v>1.5513758422773661E-3</v>
      </c>
      <c r="Y15" s="134">
        <v>3.8914908081490217E-3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1.1216381197165748</v>
      </c>
      <c r="D16" s="130">
        <f t="shared" si="6"/>
        <v>1.1210313074282865</v>
      </c>
      <c r="E16" s="130">
        <f t="shared" si="6"/>
        <v>2.5545361111978164</v>
      </c>
      <c r="F16" s="130">
        <f t="shared" si="6"/>
        <v>1.0316326770072477</v>
      </c>
      <c r="G16" s="130">
        <f t="shared" si="6"/>
        <v>0.99264633558473925</v>
      </c>
      <c r="H16" s="130">
        <f t="shared" si="6"/>
        <v>1.531697243984792</v>
      </c>
      <c r="I16" s="130">
        <f t="shared" si="6"/>
        <v>1.5952588300315589</v>
      </c>
      <c r="J16" s="130">
        <f t="shared" si="6"/>
        <v>0.70376253313900894</v>
      </c>
      <c r="K16" s="130">
        <f t="shared" si="6"/>
        <v>0.47193470986004199</v>
      </c>
      <c r="L16" s="130">
        <f t="shared" si="6"/>
        <v>0.23082702813027808</v>
      </c>
      <c r="M16" s="130">
        <f t="shared" si="6"/>
        <v>0.42213419864642482</v>
      </c>
      <c r="N16" s="130">
        <f t="shared" si="6"/>
        <v>0.14488238035118914</v>
      </c>
      <c r="O16" s="130">
        <f t="shared" si="6"/>
        <v>9.1916793934824492E-2</v>
      </c>
      <c r="P16" s="130">
        <f t="shared" si="6"/>
        <v>0.59520997689241917</v>
      </c>
      <c r="Q16" s="130">
        <f t="shared" si="6"/>
        <v>1.0502751934100685</v>
      </c>
      <c r="R16" s="130">
        <f t="shared" ref="R16:W16" si="7">SUM(R17:R18)</f>
        <v>0.28072400674031822</v>
      </c>
      <c r="S16" s="130">
        <f t="shared" si="7"/>
        <v>0.3646609118626607</v>
      </c>
      <c r="T16" s="130">
        <f t="shared" si="7"/>
        <v>0.31577270443488897</v>
      </c>
      <c r="U16" s="130">
        <f t="shared" si="7"/>
        <v>0.37386666522807305</v>
      </c>
      <c r="V16" s="130">
        <f t="shared" si="7"/>
        <v>0.28426140793787225</v>
      </c>
      <c r="W16" s="130">
        <f t="shared" si="7"/>
        <v>0.33550919505600646</v>
      </c>
      <c r="X16" s="130">
        <f t="shared" ref="X16:Y16" si="8">SUM(X17:X18)</f>
        <v>0.35422874385394731</v>
      </c>
      <c r="Y16" s="130">
        <f t="shared" si="8"/>
        <v>0.29170532964757595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2.057304808763608E-3</v>
      </c>
      <c r="D17" s="132">
        <v>3.5302285675661727E-3</v>
      </c>
      <c r="E17" s="132">
        <v>8.7275776777559506E-3</v>
      </c>
      <c r="F17" s="132">
        <v>3.2949873775034526E-3</v>
      </c>
      <c r="G17" s="132">
        <v>3.1842703143899029E-3</v>
      </c>
      <c r="H17" s="132">
        <v>4.957860149289858E-3</v>
      </c>
      <c r="I17" s="132">
        <v>4.3699757810504976E-3</v>
      </c>
      <c r="J17" s="132">
        <v>2.1520470143167442E-3</v>
      </c>
      <c r="K17" s="132">
        <v>2.1087776118839095E-3</v>
      </c>
      <c r="L17" s="132">
        <v>1.369096762528554E-3</v>
      </c>
      <c r="M17" s="132">
        <v>2.3274745228066E-3</v>
      </c>
      <c r="N17" s="132">
        <v>8.3457935498357423E-4</v>
      </c>
      <c r="O17" s="132">
        <v>8.3030767007044723E-4</v>
      </c>
      <c r="P17" s="132">
        <v>6.5297163207661581E-3</v>
      </c>
      <c r="Q17" s="132">
        <v>1.3774457555062044E-2</v>
      </c>
      <c r="R17" s="132">
        <v>3.9196400352688602E-3</v>
      </c>
      <c r="S17" s="132">
        <v>7.201257304510128E-3</v>
      </c>
      <c r="T17" s="132">
        <v>8.5748106597417998E-3</v>
      </c>
      <c r="U17" s="132">
        <v>8.6545287694128389E-3</v>
      </c>
      <c r="V17" s="132">
        <v>8.0769788410932908E-3</v>
      </c>
      <c r="W17" s="132">
        <v>4.3317421535387394E-3</v>
      </c>
      <c r="X17" s="132">
        <v>9.5930856796352416E-3</v>
      </c>
      <c r="Y17" s="132">
        <v>6.573843289845443E-3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1.1195808149078113</v>
      </c>
      <c r="D18" s="132">
        <v>1.1175010788607203</v>
      </c>
      <c r="E18" s="132">
        <v>2.5458085335200606</v>
      </c>
      <c r="F18" s="132">
        <v>1.0283376896297443</v>
      </c>
      <c r="G18" s="132">
        <v>0.9894620652703493</v>
      </c>
      <c r="H18" s="132">
        <v>1.5267393838355021</v>
      </c>
      <c r="I18" s="132">
        <v>1.5908888542505084</v>
      </c>
      <c r="J18" s="132">
        <v>0.70161048612469223</v>
      </c>
      <c r="K18" s="132">
        <v>0.46982593224815811</v>
      </c>
      <c r="L18" s="132">
        <v>0.22945793136774953</v>
      </c>
      <c r="M18" s="132">
        <v>0.41980672412361819</v>
      </c>
      <c r="N18" s="132">
        <v>0.14404780099620557</v>
      </c>
      <c r="O18" s="132">
        <v>9.1086486264754046E-2</v>
      </c>
      <c r="P18" s="132">
        <v>0.58868026057165301</v>
      </c>
      <c r="Q18" s="132">
        <v>1.0365007358550065</v>
      </c>
      <c r="R18" s="132">
        <v>0.27680436670504938</v>
      </c>
      <c r="S18" s="132">
        <v>0.35745965455815054</v>
      </c>
      <c r="T18" s="132">
        <v>0.30719789377514717</v>
      </c>
      <c r="U18" s="132">
        <v>0.36521213645866019</v>
      </c>
      <c r="V18" s="132">
        <v>0.27618442909677898</v>
      </c>
      <c r="W18" s="132">
        <v>0.33117745290246769</v>
      </c>
      <c r="X18" s="132">
        <v>0.34463565817431208</v>
      </c>
      <c r="Y18" s="132">
        <v>0.2851314863577305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2.4189466001370725</v>
      </c>
      <c r="D19" s="130">
        <f t="shared" si="9"/>
        <v>2.652738844684686</v>
      </c>
      <c r="E19" s="130">
        <f t="shared" si="9"/>
        <v>3.5803696824679734</v>
      </c>
      <c r="F19" s="130">
        <f t="shared" si="9"/>
        <v>2.7117248185832294</v>
      </c>
      <c r="G19" s="130">
        <f t="shared" si="9"/>
        <v>2.7241778194734763</v>
      </c>
      <c r="H19" s="130">
        <f t="shared" si="9"/>
        <v>3.7326180567081537</v>
      </c>
      <c r="I19" s="130">
        <f t="shared" si="9"/>
        <v>3.8617361663762497</v>
      </c>
      <c r="J19" s="130">
        <f t="shared" si="9"/>
        <v>1.7950075666393672</v>
      </c>
      <c r="K19" s="130">
        <f t="shared" si="9"/>
        <v>1.3084504845241982</v>
      </c>
      <c r="L19" s="130">
        <f t="shared" si="9"/>
        <v>0.63127351087967298</v>
      </c>
      <c r="M19" s="130">
        <f t="shared" si="9"/>
        <v>1.0921467524038373</v>
      </c>
      <c r="N19" s="130">
        <f t="shared" si="9"/>
        <v>0.27685390401678667</v>
      </c>
      <c r="O19" s="130">
        <f t="shared" si="9"/>
        <v>0.28434652261734772</v>
      </c>
      <c r="P19" s="130">
        <f t="shared" si="9"/>
        <v>2.2561121551109018</v>
      </c>
      <c r="Q19" s="130">
        <f t="shared" si="9"/>
        <v>2.4771932192968964</v>
      </c>
      <c r="R19" s="130">
        <f t="shared" ref="R19:W19" si="10">SUM(R20:R27)</f>
        <v>1.0059437004639198</v>
      </c>
      <c r="S19" s="130">
        <f t="shared" si="10"/>
        <v>0.92523442482294804</v>
      </c>
      <c r="T19" s="130">
        <f t="shared" si="10"/>
        <v>1.076235923100481</v>
      </c>
      <c r="U19" s="130">
        <f t="shared" si="10"/>
        <v>1.0711305609031241</v>
      </c>
      <c r="V19" s="130">
        <f t="shared" si="10"/>
        <v>0.9683553835905867</v>
      </c>
      <c r="W19" s="130">
        <f t="shared" si="10"/>
        <v>0.92809513025694823</v>
      </c>
      <c r="X19" s="130">
        <f t="shared" ref="X19:Y19" si="11">SUM(X20:X27)</f>
        <v>0.97032603670413897</v>
      </c>
      <c r="Y19" s="130">
        <f t="shared" si="11"/>
        <v>0.86385872274369302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0.15117594167508644</v>
      </c>
      <c r="D21" s="132">
        <v>0.16813312508073502</v>
      </c>
      <c r="E21" s="132">
        <v>0.17843889607195029</v>
      </c>
      <c r="F21" s="132">
        <v>0.13794780016517003</v>
      </c>
      <c r="G21" s="132">
        <v>0.1269848197585694</v>
      </c>
      <c r="H21" s="132">
        <v>0.17246479184616043</v>
      </c>
      <c r="I21" s="132">
        <v>0.18317582001498767</v>
      </c>
      <c r="J21" s="132">
        <v>0.12296221662485647</v>
      </c>
      <c r="K21" s="132">
        <v>9.9126382125310414E-2</v>
      </c>
      <c r="L21" s="132">
        <v>4.2002683656336498E-2</v>
      </c>
      <c r="M21" s="132">
        <v>5.9004837636405474E-2</v>
      </c>
      <c r="N21" s="132">
        <v>1.3982852365177016E-2</v>
      </c>
      <c r="O21" s="132">
        <v>1.5313798178730765E-2</v>
      </c>
      <c r="P21" s="132">
        <v>0.1110642833729415</v>
      </c>
      <c r="Q21" s="132">
        <v>0.10644756966578346</v>
      </c>
      <c r="R21" s="132">
        <v>3.1532327841776293E-2</v>
      </c>
      <c r="S21" s="132">
        <v>2.3519627133799938E-2</v>
      </c>
      <c r="T21" s="132">
        <v>1.7298529386488477E-2</v>
      </c>
      <c r="U21" s="132">
        <v>1.2309959841519467E-2</v>
      </c>
      <c r="V21" s="132">
        <v>1.1466709947997807E-2</v>
      </c>
      <c r="W21" s="132">
        <v>2.3047671495551595E-2</v>
      </c>
      <c r="X21" s="132">
        <v>2.1163977902434291E-2</v>
      </c>
      <c r="Y21" s="132">
        <v>5.2843544035842994E-3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0.3154821648493582</v>
      </c>
      <c r="D22" s="132">
        <v>0.39408391735044174</v>
      </c>
      <c r="E22" s="132">
        <v>0.49126581859959351</v>
      </c>
      <c r="F22" s="132">
        <v>0.40800088013442276</v>
      </c>
      <c r="G22" s="132">
        <v>0.47075069964789779</v>
      </c>
      <c r="H22" s="132">
        <v>0.57564003107125472</v>
      </c>
      <c r="I22" s="132">
        <v>0.59226873584144735</v>
      </c>
      <c r="J22" s="132">
        <v>0.28740319413040072</v>
      </c>
      <c r="K22" s="132">
        <v>0.17663029034028493</v>
      </c>
      <c r="L22" s="132">
        <v>5.67971943352008E-2</v>
      </c>
      <c r="M22" s="132">
        <v>4.9921959870804555E-2</v>
      </c>
      <c r="N22" s="132">
        <v>8.7583415915817343E-3</v>
      </c>
      <c r="O22" s="132">
        <v>1.3799520063378902E-2</v>
      </c>
      <c r="P22" s="132">
        <v>3.6466409812193068E-2</v>
      </c>
      <c r="Q22" s="132">
        <v>0.11223803025487114</v>
      </c>
      <c r="R22" s="132">
        <v>7.1536821595047456E-2</v>
      </c>
      <c r="S22" s="132">
        <v>9.3153936419360484E-2</v>
      </c>
      <c r="T22" s="132">
        <v>0.10523158307892548</v>
      </c>
      <c r="U22" s="132">
        <v>0.10866769557122728</v>
      </c>
      <c r="V22" s="132">
        <v>6.3776327276948971E-2</v>
      </c>
      <c r="W22" s="132">
        <v>5.1049156147608826E-2</v>
      </c>
      <c r="X22" s="132">
        <v>0</v>
      </c>
      <c r="Y22" s="132">
        <v>0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0.78268813278682337</v>
      </c>
      <c r="D23" s="132">
        <v>0.96063980082867761</v>
      </c>
      <c r="E23" s="132">
        <v>1.1013239411963045</v>
      </c>
      <c r="F23" s="132">
        <v>0.87921903538838297</v>
      </c>
      <c r="G23" s="132">
        <v>0.85978192659424446</v>
      </c>
      <c r="H23" s="132">
        <v>0.99035205195718046</v>
      </c>
      <c r="I23" s="132">
        <v>0.94953311422394038</v>
      </c>
      <c r="J23" s="132">
        <v>0.59300346901571077</v>
      </c>
      <c r="K23" s="132">
        <v>0.44450710574966845</v>
      </c>
      <c r="L23" s="132">
        <v>0.23579845093928239</v>
      </c>
      <c r="M23" s="132">
        <v>0.4012156340546611</v>
      </c>
      <c r="N23" s="132">
        <v>0.11901973612448445</v>
      </c>
      <c r="O23" s="132">
        <v>0.13249188339637158</v>
      </c>
      <c r="P23" s="132">
        <v>1.0574565946295134</v>
      </c>
      <c r="Q23" s="132">
        <v>1.2211702646930802</v>
      </c>
      <c r="R23" s="132">
        <v>0.5550960966836227</v>
      </c>
      <c r="S23" s="132">
        <v>0.44780668452796552</v>
      </c>
      <c r="T23" s="132">
        <v>0.49738952921079649</v>
      </c>
      <c r="U23" s="132">
        <v>0.45514269428204085</v>
      </c>
      <c r="V23" s="132">
        <v>0.30551396763470562</v>
      </c>
      <c r="W23" s="132">
        <v>0.26288193502953794</v>
      </c>
      <c r="X23" s="132">
        <v>0</v>
      </c>
      <c r="Y23" s="132">
        <v>0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0.29097624697985369</v>
      </c>
      <c r="D25" s="132">
        <v>0.30951043511652454</v>
      </c>
      <c r="E25" s="132">
        <v>0.38111709932651222</v>
      </c>
      <c r="F25" s="132">
        <v>0.33725666376826546</v>
      </c>
      <c r="G25" s="132">
        <v>0.37058638144888034</v>
      </c>
      <c r="H25" s="132">
        <v>0.44925125008580102</v>
      </c>
      <c r="I25" s="132">
        <v>0.43808527611796544</v>
      </c>
      <c r="J25" s="132">
        <v>0.25508284406667797</v>
      </c>
      <c r="K25" s="132">
        <v>0.19971478806325899</v>
      </c>
      <c r="L25" s="132">
        <v>0.11196664814663569</v>
      </c>
      <c r="M25" s="132">
        <v>0.19940243572909455</v>
      </c>
      <c r="N25" s="132">
        <v>5.9139569772211964E-2</v>
      </c>
      <c r="O25" s="132">
        <v>5.6975772878089852E-2</v>
      </c>
      <c r="P25" s="132">
        <v>0.26778016356989137</v>
      </c>
      <c r="Q25" s="132">
        <v>0.29566893789646681</v>
      </c>
      <c r="R25" s="132">
        <v>0.14252546437822322</v>
      </c>
      <c r="S25" s="132">
        <v>0.13318903264133974</v>
      </c>
      <c r="T25" s="132">
        <v>0.15806245167854915</v>
      </c>
      <c r="U25" s="132">
        <v>0.1691619791930907</v>
      </c>
      <c r="V25" s="132">
        <v>0.15446101665273546</v>
      </c>
      <c r="W25" s="132">
        <v>0.14689440917407073</v>
      </c>
      <c r="X25" s="132">
        <v>0.10157743211074623</v>
      </c>
      <c r="Y25" s="132">
        <v>0.10542668231786453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0.84086773254686553</v>
      </c>
      <c r="D26" s="65">
        <v>0.72421247381996356</v>
      </c>
      <c r="E26" s="65">
        <v>1.3573450746943843</v>
      </c>
      <c r="F26" s="65">
        <v>0.82234958122016621</v>
      </c>
      <c r="G26" s="65">
        <v>0.78437420908267974</v>
      </c>
      <c r="H26" s="65">
        <v>1.3868283312269243</v>
      </c>
      <c r="I26" s="65">
        <v>1.5333832886010241</v>
      </c>
      <c r="J26" s="65">
        <v>0.29488933157476355</v>
      </c>
      <c r="K26" s="65">
        <v>0.21380961671759552</v>
      </c>
      <c r="L26" s="65">
        <v>5.0868790501951304E-2</v>
      </c>
      <c r="M26" s="65">
        <v>0.12117555008121664</v>
      </c>
      <c r="N26" s="65">
        <v>1.7752157584636205E-2</v>
      </c>
      <c r="O26" s="65">
        <v>1.9035428091063841E-2</v>
      </c>
      <c r="P26" s="65">
        <v>0.33637884995025957</v>
      </c>
      <c r="Q26" s="65">
        <v>0.25897482983039616</v>
      </c>
      <c r="R26" s="65">
        <v>3.5608095882510314E-2</v>
      </c>
      <c r="S26" s="65">
        <v>5.9049506163604368E-2</v>
      </c>
      <c r="T26" s="65">
        <v>7.9851903816969508E-2</v>
      </c>
      <c r="U26" s="65">
        <v>8.1248876514074378E-2</v>
      </c>
      <c r="V26" s="65">
        <v>0.10152809951970816</v>
      </c>
      <c r="W26" s="65">
        <v>9.9906805073223248E-2</v>
      </c>
      <c r="X26" s="65">
        <v>0.7256325813620047</v>
      </c>
      <c r="Y26" s="65">
        <v>0.320303767800723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3.7756381299085255E-2</v>
      </c>
      <c r="D27" s="147">
        <v>9.6159092488343173E-2</v>
      </c>
      <c r="E27" s="147">
        <v>7.0878852579228449E-2</v>
      </c>
      <c r="F27" s="147">
        <v>0.12695085790682242</v>
      </c>
      <c r="G27" s="147">
        <v>0.11169978294120467</v>
      </c>
      <c r="H27" s="147">
        <v>0.15808160052083278</v>
      </c>
      <c r="I27" s="147">
        <v>0.16528993157688443</v>
      </c>
      <c r="J27" s="147">
        <v>0.24166651122695787</v>
      </c>
      <c r="K27" s="147">
        <v>0.17466230152808004</v>
      </c>
      <c r="L27" s="147">
        <v>0.13383974330026621</v>
      </c>
      <c r="M27" s="147">
        <v>0.26142633503165497</v>
      </c>
      <c r="N27" s="147">
        <v>5.820124657869527E-2</v>
      </c>
      <c r="O27" s="147">
        <v>4.6730120009712786E-2</v>
      </c>
      <c r="P27" s="147">
        <v>0.44696585377610276</v>
      </c>
      <c r="Q27" s="147">
        <v>0.4826935869562986</v>
      </c>
      <c r="R27" s="147">
        <v>0.16964489408273972</v>
      </c>
      <c r="S27" s="147">
        <v>0.1685156379368779</v>
      </c>
      <c r="T27" s="147">
        <v>0.21840192592875196</v>
      </c>
      <c r="U27" s="147">
        <v>0.24459935550117129</v>
      </c>
      <c r="V27" s="147">
        <v>0.33160926255849071</v>
      </c>
      <c r="W27" s="147">
        <v>0.34431515333695595</v>
      </c>
      <c r="X27" s="147">
        <v>0.12195204532895376</v>
      </c>
      <c r="Y27" s="147">
        <v>0.43284391822152118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2.5397201663660489</v>
      </c>
      <c r="D29" s="130">
        <f t="shared" si="12"/>
        <v>2.6648422348798659</v>
      </c>
      <c r="E29" s="130">
        <f t="shared" si="12"/>
        <v>3.5503123017407843</v>
      </c>
      <c r="F29" s="130">
        <f t="shared" si="12"/>
        <v>2.7123827544559069</v>
      </c>
      <c r="G29" s="130">
        <f t="shared" si="12"/>
        <v>2.7173816565724982</v>
      </c>
      <c r="H29" s="130">
        <f t="shared" si="12"/>
        <v>3.8955308338515389</v>
      </c>
      <c r="I29" s="130">
        <f t="shared" si="12"/>
        <v>4.1366352248766436</v>
      </c>
      <c r="J29" s="130">
        <f t="shared" si="12"/>
        <v>2.0716608853683689</v>
      </c>
      <c r="K29" s="130">
        <f t="shared" si="12"/>
        <v>1.6380902398126203</v>
      </c>
      <c r="L29" s="130">
        <f t="shared" si="12"/>
        <v>0.81712711952123829</v>
      </c>
      <c r="M29" s="130">
        <f t="shared" si="12"/>
        <v>1.4468362519975242</v>
      </c>
      <c r="N29" s="130">
        <f t="shared" si="12"/>
        <v>0.37604085612993804</v>
      </c>
      <c r="O29" s="130">
        <f t="shared" si="12"/>
        <v>0.37967352883732763</v>
      </c>
      <c r="P29" s="130">
        <f t="shared" si="12"/>
        <v>3.1539674761171703</v>
      </c>
      <c r="Q29" s="130">
        <f t="shared" si="12"/>
        <v>3.5452902685077912</v>
      </c>
      <c r="R29" s="130">
        <f t="shared" ref="R29:W29" si="13">SUM(R30:R33)</f>
        <v>1.4900615377004718</v>
      </c>
      <c r="S29" s="130">
        <f t="shared" si="13"/>
        <v>1.3813096911052103</v>
      </c>
      <c r="T29" s="130">
        <f t="shared" si="13"/>
        <v>1.6439204225663333</v>
      </c>
      <c r="U29" s="130">
        <f t="shared" si="13"/>
        <v>1.6819019627659368</v>
      </c>
      <c r="V29" s="130">
        <f t="shared" si="13"/>
        <v>1.4675266795874107</v>
      </c>
      <c r="W29" s="130">
        <f t="shared" si="13"/>
        <v>1.6365172086277808</v>
      </c>
      <c r="X29" s="130">
        <f t="shared" ref="X29:Y29" si="14">SUM(X30:X33)</f>
        <v>1.7246682716172499</v>
      </c>
      <c r="Y29" s="130">
        <f t="shared" si="14"/>
        <v>1.5213865049994664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0.50223937312088607</v>
      </c>
      <c r="D30" s="132">
        <v>0.28913664013077439</v>
      </c>
      <c r="E30" s="132">
        <v>0.40916007808861143</v>
      </c>
      <c r="F30" s="132">
        <v>0.28544575375807846</v>
      </c>
      <c r="G30" s="132">
        <v>0.18884494663793963</v>
      </c>
      <c r="H30" s="132">
        <v>0.29290415118661445</v>
      </c>
      <c r="I30" s="132">
        <v>0.26138849629096694</v>
      </c>
      <c r="J30" s="132">
        <v>0.23236280059785935</v>
      </c>
      <c r="K30" s="132">
        <v>0.18345236036110726</v>
      </c>
      <c r="L30" s="132">
        <v>9.1789117286468311E-2</v>
      </c>
      <c r="M30" s="132">
        <v>0.14262856091279535</v>
      </c>
      <c r="N30" s="132">
        <v>4.09457588068661E-2</v>
      </c>
      <c r="O30" s="132">
        <v>2.9815109240133916E-2</v>
      </c>
      <c r="P30" s="132">
        <v>0.22383180244481463</v>
      </c>
      <c r="Q30" s="132">
        <v>0.26012692902783113</v>
      </c>
      <c r="R30" s="132">
        <v>0.1484862608986546</v>
      </c>
      <c r="S30" s="132">
        <v>9.2668494101599344E-2</v>
      </c>
      <c r="T30" s="132">
        <v>0.11720253537114918</v>
      </c>
      <c r="U30" s="132">
        <v>0.16876712027730723</v>
      </c>
      <c r="V30" s="132">
        <v>0.10594411375692164</v>
      </c>
      <c r="W30" s="132">
        <v>6.3667852454793117E-2</v>
      </c>
      <c r="X30" s="132">
        <v>0</v>
      </c>
      <c r="Y30" s="132">
        <v>0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0.25424292158462219</v>
      </c>
      <c r="D31" s="132">
        <v>0.29697173106102603</v>
      </c>
      <c r="E31" s="132">
        <v>0.36692836995666939</v>
      </c>
      <c r="F31" s="132">
        <v>0.28078524741169963</v>
      </c>
      <c r="G31" s="132">
        <v>0.31668808475119925</v>
      </c>
      <c r="H31" s="132">
        <v>0.38729633379529965</v>
      </c>
      <c r="I31" s="132">
        <v>0.43669437513905551</v>
      </c>
      <c r="J31" s="132">
        <v>0.25298303851838977</v>
      </c>
      <c r="K31" s="132">
        <v>0.19279319981248458</v>
      </c>
      <c r="L31" s="132">
        <v>0.10399757895624055</v>
      </c>
      <c r="M31" s="132">
        <v>0.18301129960054124</v>
      </c>
      <c r="N31" s="132">
        <v>5.7521380960556742E-2</v>
      </c>
      <c r="O31" s="132">
        <v>4.8467933955625632E-2</v>
      </c>
      <c r="P31" s="132">
        <v>0.34369854268056932</v>
      </c>
      <c r="Q31" s="132">
        <v>0.45627679409551497</v>
      </c>
      <c r="R31" s="132">
        <v>0.21804698224754215</v>
      </c>
      <c r="S31" s="132">
        <v>0.20991821159521942</v>
      </c>
      <c r="T31" s="132">
        <v>0.21356732658766653</v>
      </c>
      <c r="U31" s="132">
        <v>0.20000940921093974</v>
      </c>
      <c r="V31" s="132">
        <v>0.31189132652785428</v>
      </c>
      <c r="W31" s="132">
        <v>0.39073756314809527</v>
      </c>
      <c r="X31" s="132">
        <v>0.68629465179326887</v>
      </c>
      <c r="Y31" s="132">
        <v>0.50015533788685074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0.11076970263440079</v>
      </c>
      <c r="L32" s="132">
        <v>1.449570347292611E-2</v>
      </c>
      <c r="M32" s="132">
        <v>1.0146765812256675E-2</v>
      </c>
      <c r="N32" s="132">
        <v>2.1982865559025906E-4</v>
      </c>
      <c r="O32" s="132">
        <v>3.2932946844555909E-4</v>
      </c>
      <c r="P32" s="132">
        <v>2.5937773158363603E-3</v>
      </c>
      <c r="Q32" s="132">
        <v>8.6928411830531332E-3</v>
      </c>
      <c r="R32" s="132">
        <v>7.930577796024069E-3</v>
      </c>
      <c r="S32" s="132">
        <v>9.4676472625952867E-3</v>
      </c>
      <c r="T32" s="132">
        <v>3.3275275267368676E-2</v>
      </c>
      <c r="U32" s="132">
        <v>3.2477738729411162E-2</v>
      </c>
      <c r="V32" s="132">
        <v>1.9575043774381018E-2</v>
      </c>
      <c r="W32" s="132">
        <v>3.0622297143274555E-2</v>
      </c>
      <c r="X32" s="132">
        <v>1.0546983040403584E-2</v>
      </c>
      <c r="Y32" s="132">
        <v>1.7027165497999257E-2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1.7832378716605404</v>
      </c>
      <c r="D33" s="68">
        <v>2.0787338636880652</v>
      </c>
      <c r="E33" s="68">
        <v>2.7742238536955037</v>
      </c>
      <c r="F33" s="68">
        <v>2.1461517532861287</v>
      </c>
      <c r="G33" s="68">
        <v>2.2118486251833591</v>
      </c>
      <c r="H33" s="68">
        <v>3.215330348869625</v>
      </c>
      <c r="I33" s="68">
        <v>3.4385523534466209</v>
      </c>
      <c r="J33" s="68">
        <v>1.5863150462521196</v>
      </c>
      <c r="K33" s="68">
        <v>1.1510749770046276</v>
      </c>
      <c r="L33" s="68">
        <v>0.60684471980560328</v>
      </c>
      <c r="M33" s="68">
        <v>1.1110496256719309</v>
      </c>
      <c r="N33" s="68">
        <v>0.27735388770692493</v>
      </c>
      <c r="O33" s="68">
        <v>0.30106115617312251</v>
      </c>
      <c r="P33" s="68">
        <v>2.5838433536759502</v>
      </c>
      <c r="Q33" s="68">
        <v>2.820193704201392</v>
      </c>
      <c r="R33" s="68">
        <v>1.1155977167582509</v>
      </c>
      <c r="S33" s="68">
        <v>1.0692553381457963</v>
      </c>
      <c r="T33" s="68">
        <v>1.2798752853401489</v>
      </c>
      <c r="U33" s="68">
        <v>1.2806476945482788</v>
      </c>
      <c r="V33" s="68">
        <v>1.0301161955282536</v>
      </c>
      <c r="W33" s="68">
        <v>1.151489495881618</v>
      </c>
      <c r="X33" s="68">
        <v>1.0278266367835773</v>
      </c>
      <c r="Y33" s="68">
        <v>1.0042040016146163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13.381591757224173</v>
      </c>
      <c r="D3" s="125">
        <f t="shared" si="0"/>
        <v>14.385960801512141</v>
      </c>
      <c r="E3" s="125">
        <f t="shared" si="0"/>
        <v>22.020636463634354</v>
      </c>
      <c r="F3" s="125">
        <f t="shared" si="0"/>
        <v>14.42789041810417</v>
      </c>
      <c r="G3" s="125">
        <f t="shared" si="0"/>
        <v>14.691026139608077</v>
      </c>
      <c r="H3" s="125">
        <f t="shared" si="0"/>
        <v>19.893896969700965</v>
      </c>
      <c r="I3" s="125">
        <f t="shared" si="0"/>
        <v>20.274114017488738</v>
      </c>
      <c r="J3" s="125">
        <f t="shared" si="0"/>
        <v>9.8320519229201153</v>
      </c>
      <c r="K3" s="125">
        <f t="shared" si="0"/>
        <v>6.9584182091224935</v>
      </c>
      <c r="L3" s="125">
        <f t="shared" si="0"/>
        <v>3.7158166635577725</v>
      </c>
      <c r="M3" s="125">
        <f t="shared" si="0"/>
        <v>6.4662302236190543</v>
      </c>
      <c r="N3" s="125">
        <f t="shared" si="0"/>
        <v>1.6829150752976201</v>
      </c>
      <c r="O3" s="125">
        <f t="shared" si="0"/>
        <v>1.4813414202624355</v>
      </c>
      <c r="P3" s="125">
        <f t="shared" si="0"/>
        <v>10.753554457030971</v>
      </c>
      <c r="Q3" s="125">
        <f t="shared" si="0"/>
        <v>14.421787164209197</v>
      </c>
      <c r="R3" s="125">
        <f t="shared" ref="R3:W3" si="1">SUM(R4,R16,R19,R29)</f>
        <v>5.3346687612151822</v>
      </c>
      <c r="S3" s="125">
        <f t="shared" si="1"/>
        <v>5.5708544970403189</v>
      </c>
      <c r="T3" s="125">
        <f t="shared" si="1"/>
        <v>6.247430262128975</v>
      </c>
      <c r="U3" s="125">
        <f t="shared" si="1"/>
        <v>6.4337904542465925</v>
      </c>
      <c r="V3" s="125">
        <f t="shared" si="1"/>
        <v>5.4538748529642982</v>
      </c>
      <c r="W3" s="125">
        <f t="shared" si="1"/>
        <v>5.7984623058394096</v>
      </c>
      <c r="X3" s="125">
        <f t="shared" ref="X3:Y3" si="2">SUM(X4,X16,X19,X29)</f>
        <v>5.8104335697282696</v>
      </c>
      <c r="Y3" s="125">
        <f t="shared" si="2"/>
        <v>5.1543842578022243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7.5527589582706387</v>
      </c>
      <c r="D4" s="130">
        <f t="shared" si="3"/>
        <v>8.1683198079138855</v>
      </c>
      <c r="E4" s="130">
        <f t="shared" si="3"/>
        <v>10.953015335477144</v>
      </c>
      <c r="F4" s="130">
        <f t="shared" si="3"/>
        <v>8.0971929822627171</v>
      </c>
      <c r="G4" s="130">
        <f t="shared" si="3"/>
        <v>8.3320904599073717</v>
      </c>
      <c r="H4" s="130">
        <f t="shared" si="3"/>
        <v>10.406229541445645</v>
      </c>
      <c r="I4" s="130">
        <f t="shared" si="3"/>
        <v>10.162423610829803</v>
      </c>
      <c r="J4" s="130">
        <f t="shared" si="3"/>
        <v>5.0249537553279628</v>
      </c>
      <c r="K4" s="130">
        <f t="shared" si="3"/>
        <v>3.4420454079488825</v>
      </c>
      <c r="L4" s="130">
        <f t="shared" si="3"/>
        <v>1.9335995728690583</v>
      </c>
      <c r="M4" s="130">
        <f t="shared" si="3"/>
        <v>3.1979145766031283</v>
      </c>
      <c r="N4" s="130">
        <f t="shared" si="3"/>
        <v>0.70330732802258278</v>
      </c>
      <c r="O4" s="130">
        <f t="shared" si="3"/>
        <v>0.65386220890643831</v>
      </c>
      <c r="P4" s="130">
        <f t="shared" si="3"/>
        <v>4.3675712808036558</v>
      </c>
      <c r="Q4" s="130">
        <f t="shared" si="3"/>
        <v>5.7024228458328405</v>
      </c>
      <c r="R4" s="130">
        <f t="shared" ref="R4:W4" si="4">SUM(R5:R15)</f>
        <v>2.276824169349668</v>
      </c>
      <c r="S4" s="130">
        <f t="shared" si="4"/>
        <v>2.2739660925138971</v>
      </c>
      <c r="T4" s="130">
        <f t="shared" si="4"/>
        <v>2.7680947589341653</v>
      </c>
      <c r="U4" s="130">
        <f t="shared" si="4"/>
        <v>2.6506511648246089</v>
      </c>
      <c r="V4" s="130">
        <f t="shared" si="4"/>
        <v>2.2627742930057271</v>
      </c>
      <c r="W4" s="130">
        <f t="shared" si="4"/>
        <v>2.2537908855226383</v>
      </c>
      <c r="X4" s="130">
        <f t="shared" ref="X4:Y4" si="5">SUM(X5:X15)</f>
        <v>2.1096110550551948</v>
      </c>
      <c r="Y4" s="130">
        <f t="shared" si="5"/>
        <v>1.8898142190897456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3.0163092709085352E-2</v>
      </c>
      <c r="D5" s="132">
        <v>4.0322950951011974E-2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2.7652652072409533E-2</v>
      </c>
      <c r="K5" s="132">
        <v>1.3947020504545157E-2</v>
      </c>
      <c r="L5" s="132">
        <v>1.1589508007942857E-2</v>
      </c>
      <c r="M5" s="132">
        <v>3.5920408335148944E-2</v>
      </c>
      <c r="N5" s="132">
        <v>8.3784983419737547E-3</v>
      </c>
      <c r="O5" s="132">
        <v>0</v>
      </c>
      <c r="P5" s="132">
        <v>0</v>
      </c>
      <c r="Q5" s="132">
        <v>0</v>
      </c>
      <c r="R5" s="132">
        <v>0</v>
      </c>
      <c r="S5" s="132">
        <v>9.8826629463158629E-4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2.4579512046496466</v>
      </c>
      <c r="D7" s="132">
        <v>2.6922366168348764</v>
      </c>
      <c r="E7" s="132">
        <v>3.1700055687777433</v>
      </c>
      <c r="F7" s="132">
        <v>0.9001210568667849</v>
      </c>
      <c r="G7" s="132">
        <v>6.6081225658184042E-2</v>
      </c>
      <c r="H7" s="132">
        <v>0</v>
      </c>
      <c r="I7" s="132">
        <v>0</v>
      </c>
      <c r="J7" s="132">
        <v>0</v>
      </c>
      <c r="K7" s="132">
        <v>0.12750236640631599</v>
      </c>
      <c r="L7" s="132">
        <v>0.16369766711058872</v>
      </c>
      <c r="M7" s="132">
        <v>0.40136511920850815</v>
      </c>
      <c r="N7" s="132">
        <v>9.6909894537845417E-2</v>
      </c>
      <c r="O7" s="132">
        <v>9.1524965952298046E-2</v>
      </c>
      <c r="P7" s="132">
        <v>0.19067462548217592</v>
      </c>
      <c r="Q7" s="132">
        <v>0.7185960282400975</v>
      </c>
      <c r="R7" s="132">
        <v>0.21508643109328562</v>
      </c>
      <c r="S7" s="132">
        <v>0.10053595588533586</v>
      </c>
      <c r="T7" s="132">
        <v>0</v>
      </c>
      <c r="U7" s="132">
        <v>0</v>
      </c>
      <c r="V7" s="132">
        <v>0</v>
      </c>
      <c r="W7" s="132">
        <v>0</v>
      </c>
      <c r="X7" s="132">
        <v>3.6484048217299204E-2</v>
      </c>
      <c r="Y7" s="132">
        <v>0.1069219938100935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2.040630914695678</v>
      </c>
      <c r="D9" s="132">
        <v>1.2578215593359043</v>
      </c>
      <c r="E9" s="132">
        <v>2.1779911020399112</v>
      </c>
      <c r="F9" s="132">
        <v>1.9442672432146804</v>
      </c>
      <c r="G9" s="132">
        <v>2.4439090822597582</v>
      </c>
      <c r="H9" s="132">
        <v>2.6507096949006854</v>
      </c>
      <c r="I9" s="132">
        <v>2.3508758321950842</v>
      </c>
      <c r="J9" s="132">
        <v>1.5040644063788011</v>
      </c>
      <c r="K9" s="132">
        <v>1.1770326098723962</v>
      </c>
      <c r="L9" s="132">
        <v>0.68483361101259699</v>
      </c>
      <c r="M9" s="132">
        <v>0.52710188093050403</v>
      </c>
      <c r="N9" s="132">
        <v>0.21384095117151442</v>
      </c>
      <c r="O9" s="132">
        <v>0.30650748255940841</v>
      </c>
      <c r="P9" s="132">
        <v>2.7898195307411231</v>
      </c>
      <c r="Q9" s="132">
        <v>3.9890828438714419</v>
      </c>
      <c r="R9" s="132">
        <v>0.91969013866621729</v>
      </c>
      <c r="S9" s="132">
        <v>0.60008200548624924</v>
      </c>
      <c r="T9" s="132">
        <v>0.81042281333980304</v>
      </c>
      <c r="U9" s="132">
        <v>0.97086138596907479</v>
      </c>
      <c r="V9" s="132">
        <v>0.84878050656367099</v>
      </c>
      <c r="W9" s="132">
        <v>0.57064117673040926</v>
      </c>
      <c r="X9" s="132">
        <v>0</v>
      </c>
      <c r="Y9" s="132">
        <v>3.9441273840886151E-2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0.45917376266463505</v>
      </c>
      <c r="J10" s="132">
        <v>5.2131385199491849E-2</v>
      </c>
      <c r="K10" s="132">
        <v>5.118345138444412E-2</v>
      </c>
      <c r="L10" s="132">
        <v>2.740643814086592E-3</v>
      </c>
      <c r="M10" s="132">
        <v>2.4714059730395782E-2</v>
      </c>
      <c r="N10" s="132">
        <v>5.5908820510761773E-3</v>
      </c>
      <c r="O10" s="132">
        <v>9.2111115887007905E-3</v>
      </c>
      <c r="P10" s="132">
        <v>0.14745529087251641</v>
      </c>
      <c r="Q10" s="132">
        <v>0.15031348425289318</v>
      </c>
      <c r="R10" s="132">
        <v>8.0818885807643293E-2</v>
      </c>
      <c r="S10" s="132">
        <v>6.3527251004265581E-2</v>
      </c>
      <c r="T10" s="132">
        <v>9.006155959488675E-2</v>
      </c>
      <c r="U10" s="132">
        <v>9.4225284841120541E-2</v>
      </c>
      <c r="V10" s="132">
        <v>9.1767653162940929E-2</v>
      </c>
      <c r="W10" s="132">
        <v>5.4739343942041926E-2</v>
      </c>
      <c r="X10" s="132">
        <v>4.1430297591130621E-2</v>
      </c>
      <c r="Y10" s="132">
        <v>3.7220245669777975E-2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1.2000592439288662</v>
      </c>
      <c r="J11" s="132">
        <v>0.18521731054807358</v>
      </c>
      <c r="K11" s="132">
        <v>0.12156187519685716</v>
      </c>
      <c r="L11" s="132">
        <v>0.14034468380677603</v>
      </c>
      <c r="M11" s="132">
        <v>0.12248151719584972</v>
      </c>
      <c r="N11" s="132">
        <v>1.7309335184357684E-2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3.0026447424463875E-2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0.85432820845049628</v>
      </c>
      <c r="D12" s="132">
        <v>1.4272974811354888</v>
      </c>
      <c r="E12" s="132">
        <v>2.3109930299698798</v>
      </c>
      <c r="F12" s="132">
        <v>1.4285498484358059</v>
      </c>
      <c r="G12" s="132">
        <v>1.5675874931983345</v>
      </c>
      <c r="H12" s="132">
        <v>1.1910149641602263</v>
      </c>
      <c r="I12" s="132">
        <v>1.4157315040700984</v>
      </c>
      <c r="J12" s="132">
        <v>0.98353862680720605</v>
      </c>
      <c r="K12" s="132">
        <v>0.92730729639195519</v>
      </c>
      <c r="L12" s="132">
        <v>0.60477017539537425</v>
      </c>
      <c r="M12" s="132">
        <v>0.91634621368546321</v>
      </c>
      <c r="N12" s="132">
        <v>0.22493066099332004</v>
      </c>
      <c r="O12" s="132">
        <v>0.15761454986921924</v>
      </c>
      <c r="P12" s="132">
        <v>6.4342625224445213E-2</v>
      </c>
      <c r="Q12" s="132">
        <v>5.7463666363827014E-2</v>
      </c>
      <c r="R12" s="132">
        <v>5.7373042666921288E-3</v>
      </c>
      <c r="S12" s="132">
        <v>0</v>
      </c>
      <c r="T12" s="132">
        <v>0.10410720040289946</v>
      </c>
      <c r="U12" s="132">
        <v>0.31162443743841117</v>
      </c>
      <c r="V12" s="132">
        <v>0.47129289127419072</v>
      </c>
      <c r="W12" s="132">
        <v>0.37785608900287232</v>
      </c>
      <c r="X12" s="132">
        <v>0.1621520508706433</v>
      </c>
      <c r="Y12" s="132">
        <v>0.28976028969764911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2.0771063350124925</v>
      </c>
      <c r="D14" s="65">
        <v>2.6675784413782089</v>
      </c>
      <c r="E14" s="65">
        <v>3.1824158504880669</v>
      </c>
      <c r="F14" s="65">
        <v>3.7650311925439577</v>
      </c>
      <c r="G14" s="65">
        <v>4.2017372111641986</v>
      </c>
      <c r="H14" s="65">
        <v>6.511733927049379</v>
      </c>
      <c r="I14" s="65">
        <v>4.6795567762239552</v>
      </c>
      <c r="J14" s="65">
        <v>2.2404262467075586</v>
      </c>
      <c r="K14" s="65">
        <v>0.99606445187768755</v>
      </c>
      <c r="L14" s="65">
        <v>0.30795506052262867</v>
      </c>
      <c r="M14" s="65">
        <v>1.1495502046524368</v>
      </c>
      <c r="N14" s="65">
        <v>0.13006591391202987</v>
      </c>
      <c r="O14" s="65">
        <v>8.1730263567889844E-2</v>
      </c>
      <c r="P14" s="65">
        <v>1.1251597749877091</v>
      </c>
      <c r="Q14" s="65">
        <v>0.7092042239650056</v>
      </c>
      <c r="R14" s="65">
        <v>1.0365325504300653</v>
      </c>
      <c r="S14" s="65">
        <v>1.4970827292596307</v>
      </c>
      <c r="T14" s="65">
        <v>1.7494272390469412</v>
      </c>
      <c r="U14" s="65">
        <v>1.2564929275629391</v>
      </c>
      <c r="V14" s="65">
        <v>0.83484600653253194</v>
      </c>
      <c r="W14" s="65">
        <v>1.2395626705923888</v>
      </c>
      <c r="X14" s="65">
        <v>1.8679932825338441</v>
      </c>
      <c r="Y14" s="65">
        <v>1.3825524778387259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9.2579202753238721E-2</v>
      </c>
      <c r="D15" s="134">
        <v>8.3062758278394155E-2</v>
      </c>
      <c r="E15" s="134">
        <v>0.11160978420154281</v>
      </c>
      <c r="F15" s="134">
        <v>5.9223641201488389E-2</v>
      </c>
      <c r="G15" s="134">
        <v>5.2775447626895546E-2</v>
      </c>
      <c r="H15" s="134">
        <v>5.2770955335353885E-2</v>
      </c>
      <c r="I15" s="134">
        <v>5.7026491747163857E-2</v>
      </c>
      <c r="J15" s="134">
        <v>3.1923127614421717E-2</v>
      </c>
      <c r="K15" s="134">
        <v>2.7446336314681019E-2</v>
      </c>
      <c r="L15" s="134">
        <v>1.7668223199064161E-2</v>
      </c>
      <c r="M15" s="134">
        <v>2.0435172864821702E-2</v>
      </c>
      <c r="N15" s="134">
        <v>6.2811918304655134E-3</v>
      </c>
      <c r="O15" s="134">
        <v>7.2738353689220043E-3</v>
      </c>
      <c r="P15" s="134">
        <v>5.0119433495685733E-2</v>
      </c>
      <c r="Q15" s="134">
        <v>7.7762599139575866E-2</v>
      </c>
      <c r="R15" s="134">
        <v>1.8958859085764477E-2</v>
      </c>
      <c r="S15" s="134">
        <v>1.1749884583783956E-2</v>
      </c>
      <c r="T15" s="134">
        <v>1.4075946549634582E-2</v>
      </c>
      <c r="U15" s="134">
        <v>1.7447129013063237E-2</v>
      </c>
      <c r="V15" s="134">
        <v>1.6087235472392627E-2</v>
      </c>
      <c r="W15" s="134">
        <v>1.0991605254925808E-2</v>
      </c>
      <c r="X15" s="134">
        <v>1.5513758422773661E-3</v>
      </c>
      <c r="Y15" s="134">
        <v>3.8914908081490217E-3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2.5358556255388289</v>
      </c>
      <c r="D16" s="130">
        <f t="shared" si="6"/>
        <v>2.637073160396481</v>
      </c>
      <c r="E16" s="130">
        <f t="shared" si="6"/>
        <v>6.2493648413827909</v>
      </c>
      <c r="F16" s="130">
        <f t="shared" si="6"/>
        <v>2.6221637596807614</v>
      </c>
      <c r="G16" s="130">
        <f t="shared" si="6"/>
        <v>2.6187516537422724</v>
      </c>
      <c r="H16" s="130">
        <f t="shared" si="6"/>
        <v>4.1903228793195844</v>
      </c>
      <c r="I16" s="130">
        <f t="shared" si="6"/>
        <v>4.5233309050904014</v>
      </c>
      <c r="J16" s="130">
        <f t="shared" si="6"/>
        <v>2.0661171288460527</v>
      </c>
      <c r="K16" s="130">
        <f t="shared" si="6"/>
        <v>1.4330079978238788</v>
      </c>
      <c r="L16" s="130">
        <f t="shared" si="6"/>
        <v>0.72458079110601148</v>
      </c>
      <c r="M16" s="130">
        <f t="shared" si="6"/>
        <v>1.3763175980053011</v>
      </c>
      <c r="N16" s="130">
        <f t="shared" si="6"/>
        <v>0.49254825716780903</v>
      </c>
      <c r="O16" s="130">
        <f t="shared" si="6"/>
        <v>0.32641387919577847</v>
      </c>
      <c r="P16" s="130">
        <f t="shared" si="6"/>
        <v>2.2073070893870699</v>
      </c>
      <c r="Q16" s="130">
        <f t="shared" si="6"/>
        <v>4.0195915076438169</v>
      </c>
      <c r="R16" s="130">
        <f t="shared" ref="R16:W16" si="7">SUM(R17:R18)</f>
        <v>1.1063000553951636</v>
      </c>
      <c r="S16" s="130">
        <f t="shared" si="7"/>
        <v>1.4536113318645689</v>
      </c>
      <c r="T16" s="130">
        <f t="shared" si="7"/>
        <v>1.2649641268546636</v>
      </c>
      <c r="U16" s="130">
        <f t="shared" si="7"/>
        <v>1.5118315211787277</v>
      </c>
      <c r="V16" s="130">
        <f t="shared" si="7"/>
        <v>1.1532796390383486</v>
      </c>
      <c r="W16" s="130">
        <f t="shared" si="7"/>
        <v>1.3833585431315525</v>
      </c>
      <c r="X16" s="130">
        <f t="shared" ref="X16:Y16" si="8">SUM(X17:X18)</f>
        <v>1.4548104810094107</v>
      </c>
      <c r="Y16" s="130">
        <f t="shared" si="8"/>
        <v>1.2065831006554018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2.3942593044964772E-3</v>
      </c>
      <c r="D17" s="132">
        <v>4.1721425554493603E-3</v>
      </c>
      <c r="E17" s="132">
        <v>1.0469680393023517E-2</v>
      </c>
      <c r="F17" s="132">
        <v>4.0099398525971644E-3</v>
      </c>
      <c r="G17" s="132">
        <v>3.929742047615762E-3</v>
      </c>
      <c r="H17" s="132">
        <v>6.2022769417401829E-3</v>
      </c>
      <c r="I17" s="132">
        <v>5.5397870781571622E-3</v>
      </c>
      <c r="J17" s="132">
        <v>2.7639300807493676E-3</v>
      </c>
      <c r="K17" s="132">
        <v>2.7435299547959049E-3</v>
      </c>
      <c r="L17" s="132">
        <v>1.8041357495104018E-3</v>
      </c>
      <c r="M17" s="132">
        <v>3.1124652067423802E-3</v>
      </c>
      <c r="N17" s="132">
        <v>1.1346479876980537E-3</v>
      </c>
      <c r="O17" s="132">
        <v>1.1492445039062464E-3</v>
      </c>
      <c r="P17" s="132">
        <v>9.1968334607959914E-3</v>
      </c>
      <c r="Q17" s="132">
        <v>1.9653993229434365E-2</v>
      </c>
      <c r="R17" s="132">
        <v>5.6837988418655862E-3</v>
      </c>
      <c r="S17" s="132">
        <v>1.0651320505747795E-2</v>
      </c>
      <c r="T17" s="132">
        <v>1.2948084971600285E-2</v>
      </c>
      <c r="U17" s="132">
        <v>1.331319730451706E-2</v>
      </c>
      <c r="V17" s="132">
        <v>1.2631342888964883E-2</v>
      </c>
      <c r="W17" s="132">
        <v>6.8591913487607899E-3</v>
      </c>
      <c r="X17" s="132">
        <v>1.5263258447249092E-2</v>
      </c>
      <c r="Y17" s="132">
        <v>1.0467555192106185E-2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2.5334613662343326</v>
      </c>
      <c r="D18" s="132">
        <v>2.6329010178410317</v>
      </c>
      <c r="E18" s="132">
        <v>6.2388951609897676</v>
      </c>
      <c r="F18" s="132">
        <v>2.6181538198281644</v>
      </c>
      <c r="G18" s="132">
        <v>2.6148219116946567</v>
      </c>
      <c r="H18" s="132">
        <v>4.1841206023778446</v>
      </c>
      <c r="I18" s="132">
        <v>4.5177911180122443</v>
      </c>
      <c r="J18" s="132">
        <v>2.0633531987653035</v>
      </c>
      <c r="K18" s="132">
        <v>1.4302644678690828</v>
      </c>
      <c r="L18" s="132">
        <v>0.72277665535650104</v>
      </c>
      <c r="M18" s="132">
        <v>1.3732051327985586</v>
      </c>
      <c r="N18" s="132">
        <v>0.49141360918011096</v>
      </c>
      <c r="O18" s="132">
        <v>0.32526463469187222</v>
      </c>
      <c r="P18" s="132">
        <v>2.1981102559262737</v>
      </c>
      <c r="Q18" s="132">
        <v>3.9999375144143823</v>
      </c>
      <c r="R18" s="132">
        <v>1.100616256553298</v>
      </c>
      <c r="S18" s="132">
        <v>1.4429600113588212</v>
      </c>
      <c r="T18" s="132">
        <v>1.2520160418830633</v>
      </c>
      <c r="U18" s="132">
        <v>1.4985183238742106</v>
      </c>
      <c r="V18" s="132">
        <v>1.1406482961493838</v>
      </c>
      <c r="W18" s="132">
        <v>1.3764993517827917</v>
      </c>
      <c r="X18" s="132">
        <v>1.4395472225621615</v>
      </c>
      <c r="Y18" s="132">
        <v>1.1961155454632955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1.479343685473949</v>
      </c>
      <c r="D19" s="130">
        <f t="shared" si="9"/>
        <v>1.6346510658483446</v>
      </c>
      <c r="E19" s="130">
        <f t="shared" si="9"/>
        <v>2.2209767637069646</v>
      </c>
      <c r="F19" s="130">
        <f t="shared" si="9"/>
        <v>1.7159571852927478</v>
      </c>
      <c r="G19" s="130">
        <f t="shared" si="9"/>
        <v>1.7284028086671059</v>
      </c>
      <c r="H19" s="130">
        <f t="shared" si="9"/>
        <v>2.4002630244517222</v>
      </c>
      <c r="I19" s="130">
        <f t="shared" si="9"/>
        <v>2.5015877779423352</v>
      </c>
      <c r="J19" s="130">
        <f t="shared" si="9"/>
        <v>1.2186413720330076</v>
      </c>
      <c r="K19" s="130">
        <f t="shared" si="9"/>
        <v>0.89888431532786262</v>
      </c>
      <c r="L19" s="130">
        <f t="shared" si="9"/>
        <v>0.458576504670765</v>
      </c>
      <c r="M19" s="130">
        <f t="shared" si="9"/>
        <v>0.82072912367513018</v>
      </c>
      <c r="N19" s="130">
        <f t="shared" si="9"/>
        <v>0.20978662905085657</v>
      </c>
      <c r="O19" s="130">
        <f t="shared" si="9"/>
        <v>0.21535365787851235</v>
      </c>
      <c r="P19" s="130">
        <f t="shared" si="9"/>
        <v>1.7708290968296994</v>
      </c>
      <c r="Q19" s="130">
        <f t="shared" si="9"/>
        <v>1.9850997399420138</v>
      </c>
      <c r="R19" s="130">
        <f t="shared" ref="R19:W19" si="10">SUM(R20:R27)</f>
        <v>0.81097653746779341</v>
      </c>
      <c r="S19" s="130">
        <f t="shared" si="10"/>
        <v>0.75990963166187786</v>
      </c>
      <c r="T19" s="130">
        <f t="shared" si="10"/>
        <v>0.90109181169106456</v>
      </c>
      <c r="U19" s="130">
        <f t="shared" si="10"/>
        <v>0.91290586433595611</v>
      </c>
      <c r="V19" s="130">
        <f t="shared" si="10"/>
        <v>0.85777440664755344</v>
      </c>
      <c r="W19" s="130">
        <f t="shared" si="10"/>
        <v>0.83228719421932795</v>
      </c>
      <c r="X19" s="130">
        <f t="shared" ref="X19:Y19" si="11">SUM(X20:X27)</f>
        <v>0.88357528257471407</v>
      </c>
      <c r="Y19" s="130">
        <f t="shared" si="11"/>
        <v>0.82416717621142199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8.1819891927956814E-2</v>
      </c>
      <c r="D21" s="132">
        <v>9.1405809500716584E-2</v>
      </c>
      <c r="E21" s="132">
        <v>9.7502118116361419E-2</v>
      </c>
      <c r="F21" s="132">
        <v>7.5764992016685906E-2</v>
      </c>
      <c r="G21" s="132">
        <v>7.0140362154680932E-2</v>
      </c>
      <c r="H21" s="132">
        <v>9.5847947360512026E-2</v>
      </c>
      <c r="I21" s="132">
        <v>0.10248665058223486</v>
      </c>
      <c r="J21" s="132">
        <v>6.9332853416485998E-2</v>
      </c>
      <c r="K21" s="132">
        <v>5.6407813472784944E-2</v>
      </c>
      <c r="L21" s="132">
        <v>2.4157555496869512E-2</v>
      </c>
      <c r="M21" s="132">
        <v>3.4669207982618563E-2</v>
      </c>
      <c r="N21" s="132">
        <v>8.5021672126833776E-3</v>
      </c>
      <c r="O21" s="132">
        <v>9.7698726220101176E-3</v>
      </c>
      <c r="P21" s="132">
        <v>7.4888318815679561E-2</v>
      </c>
      <c r="Q21" s="132">
        <v>7.5254465487771913E-2</v>
      </c>
      <c r="R21" s="132">
        <v>2.2960806882765545E-2</v>
      </c>
      <c r="S21" s="132">
        <v>1.7590577828627919E-2</v>
      </c>
      <c r="T21" s="132">
        <v>1.3243939402630248E-2</v>
      </c>
      <c r="U21" s="132">
        <v>9.6102067388492279E-3</v>
      </c>
      <c r="V21" s="132">
        <v>9.0879717893941978E-3</v>
      </c>
      <c r="W21" s="132">
        <v>1.8434608852872916E-2</v>
      </c>
      <c r="X21" s="132">
        <v>1.7001582342012676E-2</v>
      </c>
      <c r="Y21" s="132">
        <v>4.2543721132049812E-3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0.16097704663517451</v>
      </c>
      <c r="D22" s="132">
        <v>0.20207065339592328</v>
      </c>
      <c r="E22" s="132">
        <v>0.2533024022376445</v>
      </c>
      <c r="F22" s="132">
        <v>0.21155268990281037</v>
      </c>
      <c r="G22" s="132">
        <v>0.24560453243810956</v>
      </c>
      <c r="H22" s="132">
        <v>0.3023466883081079</v>
      </c>
      <c r="I22" s="132">
        <v>0.31336712451505766</v>
      </c>
      <c r="J22" s="132">
        <v>0.15335447998045201</v>
      </c>
      <c r="K22" s="132">
        <v>9.5193328025848636E-2</v>
      </c>
      <c r="L22" s="132">
        <v>3.0967113386110027E-2</v>
      </c>
      <c r="M22" s="132">
        <v>2.7857838770169282E-2</v>
      </c>
      <c r="N22" s="132">
        <v>5.0722674927147606E-3</v>
      </c>
      <c r="O22" s="132">
        <v>8.417625241771455E-3</v>
      </c>
      <c r="P22" s="132">
        <v>2.3608837116398818E-2</v>
      </c>
      <c r="Q22" s="132">
        <v>7.6445778606270942E-2</v>
      </c>
      <c r="R22" s="132">
        <v>5.0287661289574778E-2</v>
      </c>
      <c r="S22" s="132">
        <v>6.737951488020677E-2</v>
      </c>
      <c r="T22" s="132">
        <v>7.8035449698096088E-2</v>
      </c>
      <c r="U22" s="132">
        <v>8.2272146834069304E-2</v>
      </c>
      <c r="V22" s="132">
        <v>4.9065129508937121E-2</v>
      </c>
      <c r="W22" s="132">
        <v>3.9657555388254773E-2</v>
      </c>
      <c r="X22" s="132">
        <v>0</v>
      </c>
      <c r="Y22" s="132">
        <v>0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0.43310546755015172</v>
      </c>
      <c r="D23" s="132">
        <v>0.53740568611782547</v>
      </c>
      <c r="E23" s="132">
        <v>0.62309384277786162</v>
      </c>
      <c r="F23" s="132">
        <v>0.50305406196029823</v>
      </c>
      <c r="G23" s="132">
        <v>0.49764469530410343</v>
      </c>
      <c r="H23" s="132">
        <v>0.58002045678235059</v>
      </c>
      <c r="I23" s="132">
        <v>0.56289326980302123</v>
      </c>
      <c r="J23" s="132">
        <v>0.35605258490791925</v>
      </c>
      <c r="K23" s="132">
        <v>0.27055992217588731</v>
      </c>
      <c r="L23" s="132">
        <v>0.14563032401568718</v>
      </c>
      <c r="M23" s="132">
        <v>0.25332120053925811</v>
      </c>
      <c r="N23" s="132">
        <v>7.7517355247629205E-2</v>
      </c>
      <c r="O23" s="132">
        <v>8.9864767291073969E-2</v>
      </c>
      <c r="P23" s="132">
        <v>0.75039518811694739</v>
      </c>
      <c r="Q23" s="132">
        <v>0.90009535827725617</v>
      </c>
      <c r="R23" s="132">
        <v>0.4184633890716577</v>
      </c>
      <c r="S23" s="132">
        <v>0.34398221705196985</v>
      </c>
      <c r="T23" s="132">
        <v>0.38805059107972317</v>
      </c>
      <c r="U23" s="132">
        <v>0.3596299643982277</v>
      </c>
      <c r="V23" s="132">
        <v>0.24387840638851827</v>
      </c>
      <c r="W23" s="132">
        <v>0.21125780316911677</v>
      </c>
      <c r="X23" s="132">
        <v>0</v>
      </c>
      <c r="Y23" s="132">
        <v>0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0.22523789645247144</v>
      </c>
      <c r="D25" s="132">
        <v>0.24045656778002958</v>
      </c>
      <c r="E25" s="132">
        <v>0.29718976629710475</v>
      </c>
      <c r="F25" s="132">
        <v>0.26396709983040489</v>
      </c>
      <c r="G25" s="132">
        <v>0.29115570248912193</v>
      </c>
      <c r="H25" s="132">
        <v>0.35432357285763871</v>
      </c>
      <c r="I25" s="132">
        <v>0.34688087250201216</v>
      </c>
      <c r="J25" s="132">
        <v>0.20280673538661573</v>
      </c>
      <c r="K25" s="132">
        <v>0.15947266203440369</v>
      </c>
      <c r="L25" s="132">
        <v>8.9813416375419952E-2</v>
      </c>
      <c r="M25" s="132">
        <v>0.16095518441228465</v>
      </c>
      <c r="N25" s="132">
        <v>4.8140246998601623E-2</v>
      </c>
      <c r="O25" s="132">
        <v>4.688797749962622E-2</v>
      </c>
      <c r="P25" s="132">
        <v>0.22315755268662008</v>
      </c>
      <c r="Q25" s="132">
        <v>0.24930434788669201</v>
      </c>
      <c r="R25" s="132">
        <v>0.12124885952164201</v>
      </c>
      <c r="S25" s="132">
        <v>0.11428182297207345</v>
      </c>
      <c r="T25" s="132">
        <v>0.13674202619593881</v>
      </c>
      <c r="U25" s="132">
        <v>0.14748946873883337</v>
      </c>
      <c r="V25" s="132">
        <v>0.13566324551708422</v>
      </c>
      <c r="W25" s="132">
        <v>0.12988592963665568</v>
      </c>
      <c r="X25" s="132">
        <v>9.0294143396029744E-2</v>
      </c>
      <c r="Y25" s="132">
        <v>9.4192623234650705E-2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0.54044700160910908</v>
      </c>
      <c r="D26" s="65">
        <v>0.46715325656550655</v>
      </c>
      <c r="E26" s="65">
        <v>0.87900978169876387</v>
      </c>
      <c r="F26" s="65">
        <v>0.53466748367572603</v>
      </c>
      <c r="G26" s="65">
        <v>0.51215773333988557</v>
      </c>
      <c r="H26" s="65">
        <v>0.9096427586222805</v>
      </c>
      <c r="I26" s="65">
        <v>1.0106699289631245</v>
      </c>
      <c r="J26" s="65">
        <v>0.19542820711457665</v>
      </c>
      <c r="K26" s="65">
        <v>0.14258828809085802</v>
      </c>
      <c r="L26" s="65">
        <v>3.4168352096412127E-2</v>
      </c>
      <c r="M26" s="65">
        <v>8.2499356939144591E-2</v>
      </c>
      <c r="N26" s="65">
        <v>1.2353345520532339E-2</v>
      </c>
      <c r="O26" s="65">
        <v>1.3683295214317838E-2</v>
      </c>
      <c r="P26" s="65">
        <v>0.25181334631795049</v>
      </c>
      <c r="Q26" s="65">
        <v>0.2013062027277242</v>
      </c>
      <c r="R26" s="65">
        <v>2.8370926619413598E-2</v>
      </c>
      <c r="S26" s="65">
        <v>4.8159860992122029E-2</v>
      </c>
      <c r="T26" s="65">
        <v>6.6617879385924367E-2</v>
      </c>
      <c r="U26" s="65">
        <v>6.9304722124805221E-2</v>
      </c>
      <c r="V26" s="65">
        <v>8.8470390885128813E-2</v>
      </c>
      <c r="W26" s="65">
        <v>8.873614383547189E-2</v>
      </c>
      <c r="X26" s="65">
        <v>0.65432751150771795</v>
      </c>
      <c r="Y26" s="65">
        <v>0.29287626264204508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3.7756381299085255E-2</v>
      </c>
      <c r="D27" s="147">
        <v>9.6159092488343173E-2</v>
      </c>
      <c r="E27" s="147">
        <v>7.0878852579228449E-2</v>
      </c>
      <c r="F27" s="147">
        <v>0.12695085790682242</v>
      </c>
      <c r="G27" s="147">
        <v>0.11169978294120467</v>
      </c>
      <c r="H27" s="147">
        <v>0.15808160052083278</v>
      </c>
      <c r="I27" s="147">
        <v>0.16528993157688443</v>
      </c>
      <c r="J27" s="147">
        <v>0.24166651122695787</v>
      </c>
      <c r="K27" s="147">
        <v>0.17466230152808004</v>
      </c>
      <c r="L27" s="147">
        <v>0.13383974330026621</v>
      </c>
      <c r="M27" s="147">
        <v>0.26142633503165497</v>
      </c>
      <c r="N27" s="147">
        <v>5.820124657869527E-2</v>
      </c>
      <c r="O27" s="147">
        <v>4.6730120009712786E-2</v>
      </c>
      <c r="P27" s="147">
        <v>0.44696585377610276</v>
      </c>
      <c r="Q27" s="147">
        <v>0.4826935869562986</v>
      </c>
      <c r="R27" s="147">
        <v>0.16964489408273972</v>
      </c>
      <c r="S27" s="147">
        <v>0.1685156379368779</v>
      </c>
      <c r="T27" s="147">
        <v>0.21840192592875196</v>
      </c>
      <c r="U27" s="147">
        <v>0.24459935550117129</v>
      </c>
      <c r="V27" s="147">
        <v>0.33160926255849071</v>
      </c>
      <c r="W27" s="147">
        <v>0.34431515333695595</v>
      </c>
      <c r="X27" s="147">
        <v>0.12195204532895376</v>
      </c>
      <c r="Y27" s="147">
        <v>0.43284391822152118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1.8136334879407561</v>
      </c>
      <c r="D29" s="130">
        <f t="shared" si="12"/>
        <v>1.9459167673534288</v>
      </c>
      <c r="E29" s="130">
        <f t="shared" si="12"/>
        <v>2.5972795230674568</v>
      </c>
      <c r="F29" s="130">
        <f t="shared" si="12"/>
        <v>1.9925764908679433</v>
      </c>
      <c r="G29" s="130">
        <f t="shared" si="12"/>
        <v>2.0117812172913276</v>
      </c>
      <c r="H29" s="130">
        <f t="shared" si="12"/>
        <v>2.8970815244840131</v>
      </c>
      <c r="I29" s="130">
        <f t="shared" si="12"/>
        <v>3.0867717236261969</v>
      </c>
      <c r="J29" s="130">
        <f t="shared" si="12"/>
        <v>1.5223396667130924</v>
      </c>
      <c r="K29" s="130">
        <f t="shared" si="12"/>
        <v>1.18448048802187</v>
      </c>
      <c r="L29" s="130">
        <f t="shared" si="12"/>
        <v>0.59905979491193762</v>
      </c>
      <c r="M29" s="130">
        <f t="shared" si="12"/>
        <v>1.0712689253354941</v>
      </c>
      <c r="N29" s="130">
        <f t="shared" si="12"/>
        <v>0.27727286105637172</v>
      </c>
      <c r="O29" s="130">
        <f t="shared" si="12"/>
        <v>0.28571167428170646</v>
      </c>
      <c r="P29" s="130">
        <f t="shared" si="12"/>
        <v>2.4078469900105457</v>
      </c>
      <c r="Q29" s="130">
        <f t="shared" si="12"/>
        <v>2.7146730707905262</v>
      </c>
      <c r="R29" s="130">
        <f t="shared" ref="R29:W29" si="13">SUM(R30:R33)</f>
        <v>1.1405679990025575</v>
      </c>
      <c r="S29" s="130">
        <f t="shared" si="13"/>
        <v>1.083367440999975</v>
      </c>
      <c r="T29" s="130">
        <f t="shared" si="13"/>
        <v>1.3132795646490807</v>
      </c>
      <c r="U29" s="130">
        <f t="shared" si="13"/>
        <v>1.3584019039072994</v>
      </c>
      <c r="V29" s="130">
        <f t="shared" si="13"/>
        <v>1.1800465142726688</v>
      </c>
      <c r="W29" s="130">
        <f t="shared" si="13"/>
        <v>1.3290256829658911</v>
      </c>
      <c r="X29" s="130">
        <f t="shared" ref="X29:Y29" si="14">SUM(X30:X33)</f>
        <v>1.3624367510889501</v>
      </c>
      <c r="Y29" s="130">
        <f t="shared" si="14"/>
        <v>1.2338197618456554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0.29073072817595841</v>
      </c>
      <c r="D30" s="132">
        <v>0.16754683738475373</v>
      </c>
      <c r="E30" s="132">
        <v>0.23734432434574715</v>
      </c>
      <c r="F30" s="132">
        <v>0.16575292958500856</v>
      </c>
      <c r="G30" s="132">
        <v>0.10977276148467134</v>
      </c>
      <c r="H30" s="132">
        <v>0.17043779558617586</v>
      </c>
      <c r="I30" s="132">
        <v>0.15225711104897097</v>
      </c>
      <c r="J30" s="132">
        <v>0.13549025376894416</v>
      </c>
      <c r="K30" s="132">
        <v>0.10708157024010151</v>
      </c>
      <c r="L30" s="132">
        <v>5.3633017964167244E-2</v>
      </c>
      <c r="M30" s="132">
        <v>8.3404347477080226E-2</v>
      </c>
      <c r="N30" s="132">
        <v>2.3954200514289758E-2</v>
      </c>
      <c r="O30" s="132">
        <v>1.7447090718725154E-2</v>
      </c>
      <c r="P30" s="132">
        <v>0.13107683593876313</v>
      </c>
      <c r="Q30" s="132">
        <v>0.15278459084928306</v>
      </c>
      <c r="R30" s="132">
        <v>8.7892354987136129E-2</v>
      </c>
      <c r="S30" s="132">
        <v>5.5450758808904023E-2</v>
      </c>
      <c r="T30" s="132">
        <v>7.096148373144226E-2</v>
      </c>
      <c r="U30" s="132">
        <v>0.10327176430019831</v>
      </c>
      <c r="V30" s="132">
        <v>6.5314690012093252E-2</v>
      </c>
      <c r="W30" s="132">
        <v>3.9391542067946046E-2</v>
      </c>
      <c r="X30" s="132">
        <v>0</v>
      </c>
      <c r="Y30" s="132">
        <v>0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0.14901603275167213</v>
      </c>
      <c r="D31" s="132">
        <v>0.17426813838061603</v>
      </c>
      <c r="E31" s="132">
        <v>0.2155769660650097</v>
      </c>
      <c r="F31" s="132">
        <v>0.16516306034565395</v>
      </c>
      <c r="G31" s="132">
        <v>0.18650365922463111</v>
      </c>
      <c r="H31" s="132">
        <v>0.22835758492376473</v>
      </c>
      <c r="I31" s="132">
        <v>0.25778966916572105</v>
      </c>
      <c r="J31" s="132">
        <v>0.14951840079051809</v>
      </c>
      <c r="K31" s="132">
        <v>0.11408007083922521</v>
      </c>
      <c r="L31" s="132">
        <v>6.1610629397569401E-2</v>
      </c>
      <c r="M31" s="132">
        <v>0.10851768762269079</v>
      </c>
      <c r="N31" s="132">
        <v>3.4124782022527798E-2</v>
      </c>
      <c r="O31" s="132">
        <v>2.876241206137347E-2</v>
      </c>
      <c r="P31" s="132">
        <v>0.20413225007561883</v>
      </c>
      <c r="Q31" s="132">
        <v>0.2719175476578673</v>
      </c>
      <c r="R31" s="132">
        <v>0.13110205319923471</v>
      </c>
      <c r="S31" s="132">
        <v>0.12778615023041409</v>
      </c>
      <c r="T31" s="132">
        <v>0.13176181594327172</v>
      </c>
      <c r="U31" s="132">
        <v>0.12489530009240965</v>
      </c>
      <c r="V31" s="132">
        <v>0.19641727918058746</v>
      </c>
      <c r="W31" s="132">
        <v>0.24706970874176887</v>
      </c>
      <c r="X31" s="132">
        <v>0.4342334761677264</v>
      </c>
      <c r="Y31" s="132">
        <v>0.31647938053291824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6.3517682018030874E-2</v>
      </c>
      <c r="L32" s="132">
        <v>8.3162818053583044E-3</v>
      </c>
      <c r="M32" s="132">
        <v>5.8234680301166688E-3</v>
      </c>
      <c r="N32" s="132">
        <v>1.2619149686562609E-4</v>
      </c>
      <c r="O32" s="132">
        <v>1.8907373185606007E-4</v>
      </c>
      <c r="P32" s="132">
        <v>1.4896567415648005E-3</v>
      </c>
      <c r="Q32" s="132">
        <v>4.9996213164785145E-3</v>
      </c>
      <c r="R32" s="132">
        <v>4.5783543732926396E-3</v>
      </c>
      <c r="S32" s="132">
        <v>5.4945798337819656E-3</v>
      </c>
      <c r="T32" s="132">
        <v>1.942274014797446E-2</v>
      </c>
      <c r="U32" s="132">
        <v>1.9056300715984409E-2</v>
      </c>
      <c r="V32" s="132">
        <v>1.1528023148455573E-2</v>
      </c>
      <c r="W32" s="132">
        <v>1.8065766890532232E-2</v>
      </c>
      <c r="X32" s="132">
        <v>6.2263162944872471E-3</v>
      </c>
      <c r="Y32" s="132">
        <v>1.0052491343573777E-2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1.3738867270131256</v>
      </c>
      <c r="D33" s="68">
        <v>1.6041017915880591</v>
      </c>
      <c r="E33" s="68">
        <v>2.1443582326567001</v>
      </c>
      <c r="F33" s="68">
        <v>1.6616605009372809</v>
      </c>
      <c r="G33" s="68">
        <v>1.7155047965820254</v>
      </c>
      <c r="H33" s="68">
        <v>2.4982861439740724</v>
      </c>
      <c r="I33" s="68">
        <v>2.676724943411505</v>
      </c>
      <c r="J33" s="68">
        <v>1.2373310121536303</v>
      </c>
      <c r="K33" s="68">
        <v>0.89980116492451245</v>
      </c>
      <c r="L33" s="68">
        <v>0.47549986574484265</v>
      </c>
      <c r="M33" s="68">
        <v>0.87352342220560653</v>
      </c>
      <c r="N33" s="68">
        <v>0.21906768702268856</v>
      </c>
      <c r="O33" s="68">
        <v>0.23931309776975179</v>
      </c>
      <c r="P33" s="68">
        <v>2.071148247254599</v>
      </c>
      <c r="Q33" s="68">
        <v>2.2849713109668972</v>
      </c>
      <c r="R33" s="68">
        <v>0.91699523644289394</v>
      </c>
      <c r="S33" s="68">
        <v>0.89463595212687486</v>
      </c>
      <c r="T33" s="68">
        <v>1.0911335248263923</v>
      </c>
      <c r="U33" s="68">
        <v>1.111178538798707</v>
      </c>
      <c r="V33" s="68">
        <v>0.90678652193153253</v>
      </c>
      <c r="W33" s="68">
        <v>1.024498665265644</v>
      </c>
      <c r="X33" s="68">
        <v>0.92197695862673645</v>
      </c>
      <c r="Y33" s="68">
        <v>0.90728788996916343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0.69535452924498276</v>
      </c>
      <c r="D3" s="126">
        <f>IF(SER_hh_tes_in!D3=0,"",SER_hh_tes_in!D3/SER_hh_fec_in!D3)</f>
        <v>0.716853317030826</v>
      </c>
      <c r="E3" s="126">
        <f>IF(SER_hh_tes_in!E3=0,"",SER_hh_tes_in!E3/SER_hh_fec_in!E3)</f>
        <v>0.79413759952683216</v>
      </c>
      <c r="F3" s="126">
        <f>IF(SER_hh_tes_in!F3=0,"",SER_hh_tes_in!F3/SER_hh_fec_in!F3)</f>
        <v>0.75726024575840545</v>
      </c>
      <c r="G3" s="126">
        <f>IF(SER_hh_tes_in!G3=0,"",SER_hh_tes_in!G3/SER_hh_fec_in!G3)</f>
        <v>0.77264323035941951</v>
      </c>
      <c r="H3" s="126">
        <f>IF(SER_hh_tes_in!H3=0,"",SER_hh_tes_in!H3/SER_hh_fec_in!H3)</f>
        <v>0.80735617504042212</v>
      </c>
      <c r="I3" s="126">
        <f>IF(SER_hh_tes_in!I3=0,"",SER_hh_tes_in!I3/SER_hh_fec_in!I3)</f>
        <v>0.8228591838589544</v>
      </c>
      <c r="J3" s="126">
        <f>IF(SER_hh_tes_in!J3=0,"",SER_hh_tes_in!J3/SER_hh_fec_in!J3)</f>
        <v>0.81840205117666698</v>
      </c>
      <c r="K3" s="126">
        <f>IF(SER_hh_tes_in!K3=0,"",SER_hh_tes_in!K3/SER_hh_fec_in!K3)</f>
        <v>0.81055645153282574</v>
      </c>
      <c r="L3" s="126">
        <f>IF(SER_hh_tes_in!L3=0,"",SER_hh_tes_in!L3/SER_hh_fec_in!L3)</f>
        <v>0.81208816111263649</v>
      </c>
      <c r="M3" s="126">
        <f>IF(SER_hh_tes_in!M3=0,"",SER_hh_tes_in!M3/SER_hh_fec_in!M3)</f>
        <v>0.85501857288488425</v>
      </c>
      <c r="N3" s="126">
        <f>IF(SER_hh_tes_in!N3=0,"",SER_hh_tes_in!N3/SER_hh_fec_in!N3)</f>
        <v>0.92216168045953362</v>
      </c>
      <c r="O3" s="126">
        <f>IF(SER_hh_tes_in!O3=0,"",SER_hh_tes_in!O3/SER_hh_fec_in!O3)</f>
        <v>0.86204357390492337</v>
      </c>
      <c r="P3" s="126">
        <f>IF(SER_hh_tes_in!P3=0,"",SER_hh_tes_in!P3/SER_hh_fec_in!P3)</f>
        <v>0.86791221891120707</v>
      </c>
      <c r="Q3" s="126">
        <f>IF(SER_hh_tes_in!Q3=0,"",SER_hh_tes_in!Q3/SER_hh_fec_in!Q3)</f>
        <v>0.94760389570927428</v>
      </c>
      <c r="R3" s="126">
        <f>IF(SER_hh_tes_in!R3=0,"",SER_hh_tes_in!R3/SER_hh_fec_in!R3)</f>
        <v>0.90316914973209395</v>
      </c>
      <c r="S3" s="126">
        <f>IF(SER_hh_tes_in!S3=0,"",SER_hh_tes_in!S3/SER_hh_fec_in!S3)</f>
        <v>0.98173973763627265</v>
      </c>
      <c r="T3" s="126">
        <f>IF(SER_hh_tes_in!T3=0,"",SER_hh_tes_in!T3/SER_hh_fec_in!T3)</f>
        <v>0.94767390624319969</v>
      </c>
      <c r="U3" s="126">
        <f>IF(SER_hh_tes_in!U3=0,"",SER_hh_tes_in!U3/SER_hh_fec_in!U3)</f>
        <v>0.99222280320238654</v>
      </c>
      <c r="V3" s="126">
        <f>IF(SER_hh_tes_in!V3=0,"",SER_hh_tes_in!V3/SER_hh_fec_in!V3)</f>
        <v>0.9831590070003855</v>
      </c>
      <c r="W3" s="126">
        <f>IF(SER_hh_tes_in!W3=0,"",SER_hh_tes_in!W3/SER_hh_fec_in!W3)</f>
        <v>1.0320726975288537</v>
      </c>
      <c r="X3" s="126">
        <f>IF(SER_hh_tes_in!X3=0,"",SER_hh_tes_in!X3/SER_hh_fec_in!X3)</f>
        <v>1.0619978169592355</v>
      </c>
      <c r="Y3" s="126">
        <f>IF(SER_hh_tes_in!Y3=0,"",SER_hh_tes_in!Y3/SER_hh_fec_in!Y3)</f>
        <v>1.06211693861719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0.57374489342624679</v>
      </c>
      <c r="D4" s="135">
        <f>IF(SER_hh_tes_in!D4=0,"",SER_hh_tes_in!D4/SER_hh_fec_in!D4)</f>
        <v>0.5993076097124308</v>
      </c>
      <c r="E4" s="135">
        <f>IF(SER_hh_tes_in!E4=0,"",SER_hh_tes_in!E4/SER_hh_fec_in!E4)</f>
        <v>0.60702458281859406</v>
      </c>
      <c r="F4" s="135">
        <f>IF(SER_hh_tes_in!F4=0,"",SER_hh_tes_in!F4/SER_hh_fec_in!F4)</f>
        <v>0.6427868925391268</v>
      </c>
      <c r="G4" s="135">
        <f>IF(SER_hh_tes_in!G4=0,"",SER_hh_tes_in!G4/SER_hh_fec_in!G4)</f>
        <v>0.66234000571443974</v>
      </c>
      <c r="H4" s="135">
        <f>IF(SER_hh_tes_in!H4=0,"",SER_hh_tes_in!H4/SER_hh_fec_in!H4)</f>
        <v>0.67219590289092457</v>
      </c>
      <c r="I4" s="135">
        <f>IF(SER_hh_tes_in!I4=0,"",SER_hh_tes_in!I4/SER_hh_fec_in!I4)</f>
        <v>0.67546900045669356</v>
      </c>
      <c r="J4" s="135">
        <f>IF(SER_hh_tes_in!J4=0,"",SER_hh_tes_in!J4/SER_hh_fec_in!J4)</f>
        <v>0.67509869739564654</v>
      </c>
      <c r="K4" s="135">
        <f>IF(SER_hh_tes_in!K4=0,"",SER_hh_tes_in!K4/SER_hh_fec_in!K4)</f>
        <v>0.66625389974998817</v>
      </c>
      <c r="L4" s="135">
        <f>IF(SER_hh_tes_in!L4=0,"",SER_hh_tes_in!L4/SER_hh_fec_in!L4)</f>
        <v>0.66758617706497048</v>
      </c>
      <c r="M4" s="135">
        <f>IF(SER_hh_tes_in!M4=0,"",SER_hh_tes_in!M4/SER_hh_fec_in!M4)</f>
        <v>0.69496300461600513</v>
      </c>
      <c r="N4" s="135">
        <f>IF(SER_hh_tes_in!N4=0,"",SER_hh_tes_in!N4/SER_hh_fec_in!N4)</f>
        <v>0.68469036661162086</v>
      </c>
      <c r="O4" s="135">
        <f>IF(SER_hh_tes_in!O4=0,"",SER_hh_tes_in!O4/SER_hh_fec_in!O4)</f>
        <v>0.67935866421697078</v>
      </c>
      <c r="P4" s="135">
        <f>IF(SER_hh_tes_in!P4=0,"",SER_hh_tes_in!P4/SER_hh_fec_in!P4)</f>
        <v>0.68405218191895223</v>
      </c>
      <c r="Q4" s="135">
        <f>IF(SER_hh_tes_in!Q4=0,"",SER_hh_tes_in!Q4/SER_hh_fec_in!Q4)</f>
        <v>0.69998816839180222</v>
      </c>
      <c r="R4" s="135">
        <f>IF(SER_hh_tes_in!R4=0,"",SER_hh_tes_in!R4/SER_hh_fec_in!R4)</f>
        <v>0.72744736276539534</v>
      </c>
      <c r="S4" s="135">
        <f>IF(SER_hh_tes_in!S4=0,"",SER_hh_tes_in!S4/SER_hh_fec_in!S4)</f>
        <v>0.7571641926799566</v>
      </c>
      <c r="T4" s="135">
        <f>IF(SER_hh_tes_in!T4=0,"",SER_hh_tes_in!T4/SER_hh_fec_in!T4)</f>
        <v>0.77832977680079463</v>
      </c>
      <c r="U4" s="135">
        <f>IF(SER_hh_tes_in!U4=0,"",SER_hh_tes_in!U4/SER_hh_fec_in!U4)</f>
        <v>0.78951393222155142</v>
      </c>
      <c r="V4" s="135">
        <f>IF(SER_hh_tes_in!V4=0,"",SER_hh_tes_in!V4/SER_hh_fec_in!V4)</f>
        <v>0.80037196345135431</v>
      </c>
      <c r="W4" s="135">
        <f>IF(SER_hh_tes_in!W4=0,"",SER_hh_tes_in!W4/SER_hh_fec_in!W4)</f>
        <v>0.82916423848094112</v>
      </c>
      <c r="X4" s="135">
        <f>IF(SER_hh_tes_in!X4=0,"",SER_hh_tes_in!X4/SER_hh_fec_in!X4)</f>
        <v>0.87101800805578555</v>
      </c>
      <c r="Y4" s="135">
        <f>IF(SER_hh_tes_in!Y4=0,"",SER_hh_tes_in!Y4/SER_hh_fec_in!Y4)</f>
        <v>0.86848708654537055</v>
      </c>
      <c r="DA4" s="162" t="s">
        <v>663</v>
      </c>
    </row>
    <row r="5" spans="1:105" ht="12" customHeight="1" x14ac:dyDescent="0.25">
      <c r="A5" s="131" t="s">
        <v>29</v>
      </c>
      <c r="B5" s="136"/>
      <c r="C5" s="136">
        <f>IF(SER_hh_tes_in!C5=0,"",SER_hh_tes_in!C5/SER_hh_fec_in!C5)</f>
        <v>0.58175977193873718</v>
      </c>
      <c r="D5" s="136">
        <f>IF(SER_hh_tes_in!D5=0,"",SER_hh_tes_in!D5/SER_hh_fec_in!D5)</f>
        <v>0.58822257405088862</v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>
        <f>IF(SER_hh_tes_in!J5=0,"",SER_hh_tes_in!J5/SER_hh_fec_in!J5)</f>
        <v>0.62668537916967282</v>
      </c>
      <c r="K5" s="136">
        <f>IF(SER_hh_tes_in!K5=0,"",SER_hh_tes_in!K5/SER_hh_fec_in!K5)</f>
        <v>0.63299398630040427</v>
      </c>
      <c r="L5" s="136">
        <f>IF(SER_hh_tes_in!L5=0,"",SER_hh_tes_in!L5/SER_hh_fec_in!L5)</f>
        <v>0.63925246865477137</v>
      </c>
      <c r="M5" s="136">
        <f>IF(SER_hh_tes_in!M5=0,"",SER_hh_tes_in!M5/SER_hh_fec_in!M5)</f>
        <v>0.64503682704524534</v>
      </c>
      <c r="N5" s="136">
        <f>IF(SER_hh_tes_in!N5=0,"",SER_hh_tes_in!N5/SER_hh_fec_in!N5)</f>
        <v>0.65020340200313786</v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>
        <f>IF(SER_hh_tes_in!S5=0,"",SER_hh_tes_in!S5/SER_hh_fec_in!S5)</f>
        <v>0.68412248065273806</v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 t="str">
        <f>IF(SER_hh_tes_in!C6=0,"",SER_hh_tes_in!C6/SER_hh_fec_in!C6)</f>
        <v/>
      </c>
      <c r="D6" s="136" t="str">
        <f>IF(SER_hh_tes_in!D6=0,"",SER_hh_tes_in!D6/SER_hh_fec_in!D6)</f>
        <v/>
      </c>
      <c r="E6" s="136" t="str">
        <f>IF(SER_hh_tes_in!E6=0,"",SER_hh_tes_in!E6/SER_hh_fec_in!E6)</f>
        <v/>
      </c>
      <c r="F6" s="136" t="str">
        <f>IF(SER_hh_tes_in!F6=0,"",SER_hh_tes_in!F6/SER_hh_fec_in!F6)</f>
        <v/>
      </c>
      <c r="G6" s="136" t="str">
        <f>IF(SER_hh_tes_in!G6=0,"",SER_hh_tes_in!G6/SER_hh_fec_in!G6)</f>
        <v/>
      </c>
      <c r="H6" s="136" t="str">
        <f>IF(SER_hh_tes_in!H6=0,"",SER_hh_tes_in!H6/SER_hh_fec_in!H6)</f>
        <v/>
      </c>
      <c r="I6" s="136" t="str">
        <f>IF(SER_hh_tes_in!I6=0,"",SER_hh_tes_in!I6/SER_hh_fec_in!I6)</f>
        <v/>
      </c>
      <c r="J6" s="136" t="str">
        <f>IF(SER_hh_tes_in!J6=0,"",SER_hh_tes_in!J6/SER_hh_fec_in!J6)</f>
        <v/>
      </c>
      <c r="K6" s="136" t="str">
        <f>IF(SER_hh_tes_in!K6=0,"",SER_hh_tes_in!K6/SER_hh_fec_in!K6)</f>
        <v/>
      </c>
      <c r="L6" s="136" t="str">
        <f>IF(SER_hh_tes_in!L6=0,"",SER_hh_tes_in!L6/SER_hh_fec_in!L6)</f>
        <v/>
      </c>
      <c r="M6" s="136" t="str">
        <f>IF(SER_hh_tes_in!M6=0,"",SER_hh_tes_in!M6/SER_hh_fec_in!M6)</f>
        <v/>
      </c>
      <c r="N6" s="136" t="str">
        <f>IF(SER_hh_tes_in!N6=0,"",SER_hh_tes_in!N6/SER_hh_fec_in!N6)</f>
        <v/>
      </c>
      <c r="O6" s="136" t="str">
        <f>IF(SER_hh_tes_in!O6=0,"",SER_hh_tes_in!O6/SER_hh_fec_in!O6)</f>
        <v/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 t="str">
        <f>IF(SER_hh_tes_in!S6=0,"",SER_hh_tes_in!S6/SER_hh_fec_in!S6)</f>
        <v/>
      </c>
      <c r="T6" s="136" t="str">
        <f>IF(SER_hh_tes_in!T6=0,"",SER_hh_tes_in!T6/SER_hh_fec_in!T6)</f>
        <v/>
      </c>
      <c r="U6" s="136" t="str">
        <f>IF(SER_hh_tes_in!U6=0,"",SER_hh_tes_in!U6/SER_hh_fec_in!U6)</f>
        <v/>
      </c>
      <c r="V6" s="136" t="str">
        <f>IF(SER_hh_tes_in!V6=0,"",SER_hh_tes_in!V6/SER_hh_fec_in!V6)</f>
        <v/>
      </c>
      <c r="W6" s="136" t="str">
        <f>IF(SER_hh_tes_in!W6=0,"",SER_hh_tes_in!W6/SER_hh_fec_in!W6)</f>
        <v/>
      </c>
      <c r="X6" s="136" t="str">
        <f>IF(SER_hh_tes_in!X6=0,"",SER_hh_tes_in!X6/SER_hh_fec_in!X6)</f>
        <v/>
      </c>
      <c r="Y6" s="136" t="str">
        <f>IF(SER_hh_tes_in!Y6=0,"",SER_hh_tes_in!Y6/SER_hh_fec_in!Y6)</f>
        <v/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0.48774671537837305</v>
      </c>
      <c r="D7" s="136">
        <f>IF(SER_hh_tes_in!D7=0,"",SER_hh_tes_in!D7/SER_hh_fec_in!D7)</f>
        <v>0.49265466912328304</v>
      </c>
      <c r="E7" s="136">
        <f>IF(SER_hh_tes_in!E7=0,"",SER_hh_tes_in!E7/SER_hh_fec_in!E7)</f>
        <v>0.49782389954513928</v>
      </c>
      <c r="F7" s="136">
        <f>IF(SER_hh_tes_in!F7=0,"",SER_hh_tes_in!F7/SER_hh_fec_in!F7)</f>
        <v>0.50296488782088344</v>
      </c>
      <c r="G7" s="136">
        <f>IF(SER_hh_tes_in!G7=0,"",SER_hh_tes_in!G7/SER_hh_fec_in!G7)</f>
        <v>0.50833580345873797</v>
      </c>
      <c r="H7" s="136" t="str">
        <f>IF(SER_hh_tes_in!H7=0,"",SER_hh_tes_in!H7/SER_hh_fec_in!H7)</f>
        <v/>
      </c>
      <c r="I7" s="136" t="str">
        <f>IF(SER_hh_tes_in!I7=0,"",SER_hh_tes_in!I7/SER_hh_fec_in!I7)</f>
        <v/>
      </c>
      <c r="J7" s="136" t="str">
        <f>IF(SER_hh_tes_in!J7=0,"",SER_hh_tes_in!J7/SER_hh_fec_in!J7)</f>
        <v/>
      </c>
      <c r="K7" s="136">
        <f>IF(SER_hh_tes_in!K7=0,"",SER_hh_tes_in!K7/SER_hh_fec_in!K7)</f>
        <v>0.53310256959759617</v>
      </c>
      <c r="L7" s="136">
        <f>IF(SER_hh_tes_in!L7=0,"",SER_hh_tes_in!L7/SER_hh_fec_in!L7)</f>
        <v>0.54092090718703167</v>
      </c>
      <c r="M7" s="136">
        <f>IF(SER_hh_tes_in!M7=0,"",SER_hh_tes_in!M7/SER_hh_fec_in!M7)</f>
        <v>0.55506727085861796</v>
      </c>
      <c r="N7" s="136">
        <f>IF(SER_hh_tes_in!N7=0,"",SER_hh_tes_in!N7/SER_hh_fec_in!N7)</f>
        <v>0.57720559093565982</v>
      </c>
      <c r="O7" s="136">
        <f>IF(SER_hh_tes_in!O7=0,"",SER_hh_tes_in!O7/SER_hh_fec_in!O7)</f>
        <v>0.60818278545513227</v>
      </c>
      <c r="P7" s="136">
        <f>IF(SER_hh_tes_in!P7=0,"",SER_hh_tes_in!P7/SER_hh_fec_in!P7)</f>
        <v>0.64388258142448251</v>
      </c>
      <c r="Q7" s="136">
        <f>IF(SER_hh_tes_in!Q7=0,"",SER_hh_tes_in!Q7/SER_hh_fec_in!Q7)</f>
        <v>0.67238929176466034</v>
      </c>
      <c r="R7" s="136">
        <f>IF(SER_hh_tes_in!R7=0,"",SER_hh_tes_in!R7/SER_hh_fec_in!R7)</f>
        <v>0.6832496741864259</v>
      </c>
      <c r="S7" s="136">
        <f>IF(SER_hh_tes_in!S7=0,"",SER_hh_tes_in!S7/SER_hh_fec_in!S7)</f>
        <v>0.68836156664198089</v>
      </c>
      <c r="T7" s="136" t="str">
        <f>IF(SER_hh_tes_in!T7=0,"",SER_hh_tes_in!T7/SER_hh_fec_in!T7)</f>
        <v/>
      </c>
      <c r="U7" s="136" t="str">
        <f>IF(SER_hh_tes_in!U7=0,"",SER_hh_tes_in!U7/SER_hh_fec_in!U7)</f>
        <v/>
      </c>
      <c r="V7" s="136" t="str">
        <f>IF(SER_hh_tes_in!V7=0,"",SER_hh_tes_in!V7/SER_hh_fec_in!V7)</f>
        <v/>
      </c>
      <c r="W7" s="136" t="str">
        <f>IF(SER_hh_tes_in!W7=0,"",SER_hh_tes_in!W7/SER_hh_fec_in!W7)</f>
        <v/>
      </c>
      <c r="X7" s="136">
        <f>IF(SER_hh_tes_in!X7=0,"",SER_hh_tes_in!X7/SER_hh_fec_in!X7)</f>
        <v>0.69507697424303927</v>
      </c>
      <c r="Y7" s="136">
        <f>IF(SER_hh_tes_in!Y7=0,"",SER_hh_tes_in!Y7/SER_hh_fec_in!Y7)</f>
        <v>0.69579259871813082</v>
      </c>
      <c r="DA7" s="163" t="s">
        <v>666</v>
      </c>
    </row>
    <row r="8" spans="1:105" ht="12" customHeight="1" x14ac:dyDescent="0.25">
      <c r="A8" s="131" t="s">
        <v>73</v>
      </c>
      <c r="B8" s="136"/>
      <c r="C8" s="136" t="str">
        <f>IF(SER_hh_tes_in!C8=0,"",SER_hh_tes_in!C8/SER_hh_fec_in!C8)</f>
        <v/>
      </c>
      <c r="D8" s="136" t="str">
        <f>IF(SER_hh_tes_in!D8=0,"",SER_hh_tes_in!D8/SER_hh_fec_in!D8)</f>
        <v/>
      </c>
      <c r="E8" s="136" t="str">
        <f>IF(SER_hh_tes_in!E8=0,"",SER_hh_tes_in!E8/SER_hh_fec_in!E8)</f>
        <v/>
      </c>
      <c r="F8" s="136" t="str">
        <f>IF(SER_hh_tes_in!F8=0,"",SER_hh_tes_in!F8/SER_hh_fec_in!F8)</f>
        <v/>
      </c>
      <c r="G8" s="136" t="str">
        <f>IF(SER_hh_tes_in!G8=0,"",SER_hh_tes_in!G8/SER_hh_fec_in!G8)</f>
        <v/>
      </c>
      <c r="H8" s="136" t="str">
        <f>IF(SER_hh_tes_in!H8=0,"",SER_hh_tes_in!H8/SER_hh_fec_in!H8)</f>
        <v/>
      </c>
      <c r="I8" s="136" t="str">
        <f>IF(SER_hh_tes_in!I8=0,"",SER_hh_tes_in!I8/SER_hh_fec_in!I8)</f>
        <v/>
      </c>
      <c r="J8" s="136" t="str">
        <f>IF(SER_hh_tes_in!J8=0,"",SER_hh_tes_in!J8/SER_hh_fec_in!J8)</f>
        <v/>
      </c>
      <c r="K8" s="136" t="str">
        <f>IF(SER_hh_tes_in!K8=0,"",SER_hh_tes_in!K8/SER_hh_fec_in!K8)</f>
        <v/>
      </c>
      <c r="L8" s="136" t="str">
        <f>IF(SER_hh_tes_in!L8=0,"",SER_hh_tes_in!L8/SER_hh_fec_in!L8)</f>
        <v/>
      </c>
      <c r="M8" s="136" t="str">
        <f>IF(SER_hh_tes_in!M8=0,"",SER_hh_tes_in!M8/SER_hh_fec_in!M8)</f>
        <v/>
      </c>
      <c r="N8" s="136" t="str">
        <f>IF(SER_hh_tes_in!N8=0,"",SER_hh_tes_in!N8/SER_hh_fec_in!N8)</f>
        <v/>
      </c>
      <c r="O8" s="136" t="str">
        <f>IF(SER_hh_tes_in!O8=0,"",SER_hh_tes_in!O8/SER_hh_fec_in!O8)</f>
        <v/>
      </c>
      <c r="P8" s="136" t="str">
        <f>IF(SER_hh_tes_in!P8=0,"",SER_hh_tes_in!P8/SER_hh_fec_in!P8)</f>
        <v/>
      </c>
      <c r="Q8" s="136" t="str">
        <f>IF(SER_hh_tes_in!Q8=0,"",SER_hh_tes_in!Q8/SER_hh_fec_in!Q8)</f>
        <v/>
      </c>
      <c r="R8" s="136" t="str">
        <f>IF(SER_hh_tes_in!R8=0,"",SER_hh_tes_in!R8/SER_hh_fec_in!R8)</f>
        <v/>
      </c>
      <c r="S8" s="136" t="str">
        <f>IF(SER_hh_tes_in!S8=0,"",SER_hh_tes_in!S8/SER_hh_fec_in!S8)</f>
        <v/>
      </c>
      <c r="T8" s="136" t="str">
        <f>IF(SER_hh_tes_in!T8=0,"",SER_hh_tes_in!T8/SER_hh_fec_in!T8)</f>
        <v/>
      </c>
      <c r="U8" s="136" t="str">
        <f>IF(SER_hh_tes_in!U8=0,"",SER_hh_tes_in!U8/SER_hh_fec_in!U8)</f>
        <v/>
      </c>
      <c r="V8" s="136" t="str">
        <f>IF(SER_hh_tes_in!V8=0,"",SER_hh_tes_in!V8/SER_hh_fec_in!V8)</f>
        <v/>
      </c>
      <c r="W8" s="136" t="str">
        <f>IF(SER_hh_tes_in!W8=0,"",SER_hh_tes_in!W8/SER_hh_fec_in!W8)</f>
        <v/>
      </c>
      <c r="X8" s="136" t="str">
        <f>IF(SER_hh_tes_in!X8=0,"",SER_hh_tes_in!X8/SER_hh_fec_in!X8)</f>
        <v/>
      </c>
      <c r="Y8" s="136" t="str">
        <f>IF(SER_hh_tes_in!Y8=0,"",SER_hh_tes_in!Y8/SER_hh_fec_in!Y8)</f>
        <v/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0.52088104747158293</v>
      </c>
      <c r="D9" s="136">
        <f>IF(SER_hh_tes_in!D9=0,"",SER_hh_tes_in!D9/SER_hh_fec_in!D9)</f>
        <v>0.52512727491048861</v>
      </c>
      <c r="E9" s="136">
        <f>IF(SER_hh_tes_in!E9=0,"",SER_hh_tes_in!E9/SER_hh_fec_in!E9)</f>
        <v>0.52964064154463431</v>
      </c>
      <c r="F9" s="136">
        <f>IF(SER_hh_tes_in!F9=0,"",SER_hh_tes_in!F9/SER_hh_fec_in!F9)</f>
        <v>0.53413745401595503</v>
      </c>
      <c r="G9" s="136">
        <f>IF(SER_hh_tes_in!G9=0,"",SER_hh_tes_in!G9/SER_hh_fec_in!G9)</f>
        <v>0.53887349909955173</v>
      </c>
      <c r="H9" s="136">
        <f>IF(SER_hh_tes_in!H9=0,"",SER_hh_tes_in!H9/SER_hh_fec_in!H9)</f>
        <v>0.54381608731959274</v>
      </c>
      <c r="I9" s="136">
        <f>IF(SER_hh_tes_in!I9=0,"",SER_hh_tes_in!I9/SER_hh_fec_in!I9)</f>
        <v>0.5490267905135755</v>
      </c>
      <c r="J9" s="136">
        <f>IF(SER_hh_tes_in!J9=0,"",SER_hh_tes_in!J9/SER_hh_fec_in!J9)</f>
        <v>0.55476106037154493</v>
      </c>
      <c r="K9" s="136">
        <f>IF(SER_hh_tes_in!K9=0,"",SER_hh_tes_in!K9/SER_hh_fec_in!K9)</f>
        <v>0.56123399143823305</v>
      </c>
      <c r="L9" s="136">
        <f>IF(SER_hh_tes_in!L9=0,"",SER_hh_tes_in!L9/SER_hh_fec_in!L9)</f>
        <v>0.56849928453590559</v>
      </c>
      <c r="M9" s="136">
        <f>IF(SER_hh_tes_in!M9=0,"",SER_hh_tes_in!M9/SER_hh_fec_in!M9)</f>
        <v>0.58193774697571909</v>
      </c>
      <c r="N9" s="136">
        <f>IF(SER_hh_tes_in!N9=0,"",SER_hh_tes_in!N9/SER_hh_fec_in!N9)</f>
        <v>0.60322271267334027</v>
      </c>
      <c r="O9" s="136">
        <f>IF(SER_hh_tes_in!O9=0,"",SER_hh_tes_in!O9/SER_hh_fec_in!O9)</f>
        <v>0.63346712410183292</v>
      </c>
      <c r="P9" s="136">
        <f>IF(SER_hh_tes_in!P9=0,"",SER_hh_tes_in!P9/SER_hh_fec_in!P9)</f>
        <v>0.66908354946196547</v>
      </c>
      <c r="Q9" s="136">
        <f>IF(SER_hh_tes_in!Q9=0,"",SER_hh_tes_in!Q9/SER_hh_fec_in!Q9)</f>
        <v>0.69910332897657712</v>
      </c>
      <c r="R9" s="136">
        <f>IF(SER_hh_tes_in!R9=0,"",SER_hh_tes_in!R9/SER_hh_fec_in!R9)</f>
        <v>0.7143211348535814</v>
      </c>
      <c r="S9" s="136">
        <f>IF(SER_hh_tes_in!S9=0,"",SER_hh_tes_in!S9/SER_hh_fec_in!S9)</f>
        <v>0.72594742776872767</v>
      </c>
      <c r="T9" s="136">
        <f>IF(SER_hh_tes_in!T9=0,"",SER_hh_tes_in!T9/SER_hh_fec_in!T9)</f>
        <v>0.73537434878054631</v>
      </c>
      <c r="U9" s="136">
        <f>IF(SER_hh_tes_in!U9=0,"",SER_hh_tes_in!U9/SER_hh_fec_in!U9)</f>
        <v>0.74356309044415281</v>
      </c>
      <c r="V9" s="136">
        <f>IF(SER_hh_tes_in!V9=0,"",SER_hh_tes_in!V9/SER_hh_fec_in!V9)</f>
        <v>0.75098833748920724</v>
      </c>
      <c r="W9" s="136">
        <f>IF(SER_hh_tes_in!W9=0,"",SER_hh_tes_in!W9/SER_hh_fec_in!W9)</f>
        <v>0.75651114428737043</v>
      </c>
      <c r="X9" s="136" t="str">
        <f>IF(SER_hh_tes_in!X9=0,"",SER_hh_tes_in!X9/SER_hh_fec_in!X9)</f>
        <v/>
      </c>
      <c r="Y9" s="136">
        <f>IF(SER_hh_tes_in!Y9=0,"",SER_hh_tes_in!Y9/SER_hh_fec_in!Y9)</f>
        <v>0.76246083873058546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 t="str">
        <f>IF(SER_hh_tes_in!C10=0,"",SER_hh_tes_in!C10/SER_hh_fec_in!C10)</f>
        <v/>
      </c>
      <c r="D10" s="136" t="str">
        <f>IF(SER_hh_tes_in!D10=0,"",SER_hh_tes_in!D10/SER_hh_fec_in!D10)</f>
        <v/>
      </c>
      <c r="E10" s="136" t="str">
        <f>IF(SER_hh_tes_in!E10=0,"",SER_hh_tes_in!E10/SER_hh_fec_in!E10)</f>
        <v/>
      </c>
      <c r="F10" s="136" t="str">
        <f>IF(SER_hh_tes_in!F10=0,"",SER_hh_tes_in!F10/SER_hh_fec_in!F10)</f>
        <v/>
      </c>
      <c r="G10" s="136" t="str">
        <f>IF(SER_hh_tes_in!G10=0,"",SER_hh_tes_in!G10/SER_hh_fec_in!G10)</f>
        <v/>
      </c>
      <c r="H10" s="136" t="str">
        <f>IF(SER_hh_tes_in!H10=0,"",SER_hh_tes_in!H10/SER_hh_fec_in!H10)</f>
        <v/>
      </c>
      <c r="I10" s="136">
        <f>IF(SER_hh_tes_in!I10=0,"",SER_hh_tes_in!I10/SER_hh_fec_in!I10)</f>
        <v>0.47911603584715917</v>
      </c>
      <c r="J10" s="136">
        <f>IF(SER_hh_tes_in!J10=0,"",SER_hh_tes_in!J10/SER_hh_fec_in!J10)</f>
        <v>0.48815558474992715</v>
      </c>
      <c r="K10" s="136">
        <f>IF(SER_hh_tes_in!K10=0,"",SER_hh_tes_in!K10/SER_hh_fec_in!K10)</f>
        <v>0.4971686379156175</v>
      </c>
      <c r="L10" s="136">
        <f>IF(SER_hh_tes_in!L10=0,"",SER_hh_tes_in!L10/SER_hh_fec_in!L10)</f>
        <v>0.50612074987888345</v>
      </c>
      <c r="M10" s="136">
        <f>IF(SER_hh_tes_in!M10=0,"",SER_hh_tes_in!M10/SER_hh_fec_in!M10)</f>
        <v>0.51434400107625522</v>
      </c>
      <c r="N10" s="136">
        <f>IF(SER_hh_tes_in!N10=0,"",SER_hh_tes_in!N10/SER_hh_fec_in!N10)</f>
        <v>0.52147291874997004</v>
      </c>
      <c r="O10" s="136">
        <f>IF(SER_hh_tes_in!O10=0,"",SER_hh_tes_in!O10/SER_hh_fec_in!O10)</f>
        <v>0.52729642240389074</v>
      </c>
      <c r="P10" s="136">
        <f>IF(SER_hh_tes_in!P10=0,"",SER_hh_tes_in!P10/SER_hh_fec_in!P10)</f>
        <v>0.53231900276675181</v>
      </c>
      <c r="Q10" s="136">
        <f>IF(SER_hh_tes_in!Q10=0,"",SER_hh_tes_in!Q10/SER_hh_fec_in!Q10)</f>
        <v>0.53831188018316511</v>
      </c>
      <c r="R10" s="136">
        <f>IF(SER_hh_tes_in!R10=0,"",SER_hh_tes_in!R10/SER_hh_fec_in!R10)</f>
        <v>0.54728843551287576</v>
      </c>
      <c r="S10" s="136">
        <f>IF(SER_hh_tes_in!S10=0,"",SER_hh_tes_in!S10/SER_hh_fec_in!S10)</f>
        <v>0.55739144130678953</v>
      </c>
      <c r="T10" s="136">
        <f>IF(SER_hh_tes_in!T10=0,"",SER_hh_tes_in!T10/SER_hh_fec_in!T10)</f>
        <v>0.56758214576253185</v>
      </c>
      <c r="U10" s="136">
        <f>IF(SER_hh_tes_in!U10=0,"",SER_hh_tes_in!U10/SER_hh_fec_in!U10)</f>
        <v>0.57699579843100257</v>
      </c>
      <c r="V10" s="136">
        <f>IF(SER_hh_tes_in!V10=0,"",SER_hh_tes_in!V10/SER_hh_fec_in!V10)</f>
        <v>0.58489218092573003</v>
      </c>
      <c r="W10" s="136">
        <f>IF(SER_hh_tes_in!W10=0,"",SER_hh_tes_in!W10/SER_hh_fec_in!W10)</f>
        <v>0.59123555139427253</v>
      </c>
      <c r="X10" s="136">
        <f>IF(SER_hh_tes_in!X10=0,"",SER_hh_tes_in!X10/SER_hh_fec_in!X10)</f>
        <v>0.59692110704071288</v>
      </c>
      <c r="Y10" s="136">
        <f>IF(SER_hh_tes_in!Y10=0,"",SER_hh_tes_in!Y10/SER_hh_fec_in!Y10)</f>
        <v>0.60227919458142598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 t="str">
        <f>IF(SER_hh_tes_in!C11=0,"",SER_hh_tes_in!C11/SER_hh_fec_in!C11)</f>
        <v/>
      </c>
      <c r="D11" s="136" t="str">
        <f>IF(SER_hh_tes_in!D11=0,"",SER_hh_tes_in!D11/SER_hh_fec_in!D11)</f>
        <v/>
      </c>
      <c r="E11" s="136" t="str">
        <f>IF(SER_hh_tes_in!E11=0,"",SER_hh_tes_in!E11/SER_hh_fec_in!E11)</f>
        <v/>
      </c>
      <c r="F11" s="136" t="str">
        <f>IF(SER_hh_tes_in!F11=0,"",SER_hh_tes_in!F11/SER_hh_fec_in!F11)</f>
        <v/>
      </c>
      <c r="G11" s="136" t="str">
        <f>IF(SER_hh_tes_in!G11=0,"",SER_hh_tes_in!G11/SER_hh_fec_in!G11)</f>
        <v/>
      </c>
      <c r="H11" s="136" t="str">
        <f>IF(SER_hh_tes_in!H11=0,"",SER_hh_tes_in!H11/SER_hh_fec_in!H11)</f>
        <v/>
      </c>
      <c r="I11" s="136">
        <f>IF(SER_hh_tes_in!I11=0,"",SER_hh_tes_in!I11/SER_hh_fec_in!I11)</f>
        <v>0.80496975305126883</v>
      </c>
      <c r="J11" s="136">
        <f>IF(SER_hh_tes_in!J11=0,"",SER_hh_tes_in!J11/SER_hh_fec_in!J11)</f>
        <v>0.80954880643814175</v>
      </c>
      <c r="K11" s="136">
        <f>IF(SER_hh_tes_in!K11=0,"",SER_hh_tes_in!K11/SER_hh_fec_in!K11)</f>
        <v>0.81412958979917549</v>
      </c>
      <c r="L11" s="136">
        <f>IF(SER_hh_tes_in!L11=0,"",SER_hh_tes_in!L11/SER_hh_fec_in!L11)</f>
        <v>0.8187122286247237</v>
      </c>
      <c r="M11" s="136">
        <f>IF(SER_hh_tes_in!M11=0,"",SER_hh_tes_in!M11/SER_hh_fec_in!M11)</f>
        <v>0.82334383848417392</v>
      </c>
      <c r="N11" s="136">
        <f>IF(SER_hh_tes_in!N11=0,"",SER_hh_tes_in!N11/SER_hh_fec_in!N11)</f>
        <v>0.82804204025181061</v>
      </c>
      <c r="O11" s="136" t="str">
        <f>IF(SER_hh_tes_in!O11=0,"",SER_hh_tes_in!O11/SER_hh_fec_in!O11)</f>
        <v/>
      </c>
      <c r="P11" s="136" t="str">
        <f>IF(SER_hh_tes_in!P11=0,"",SER_hh_tes_in!P11/SER_hh_fec_in!P11)</f>
        <v/>
      </c>
      <c r="Q11" s="136" t="str">
        <f>IF(SER_hh_tes_in!Q11=0,"",SER_hh_tes_in!Q11/SER_hh_fec_in!Q11)</f>
        <v/>
      </c>
      <c r="R11" s="136" t="str">
        <f>IF(SER_hh_tes_in!R11=0,"",SER_hh_tes_in!R11/SER_hh_fec_in!R11)</f>
        <v/>
      </c>
      <c r="S11" s="136" t="str">
        <f>IF(SER_hh_tes_in!S11=0,"",SER_hh_tes_in!S11/SER_hh_fec_in!S11)</f>
        <v/>
      </c>
      <c r="T11" s="136" t="str">
        <f>IF(SER_hh_tes_in!T11=0,"",SER_hh_tes_in!T11/SER_hh_fec_in!T11)</f>
        <v/>
      </c>
      <c r="U11" s="136" t="str">
        <f>IF(SER_hh_tes_in!U11=0,"",SER_hh_tes_in!U11/SER_hh_fec_in!U11)</f>
        <v/>
      </c>
      <c r="V11" s="136" t="str">
        <f>IF(SER_hh_tes_in!V11=0,"",SER_hh_tes_in!V11/SER_hh_fec_in!V11)</f>
        <v/>
      </c>
      <c r="W11" s="136" t="str">
        <f>IF(SER_hh_tes_in!W11=0,"",SER_hh_tes_in!W11/SER_hh_fec_in!W11)</f>
        <v/>
      </c>
      <c r="X11" s="136" t="str">
        <f>IF(SER_hh_tes_in!X11=0,"",SER_hh_tes_in!X11/SER_hh_fec_in!X11)</f>
        <v/>
      </c>
      <c r="Y11" s="136">
        <f>IF(SER_hh_tes_in!Y11=0,"",SER_hh_tes_in!Y11/SER_hh_fec_in!Y11)</f>
        <v>0.86629284901334092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>
        <f>IF(SER_hh_tes_in!C12=0,"",SER_hh_tes_in!C12/SER_hh_fec_in!C12)</f>
        <v>0.77446818311038834</v>
      </c>
      <c r="D12" s="136">
        <f>IF(SER_hh_tes_in!D12=0,"",SER_hh_tes_in!D12/SER_hh_fec_in!D12)</f>
        <v>0.77687835281585149</v>
      </c>
      <c r="E12" s="136">
        <f>IF(SER_hh_tes_in!E12=0,"",SER_hh_tes_in!E12/SER_hh_fec_in!E12)</f>
        <v>0.77935359081543565</v>
      </c>
      <c r="F12" s="136">
        <f>IF(SER_hh_tes_in!F12=0,"",SER_hh_tes_in!F12/SER_hh_fec_in!F12)</f>
        <v>0.7818377017642183</v>
      </c>
      <c r="G12" s="136">
        <f>IF(SER_hh_tes_in!G12=0,"",SER_hh_tes_in!G12/SER_hh_fec_in!G12)</f>
        <v>0.78438173678463186</v>
      </c>
      <c r="H12" s="136">
        <f>IF(SER_hh_tes_in!H12=0,"",SER_hh_tes_in!H12/SER_hh_fec_in!H12)</f>
        <v>0.78697944786920815</v>
      </c>
      <c r="I12" s="136">
        <f>IF(SER_hh_tes_in!I12=0,"",SER_hh_tes_in!I12/SER_hh_fec_in!I12)</f>
        <v>0.78964341401600613</v>
      </c>
      <c r="J12" s="136">
        <f>IF(SER_hh_tes_in!J12=0,"",SER_hh_tes_in!J12/SER_hh_fec_in!J12)</f>
        <v>0.79242516694008736</v>
      </c>
      <c r="K12" s="136">
        <f>IF(SER_hh_tes_in!K12=0,"",SER_hh_tes_in!K12/SER_hh_fec_in!K12)</f>
        <v>0.79536852215370679</v>
      </c>
      <c r="L12" s="136">
        <f>IF(SER_hh_tes_in!L12=0,"",SER_hh_tes_in!L12/SER_hh_fec_in!L12)</f>
        <v>0.79848520210273755</v>
      </c>
      <c r="M12" s="136">
        <f>IF(SER_hh_tes_in!M12=0,"",SER_hh_tes_in!M12/SER_hh_fec_in!M12)</f>
        <v>0.80280063458156847</v>
      </c>
      <c r="N12" s="136">
        <f>IF(SER_hh_tes_in!N12=0,"",SER_hh_tes_in!N12/SER_hh_fec_in!N12)</f>
        <v>0.80863903413364424</v>
      </c>
      <c r="O12" s="136">
        <f>IF(SER_hh_tes_in!O12=0,"",SER_hh_tes_in!O12/SER_hh_fec_in!O12)</f>
        <v>0.81628461420301468</v>
      </c>
      <c r="P12" s="136">
        <f>IF(SER_hh_tes_in!P12=0,"",SER_hh_tes_in!P12/SER_hh_fec_in!P12)</f>
        <v>0.82519663787465192</v>
      </c>
      <c r="Q12" s="136">
        <f>IF(SER_hh_tes_in!Q12=0,"",SER_hh_tes_in!Q12/SER_hh_fec_in!Q12)</f>
        <v>0.83360492773042549</v>
      </c>
      <c r="R12" s="136">
        <f>IF(SER_hh_tes_in!R12=0,"",SER_hh_tes_in!R12/SER_hh_fec_in!R12)</f>
        <v>0.84004791961293723</v>
      </c>
      <c r="S12" s="136" t="str">
        <f>IF(SER_hh_tes_in!S12=0,"",SER_hh_tes_in!S12/SER_hh_fec_in!S12)</f>
        <v/>
      </c>
      <c r="T12" s="136">
        <f>IF(SER_hh_tes_in!T12=0,"",SER_hh_tes_in!T12/SER_hh_fec_in!T12)</f>
        <v>0.85236691006205345</v>
      </c>
      <c r="U12" s="136">
        <f>IF(SER_hh_tes_in!U12=0,"",SER_hh_tes_in!U12/SER_hh_fec_in!U12)</f>
        <v>0.85815914906600921</v>
      </c>
      <c r="V12" s="136">
        <f>IF(SER_hh_tes_in!V12=0,"",SER_hh_tes_in!V12/SER_hh_fec_in!V12)</f>
        <v>0.86365071088113576</v>
      </c>
      <c r="W12" s="136">
        <f>IF(SER_hh_tes_in!W12=0,"",SER_hh_tes_in!W12/SER_hh_fec_in!W12)</f>
        <v>0.86870949778483686</v>
      </c>
      <c r="X12" s="136">
        <f>IF(SER_hh_tes_in!X12=0,"",SER_hh_tes_in!X12/SER_hh_fec_in!X12)</f>
        <v>0.87333342487368371</v>
      </c>
      <c r="Y12" s="136">
        <f>IF(SER_hh_tes_in!Y12=0,"",SER_hh_tes_in!Y12/SER_hh_fec_in!Y12)</f>
        <v>0.87777676670471116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 t="str">
        <f>IF(SER_hh_tes_in!C13=0,"",SER_hh_tes_in!C13/SER_hh_fec_in!C13)</f>
        <v/>
      </c>
      <c r="D13" s="136" t="str">
        <f>IF(SER_hh_tes_in!D13=0,"",SER_hh_tes_in!D13/SER_hh_fec_in!D13)</f>
        <v/>
      </c>
      <c r="E13" s="136" t="str">
        <f>IF(SER_hh_tes_in!E13=0,"",SER_hh_tes_in!E13/SER_hh_fec_in!E13)</f>
        <v/>
      </c>
      <c r="F13" s="136" t="str">
        <f>IF(SER_hh_tes_in!F13=0,"",SER_hh_tes_in!F13/SER_hh_fec_in!F13)</f>
        <v/>
      </c>
      <c r="G13" s="136" t="str">
        <f>IF(SER_hh_tes_in!G13=0,"",SER_hh_tes_in!G13/SER_hh_fec_in!G13)</f>
        <v/>
      </c>
      <c r="H13" s="136" t="str">
        <f>IF(SER_hh_tes_in!H13=0,"",SER_hh_tes_in!H13/SER_hh_fec_in!H13)</f>
        <v/>
      </c>
      <c r="I13" s="136" t="str">
        <f>IF(SER_hh_tes_in!I13=0,"",SER_hh_tes_in!I13/SER_hh_fec_in!I13)</f>
        <v/>
      </c>
      <c r="J13" s="136" t="str">
        <f>IF(SER_hh_tes_in!J13=0,"",SER_hh_tes_in!J13/SER_hh_fec_in!J13)</f>
        <v/>
      </c>
      <c r="K13" s="136" t="str">
        <f>IF(SER_hh_tes_in!K13=0,"",SER_hh_tes_in!K13/SER_hh_fec_in!K13)</f>
        <v/>
      </c>
      <c r="L13" s="136" t="str">
        <f>IF(SER_hh_tes_in!L13=0,"",SER_hh_tes_in!L13/SER_hh_fec_in!L13)</f>
        <v/>
      </c>
      <c r="M13" s="136" t="str">
        <f>IF(SER_hh_tes_in!M13=0,"",SER_hh_tes_in!M13/SER_hh_fec_in!M13)</f>
        <v/>
      </c>
      <c r="N13" s="136" t="str">
        <f>IF(SER_hh_tes_in!N13=0,"",SER_hh_tes_in!N13/SER_hh_fec_in!N13)</f>
        <v/>
      </c>
      <c r="O13" s="136" t="str">
        <f>IF(SER_hh_tes_in!O13=0,"",SER_hh_tes_in!O13/SER_hh_fec_in!O13)</f>
        <v/>
      </c>
      <c r="P13" s="136" t="str">
        <f>IF(SER_hh_tes_in!P13=0,"",SER_hh_tes_in!P13/SER_hh_fec_in!P13)</f>
        <v/>
      </c>
      <c r="Q13" s="136" t="str">
        <f>IF(SER_hh_tes_in!Q13=0,"",SER_hh_tes_in!Q13/SER_hh_fec_in!Q13)</f>
        <v/>
      </c>
      <c r="R13" s="136" t="str">
        <f>IF(SER_hh_tes_in!R13=0,"",SER_hh_tes_in!R13/SER_hh_fec_in!R13)</f>
        <v/>
      </c>
      <c r="S13" s="136" t="str">
        <f>IF(SER_hh_tes_in!S13=0,"",SER_hh_tes_in!S13/SER_hh_fec_in!S13)</f>
        <v/>
      </c>
      <c r="T13" s="136" t="str">
        <f>IF(SER_hh_tes_in!T13=0,"",SER_hh_tes_in!T13/SER_hh_fec_in!T13)</f>
        <v/>
      </c>
      <c r="U13" s="136" t="str">
        <f>IF(SER_hh_tes_in!U13=0,"",SER_hh_tes_in!U13/SER_hh_fec_in!U13)</f>
        <v/>
      </c>
      <c r="V13" s="136" t="str">
        <f>IF(SER_hh_tes_in!V13=0,"",SER_hh_tes_in!V13/SER_hh_fec_in!V13)</f>
        <v/>
      </c>
      <c r="W13" s="136" t="str">
        <f>IF(SER_hh_tes_in!W13=0,"",SER_hh_tes_in!W13/SER_hh_fec_in!W13)</f>
        <v/>
      </c>
      <c r="X13" s="136" t="str">
        <f>IF(SER_hh_tes_in!X13=0,"",SER_hh_tes_in!X13/SER_hh_fec_in!X13)</f>
        <v/>
      </c>
      <c r="Y13" s="136" t="str">
        <f>IF(SER_hh_tes_in!Y13=0,"",SER_hh_tes_in!Y13/SER_hh_fec_in!Y13)</f>
        <v/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0.70187432491010249</v>
      </c>
      <c r="D14" s="137">
        <f>IF(SER_hh_tes_in!D14=0,"",SER_hh_tes_in!D14/SER_hh_fec_in!D14)</f>
        <v>0.7055711835971904</v>
      </c>
      <c r="E14" s="137">
        <f>IF(SER_hh_tes_in!E14=0,"",SER_hh_tes_in!E14/SER_hh_fec_in!E14)</f>
        <v>0.70925774533034069</v>
      </c>
      <c r="F14" s="137">
        <f>IF(SER_hh_tes_in!F14=0,"",SER_hh_tes_in!F14/SER_hh_fec_in!F14)</f>
        <v>0.71294254399471779</v>
      </c>
      <c r="G14" s="137">
        <f>IF(SER_hh_tes_in!G14=0,"",SER_hh_tes_in!G14/SER_hh_fec_in!G14)</f>
        <v>0.7166178665720212</v>
      </c>
      <c r="H14" s="137">
        <f>IF(SER_hh_tes_in!H14=0,"",SER_hh_tes_in!H14/SER_hh_fec_in!H14)</f>
        <v>0.72028468624374808</v>
      </c>
      <c r="I14" s="137">
        <f>IF(SER_hh_tes_in!I14=0,"",SER_hh_tes_in!I14/SER_hh_fec_in!I14)</f>
        <v>0.72394113413845917</v>
      </c>
      <c r="J14" s="137">
        <f>IF(SER_hh_tes_in!J14=0,"",SER_hh_tes_in!J14/SER_hh_fec_in!J14)</f>
        <v>0.72757948620251589</v>
      </c>
      <c r="K14" s="137">
        <f>IF(SER_hh_tes_in!K14=0,"",SER_hh_tes_in!K14/SER_hh_fec_in!K14)</f>
        <v>0.73119322576358836</v>
      </c>
      <c r="L14" s="137">
        <f>IF(SER_hh_tes_in!L14=0,"",SER_hh_tes_in!L14/SER_hh_fec_in!L14)</f>
        <v>0.7347807043645882</v>
      </c>
      <c r="M14" s="137">
        <f>IF(SER_hh_tes_in!M14=0,"",SER_hh_tes_in!M14/SER_hh_fec_in!M14)</f>
        <v>0.73768190343390982</v>
      </c>
      <c r="N14" s="137">
        <f>IF(SER_hh_tes_in!N14=0,"",SER_hh_tes_in!N14/SER_hh_fec_in!N14)</f>
        <v>0.73965835529156698</v>
      </c>
      <c r="O14" s="137">
        <f>IF(SER_hh_tes_in!O14=0,"",SER_hh_tes_in!O14/SER_hh_fec_in!O14)</f>
        <v>0.74102541941952094</v>
      </c>
      <c r="P14" s="137">
        <f>IF(SER_hh_tes_in!P14=0,"",SER_hh_tes_in!P14/SER_hh_fec_in!P14)</f>
        <v>0.74316637113297834</v>
      </c>
      <c r="Q14" s="137">
        <f>IF(SER_hh_tes_in!Q14=0,"",SER_hh_tes_in!Q14/SER_hh_fec_in!Q14)</f>
        <v>0.7498386155937522</v>
      </c>
      <c r="R14" s="137">
        <f>IF(SER_hh_tes_in!R14=0,"",SER_hh_tes_in!R14/SER_hh_fec_in!R14)</f>
        <v>0.76546574771459974</v>
      </c>
      <c r="S14" s="137">
        <f>IF(SER_hh_tes_in!S14=0,"",SER_hh_tes_in!S14/SER_hh_fec_in!S14)</f>
        <v>0.78651850826787129</v>
      </c>
      <c r="T14" s="137">
        <f>IF(SER_hh_tes_in!T14=0,"",SER_hh_tes_in!T14/SER_hh_fec_in!T14)</f>
        <v>0.81010400753386691</v>
      </c>
      <c r="U14" s="137">
        <f>IF(SER_hh_tes_in!U14=0,"",SER_hh_tes_in!U14/SER_hh_fec_in!U14)</f>
        <v>0.83335590100042434</v>
      </c>
      <c r="V14" s="137">
        <f>IF(SER_hh_tes_in!V14=0,"",SER_hh_tes_in!V14/SER_hh_fec_in!V14)</f>
        <v>0.85340502187225009</v>
      </c>
      <c r="W14" s="137">
        <f>IF(SER_hh_tes_in!W14=0,"",SER_hh_tes_in!W14/SER_hh_fec_in!W14)</f>
        <v>0.86968389778789112</v>
      </c>
      <c r="X14" s="137">
        <f>IF(SER_hh_tes_in!X14=0,"",SER_hh_tes_in!X14/SER_hh_fec_in!X14)</f>
        <v>0.88409449090372139</v>
      </c>
      <c r="Y14" s="137">
        <f>IF(SER_hh_tes_in!Y14=0,"",SER_hh_tes_in!Y14/SER_hh_fec_in!Y14)</f>
        <v>0.89768696225427569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2.2608500736223291</v>
      </c>
      <c r="D16" s="135">
        <f>IF(SER_hh_tes_in!D16=0,"",SER_hh_tes_in!D16/SER_hh_fec_in!D16)</f>
        <v>2.3523635271579399</v>
      </c>
      <c r="E16" s="135">
        <f>IF(SER_hh_tes_in!E16=0,"",SER_hh_tes_in!E16/SER_hh_fec_in!E16)</f>
        <v>2.4463795262038701</v>
      </c>
      <c r="F16" s="135">
        <f>IF(SER_hh_tes_in!F16=0,"",SER_hh_tes_in!F16/SER_hh_fec_in!F16)</f>
        <v>2.5417610532535888</v>
      </c>
      <c r="G16" s="135">
        <f>IF(SER_hh_tes_in!G16=0,"",SER_hh_tes_in!G16/SER_hh_fec_in!G16)</f>
        <v>2.638151736287468</v>
      </c>
      <c r="H16" s="135">
        <f>IF(SER_hh_tes_in!H16=0,"",SER_hh_tes_in!H16/SER_hh_fec_in!H16)</f>
        <v>2.7357383424012935</v>
      </c>
      <c r="I16" s="135">
        <f>IF(SER_hh_tes_in!I16=0,"",SER_hh_tes_in!I16/SER_hh_fec_in!I16)</f>
        <v>2.835484010454226</v>
      </c>
      <c r="J16" s="135">
        <f>IF(SER_hh_tes_in!J16=0,"",SER_hh_tes_in!J16/SER_hh_fec_in!J16)</f>
        <v>2.935815749711058</v>
      </c>
      <c r="K16" s="135">
        <f>IF(SER_hh_tes_in!K16=0,"",SER_hh_tes_in!K16/SER_hh_fec_in!K16)</f>
        <v>3.0364539159428534</v>
      </c>
      <c r="L16" s="135">
        <f>IF(SER_hh_tes_in!L16=0,"",SER_hh_tes_in!L16/SER_hh_fec_in!L16)</f>
        <v>3.1390638998179203</v>
      </c>
      <c r="M16" s="135">
        <f>IF(SER_hh_tes_in!M16=0,"",SER_hh_tes_in!M16/SER_hh_fec_in!M16)</f>
        <v>3.2603792879574067</v>
      </c>
      <c r="N16" s="135">
        <f>IF(SER_hh_tes_in!N16=0,"",SER_hh_tes_in!N16/SER_hh_fec_in!N16)</f>
        <v>3.3996422199434577</v>
      </c>
      <c r="O16" s="135">
        <f>IF(SER_hh_tes_in!O16=0,"",SER_hh_tes_in!O16/SER_hh_fec_in!O16)</f>
        <v>3.5511886916685649</v>
      </c>
      <c r="P16" s="135">
        <f>IF(SER_hh_tes_in!P16=0,"",SER_hh_tes_in!P16/SER_hh_fec_in!P16)</f>
        <v>3.7084510930266683</v>
      </c>
      <c r="Q16" s="135">
        <f>IF(SER_hh_tes_in!Q16=0,"",SER_hh_tes_in!Q16/SER_hh_fec_in!Q16)</f>
        <v>3.827179326775179</v>
      </c>
      <c r="R16" s="135">
        <f>IF(SER_hh_tes_in!R16=0,"",SER_hh_tes_in!R16/SER_hh_fec_in!R16)</f>
        <v>3.9408815378534361</v>
      </c>
      <c r="S16" s="135">
        <f>IF(SER_hh_tes_in!S16=0,"",SER_hh_tes_in!S16/SER_hh_fec_in!S16)</f>
        <v>3.9862000137048712</v>
      </c>
      <c r="T16" s="135">
        <f>IF(SER_hh_tes_in!T16=0,"",SER_hh_tes_in!T16/SER_hh_fec_in!T16)</f>
        <v>4.0059324605603903</v>
      </c>
      <c r="U16" s="135">
        <f>IF(SER_hh_tes_in!U16=0,"",SER_hh_tes_in!U16/SER_hh_fec_in!U16)</f>
        <v>4.0437719160023331</v>
      </c>
      <c r="V16" s="135">
        <f>IF(SER_hh_tes_in!V16=0,"",SER_hh_tes_in!V16/SER_hh_fec_in!V16)</f>
        <v>4.057109431085375</v>
      </c>
      <c r="W16" s="135">
        <f>IF(SER_hh_tes_in!W16=0,"",SER_hh_tes_in!W16/SER_hh_fec_in!W16)</f>
        <v>4.1231613425695492</v>
      </c>
      <c r="X16" s="135">
        <f>IF(SER_hh_tes_in!X16=0,"",SER_hh_tes_in!X16/SER_hh_fec_in!X16)</f>
        <v>4.1069803234523681</v>
      </c>
      <c r="Y16" s="135">
        <f>IF(SER_hh_tes_in!Y16=0,"",SER_hh_tes_in!Y16/SER_hh_fec_in!Y16)</f>
        <v>4.1363080411082516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1.1637844301425471</v>
      </c>
      <c r="D17" s="136">
        <f>IF(SER_hh_tes_in!D17=0,"",SER_hh_tes_in!D17/SER_hh_fec_in!D17)</f>
        <v>1.1818335486208302</v>
      </c>
      <c r="E17" s="136">
        <f>IF(SER_hh_tes_in!E17=0,"",SER_hh_tes_in!E17/SER_hh_fec_in!E17)</f>
        <v>1.1996089613396026</v>
      </c>
      <c r="F17" s="136">
        <f>IF(SER_hh_tes_in!F17=0,"",SER_hh_tes_in!F17/SER_hh_fec_in!F17)</f>
        <v>1.2169818555224383</v>
      </c>
      <c r="G17" s="136">
        <f>IF(SER_hh_tes_in!G17=0,"",SER_hh_tes_in!G17/SER_hh_fec_in!G17)</f>
        <v>1.2341106940127002</v>
      </c>
      <c r="H17" s="136">
        <f>IF(SER_hh_tes_in!H17=0,"",SER_hh_tes_in!H17/SER_hh_fec_in!H17)</f>
        <v>1.2509987686176605</v>
      </c>
      <c r="I17" s="136">
        <f>IF(SER_hh_tes_in!I17=0,"",SER_hh_tes_in!I17/SER_hh_fec_in!I17)</f>
        <v>1.2676928559145135</v>
      </c>
      <c r="J17" s="136">
        <f>IF(SER_hh_tes_in!J17=0,"",SER_hh_tes_in!J17/SER_hh_fec_in!J17)</f>
        <v>1.2843260683256452</v>
      </c>
      <c r="K17" s="136">
        <f>IF(SER_hh_tes_in!K17=0,"",SER_hh_tes_in!K17/SER_hh_fec_in!K17)</f>
        <v>1.3010048756847952</v>
      </c>
      <c r="L17" s="136">
        <f>IF(SER_hh_tes_in!L17=0,"",SER_hh_tes_in!L17/SER_hh_fec_in!L17)</f>
        <v>1.3177562016715196</v>
      </c>
      <c r="M17" s="136">
        <f>IF(SER_hh_tes_in!M17=0,"",SER_hh_tes_in!M17/SER_hh_fec_in!M17)</f>
        <v>1.3372714400281358</v>
      </c>
      <c r="N17" s="136">
        <f>IF(SER_hh_tes_in!N17=0,"",SER_hh_tes_in!N17/SER_hh_fec_in!N17)</f>
        <v>1.3595447585932499</v>
      </c>
      <c r="O17" s="136">
        <f>IF(SER_hh_tes_in!O17=0,"",SER_hh_tes_in!O17/SER_hh_fec_in!O17)</f>
        <v>1.3841188577828494</v>
      </c>
      <c r="P17" s="136">
        <f>IF(SER_hh_tes_in!P17=0,"",SER_hh_tes_in!P17/SER_hh_fec_in!P17)</f>
        <v>1.4084583478071968</v>
      </c>
      <c r="Q17" s="136">
        <f>IF(SER_hh_tes_in!Q17=0,"",SER_hh_tes_in!Q17/SER_hh_fec_in!Q17)</f>
        <v>1.4268433548740089</v>
      </c>
      <c r="R17" s="136">
        <f>IF(SER_hh_tes_in!R17=0,"",SER_hh_tes_in!R17/SER_hh_fec_in!R17)</f>
        <v>1.4500818418841661</v>
      </c>
      <c r="S17" s="136">
        <f>IF(SER_hh_tes_in!S17=0,"",SER_hh_tes_in!S17/SER_hh_fec_in!S17)</f>
        <v>1.479091782913645</v>
      </c>
      <c r="T17" s="136">
        <f>IF(SER_hh_tes_in!T17=0,"",SER_hh_tes_in!T17/SER_hh_fec_in!T17)</f>
        <v>1.5100140965666722</v>
      </c>
      <c r="U17" s="136">
        <f>IF(SER_hh_tes_in!U17=0,"",SER_hh_tes_in!U17/SER_hh_fec_in!U17)</f>
        <v>1.5382925701938923</v>
      </c>
      <c r="V17" s="136">
        <f>IF(SER_hh_tes_in!V17=0,"",SER_hh_tes_in!V17/SER_hh_fec_in!V17)</f>
        <v>1.5638697509891111</v>
      </c>
      <c r="W17" s="136">
        <f>IF(SER_hh_tes_in!W17=0,"",SER_hh_tes_in!W17/SER_hh_fec_in!W17)</f>
        <v>1.5834717546974248</v>
      </c>
      <c r="X17" s="136">
        <f>IF(SER_hh_tes_in!X17=0,"",SER_hh_tes_in!X17/SER_hh_fec_in!X17)</f>
        <v>1.5910687089609574</v>
      </c>
      <c r="Y17" s="136">
        <f>IF(SER_hh_tes_in!Y17=0,"",SER_hh_tes_in!Y17/SER_hh_fec_in!Y17)</f>
        <v>1.5923037301901193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2.2628660052940828</v>
      </c>
      <c r="D18" s="136">
        <f>IF(SER_hh_tes_in!D18=0,"",SER_hh_tes_in!D18/SER_hh_fec_in!D18)</f>
        <v>2.3560612760439072</v>
      </c>
      <c r="E18" s="136">
        <f>IF(SER_hh_tes_in!E18=0,"",SER_hh_tes_in!E18/SER_hh_fec_in!E18)</f>
        <v>2.4506537231074947</v>
      </c>
      <c r="F18" s="136">
        <f>IF(SER_hh_tes_in!F18=0,"",SER_hh_tes_in!F18/SER_hh_fec_in!F18)</f>
        <v>2.5460058949807021</v>
      </c>
      <c r="G18" s="136">
        <f>IF(SER_hh_tes_in!G18=0,"",SER_hh_tes_in!G18/SER_hh_fec_in!G18)</f>
        <v>2.6426701977505451</v>
      </c>
      <c r="H18" s="136">
        <f>IF(SER_hh_tes_in!H18=0,"",SER_hh_tes_in!H18/SER_hh_fec_in!H18)</f>
        <v>2.7405598143845755</v>
      </c>
      <c r="I18" s="136">
        <f>IF(SER_hh_tes_in!I18=0,"",SER_hh_tes_in!I18/SER_hh_fec_in!I18)</f>
        <v>2.8397905396984151</v>
      </c>
      <c r="J18" s="136">
        <f>IF(SER_hh_tes_in!J18=0,"",SER_hh_tes_in!J18/SER_hh_fec_in!J18)</f>
        <v>2.9408813573498938</v>
      </c>
      <c r="K18" s="136">
        <f>IF(SER_hh_tes_in!K18=0,"",SER_hh_tes_in!K18/SER_hh_fec_in!K18)</f>
        <v>3.0442433456687725</v>
      </c>
      <c r="L18" s="136">
        <f>IF(SER_hh_tes_in!L18=0,"",SER_hh_tes_in!L18/SER_hh_fec_in!L18)</f>
        <v>3.1499310180658582</v>
      </c>
      <c r="M18" s="136">
        <f>IF(SER_hh_tes_in!M18=0,"",SER_hh_tes_in!M18/SER_hh_fec_in!M18)</f>
        <v>3.2710413004108969</v>
      </c>
      <c r="N18" s="136">
        <f>IF(SER_hh_tes_in!N18=0,"",SER_hh_tes_in!N18/SER_hh_fec_in!N18)</f>
        <v>3.4114620687132566</v>
      </c>
      <c r="O18" s="136">
        <f>IF(SER_hh_tes_in!O18=0,"",SER_hh_tes_in!O18/SER_hh_fec_in!O18)</f>
        <v>3.5709428262108021</v>
      </c>
      <c r="P18" s="136">
        <f>IF(SER_hh_tes_in!P18=0,"",SER_hh_tes_in!P18/SER_hh_fec_in!P18)</f>
        <v>3.7339629050781191</v>
      </c>
      <c r="Q18" s="136">
        <f>IF(SER_hh_tes_in!Q18=0,"",SER_hh_tes_in!Q18/SER_hh_fec_in!Q18)</f>
        <v>3.8590783161527091</v>
      </c>
      <c r="R18" s="136">
        <f>IF(SER_hh_tes_in!R18=0,"",SER_hh_tes_in!R18/SER_hh_fec_in!R18)</f>
        <v>3.9761520732296343</v>
      </c>
      <c r="S18" s="136">
        <f>IF(SER_hh_tes_in!S18=0,"",SER_hh_tes_in!S18/SER_hh_fec_in!S18)</f>
        <v>4.0367073401400733</v>
      </c>
      <c r="T18" s="136">
        <f>IF(SER_hh_tes_in!T18=0,"",SER_hh_tes_in!T18/SER_hh_fec_in!T18)</f>
        <v>4.0756009961431365</v>
      </c>
      <c r="U18" s="136">
        <f>IF(SER_hh_tes_in!U18=0,"",SER_hh_tes_in!U18/SER_hh_fec_in!U18)</f>
        <v>4.1031449239470543</v>
      </c>
      <c r="V18" s="136">
        <f>IF(SER_hh_tes_in!V18=0,"",SER_hh_tes_in!V18/SER_hh_fec_in!V18)</f>
        <v>4.1300239114844679</v>
      </c>
      <c r="W18" s="136">
        <f>IF(SER_hh_tes_in!W18=0,"",SER_hh_tes_in!W18/SER_hh_fec_in!W18)</f>
        <v>4.1563800304611105</v>
      </c>
      <c r="X18" s="136">
        <f>IF(SER_hh_tes_in!X18=0,"",SER_hh_tes_in!X18/SER_hh_fec_in!X18)</f>
        <v>4.1770118338539941</v>
      </c>
      <c r="Y18" s="136">
        <f>IF(SER_hh_tes_in!Y18=0,"",SER_hh_tes_in!Y18/SER_hh_fec_in!Y18)</f>
        <v>4.1949612816966484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0.61156525133300599</v>
      </c>
      <c r="D19" s="135">
        <f>IF(SER_hh_tes_in!D19=0,"",SER_hh_tes_in!D19/SER_hh_fec_in!D19)</f>
        <v>0.61621258689814418</v>
      </c>
      <c r="E19" s="135">
        <f>IF(SER_hh_tes_in!E19=0,"",SER_hh_tes_in!E19/SER_hh_fec_in!E19)</f>
        <v>0.62032051454977966</v>
      </c>
      <c r="F19" s="135">
        <f>IF(SER_hh_tes_in!F19=0,"",SER_hh_tes_in!F19/SER_hh_fec_in!F19)</f>
        <v>0.6327917838614866</v>
      </c>
      <c r="G19" s="135">
        <f>IF(SER_hh_tes_in!G19=0,"",SER_hh_tes_in!G19/SER_hh_fec_in!G19)</f>
        <v>0.63446769014556037</v>
      </c>
      <c r="H19" s="135">
        <f>IF(SER_hh_tes_in!H19=0,"",SER_hh_tes_in!H19/SER_hh_fec_in!H19)</f>
        <v>0.64305079919388985</v>
      </c>
      <c r="I19" s="135">
        <f>IF(SER_hh_tes_in!I19=0,"",SER_hh_tes_in!I19/SER_hh_fec_in!I19)</f>
        <v>0.64778837035098602</v>
      </c>
      <c r="J19" s="135">
        <f>IF(SER_hh_tes_in!J19=0,"",SER_hh_tes_in!J19/SER_hh_fec_in!J19)</f>
        <v>0.67890598049932527</v>
      </c>
      <c r="K19" s="135">
        <f>IF(SER_hh_tes_in!K19=0,"",SER_hh_tes_in!K19/SER_hh_fec_in!K19)</f>
        <v>0.68698382243691147</v>
      </c>
      <c r="L19" s="135">
        <f>IF(SER_hh_tes_in!L19=0,"",SER_hh_tes_in!L19/SER_hh_fec_in!L19)</f>
        <v>0.72643077329784278</v>
      </c>
      <c r="M19" s="135">
        <f>IF(SER_hh_tes_in!M19=0,"",SER_hh_tes_in!M19/SER_hh_fec_in!M19)</f>
        <v>0.75148245587755369</v>
      </c>
      <c r="N19" s="135">
        <f>IF(SER_hh_tes_in!N19=0,"",SER_hh_tes_in!N19/SER_hh_fec_in!N19)</f>
        <v>0.75775210682286942</v>
      </c>
      <c r="O19" s="135">
        <f>IF(SER_hh_tes_in!O19=0,"",SER_hh_tes_in!O19/SER_hh_fec_in!O19)</f>
        <v>0.75736343070500356</v>
      </c>
      <c r="P19" s="135">
        <f>IF(SER_hh_tes_in!P19=0,"",SER_hh_tes_in!P19/SER_hh_fec_in!P19)</f>
        <v>0.78490295476585126</v>
      </c>
      <c r="Q19" s="135">
        <f>IF(SER_hh_tes_in!Q19=0,"",SER_hh_tes_in!Q19/SER_hh_fec_in!Q19)</f>
        <v>0.80135038497539812</v>
      </c>
      <c r="R19" s="135">
        <f>IF(SER_hh_tes_in!R19=0,"",SER_hh_tes_in!R19/SER_hh_fec_in!R19)</f>
        <v>0.8061848164005484</v>
      </c>
      <c r="S19" s="135">
        <f>IF(SER_hh_tes_in!S19=0,"",SER_hh_tes_in!S19/SER_hh_fec_in!S19)</f>
        <v>0.82131577822268498</v>
      </c>
      <c r="T19" s="135">
        <f>IF(SER_hh_tes_in!T19=0,"",SER_hh_tes_in!T19/SER_hh_fec_in!T19)</f>
        <v>0.83726234401760957</v>
      </c>
      <c r="U19" s="135">
        <f>IF(SER_hh_tes_in!U19=0,"",SER_hh_tes_in!U19/SER_hh_fec_in!U19)</f>
        <v>0.85228252993382925</v>
      </c>
      <c r="V19" s="135">
        <f>IF(SER_hh_tes_in!V19=0,"",SER_hh_tes_in!V19/SER_hh_fec_in!V19)</f>
        <v>0.88580537804931947</v>
      </c>
      <c r="W19" s="135">
        <f>IF(SER_hh_tes_in!W19=0,"",SER_hh_tes_in!W19/SER_hh_fec_in!W19)</f>
        <v>0.89676927190524602</v>
      </c>
      <c r="X19" s="135">
        <f>IF(SER_hh_tes_in!X19=0,"",SER_hh_tes_in!X19/SER_hh_fec_in!X19)</f>
        <v>0.91059628326156528</v>
      </c>
      <c r="Y19" s="135">
        <f>IF(SER_hh_tes_in!Y19=0,"",SER_hh_tes_in!Y19/SER_hh_fec_in!Y19)</f>
        <v>0.95405319702484792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0.54122296855810226</v>
      </c>
      <c r="D21" s="136">
        <f>IF(SER_hh_tes_in!D21=0,"",SER_hh_tes_in!D21/SER_hh_fec_in!D21)</f>
        <v>0.54365140395044032</v>
      </c>
      <c r="E21" s="136">
        <f>IF(SER_hh_tes_in!E21=0,"",SER_hh_tes_in!E21/SER_hh_fec_in!E21)</f>
        <v>0.54641740261073191</v>
      </c>
      <c r="F21" s="136">
        <f>IF(SER_hh_tes_in!F21=0,"",SER_hh_tes_in!F21/SER_hh_fec_in!F21)</f>
        <v>0.54922943262574442</v>
      </c>
      <c r="G21" s="136">
        <f>IF(SER_hh_tes_in!G21=0,"",SER_hh_tes_in!G21/SER_hh_fec_in!G21)</f>
        <v>0.55235233855539334</v>
      </c>
      <c r="H21" s="136">
        <f>IF(SER_hh_tes_in!H21=0,"",SER_hh_tes_in!H21/SER_hh_fec_in!H21)</f>
        <v>0.55575370679720493</v>
      </c>
      <c r="I21" s="136">
        <f>IF(SER_hh_tes_in!I21=0,"",SER_hh_tes_in!I21/SER_hh_fec_in!I21)</f>
        <v>0.55949879505848132</v>
      </c>
      <c r="J21" s="136">
        <f>IF(SER_hh_tes_in!J21=0,"",SER_hh_tes_in!J21/SER_hh_fec_in!J21)</f>
        <v>0.56385494113214085</v>
      </c>
      <c r="K21" s="136">
        <f>IF(SER_hh_tes_in!K21=0,"",SER_hh_tes_in!K21/SER_hh_fec_in!K21)</f>
        <v>0.56904945246036642</v>
      </c>
      <c r="L21" s="136">
        <f>IF(SER_hh_tes_in!L21=0,"",SER_hh_tes_in!L21/SER_hh_fec_in!L21)</f>
        <v>0.57514314310307446</v>
      </c>
      <c r="M21" s="136">
        <f>IF(SER_hh_tes_in!M21=0,"",SER_hh_tes_in!M21/SER_hh_fec_in!M21)</f>
        <v>0.5875655178691308</v>
      </c>
      <c r="N21" s="136">
        <f>IF(SER_hh_tes_in!N21=0,"",SER_hh_tes_in!N21/SER_hh_fec_in!N21)</f>
        <v>0.60804240727430037</v>
      </c>
      <c r="O21" s="136">
        <f>IF(SER_hh_tes_in!O21=0,"",SER_hh_tes_in!O21/SER_hh_fec_in!O21)</f>
        <v>0.6379784105800369</v>
      </c>
      <c r="P21" s="136">
        <f>IF(SER_hh_tes_in!P21=0,"",SER_hh_tes_in!P21/SER_hh_fec_in!P21)</f>
        <v>0.67427904400384886</v>
      </c>
      <c r="Q21" s="136">
        <f>IF(SER_hh_tes_in!Q21=0,"",SER_hh_tes_in!Q21/SER_hh_fec_in!Q21)</f>
        <v>0.70696273972295043</v>
      </c>
      <c r="R21" s="136">
        <f>IF(SER_hh_tes_in!R21=0,"",SER_hh_tes_in!R21/SER_hh_fec_in!R21)</f>
        <v>0.72816720027708892</v>
      </c>
      <c r="S21" s="136">
        <f>IF(SER_hh_tes_in!S21=0,"",SER_hh_tes_in!S21/SER_hh_fec_in!S21)</f>
        <v>0.74791057394564686</v>
      </c>
      <c r="T21" s="136">
        <f>IF(SER_hh_tes_in!T21=0,"",SER_hh_tes_in!T21/SER_hh_fec_in!T21)</f>
        <v>0.76561071214382048</v>
      </c>
      <c r="U21" s="136">
        <f>IF(SER_hh_tes_in!U21=0,"",SER_hh_tes_in!U21/SER_hh_fec_in!U21)</f>
        <v>0.78068546628686664</v>
      </c>
      <c r="V21" s="136">
        <f>IF(SER_hh_tes_in!V21=0,"",SER_hh_tes_in!V21/SER_hh_fec_in!V21)</f>
        <v>0.79255268779001786</v>
      </c>
      <c r="W21" s="136">
        <f>IF(SER_hh_tes_in!W21=0,"",SER_hh_tes_in!W21/SER_hh_fec_in!W21)</f>
        <v>0.79984691106131733</v>
      </c>
      <c r="X21" s="136">
        <f>IF(SER_hh_tes_in!X21=0,"",SER_hh_tes_in!X21/SER_hh_fec_in!X21)</f>
        <v>0.80332640774762598</v>
      </c>
      <c r="Y21" s="136">
        <f>IF(SER_hh_tes_in!Y21=0,"",SER_hh_tes_in!Y21/SER_hh_fec_in!Y21)</f>
        <v>0.80508833970698546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0.51025720174083555</v>
      </c>
      <c r="D22" s="136">
        <f>IF(SER_hh_tes_in!D22=0,"",SER_hh_tes_in!D22/SER_hh_fec_in!D22)</f>
        <v>0.5127604667414799</v>
      </c>
      <c r="E22" s="136">
        <f>IF(SER_hh_tes_in!E22=0,"",SER_hh_tes_in!E22/SER_hh_fec_in!E22)</f>
        <v>0.51561169665683326</v>
      </c>
      <c r="F22" s="136">
        <f>IF(SER_hh_tes_in!F22=0,"",SER_hh_tes_in!F22/SER_hh_fec_in!F22)</f>
        <v>0.51851037633328334</v>
      </c>
      <c r="G22" s="136">
        <f>IF(SER_hh_tes_in!G22=0,"",SER_hh_tes_in!G22/SER_hh_fec_in!G22)</f>
        <v>0.52172951122921685</v>
      </c>
      <c r="H22" s="136">
        <f>IF(SER_hh_tes_in!H22=0,"",SER_hh_tes_in!H22/SER_hh_fec_in!H22)</f>
        <v>0.52523568895208117</v>
      </c>
      <c r="I22" s="136">
        <f>IF(SER_hh_tes_in!I22=0,"",SER_hh_tes_in!I22/SER_hh_fec_in!I22)</f>
        <v>0.52909617805479991</v>
      </c>
      <c r="J22" s="136">
        <f>IF(SER_hh_tes_in!J22=0,"",SER_hh_tes_in!J22/SER_hh_fec_in!J22)</f>
        <v>0.5335865540550393</v>
      </c>
      <c r="K22" s="136">
        <f>IF(SER_hh_tes_in!K22=0,"",SER_hh_tes_in!K22/SER_hh_fec_in!K22)</f>
        <v>0.53894112862779697</v>
      </c>
      <c r="L22" s="136">
        <f>IF(SER_hh_tes_in!L22=0,"",SER_hh_tes_in!L22/SER_hh_fec_in!L22)</f>
        <v>0.54522258975242643</v>
      </c>
      <c r="M22" s="136">
        <f>IF(SER_hh_tes_in!M22=0,"",SER_hh_tes_in!M22/SER_hh_fec_in!M22)</f>
        <v>0.55802774655209697</v>
      </c>
      <c r="N22" s="136">
        <f>IF(SER_hh_tes_in!N22=0,"",SER_hh_tes_in!N22/SER_hh_fec_in!N22)</f>
        <v>0.57913560914204099</v>
      </c>
      <c r="O22" s="136">
        <f>IF(SER_hh_tes_in!O22=0,"",SER_hh_tes_in!O22/SER_hh_fec_in!O22)</f>
        <v>0.60999405798974904</v>
      </c>
      <c r="P22" s="136">
        <f>IF(SER_hh_tes_in!P22=0,"",SER_hh_tes_in!P22/SER_hh_fec_in!P22)</f>
        <v>0.64741325614414791</v>
      </c>
      <c r="Q22" s="136">
        <f>IF(SER_hh_tes_in!Q22=0,"",SER_hh_tes_in!Q22/SER_hh_fec_in!Q22)</f>
        <v>0.6811040645730968</v>
      </c>
      <c r="R22" s="136">
        <f>IF(SER_hh_tes_in!R22=0,"",SER_hh_tes_in!R22/SER_hh_fec_in!R22)</f>
        <v>0.7029619176295111</v>
      </c>
      <c r="S22" s="136">
        <f>IF(SER_hh_tes_in!S22=0,"",SER_hh_tes_in!S22/SER_hh_fec_in!S22)</f>
        <v>0.72331366198930769</v>
      </c>
      <c r="T22" s="136">
        <f>IF(SER_hh_tes_in!T22=0,"",SER_hh_tes_in!T22/SER_hh_fec_in!T22)</f>
        <v>0.74155921078910469</v>
      </c>
      <c r="U22" s="136">
        <f>IF(SER_hh_tes_in!U22=0,"",SER_hh_tes_in!U22/SER_hh_fec_in!U22)</f>
        <v>0.75709847716558265</v>
      </c>
      <c r="V22" s="136">
        <f>IF(SER_hh_tes_in!V22=0,"",SER_hh_tes_in!V22/SER_hh_fec_in!V22)</f>
        <v>0.7693313742553971</v>
      </c>
      <c r="W22" s="136">
        <f>IF(SER_hh_tes_in!W22=0,"",SER_hh_tes_in!W22/SER_hh_fec_in!W22)</f>
        <v>0.77685036112222505</v>
      </c>
      <c r="X22" s="136" t="str">
        <f>IF(SER_hh_tes_in!X22=0,"",SER_hh_tes_in!X22/SER_hh_fec_in!X22)</f>
        <v/>
      </c>
      <c r="Y22" s="136" t="str">
        <f>IF(SER_hh_tes_in!Y22=0,"",SER_hh_tes_in!Y22/SER_hh_fec_in!Y22)</f>
        <v/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0.55335637453457387</v>
      </c>
      <c r="D23" s="136">
        <f>IF(SER_hh_tes_in!D23=0,"",SER_hh_tes_in!D23/SER_hh_fec_in!D23)</f>
        <v>0.55942475593270513</v>
      </c>
      <c r="E23" s="136">
        <f>IF(SER_hh_tes_in!E23=0,"",SER_hh_tes_in!E23/SER_hh_fec_in!E23)</f>
        <v>0.56576799928732213</v>
      </c>
      <c r="F23" s="136">
        <f>IF(SER_hh_tes_in!F23=0,"",SER_hh_tes_in!F23/SER_hh_fec_in!F23)</f>
        <v>0.5721601122274167</v>
      </c>
      <c r="G23" s="136">
        <f>IF(SER_hh_tes_in!G23=0,"",SER_hh_tes_in!G23/SER_hh_fec_in!G23)</f>
        <v>0.57880339178024631</v>
      </c>
      <c r="H23" s="136">
        <f>IF(SER_hh_tes_in!H23=0,"",SER_hh_tes_in!H23/SER_hh_fec_in!H23)</f>
        <v>0.58567097996726192</v>
      </c>
      <c r="I23" s="136">
        <f>IF(SER_hh_tes_in!I23=0,"",SER_hh_tes_in!I23/SER_hh_fec_in!I23)</f>
        <v>0.59281057329219911</v>
      </c>
      <c r="J23" s="136">
        <f>IF(SER_hh_tes_in!J23=0,"",SER_hh_tes_in!J23/SER_hh_fec_in!J23)</f>
        <v>0.60042243175897192</v>
      </c>
      <c r="K23" s="136">
        <f>IF(SER_hh_tes_in!K23=0,"",SER_hh_tes_in!K23/SER_hh_fec_in!K23)</f>
        <v>0.60867400920303316</v>
      </c>
      <c r="L23" s="136">
        <f>IF(SER_hh_tes_in!L23=0,"",SER_hh_tes_in!L23/SER_hh_fec_in!L23)</f>
        <v>0.61760509212669379</v>
      </c>
      <c r="M23" s="136">
        <f>IF(SER_hh_tes_in!M23=0,"",SER_hh_tes_in!M23/SER_hh_fec_in!M23)</f>
        <v>0.63138417109824274</v>
      </c>
      <c r="N23" s="136">
        <f>IF(SER_hh_tes_in!N23=0,"",SER_hh_tes_in!N23/SER_hh_fec_in!N23)</f>
        <v>0.65129832893052875</v>
      </c>
      <c r="O23" s="136">
        <f>IF(SER_hh_tes_in!O23=0,"",SER_hh_tes_in!O23/SER_hh_fec_in!O23)</f>
        <v>0.67826620761536405</v>
      </c>
      <c r="P23" s="136">
        <f>IF(SER_hh_tes_in!P23=0,"",SER_hh_tes_in!P23/SER_hh_fec_in!P23)</f>
        <v>0.70962268515603055</v>
      </c>
      <c r="Q23" s="136">
        <f>IF(SER_hh_tes_in!Q23=0,"",SER_hh_tes_in!Q23/SER_hh_fec_in!Q23)</f>
        <v>0.73707605262029485</v>
      </c>
      <c r="R23" s="136">
        <f>IF(SER_hh_tes_in!R23=0,"",SER_hh_tes_in!R23/SER_hh_fec_in!R23)</f>
        <v>0.75385756010848171</v>
      </c>
      <c r="S23" s="136">
        <f>IF(SER_hh_tes_in!S23=0,"",SER_hh_tes_in!S23/SER_hh_fec_in!S23)</f>
        <v>0.76814891098502169</v>
      </c>
      <c r="T23" s="136">
        <f>IF(SER_hh_tes_in!T23=0,"",SER_hh_tes_in!T23/SER_hh_fec_in!T23)</f>
        <v>0.78017442726516495</v>
      </c>
      <c r="U23" s="136">
        <f>IF(SER_hh_tes_in!U23=0,"",SER_hh_tes_in!U23/SER_hh_fec_in!U23)</f>
        <v>0.79014772491409857</v>
      </c>
      <c r="V23" s="136">
        <f>IF(SER_hh_tes_in!V23=0,"",SER_hh_tes_in!V23/SER_hh_fec_in!V23)</f>
        <v>0.79825615920813398</v>
      </c>
      <c r="W23" s="136">
        <f>IF(SER_hh_tes_in!W23=0,"",SER_hh_tes_in!W23/SER_hh_fec_in!W23)</f>
        <v>0.80362236813792254</v>
      </c>
      <c r="X23" s="136" t="str">
        <f>IF(SER_hh_tes_in!X23=0,"",SER_hh_tes_in!X23/SER_hh_fec_in!X23)</f>
        <v/>
      </c>
      <c r="Y23" s="136" t="str">
        <f>IF(SER_hh_tes_in!Y23=0,"",SER_hh_tes_in!Y23/SER_hh_fec_in!Y23)</f>
        <v/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>
        <f>IF(SER_hh_tes_in!C25=0,"",SER_hh_tes_in!C25/SER_hh_fec_in!C25)</f>
        <v>0.77407657425750709</v>
      </c>
      <c r="D25" s="136">
        <f>IF(SER_hh_tes_in!D25=0,"",SER_hh_tes_in!D25/SER_hh_fec_in!D25)</f>
        <v>0.77689324978494656</v>
      </c>
      <c r="E25" s="136">
        <f>IF(SER_hh_tes_in!E25=0,"",SER_hh_tes_in!E25/SER_hh_fec_in!E25)</f>
        <v>0.77978596820316137</v>
      </c>
      <c r="F25" s="136">
        <f>IF(SER_hh_tes_in!F25=0,"",SER_hh_tes_in!F25/SER_hh_fec_in!F25)</f>
        <v>0.7826890561064821</v>
      </c>
      <c r="G25" s="136">
        <f>IF(SER_hh_tes_in!G25=0,"",SER_hh_tes_in!G25/SER_hh_fec_in!G25)</f>
        <v>0.78566217503943736</v>
      </c>
      <c r="H25" s="136">
        <f>IF(SER_hh_tes_in!H25=0,"",SER_hh_tes_in!H25/SER_hh_fec_in!H25)</f>
        <v>0.78869802318851112</v>
      </c>
      <c r="I25" s="136">
        <f>IF(SER_hh_tes_in!I25=0,"",SER_hh_tes_in!I25/SER_hh_fec_in!I25)</f>
        <v>0.79181130116001841</v>
      </c>
      <c r="J25" s="136">
        <f>IF(SER_hh_tes_in!J25=0,"",SER_hh_tes_in!J25/SER_hh_fec_in!J25)</f>
        <v>0.79506223214918592</v>
      </c>
      <c r="K25" s="136">
        <f>IF(SER_hh_tes_in!K25=0,"",SER_hh_tes_in!K25/SER_hh_fec_in!K25)</f>
        <v>0.7985020217125397</v>
      </c>
      <c r="L25" s="136">
        <f>IF(SER_hh_tes_in!L25=0,"",SER_hh_tes_in!L25/SER_hh_fec_in!L25)</f>
        <v>0.80214436943577128</v>
      </c>
      <c r="M25" s="136">
        <f>IF(SER_hh_tes_in!M25=0,"",SER_hh_tes_in!M25/SER_hh_fec_in!M25)</f>
        <v>0.80718765457286679</v>
      </c>
      <c r="N25" s="136">
        <f>IF(SER_hh_tes_in!N25=0,"",SER_hh_tes_in!N25/SER_hh_fec_in!N25)</f>
        <v>0.81401077457992232</v>
      </c>
      <c r="O25" s="136">
        <f>IF(SER_hh_tes_in!O25=0,"",SER_hh_tes_in!O25/SER_hh_fec_in!O25)</f>
        <v>0.82294587911868566</v>
      </c>
      <c r="P25" s="136">
        <f>IF(SER_hh_tes_in!P25=0,"",SER_hh_tes_in!P25/SER_hh_fec_in!P25)</f>
        <v>0.83336102910541143</v>
      </c>
      <c r="Q25" s="136">
        <f>IF(SER_hh_tes_in!Q25=0,"",SER_hh_tes_in!Q25/SER_hh_fec_in!Q25)</f>
        <v>0.8431874841515814</v>
      </c>
      <c r="R25" s="136">
        <f>IF(SER_hh_tes_in!R25=0,"",SER_hh_tes_in!R25/SER_hh_fec_in!R25)</f>
        <v>0.85071716868700054</v>
      </c>
      <c r="S25" s="136">
        <f>IF(SER_hh_tes_in!S25=0,"",SER_hh_tes_in!S25/SER_hh_fec_in!S25)</f>
        <v>0.85804229301536505</v>
      </c>
      <c r="T25" s="136">
        <f>IF(SER_hh_tes_in!T25=0,"",SER_hh_tes_in!T25/SER_hh_fec_in!T25)</f>
        <v>0.86511391379674663</v>
      </c>
      <c r="U25" s="136">
        <f>IF(SER_hh_tes_in!U25=0,"",SER_hh_tes_in!U25/SER_hh_fec_in!U25)</f>
        <v>0.8718830876912409</v>
      </c>
      <c r="V25" s="136">
        <f>IF(SER_hh_tes_in!V25=0,"",SER_hh_tes_in!V25/SER_hh_fec_in!V25)</f>
        <v>0.87830087135893309</v>
      </c>
      <c r="W25" s="136">
        <f>IF(SER_hh_tes_in!W25=0,"",SER_hh_tes_in!W25/SER_hh_fec_in!W25)</f>
        <v>0.884212887113628</v>
      </c>
      <c r="X25" s="136">
        <f>IF(SER_hh_tes_in!X25=0,"",SER_hh_tes_in!X25/SER_hh_fec_in!X25)</f>
        <v>0.88891933493244135</v>
      </c>
      <c r="Y25" s="136">
        <f>IF(SER_hh_tes_in!Y25=0,"",SER_hh_tes_in!Y25/SER_hh_fec_in!Y25)</f>
        <v>0.89344197468585029</v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0.642725342750606</v>
      </c>
      <c r="D26" s="137">
        <f>IF(SER_hh_tes_in!D26=0,"",SER_hh_tes_in!D26/SER_hh_fec_in!D26)</f>
        <v>0.64505000045282157</v>
      </c>
      <c r="E26" s="137">
        <f>IF(SER_hh_tes_in!E26=0,"",SER_hh_tes_in!E26/SER_hh_fec_in!E26)</f>
        <v>0.64759492489165227</v>
      </c>
      <c r="F26" s="137">
        <f>IF(SER_hh_tes_in!F26=0,"",SER_hh_tes_in!F26/SER_hh_fec_in!F26)</f>
        <v>0.65017055506054966</v>
      </c>
      <c r="G26" s="137">
        <f>IF(SER_hh_tes_in!G26=0,"",SER_hh_tes_in!G26/SER_hh_fec_in!G26)</f>
        <v>0.65295075667881852</v>
      </c>
      <c r="H26" s="137">
        <f>IF(SER_hh_tes_in!H26=0,"",SER_hh_tes_in!H26/SER_hh_fec_in!H26)</f>
        <v>0.65591590403804434</v>
      </c>
      <c r="I26" s="137">
        <f>IF(SER_hh_tes_in!I26=0,"",SER_hh_tes_in!I26/SER_hh_fec_in!I26)</f>
        <v>0.65911108884276737</v>
      </c>
      <c r="J26" s="137">
        <f>IF(SER_hh_tes_in!J26=0,"",SER_hh_tes_in!J26/SER_hh_fec_in!J26)</f>
        <v>0.66271711516640464</v>
      </c>
      <c r="K26" s="137">
        <f>IF(SER_hh_tes_in!K26=0,"",SER_hh_tes_in!K26/SER_hh_fec_in!K26)</f>
        <v>0.66689370796259273</v>
      </c>
      <c r="L26" s="137">
        <f>IF(SER_hh_tes_in!L26=0,"",SER_hh_tes_in!L26/SER_hh_fec_in!L26)</f>
        <v>0.67169578358859239</v>
      </c>
      <c r="M26" s="137">
        <f>IF(SER_hh_tes_in!M26=0,"",SER_hh_tes_in!M26/SER_hh_fec_in!M26)</f>
        <v>0.68082510773708282</v>
      </c>
      <c r="N26" s="137">
        <f>IF(SER_hh_tes_in!N26=0,"",SER_hh_tes_in!N26/SER_hh_fec_in!N26)</f>
        <v>0.6958785410525915</v>
      </c>
      <c r="O26" s="137">
        <f>IF(SER_hh_tes_in!O26=0,"",SER_hh_tes_in!O26/SER_hh_fec_in!O26)</f>
        <v>0.71883307004487307</v>
      </c>
      <c r="P26" s="137">
        <f>IF(SER_hh_tes_in!P26=0,"",SER_hh_tes_in!P26/SER_hh_fec_in!P26)</f>
        <v>0.74860041395345223</v>
      </c>
      <c r="Q26" s="137">
        <f>IF(SER_hh_tes_in!Q26=0,"",SER_hh_tes_in!Q26/SER_hh_fec_in!Q26)</f>
        <v>0.77731956754083242</v>
      </c>
      <c r="R26" s="137">
        <f>IF(SER_hh_tes_in!R26=0,"",SER_hh_tes_in!R26/SER_hh_fec_in!R26)</f>
        <v>0.79675494901564203</v>
      </c>
      <c r="S26" s="137">
        <f>IF(SER_hh_tes_in!S26=0,"",SER_hh_tes_in!S26/SER_hh_fec_in!S26)</f>
        <v>0.8155844836142887</v>
      </c>
      <c r="T26" s="137">
        <f>IF(SER_hh_tes_in!T26=0,"",SER_hh_tes_in!T26/SER_hh_fec_in!T26)</f>
        <v>0.83426789095249165</v>
      </c>
      <c r="U26" s="137">
        <f>IF(SER_hh_tes_in!U26=0,"",SER_hh_tes_in!U26/SER_hh_fec_in!U26)</f>
        <v>0.85299299015906849</v>
      </c>
      <c r="V26" s="137">
        <f>IF(SER_hh_tes_in!V26=0,"",SER_hh_tes_in!V26/SER_hh_fec_in!V26)</f>
        <v>0.87138822950148254</v>
      </c>
      <c r="W26" s="137">
        <f>IF(SER_hh_tes_in!W26=0,"",SER_hh_tes_in!W26/SER_hh_fec_in!W26)</f>
        <v>0.88818918561589266</v>
      </c>
      <c r="X26" s="137">
        <f>IF(SER_hh_tes_in!X26=0,"",SER_hh_tes_in!X26/SER_hh_fec_in!X26)</f>
        <v>0.90173391922335144</v>
      </c>
      <c r="Y26" s="137">
        <f>IF(SER_hh_tes_in!Y26=0,"",SER_hh_tes_in!Y26/SER_hh_fec_in!Y26)</f>
        <v>0.91437033242849042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>
        <f>IF(SER_hh_tes_in!X27=0,"",SER_hh_tes_in!X27/SER_hh_fec_in!X27)</f>
        <v>1</v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0.71410760601070011</v>
      </c>
      <c r="D29" s="135">
        <f>IF(SER_hh_tes_in!D29=0,"",SER_hh_tes_in!D29/SER_hh_fec_in!D29)</f>
        <v>0.73021837536328038</v>
      </c>
      <c r="E29" s="135">
        <f>IF(SER_hh_tes_in!E29=0,"",SER_hh_tes_in!E29/SER_hh_fec_in!E29)</f>
        <v>0.73156367731198246</v>
      </c>
      <c r="F29" s="135">
        <f>IF(SER_hh_tes_in!F29=0,"",SER_hh_tes_in!F29/SER_hh_fec_in!F29)</f>
        <v>0.73462216480861164</v>
      </c>
      <c r="G29" s="135">
        <f>IF(SER_hh_tes_in!G29=0,"",SER_hh_tes_in!G29/SER_hh_fec_in!G29)</f>
        <v>0.74033811644582814</v>
      </c>
      <c r="H29" s="135">
        <f>IF(SER_hh_tes_in!H29=0,"",SER_hh_tes_in!H29/SER_hh_fec_in!H29)</f>
        <v>0.74369364485806111</v>
      </c>
      <c r="I29" s="135">
        <f>IF(SER_hh_tes_in!I29=0,"",SER_hh_tes_in!I29/SER_hh_fec_in!I29)</f>
        <v>0.74620350981473016</v>
      </c>
      <c r="J29" s="135">
        <f>IF(SER_hh_tes_in!J29=0,"",SER_hh_tes_in!J29/SER_hh_fec_in!J29)</f>
        <v>0.73484018425264619</v>
      </c>
      <c r="K29" s="135">
        <f>IF(SER_hh_tes_in!K29=0,"",SER_hh_tes_in!K29/SER_hh_fec_in!K29)</f>
        <v>0.7230862251870579</v>
      </c>
      <c r="L29" s="135">
        <f>IF(SER_hh_tes_in!L29=0,"",SER_hh_tes_in!L29/SER_hh_fec_in!L29)</f>
        <v>0.7331292532096253</v>
      </c>
      <c r="M29" s="135">
        <f>IF(SER_hh_tes_in!M29=0,"",SER_hh_tes_in!M29/SER_hh_fec_in!M29)</f>
        <v>0.74042167788959112</v>
      </c>
      <c r="N29" s="135">
        <f>IF(SER_hh_tes_in!N29=0,"",SER_hh_tes_in!N29/SER_hh_fec_in!N29)</f>
        <v>0.73734770181610854</v>
      </c>
      <c r="O29" s="135">
        <f>IF(SER_hh_tes_in!O29=0,"",SER_hh_tes_in!O29/SER_hh_fec_in!O29)</f>
        <v>0.75251934249048102</v>
      </c>
      <c r="P29" s="135">
        <f>IF(SER_hh_tes_in!P29=0,"",SER_hh_tes_in!P29/SER_hh_fec_in!P29)</f>
        <v>0.7634343119399668</v>
      </c>
      <c r="Q29" s="135">
        <f>IF(SER_hh_tes_in!Q29=0,"",SER_hh_tes_in!Q29/SER_hh_fec_in!Q29)</f>
        <v>0.76571249889028947</v>
      </c>
      <c r="R29" s="135">
        <f>IF(SER_hh_tes_in!R29=0,"",SER_hh_tes_in!R29/SER_hh_fec_in!R29)</f>
        <v>0.76545026506940905</v>
      </c>
      <c r="S29" s="135">
        <f>IF(SER_hh_tes_in!S29=0,"",SER_hh_tes_in!S29/SER_hh_fec_in!S29)</f>
        <v>0.78430452488402769</v>
      </c>
      <c r="T29" s="135">
        <f>IF(SER_hh_tes_in!T29=0,"",SER_hh_tes_in!T29/SER_hh_fec_in!T29)</f>
        <v>0.79887052111616974</v>
      </c>
      <c r="U29" s="135">
        <f>IF(SER_hh_tes_in!U29=0,"",SER_hh_tes_in!U29/SER_hh_fec_in!U29)</f>
        <v>0.80765819529300498</v>
      </c>
      <c r="V29" s="135">
        <f>IF(SER_hh_tes_in!V29=0,"",SER_hh_tes_in!V29/SER_hh_fec_in!V29)</f>
        <v>0.80410566341760426</v>
      </c>
      <c r="W29" s="135">
        <f>IF(SER_hh_tes_in!W29=0,"",SER_hh_tes_in!W29/SER_hh_fec_in!W29)</f>
        <v>0.81210614588054264</v>
      </c>
      <c r="X29" s="135">
        <f>IF(SER_hh_tes_in!X29=0,"",SER_hh_tes_in!X29/SER_hh_fec_in!X29)</f>
        <v>0.78997032270522993</v>
      </c>
      <c r="Y29" s="135">
        <f>IF(SER_hh_tes_in!Y29=0,"",SER_hh_tes_in!Y29/SER_hh_fec_in!Y29)</f>
        <v>0.81098376894442625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0.57886884966699181</v>
      </c>
      <c r="D30" s="136">
        <f>IF(SER_hh_tes_in!D30=0,"",SER_hh_tes_in!D30/SER_hh_fec_in!D30)</f>
        <v>0.57947286552466515</v>
      </c>
      <c r="E30" s="136">
        <f>IF(SER_hh_tes_in!E30=0,"",SER_hh_tes_in!E30/SER_hh_fec_in!E30)</f>
        <v>0.58007693579124231</v>
      </c>
      <c r="F30" s="136">
        <f>IF(SER_hh_tes_in!F30=0,"",SER_hh_tes_in!F30/SER_hh_fec_in!F30)</f>
        <v>0.58068101347721501</v>
      </c>
      <c r="G30" s="136">
        <f>IF(SER_hh_tes_in!G30=0,"",SER_hh_tes_in!G30/SER_hh_fec_in!G30)</f>
        <v>0.58128514127058772</v>
      </c>
      <c r="H30" s="136">
        <f>IF(SER_hh_tes_in!H30=0,"",SER_hh_tes_in!H30/SER_hh_fec_in!H30)</f>
        <v>0.58188931394689214</v>
      </c>
      <c r="I30" s="136">
        <f>IF(SER_hh_tes_in!I30=0,"",SER_hh_tes_in!I30/SER_hh_fec_in!I30)</f>
        <v>0.58249354202445314</v>
      </c>
      <c r="J30" s="136">
        <f>IF(SER_hh_tes_in!J30=0,"",SER_hh_tes_in!J30/SER_hh_fec_in!J30)</f>
        <v>0.58309786859313817</v>
      </c>
      <c r="K30" s="136">
        <f>IF(SER_hh_tes_in!K30=0,"",SER_hh_tes_in!K30/SER_hh_fec_in!K30)</f>
        <v>0.58370233029066709</v>
      </c>
      <c r="L30" s="136">
        <f>IF(SER_hh_tes_in!L30=0,"",SER_hh_tes_in!L30/SER_hh_fec_in!L30)</f>
        <v>0.58430693691913194</v>
      </c>
      <c r="M30" s="136">
        <f>IF(SER_hh_tes_in!M30=0,"",SER_hh_tes_in!M30/SER_hh_fec_in!M30)</f>
        <v>0.58476610114628125</v>
      </c>
      <c r="N30" s="136">
        <f>IF(SER_hh_tes_in!N30=0,"",SER_hh_tes_in!N30/SER_hh_fec_in!N30)</f>
        <v>0.58502275235092072</v>
      </c>
      <c r="O30" s="136">
        <f>IF(SER_hh_tes_in!O30=0,"",SER_hh_tes_in!O30/SER_hh_fec_in!O30)</f>
        <v>0.58517614603402979</v>
      </c>
      <c r="P30" s="136">
        <f>IF(SER_hh_tes_in!P30=0,"",SER_hh_tes_in!P30/SER_hh_fec_in!P30)</f>
        <v>0.58560416574887708</v>
      </c>
      <c r="Q30" s="136">
        <f>IF(SER_hh_tes_in!Q30=0,"",SER_hh_tes_in!Q30/SER_hh_fec_in!Q30)</f>
        <v>0.58734630597563597</v>
      </c>
      <c r="R30" s="136">
        <f>IF(SER_hh_tes_in!R30=0,"",SER_hh_tes_in!R30/SER_hh_fec_in!R30)</f>
        <v>0.59192247454547153</v>
      </c>
      <c r="S30" s="136">
        <f>IF(SER_hh_tes_in!S30=0,"",SER_hh_tes_in!S30/SER_hh_fec_in!S30)</f>
        <v>0.59837768322974194</v>
      </c>
      <c r="T30" s="136">
        <f>IF(SER_hh_tes_in!T30=0,"",SER_hh_tes_in!T30/SER_hh_fec_in!T30)</f>
        <v>0.605460312839873</v>
      </c>
      <c r="U30" s="136">
        <f>IF(SER_hh_tes_in!U30=0,"",SER_hh_tes_in!U30/SER_hh_fec_in!U30)</f>
        <v>0.61191874418730863</v>
      </c>
      <c r="V30" s="136">
        <f>IF(SER_hh_tes_in!V30=0,"",SER_hh_tes_in!V30/SER_hh_fec_in!V30)</f>
        <v>0.61650135808348339</v>
      </c>
      <c r="W30" s="136">
        <f>IF(SER_hh_tes_in!W30=0,"",SER_hh_tes_in!W30/SER_hh_fec_in!W30)</f>
        <v>0.61870379711512524</v>
      </c>
      <c r="X30" s="136" t="str">
        <f>IF(SER_hh_tes_in!X30=0,"",SER_hh_tes_in!X30/SER_hh_fec_in!X30)</f>
        <v/>
      </c>
      <c r="Y30" s="136" t="str">
        <f>IF(SER_hh_tes_in!Y30=0,"",SER_hh_tes_in!Y30/SER_hh_fec_in!Y30)</f>
        <v/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0.58611674151200965</v>
      </c>
      <c r="D31" s="136">
        <f>IF(SER_hh_tes_in!D31=0,"",SER_hh_tes_in!D31/SER_hh_fec_in!D31)</f>
        <v>0.58681726290239022</v>
      </c>
      <c r="E31" s="136">
        <f>IF(SER_hh_tes_in!E31=0,"",SER_hh_tes_in!E31/SER_hh_fec_in!E31)</f>
        <v>0.58751784739475776</v>
      </c>
      <c r="F31" s="136">
        <f>IF(SER_hh_tes_in!F31=0,"",SER_hh_tes_in!F31/SER_hh_fec_in!F31)</f>
        <v>0.58821844049194161</v>
      </c>
      <c r="G31" s="136">
        <f>IF(SER_hh_tes_in!G31=0,"",SER_hh_tes_in!G31/SER_hh_fec_in!G31)</f>
        <v>0.58891909170234369</v>
      </c>
      <c r="H31" s="136">
        <f>IF(SER_hh_tes_in!H31=0,"",SER_hh_tes_in!H31/SER_hh_fec_in!H31)</f>
        <v>0.58961979496676598</v>
      </c>
      <c r="I31" s="136">
        <f>IF(SER_hh_tes_in!I31=0,"",SER_hh_tes_in!I31/SER_hh_fec_in!I31)</f>
        <v>0.59032056248407994</v>
      </c>
      <c r="J31" s="136">
        <f>IF(SER_hh_tes_in!J31=0,"",SER_hh_tes_in!J31/SER_hh_fec_in!J31)</f>
        <v>0.59102144422875746</v>
      </c>
      <c r="K31" s="136">
        <f>IF(SER_hh_tes_in!K31=0,"",SER_hh_tes_in!K31/SER_hh_fec_in!K31)</f>
        <v>0.59172248269224381</v>
      </c>
      <c r="L31" s="136">
        <f>IF(SER_hh_tes_in!L31=0,"",SER_hh_tes_in!L31/SER_hh_fec_in!L31)</f>
        <v>0.59242368924274225</v>
      </c>
      <c r="M31" s="136">
        <f>IF(SER_hh_tes_in!M31=0,"",SER_hh_tes_in!M31/SER_hh_fec_in!M31)</f>
        <v>0.59295621559735567</v>
      </c>
      <c r="N31" s="136">
        <f>IF(SER_hh_tes_in!N31=0,"",SER_hh_tes_in!N31/SER_hh_fec_in!N31)</f>
        <v>0.59325387278041297</v>
      </c>
      <c r="O31" s="136">
        <f>IF(SER_hh_tes_in!O31=0,"",SER_hh_tes_in!O31/SER_hh_fec_in!O31)</f>
        <v>0.59343177465964669</v>
      </c>
      <c r="P31" s="136">
        <f>IF(SER_hh_tes_in!P31=0,"",SER_hh_tes_in!P31/SER_hh_fec_in!P31)</f>
        <v>0.59392818044427298</v>
      </c>
      <c r="Q31" s="136">
        <f>IF(SER_hh_tes_in!Q31=0,"",SER_hh_tes_in!Q31/SER_hh_fec_in!Q31)</f>
        <v>0.59594866795032597</v>
      </c>
      <c r="R31" s="136">
        <f>IF(SER_hh_tes_in!R31=0,"",SER_hh_tes_in!R31/SER_hh_fec_in!R31)</f>
        <v>0.60125598551232651</v>
      </c>
      <c r="S31" s="136">
        <f>IF(SER_hh_tes_in!S31=0,"",SER_hh_tes_in!S31/SER_hh_fec_in!S31)</f>
        <v>0.60874256339807842</v>
      </c>
      <c r="T31" s="136">
        <f>IF(SER_hh_tes_in!T31=0,"",SER_hh_tes_in!T31/SER_hh_fec_in!T31)</f>
        <v>0.6169568072445073</v>
      </c>
      <c r="U31" s="136">
        <f>IF(SER_hh_tes_in!U31=0,"",SER_hh_tes_in!U31/SER_hh_fec_in!U31)</f>
        <v>0.62444712268855784</v>
      </c>
      <c r="V31" s="136">
        <f>IF(SER_hh_tes_in!V31=0,"",SER_hh_tes_in!V31/SER_hh_fec_in!V31)</f>
        <v>0.62976191536716519</v>
      </c>
      <c r="W31" s="136">
        <f>IF(SER_hh_tes_in!W31=0,"",SER_hh_tes_in!W31/SER_hh_fec_in!W31)</f>
        <v>0.63231624508065487</v>
      </c>
      <c r="X31" s="136">
        <f>IF(SER_hh_tes_in!X31=0,"",SER_hh_tes_in!X31/SER_hh_fec_in!X31)</f>
        <v>0.63272163790448666</v>
      </c>
      <c r="Y31" s="136">
        <f>IF(SER_hh_tes_in!Y31=0,"",SER_hh_tes_in!Y31/SER_hh_fec_in!Y31)</f>
        <v>0.63276217718686989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>
        <f>IF(SER_hh_tes_in!K32=0,"",SER_hh_tes_in!K32/SER_hh_fec_in!K32)</f>
        <v>0.57342107550539489</v>
      </c>
      <c r="L32" s="136">
        <f>IF(SER_hh_tes_in!L32=0,"",SER_hh_tes_in!L32/SER_hh_fec_in!L32)</f>
        <v>0.57370667252477781</v>
      </c>
      <c r="M32" s="136">
        <f>IF(SER_hh_tes_in!M32=0,"",SER_hh_tes_in!M32/SER_hh_fec_in!M32)</f>
        <v>0.57392356716090498</v>
      </c>
      <c r="N32" s="136">
        <f>IF(SER_hh_tes_in!N32=0,"",SER_hh_tes_in!N32/SER_hh_fec_in!N32)</f>
        <v>0.57404480106012989</v>
      </c>
      <c r="O32" s="136">
        <f>IF(SER_hh_tes_in!O32=0,"",SER_hh_tes_in!O32/SER_hh_fec_in!O32)</f>
        <v>0.57411725937703484</v>
      </c>
      <c r="P32" s="136">
        <f>IF(SER_hh_tes_in!P32=0,"",SER_hh_tes_in!P32/SER_hh_fec_in!P32)</f>
        <v>0.57431944233210419</v>
      </c>
      <c r="Q32" s="136">
        <f>IF(SER_hh_tes_in!Q32=0,"",SER_hh_tes_in!Q32/SER_hh_fec_in!Q32)</f>
        <v>0.57514237419008363</v>
      </c>
      <c r="R32" s="136">
        <f>IF(SER_hh_tes_in!R32=0,"",SER_hh_tes_in!R32/SER_hh_fec_in!R32)</f>
        <v>0.57730401126484887</v>
      </c>
      <c r="S32" s="136">
        <f>IF(SER_hh_tes_in!S32=0,"",SER_hh_tes_in!S32/SER_hh_fec_in!S32)</f>
        <v>0.58035324736800376</v>
      </c>
      <c r="T32" s="136">
        <f>IF(SER_hh_tes_in!T32=0,"",SER_hh_tes_in!T32/SER_hh_fec_in!T32)</f>
        <v>0.58369885724195125</v>
      </c>
      <c r="U32" s="136">
        <f>IF(SER_hh_tes_in!U32=0,"",SER_hh_tes_in!U32/SER_hh_fec_in!U32)</f>
        <v>0.58674961562910233</v>
      </c>
      <c r="V32" s="136">
        <f>IF(SER_hh_tes_in!V32=0,"",SER_hh_tes_in!V32/SER_hh_fec_in!V32)</f>
        <v>0.58891429727186395</v>
      </c>
      <c r="W32" s="136">
        <f>IF(SER_hh_tes_in!W32=0,"",SER_hh_tes_in!W32/SER_hh_fec_in!W32)</f>
        <v>0.58995465970455252</v>
      </c>
      <c r="X32" s="136">
        <f>IF(SER_hh_tes_in!X32=0,"",SER_hh_tes_in!X32/SER_hh_fec_in!X32)</f>
        <v>0.59034097908713379</v>
      </c>
      <c r="Y32" s="136">
        <f>IF(SER_hh_tes_in!Y32=0,"",SER_hh_tes_in!Y32/SER_hh_fec_in!Y32)</f>
        <v>0.59037961102539205</v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0.77044501400913534</v>
      </c>
      <c r="D33" s="149">
        <f>IF(SER_hh_tes_in!D33=0,"",SER_hh_tes_in!D33/SER_hh_fec_in!D33)</f>
        <v>0.77167251643367207</v>
      </c>
      <c r="E33" s="149">
        <f>IF(SER_hh_tes_in!E33=0,"",SER_hh_tes_in!E33/SER_hh_fec_in!E33)</f>
        <v>0.77295789588148456</v>
      </c>
      <c r="F33" s="149">
        <f>IF(SER_hh_tes_in!F33=0,"",SER_hh_tes_in!F33/SER_hh_fec_in!F33)</f>
        <v>0.77425116765065283</v>
      </c>
      <c r="G33" s="149">
        <f>IF(SER_hh_tes_in!G33=0,"",SER_hh_tes_in!G33/SER_hh_fec_in!G33)</f>
        <v>0.77559774075398691</v>
      </c>
      <c r="H33" s="149">
        <f>IF(SER_hh_tes_in!H33=0,"",SER_hh_tes_in!H33/SER_hh_fec_in!H33)</f>
        <v>0.77699205770640789</v>
      </c>
      <c r="I33" s="149">
        <f>IF(SER_hh_tes_in!I33=0,"",SER_hh_tes_in!I33/SER_hh_fec_in!I33)</f>
        <v>0.77844530728999928</v>
      </c>
      <c r="J33" s="149">
        <f>IF(SER_hh_tes_in!J33=0,"",SER_hh_tes_in!J33/SER_hh_fec_in!J33)</f>
        <v>0.78000332599567124</v>
      </c>
      <c r="K33" s="149">
        <f>IF(SER_hh_tes_in!K33=0,"",SER_hh_tes_in!K33/SER_hh_fec_in!K33)</f>
        <v>0.78170508689712837</v>
      </c>
      <c r="L33" s="149">
        <f>IF(SER_hh_tes_in!L33=0,"",SER_hh_tes_in!L33/SER_hh_fec_in!L33)</f>
        <v>0.78356101688940183</v>
      </c>
      <c r="M33" s="149">
        <f>IF(SER_hh_tes_in!M33=0,"",SER_hh_tes_in!M33/SER_hh_fec_in!M33)</f>
        <v>0.78621458665928146</v>
      </c>
      <c r="N33" s="149">
        <f>IF(SER_hh_tes_in!N33=0,"",SER_hh_tes_in!N33/SER_hh_fec_in!N33)</f>
        <v>0.78984898619547605</v>
      </c>
      <c r="O33" s="149">
        <f>IF(SER_hh_tes_in!O33=0,"",SER_hh_tes_in!O33/SER_hh_fec_in!O33)</f>
        <v>0.7948986206381834</v>
      </c>
      <c r="P33" s="149">
        <f>IF(SER_hh_tes_in!P33=0,"",SER_hh_tes_in!P33/SER_hh_fec_in!P33)</f>
        <v>0.80157655235099434</v>
      </c>
      <c r="Q33" s="149">
        <f>IF(SER_hh_tes_in!Q33=0,"",SER_hh_tes_in!Q33/SER_hh_fec_in!Q33)</f>
        <v>0.81021786112168614</v>
      </c>
      <c r="R33" s="149">
        <f>IF(SER_hh_tes_in!R33=0,"",SER_hh_tes_in!R33/SER_hh_fec_in!R33)</f>
        <v>0.82197661636269381</v>
      </c>
      <c r="S33" s="149">
        <f>IF(SER_hh_tes_in!S33=0,"",SER_hh_tes_in!S33/SER_hh_fec_in!S33)</f>
        <v>0.83669065770414552</v>
      </c>
      <c r="T33" s="149">
        <f>IF(SER_hh_tes_in!T33=0,"",SER_hh_tes_in!T33/SER_hh_fec_in!T33)</f>
        <v>0.85253113121596424</v>
      </c>
      <c r="U33" s="149">
        <f>IF(SER_hh_tes_in!U33=0,"",SER_hh_tes_in!U33/SER_hh_fec_in!U33)</f>
        <v>0.86766918296811646</v>
      </c>
      <c r="V33" s="149">
        <f>IF(SER_hh_tes_in!V33=0,"",SER_hh_tes_in!V33/SER_hh_fec_in!V33)</f>
        <v>0.88027595903054756</v>
      </c>
      <c r="W33" s="149">
        <f>IF(SER_hh_tes_in!W33=0,"",SER_hh_tes_in!W33/SER_hh_fec_in!W33)</f>
        <v>0.88971603208699213</v>
      </c>
      <c r="X33" s="149">
        <f>IF(SER_hh_tes_in!X33=0,"",SER_hh_tes_in!X33/SER_hh_fec_in!X33)</f>
        <v>0.89701601965864508</v>
      </c>
      <c r="Y33" s="149">
        <f>IF(SER_hh_tes_in!Y33=0,"",SER_hh_tes_in!Y33/SER_hh_fec_in!Y33)</f>
        <v>0.90348961815564799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30.210889744009222</v>
      </c>
      <c r="D3" s="125">
        <f t="shared" si="0"/>
        <v>28.303048421288306</v>
      </c>
      <c r="E3" s="125">
        <f t="shared" si="0"/>
        <v>35.945475046899212</v>
      </c>
      <c r="F3" s="125">
        <f t="shared" si="0"/>
        <v>19.191544744971559</v>
      </c>
      <c r="G3" s="125">
        <f t="shared" si="0"/>
        <v>16.078064260959124</v>
      </c>
      <c r="H3" s="125">
        <f t="shared" si="0"/>
        <v>17.654623043016162</v>
      </c>
      <c r="I3" s="125">
        <f t="shared" si="0"/>
        <v>16.294787418255861</v>
      </c>
      <c r="J3" s="125">
        <f t="shared" si="0"/>
        <v>10.314704806046597</v>
      </c>
      <c r="K3" s="125">
        <f t="shared" si="0"/>
        <v>8.5096426552357389</v>
      </c>
      <c r="L3" s="125">
        <f t="shared" si="0"/>
        <v>5.1616242736329943</v>
      </c>
      <c r="M3" s="125">
        <f t="shared" si="0"/>
        <v>6.6686485985993542</v>
      </c>
      <c r="N3" s="125">
        <f t="shared" si="0"/>
        <v>1.9949517904034944</v>
      </c>
      <c r="O3" s="125">
        <f t="shared" si="0"/>
        <v>2.189393894920566</v>
      </c>
      <c r="P3" s="125">
        <f t="shared" si="0"/>
        <v>14.96969505065028</v>
      </c>
      <c r="Q3" s="125">
        <f t="shared" si="0"/>
        <v>21.96064964674412</v>
      </c>
      <c r="R3" s="125">
        <f t="shared" ref="R3:W3" si="1">SUM(R4,R16,R19,R29)</f>
        <v>6.5122496711939846</v>
      </c>
      <c r="S3" s="125">
        <f t="shared" si="1"/>
        <v>4.5496582419112084</v>
      </c>
      <c r="T3" s="125">
        <f t="shared" si="1"/>
        <v>4.9512838152827516</v>
      </c>
      <c r="U3" s="125">
        <f t="shared" si="1"/>
        <v>5.430928250667737</v>
      </c>
      <c r="V3" s="125">
        <f t="shared" si="1"/>
        <v>4.62319666500622</v>
      </c>
      <c r="W3" s="125">
        <f t="shared" si="1"/>
        <v>3.6980398793413398</v>
      </c>
      <c r="X3" s="125">
        <f t="shared" ref="X3:Y3" si="2">SUM(X4,X16,X19,X29)</f>
        <v>1.8484008986650537</v>
      </c>
      <c r="Y3" s="125">
        <f t="shared" si="2"/>
        <v>1.798680153525517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25.067393547886237</v>
      </c>
      <c r="D4" s="130">
        <f t="shared" si="3"/>
        <v>22.911935625340657</v>
      </c>
      <c r="E4" s="130">
        <f t="shared" si="3"/>
        <v>29.413820907919568</v>
      </c>
      <c r="F4" s="130">
        <f t="shared" si="3"/>
        <v>14.08209843465476</v>
      </c>
      <c r="G4" s="130">
        <f t="shared" si="3"/>
        <v>11.019162037535185</v>
      </c>
      <c r="H4" s="130">
        <f t="shared" si="3"/>
        <v>11.402152455151832</v>
      </c>
      <c r="I4" s="130">
        <f t="shared" si="3"/>
        <v>10.024145658118901</v>
      </c>
      <c r="J4" s="130">
        <f t="shared" si="3"/>
        <v>6.5062358644362268</v>
      </c>
      <c r="K4" s="130">
        <f t="shared" si="3"/>
        <v>5.7234899070427101</v>
      </c>
      <c r="L4" s="130">
        <f t="shared" si="3"/>
        <v>3.8341181252401704</v>
      </c>
      <c r="M4" s="130">
        <f t="shared" si="3"/>
        <v>4.6091837659186048</v>
      </c>
      <c r="N4" s="130">
        <f t="shared" si="3"/>
        <v>1.4078405096230635</v>
      </c>
      <c r="O4" s="130">
        <f t="shared" si="3"/>
        <v>1.6016770603887964</v>
      </c>
      <c r="P4" s="130">
        <f t="shared" si="3"/>
        <v>10.677749217294751</v>
      </c>
      <c r="Q4" s="130">
        <f t="shared" si="3"/>
        <v>16.683514990011041</v>
      </c>
      <c r="R4" s="130">
        <f t="shared" ref="R4:W4" si="4">SUM(R5:R15)</f>
        <v>3.9941838786537884</v>
      </c>
      <c r="S4" s="130">
        <f t="shared" si="4"/>
        <v>2.3959101857334892</v>
      </c>
      <c r="T4" s="130">
        <f t="shared" si="4"/>
        <v>2.5830217777107829</v>
      </c>
      <c r="U4" s="130">
        <f t="shared" si="4"/>
        <v>3.0597454978217411</v>
      </c>
      <c r="V4" s="130">
        <f t="shared" si="4"/>
        <v>2.6490958508150104</v>
      </c>
      <c r="W4" s="130">
        <f t="shared" si="4"/>
        <v>1.7682228381464069</v>
      </c>
      <c r="X4" s="130">
        <f t="shared" ref="X4:Y4" si="5">SUM(X5:X15)</f>
        <v>0.16284354292230974</v>
      </c>
      <c r="Y4" s="130">
        <f t="shared" si="5"/>
        <v>0.59790172531966168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0.21968222066497525</v>
      </c>
      <c r="D5" s="132">
        <v>0.29045131579635136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0.18696054044912269</v>
      </c>
      <c r="K5" s="132">
        <v>9.3356504726359493E-2</v>
      </c>
      <c r="L5" s="132">
        <v>7.6816641250557802E-2</v>
      </c>
      <c r="M5" s="132">
        <v>0.23594972879639506</v>
      </c>
      <c r="N5" s="132">
        <v>5.4598370157870238E-2</v>
      </c>
      <c r="O5" s="132">
        <v>0</v>
      </c>
      <c r="P5" s="132">
        <v>0</v>
      </c>
      <c r="Q5" s="132">
        <v>0</v>
      </c>
      <c r="R5" s="132">
        <v>0</v>
      </c>
      <c r="S5" s="132">
        <v>6.1207247541941005E-3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0</v>
      </c>
      <c r="D6" s="132">
        <v>0</v>
      </c>
      <c r="E6" s="132">
        <v>0</v>
      </c>
      <c r="F6" s="132">
        <v>0</v>
      </c>
      <c r="G6" s="132">
        <v>0</v>
      </c>
      <c r="H6" s="132">
        <v>0</v>
      </c>
      <c r="I6" s="132">
        <v>0</v>
      </c>
      <c r="J6" s="132">
        <v>0</v>
      </c>
      <c r="K6" s="132">
        <v>0</v>
      </c>
      <c r="L6" s="132">
        <v>0</v>
      </c>
      <c r="M6" s="132">
        <v>0</v>
      </c>
      <c r="N6" s="132">
        <v>0</v>
      </c>
      <c r="O6" s="132">
        <v>0</v>
      </c>
      <c r="P6" s="132">
        <v>0</v>
      </c>
      <c r="Q6" s="132">
        <v>0</v>
      </c>
      <c r="R6" s="132">
        <v>0</v>
      </c>
      <c r="S6" s="132">
        <v>0</v>
      </c>
      <c r="T6" s="132">
        <v>0</v>
      </c>
      <c r="U6" s="132">
        <v>0</v>
      </c>
      <c r="V6" s="132">
        <v>0</v>
      </c>
      <c r="W6" s="132">
        <v>0</v>
      </c>
      <c r="X6" s="132">
        <v>0</v>
      </c>
      <c r="Y6" s="132">
        <v>0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15.658773678903183</v>
      </c>
      <c r="D7" s="132">
        <v>17.005844125461227</v>
      </c>
      <c r="E7" s="132">
        <v>19.804458686979014</v>
      </c>
      <c r="F7" s="132">
        <v>5.5624563324607967</v>
      </c>
      <c r="G7" s="132">
        <v>0.40412263390200737</v>
      </c>
      <c r="H7" s="132">
        <v>0</v>
      </c>
      <c r="I7" s="132">
        <v>0</v>
      </c>
      <c r="J7" s="132">
        <v>0</v>
      </c>
      <c r="K7" s="132">
        <v>0.74506181968130336</v>
      </c>
      <c r="L7" s="132">
        <v>0.94275706740770293</v>
      </c>
      <c r="M7" s="132">
        <v>2.2560796769152738</v>
      </c>
      <c r="N7" s="132">
        <v>0.52457073991375902</v>
      </c>
      <c r="O7" s="132">
        <v>0.46925618241652356</v>
      </c>
      <c r="P7" s="132">
        <v>0.92171690514298632</v>
      </c>
      <c r="Q7" s="132">
        <v>3.3243769292993339</v>
      </c>
      <c r="R7" s="132">
        <v>0.97843181595171136</v>
      </c>
      <c r="S7" s="132">
        <v>0.45345668550100254</v>
      </c>
      <c r="T7" s="132">
        <v>0</v>
      </c>
      <c r="U7" s="132">
        <v>0</v>
      </c>
      <c r="V7" s="132">
        <v>0</v>
      </c>
      <c r="W7" s="132">
        <v>0</v>
      </c>
      <c r="X7" s="132">
        <v>0.16284354292230974</v>
      </c>
      <c r="Y7" s="132">
        <v>0.47674666896578738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</v>
      </c>
      <c r="D8" s="132">
        <v>0</v>
      </c>
      <c r="E8" s="132">
        <v>0</v>
      </c>
      <c r="F8" s="132">
        <v>0</v>
      </c>
      <c r="G8" s="132">
        <v>0</v>
      </c>
      <c r="H8" s="132">
        <v>0</v>
      </c>
      <c r="I8" s="132">
        <v>0</v>
      </c>
      <c r="J8" s="132">
        <v>0</v>
      </c>
      <c r="K8" s="132">
        <v>0</v>
      </c>
      <c r="L8" s="132">
        <v>0</v>
      </c>
      <c r="M8" s="132">
        <v>0</v>
      </c>
      <c r="N8" s="132">
        <v>0</v>
      </c>
      <c r="O8" s="132">
        <v>0</v>
      </c>
      <c r="P8" s="132">
        <v>0</v>
      </c>
      <c r="Q8" s="132">
        <v>0</v>
      </c>
      <c r="R8" s="132">
        <v>0</v>
      </c>
      <c r="S8" s="132">
        <v>0</v>
      </c>
      <c r="T8" s="132">
        <v>0</v>
      </c>
      <c r="U8" s="132">
        <v>0</v>
      </c>
      <c r="V8" s="132">
        <v>0</v>
      </c>
      <c r="W8" s="132">
        <v>0</v>
      </c>
      <c r="X8" s="132">
        <v>0</v>
      </c>
      <c r="Y8" s="132">
        <v>0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9.1889376483180794</v>
      </c>
      <c r="D9" s="132">
        <v>5.6156401840830812</v>
      </c>
      <c r="E9" s="132">
        <v>9.6093622209405538</v>
      </c>
      <c r="F9" s="132">
        <v>8.5196421021939646</v>
      </c>
      <c r="G9" s="132">
        <v>10.615039403633178</v>
      </c>
      <c r="H9" s="132">
        <v>11.402152455151832</v>
      </c>
      <c r="I9" s="132">
        <v>10.024145658118901</v>
      </c>
      <c r="J9" s="132">
        <v>6.319275323987104</v>
      </c>
      <c r="K9" s="132">
        <v>4.8850715826350468</v>
      </c>
      <c r="L9" s="132">
        <v>2.8145444165819096</v>
      </c>
      <c r="M9" s="132">
        <v>2.1171543602069365</v>
      </c>
      <c r="N9" s="132">
        <v>0.82867139955143432</v>
      </c>
      <c r="O9" s="132">
        <v>1.1324208779722729</v>
      </c>
      <c r="P9" s="132">
        <v>9.7560323121517651</v>
      </c>
      <c r="Q9" s="132">
        <v>13.359138060711706</v>
      </c>
      <c r="R9" s="132">
        <v>3.0157520627020769</v>
      </c>
      <c r="S9" s="132">
        <v>1.9363327754782924</v>
      </c>
      <c r="T9" s="132">
        <v>2.5830217777107829</v>
      </c>
      <c r="U9" s="132">
        <v>3.0597454978217411</v>
      </c>
      <c r="V9" s="132">
        <v>2.6490958508150104</v>
      </c>
      <c r="W9" s="132">
        <v>1.7682228381464069</v>
      </c>
      <c r="X9" s="132">
        <v>0</v>
      </c>
      <c r="Y9" s="132">
        <v>0.12115505635387429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</v>
      </c>
      <c r="X10" s="132">
        <v>0</v>
      </c>
      <c r="Y10" s="132">
        <v>0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4.8254524426624024E-3</v>
      </c>
      <c r="D16" s="130">
        <f t="shared" si="6"/>
        <v>8.2765175393452826E-3</v>
      </c>
      <c r="E16" s="130">
        <f t="shared" si="6"/>
        <v>2.0394520025163485E-2</v>
      </c>
      <c r="F16" s="130">
        <f t="shared" si="6"/>
        <v>7.7120915960440196E-3</v>
      </c>
      <c r="G16" s="130">
        <f t="shared" si="6"/>
        <v>7.4530377274386354E-3</v>
      </c>
      <c r="H16" s="130">
        <f t="shared" si="6"/>
        <v>1.159767675091699E-2</v>
      </c>
      <c r="I16" s="130">
        <f t="shared" si="6"/>
        <v>1.0230344166245952E-2</v>
      </c>
      <c r="J16" s="130">
        <f t="shared" si="6"/>
        <v>5.0160120153366653E-3</v>
      </c>
      <c r="K16" s="130">
        <f t="shared" si="6"/>
        <v>4.911986735904211E-3</v>
      </c>
      <c r="L16" s="130">
        <f t="shared" si="6"/>
        <v>3.1988001349834046E-3</v>
      </c>
      <c r="M16" s="130">
        <f t="shared" si="6"/>
        <v>5.440257061947975E-3</v>
      </c>
      <c r="N16" s="130">
        <f t="shared" si="6"/>
        <v>1.9509080250158957E-3</v>
      </c>
      <c r="O16" s="130">
        <f t="shared" si="6"/>
        <v>1.9432555510881854E-3</v>
      </c>
      <c r="P16" s="130">
        <f t="shared" si="6"/>
        <v>1.5278185753566239E-2</v>
      </c>
      <c r="Q16" s="130">
        <f t="shared" si="6"/>
        <v>3.2249371686862476E-2</v>
      </c>
      <c r="R16" s="130">
        <f t="shared" ref="R16:W16" si="7">SUM(R17:R18)</f>
        <v>9.1810803574142626E-3</v>
      </c>
      <c r="S16" s="130">
        <f t="shared" si="7"/>
        <v>1.6868749626127427E-2</v>
      </c>
      <c r="T16" s="130">
        <f t="shared" si="7"/>
        <v>2.0097841915823388E-2</v>
      </c>
      <c r="U16" s="130">
        <f t="shared" si="7"/>
        <v>2.0280998172357134E-2</v>
      </c>
      <c r="V16" s="130">
        <f t="shared" si="7"/>
        <v>1.8931473306737678E-2</v>
      </c>
      <c r="W16" s="130">
        <f t="shared" si="7"/>
        <v>1.0154342701792125E-2</v>
      </c>
      <c r="X16" s="130">
        <f t="shared" ref="X16:Y16" si="8">SUM(X17:X18)</f>
        <v>2.2465294231259186E-2</v>
      </c>
      <c r="Y16" s="130">
        <f t="shared" si="8"/>
        <v>1.5396694777059973E-2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4.8254524426624024E-3</v>
      </c>
      <c r="D17" s="132">
        <v>8.2765175393452826E-3</v>
      </c>
      <c r="E17" s="132">
        <v>2.0394520025163485E-2</v>
      </c>
      <c r="F17" s="132">
        <v>7.7120915960440196E-3</v>
      </c>
      <c r="G17" s="132">
        <v>7.4530377274386354E-3</v>
      </c>
      <c r="H17" s="132">
        <v>1.159767675091699E-2</v>
      </c>
      <c r="I17" s="132">
        <v>1.0230344166245952E-2</v>
      </c>
      <c r="J17" s="132">
        <v>5.0160120153366653E-3</v>
      </c>
      <c r="K17" s="132">
        <v>4.911986735904211E-3</v>
      </c>
      <c r="L17" s="132">
        <v>3.1988001349834046E-3</v>
      </c>
      <c r="M17" s="132">
        <v>5.440257061947975E-3</v>
      </c>
      <c r="N17" s="132">
        <v>1.9509080250158957E-3</v>
      </c>
      <c r="O17" s="132">
        <v>1.9432555510881854E-3</v>
      </c>
      <c r="P17" s="132">
        <v>1.5278185753566239E-2</v>
      </c>
      <c r="Q17" s="132">
        <v>3.2249371686862476E-2</v>
      </c>
      <c r="R17" s="132">
        <v>9.1810803574142626E-3</v>
      </c>
      <c r="S17" s="132">
        <v>1.6868749626127427E-2</v>
      </c>
      <c r="T17" s="132">
        <v>2.0097841915823388E-2</v>
      </c>
      <c r="U17" s="132">
        <v>2.0280998172357134E-2</v>
      </c>
      <c r="V17" s="132">
        <v>1.8931473306737678E-2</v>
      </c>
      <c r="W17" s="132">
        <v>1.0154342701792125E-2</v>
      </c>
      <c r="X17" s="132">
        <v>2.2465294231259186E-2</v>
      </c>
      <c r="Y17" s="132">
        <v>1.5396694777059973E-2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3.2154869974057316</v>
      </c>
      <c r="D19" s="130">
        <f t="shared" si="9"/>
        <v>3.9227331011595838</v>
      </c>
      <c r="E19" s="130">
        <f t="shared" si="9"/>
        <v>4.5728768514254376</v>
      </c>
      <c r="F19" s="130">
        <f t="shared" si="9"/>
        <v>3.6904307485163472</v>
      </c>
      <c r="G19" s="130">
        <f t="shared" si="9"/>
        <v>3.8113116056206184</v>
      </c>
      <c r="H19" s="130">
        <f t="shared" si="9"/>
        <v>4.5610748508402361</v>
      </c>
      <c r="I19" s="130">
        <f t="shared" si="9"/>
        <v>4.5475321777005027</v>
      </c>
      <c r="J19" s="130">
        <f t="shared" si="9"/>
        <v>2.5999251163348389</v>
      </c>
      <c r="K19" s="130">
        <f t="shared" si="9"/>
        <v>1.8475091173668634</v>
      </c>
      <c r="L19" s="130">
        <f t="shared" si="9"/>
        <v>0.83882919085038865</v>
      </c>
      <c r="M19" s="130">
        <f t="shared" si="9"/>
        <v>1.2494463094222887</v>
      </c>
      <c r="N19" s="130">
        <f t="shared" si="9"/>
        <v>0.34252531027283167</v>
      </c>
      <c r="O19" s="130">
        <f t="shared" si="9"/>
        <v>0.39357135670773563</v>
      </c>
      <c r="P19" s="130">
        <f t="shared" si="9"/>
        <v>2.8811494364240096</v>
      </c>
      <c r="Q19" s="130">
        <f t="shared" si="9"/>
        <v>3.4894080555085409</v>
      </c>
      <c r="R19" s="130">
        <f t="shared" ref="R19:W19" si="10">SUM(R20:R27)</f>
        <v>1.6058657684851547</v>
      </c>
      <c r="S19" s="130">
        <f t="shared" si="10"/>
        <v>1.400333409307601</v>
      </c>
      <c r="T19" s="130">
        <f t="shared" si="10"/>
        <v>1.5379661412215806</v>
      </c>
      <c r="U19" s="130">
        <f t="shared" si="10"/>
        <v>1.4363393453326327</v>
      </c>
      <c r="V19" s="130">
        <f t="shared" si="10"/>
        <v>0.94424267800449502</v>
      </c>
      <c r="W19" s="130">
        <f t="shared" si="10"/>
        <v>0.83550494144490717</v>
      </c>
      <c r="X19" s="130">
        <f t="shared" ref="X19:Y19" si="11">SUM(X20:X27)</f>
        <v>5.5912495232286412E-2</v>
      </c>
      <c r="Y19" s="130">
        <f t="shared" si="11"/>
        <v>1.3960581595680779E-2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0.39938730597391398</v>
      </c>
      <c r="D21" s="132">
        <v>0.44418599366354156</v>
      </c>
      <c r="E21" s="132">
        <v>0.47141250911672022</v>
      </c>
      <c r="F21" s="132">
        <v>0.36444026518059786</v>
      </c>
      <c r="G21" s="132">
        <v>0.33547748736342758</v>
      </c>
      <c r="H21" s="132">
        <v>0.45562969760644939</v>
      </c>
      <c r="I21" s="132">
        <v>0.48392685016365156</v>
      </c>
      <c r="J21" s="132">
        <v>0.32485028960448292</v>
      </c>
      <c r="K21" s="132">
        <v>0.26187909444649954</v>
      </c>
      <c r="L21" s="132">
        <v>0.11096566347331265</v>
      </c>
      <c r="M21" s="132">
        <v>0.15588315761036067</v>
      </c>
      <c r="N21" s="132">
        <v>3.6940889364272103E-2</v>
      </c>
      <c r="O21" s="132">
        <v>4.045707624548199E-2</v>
      </c>
      <c r="P21" s="132">
        <v>0.29341748716589972</v>
      </c>
      <c r="Q21" s="132">
        <v>0.28122072603099912</v>
      </c>
      <c r="R21" s="132">
        <v>8.3304336181215827E-2</v>
      </c>
      <c r="S21" s="132">
        <v>6.2135816151673767E-2</v>
      </c>
      <c r="T21" s="132">
        <v>4.5700479669105835E-2</v>
      </c>
      <c r="U21" s="132">
        <v>3.2521323454482907E-2</v>
      </c>
      <c r="V21" s="132">
        <v>3.0293566183684929E-2</v>
      </c>
      <c r="W21" s="132">
        <v>6.0888970332090092E-2</v>
      </c>
      <c r="X21" s="132">
        <v>5.5912495232286412E-2</v>
      </c>
      <c r="Y21" s="132">
        <v>1.3960581595680779E-2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0.98028793125378411</v>
      </c>
      <c r="D22" s="132">
        <v>1.2263552144274426</v>
      </c>
      <c r="E22" s="132">
        <v>1.5279010923170879</v>
      </c>
      <c r="F22" s="132">
        <v>1.2681319979905885</v>
      </c>
      <c r="G22" s="132">
        <v>1.4634461914788914</v>
      </c>
      <c r="H22" s="132">
        <v>1.788763636944567</v>
      </c>
      <c r="I22" s="132">
        <v>1.8406981439590326</v>
      </c>
      <c r="J22" s="132">
        <v>0.89289660017171812</v>
      </c>
      <c r="K22" s="132">
        <v>0.55023729342957806</v>
      </c>
      <c r="L22" s="132">
        <v>0.17693671392058508</v>
      </c>
      <c r="M22" s="132">
        <v>0.15575860652403289</v>
      </c>
      <c r="N22" s="132">
        <v>2.7364552475436146E-2</v>
      </c>
      <c r="O22" s="132">
        <v>4.3029721250265343E-2</v>
      </c>
      <c r="P22" s="132">
        <v>0.11350221469781126</v>
      </c>
      <c r="Q22" s="132">
        <v>0.34912927934338567</v>
      </c>
      <c r="R22" s="132">
        <v>0.22234462058598256</v>
      </c>
      <c r="S22" s="132">
        <v>0.28922259854249094</v>
      </c>
      <c r="T22" s="132">
        <v>0.3264724416978203</v>
      </c>
      <c r="U22" s="132">
        <v>0.33723792296861366</v>
      </c>
      <c r="V22" s="132">
        <v>0.19786087673895927</v>
      </c>
      <c r="W22" s="132">
        <v>0.15837586175647719</v>
      </c>
      <c r="X22" s="132">
        <v>0</v>
      </c>
      <c r="Y22" s="132">
        <v>0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1.8358117601780333</v>
      </c>
      <c r="D23" s="132">
        <v>2.2521918930685998</v>
      </c>
      <c r="E23" s="132">
        <v>2.5735632499916292</v>
      </c>
      <c r="F23" s="132">
        <v>2.0578584853451609</v>
      </c>
      <c r="G23" s="132">
        <v>2.0123879267782994</v>
      </c>
      <c r="H23" s="132">
        <v>2.3166815162892198</v>
      </c>
      <c r="I23" s="132">
        <v>2.2229071835778185</v>
      </c>
      <c r="J23" s="132">
        <v>1.3821782265586378</v>
      </c>
      <c r="K23" s="132">
        <v>1.0353927294907859</v>
      </c>
      <c r="L23" s="132">
        <v>0.55092681345649097</v>
      </c>
      <c r="M23" s="132">
        <v>0.93780454528789514</v>
      </c>
      <c r="N23" s="132">
        <v>0.27821986843312341</v>
      </c>
      <c r="O23" s="132">
        <v>0.3100845592119883</v>
      </c>
      <c r="P23" s="132">
        <v>2.4742297345602986</v>
      </c>
      <c r="Q23" s="132">
        <v>2.859058050134156</v>
      </c>
      <c r="R23" s="132">
        <v>1.3002168117179564</v>
      </c>
      <c r="S23" s="132">
        <v>1.0489749946134364</v>
      </c>
      <c r="T23" s="132">
        <v>1.1657932198546546</v>
      </c>
      <c r="U23" s="132">
        <v>1.0665800989095362</v>
      </c>
      <c r="V23" s="132">
        <v>0.71608823508185082</v>
      </c>
      <c r="W23" s="132">
        <v>0.61624010935633988</v>
      </c>
      <c r="X23" s="132">
        <v>0</v>
      </c>
      <c r="Y23" s="132">
        <v>0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1.9231837462745904</v>
      </c>
      <c r="D29" s="130">
        <f t="shared" si="12"/>
        <v>1.4601031772487181</v>
      </c>
      <c r="E29" s="130">
        <f t="shared" si="12"/>
        <v>1.9383827675290428</v>
      </c>
      <c r="F29" s="130">
        <f t="shared" si="12"/>
        <v>1.4113034702044067</v>
      </c>
      <c r="G29" s="130">
        <f t="shared" si="12"/>
        <v>1.2401375800758807</v>
      </c>
      <c r="H29" s="130">
        <f t="shared" si="12"/>
        <v>1.679798060273177</v>
      </c>
      <c r="I29" s="130">
        <f t="shared" si="12"/>
        <v>1.7128792382702129</v>
      </c>
      <c r="J29" s="130">
        <f t="shared" si="12"/>
        <v>1.2035278132601941</v>
      </c>
      <c r="K29" s="130">
        <f t="shared" si="12"/>
        <v>0.93373164409026033</v>
      </c>
      <c r="L29" s="130">
        <f t="shared" si="12"/>
        <v>0.48547815740745182</v>
      </c>
      <c r="M29" s="130">
        <f t="shared" si="12"/>
        <v>0.80457826619651296</v>
      </c>
      <c r="N29" s="130">
        <f t="shared" si="12"/>
        <v>0.24263506248258335</v>
      </c>
      <c r="O29" s="130">
        <f t="shared" si="12"/>
        <v>0.1922022222729457</v>
      </c>
      <c r="P29" s="130">
        <f t="shared" si="12"/>
        <v>1.3955182111779543</v>
      </c>
      <c r="Q29" s="130">
        <f t="shared" si="12"/>
        <v>1.7554772295376759</v>
      </c>
      <c r="R29" s="130">
        <f t="shared" ref="R29:W29" si="13">SUM(R30:R33)</f>
        <v>0.90301894369762747</v>
      </c>
      <c r="S29" s="130">
        <f t="shared" si="13"/>
        <v>0.73654589724399055</v>
      </c>
      <c r="T29" s="130">
        <f t="shared" si="13"/>
        <v>0.81019805443456461</v>
      </c>
      <c r="U29" s="130">
        <f t="shared" si="13"/>
        <v>0.91456240934100586</v>
      </c>
      <c r="V29" s="130">
        <f t="shared" si="13"/>
        <v>1.0109266628799769</v>
      </c>
      <c r="W29" s="130">
        <f t="shared" si="13"/>
        <v>1.0841577570482337</v>
      </c>
      <c r="X29" s="130">
        <f t="shared" ref="X29:Y29" si="14">SUM(X30:X33)</f>
        <v>1.6071795662791983</v>
      </c>
      <c r="Y29" s="130">
        <f t="shared" si="14"/>
        <v>1.1714211518331146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1.326851534458374</v>
      </c>
      <c r="D30" s="132">
        <v>0.76386164677160118</v>
      </c>
      <c r="E30" s="132">
        <v>1.0809480628280226</v>
      </c>
      <c r="F30" s="132">
        <v>0.75411080183745782</v>
      </c>
      <c r="G30" s="132">
        <v>0.49890395025033096</v>
      </c>
      <c r="H30" s="132">
        <v>0.77381492421870213</v>
      </c>
      <c r="I30" s="132">
        <v>0.69055463580701393</v>
      </c>
      <c r="J30" s="132">
        <v>0.6138724979057073</v>
      </c>
      <c r="K30" s="132">
        <v>0.48465743402908679</v>
      </c>
      <c r="L30" s="132">
        <v>0.2424949887168959</v>
      </c>
      <c r="M30" s="132">
        <v>0.37680623032153543</v>
      </c>
      <c r="N30" s="132">
        <v>0.1081734045757024</v>
      </c>
      <c r="O30" s="132">
        <v>7.8767666500319994E-2</v>
      </c>
      <c r="P30" s="132">
        <v>0.59133470299032442</v>
      </c>
      <c r="Q30" s="132">
        <v>0.68722173809229958</v>
      </c>
      <c r="R30" s="132">
        <v>0.39228151686933743</v>
      </c>
      <c r="S30" s="132">
        <v>0.24481818864698757</v>
      </c>
      <c r="T30" s="132">
        <v>0.30963395588300624</v>
      </c>
      <c r="U30" s="132">
        <v>0.44586092706070585</v>
      </c>
      <c r="V30" s="132">
        <v>0.27989066056628964</v>
      </c>
      <c r="W30" s="132">
        <v>0.16820224029902628</v>
      </c>
      <c r="X30" s="132">
        <v>0</v>
      </c>
      <c r="Y30" s="132">
        <v>0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0.59633221181621654</v>
      </c>
      <c r="D31" s="132">
        <v>0.69624153047711701</v>
      </c>
      <c r="E31" s="132">
        <v>0.85743470470102023</v>
      </c>
      <c r="F31" s="132">
        <v>0.65719266836694901</v>
      </c>
      <c r="G31" s="132">
        <v>0.74123362982554974</v>
      </c>
      <c r="H31" s="132">
        <v>0.90598313605447489</v>
      </c>
      <c r="I31" s="132">
        <v>1.0223246024631989</v>
      </c>
      <c r="J31" s="132">
        <v>0.58965531535448679</v>
      </c>
      <c r="K31" s="132">
        <v>0.44907421006117348</v>
      </c>
      <c r="L31" s="132">
        <v>0.24298316869055589</v>
      </c>
      <c r="M31" s="132">
        <v>0.42777203587497753</v>
      </c>
      <c r="N31" s="132">
        <v>0.13446165790688094</v>
      </c>
      <c r="O31" s="132">
        <v>0.11343455577262572</v>
      </c>
      <c r="P31" s="132">
        <v>0.80418350818762985</v>
      </c>
      <c r="Q31" s="132">
        <v>1.0682554914453763</v>
      </c>
      <c r="R31" s="132">
        <v>0.51073742682829004</v>
      </c>
      <c r="S31" s="132">
        <v>0.49172770859700299</v>
      </c>
      <c r="T31" s="132">
        <v>0.50056409855155837</v>
      </c>
      <c r="U31" s="132">
        <v>0.46870148228030006</v>
      </c>
      <c r="V31" s="132">
        <v>0.73103600231368726</v>
      </c>
      <c r="W31" s="132">
        <v>0.91595551674920739</v>
      </c>
      <c r="X31" s="132">
        <v>1.6071795662791983</v>
      </c>
      <c r="Y31" s="132">
        <v>1.1714211518331146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167294.40270026011</v>
      </c>
      <c r="D3" s="125">
        <f>IF(SER_hh_fec_in!D3=0,0,11630*1000*SER_hh_fec_in!D3/SER_hh_num_in!D3)</f>
        <v>160689.80527101582</v>
      </c>
      <c r="E3" s="125">
        <f>IF(SER_hh_fec_in!E3=0,0,11630*1000*SER_hh_fec_in!E3/SER_hh_num_in!E3)</f>
        <v>162375.83993016844</v>
      </c>
      <c r="F3" s="125">
        <f>IF(SER_hh_fec_in!F3=0,0,11630*1000*SER_hh_fec_in!F3/SER_hh_num_in!F3)</f>
        <v>148832.76153005092</v>
      </c>
      <c r="G3" s="125">
        <f>IF(SER_hh_fec_in!G3=0,0,11630*1000*SER_hh_fec_in!G3/SER_hh_num_in!G3)</f>
        <v>148705.7427417991</v>
      </c>
      <c r="H3" s="125">
        <f>IF(SER_hh_fec_in!H3=0,0,11630*1000*SER_hh_fec_in!H3/SER_hh_num_in!H3)</f>
        <v>135489.49443524345</v>
      </c>
      <c r="I3" s="125">
        <f>IF(SER_hh_fec_in!I3=0,0,11630*1000*SER_hh_fec_in!I3/SER_hh_num_in!I3)</f>
        <v>129136.64589380495</v>
      </c>
      <c r="J3" s="125">
        <f>IF(SER_hh_fec_in!J3=0,0,11630*1000*SER_hh_fec_in!J3/SER_hh_num_in!J3)</f>
        <v>132055.27544679539</v>
      </c>
      <c r="K3" s="125">
        <f>IF(SER_hh_fec_in!K3=0,0,11630*1000*SER_hh_fec_in!K3/SER_hh_num_in!K3)</f>
        <v>128575.42636472496</v>
      </c>
      <c r="L3" s="125">
        <f>IF(SER_hh_fec_in!L3=0,0,11630*1000*SER_hh_fec_in!L3/SER_hh_num_in!L3)</f>
        <v>135508.64411123897</v>
      </c>
      <c r="M3" s="125">
        <f>IF(SER_hh_fec_in!M3=0,0,11630*1000*SER_hh_fec_in!M3/SER_hh_num_in!M3)</f>
        <v>125221.16498062576</v>
      </c>
      <c r="N3" s="125">
        <f>IF(SER_hh_fec_in!N3=0,0,11630*1000*SER_hh_fec_in!N3/SER_hh_num_in!N3)</f>
        <v>121085.98140645066</v>
      </c>
      <c r="O3" s="125">
        <f>IF(SER_hh_fec_in!O3=0,0,11630*1000*SER_hh_fec_in!O3/SER_hh_num_in!O3)</f>
        <v>113116.77042050892</v>
      </c>
      <c r="P3" s="125">
        <f>IF(SER_hh_fec_in!P3=0,0,11630*1000*SER_hh_fec_in!P3/SER_hh_num_in!P3)</f>
        <v>98601.539054599561</v>
      </c>
      <c r="Q3" s="125">
        <f>IF(SER_hh_fec_in!Q3=0,0,11630*1000*SER_hh_fec_in!Q3/SER_hh_num_in!Q3)</f>
        <v>107274.7388920276</v>
      </c>
      <c r="R3" s="125">
        <f>IF(SER_hh_fec_in!R3=0,0,11630*1000*SER_hh_fec_in!R3/SER_hh_num_in!R3)</f>
        <v>102106.48335342617</v>
      </c>
      <c r="S3" s="125">
        <f>IF(SER_hh_fec_in!S3=0,0,11630*1000*SER_hh_fec_in!S3/SER_hh_num_in!S3)</f>
        <v>105347.07760381199</v>
      </c>
      <c r="T3" s="125">
        <f>IF(SER_hh_fec_in!T3=0,0,11630*1000*SER_hh_fec_in!T3/SER_hh_num_in!T3)</f>
        <v>103157.20530584425</v>
      </c>
      <c r="U3" s="125">
        <f>IF(SER_hh_fec_in!U3=0,0,11630*1000*SER_hh_fec_in!U3/SER_hh_num_in!U3)</f>
        <v>99780.344739031047</v>
      </c>
      <c r="V3" s="125">
        <f>IF(SER_hh_fec_in!V3=0,0,11630*1000*SER_hh_fec_in!V3/SER_hh_num_in!V3)</f>
        <v>84187.592988292163</v>
      </c>
      <c r="W3" s="125">
        <f>IF(SER_hh_fec_in!W3=0,0,11630*1000*SER_hh_fec_in!W3/SER_hh_num_in!W3)</f>
        <v>86826.49784465936</v>
      </c>
      <c r="X3" s="125">
        <f>IF(SER_hh_fec_in!X3=0,0,11630*1000*SER_hh_fec_in!X3/SER_hh_num_in!X3)</f>
        <v>87181.100184412178</v>
      </c>
      <c r="Y3" s="125">
        <f>IF(SER_hh_fec_in!Y3=0,0,11630*1000*SER_hh_fec_in!Y3/SER_hh_num_in!Y3)</f>
        <v>81812.088469587645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114437.06574230369</v>
      </c>
      <c r="D4" s="130">
        <f>IF(SER_hh_fec_in!D4=0,0,11630*1000*SER_hh_fec_in!D4/SER_hh_num_in!D4)</f>
        <v>109134.65800136873</v>
      </c>
      <c r="E4" s="130">
        <f>IF(SER_hh_fec_in!E4=0,0,11630*1000*SER_hh_fec_in!E4/SER_hh_num_in!E4)</f>
        <v>105661.00049723526</v>
      </c>
      <c r="F4" s="130">
        <f>IF(SER_hh_fec_in!F4=0,0,11630*1000*SER_hh_fec_in!F4/SER_hh_num_in!F4)</f>
        <v>98403.000413897767</v>
      </c>
      <c r="G4" s="130">
        <f>IF(SER_hh_fec_in!G4=0,0,11630*1000*SER_hh_fec_in!G4/SER_hh_num_in!G4)</f>
        <v>98384.708161840448</v>
      </c>
      <c r="H4" s="130">
        <f>IF(SER_hh_fec_in!H4=0,0,11630*1000*SER_hh_fec_in!H4/SER_hh_num_in!H4)</f>
        <v>85123.303481567011</v>
      </c>
      <c r="I4" s="130">
        <f>IF(SER_hh_fec_in!I4=0,0,11630*1000*SER_hh_fec_in!I4/SER_hh_num_in!I4)</f>
        <v>78854.23262738288</v>
      </c>
      <c r="J4" s="130">
        <f>IF(SER_hh_fec_in!J4=0,0,11630*1000*SER_hh_fec_in!J4/SER_hh_num_in!J4)</f>
        <v>81816.915112737115</v>
      </c>
      <c r="K4" s="130">
        <f>IF(SER_hh_fec_in!K4=0,0,11630*1000*SER_hh_fec_in!K4/SER_hh_num_in!K4)</f>
        <v>77376.226194094023</v>
      </c>
      <c r="L4" s="130">
        <f>IF(SER_hh_fec_in!L4=0,0,11630*1000*SER_hh_fec_in!L4/SER_hh_num_in!L4)</f>
        <v>85777.840180926869</v>
      </c>
      <c r="M4" s="130">
        <f>IF(SER_hh_fec_in!M4=0,0,11630*1000*SER_hh_fec_in!M4/SER_hh_num_in!M4)</f>
        <v>76191.635807077851</v>
      </c>
      <c r="N4" s="130">
        <f>IF(SER_hh_fec_in!N4=0,0,11630*1000*SER_hh_fec_in!N4/SER_hh_num_in!N4)</f>
        <v>68153.73509375428</v>
      </c>
      <c r="O4" s="130">
        <f>IF(SER_hh_fec_in!O4=0,0,11630*1000*SER_hh_fec_in!O4/SER_hh_num_in!O4)</f>
        <v>63356.060987008852</v>
      </c>
      <c r="P4" s="130">
        <f>IF(SER_hh_fec_in!P4=0,0,11630*1000*SER_hh_fec_in!P4/SER_hh_num_in!P4)</f>
        <v>50811.056690542289</v>
      </c>
      <c r="Q4" s="130">
        <f>IF(SER_hh_fec_in!Q4=0,0,11630*1000*SER_hh_fec_in!Q4/SER_hh_num_in!Q4)</f>
        <v>57421.421593987019</v>
      </c>
      <c r="R4" s="130">
        <f>IF(SER_hh_fec_in!R4=0,0,11630*1000*SER_hh_fec_in!R4/SER_hh_num_in!R4)</f>
        <v>54105.68182347111</v>
      </c>
      <c r="S4" s="130">
        <f>IF(SER_hh_fec_in!S4=0,0,11630*1000*SER_hh_fec_in!S4/SER_hh_num_in!S4)</f>
        <v>55755.917190752632</v>
      </c>
      <c r="T4" s="130">
        <f>IF(SER_hh_fec_in!T4=0,0,11630*1000*SER_hh_fec_in!T4/SER_hh_num_in!T4)</f>
        <v>55651.180467167535</v>
      </c>
      <c r="U4" s="130">
        <f>IF(SER_hh_fec_in!U4=0,0,11630*1000*SER_hh_fec_in!U4/SER_hh_num_in!U4)</f>
        <v>51663.053402487421</v>
      </c>
      <c r="V4" s="130">
        <f>IF(SER_hh_fec_in!V4=0,0,11630*1000*SER_hh_fec_in!V4/SER_hh_num_in!V4)</f>
        <v>42905.805117157164</v>
      </c>
      <c r="W4" s="130">
        <f>IF(SER_hh_fec_in!W4=0,0,11630*1000*SER_hh_fec_in!W4/SER_hh_num_in!W4)</f>
        <v>42007.108692919603</v>
      </c>
      <c r="X4" s="130">
        <f>IF(SER_hh_fec_in!X4=0,0,11630*1000*SER_hh_fec_in!X4/SER_hh_num_in!X4)</f>
        <v>38593.36862442836</v>
      </c>
      <c r="Y4" s="130">
        <f>IF(SER_hh_fec_in!Y4=0,0,11630*1000*SER_hh_fec_in!Y4/SER_hh_num_in!Y4)</f>
        <v>36683.331407052385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83691.714723440266</v>
      </c>
      <c r="D5" s="132">
        <f>IF(SER_hh_fec_in!D5=0,0,11630*1000*SER_hh_fec_in!D5/SER_hh_num_in!D5)</f>
        <v>113139.7097597489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95573.763189032645</v>
      </c>
      <c r="K5" s="132">
        <f>IF(SER_hh_fec_in!K5=0,0,11630*1000*SER_hh_fec_in!K5/SER_hh_num_in!K5)</f>
        <v>88283.481767681194</v>
      </c>
      <c r="L5" s="132">
        <f>IF(SER_hh_fec_in!L5=0,0,11630*1000*SER_hh_fec_in!L5/SER_hh_num_in!L5)</f>
        <v>52887.947317059923</v>
      </c>
      <c r="M5" s="132">
        <f>IF(SER_hh_fec_in!M5=0,0,11630*1000*SER_hh_fec_in!M5/SER_hh_num_in!M5)</f>
        <v>110593.16728904287</v>
      </c>
      <c r="N5" s="132">
        <f>IF(SER_hh_fec_in!N5=0,0,11630*1000*SER_hh_fec_in!N5/SER_hh_num_in!N5)</f>
        <v>110380.61306147143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104381.83773682933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0</v>
      </c>
      <c r="D6" s="132">
        <f>IF(SER_hh_fec_in!D6=0,0,11630*1000*SER_hh_fec_in!D6/SER_hh_num_in!D6)</f>
        <v>0</v>
      </c>
      <c r="E6" s="132">
        <f>IF(SER_hh_fec_in!E6=0,0,11630*1000*SER_hh_fec_in!E6/SER_hh_num_in!E6)</f>
        <v>0</v>
      </c>
      <c r="F6" s="132">
        <f>IF(SER_hh_fec_in!F6=0,0,11630*1000*SER_hh_fec_in!F6/SER_hh_num_in!F6)</f>
        <v>0</v>
      </c>
      <c r="G6" s="132">
        <f>IF(SER_hh_fec_in!G6=0,0,11630*1000*SER_hh_fec_in!G6/SER_hh_num_in!G6)</f>
        <v>0</v>
      </c>
      <c r="H6" s="132">
        <f>IF(SER_hh_fec_in!H6=0,0,11630*1000*SER_hh_fec_in!H6/SER_hh_num_in!H6)</f>
        <v>0</v>
      </c>
      <c r="I6" s="132">
        <f>IF(SER_hh_fec_in!I6=0,0,11630*1000*SER_hh_fec_in!I6/SER_hh_num_in!I6)</f>
        <v>0</v>
      </c>
      <c r="J6" s="132">
        <f>IF(SER_hh_fec_in!J6=0,0,11630*1000*SER_hh_fec_in!J6/SER_hh_num_in!J6)</f>
        <v>0</v>
      </c>
      <c r="K6" s="132">
        <f>IF(SER_hh_fec_in!K6=0,0,11630*1000*SER_hh_fec_in!K6/SER_hh_num_in!K6)</f>
        <v>0</v>
      </c>
      <c r="L6" s="132">
        <f>IF(SER_hh_fec_in!L6=0,0,11630*1000*SER_hh_fec_in!L6/SER_hh_num_in!L6)</f>
        <v>0</v>
      </c>
      <c r="M6" s="132">
        <f>IF(SER_hh_fec_in!M6=0,0,11630*1000*SER_hh_fec_in!M6/SER_hh_num_in!M6)</f>
        <v>0</v>
      </c>
      <c r="N6" s="132">
        <f>IF(SER_hh_fec_in!N6=0,0,11630*1000*SER_hh_fec_in!N6/SER_hh_num_in!N6)</f>
        <v>0</v>
      </c>
      <c r="O6" s="132">
        <f>IF(SER_hh_fec_in!O6=0,0,11630*1000*SER_hh_fec_in!O6/SER_hh_num_in!O6)</f>
        <v>0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0</v>
      </c>
      <c r="T6" s="132">
        <f>IF(SER_hh_fec_in!T6=0,0,11630*1000*SER_hh_fec_in!T6/SER_hh_num_in!T6)</f>
        <v>0</v>
      </c>
      <c r="U6" s="132">
        <f>IF(SER_hh_fec_in!U6=0,0,11630*1000*SER_hh_fec_in!U6/SER_hh_num_in!U6)</f>
        <v>0</v>
      </c>
      <c r="V6" s="132">
        <f>IF(SER_hh_fec_in!V6=0,0,11630*1000*SER_hh_fec_in!V6/SER_hh_num_in!V6)</f>
        <v>0</v>
      </c>
      <c r="W6" s="132">
        <f>IF(SER_hh_fec_in!W6=0,0,11630*1000*SER_hh_fec_in!W6/SER_hh_num_in!W6)</f>
        <v>0</v>
      </c>
      <c r="X6" s="132">
        <f>IF(SER_hh_fec_in!X6=0,0,11630*1000*SER_hh_fec_in!X6/SER_hh_num_in!X6)</f>
        <v>0</v>
      </c>
      <c r="Y6" s="132">
        <f>IF(SER_hh_fec_in!Y6=0,0,11630*1000*SER_hh_fec_in!Y6/SER_hh_num_in!Y6)</f>
        <v>0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125564.63159159829</v>
      </c>
      <c r="D7" s="132">
        <f>IF(SER_hh_fec_in!D7=0,0,11630*1000*SER_hh_fec_in!D7/SER_hh_num_in!D7)</f>
        <v>135439.88170687674</v>
      </c>
      <c r="E7" s="132">
        <f>IF(SER_hh_fec_in!E7=0,0,11630*1000*SER_hh_fec_in!E7/SER_hh_num_in!E7)</f>
        <v>129979.80923927767</v>
      </c>
      <c r="F7" s="132">
        <f>IF(SER_hh_fec_in!F7=0,0,11630*1000*SER_hh_fec_in!F7/SER_hh_num_in!F7)</f>
        <v>129849.58675950591</v>
      </c>
      <c r="G7" s="132">
        <f>IF(SER_hh_fec_in!G7=0,0,11630*1000*SER_hh_fec_in!G7/SER_hh_num_in!G7)</f>
        <v>122389.46423513359</v>
      </c>
      <c r="H7" s="132">
        <f>IF(SER_hh_fec_in!H7=0,0,11630*1000*SER_hh_fec_in!H7/SER_hh_num_in!H7)</f>
        <v>0</v>
      </c>
      <c r="I7" s="132">
        <f>IF(SER_hh_fec_in!I7=0,0,11630*1000*SER_hh_fec_in!I7/SER_hh_num_in!I7)</f>
        <v>0</v>
      </c>
      <c r="J7" s="132">
        <f>IF(SER_hh_fec_in!J7=0,0,11630*1000*SER_hh_fec_in!J7/SER_hh_num_in!J7)</f>
        <v>0</v>
      </c>
      <c r="K7" s="132">
        <f>IF(SER_hh_fec_in!K7=0,0,11630*1000*SER_hh_fec_in!K7/SER_hh_num_in!K7)</f>
        <v>96428.690531176733</v>
      </c>
      <c r="L7" s="132">
        <f>IF(SER_hh_fec_in!L7=0,0,11630*1000*SER_hh_fec_in!L7/SER_hh_num_in!L7)</f>
        <v>97971.50685849713</v>
      </c>
      <c r="M7" s="132">
        <f>IF(SER_hh_fec_in!M7=0,0,11630*1000*SER_hh_fec_in!M7/SER_hh_num_in!M7)</f>
        <v>94193.119505793351</v>
      </c>
      <c r="N7" s="132">
        <f>IF(SER_hh_fec_in!N7=0,0,11630*1000*SER_hh_fec_in!N7/SER_hh_num_in!N7)</f>
        <v>78906.785713991325</v>
      </c>
      <c r="O7" s="132">
        <f>IF(SER_hh_fec_in!O7=0,0,11630*1000*SER_hh_fec_in!O7/SER_hh_num_in!O7)</f>
        <v>66952.271654580021</v>
      </c>
      <c r="P7" s="132">
        <f>IF(SER_hh_fec_in!P7=0,0,11630*1000*SER_hh_fec_in!P7/SER_hh_num_in!P7)</f>
        <v>48154.994844061614</v>
      </c>
      <c r="Q7" s="132">
        <f>IF(SER_hh_fec_in!Q7=0,0,11630*1000*SER_hh_fec_in!Q7/SER_hh_num_in!Q7)</f>
        <v>60450.885855762033</v>
      </c>
      <c r="R7" s="132">
        <f>IF(SER_hh_fec_in!R7=0,0,11630*1000*SER_hh_fec_in!R7/SER_hh_num_in!R7)</f>
        <v>59209.116832759668</v>
      </c>
      <c r="S7" s="132">
        <f>IF(SER_hh_fec_in!S7=0,0,11630*1000*SER_hh_fec_in!S7/SER_hh_num_in!S7)</f>
        <v>62742.945526120835</v>
      </c>
      <c r="T7" s="132">
        <f>IF(SER_hh_fec_in!T7=0,0,11630*1000*SER_hh_fec_in!T7/SER_hh_num_in!T7)</f>
        <v>0</v>
      </c>
      <c r="U7" s="132">
        <f>IF(SER_hh_fec_in!U7=0,0,11630*1000*SER_hh_fec_in!U7/SER_hh_num_in!U7)</f>
        <v>0</v>
      </c>
      <c r="V7" s="132">
        <f>IF(SER_hh_fec_in!V7=0,0,11630*1000*SER_hh_fec_in!V7/SER_hh_num_in!V7)</f>
        <v>0</v>
      </c>
      <c r="W7" s="132">
        <f>IF(SER_hh_fec_in!W7=0,0,11630*1000*SER_hh_fec_in!W7/SER_hh_num_in!W7)</f>
        <v>0</v>
      </c>
      <c r="X7" s="132">
        <f>IF(SER_hh_fec_in!X7=0,0,11630*1000*SER_hh_fec_in!X7/SER_hh_num_in!X7)</f>
        <v>47467.641362515053</v>
      </c>
      <c r="Y7" s="132">
        <f>IF(SER_hh_fec_in!Y7=0,0,11630*1000*SER_hh_fec_in!Y7/SER_hh_num_in!Y7)</f>
        <v>43817.589715590235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0</v>
      </c>
      <c r="D8" s="132">
        <f>IF(SER_hh_fec_in!D8=0,0,11630*1000*SER_hh_fec_in!D8/SER_hh_num_in!D8)</f>
        <v>0</v>
      </c>
      <c r="E8" s="132">
        <f>IF(SER_hh_fec_in!E8=0,0,11630*1000*SER_hh_fec_in!E8/SER_hh_num_in!E8)</f>
        <v>0</v>
      </c>
      <c r="F8" s="132">
        <f>IF(SER_hh_fec_in!F8=0,0,11630*1000*SER_hh_fec_in!F8/SER_hh_num_in!F8)</f>
        <v>0</v>
      </c>
      <c r="G8" s="132">
        <f>IF(SER_hh_fec_in!G8=0,0,11630*1000*SER_hh_fec_in!G8/SER_hh_num_in!G8)</f>
        <v>0</v>
      </c>
      <c r="H8" s="132">
        <f>IF(SER_hh_fec_in!H8=0,0,11630*1000*SER_hh_fec_in!H8/SER_hh_num_in!H8)</f>
        <v>0</v>
      </c>
      <c r="I8" s="132">
        <f>IF(SER_hh_fec_in!I8=0,0,11630*1000*SER_hh_fec_in!I8/SER_hh_num_in!I8)</f>
        <v>0</v>
      </c>
      <c r="J8" s="132">
        <f>IF(SER_hh_fec_in!J8=0,0,11630*1000*SER_hh_fec_in!J8/SER_hh_num_in!J8)</f>
        <v>0</v>
      </c>
      <c r="K8" s="132">
        <f>IF(SER_hh_fec_in!K8=0,0,11630*1000*SER_hh_fec_in!K8/SER_hh_num_in!K8)</f>
        <v>0</v>
      </c>
      <c r="L8" s="132">
        <f>IF(SER_hh_fec_in!L8=0,0,11630*1000*SER_hh_fec_in!L8/SER_hh_num_in!L8)</f>
        <v>0</v>
      </c>
      <c r="M8" s="132">
        <f>IF(SER_hh_fec_in!M8=0,0,11630*1000*SER_hh_fec_in!M8/SER_hh_num_in!M8)</f>
        <v>0</v>
      </c>
      <c r="N8" s="132">
        <f>IF(SER_hh_fec_in!N8=0,0,11630*1000*SER_hh_fec_in!N8/SER_hh_num_in!N8)</f>
        <v>0</v>
      </c>
      <c r="O8" s="132">
        <f>IF(SER_hh_fec_in!O8=0,0,11630*1000*SER_hh_fec_in!O8/SER_hh_num_in!O8)</f>
        <v>0</v>
      </c>
      <c r="P8" s="132">
        <f>IF(SER_hh_fec_in!P8=0,0,11630*1000*SER_hh_fec_in!P8/SER_hh_num_in!P8)</f>
        <v>0</v>
      </c>
      <c r="Q8" s="132">
        <f>IF(SER_hh_fec_in!Q8=0,0,11630*1000*SER_hh_fec_in!Q8/SER_hh_num_in!Q8)</f>
        <v>0</v>
      </c>
      <c r="R8" s="132">
        <f>IF(SER_hh_fec_in!R8=0,0,11630*1000*SER_hh_fec_in!R8/SER_hh_num_in!R8)</f>
        <v>0</v>
      </c>
      <c r="S8" s="132">
        <f>IF(SER_hh_fec_in!S8=0,0,11630*1000*SER_hh_fec_in!S8/SER_hh_num_in!S8)</f>
        <v>0</v>
      </c>
      <c r="T8" s="132">
        <f>IF(SER_hh_fec_in!T8=0,0,11630*1000*SER_hh_fec_in!T8/SER_hh_num_in!T8)</f>
        <v>0</v>
      </c>
      <c r="U8" s="132">
        <f>IF(SER_hh_fec_in!U8=0,0,11630*1000*SER_hh_fec_in!U8/SER_hh_num_in!U8)</f>
        <v>0</v>
      </c>
      <c r="V8" s="132">
        <f>IF(SER_hh_fec_in!V8=0,0,11630*1000*SER_hh_fec_in!V8/SER_hh_num_in!V8)</f>
        <v>0</v>
      </c>
      <c r="W8" s="132">
        <f>IF(SER_hh_fec_in!W8=0,0,11630*1000*SER_hh_fec_in!W8/SER_hh_num_in!W8)</f>
        <v>0</v>
      </c>
      <c r="X8" s="132">
        <f>IF(SER_hh_fec_in!X8=0,0,11630*1000*SER_hh_fec_in!X8/SER_hh_num_in!X8)</f>
        <v>0</v>
      </c>
      <c r="Y8" s="132">
        <f>IF(SER_hh_fec_in!Y8=0,0,11630*1000*SER_hh_fec_in!Y8/SER_hh_num_in!Y8)</f>
        <v>0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134630.31414996044</v>
      </c>
      <c r="D9" s="132">
        <f>IF(SER_hh_fec_in!D9=0,0,11630*1000*SER_hh_fec_in!D9/SER_hh_num_in!D9)</f>
        <v>116592.94720882813</v>
      </c>
      <c r="E9" s="132">
        <f>IF(SER_hh_fec_in!E9=0,0,11630*1000*SER_hh_fec_in!E9/SER_hh_num_in!E9)</f>
        <v>117424.68173722831</v>
      </c>
      <c r="F9" s="132">
        <f>IF(SER_hh_fec_in!F9=0,0,11630*1000*SER_hh_fec_in!F9/SER_hh_num_in!F9)</f>
        <v>116367.36557707016</v>
      </c>
      <c r="G9" s="132">
        <f>IF(SER_hh_fec_in!G9=0,0,11630*1000*SER_hh_fec_in!G9/SER_hh_num_in!G9)</f>
        <v>117581.82825305592</v>
      </c>
      <c r="H9" s="132">
        <f>IF(SER_hh_fec_in!H9=0,0,11630*1000*SER_hh_fec_in!H9/SER_hh_num_in!H9)</f>
        <v>103941.58952706853</v>
      </c>
      <c r="I9" s="132">
        <f>IF(SER_hh_fec_in!I9=0,0,11630*1000*SER_hh_fec_in!I9/SER_hh_num_in!I9)</f>
        <v>92320.625423656369</v>
      </c>
      <c r="J9" s="132">
        <f>IF(SER_hh_fec_in!J9=0,0,11630*1000*SER_hh_fec_in!J9/SER_hh_num_in!J9)</f>
        <v>94911.439623859595</v>
      </c>
      <c r="K9" s="132">
        <f>IF(SER_hh_fec_in!K9=0,0,11630*1000*SER_hh_fec_in!K9/SER_hh_num_in!K9)</f>
        <v>90611.710903895684</v>
      </c>
      <c r="L9" s="132">
        <f>IF(SER_hh_fec_in!L9=0,0,11630*1000*SER_hh_fec_in!L9/SER_hh_num_in!L9)</f>
        <v>104470.47958669066</v>
      </c>
      <c r="M9" s="132">
        <f>IF(SER_hh_fec_in!M9=0,0,11630*1000*SER_hh_fec_in!M9/SER_hh_num_in!M9)</f>
        <v>86897.47077623877</v>
      </c>
      <c r="N9" s="132">
        <f>IF(SER_hh_fec_in!N9=0,0,11630*1000*SER_hh_fec_in!N9/SER_hh_num_in!N9)</f>
        <v>72300.673229901295</v>
      </c>
      <c r="O9" s="132">
        <f>IF(SER_hh_fec_in!O9=0,0,11630*1000*SER_hh_fec_in!O9/SER_hh_num_in!O9)</f>
        <v>64408.157084427614</v>
      </c>
      <c r="P9" s="132">
        <f>IF(SER_hh_fec_in!P9=0,0,11630*1000*SER_hh_fec_in!P9/SER_hh_num_in!P9)</f>
        <v>50618.745649948381</v>
      </c>
      <c r="Q9" s="132">
        <f>IF(SER_hh_fec_in!Q9=0,0,11630*1000*SER_hh_fec_in!Q9/SER_hh_num_in!Q9)</f>
        <v>57658.963169291143</v>
      </c>
      <c r="R9" s="132">
        <f>IF(SER_hh_fec_in!R9=0,0,11630*1000*SER_hh_fec_in!R9/SER_hh_num_in!R9)</f>
        <v>56923.306198218379</v>
      </c>
      <c r="S9" s="132">
        <f>IF(SER_hh_fec_in!S9=0,0,11630*1000*SER_hh_fec_in!S9/SER_hh_num_in!S9)</f>
        <v>56760.828117305238</v>
      </c>
      <c r="T9" s="132">
        <f>IF(SER_hh_fec_in!T9=0,0,11630*1000*SER_hh_fec_in!T9/SER_hh_num_in!T9)</f>
        <v>56162.298857001602</v>
      </c>
      <c r="U9" s="132">
        <f>IF(SER_hh_fec_in!U9=0,0,11630*1000*SER_hh_fec_in!U9/SER_hh_num_in!U9)</f>
        <v>53599.571266838473</v>
      </c>
      <c r="V9" s="132">
        <f>IF(SER_hh_fec_in!V9=0,0,11630*1000*SER_hh_fec_in!V9/SER_hh_num_in!V9)</f>
        <v>46457.169679451901</v>
      </c>
      <c r="W9" s="132">
        <f>IF(SER_hh_fec_in!W9=0,0,11630*1000*SER_hh_fec_in!W9/SER_hh_num_in!W9)</f>
        <v>49706.263476270971</v>
      </c>
      <c r="X9" s="132">
        <f>IF(SER_hh_fec_in!X9=0,0,11630*1000*SER_hh_fec_in!X9/SER_hh_num_in!X9)</f>
        <v>0</v>
      </c>
      <c r="Y9" s="132">
        <f>IF(SER_hh_fec_in!Y9=0,0,11630*1000*SER_hh_fec_in!Y9/SER_hh_num_in!Y9)</f>
        <v>39294.488179021457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0</v>
      </c>
      <c r="D10" s="132">
        <f>IF(SER_hh_fec_in!D10=0,0,11630*1000*SER_hh_fec_in!D10/SER_hh_num_in!D10)</f>
        <v>0</v>
      </c>
      <c r="E10" s="132">
        <f>IF(SER_hh_fec_in!E10=0,0,11630*1000*SER_hh_fec_in!E10/SER_hh_num_in!E10)</f>
        <v>0</v>
      </c>
      <c r="F10" s="132">
        <f>IF(SER_hh_fec_in!F10=0,0,11630*1000*SER_hh_fec_in!F10/SER_hh_num_in!F10)</f>
        <v>0</v>
      </c>
      <c r="G10" s="132">
        <f>IF(SER_hh_fec_in!G10=0,0,11630*1000*SER_hh_fec_in!G10/SER_hh_num_in!G10)</f>
        <v>0</v>
      </c>
      <c r="H10" s="132">
        <f>IF(SER_hh_fec_in!H10=0,0,11630*1000*SER_hh_fec_in!H10/SER_hh_num_in!H10)</f>
        <v>0</v>
      </c>
      <c r="I10" s="132">
        <f>IF(SER_hh_fec_in!I10=0,0,11630*1000*SER_hh_fec_in!I10/SER_hh_num_in!I10)</f>
        <v>158287.26905817911</v>
      </c>
      <c r="J10" s="132">
        <f>IF(SER_hh_fec_in!J10=0,0,11630*1000*SER_hh_fec_in!J10/SER_hh_num_in!J10)</f>
        <v>109000.9959603928</v>
      </c>
      <c r="K10" s="132">
        <f>IF(SER_hh_fec_in!K10=0,0,11630*1000*SER_hh_fec_in!K10/SER_hh_num_in!K10)</f>
        <v>118466.57290244017</v>
      </c>
      <c r="L10" s="132">
        <f>IF(SER_hh_fec_in!L10=0,0,11630*1000*SER_hh_fec_in!L10/SER_hh_num_in!L10)</f>
        <v>98386.637990658404</v>
      </c>
      <c r="M10" s="132">
        <f>IF(SER_hh_fec_in!M10=0,0,11630*1000*SER_hh_fec_in!M10/SER_hh_num_in!M10)</f>
        <v>112061.46928682204</v>
      </c>
      <c r="N10" s="132">
        <f>IF(SER_hh_fec_in!N10=0,0,11630*1000*SER_hh_fec_in!N10/SER_hh_num_in!N10)</f>
        <v>83510.231539413522</v>
      </c>
      <c r="O10" s="132">
        <f>IF(SER_hh_fec_in!O10=0,0,11630*1000*SER_hh_fec_in!O10/SER_hh_num_in!O10)</f>
        <v>68964.756001250047</v>
      </c>
      <c r="P10" s="132">
        <f>IF(SER_hh_fec_in!P10=0,0,11630*1000*SER_hh_fec_in!P10/SER_hh_num_in!P10)</f>
        <v>69331.552131794931</v>
      </c>
      <c r="Q10" s="132">
        <f>IF(SER_hh_fec_in!Q10=0,0,11630*1000*SER_hh_fec_in!Q10/SER_hh_num_in!Q10)</f>
        <v>72594.264040432943</v>
      </c>
      <c r="R10" s="132">
        <f>IF(SER_hh_fec_in!R10=0,0,11630*1000*SER_hh_fec_in!R10/SER_hh_num_in!R10)</f>
        <v>75469.964787360412</v>
      </c>
      <c r="S10" s="132">
        <f>IF(SER_hh_fec_in!S10=0,0,11630*1000*SER_hh_fec_in!S10/SER_hh_num_in!S10)</f>
        <v>74711.261205001792</v>
      </c>
      <c r="T10" s="132">
        <f>IF(SER_hh_fec_in!T10=0,0,11630*1000*SER_hh_fec_in!T10/SER_hh_num_in!T10)</f>
        <v>71780.950854457857</v>
      </c>
      <c r="U10" s="132">
        <f>IF(SER_hh_fec_in!U10=0,0,11630*1000*SER_hh_fec_in!U10/SER_hh_num_in!U10)</f>
        <v>71716.818615935335</v>
      </c>
      <c r="V10" s="132">
        <f>IF(SER_hh_fec_in!V10=0,0,11630*1000*SER_hh_fec_in!V10/SER_hh_num_in!V10)</f>
        <v>65997.033275627677</v>
      </c>
      <c r="W10" s="132">
        <f>IF(SER_hh_fec_in!W10=0,0,11630*1000*SER_hh_fec_in!W10/SER_hh_num_in!W10)</f>
        <v>53446.100523509616</v>
      </c>
      <c r="X10" s="132">
        <f>IF(SER_hh_fec_in!X10=0,0,11630*1000*SER_hh_fec_in!X10/SER_hh_num_in!X10)</f>
        <v>54772.73357470749</v>
      </c>
      <c r="Y10" s="132">
        <f>IF(SER_hh_fec_in!Y10=0,0,11630*1000*SER_hh_fec_in!Y10/SER_hh_num_in!Y10)</f>
        <v>52381.828311831203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0</v>
      </c>
      <c r="D11" s="132">
        <f>IF(SER_hh_fec_in!D11=0,0,11630*1000*SER_hh_fec_in!D11/SER_hh_num_in!D11)</f>
        <v>0</v>
      </c>
      <c r="E11" s="132">
        <f>IF(SER_hh_fec_in!E11=0,0,11630*1000*SER_hh_fec_in!E11/SER_hh_num_in!E11)</f>
        <v>0</v>
      </c>
      <c r="F11" s="132">
        <f>IF(SER_hh_fec_in!F11=0,0,11630*1000*SER_hh_fec_in!F11/SER_hh_num_in!F11)</f>
        <v>0</v>
      </c>
      <c r="G11" s="132">
        <f>IF(SER_hh_fec_in!G11=0,0,11630*1000*SER_hh_fec_in!G11/SER_hh_num_in!G11)</f>
        <v>0</v>
      </c>
      <c r="H11" s="132">
        <f>IF(SER_hh_fec_in!H11=0,0,11630*1000*SER_hh_fec_in!H11/SER_hh_num_in!H11)</f>
        <v>0</v>
      </c>
      <c r="I11" s="132">
        <f>IF(SER_hh_fec_in!I11=0,0,11630*1000*SER_hh_fec_in!I11/SER_hh_num_in!I11)</f>
        <v>97329.627171019369</v>
      </c>
      <c r="J11" s="132">
        <f>IF(SER_hh_fec_in!J11=0,0,11630*1000*SER_hh_fec_in!J11/SER_hh_num_in!J11)</f>
        <v>66749.170924646489</v>
      </c>
      <c r="K11" s="132">
        <f>IF(SER_hh_fec_in!K11=0,0,11630*1000*SER_hh_fec_in!K11/SER_hh_num_in!K11)</f>
        <v>49653.513305303713</v>
      </c>
      <c r="L11" s="132">
        <f>IF(SER_hh_fec_in!L11=0,0,11630*1000*SER_hh_fec_in!L11/SER_hh_num_in!L11)</f>
        <v>78825.121894721757</v>
      </c>
      <c r="M11" s="132">
        <f>IF(SER_hh_fec_in!M11=0,0,11630*1000*SER_hh_fec_in!M11/SER_hh_num_in!M11)</f>
        <v>66353.279682807377</v>
      </c>
      <c r="N11" s="132">
        <f>IF(SER_hh_fec_in!N11=0,0,11630*1000*SER_hh_fec_in!N11/SER_hh_num_in!N11)</f>
        <v>60910.540863576811</v>
      </c>
      <c r="O11" s="132">
        <f>IF(SER_hh_fec_in!O11=0,0,11630*1000*SER_hh_fec_in!O11/SER_hh_num_in!O11)</f>
        <v>0</v>
      </c>
      <c r="P11" s="132">
        <f>IF(SER_hh_fec_in!P11=0,0,11630*1000*SER_hh_fec_in!P11/SER_hh_num_in!P11)</f>
        <v>0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0</v>
      </c>
      <c r="S11" s="132">
        <f>IF(SER_hh_fec_in!S11=0,0,11630*1000*SER_hh_fec_in!S11/SER_hh_num_in!S11)</f>
        <v>0</v>
      </c>
      <c r="T11" s="132">
        <f>IF(SER_hh_fec_in!T11=0,0,11630*1000*SER_hh_fec_in!T11/SER_hh_num_in!T11)</f>
        <v>0</v>
      </c>
      <c r="U11" s="132">
        <f>IF(SER_hh_fec_in!U11=0,0,11630*1000*SER_hh_fec_in!U11/SER_hh_num_in!U11)</f>
        <v>0</v>
      </c>
      <c r="V11" s="132">
        <f>IF(SER_hh_fec_in!V11=0,0,11630*1000*SER_hh_fec_in!V11/SER_hh_num_in!V11)</f>
        <v>0</v>
      </c>
      <c r="W11" s="132">
        <f>IF(SER_hh_fec_in!W11=0,0,11630*1000*SER_hh_fec_in!W11/SER_hh_num_in!W11)</f>
        <v>0</v>
      </c>
      <c r="X11" s="132">
        <f>IF(SER_hh_fec_in!X11=0,0,11630*1000*SER_hh_fec_in!X11/SER_hh_num_in!X11)</f>
        <v>0</v>
      </c>
      <c r="Y11" s="132">
        <f>IF(SER_hh_fec_in!Y11=0,0,11630*1000*SER_hh_fec_in!Y11/SER_hh_num_in!Y11)</f>
        <v>32861.805000195694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83784.431969334415</v>
      </c>
      <c r="D12" s="132">
        <f>IF(SER_hh_fec_in!D12=0,0,11630*1000*SER_hh_fec_in!D12/SER_hh_num_in!D12)</f>
        <v>79510.568610453774</v>
      </c>
      <c r="E12" s="132">
        <f>IF(SER_hh_fec_in!E12=0,0,11630*1000*SER_hh_fec_in!E12/SER_hh_num_in!E12)</f>
        <v>85724.846875542513</v>
      </c>
      <c r="F12" s="132">
        <f>IF(SER_hh_fec_in!F12=0,0,11630*1000*SER_hh_fec_in!F12/SER_hh_num_in!F12)</f>
        <v>81033.774612634719</v>
      </c>
      <c r="G12" s="132">
        <f>IF(SER_hh_fec_in!G12=0,0,11630*1000*SER_hh_fec_in!G12/SER_hh_num_in!G12)</f>
        <v>83725.097911040022</v>
      </c>
      <c r="H12" s="132">
        <f>IF(SER_hh_fec_in!H12=0,0,11630*1000*SER_hh_fec_in!H12/SER_hh_num_in!H12)</f>
        <v>70522.373626026412</v>
      </c>
      <c r="I12" s="132">
        <f>IF(SER_hh_fec_in!I12=0,0,11630*1000*SER_hh_fec_in!I12/SER_hh_num_in!I12)</f>
        <v>63970.539974003208</v>
      </c>
      <c r="J12" s="132">
        <f>IF(SER_hh_fec_in!J12=0,0,11630*1000*SER_hh_fec_in!J12/SER_hh_num_in!J12)</f>
        <v>67678.261287506422</v>
      </c>
      <c r="K12" s="132">
        <f>IF(SER_hh_fec_in!K12=0,0,11630*1000*SER_hh_fec_in!K12/SER_hh_num_in!K12)</f>
        <v>63802.992425423734</v>
      </c>
      <c r="L12" s="132">
        <f>IF(SER_hh_fec_in!L12=0,0,11630*1000*SER_hh_fec_in!L12/SER_hh_num_in!L12)</f>
        <v>70139.364596812651</v>
      </c>
      <c r="M12" s="132">
        <f>IF(SER_hh_fec_in!M12=0,0,11630*1000*SER_hh_fec_in!M12/SER_hh_num_in!M12)</f>
        <v>65755.898234729568</v>
      </c>
      <c r="N12" s="132">
        <f>IF(SER_hh_fec_in!N12=0,0,11630*1000*SER_hh_fec_in!N12/SER_hh_num_in!N12)</f>
        <v>58206.445739146897</v>
      </c>
      <c r="O12" s="132">
        <f>IF(SER_hh_fec_in!O12=0,0,11630*1000*SER_hh_fec_in!O12/SER_hh_num_in!O12)</f>
        <v>56661.748114207468</v>
      </c>
      <c r="P12" s="132">
        <f>IF(SER_hh_fec_in!P12=0,0,11630*1000*SER_hh_fec_in!P12/SER_hh_num_in!P12)</f>
        <v>40969.873119718839</v>
      </c>
      <c r="Q12" s="132">
        <f>IF(SER_hh_fec_in!Q12=0,0,11630*1000*SER_hh_fec_in!Q12/SER_hh_num_in!Q12)</f>
        <v>45382.286907868322</v>
      </c>
      <c r="R12" s="132">
        <f>IF(SER_hh_fec_in!R12=0,0,11630*1000*SER_hh_fec_in!R12/SER_hh_num_in!R12)</f>
        <v>48053.83127030154</v>
      </c>
      <c r="S12" s="132">
        <f>IF(SER_hh_fec_in!S12=0,0,11630*1000*SER_hh_fec_in!S12/SER_hh_num_in!S12)</f>
        <v>0</v>
      </c>
      <c r="T12" s="132">
        <f>IF(SER_hh_fec_in!T12=0,0,11630*1000*SER_hh_fec_in!T12/SER_hh_num_in!T12)</f>
        <v>44891.469711984813</v>
      </c>
      <c r="U12" s="132">
        <f>IF(SER_hh_fec_in!U12=0,0,11630*1000*SER_hh_fec_in!U12/SER_hh_num_in!U12)</f>
        <v>41897.581503742833</v>
      </c>
      <c r="V12" s="132">
        <f>IF(SER_hh_fec_in!V12=0,0,11630*1000*SER_hh_fec_in!V12/SER_hh_num_in!V12)</f>
        <v>41828.89580773731</v>
      </c>
      <c r="W12" s="132">
        <f>IF(SER_hh_fec_in!W12=0,0,11630*1000*SER_hh_fec_in!W12/SER_hh_num_in!W12)</f>
        <v>43106.00833540329</v>
      </c>
      <c r="X12" s="132">
        <f>IF(SER_hh_fec_in!X12=0,0,11630*1000*SER_hh_fec_in!X12/SER_hh_num_in!X12)</f>
        <v>29702.584084604623</v>
      </c>
      <c r="Y12" s="132">
        <f>IF(SER_hh_fec_in!Y12=0,0,11630*1000*SER_hh_fec_in!Y12/SER_hh_num_in!Y12)</f>
        <v>37919.814834038509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0</v>
      </c>
      <c r="D13" s="132">
        <f>IF(SER_hh_fec_in!D13=0,0,11630*1000*SER_hh_fec_in!D13/SER_hh_num_in!D13)</f>
        <v>0</v>
      </c>
      <c r="E13" s="132">
        <f>IF(SER_hh_fec_in!E13=0,0,11630*1000*SER_hh_fec_in!E13/SER_hh_num_in!E13)</f>
        <v>0</v>
      </c>
      <c r="F13" s="132">
        <f>IF(SER_hh_fec_in!F13=0,0,11630*1000*SER_hh_fec_in!F13/SER_hh_num_in!F13)</f>
        <v>0</v>
      </c>
      <c r="G13" s="132">
        <f>IF(SER_hh_fec_in!G13=0,0,11630*1000*SER_hh_fec_in!G13/SER_hh_num_in!G13)</f>
        <v>0</v>
      </c>
      <c r="H13" s="132">
        <f>IF(SER_hh_fec_in!H13=0,0,11630*1000*SER_hh_fec_in!H13/SER_hh_num_in!H13)</f>
        <v>0</v>
      </c>
      <c r="I13" s="132">
        <f>IF(SER_hh_fec_in!I13=0,0,11630*1000*SER_hh_fec_in!I13/SER_hh_num_in!I13)</f>
        <v>0</v>
      </c>
      <c r="J13" s="132">
        <f>IF(SER_hh_fec_in!J13=0,0,11630*1000*SER_hh_fec_in!J13/SER_hh_num_in!J13)</f>
        <v>0</v>
      </c>
      <c r="K13" s="132">
        <f>IF(SER_hh_fec_in!K13=0,0,11630*1000*SER_hh_fec_in!K13/SER_hh_num_in!K13)</f>
        <v>0</v>
      </c>
      <c r="L13" s="132">
        <f>IF(SER_hh_fec_in!L13=0,0,11630*1000*SER_hh_fec_in!L13/SER_hh_num_in!L13)</f>
        <v>0</v>
      </c>
      <c r="M13" s="132">
        <f>IF(SER_hh_fec_in!M13=0,0,11630*1000*SER_hh_fec_in!M13/SER_hh_num_in!M13)</f>
        <v>0</v>
      </c>
      <c r="N13" s="132">
        <f>IF(SER_hh_fec_in!N13=0,0,11630*1000*SER_hh_fec_in!N13/SER_hh_num_in!N13)</f>
        <v>0</v>
      </c>
      <c r="O13" s="132">
        <f>IF(SER_hh_fec_in!O13=0,0,11630*1000*SER_hh_fec_in!O13/SER_hh_num_in!O13)</f>
        <v>0</v>
      </c>
      <c r="P13" s="132">
        <f>IF(SER_hh_fec_in!P13=0,0,11630*1000*SER_hh_fec_in!P13/SER_hh_num_in!P13)</f>
        <v>0</v>
      </c>
      <c r="Q13" s="132">
        <f>IF(SER_hh_fec_in!Q13=0,0,11630*1000*SER_hh_fec_in!Q13/SER_hh_num_in!Q13)</f>
        <v>0</v>
      </c>
      <c r="R13" s="132">
        <f>IF(SER_hh_fec_in!R13=0,0,11630*1000*SER_hh_fec_in!R13/SER_hh_num_in!R13)</f>
        <v>0</v>
      </c>
      <c r="S13" s="132">
        <f>IF(SER_hh_fec_in!S13=0,0,11630*1000*SER_hh_fec_in!S13/SER_hh_num_in!S13)</f>
        <v>0</v>
      </c>
      <c r="T13" s="132">
        <f>IF(SER_hh_fec_in!T13=0,0,11630*1000*SER_hh_fec_in!T13/SER_hh_num_in!T13)</f>
        <v>0</v>
      </c>
      <c r="U13" s="132">
        <f>IF(SER_hh_fec_in!U13=0,0,11630*1000*SER_hh_fec_in!U13/SER_hh_num_in!U13)</f>
        <v>0</v>
      </c>
      <c r="V13" s="132">
        <f>IF(SER_hh_fec_in!V13=0,0,11630*1000*SER_hh_fec_in!V13/SER_hh_num_in!V13)</f>
        <v>0</v>
      </c>
      <c r="W13" s="132">
        <f>IF(SER_hh_fec_in!W13=0,0,11630*1000*SER_hh_fec_in!W13/SER_hh_num_in!W13)</f>
        <v>0</v>
      </c>
      <c r="X13" s="132">
        <f>IF(SER_hh_fec_in!X13=0,0,11630*1000*SER_hh_fec_in!X13/SER_hh_num_in!X13)</f>
        <v>0</v>
      </c>
      <c r="Y13" s="132">
        <f>IF(SER_hh_fec_in!Y13=0,0,11630*1000*SER_hh_fec_in!Y13/SER_hh_num_in!Y13)</f>
        <v>0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92441.375857107356</v>
      </c>
      <c r="D14" s="65">
        <f>IF(SER_hh_fec_in!D14=0,0,11630*1000*SER_hh_fec_in!D14/SER_hh_num_in!D14)</f>
        <v>93853.711658366548</v>
      </c>
      <c r="E14" s="65">
        <f>IF(SER_hh_fec_in!E14=0,0,11630*1000*SER_hh_fec_in!E14/SER_hh_num_in!E14)</f>
        <v>86006.892335287514</v>
      </c>
      <c r="F14" s="65">
        <f>IF(SER_hh_fec_in!F14=0,0,11630*1000*SER_hh_fec_in!F14/SER_hh_num_in!F14)</f>
        <v>87428.19733182955</v>
      </c>
      <c r="G14" s="65">
        <f>IF(SER_hh_fec_in!G14=0,0,11630*1000*SER_hh_fec_in!G14/SER_hh_num_in!G14)</f>
        <v>91100.77573358237</v>
      </c>
      <c r="H14" s="65">
        <f>IF(SER_hh_fec_in!H14=0,0,11630*1000*SER_hh_fec_in!H14/SER_hh_num_in!H14)</f>
        <v>79644.449104530111</v>
      </c>
      <c r="I14" s="65">
        <f>IF(SER_hh_fec_in!I14=0,0,11630*1000*SER_hh_fec_in!I14/SER_hh_num_in!I14)</f>
        <v>68030.777084345711</v>
      </c>
      <c r="J14" s="65">
        <f>IF(SER_hh_fec_in!J14=0,0,11630*1000*SER_hh_fec_in!J14/SER_hh_num_in!J14)</f>
        <v>78551.202259568192</v>
      </c>
      <c r="K14" s="65">
        <f>IF(SER_hh_fec_in!K14=0,0,11630*1000*SER_hh_fec_in!K14/SER_hh_num_in!K14)</f>
        <v>72677.201125413732</v>
      </c>
      <c r="L14" s="65">
        <f>IF(SER_hh_fec_in!L14=0,0,11630*1000*SER_hh_fec_in!L14/SER_hh_num_in!L14)</f>
        <v>72566.354645749743</v>
      </c>
      <c r="M14" s="65">
        <f>IF(SER_hh_fec_in!M14=0,0,11630*1000*SER_hh_fec_in!M14/SER_hh_num_in!M14)</f>
        <v>71609.524506998292</v>
      </c>
      <c r="N14" s="65">
        <f>IF(SER_hh_fec_in!N14=0,0,11630*1000*SER_hh_fec_in!N14/SER_hh_num_in!N14)</f>
        <v>65770.176505680443</v>
      </c>
      <c r="O14" s="65">
        <f>IF(SER_hh_fec_in!O14=0,0,11630*1000*SER_hh_fec_in!O14/SER_hh_num_in!O14)</f>
        <v>62300.299464811913</v>
      </c>
      <c r="P14" s="65">
        <f>IF(SER_hh_fec_in!P14=0,0,11630*1000*SER_hh_fec_in!P14/SER_hh_num_in!P14)</f>
        <v>48467.365340639051</v>
      </c>
      <c r="Q14" s="65">
        <f>IF(SER_hh_fec_in!Q14=0,0,11630*1000*SER_hh_fec_in!Q14/SER_hh_num_in!Q14)</f>
        <v>47610.344548983681</v>
      </c>
      <c r="R14" s="65">
        <f>IF(SER_hh_fec_in!R14=0,0,11630*1000*SER_hh_fec_in!R14/SER_hh_num_in!R14)</f>
        <v>48685.165385548404</v>
      </c>
      <c r="S14" s="65">
        <f>IF(SER_hh_fec_in!S14=0,0,11630*1000*SER_hh_fec_in!S14/SER_hh_num_in!S14)</f>
        <v>53717.260897615059</v>
      </c>
      <c r="T14" s="65">
        <f>IF(SER_hh_fec_in!T14=0,0,11630*1000*SER_hh_fec_in!T14/SER_hh_num_in!T14)</f>
        <v>54876.468362133186</v>
      </c>
      <c r="U14" s="65">
        <f>IF(SER_hh_fec_in!U14=0,0,11630*1000*SER_hh_fec_in!U14/SER_hh_num_in!U14)</f>
        <v>50798.995876535591</v>
      </c>
      <c r="V14" s="65">
        <f>IF(SER_hh_fec_in!V14=0,0,11630*1000*SER_hh_fec_in!V14/SER_hh_num_in!V14)</f>
        <v>37422.708430049133</v>
      </c>
      <c r="W14" s="65">
        <f>IF(SER_hh_fec_in!W14=0,0,11630*1000*SER_hh_fec_in!W14/SER_hh_num_in!W14)</f>
        <v>37797.66926194742</v>
      </c>
      <c r="X14" s="65">
        <f>IF(SER_hh_fec_in!X14=0,0,11630*1000*SER_hh_fec_in!X14/SER_hh_num_in!X14)</f>
        <v>39031.355149028546</v>
      </c>
      <c r="Y14" s="65">
        <f>IF(SER_hh_fec_in!Y14=0,0,11630*1000*SER_hh_fec_in!Y14/SER_hh_num_in!Y14)</f>
        <v>35360.785880903946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1115.1583319809611</v>
      </c>
      <c r="D15" s="134">
        <f>IF(SER_hh_fec_in!D15=0,0,11630*1000*SER_hh_fec_in!D15/SER_hh_num_in!D15)</f>
        <v>981.77615232667995</v>
      </c>
      <c r="E15" s="134">
        <f>IF(SER_hh_fec_in!E15=0,0,11630*1000*SER_hh_fec_in!E15/SER_hh_num_in!E15)</f>
        <v>941.05589013586837</v>
      </c>
      <c r="F15" s="134">
        <f>IF(SER_hh_fec_in!F15=0,0,11630*1000*SER_hh_fec_in!F15/SER_hh_num_in!F15)</f>
        <v>875.94769061120064</v>
      </c>
      <c r="G15" s="134">
        <f>IF(SER_hh_fec_in!G15=0,0,11630*1000*SER_hh_fec_in!G15/SER_hh_num_in!G15)</f>
        <v>831.07433127161585</v>
      </c>
      <c r="H15" s="134">
        <f>IF(SER_hh_fec_in!H15=0,0,11630*1000*SER_hh_fec_in!H15/SER_hh_num_in!H15)</f>
        <v>772.02171464731919</v>
      </c>
      <c r="I15" s="134">
        <f>IF(SER_hh_fec_in!I15=0,0,11630*1000*SER_hh_fec_in!I15/SER_hh_num_in!I15)</f>
        <v>595.39599356006431</v>
      </c>
      <c r="J15" s="134">
        <f>IF(SER_hh_fec_in!J15=0,0,11630*1000*SER_hh_fec_in!J15/SER_hh_num_in!J15)</f>
        <v>616.58723045577312</v>
      </c>
      <c r="K15" s="134">
        <f>IF(SER_hh_fec_in!K15=0,0,11630*1000*SER_hh_fec_in!K15/SER_hh_num_in!K15)</f>
        <v>571.50857016564714</v>
      </c>
      <c r="L15" s="134">
        <f>IF(SER_hh_fec_in!L15=0,0,11630*1000*SER_hh_fec_in!L15/SER_hh_num_in!L15)</f>
        <v>631.21568777123241</v>
      </c>
      <c r="M15" s="134">
        <f>IF(SER_hh_fec_in!M15=0,0,11630*1000*SER_hh_fec_in!M15/SER_hh_num_in!M15)</f>
        <v>528.95493268082362</v>
      </c>
      <c r="N15" s="134">
        <f>IF(SER_hh_fec_in!N15=0,0,11630*1000*SER_hh_fec_in!N15/SER_hh_num_in!N15)</f>
        <v>506.62847619280541</v>
      </c>
      <c r="O15" s="134">
        <f>IF(SER_hh_fec_in!O15=0,0,11630*1000*SER_hh_fec_in!O15/SER_hh_num_in!O15)</f>
        <v>541.97061325130824</v>
      </c>
      <c r="P15" s="134">
        <f>IF(SER_hh_fec_in!P15=0,0,11630*1000*SER_hh_fec_in!P15/SER_hh_num_in!P15)</f>
        <v>530.80802579601709</v>
      </c>
      <c r="Q15" s="134">
        <f>IF(SER_hh_fec_in!Q15=0,0,11630*1000*SER_hh_fec_in!Q15/SER_hh_num_in!Q15)</f>
        <v>637.36830185359418</v>
      </c>
      <c r="R15" s="134">
        <f>IF(SER_hh_fec_in!R15=0,0,11630*1000*SER_hh_fec_in!R15/SER_hh_num_in!R15)</f>
        <v>631.25187860909512</v>
      </c>
      <c r="S15" s="134">
        <f>IF(SER_hh_fec_in!S15=0,0,11630*1000*SER_hh_fec_in!S15/SER_hh_num_in!S15)</f>
        <v>637.53048572489797</v>
      </c>
      <c r="T15" s="134">
        <f>IF(SER_hh_fec_in!T15=0,0,11630*1000*SER_hh_fec_in!T15/SER_hh_num_in!T15)</f>
        <v>573.26499907984169</v>
      </c>
      <c r="U15" s="134">
        <f>IF(SER_hh_fec_in!U15=0,0,11630*1000*SER_hh_fec_in!U15/SER_hh_num_in!U15)</f>
        <v>494.19387160950868</v>
      </c>
      <c r="V15" s="134">
        <f>IF(SER_hh_fec_in!V15=0,0,11630*1000*SER_hh_fec_in!V15/SER_hh_num_in!V15)</f>
        <v>404.69536264435544</v>
      </c>
      <c r="W15" s="134">
        <f>IF(SER_hh_fec_in!W15=0,0,11630*1000*SER_hh_fec_in!W15/SER_hh_num_in!W15)</f>
        <v>407.12499897429439</v>
      </c>
      <c r="X15" s="134">
        <f>IF(SER_hh_fec_in!X15=0,0,11630*1000*SER_hh_fec_in!X15/SER_hh_num_in!X15)</f>
        <v>179.89166466835999</v>
      </c>
      <c r="Y15" s="134">
        <f>IF(SER_hh_fec_in!Y15=0,0,11630*1000*SER_hh_fec_in!Y15/SER_hh_num_in!Y15)</f>
        <v>246.8689328262397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9750.6301325636305</v>
      </c>
      <c r="D16" s="130">
        <f>IF(SER_hh_fec_in!D16=0,0,11630*1000*SER_hh_fec_in!D16/SER_hh_num_in!D16)</f>
        <v>8976.3027613071627</v>
      </c>
      <c r="E16" s="130">
        <f>IF(SER_hh_fec_in!E16=0,0,11630*1000*SER_hh_fec_in!E16/SER_hh_num_in!E16)</f>
        <v>16395.044565856941</v>
      </c>
      <c r="F16" s="130">
        <f>IF(SER_hh_fec_in!F16=0,0,11630*1000*SER_hh_fec_in!F16/SER_hh_num_in!F16)</f>
        <v>8058.7178923004749</v>
      </c>
      <c r="G16" s="130">
        <f>IF(SER_hh_fec_in!G16=0,0,11630*1000*SER_hh_fec_in!G16/SER_hh_num_in!G16)</f>
        <v>7763.3498276252822</v>
      </c>
      <c r="H16" s="130">
        <f>IF(SER_hh_fec_in!H16=0,0,11630*1000*SER_hh_fec_in!H16/SER_hh_num_in!H16)</f>
        <v>8422.1672220910568</v>
      </c>
      <c r="I16" s="130">
        <f>IF(SER_hh_fec_in!I16=0,0,11630*1000*SER_hh_fec_in!I16/SER_hh_num_in!I16)</f>
        <v>8361.1168982304571</v>
      </c>
      <c r="J16" s="130">
        <f>IF(SER_hh_fec_in!J16=0,0,11630*1000*SER_hh_fec_in!J16/SER_hh_num_in!J16)</f>
        <v>7735.7859344881872</v>
      </c>
      <c r="K16" s="130">
        <f>IF(SER_hh_fec_in!K16=0,0,11630*1000*SER_hh_fec_in!K16/SER_hh_num_in!K16)</f>
        <v>7068.2619029174721</v>
      </c>
      <c r="L16" s="130">
        <f>IF(SER_hh_fec_in!L16=0,0,11630*1000*SER_hh_fec_in!L16/SER_hh_num_in!L16)</f>
        <v>6836.0079822674534</v>
      </c>
      <c r="M16" s="130">
        <f>IF(SER_hh_fec_in!M16=0,0,11630*1000*SER_hh_fec_in!M16/SER_hh_num_in!M16)</f>
        <v>6989.6054726858947</v>
      </c>
      <c r="N16" s="130">
        <f>IF(SER_hh_fec_in!N16=0,0,11630*1000*SER_hh_fec_in!N16/SER_hh_num_in!N16)</f>
        <v>9612.8974544601679</v>
      </c>
      <c r="O16" s="130">
        <f>IF(SER_hh_fec_in!O16=0,0,11630*1000*SER_hh_fec_in!O16/SER_hh_num_in!O16)</f>
        <v>6050.5648096740269</v>
      </c>
      <c r="P16" s="130">
        <f>IF(SER_hh_fec_in!P16=0,0,11630*1000*SER_hh_fec_in!P16/SER_hh_num_in!P16)</f>
        <v>4736.7194190141308</v>
      </c>
      <c r="Q16" s="130">
        <f>IF(SER_hh_fec_in!Q16=0,0,11630*1000*SER_hh_fec_in!Q16/SER_hh_num_in!Q16)</f>
        <v>7403.0098901013589</v>
      </c>
      <c r="R16" s="130">
        <f>IF(SER_hh_fec_in!R16=0,0,11630*1000*SER_hh_fec_in!R16/SER_hh_num_in!R16)</f>
        <v>4852.8236438472795</v>
      </c>
      <c r="S16" s="130">
        <f>IF(SER_hh_fec_in!S16=0,0,11630*1000*SER_hh_fec_in!S16/SER_hh_num_in!S16)</f>
        <v>6769.9624657826353</v>
      </c>
      <c r="T16" s="130">
        <f>IF(SER_hh_fec_in!T16=0,0,11630*1000*SER_hh_fec_in!T16/SER_hh_num_in!T16)</f>
        <v>4941.1912112232721</v>
      </c>
      <c r="U16" s="130">
        <f>IF(SER_hh_fec_in!U16=0,0,11630*1000*SER_hh_fec_in!U16/SER_hh_num_in!U16)</f>
        <v>5753.1279919984072</v>
      </c>
      <c r="V16" s="130">
        <f>IF(SER_hh_fec_in!V16=0,0,11630*1000*SER_hh_fec_in!V16/SER_hh_num_in!V16)</f>
        <v>4314.0441918041552</v>
      </c>
      <c r="W16" s="130">
        <f>IF(SER_hh_fec_in!W16=0,0,11630*1000*SER_hh_fec_in!W16/SER_hh_num_in!W16)</f>
        <v>5185.0644882351362</v>
      </c>
      <c r="X16" s="130">
        <f>IF(SER_hh_fec_in!X16=0,0,11630*1000*SER_hh_fec_in!X16/SER_hh_num_in!X16)</f>
        <v>5644.4447725551909</v>
      </c>
      <c r="Y16" s="130">
        <f>IF(SER_hh_fec_in!Y16=0,0,11630*1000*SER_hh_fec_in!Y16/SER_hh_num_in!Y16)</f>
        <v>4917.6474026265405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18939.446590161213</v>
      </c>
      <c r="D17" s="132">
        <f>IF(SER_hh_fec_in!D17=0,0,11630*1000*SER_hh_fec_in!D17/SER_hh_num_in!D17)</f>
        <v>17883.962969183332</v>
      </c>
      <c r="E17" s="132">
        <f>IF(SER_hh_fec_in!E17=0,0,11630*1000*SER_hh_fec_in!E17/SER_hh_num_in!E17)</f>
        <v>33507.76829832053</v>
      </c>
      <c r="F17" s="132">
        <f>IF(SER_hh_fec_in!F17=0,0,11630*1000*SER_hh_fec_in!F17/SER_hh_num_in!F17)</f>
        <v>16869.475674714362</v>
      </c>
      <c r="G17" s="132">
        <f>IF(SER_hh_fec_in!G17=0,0,11630*1000*SER_hh_fec_in!G17/SER_hh_num_in!G17)</f>
        <v>16628.420264526052</v>
      </c>
      <c r="H17" s="132">
        <f>IF(SER_hh_fec_in!H17=0,0,11630*1000*SER_hh_fec_in!H17/SER_hh_num_in!H17)</f>
        <v>18446.793673840642</v>
      </c>
      <c r="I17" s="132">
        <f>IF(SER_hh_fec_in!I17=0,0,11630*1000*SER_hh_fec_in!I17/SER_hh_num_in!I17)</f>
        <v>24230.155672617253</v>
      </c>
      <c r="J17" s="132">
        <f>IF(SER_hh_fec_in!J17=0,0,11630*1000*SER_hh_fec_in!J17/SER_hh_num_in!J17)</f>
        <v>21658.611895473201</v>
      </c>
      <c r="K17" s="132">
        <f>IF(SER_hh_fec_in!K17=0,0,11630*1000*SER_hh_fec_in!K17/SER_hh_num_in!K17)</f>
        <v>16492.232152231274</v>
      </c>
      <c r="L17" s="132">
        <f>IF(SER_hh_fec_in!L17=0,0,11630*1000*SER_hh_fec_in!L17/SER_hh_num_in!L17)</f>
        <v>16272.937938014062</v>
      </c>
      <c r="M17" s="132">
        <f>IF(SER_hh_fec_in!M17=0,0,11630*1000*SER_hh_fec_in!M17/SER_hh_num_in!M17)</f>
        <v>17040.130440735102</v>
      </c>
      <c r="N17" s="132">
        <f>IF(SER_hh_fec_in!N17=0,0,11630*1000*SER_hh_fec_in!N17/SER_hh_num_in!N17)</f>
        <v>20985.368955480299</v>
      </c>
      <c r="O17" s="132">
        <f>IF(SER_hh_fec_in!O17=0,0,11630*1000*SER_hh_fec_in!O17/SER_hh_num_in!O17)</f>
        <v>15666.404367442219</v>
      </c>
      <c r="P17" s="132">
        <f>IF(SER_hh_fec_in!P17=0,0,11630*1000*SER_hh_fec_in!P17/SER_hh_num_in!P17)</f>
        <v>10301.365143132691</v>
      </c>
      <c r="Q17" s="132">
        <f>IF(SER_hh_fec_in!Q17=0,0,11630*1000*SER_hh_fec_in!Q17/SER_hh_num_in!Q17)</f>
        <v>20862.759758675209</v>
      </c>
      <c r="R17" s="132">
        <f>IF(SER_hh_fec_in!R17=0,0,11630*1000*SER_hh_fec_in!R17/SER_hh_num_in!R17)</f>
        <v>13416.840699836685</v>
      </c>
      <c r="S17" s="132">
        <f>IF(SER_hh_fec_in!S17=0,0,11630*1000*SER_hh_fec_in!S17/SER_hh_num_in!S17)</f>
        <v>18508.712430985568</v>
      </c>
      <c r="T17" s="132">
        <f>IF(SER_hh_fec_in!T17=0,0,11630*1000*SER_hh_fec_in!T17/SER_hh_num_in!T17)</f>
        <v>13286.098993837442</v>
      </c>
      <c r="U17" s="132">
        <f>IF(SER_hh_fec_in!U17=0,0,11630*1000*SER_hh_fec_in!U17/SER_hh_num_in!U17)</f>
        <v>15317.562851772751</v>
      </c>
      <c r="V17" s="132">
        <f>IF(SER_hh_fec_in!V17=0,0,11630*1000*SER_hh_fec_in!V17/SER_hh_num_in!V17)</f>
        <v>9262.457083083269</v>
      </c>
      <c r="W17" s="132">
        <f>IF(SER_hh_fec_in!W17=0,0,11630*1000*SER_hh_fec_in!W17/SER_hh_num_in!W17)</f>
        <v>11213.426658310569</v>
      </c>
      <c r="X17" s="132">
        <f>IF(SER_hh_fec_in!X17=0,0,11630*1000*SER_hh_fec_in!X17/SER_hh_num_in!X17)</f>
        <v>14668.931885634363</v>
      </c>
      <c r="Y17" s="132">
        <f>IF(SER_hh_fec_in!Y17=0,0,11630*1000*SER_hh_fec_in!Y17/SER_hh_num_in!Y17)</f>
        <v>14795.117543873965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9741.9449059483813</v>
      </c>
      <c r="D18" s="132">
        <f>IF(SER_hh_fec_in!D18=0,0,11630*1000*SER_hh_fec_in!D18/SER_hh_num_in!D18)</f>
        <v>8962.2011272593227</v>
      </c>
      <c r="E18" s="132">
        <f>IF(SER_hh_fec_in!E18=0,0,11630*1000*SER_hh_fec_in!E18/SER_hh_num_in!E18)</f>
        <v>16366.389954986244</v>
      </c>
      <c r="F18" s="132">
        <f>IF(SER_hh_fec_in!F18=0,0,11630*1000*SER_hh_fec_in!F18/SER_hh_num_in!F18)</f>
        <v>8045.2540368136633</v>
      </c>
      <c r="G18" s="132">
        <f>IF(SER_hh_fec_in!G18=0,0,11630*1000*SER_hh_fec_in!G18/SER_hh_num_in!G18)</f>
        <v>7750.0530424348281</v>
      </c>
      <c r="H18" s="132">
        <f>IF(SER_hh_fec_in!H18=0,0,11630*1000*SER_hh_fec_in!H18/SER_hh_num_in!H18)</f>
        <v>8407.3306081108822</v>
      </c>
      <c r="I18" s="132">
        <f>IF(SER_hh_fec_in!I18=0,0,11630*1000*SER_hh_fec_in!I18/SER_hh_num_in!I18)</f>
        <v>8346.1021759051055</v>
      </c>
      <c r="J18" s="132">
        <f>IF(SER_hh_fec_in!J18=0,0,11630*1000*SER_hh_fec_in!J18/SER_hh_num_in!J18)</f>
        <v>7720.5628932472055</v>
      </c>
      <c r="K18" s="132">
        <f>IF(SER_hh_fec_in!K18=0,0,11630*1000*SER_hh_fec_in!K18/SER_hh_num_in!K18)</f>
        <v>7050.1798198903007</v>
      </c>
      <c r="L18" s="132">
        <f>IF(SER_hh_fec_in!L18=0,0,11630*1000*SER_hh_fec_in!L18/SER_hh_num_in!L18)</f>
        <v>6812.4358830291394</v>
      </c>
      <c r="M18" s="132">
        <f>IF(SER_hh_fec_in!M18=0,0,11630*1000*SER_hh_fec_in!M18/SER_hh_num_in!M18)</f>
        <v>6966.8237688324534</v>
      </c>
      <c r="N18" s="132">
        <f>IF(SER_hh_fec_in!N18=0,0,11630*1000*SER_hh_fec_in!N18/SER_hh_num_in!N18)</f>
        <v>9582.8095383865839</v>
      </c>
      <c r="O18" s="132">
        <f>IF(SER_hh_fec_in!O18=0,0,11630*1000*SER_hh_fec_in!O18/SER_hh_num_in!O18)</f>
        <v>6016.9000302754957</v>
      </c>
      <c r="P18" s="132">
        <f>IF(SER_hh_fec_in!P18=0,0,11630*1000*SER_hh_fec_in!P18/SER_hh_num_in!P18)</f>
        <v>4708.506969385302</v>
      </c>
      <c r="Q18" s="132">
        <f>IF(SER_hh_fec_in!Q18=0,0,11630*1000*SER_hh_fec_in!Q18/SER_hh_num_in!Q18)</f>
        <v>7340.077996847569</v>
      </c>
      <c r="R18" s="132">
        <f>IF(SER_hh_fec_in!R18=0,0,11630*1000*SER_hh_fec_in!R18/SER_hh_num_in!R18)</f>
        <v>4809.3538838125105</v>
      </c>
      <c r="S18" s="132">
        <f>IF(SER_hh_fec_in!S18=0,0,11630*1000*SER_hh_fec_in!S18/SER_hh_num_in!S18)</f>
        <v>6684.5542995678088</v>
      </c>
      <c r="T18" s="132">
        <f>IF(SER_hh_fec_in!T18=0,0,11630*1000*SER_hh_fec_in!T18/SER_hh_num_in!T18)</f>
        <v>4856.055069152324</v>
      </c>
      <c r="U18" s="132">
        <f>IF(SER_hh_fec_in!U18=0,0,11630*1000*SER_hh_fec_in!U18/SER_hh_num_in!U18)</f>
        <v>5669.2413493151753</v>
      </c>
      <c r="V18" s="132">
        <f>IF(SER_hh_fec_in!V18=0,0,11630*1000*SER_hh_fec_in!V18/SER_hh_num_in!V18)</f>
        <v>4247.678877890793</v>
      </c>
      <c r="W18" s="132">
        <f>IF(SER_hh_fec_in!W18=0,0,11630*1000*SER_hh_fec_in!W18/SER_hh_num_in!W18)</f>
        <v>5148.8590484044798</v>
      </c>
      <c r="X18" s="132">
        <f>IF(SER_hh_fec_in!X18=0,0,11630*1000*SER_hh_fec_in!X18/SER_hh_num_in!X18)</f>
        <v>5549.4129209349803</v>
      </c>
      <c r="Y18" s="132">
        <f>IF(SER_hh_fec_in!Y18=0,0,11630*1000*SER_hh_fec_in!Y18/SER_hh_num_in!Y18)</f>
        <v>4843.1012856777161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21028.398726604319</v>
      </c>
      <c r="D19" s="130">
        <f>IF(SER_hh_fec_in!D19=0,0,11630*1000*SER_hh_fec_in!D19/SER_hh_num_in!D19)</f>
        <v>21240.965224419644</v>
      </c>
      <c r="E19" s="130">
        <f>IF(SER_hh_fec_in!E19=0,0,11630*1000*SER_hh_fec_in!E19/SER_hh_num_in!E19)</f>
        <v>20965.98028577372</v>
      </c>
      <c r="F19" s="130">
        <f>IF(SER_hh_fec_in!F19=0,0,11630*1000*SER_hh_fec_in!F19/SER_hh_num_in!F19)</f>
        <v>21182.951840869617</v>
      </c>
      <c r="G19" s="130">
        <f>IF(SER_hh_fec_in!G19=0,0,11630*1000*SER_hh_fec_in!G19/SER_hh_num_in!G19)</f>
        <v>21305.418301647096</v>
      </c>
      <c r="H19" s="130">
        <f>IF(SER_hh_fec_in!H19=0,0,11630*1000*SER_hh_fec_in!H19/SER_hh_num_in!H19)</f>
        <v>20524.117003702569</v>
      </c>
      <c r="I19" s="130">
        <f>IF(SER_hh_fec_in!I19=0,0,11630*1000*SER_hh_fec_in!I19/SER_hh_num_in!I19)</f>
        <v>20240.243720548722</v>
      </c>
      <c r="J19" s="130">
        <f>IF(SER_hh_fec_in!J19=0,0,11630*1000*SER_hh_fec_in!J19/SER_hh_num_in!J19)</f>
        <v>19730.795023107497</v>
      </c>
      <c r="K19" s="130">
        <f>IF(SER_hh_fec_in!K19=0,0,11630*1000*SER_hh_fec_in!K19/SER_hh_num_in!K19)</f>
        <v>19596.928385197698</v>
      </c>
      <c r="L19" s="130">
        <f>IF(SER_hh_fec_in!L19=0,0,11630*1000*SER_hh_fec_in!L19/SER_hh_num_in!L19)</f>
        <v>18695.344277152202</v>
      </c>
      <c r="M19" s="130">
        <f>IF(SER_hh_fec_in!M19=0,0,11630*1000*SER_hh_fec_in!M19/SER_hh_num_in!M19)</f>
        <v>18083.52638107834</v>
      </c>
      <c r="N19" s="130">
        <f>IF(SER_hh_fec_in!N19=0,0,11630*1000*SER_hh_fec_in!N19/SER_hh_num_in!N19)</f>
        <v>18369.163888177962</v>
      </c>
      <c r="O19" s="130">
        <f>IF(SER_hh_fec_in!O19=0,0,11630*1000*SER_hh_fec_in!O19/SER_hh_num_in!O19)</f>
        <v>18717.54866386691</v>
      </c>
      <c r="P19" s="130">
        <f>IF(SER_hh_fec_in!P19=0,0,11630*1000*SER_hh_fec_in!P19/SER_hh_num_in!P19)</f>
        <v>17954.286170373063</v>
      </c>
      <c r="Q19" s="130">
        <f>IF(SER_hh_fec_in!Q19=0,0,11630*1000*SER_hh_fec_in!Q19/SER_hh_num_in!Q19)</f>
        <v>17460.83885177207</v>
      </c>
      <c r="R19" s="130">
        <f>IF(SER_hh_fec_in!R19=0,0,11630*1000*SER_hh_fec_in!R19/SER_hh_num_in!R19)</f>
        <v>17389.561479529206</v>
      </c>
      <c r="S19" s="130">
        <f>IF(SER_hh_fec_in!S19=0,0,11630*1000*SER_hh_fec_in!S19/SER_hh_num_in!S19)</f>
        <v>17177.059905067174</v>
      </c>
      <c r="T19" s="130">
        <f>IF(SER_hh_fec_in!T19=0,0,11630*1000*SER_hh_fec_in!T19/SER_hh_num_in!T19)</f>
        <v>16840.871328457048</v>
      </c>
      <c r="U19" s="130">
        <f>IF(SER_hh_fec_in!U19=0,0,11630*1000*SER_hh_fec_in!U19/SER_hh_num_in!U19)</f>
        <v>16482.751168140239</v>
      </c>
      <c r="V19" s="130">
        <f>IF(SER_hh_fec_in!V19=0,0,11630*1000*SER_hh_fec_in!V19/SER_hh_num_in!V19)</f>
        <v>14696.078333272348</v>
      </c>
      <c r="W19" s="130">
        <f>IF(SER_hh_fec_in!W19=0,0,11630*1000*SER_hh_fec_in!W19/SER_hh_num_in!W19)</f>
        <v>14343.073669846695</v>
      </c>
      <c r="X19" s="130">
        <f>IF(SER_hh_fec_in!X19=0,0,11630*1000*SER_hh_fec_in!X19/SER_hh_num_in!X19)</f>
        <v>15461.624220441823</v>
      </c>
      <c r="Y19" s="130">
        <f>IF(SER_hh_fec_in!Y19=0,0,11630*1000*SER_hh_fec_in!Y19/SER_hh_num_in!Y19)</f>
        <v>14563.164167309569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23983.827699255413</v>
      </c>
      <c r="D21" s="132">
        <f>IF(SER_hh_fec_in!D21=0,0,11630*1000*SER_hh_fec_in!D21/SER_hh_num_in!D21)</f>
        <v>24238.899555447195</v>
      </c>
      <c r="E21" s="132">
        <f>IF(SER_hh_fec_in!E21=0,0,11630*1000*SER_hh_fec_in!E21/SER_hh_num_in!E21)</f>
        <v>23888.499175469318</v>
      </c>
      <c r="F21" s="132">
        <f>IF(SER_hh_fec_in!F21=0,0,11630*1000*SER_hh_fec_in!F21/SER_hh_num_in!F21)</f>
        <v>24202.100892229577</v>
      </c>
      <c r="G21" s="132">
        <f>IF(SER_hh_fec_in!G21=0,0,11630*1000*SER_hh_fec_in!G21/SER_hh_num_in!G21)</f>
        <v>23722.216767143265</v>
      </c>
      <c r="H21" s="132">
        <f>IF(SER_hh_fec_in!H21=0,0,11630*1000*SER_hh_fec_in!H21/SER_hh_num_in!H21)</f>
        <v>23432.192330812213</v>
      </c>
      <c r="I21" s="132">
        <f>IF(SER_hh_fec_in!I21=0,0,11630*1000*SER_hh_fec_in!I21/SER_hh_num_in!I21)</f>
        <v>22893.54656732396</v>
      </c>
      <c r="J21" s="132">
        <f>IF(SER_hh_fec_in!J21=0,0,11630*1000*SER_hh_fec_in!J21/SER_hh_num_in!J21)</f>
        <v>22559.549540318985</v>
      </c>
      <c r="K21" s="132">
        <f>IF(SER_hh_fec_in!K21=0,0,11630*1000*SER_hh_fec_in!K21/SER_hh_num_in!K21)</f>
        <v>22960.713814017698</v>
      </c>
      <c r="L21" s="132">
        <f>IF(SER_hh_fec_in!L21=0,0,11630*1000*SER_hh_fec_in!L21/SER_hh_num_in!L21)</f>
        <v>21519.297247315033</v>
      </c>
      <c r="M21" s="132">
        <f>IF(SER_hh_fec_in!M21=0,0,11630*1000*SER_hh_fec_in!M21/SER_hh_num_in!M21)</f>
        <v>21997.397260211565</v>
      </c>
      <c r="N21" s="132">
        <f>IF(SER_hh_fec_in!N21=0,0,11630*1000*SER_hh_fec_in!N21/SER_hh_num_in!N21)</f>
        <v>19016.352806206949</v>
      </c>
      <c r="O21" s="132">
        <f>IF(SER_hh_fec_in!O21=0,0,11630*1000*SER_hh_fec_in!O21/SER_hh_num_in!O21)</f>
        <v>21256.896622519471</v>
      </c>
      <c r="P21" s="132">
        <f>IF(SER_hh_fec_in!P21=0,0,11630*1000*SER_hh_fec_in!P21/SER_hh_num_in!P21)</f>
        <v>20870.270648032507</v>
      </c>
      <c r="Q21" s="132">
        <f>IF(SER_hh_fec_in!Q21=0,0,11630*1000*SER_hh_fec_in!Q21/SER_hh_num_in!Q21)</f>
        <v>20079.831532629265</v>
      </c>
      <c r="R21" s="132">
        <f>IF(SER_hh_fec_in!R21=0,0,11630*1000*SER_hh_fec_in!R21/SER_hh_num_in!R21)</f>
        <v>15015.554633897762</v>
      </c>
      <c r="S21" s="132">
        <f>IF(SER_hh_fec_in!S21=0,0,11630*1000*SER_hh_fec_in!S21/SER_hh_num_in!S21)</f>
        <v>17781.145849135282</v>
      </c>
      <c r="T21" s="132">
        <f>IF(SER_hh_fec_in!T21=0,0,11630*1000*SER_hh_fec_in!T21/SER_hh_num_in!T21)</f>
        <v>17662.248038221267</v>
      </c>
      <c r="U21" s="132">
        <f>IF(SER_hh_fec_in!U21=0,0,11630*1000*SER_hh_fec_in!U21/SER_hh_num_in!U21)</f>
        <v>17113.279975575406</v>
      </c>
      <c r="V21" s="132">
        <f>IF(SER_hh_fec_in!V21=0,0,11630*1000*SER_hh_fec_in!V21/SER_hh_num_in!V21)</f>
        <v>14390.646610692575</v>
      </c>
      <c r="W21" s="132">
        <f>IF(SER_hh_fec_in!W21=0,0,11630*1000*SER_hh_fec_in!W21/SER_hh_num_in!W21)</f>
        <v>17185.8462963165</v>
      </c>
      <c r="X21" s="132">
        <f>IF(SER_hh_fec_in!X21=0,0,11630*1000*SER_hh_fec_in!X21/SER_hh_num_in!X21)</f>
        <v>17692.749398081782</v>
      </c>
      <c r="Y21" s="132">
        <f>IF(SER_hh_fec_in!Y21=0,0,11630*1000*SER_hh_fec_in!Y21/SER_hh_num_in!Y21)</f>
        <v>15543.210299235036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25014.329482967343</v>
      </c>
      <c r="D22" s="132">
        <f>IF(SER_hh_fec_in!D22=0,0,11630*1000*SER_hh_fec_in!D22/SER_hh_num_in!D22)</f>
        <v>25019.272588992662</v>
      </c>
      <c r="E22" s="132">
        <f>IF(SER_hh_fec_in!E22=0,0,11630*1000*SER_hh_fec_in!E22/SER_hh_num_in!E22)</f>
        <v>25282.45687621328</v>
      </c>
      <c r="F22" s="132">
        <f>IF(SER_hh_fec_in!F22=0,0,11630*1000*SER_hh_fec_in!F22/SER_hh_num_in!F22)</f>
        <v>25064.620842812641</v>
      </c>
      <c r="G22" s="132">
        <f>IF(SER_hh_fec_in!G22=0,0,11630*1000*SER_hh_fec_in!G22/SER_hh_num_in!G22)</f>
        <v>25314.318353049352</v>
      </c>
      <c r="H22" s="132">
        <f>IF(SER_hh_fec_in!H22=0,0,11630*1000*SER_hh_fec_in!H22/SER_hh_num_in!H22)</f>
        <v>24739.729908326284</v>
      </c>
      <c r="I22" s="132">
        <f>IF(SER_hh_fec_in!I22=0,0,11630*1000*SER_hh_fec_in!I22/SER_hh_num_in!I22)</f>
        <v>24954.720529412323</v>
      </c>
      <c r="J22" s="132">
        <f>IF(SER_hh_fec_in!J22=0,0,11630*1000*SER_hh_fec_in!J22/SER_hh_num_in!J22)</f>
        <v>24086.490388284987</v>
      </c>
      <c r="K22" s="132">
        <f>IF(SER_hh_fec_in!K22=0,0,11630*1000*SER_hh_fec_in!K22/SER_hh_num_in!K22)</f>
        <v>23941.622878284736</v>
      </c>
      <c r="L22" s="132">
        <f>IF(SER_hh_fec_in!L22=0,0,11630*1000*SER_hh_fec_in!L22/SER_hh_num_in!L22)</f>
        <v>21793.811433565286</v>
      </c>
      <c r="M22" s="132">
        <f>IF(SER_hh_fec_in!M22=0,0,11630*1000*SER_hh_fec_in!M22/SER_hh_num_in!M22)</f>
        <v>22019.230221252143</v>
      </c>
      <c r="N22" s="132">
        <f>IF(SER_hh_fec_in!N22=0,0,11630*1000*SER_hh_fec_in!N22/SER_hh_num_in!N22)</f>
        <v>14588.702199810074</v>
      </c>
      <c r="O22" s="132">
        <f>IF(SER_hh_fec_in!O22=0,0,11630*1000*SER_hh_fec_in!O22/SER_hh_num_in!O22)</f>
        <v>22148.232376496933</v>
      </c>
      <c r="P22" s="132">
        <f>IF(SER_hh_fec_in!P22=0,0,11630*1000*SER_hh_fec_in!P22/SER_hh_num_in!P22)</f>
        <v>21410.640050512171</v>
      </c>
      <c r="Q22" s="132">
        <f>IF(SER_hh_fec_in!Q22=0,0,11630*1000*SER_hh_fec_in!Q22/SER_hh_num_in!Q22)</f>
        <v>18614.63229175223</v>
      </c>
      <c r="R22" s="132">
        <f>IF(SER_hh_fec_in!R22=0,0,11630*1000*SER_hh_fec_in!R22/SER_hh_num_in!R22)</f>
        <v>15617.72406890974</v>
      </c>
      <c r="S22" s="132">
        <f>IF(SER_hh_fec_in!S22=0,0,11630*1000*SER_hh_fec_in!S22/SER_hh_num_in!S22)</f>
        <v>18358.384141445957</v>
      </c>
      <c r="T22" s="132">
        <f>IF(SER_hh_fec_in!T22=0,0,11630*1000*SER_hh_fec_in!T22/SER_hh_num_in!T22)</f>
        <v>17981.226191448124</v>
      </c>
      <c r="U22" s="132">
        <f>IF(SER_hh_fec_in!U22=0,0,11630*1000*SER_hh_fec_in!U22/SER_hh_num_in!U22)</f>
        <v>18167.303985928305</v>
      </c>
      <c r="V22" s="132">
        <f>IF(SER_hh_fec_in!V22=0,0,11630*1000*SER_hh_fec_in!V22/SER_hh_num_in!V22)</f>
        <v>15815.481149053339</v>
      </c>
      <c r="W22" s="132">
        <f>IF(SER_hh_fec_in!W22=0,0,11630*1000*SER_hh_fec_in!W22/SER_hh_num_in!W22)</f>
        <v>18553.432285024242</v>
      </c>
      <c r="X22" s="132">
        <f>IF(SER_hh_fec_in!X22=0,0,11630*1000*SER_hh_fec_in!X22/SER_hh_num_in!X22)</f>
        <v>0</v>
      </c>
      <c r="Y22" s="132">
        <f>IF(SER_hh_fec_in!Y22=0,0,11630*1000*SER_hh_fec_in!Y22/SER_hh_num_in!Y22)</f>
        <v>0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23006.734997187057</v>
      </c>
      <c r="D23" s="132">
        <f>IF(SER_hh_fec_in!D23=0,0,11630*1000*SER_hh_fec_in!D23/SER_hh_num_in!D23)</f>
        <v>23136.997777906901</v>
      </c>
      <c r="E23" s="132">
        <f>IF(SER_hh_fec_in!E23=0,0,11630*1000*SER_hh_fec_in!E23/SER_hh_num_in!E23)</f>
        <v>23022.78145327506</v>
      </c>
      <c r="F23" s="132">
        <f>IF(SER_hh_fec_in!F23=0,0,11630*1000*SER_hh_fec_in!F23/SER_hh_num_in!F23)</f>
        <v>22986.608065575256</v>
      </c>
      <c r="G23" s="132">
        <f>IF(SER_hh_fec_in!G23=0,0,11630*1000*SER_hh_fec_in!G23/SER_hh_num_in!G23)</f>
        <v>23011.555775571069</v>
      </c>
      <c r="H23" s="132">
        <f>IF(SER_hh_fec_in!H23=0,0,11630*1000*SER_hh_fec_in!H23/SER_hh_num_in!H23)</f>
        <v>22275.88272553583</v>
      </c>
      <c r="I23" s="132">
        <f>IF(SER_hh_fec_in!I23=0,0,11630*1000*SER_hh_fec_in!I23/SER_hh_num_in!I23)</f>
        <v>21727.773059270996</v>
      </c>
      <c r="J23" s="132">
        <f>IF(SER_hh_fec_in!J23=0,0,11630*1000*SER_hh_fec_in!J23/SER_hh_num_in!J23)</f>
        <v>21297.261374694903</v>
      </c>
      <c r="K23" s="132">
        <f>IF(SER_hh_fec_in!K23=0,0,11630*1000*SER_hh_fec_in!K23/SER_hh_num_in!K23)</f>
        <v>21045.572974529619</v>
      </c>
      <c r="L23" s="132">
        <f>IF(SER_hh_fec_in!L23=0,0,11630*1000*SER_hh_fec_in!L23/SER_hh_num_in!L23)</f>
        <v>19742.581109061739</v>
      </c>
      <c r="M23" s="132">
        <f>IF(SER_hh_fec_in!M23=0,0,11630*1000*SER_hh_fec_in!M23/SER_hh_num_in!M23)</f>
        <v>20399.012499097142</v>
      </c>
      <c r="N23" s="132">
        <f>IF(SER_hh_fec_in!N23=0,0,11630*1000*SER_hh_fec_in!N23/SER_hh_num_in!N23)</f>
        <v>18392.909447104474</v>
      </c>
      <c r="O23" s="132">
        <f>IF(SER_hh_fec_in!O23=0,0,11630*1000*SER_hh_fec_in!O23/SER_hh_num_in!O23)</f>
        <v>19838.209503212493</v>
      </c>
      <c r="P23" s="132">
        <f>IF(SER_hh_fec_in!P23=0,0,11630*1000*SER_hh_fec_in!P23/SER_hh_num_in!P23)</f>
        <v>19579.225835806883</v>
      </c>
      <c r="Q23" s="132">
        <f>IF(SER_hh_fec_in!Q23=0,0,11630*1000*SER_hh_fec_in!Q23/SER_hh_num_in!Q23)</f>
        <v>18912.299793901006</v>
      </c>
      <c r="R23" s="132">
        <f>IF(SER_hh_fec_in!R23=0,0,11630*1000*SER_hh_fec_in!R23/SER_hh_num_in!R23)</f>
        <v>15980.10128997527</v>
      </c>
      <c r="S23" s="132">
        <f>IF(SER_hh_fec_in!S23=0,0,11630*1000*SER_hh_fec_in!S23/SER_hh_num_in!S23)</f>
        <v>17606.699441473116</v>
      </c>
      <c r="T23" s="132">
        <f>IF(SER_hh_fec_in!T23=0,0,11630*1000*SER_hh_fec_in!T23/SER_hh_num_in!T23)</f>
        <v>17423.099342689678</v>
      </c>
      <c r="U23" s="132">
        <f>IF(SER_hh_fec_in!U23=0,0,11630*1000*SER_hh_fec_in!U23/SER_hh_num_in!U23)</f>
        <v>17108.959846059595</v>
      </c>
      <c r="V23" s="132">
        <f>IF(SER_hh_fec_in!V23=0,0,11630*1000*SER_hh_fec_in!V23/SER_hh_num_in!V23)</f>
        <v>15248.590195058587</v>
      </c>
      <c r="W23" s="132">
        <f>IF(SER_hh_fec_in!W23=0,0,11630*1000*SER_hh_fec_in!W23/SER_hh_num_in!W23)</f>
        <v>18079.671371208718</v>
      </c>
      <c r="X23" s="132">
        <f>IF(SER_hh_fec_in!X23=0,0,11630*1000*SER_hh_fec_in!X23/SER_hh_num_in!X23)</f>
        <v>0</v>
      </c>
      <c r="Y23" s="132">
        <f>IF(SER_hh_fec_in!Y23=0,0,11630*1000*SER_hh_fec_in!Y23/SER_hh_num_in!Y23)</f>
        <v>0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16459.061800499847</v>
      </c>
      <c r="D25" s="132">
        <f>IF(SER_hh_fec_in!D25=0,0,11630*1000*SER_hh_fec_in!D25/SER_hh_num_in!D25)</f>
        <v>16470.351088234238</v>
      </c>
      <c r="E25" s="132">
        <f>IF(SER_hh_fec_in!E25=0,0,11630*1000*SER_hh_fec_in!E25/SER_hh_num_in!E25)</f>
        <v>16586.273936397185</v>
      </c>
      <c r="F25" s="132">
        <f>IF(SER_hh_fec_in!F25=0,0,11630*1000*SER_hh_fec_in!F25/SER_hh_num_in!F25)</f>
        <v>16647.539809262365</v>
      </c>
      <c r="G25" s="132">
        <f>IF(SER_hh_fec_in!G25=0,0,11630*1000*SER_hh_fec_in!G25/SER_hh_num_in!G25)</f>
        <v>16855.496574914076</v>
      </c>
      <c r="H25" s="132">
        <f>IF(SER_hh_fec_in!H25=0,0,11630*1000*SER_hh_fec_in!H25/SER_hh_num_in!H25)</f>
        <v>16516.299031547678</v>
      </c>
      <c r="I25" s="132">
        <f>IF(SER_hh_fec_in!I25=0,0,11630*1000*SER_hh_fec_in!I25/SER_hh_num_in!I25)</f>
        <v>16388.141521111018</v>
      </c>
      <c r="J25" s="132">
        <f>IF(SER_hh_fec_in!J25=0,0,11630*1000*SER_hh_fec_in!J25/SER_hh_num_in!J25)</f>
        <v>16009.339567168909</v>
      </c>
      <c r="K25" s="132">
        <f>IF(SER_hh_fec_in!K25=0,0,11630*1000*SER_hh_fec_in!K25/SER_hh_num_in!K25)</f>
        <v>15997.667128430017</v>
      </c>
      <c r="L25" s="132">
        <f>IF(SER_hh_fec_in!L25=0,0,11630*1000*SER_hh_fec_in!L25/SER_hh_num_in!L25)</f>
        <v>15249.167071331633</v>
      </c>
      <c r="M25" s="132">
        <f>IF(SER_hh_fec_in!M25=0,0,11630*1000*SER_hh_fec_in!M25/SER_hh_num_in!M25)</f>
        <v>16070.076241696479</v>
      </c>
      <c r="N25" s="132">
        <f>IF(SER_hh_fec_in!N25=0,0,11630*1000*SER_hh_fec_in!N25/SER_hh_num_in!N25)</f>
        <v>15175.567669783784</v>
      </c>
      <c r="O25" s="132">
        <f>IF(SER_hh_fec_in!O25=0,0,11630*1000*SER_hh_fec_in!O25/SER_hh_num_in!O25)</f>
        <v>16534.377968993867</v>
      </c>
      <c r="P25" s="132">
        <f>IF(SER_hh_fec_in!P25=0,0,11630*1000*SER_hh_fec_in!P25/SER_hh_num_in!P25)</f>
        <v>16938.992350710152</v>
      </c>
      <c r="Q25" s="132">
        <f>IF(SER_hh_fec_in!Q25=0,0,11630*1000*SER_hh_fec_in!Q25/SER_hh_num_in!Q25)</f>
        <v>16613.27644774755</v>
      </c>
      <c r="R25" s="132">
        <f>IF(SER_hh_fec_in!R25=0,0,11630*1000*SER_hh_fec_in!R25/SER_hh_num_in!R25)</f>
        <v>15579.082086130789</v>
      </c>
      <c r="S25" s="132">
        <f>IF(SER_hh_fec_in!S25=0,0,11630*1000*SER_hh_fec_in!S25/SER_hh_num_in!S25)</f>
        <v>15519.629459958811</v>
      </c>
      <c r="T25" s="132">
        <f>IF(SER_hh_fec_in!T25=0,0,11630*1000*SER_hh_fec_in!T25/SER_hh_num_in!T25)</f>
        <v>15399.668940723315</v>
      </c>
      <c r="U25" s="132">
        <f>IF(SER_hh_fec_in!U25=0,0,11630*1000*SER_hh_fec_in!U25/SER_hh_num_in!U25)</f>
        <v>15179.28400643137</v>
      </c>
      <c r="V25" s="132">
        <f>IF(SER_hh_fec_in!V25=0,0,11630*1000*SER_hh_fec_in!V25/SER_hh_num_in!V25)</f>
        <v>14076.172416197956</v>
      </c>
      <c r="W25" s="132">
        <f>IF(SER_hh_fec_in!W25=0,0,11630*1000*SER_hh_fec_in!W25/SER_hh_num_in!W25)</f>
        <v>15707.944661977433</v>
      </c>
      <c r="X25" s="132">
        <f>IF(SER_hh_fec_in!X25=0,0,11630*1000*SER_hh_fec_in!X25/SER_hh_num_in!X25)</f>
        <v>14458.944899991056</v>
      </c>
      <c r="Y25" s="132">
        <f>IF(SER_hh_fec_in!Y25=0,0,11630*1000*SER_hh_fec_in!Y25/SER_hh_num_in!Y25)</f>
        <v>15579.320199891288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18930.648744520018</v>
      </c>
      <c r="D26" s="65">
        <f>IF(SER_hh_fec_in!D26=0,0,11630*1000*SER_hh_fec_in!D26/SER_hh_num_in!D26)</f>
        <v>17289.036579150492</v>
      </c>
      <c r="E26" s="65">
        <f>IF(SER_hh_fec_in!E26=0,0,11630*1000*SER_hh_fec_in!E26/SER_hh_num_in!E26)</f>
        <v>18579.627463980898</v>
      </c>
      <c r="F26" s="65">
        <f>IF(SER_hh_fec_in!F26=0,0,11630*1000*SER_hh_fec_in!F26/SER_hh_num_in!F26)</f>
        <v>17302.106456063873</v>
      </c>
      <c r="G26" s="65">
        <f>IF(SER_hh_fec_in!G26=0,0,11630*1000*SER_hh_fec_in!G26/SER_hh_num_in!G26)</f>
        <v>17600.758172622351</v>
      </c>
      <c r="H26" s="65">
        <f>IF(SER_hh_fec_in!H26=0,0,11630*1000*SER_hh_fec_in!H26/SER_hh_num_in!H26)</f>
        <v>17427.281511099205</v>
      </c>
      <c r="I26" s="65">
        <f>IF(SER_hh_fec_in!I26=0,0,11630*1000*SER_hh_fec_in!I26/SER_hh_num_in!I26)</f>
        <v>17301.5739426461</v>
      </c>
      <c r="J26" s="65">
        <f>IF(SER_hh_fec_in!J26=0,0,11630*1000*SER_hh_fec_in!J26/SER_hh_num_in!J26)</f>
        <v>9890.7249820882971</v>
      </c>
      <c r="K26" s="65">
        <f>IF(SER_hh_fec_in!K26=0,0,11630*1000*SER_hh_fec_in!K26/SER_hh_num_in!K26)</f>
        <v>9959.3544476287734</v>
      </c>
      <c r="L26" s="65">
        <f>IF(SER_hh_fec_in!L26=0,0,11630*1000*SER_hh_fec_in!L26/SER_hh_num_in!L26)</f>
        <v>5126.7411992397392</v>
      </c>
      <c r="M26" s="65">
        <f>IF(SER_hh_fec_in!M26=0,0,11630*1000*SER_hh_fec_in!M26/SER_hh_num_in!M26)</f>
        <v>5185.4622224920986</v>
      </c>
      <c r="N26" s="65">
        <f>IF(SER_hh_fec_in!N26=0,0,11630*1000*SER_hh_fec_in!N26/SER_hh_num_in!N26)</f>
        <v>5270.7905753104014</v>
      </c>
      <c r="O26" s="65">
        <f>IF(SER_hh_fec_in!O26=0,0,11630*1000*SER_hh_fec_in!O26/SER_hh_num_in!O26)</f>
        <v>5112.3048292044223</v>
      </c>
      <c r="P26" s="65">
        <f>IF(SER_hh_fec_in!P26=0,0,11630*1000*SER_hh_fec_in!P26/SER_hh_num_in!P26)</f>
        <v>6890.716779506306</v>
      </c>
      <c r="Q26" s="65">
        <f>IF(SER_hh_fec_in!Q26=0,0,11630*1000*SER_hh_fec_in!Q26/SER_hh_num_in!Q26)</f>
        <v>5375.9011142533955</v>
      </c>
      <c r="R26" s="65">
        <f>IF(SER_hh_fec_in!R26=0,0,11630*1000*SER_hh_fec_in!R26/SER_hh_num_in!R26)</f>
        <v>4889.9652387604037</v>
      </c>
      <c r="S26" s="65">
        <f>IF(SER_hh_fec_in!S26=0,0,11630*1000*SER_hh_fec_in!S26/SER_hh_num_in!S26)</f>
        <v>4389.7207683143351</v>
      </c>
      <c r="T26" s="65">
        <f>IF(SER_hh_fec_in!T26=0,0,11630*1000*SER_hh_fec_in!T26/SER_hh_num_in!T26)</f>
        <v>4372.3903792966894</v>
      </c>
      <c r="U26" s="65">
        <f>IF(SER_hh_fec_in!U26=0,0,11630*1000*SER_hh_fec_in!U26/SER_hh_num_in!U26)</f>
        <v>3956.169503875612</v>
      </c>
      <c r="V26" s="65">
        <f>IF(SER_hh_fec_in!V26=0,0,11630*1000*SER_hh_fec_in!V26/SER_hh_num_in!V26)</f>
        <v>3378.1924167064808</v>
      </c>
      <c r="W26" s="65">
        <f>IF(SER_hh_fec_in!W26=0,0,11630*1000*SER_hh_fec_in!W26/SER_hh_num_in!W26)</f>
        <v>2720.5879193096048</v>
      </c>
      <c r="X26" s="65">
        <f>IF(SER_hh_fec_in!X26=0,0,11630*1000*SER_hh_fec_in!X26/SER_hh_num_in!X26)</f>
        <v>13305.660316781372</v>
      </c>
      <c r="Y26" s="65">
        <f>IF(SER_hh_fec_in!Y26=0,0,11630*1000*SER_hh_fec_in!Y26/SER_hh_num_in!Y26)</f>
        <v>6134.7952430926271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328.22396343345531</v>
      </c>
      <c r="D27" s="145">
        <f>IF(SER_hh_fec_in!D27=0,0,11630*1000*SER_hh_fec_in!D27/SER_hh_num_in!D19)</f>
        <v>769.96344500675104</v>
      </c>
      <c r="E27" s="145">
        <f>IF(SER_hh_fec_in!E27=0,0,11630*1000*SER_hh_fec_in!E27/SER_hh_num_in!E19)</f>
        <v>415.05340443784138</v>
      </c>
      <c r="F27" s="145">
        <f>IF(SER_hh_fec_in!F27=0,0,11630*1000*SER_hh_fec_in!F27/SER_hh_num_in!F19)</f>
        <v>991.6912994889725</v>
      </c>
      <c r="G27" s="145">
        <f>IF(SER_hh_fec_in!G27=0,0,11630*1000*SER_hh_fec_in!G27/SER_hh_num_in!G19)</f>
        <v>873.588567807044</v>
      </c>
      <c r="H27" s="145">
        <f>IF(SER_hh_fec_in!H27=0,0,11630*1000*SER_hh_fec_in!H27/SER_hh_num_in!H19)</f>
        <v>869.22508971718798</v>
      </c>
      <c r="I27" s="145">
        <f>IF(SER_hh_fec_in!I27=0,0,11630*1000*SER_hh_fec_in!I27/SER_hh_num_in!I19)</f>
        <v>866.32238856656511</v>
      </c>
      <c r="J27" s="145">
        <f>IF(SER_hh_fec_in!J27=0,0,11630*1000*SER_hh_fec_in!J27/SER_hh_num_in!J19)</f>
        <v>2656.4079648398497</v>
      </c>
      <c r="K27" s="145">
        <f>IF(SER_hh_fec_in!K27=0,0,11630*1000*SER_hh_fec_in!K27/SER_hh_num_in!K19)</f>
        <v>2615.9527281494848</v>
      </c>
      <c r="L27" s="145">
        <f>IF(SER_hh_fec_in!L27=0,0,11630*1000*SER_hh_fec_in!L27/SER_hh_num_in!L19)</f>
        <v>3963.7020021280318</v>
      </c>
      <c r="M27" s="145">
        <f>IF(SER_hh_fec_in!M27=0,0,11630*1000*SER_hh_fec_in!M27/SER_hh_num_in!M19)</f>
        <v>4328.6399156965044</v>
      </c>
      <c r="N27" s="145">
        <f>IF(SER_hh_fec_in!N27=0,0,11630*1000*SER_hh_fec_in!N27/SER_hh_num_in!N19)</f>
        <v>3861.6332346734266</v>
      </c>
      <c r="O27" s="145">
        <f>IF(SER_hh_fec_in!O27=0,0,11630*1000*SER_hh_fec_in!O27/SER_hh_num_in!O19)</f>
        <v>3076.0822650439432</v>
      </c>
      <c r="P27" s="145">
        <f>IF(SER_hh_fec_in!P27=0,0,11630*1000*SER_hh_fec_in!P27/SER_hh_num_in!P19)</f>
        <v>3556.9831175732461</v>
      </c>
      <c r="Q27" s="145">
        <f>IF(SER_hh_fec_in!Q27=0,0,11630*1000*SER_hh_fec_in!Q27/SER_hh_num_in!Q19)</f>
        <v>3402.3324749047838</v>
      </c>
      <c r="R27" s="145">
        <f>IF(SER_hh_fec_in!R27=0,0,11630*1000*SER_hh_fec_in!R27/SER_hh_num_in!R19)</f>
        <v>2932.6197022552278</v>
      </c>
      <c r="S27" s="145">
        <f>IF(SER_hh_fec_in!S27=0,0,11630*1000*SER_hh_fec_in!S27/SER_hh_num_in!S19)</f>
        <v>3128.5079004018585</v>
      </c>
      <c r="T27" s="145">
        <f>IF(SER_hh_fec_in!T27=0,0,11630*1000*SER_hh_fec_in!T27/SER_hh_num_in!T19)</f>
        <v>3417.5394572012638</v>
      </c>
      <c r="U27" s="145">
        <f>IF(SER_hh_fec_in!U27=0,0,11630*1000*SER_hh_fec_in!U27/SER_hh_num_in!U19)</f>
        <v>3763.9392057061441</v>
      </c>
      <c r="V27" s="145">
        <f>IF(SER_hh_fec_in!V27=0,0,11630*1000*SER_hh_fec_in!V27/SER_hh_num_in!V19)</f>
        <v>5032.6107348401692</v>
      </c>
      <c r="W27" s="145">
        <f>IF(SER_hh_fec_in!W27=0,0,11630*1000*SER_hh_fec_in!W27/SER_hh_num_in!W19)</f>
        <v>5321.1545335759474</v>
      </c>
      <c r="X27" s="145">
        <f>IF(SER_hh_fec_in!X27=0,0,11630*1000*SER_hh_fec_in!X27/SER_hh_num_in!X19)</f>
        <v>1943.2403403243932</v>
      </c>
      <c r="Y27" s="145">
        <f>IF(SER_hh_fec_in!Y27=0,0,11630*1000*SER_hh_fec_in!Y27/SER_hh_num_in!Y19)</f>
        <v>7296.9999305682795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9160.0092570062861</v>
      </c>
      <c r="D28" s="146">
        <f>IF(SER_hh_fec_in!D27=0,0,11630*1000*SER_hh_fec_in!D27/SER_hh_num_in!D27)</f>
        <v>9124.42947400296</v>
      </c>
      <c r="E28" s="146">
        <f>IF(SER_hh_fec_in!E27=0,0,11630*1000*SER_hh_fec_in!E27/SER_hh_num_in!E27)</f>
        <v>9687.2918229003226</v>
      </c>
      <c r="F28" s="146">
        <f>IF(SER_hh_fec_in!F27=0,0,11630*1000*SER_hh_fec_in!F27/SER_hh_num_in!F27)</f>
        <v>9546.8876127160038</v>
      </c>
      <c r="G28" s="146">
        <f>IF(SER_hh_fec_in!G27=0,0,11630*1000*SER_hh_fec_in!G27/SER_hh_num_in!G27)</f>
        <v>9678.1776987917146</v>
      </c>
      <c r="H28" s="146">
        <f>IF(SER_hh_fec_in!H27=0,0,11630*1000*SER_hh_fec_in!H27/SER_hh_num_in!H27)</f>
        <v>9481.367104858824</v>
      </c>
      <c r="I28" s="146">
        <f>IF(SER_hh_fec_in!I27=0,0,11630*1000*SER_hh_fec_in!I27/SER_hh_num_in!I27)</f>
        <v>9529.4304129903921</v>
      </c>
      <c r="J28" s="146">
        <f>IF(SER_hh_fec_in!J27=0,0,11630*1000*SER_hh_fec_in!J27/SER_hh_num_in!J27)</f>
        <v>9709.3640674243725</v>
      </c>
      <c r="K28" s="146">
        <f>IF(SER_hh_fec_in!K27=0,0,11630*1000*SER_hh_fec_in!K27/SER_hh_num_in!K27)</f>
        <v>10041.122620964663</v>
      </c>
      <c r="L28" s="146">
        <f>IF(SER_hh_fec_in!L27=0,0,11630*1000*SER_hh_fec_in!L27/SER_hh_num_in!L27)</f>
        <v>10123.593753187521</v>
      </c>
      <c r="M28" s="146">
        <f>IF(SER_hh_fec_in!M27=0,0,11630*1000*SER_hh_fec_in!M27/SER_hh_num_in!M27)</f>
        <v>9980.4888451955794</v>
      </c>
      <c r="N28" s="146">
        <f>IF(SER_hh_fec_in!N27=0,0,11630*1000*SER_hh_fec_in!N27/SER_hh_num_in!N27)</f>
        <v>10126.442738113819</v>
      </c>
      <c r="O28" s="146">
        <f>IF(SER_hh_fec_in!O27=0,0,11630*1000*SER_hh_fec_in!O27/SER_hh_num_in!O27)</f>
        <v>10736.765050528238</v>
      </c>
      <c r="P28" s="146">
        <f>IF(SER_hh_fec_in!P27=0,0,11630*1000*SER_hh_fec_in!P27/SER_hh_num_in!P27)</f>
        <v>10485.613005419349</v>
      </c>
      <c r="Q28" s="146">
        <f>IF(SER_hh_fec_in!Q27=0,0,11630*1000*SER_hh_fec_in!Q27/SER_hh_num_in!Q27)</f>
        <v>9915.6670394064222</v>
      </c>
      <c r="R28" s="146">
        <f>IF(SER_hh_fec_in!R27=0,0,11630*1000*SER_hh_fec_in!R27/SER_hh_num_in!R27)</f>
        <v>9756.0112520541643</v>
      </c>
      <c r="S28" s="146">
        <f>IF(SER_hh_fec_in!S27=0,0,11630*1000*SER_hh_fec_in!S27/SER_hh_num_in!S27)</f>
        <v>10183.618628494041</v>
      </c>
      <c r="T28" s="146">
        <f>IF(SER_hh_fec_in!T27=0,0,11630*1000*SER_hh_fec_in!T27/SER_hh_num_in!T27)</f>
        <v>10126.569132140965</v>
      </c>
      <c r="U28" s="146">
        <f>IF(SER_hh_fec_in!U27=0,0,11630*1000*SER_hh_fec_in!U27/SER_hh_num_in!U27)</f>
        <v>10411.293442361317</v>
      </c>
      <c r="V28" s="146">
        <f>IF(SER_hh_fec_in!V27=0,0,11630*1000*SER_hh_fec_in!V27/SER_hh_num_in!V27)</f>
        <v>9797.3768054000884</v>
      </c>
      <c r="W28" s="146">
        <f>IF(SER_hh_fec_in!W27=0,0,11630*1000*SER_hh_fec_in!W27/SER_hh_num_in!W27)</f>
        <v>9314.4687069495812</v>
      </c>
      <c r="X28" s="146">
        <f>IF(SER_hh_fec_in!X27=0,0,11630*1000*SER_hh_fec_in!X27/SER_hh_num_in!X27)</f>
        <v>9752.9550696214646</v>
      </c>
      <c r="Y28" s="146">
        <f>IF(SER_hh_fec_in!Y27=0,0,11630*1000*SER_hh_fec_in!Y27/SER_hh_num_in!Y27)</f>
        <v>9473.3694039010297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22078.308098788464</v>
      </c>
      <c r="D29" s="130">
        <f>IF(SER_hh_fec_in!D29=0,0,11630*1000*SER_hh_fec_in!D29/SER_hh_num_in!D29)</f>
        <v>21337.879283920265</v>
      </c>
      <c r="E29" s="130">
        <f>IF(SER_hh_fec_in!E29=0,0,11630*1000*SER_hh_fec_in!E29/SER_hh_num_in!E29)</f>
        <v>20789.969843373296</v>
      </c>
      <c r="F29" s="130">
        <f>IF(SER_hh_fec_in!F29=0,0,11630*1000*SER_hh_fec_in!F29/SER_hh_num_in!F29)</f>
        <v>21188.091382983108</v>
      </c>
      <c r="G29" s="130">
        <f>IF(SER_hh_fec_in!G29=0,0,11630*1000*SER_hh_fec_in!G29/SER_hh_num_in!G29)</f>
        <v>21252.266450686257</v>
      </c>
      <c r="H29" s="130">
        <f>IF(SER_hh_fec_in!H29=0,0,11630*1000*SER_hh_fec_in!H29/SER_hh_num_in!H29)</f>
        <v>21419.906727882852</v>
      </c>
      <c r="I29" s="130">
        <f>IF(SER_hh_fec_in!I29=0,0,11630*1000*SER_hh_fec_in!I29/SER_hh_num_in!I29)</f>
        <v>21681.052647642911</v>
      </c>
      <c r="J29" s="130">
        <f>IF(SER_hh_fec_in!J29=0,0,11630*1000*SER_hh_fec_in!J29/SER_hh_num_in!J29)</f>
        <v>22771.779376462615</v>
      </c>
      <c r="K29" s="130">
        <f>IF(SER_hh_fec_in!K29=0,0,11630*1000*SER_hh_fec_in!K29/SER_hh_num_in!K29)</f>
        <v>24534.00988251578</v>
      </c>
      <c r="L29" s="130">
        <f>IF(SER_hh_fec_in!L29=0,0,11630*1000*SER_hh_fec_in!L29/SER_hh_num_in!L29)</f>
        <v>24199.451670892446</v>
      </c>
      <c r="M29" s="130">
        <f>IF(SER_hh_fec_in!M29=0,0,11630*1000*SER_hh_fec_in!M29/SER_hh_num_in!M29)</f>
        <v>23956.397319783682</v>
      </c>
      <c r="N29" s="130">
        <f>IF(SER_hh_fec_in!N29=0,0,11630*1000*SER_hh_fec_in!N29/SER_hh_num_in!N29)</f>
        <v>24950.184970058257</v>
      </c>
      <c r="O29" s="130">
        <f>IF(SER_hh_fec_in!O29=0,0,11630*1000*SER_hh_fec_in!O29/SER_hh_num_in!O29)</f>
        <v>24992.595959959141</v>
      </c>
      <c r="P29" s="130">
        <f>IF(SER_hh_fec_in!P29=0,0,11630*1000*SER_hh_fec_in!P29/SER_hh_num_in!P29)</f>
        <v>25099.476774670078</v>
      </c>
      <c r="Q29" s="130">
        <f>IF(SER_hh_fec_in!Q29=0,0,11630*1000*SER_hh_fec_in!Q29/SER_hh_num_in!Q29)</f>
        <v>24989.468556167158</v>
      </c>
      <c r="R29" s="130">
        <f>IF(SER_hh_fec_in!R29=0,0,11630*1000*SER_hh_fec_in!R29/SER_hh_num_in!R29)</f>
        <v>25758.416406578566</v>
      </c>
      <c r="S29" s="130">
        <f>IF(SER_hh_fec_in!S29=0,0,11630*1000*SER_hh_fec_in!S29/SER_hh_num_in!S29)</f>
        <v>25644.138042209546</v>
      </c>
      <c r="T29" s="130">
        <f>IF(SER_hh_fec_in!T29=0,0,11630*1000*SER_hh_fec_in!T29/SER_hh_num_in!T29)</f>
        <v>25723.96229899639</v>
      </c>
      <c r="U29" s="130">
        <f>IF(SER_hh_fec_in!U29=0,0,11630*1000*SER_hh_fec_in!U29/SER_hh_num_in!U29)</f>
        <v>25881.412176404981</v>
      </c>
      <c r="V29" s="130">
        <f>IF(SER_hh_fec_in!V29=0,0,11630*1000*SER_hh_fec_in!V29/SER_hh_num_in!V29)</f>
        <v>22271.6653460585</v>
      </c>
      <c r="W29" s="130">
        <f>IF(SER_hh_fec_in!W29=0,0,11630*1000*SER_hh_fec_in!W29/SER_hh_num_in!W29)</f>
        <v>25291.250993657934</v>
      </c>
      <c r="X29" s="130">
        <f>IF(SER_hh_fec_in!X29=0,0,11630*1000*SER_hh_fec_in!X29/SER_hh_num_in!X29)</f>
        <v>27481.662566986812</v>
      </c>
      <c r="Y29" s="130">
        <f>IF(SER_hh_fec_in!Y29=0,0,11630*1000*SER_hh_fec_in!Y29/SER_hh_num_in!Y29)</f>
        <v>25647.945492599163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32475.061012479775</v>
      </c>
      <c r="D30" s="132">
        <f>IF(SER_hh_fec_in!D30=0,0,11630*1000*SER_hh_fec_in!D30/SER_hh_num_in!D30)</f>
        <v>25556.596564201023</v>
      </c>
      <c r="E30" s="132">
        <f>IF(SER_hh_fec_in!E30=0,0,11630*1000*SER_hh_fec_in!E30/SER_hh_num_in!E30)</f>
        <v>26514.346410569517</v>
      </c>
      <c r="F30" s="132">
        <f>IF(SER_hh_fec_in!F30=0,0,11630*1000*SER_hh_fec_in!F30/SER_hh_num_in!F30)</f>
        <v>28507.50049048521</v>
      </c>
      <c r="G30" s="132">
        <f>IF(SER_hh_fec_in!G30=0,0,11630*1000*SER_hh_fec_in!G30/SER_hh_num_in!G30)</f>
        <v>26019.041056271435</v>
      </c>
      <c r="H30" s="132">
        <f>IF(SER_hh_fec_in!H30=0,0,11630*1000*SER_hh_fec_in!H30/SER_hh_num_in!H30)</f>
        <v>28418.370701241878</v>
      </c>
      <c r="I30" s="132">
        <f>IF(SER_hh_fec_in!I30=0,0,11630*1000*SER_hh_fec_in!I30/SER_hh_num_in!I30)</f>
        <v>26577.093118581863</v>
      </c>
      <c r="J30" s="132">
        <f>IF(SER_hh_fec_in!J30=0,0,11630*1000*SER_hh_fec_in!J30/SER_hh_num_in!J30)</f>
        <v>27327.570298317252</v>
      </c>
      <c r="K30" s="132">
        <f>IF(SER_hh_fec_in!K30=0,0,11630*1000*SER_hh_fec_in!K30/SER_hh_num_in!K30)</f>
        <v>32165.496429434181</v>
      </c>
      <c r="L30" s="132">
        <f>IF(SER_hh_fec_in!L30=0,0,11630*1000*SER_hh_fec_in!L30/SER_hh_num_in!L30)</f>
        <v>34920.569325942946</v>
      </c>
      <c r="M30" s="132">
        <f>IF(SER_hh_fec_in!M30=0,0,11630*1000*SER_hh_fec_in!M30/SER_hh_num_in!M30)</f>
        <v>30757.305080449445</v>
      </c>
      <c r="N30" s="132">
        <f>IF(SER_hh_fec_in!N30=0,0,11630*1000*SER_hh_fec_in!N30/SER_hh_num_in!N30)</f>
        <v>30936.457837463768</v>
      </c>
      <c r="O30" s="132">
        <f>IF(SER_hh_fec_in!O30=0,0,11630*1000*SER_hh_fec_in!O30/SER_hh_num_in!O30)</f>
        <v>31896.566829599662</v>
      </c>
      <c r="P30" s="132">
        <f>IF(SER_hh_fec_in!P30=0,0,11630*1000*SER_hh_fec_in!P30/SER_hh_num_in!P30)</f>
        <v>32049.157418760344</v>
      </c>
      <c r="Q30" s="132">
        <f>IF(SER_hh_fec_in!Q30=0,0,11630*1000*SER_hh_fec_in!Q30/SER_hh_num_in!Q30)</f>
        <v>31729.817740163449</v>
      </c>
      <c r="R30" s="132">
        <f>IF(SER_hh_fec_in!R30=0,0,11630*1000*SER_hh_fec_in!R30/SER_hh_num_in!R30)</f>
        <v>35363.980126571929</v>
      </c>
      <c r="S30" s="132">
        <f>IF(SER_hh_fec_in!S30=0,0,11630*1000*SER_hh_fec_in!S30/SER_hh_num_in!S30)</f>
        <v>33120.851064295879</v>
      </c>
      <c r="T30" s="132">
        <f>IF(SER_hh_fec_in!T30=0,0,11630*1000*SER_hh_fec_in!T30/SER_hh_num_in!T30)</f>
        <v>32435.132103891588</v>
      </c>
      <c r="U30" s="132">
        <f>IF(SER_hh_fec_in!U30=0,0,11630*1000*SER_hh_fec_in!U30/SER_hh_num_in!U30)</f>
        <v>35127.292208757433</v>
      </c>
      <c r="V30" s="132">
        <f>IF(SER_hh_fec_in!V30=0,0,11630*1000*SER_hh_fec_in!V30/SER_hh_num_in!V30)</f>
        <v>29700.107115197403</v>
      </c>
      <c r="W30" s="132">
        <f>IF(SER_hh_fec_in!W30=0,0,11630*1000*SER_hh_fec_in!W30/SER_hh_num_in!W30)</f>
        <v>38603.768742473876</v>
      </c>
      <c r="X30" s="132">
        <f>IF(SER_hh_fec_in!X30=0,0,11630*1000*SER_hh_fec_in!X30/SER_hh_num_in!X30)</f>
        <v>0</v>
      </c>
      <c r="Y30" s="132">
        <f>IF(SER_hh_fec_in!Y30=0,0,11630*1000*SER_hh_fec_in!Y30/SER_hh_num_in!Y30)</f>
        <v>0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26367.497730511892</v>
      </c>
      <c r="D31" s="132">
        <f>IF(SER_hh_fec_in!D31=0,0,11630*1000*SER_hh_fec_in!D31/SER_hh_num_in!D31)</f>
        <v>26475.798872357911</v>
      </c>
      <c r="E31" s="132">
        <f>IF(SER_hh_fec_in!E31=0,0,11630*1000*SER_hh_fec_in!E31/SER_hh_num_in!E31)</f>
        <v>26245.82147520384</v>
      </c>
      <c r="F31" s="132">
        <f>IF(SER_hh_fec_in!F31=0,0,11630*1000*SER_hh_fec_in!F31/SER_hh_num_in!F31)</f>
        <v>26076.631363393084</v>
      </c>
      <c r="G31" s="132">
        <f>IF(SER_hh_fec_in!G31=0,0,11630*1000*SER_hh_fec_in!G31/SER_hh_num_in!G31)</f>
        <v>26848.681722830082</v>
      </c>
      <c r="H31" s="132">
        <f>IF(SER_hh_fec_in!H31=0,0,11630*1000*SER_hh_fec_in!H31/SER_hh_num_in!H31)</f>
        <v>26760.13625911545</v>
      </c>
      <c r="I31" s="132">
        <f>IF(SER_hh_fec_in!I31=0,0,11630*1000*SER_hh_fec_in!I31/SER_hh_num_in!I31)</f>
        <v>27538.64539195317</v>
      </c>
      <c r="J31" s="132">
        <f>IF(SER_hh_fec_in!J31=0,0,11630*1000*SER_hh_fec_in!J31/SER_hh_num_in!J31)</f>
        <v>28667.429421509376</v>
      </c>
      <c r="K31" s="132">
        <f>IF(SER_hh_fec_in!K31=0,0,11630*1000*SER_hh_fec_in!K31/SER_hh_num_in!K31)</f>
        <v>29401.245786079289</v>
      </c>
      <c r="L31" s="132">
        <f>IF(SER_hh_fec_in!L31=0,0,11630*1000*SER_hh_fec_in!L31/SER_hh_num_in!L31)</f>
        <v>29396.338574210968</v>
      </c>
      <c r="M31" s="132">
        <f>IF(SER_hh_fec_in!M31=0,0,11630*1000*SER_hh_fec_in!M31/SER_hh_num_in!M31)</f>
        <v>30139.063756229669</v>
      </c>
      <c r="N31" s="132">
        <f>IF(SER_hh_fec_in!N31=0,0,11630*1000*SER_hh_fec_in!N31/SER_hh_num_in!N31)</f>
        <v>31413.748241838606</v>
      </c>
      <c r="O31" s="132">
        <f>IF(SER_hh_fec_in!O31=0,0,11630*1000*SER_hh_fec_in!O31/SER_hh_num_in!O31)</f>
        <v>31268.623967128784</v>
      </c>
      <c r="P31" s="132">
        <f>IF(SER_hh_fec_in!P31=0,0,11630*1000*SER_hh_fec_in!P31/SER_hh_num_in!P31)</f>
        <v>31428.634366205595</v>
      </c>
      <c r="Q31" s="132">
        <f>IF(SER_hh_fec_in!Q31=0,0,11630*1000*SER_hh_fec_in!Q31/SER_hh_num_in!Q31)</f>
        <v>32523.601512747191</v>
      </c>
      <c r="R31" s="132">
        <f>IF(SER_hh_fec_in!R31=0,0,11630*1000*SER_hh_fec_in!R31/SER_hh_num_in!R31)</f>
        <v>32598.367153073759</v>
      </c>
      <c r="S31" s="132">
        <f>IF(SER_hh_fec_in!S31=0,0,11630*1000*SER_hh_fec_in!S31/SER_hh_num_in!S31)</f>
        <v>33657.141662385708</v>
      </c>
      <c r="T31" s="132">
        <f>IF(SER_hh_fec_in!T31=0,0,11630*1000*SER_hh_fec_in!T31/SER_hh_num_in!T31)</f>
        <v>33669.532179974987</v>
      </c>
      <c r="U31" s="132">
        <f>IF(SER_hh_fec_in!U31=0,0,11630*1000*SER_hh_fec_in!U31/SER_hh_num_in!U31)</f>
        <v>32657.706445538046</v>
      </c>
      <c r="V31" s="132">
        <f>IF(SER_hh_fec_in!V31=0,0,11630*1000*SER_hh_fec_in!V31/SER_hh_num_in!V31)</f>
        <v>27098.434384779477</v>
      </c>
      <c r="W31" s="132">
        <f>IF(SER_hh_fec_in!W31=0,0,11630*1000*SER_hh_fec_in!W31/SER_hh_num_in!W31)</f>
        <v>28162.342289630917</v>
      </c>
      <c r="X31" s="132">
        <f>IF(SER_hh_fec_in!X31=0,0,11630*1000*SER_hh_fec_in!X31/SER_hh_num_in!X31)</f>
        <v>40941.505152432823</v>
      </c>
      <c r="Y31" s="132">
        <f>IF(SER_hh_fec_in!Y31=0,0,11630*1000*SER_hh_fec_in!Y31/SER_hh_num_in!Y31)</f>
        <v>31447.212348085439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44379.865703087737</v>
      </c>
      <c r="L32" s="132">
        <f>IF(SER_hh_fec_in!L32=0,0,11630*1000*SER_hh_fec_in!L32/SER_hh_num_in!L32)</f>
        <v>35253.199163966303</v>
      </c>
      <c r="M32" s="132">
        <f>IF(SER_hh_fec_in!M32=0,0,11630*1000*SER_hh_fec_in!M32/SER_hh_num_in!M32)</f>
        <v>29708.031679165808</v>
      </c>
      <c r="N32" s="132">
        <f>IF(SER_hh_fec_in!N32=0,0,11630*1000*SER_hh_fec_in!N32/SER_hh_num_in!N32)</f>
        <v>31670.327154989758</v>
      </c>
      <c r="O32" s="132">
        <f>IF(SER_hh_fec_in!O32=0,0,11630*1000*SER_hh_fec_in!O32/SER_hh_num_in!O32)</f>
        <v>32282.993775309042</v>
      </c>
      <c r="P32" s="132">
        <f>IF(SER_hh_fec_in!P32=0,0,11630*1000*SER_hh_fec_in!P32/SER_hh_num_in!P32)</f>
        <v>30571.998895424058</v>
      </c>
      <c r="Q32" s="132">
        <f>IF(SER_hh_fec_in!Q32=0,0,11630*1000*SER_hh_fec_in!Q32/SER_hh_num_in!Q32)</f>
        <v>30462.362798586495</v>
      </c>
      <c r="R32" s="132">
        <f>IF(SER_hh_fec_in!R32=0,0,11630*1000*SER_hh_fec_in!R32/SER_hh_num_in!R32)</f>
        <v>29563.124318534276</v>
      </c>
      <c r="S32" s="132">
        <f>IF(SER_hh_fec_in!S32=0,0,11630*1000*SER_hh_fec_in!S32/SER_hh_num_in!S32)</f>
        <v>30865.79116350499</v>
      </c>
      <c r="T32" s="132">
        <f>IF(SER_hh_fec_in!T32=0,0,11630*1000*SER_hh_fec_in!T32/SER_hh_num_in!T32)</f>
        <v>37235.991649132397</v>
      </c>
      <c r="U32" s="132">
        <f>IF(SER_hh_fec_in!U32=0,0,11630*1000*SER_hh_fec_in!U32/SER_hh_num_in!U32)</f>
        <v>38799.752507284771</v>
      </c>
      <c r="V32" s="132">
        <f>IF(SER_hh_fec_in!V32=0,0,11630*1000*SER_hh_fec_in!V32/SER_hh_num_in!V32)</f>
        <v>31871.813741059123</v>
      </c>
      <c r="W32" s="132">
        <f>IF(SER_hh_fec_in!W32=0,0,11630*1000*SER_hh_fec_in!W32/SER_hh_num_in!W32)</f>
        <v>32003.245298654892</v>
      </c>
      <c r="X32" s="132">
        <f>IF(SER_hh_fec_in!X32=0,0,11630*1000*SER_hh_fec_in!X32/SER_hh_num_in!X32)</f>
        <v>26098.108784944096</v>
      </c>
      <c r="Y32" s="132">
        <f>IF(SER_hh_fec_in!Y32=0,0,11630*1000*SER_hh_fec_in!Y32/SER_hh_num_in!Y32)</f>
        <v>40721.263270173338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19830.345216025471</v>
      </c>
      <c r="D33" s="68">
        <f>IF(SER_hh_fec_in!D33=0,0,11630*1000*SER_hh_fec_in!D33/SER_hh_num_in!D33)</f>
        <v>20308.55202228433</v>
      </c>
      <c r="E33" s="68">
        <f>IF(SER_hh_fec_in!E33=0,0,11630*1000*SER_hh_fec_in!E33/SER_hh_num_in!E33)</f>
        <v>19625.469603607537</v>
      </c>
      <c r="F33" s="68">
        <f>IF(SER_hh_fec_in!F33=0,0,11630*1000*SER_hh_fec_in!F33/SER_hh_num_in!F33)</f>
        <v>20013.763815538445</v>
      </c>
      <c r="G33" s="68">
        <f>IF(SER_hh_fec_in!G33=0,0,11630*1000*SER_hh_fec_in!G33/SER_hh_num_in!G33)</f>
        <v>20327.641199957332</v>
      </c>
      <c r="H33" s="68">
        <f>IF(SER_hh_fec_in!H33=0,0,11630*1000*SER_hh_fec_in!H33/SER_hh_num_in!H33)</f>
        <v>20468.698899789659</v>
      </c>
      <c r="I33" s="68">
        <f>IF(SER_hh_fec_in!I33=0,0,11630*1000*SER_hh_fec_in!I33/SER_hh_num_in!I33)</f>
        <v>20826.79508000824</v>
      </c>
      <c r="J33" s="68">
        <f>IF(SER_hh_fec_in!J33=0,0,11630*1000*SER_hh_fec_in!J33/SER_hh_num_in!J33)</f>
        <v>21539.351693419932</v>
      </c>
      <c r="K33" s="68">
        <f>IF(SER_hh_fec_in!K33=0,0,11630*1000*SER_hh_fec_in!K33/SER_hh_num_in!K33)</f>
        <v>22131.165951559942</v>
      </c>
      <c r="L33" s="68">
        <f>IF(SER_hh_fec_in!L33=0,0,11630*1000*SER_hh_fec_in!L33/SER_hh_num_in!L33)</f>
        <v>22319.596075057627</v>
      </c>
      <c r="M33" s="68">
        <f>IF(SER_hh_fec_in!M33=0,0,11630*1000*SER_hh_fec_in!M33/SER_hh_num_in!M33)</f>
        <v>22516.607123101483</v>
      </c>
      <c r="N33" s="68">
        <f>IF(SER_hh_fec_in!N33=0,0,11630*1000*SER_hh_fec_in!N33/SER_hh_num_in!N33)</f>
        <v>23287.300846170718</v>
      </c>
      <c r="O33" s="68">
        <f>IF(SER_hh_fec_in!O33=0,0,11630*1000*SER_hh_fec_in!O33/SER_hh_num_in!O33)</f>
        <v>23712.239821542422</v>
      </c>
      <c r="P33" s="68">
        <f>IF(SER_hh_fec_in!P33=0,0,11630*1000*SER_hh_fec_in!P33/SER_hh_num_in!P33)</f>
        <v>24001.369537616421</v>
      </c>
      <c r="Q33" s="68">
        <f>IF(SER_hh_fec_in!Q33=0,0,11630*1000*SER_hh_fec_in!Q33/SER_hh_num_in!Q33)</f>
        <v>23627.879942168573</v>
      </c>
      <c r="R33" s="68">
        <f>IF(SER_hh_fec_in!R33=0,0,11630*1000*SER_hh_fec_in!R33/SER_hh_num_in!R33)</f>
        <v>23892.895318377388</v>
      </c>
      <c r="S33" s="68">
        <f>IF(SER_hh_fec_in!S33=0,0,11630*1000*SER_hh_fec_in!S33/SER_hh_num_in!S33)</f>
        <v>24015.821517734199</v>
      </c>
      <c r="T33" s="68">
        <f>IF(SER_hh_fec_in!T33=0,0,11630*1000*SER_hh_fec_in!T33/SER_hh_num_in!T33)</f>
        <v>24123.069975730185</v>
      </c>
      <c r="U33" s="68">
        <f>IF(SER_hh_fec_in!U33=0,0,11630*1000*SER_hh_fec_in!U33/SER_hh_num_in!U33)</f>
        <v>24063.723576076274</v>
      </c>
      <c r="V33" s="68">
        <f>IF(SER_hh_fec_in!V33=0,0,11630*1000*SER_hh_fec_in!V33/SER_hh_num_in!V33)</f>
        <v>20519.746216341478</v>
      </c>
      <c r="W33" s="68">
        <f>IF(SER_hh_fec_in!W33=0,0,11630*1000*SER_hh_fec_in!W33/SER_hh_num_in!W33)</f>
        <v>23876.812006698969</v>
      </c>
      <c r="X33" s="68">
        <f>IF(SER_hh_fec_in!X33=0,0,11630*1000*SER_hh_fec_in!X33/SER_hh_num_in!X33)</f>
        <v>22544.942802200894</v>
      </c>
      <c r="Y33" s="68">
        <f>IF(SER_hh_fec_in!Y33=0,0,11630*1000*SER_hh_fec_in!Y33/SER_hh_num_in!Y33)</f>
        <v>23356.120342316757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116328.92063495993</v>
      </c>
      <c r="D3" s="125">
        <f>IF(SER_hh_tes_in!D3=0,0,11630*1000*SER_hh_tes_in!D3/SER_hh_num_in!D3)</f>
        <v>115191.01992156521</v>
      </c>
      <c r="E3" s="125">
        <f>IF(SER_hh_tes_in!E3=0,0,11630*1000*SER_hh_tes_in!E3/SER_hh_num_in!E3)</f>
        <v>128948.75974329712</v>
      </c>
      <c r="F3" s="125">
        <f>IF(SER_hh_tes_in!F3=0,0,11630*1000*SER_hh_tes_in!F3/SER_hh_num_in!F3)</f>
        <v>112705.13357314853</v>
      </c>
      <c r="G3" s="125">
        <f>IF(SER_hh_tes_in!G3=0,0,11630*1000*SER_hh_tes_in!G3/SER_hh_num_in!G3)</f>
        <v>114896.48544502046</v>
      </c>
      <c r="H3" s="125">
        <f>IF(SER_hh_tes_in!H3=0,0,11630*1000*SER_hh_tes_in!H3/SER_hh_num_in!H3)</f>
        <v>109388.27998539874</v>
      </c>
      <c r="I3" s="125">
        <f>IF(SER_hh_tes_in!I3=0,0,11630*1000*SER_hh_tes_in!I3/SER_hh_num_in!I3)</f>
        <v>106261.27504645914</v>
      </c>
      <c r="J3" s="125">
        <f>IF(SER_hh_tes_in!J3=0,0,11630*1000*SER_hh_tes_in!J3/SER_hh_num_in!J3)</f>
        <v>108074.30829435711</v>
      </c>
      <c r="K3" s="125">
        <f>IF(SER_hh_tes_in!K3=0,0,11630*1000*SER_hh_tes_in!K3/SER_hh_num_in!K3)</f>
        <v>104217.64134851159</v>
      </c>
      <c r="L3" s="125">
        <f>IF(SER_hh_tes_in!L3=0,0,11630*1000*SER_hh_tes_in!L3/SER_hh_num_in!L3)</f>
        <v>110044.96561116276</v>
      </c>
      <c r="M3" s="125">
        <f>IF(SER_hh_tes_in!M3=0,0,11630*1000*SER_hh_tes_in!M3/SER_hh_num_in!M3)</f>
        <v>107066.42177671727</v>
      </c>
      <c r="N3" s="125">
        <f>IF(SER_hh_tes_in!N3=0,0,11630*1000*SER_hh_tes_in!N3/SER_hh_num_in!N3)</f>
        <v>111660.85209386438</v>
      </c>
      <c r="O3" s="125">
        <f>IF(SER_hh_tes_in!O3=0,0,11630*1000*SER_hh_tes_in!O3/SER_hh_num_in!O3)</f>
        <v>97511.585041878236</v>
      </c>
      <c r="P3" s="125">
        <f>IF(SER_hh_tes_in!P3=0,0,11630*1000*SER_hh_tes_in!P3/SER_hh_num_in!P3)</f>
        <v>85577.480548937543</v>
      </c>
      <c r="Q3" s="125">
        <f>IF(SER_hh_tes_in!Q3=0,0,11630*1000*SER_hh_tes_in!Q3/SER_hh_num_in!Q3)</f>
        <v>101653.96048528055</v>
      </c>
      <c r="R3" s="125">
        <f>IF(SER_hh_tes_in!R3=0,0,11630*1000*SER_hh_tes_in!R3/SER_hh_num_in!R3)</f>
        <v>92219.425752448107</v>
      </c>
      <c r="S3" s="125">
        <f>IF(SER_hh_tes_in!S3=0,0,11630*1000*SER_hh_tes_in!S3/SER_hh_num_in!S3)</f>
        <v>103423.41232751444</v>
      </c>
      <c r="T3" s="125">
        <f>IF(SER_hh_tes_in!T3=0,0,11630*1000*SER_hh_tes_in!T3/SER_hh_num_in!T3)</f>
        <v>97759.391709321149</v>
      </c>
      <c r="U3" s="125">
        <f>IF(SER_hh_tes_in!U3=0,0,11630*1000*SER_hh_tes_in!U3/SER_hh_num_in!U3)</f>
        <v>99004.333361461875</v>
      </c>
      <c r="V3" s="125">
        <f>IF(SER_hh_tes_in!V3=0,0,11630*1000*SER_hh_tes_in!V3/SER_hh_num_in!V3)</f>
        <v>82769.790324121932</v>
      </c>
      <c r="W3" s="125">
        <f>IF(SER_hh_tes_in!W3=0,0,11630*1000*SER_hh_tes_in!W3/SER_hh_num_in!W3)</f>
        <v>89611.257847520799</v>
      </c>
      <c r="X3" s="125">
        <f>IF(SER_hh_tes_in!X3=0,0,11630*1000*SER_hh_tes_in!X3/SER_hh_num_in!X3)</f>
        <v>92586.138075950119</v>
      </c>
      <c r="Y3" s="125">
        <f>IF(SER_hh_tes_in!Y3=0,0,11630*1000*SER_hh_tes_in!Y3/SER_hh_num_in!Y3)</f>
        <v>86894.004947197143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65657.682088330432</v>
      </c>
      <c r="D4" s="130">
        <f>IF(SER_hh_tes_in!D4=0,0,11630*1000*SER_hh_tes_in!D4/SER_hh_num_in!D4)</f>
        <v>65405.231023583918</v>
      </c>
      <c r="E4" s="130">
        <f>IF(SER_hh_tes_in!E4=0,0,11630*1000*SER_hh_tes_in!E4/SER_hh_num_in!E4)</f>
        <v>64138.824747029503</v>
      </c>
      <c r="F4" s="130">
        <f>IF(SER_hh_tes_in!F4=0,0,11630*1000*SER_hh_tes_in!F4/SER_hh_num_in!F4)</f>
        <v>63252.158852575747</v>
      </c>
      <c r="G4" s="130">
        <f>IF(SER_hh_tes_in!G4=0,0,11630*1000*SER_hh_tes_in!G4/SER_hh_num_in!G4)</f>
        <v>65164.128166126888</v>
      </c>
      <c r="H4" s="130">
        <f>IF(SER_hh_tes_in!H4=0,0,11630*1000*SER_hh_tes_in!H4/SER_hh_num_in!H4)</f>
        <v>57219.535840850112</v>
      </c>
      <c r="I4" s="130">
        <f>IF(SER_hh_tes_in!I4=0,0,11630*1000*SER_hh_tes_in!I4/SER_hh_num_in!I4)</f>
        <v>53263.589694597911</v>
      </c>
      <c r="J4" s="130">
        <f>IF(SER_hh_tes_in!J4=0,0,11630*1000*SER_hh_tes_in!J4/SER_hh_num_in!J4)</f>
        <v>55234.492817539016</v>
      </c>
      <c r="K4" s="130">
        <f>IF(SER_hh_tes_in!K4=0,0,11630*1000*SER_hh_tes_in!K4/SER_hh_num_in!K4)</f>
        <v>51552.212449752333</v>
      </c>
      <c r="L4" s="130">
        <f>IF(SER_hh_tes_in!L4=0,0,11630*1000*SER_hh_tes_in!L4/SER_hh_num_in!L4)</f>
        <v>57264.100403274977</v>
      </c>
      <c r="M4" s="130">
        <f>IF(SER_hh_tes_in!M4=0,0,11630*1000*SER_hh_tes_in!M4/SER_hh_num_in!M4)</f>
        <v>52950.368147095222</v>
      </c>
      <c r="N4" s="130">
        <f>IF(SER_hh_tes_in!N4=0,0,11630*1000*SER_hh_tes_in!N4/SER_hh_num_in!N4)</f>
        <v>46664.205867293909</v>
      </c>
      <c r="O4" s="130">
        <f>IF(SER_hh_tes_in!O4=0,0,11630*1000*SER_hh_tes_in!O4/SER_hh_num_in!O4)</f>
        <v>43041.48896218327</v>
      </c>
      <c r="P4" s="130">
        <f>IF(SER_hh_tes_in!P4=0,0,11630*1000*SER_hh_tes_in!P4/SER_hh_num_in!P4)</f>
        <v>34757.414194773031</v>
      </c>
      <c r="Q4" s="130">
        <f>IF(SER_hh_tes_in!Q4=0,0,11630*1000*SER_hh_tes_in!Q4/SER_hh_num_in!Q4)</f>
        <v>40194.315728028458</v>
      </c>
      <c r="R4" s="130">
        <f>IF(SER_hh_tes_in!R4=0,0,11630*1000*SER_hh_tes_in!R4/SER_hh_num_in!R4)</f>
        <v>39359.035553107642</v>
      </c>
      <c r="S4" s="130">
        <f>IF(SER_hh_tes_in!S4=0,0,11630*1000*SER_hh_tes_in!S4/SER_hh_num_in!S4)</f>
        <v>42216.384026866741</v>
      </c>
      <c r="T4" s="130">
        <f>IF(SER_hh_tes_in!T4=0,0,11630*1000*SER_hh_tes_in!T4/SER_hh_num_in!T4)</f>
        <v>43314.970871711252</v>
      </c>
      <c r="U4" s="130">
        <f>IF(SER_hh_tes_in!U4=0,0,11630*1000*SER_hh_tes_in!U4/SER_hh_num_in!U4)</f>
        <v>40788.700442369838</v>
      </c>
      <c r="V4" s="130">
        <f>IF(SER_hh_tes_in!V4=0,0,11630*1000*SER_hh_tes_in!V4/SER_hh_num_in!V4)</f>
        <v>34340.603485080246</v>
      </c>
      <c r="W4" s="130">
        <f>IF(SER_hh_tes_in!W4=0,0,11630*1000*SER_hh_tes_in!W4/SER_hh_num_in!W4)</f>
        <v>34830.792290150806</v>
      </c>
      <c r="X4" s="130">
        <f>IF(SER_hh_tes_in!X4=0,0,11630*1000*SER_hh_tes_in!X4/SER_hh_num_in!X4)</f>
        <v>33615.519063412241</v>
      </c>
      <c r="Y4" s="130">
        <f>IF(SER_hh_tes_in!Y4=0,0,11630*1000*SER_hh_tes_in!Y4/SER_hh_num_in!Y4)</f>
        <v>31858.999618489208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48688.472870670463</v>
      </c>
      <c r="D5" s="132">
        <f>IF(SER_hh_tes_in!D5=0,0,11630*1000*SER_hh_tes_in!D5/SER_hh_num_in!D5)</f>
        <v>66551.33130224995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59894.68002279145</v>
      </c>
      <c r="K5" s="132">
        <f>IF(SER_hh_tes_in!K5=0,0,11630*1000*SER_hh_tes_in!K5/SER_hh_num_in!K5)</f>
        <v>55882.913048603579</v>
      </c>
      <c r="L5" s="132">
        <f>IF(SER_hh_tes_in!L5=0,0,11630*1000*SER_hh_tes_in!L5/SER_hh_num_in!L5)</f>
        <v>33808.750884514047</v>
      </c>
      <c r="M5" s="132">
        <f>IF(SER_hh_tes_in!M5=0,0,11630*1000*SER_hh_tes_in!M5/SER_hh_num_in!M5)</f>
        <v>71336.665721008249</v>
      </c>
      <c r="N5" s="132">
        <f>IF(SER_hh_tes_in!N5=0,0,11630*1000*SER_hh_tes_in!N5/SER_hh_num_in!N5)</f>
        <v>71769.850127760728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71409.961767611254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0</v>
      </c>
      <c r="D6" s="132">
        <f>IF(SER_hh_tes_in!D6=0,0,11630*1000*SER_hh_tes_in!D6/SER_hh_num_in!D6)</f>
        <v>0</v>
      </c>
      <c r="E6" s="132">
        <f>IF(SER_hh_tes_in!E6=0,0,11630*1000*SER_hh_tes_in!E6/SER_hh_num_in!E6)</f>
        <v>0</v>
      </c>
      <c r="F6" s="132">
        <f>IF(SER_hh_tes_in!F6=0,0,11630*1000*SER_hh_tes_in!F6/SER_hh_num_in!F6)</f>
        <v>0</v>
      </c>
      <c r="G6" s="132">
        <f>IF(SER_hh_tes_in!G6=0,0,11630*1000*SER_hh_tes_in!G6/SER_hh_num_in!G6)</f>
        <v>0</v>
      </c>
      <c r="H6" s="132">
        <f>IF(SER_hh_tes_in!H6=0,0,11630*1000*SER_hh_tes_in!H6/SER_hh_num_in!H6)</f>
        <v>0</v>
      </c>
      <c r="I6" s="132">
        <f>IF(SER_hh_tes_in!I6=0,0,11630*1000*SER_hh_tes_in!I6/SER_hh_num_in!I6)</f>
        <v>0</v>
      </c>
      <c r="J6" s="132">
        <f>IF(SER_hh_tes_in!J6=0,0,11630*1000*SER_hh_tes_in!J6/SER_hh_num_in!J6)</f>
        <v>0</v>
      </c>
      <c r="K6" s="132">
        <f>IF(SER_hh_tes_in!K6=0,0,11630*1000*SER_hh_tes_in!K6/SER_hh_num_in!K6)</f>
        <v>0</v>
      </c>
      <c r="L6" s="132">
        <f>IF(SER_hh_tes_in!L6=0,0,11630*1000*SER_hh_tes_in!L6/SER_hh_num_in!L6)</f>
        <v>0</v>
      </c>
      <c r="M6" s="132">
        <f>IF(SER_hh_tes_in!M6=0,0,11630*1000*SER_hh_tes_in!M6/SER_hh_num_in!M6)</f>
        <v>0</v>
      </c>
      <c r="N6" s="132">
        <f>IF(SER_hh_tes_in!N6=0,0,11630*1000*SER_hh_tes_in!N6/SER_hh_num_in!N6)</f>
        <v>0</v>
      </c>
      <c r="O6" s="132">
        <f>IF(SER_hh_tes_in!O6=0,0,11630*1000*SER_hh_tes_in!O6/SER_hh_num_in!O6)</f>
        <v>0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0</v>
      </c>
      <c r="T6" s="132">
        <f>IF(SER_hh_tes_in!T6=0,0,11630*1000*SER_hh_tes_in!T6/SER_hh_num_in!T6)</f>
        <v>0</v>
      </c>
      <c r="U6" s="132">
        <f>IF(SER_hh_tes_in!U6=0,0,11630*1000*SER_hh_tes_in!U6/SER_hh_num_in!U6)</f>
        <v>0</v>
      </c>
      <c r="V6" s="132">
        <f>IF(SER_hh_tes_in!V6=0,0,11630*1000*SER_hh_tes_in!V6/SER_hh_num_in!V6)</f>
        <v>0</v>
      </c>
      <c r="W6" s="132">
        <f>IF(SER_hh_tes_in!W6=0,0,11630*1000*SER_hh_tes_in!W6/SER_hh_num_in!W6)</f>
        <v>0</v>
      </c>
      <c r="X6" s="132">
        <f>IF(SER_hh_tes_in!X6=0,0,11630*1000*SER_hh_tes_in!X6/SER_hh_num_in!X6)</f>
        <v>0</v>
      </c>
      <c r="Y6" s="132">
        <f>IF(SER_hh_tes_in!Y6=0,0,11630*1000*SER_hh_tes_in!Y6/SER_hh_num_in!Y6)</f>
        <v>0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61243.736626497557</v>
      </c>
      <c r="D7" s="132">
        <f>IF(SER_hh_tes_in!D7=0,0,11630*1000*SER_hh_tes_in!D7/SER_hh_num_in!D7)</f>
        <v>66725.090108397941</v>
      </c>
      <c r="E7" s="132">
        <f>IF(SER_hh_tes_in!E7=0,0,11630*1000*SER_hh_tes_in!E7/SER_hh_num_in!E7)</f>
        <v>64707.055497630536</v>
      </c>
      <c r="F7" s="132">
        <f>IF(SER_hh_tes_in!F7=0,0,11630*1000*SER_hh_tes_in!F7/SER_hh_num_in!F7)</f>
        <v>65309.782838082967</v>
      </c>
      <c r="G7" s="132">
        <f>IF(SER_hh_tes_in!G7=0,0,11630*1000*SER_hh_tes_in!G7/SER_hh_num_in!G7)</f>
        <v>62214.946636851106</v>
      </c>
      <c r="H7" s="132">
        <f>IF(SER_hh_tes_in!H7=0,0,11630*1000*SER_hh_tes_in!H7/SER_hh_num_in!H7)</f>
        <v>0</v>
      </c>
      <c r="I7" s="132">
        <f>IF(SER_hh_tes_in!I7=0,0,11630*1000*SER_hh_tes_in!I7/SER_hh_num_in!I7)</f>
        <v>0</v>
      </c>
      <c r="J7" s="132">
        <f>IF(SER_hh_tes_in!J7=0,0,11630*1000*SER_hh_tes_in!J7/SER_hh_num_in!J7)</f>
        <v>0</v>
      </c>
      <c r="K7" s="132">
        <f>IF(SER_hh_tes_in!K7=0,0,11630*1000*SER_hh_tes_in!K7/SER_hh_num_in!K7)</f>
        <v>51406.3827051017</v>
      </c>
      <c r="L7" s="132">
        <f>IF(SER_hh_tes_in!L7=0,0,11630*1000*SER_hh_tes_in!L7/SER_hh_num_in!L7)</f>
        <v>52994.836368378754</v>
      </c>
      <c r="M7" s="132">
        <f>IF(SER_hh_tes_in!M7=0,0,11630*1000*SER_hh_tes_in!M7/SER_hh_num_in!M7)</f>
        <v>52283.517777740366</v>
      </c>
      <c r="N7" s="132">
        <f>IF(SER_hh_tes_in!N7=0,0,11630*1000*SER_hh_tes_in!N7/SER_hh_num_in!N7)</f>
        <v>45545.437876877848</v>
      </c>
      <c r="O7" s="132">
        <f>IF(SER_hh_tes_in!O7=0,0,11630*1000*SER_hh_tes_in!O7/SER_hh_num_in!O7)</f>
        <v>40719.219067431179</v>
      </c>
      <c r="P7" s="132">
        <f>IF(SER_hh_tes_in!P7=0,0,11630*1000*SER_hh_tes_in!P7/SER_hh_num_in!P7)</f>
        <v>31006.162388677036</v>
      </c>
      <c r="Q7" s="132">
        <f>IF(SER_hh_tes_in!Q7=0,0,11630*1000*SER_hh_tes_in!Q7/SER_hh_num_in!Q7)</f>
        <v>40646.528327102154</v>
      </c>
      <c r="R7" s="132">
        <f>IF(SER_hh_tes_in!R7=0,0,11630*1000*SER_hh_tes_in!R7/SER_hh_num_in!R7)</f>
        <v>40454.609784849075</v>
      </c>
      <c r="S7" s="132">
        <f>IF(SER_hh_tes_in!S7=0,0,11630*1000*SER_hh_tes_in!S7/SER_hh_num_in!S7)</f>
        <v>43189.83227809301</v>
      </c>
      <c r="T7" s="132">
        <f>IF(SER_hh_tes_in!T7=0,0,11630*1000*SER_hh_tes_in!T7/SER_hh_num_in!T7)</f>
        <v>0</v>
      </c>
      <c r="U7" s="132">
        <f>IF(SER_hh_tes_in!U7=0,0,11630*1000*SER_hh_tes_in!U7/SER_hh_num_in!U7)</f>
        <v>0</v>
      </c>
      <c r="V7" s="132">
        <f>IF(SER_hh_tes_in!V7=0,0,11630*1000*SER_hh_tes_in!V7/SER_hh_num_in!V7)</f>
        <v>0</v>
      </c>
      <c r="W7" s="132">
        <f>IF(SER_hh_tes_in!W7=0,0,11630*1000*SER_hh_tes_in!W7/SER_hh_num_in!W7)</f>
        <v>0</v>
      </c>
      <c r="X7" s="132">
        <f>IF(SER_hh_tes_in!X7=0,0,11630*1000*SER_hh_tes_in!X7/SER_hh_num_in!X7)</f>
        <v>32993.664532710703</v>
      </c>
      <c r="Y7" s="132">
        <f>IF(SER_hh_tes_in!Y7=0,0,11630*1000*SER_hh_tes_in!Y7/SER_hh_num_in!Y7)</f>
        <v>30487.954617775373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0</v>
      </c>
      <c r="D8" s="132">
        <f>IF(SER_hh_tes_in!D8=0,0,11630*1000*SER_hh_tes_in!D8/SER_hh_num_in!D8)</f>
        <v>0</v>
      </c>
      <c r="E8" s="132">
        <f>IF(SER_hh_tes_in!E8=0,0,11630*1000*SER_hh_tes_in!E8/SER_hh_num_in!E8)</f>
        <v>0</v>
      </c>
      <c r="F8" s="132">
        <f>IF(SER_hh_tes_in!F8=0,0,11630*1000*SER_hh_tes_in!F8/SER_hh_num_in!F8)</f>
        <v>0</v>
      </c>
      <c r="G8" s="132">
        <f>IF(SER_hh_tes_in!G8=0,0,11630*1000*SER_hh_tes_in!G8/SER_hh_num_in!G8)</f>
        <v>0</v>
      </c>
      <c r="H8" s="132">
        <f>IF(SER_hh_tes_in!H8=0,0,11630*1000*SER_hh_tes_in!H8/SER_hh_num_in!H8)</f>
        <v>0</v>
      </c>
      <c r="I8" s="132">
        <f>IF(SER_hh_tes_in!I8=0,0,11630*1000*SER_hh_tes_in!I8/SER_hh_num_in!I8)</f>
        <v>0</v>
      </c>
      <c r="J8" s="132">
        <f>IF(SER_hh_tes_in!J8=0,0,11630*1000*SER_hh_tes_in!J8/SER_hh_num_in!J8)</f>
        <v>0</v>
      </c>
      <c r="K8" s="132">
        <f>IF(SER_hh_tes_in!K8=0,0,11630*1000*SER_hh_tes_in!K8/SER_hh_num_in!K8)</f>
        <v>0</v>
      </c>
      <c r="L8" s="132">
        <f>IF(SER_hh_tes_in!L8=0,0,11630*1000*SER_hh_tes_in!L8/SER_hh_num_in!L8)</f>
        <v>0</v>
      </c>
      <c r="M8" s="132">
        <f>IF(SER_hh_tes_in!M8=0,0,11630*1000*SER_hh_tes_in!M8/SER_hh_num_in!M8)</f>
        <v>0</v>
      </c>
      <c r="N8" s="132">
        <f>IF(SER_hh_tes_in!N8=0,0,11630*1000*SER_hh_tes_in!N8/SER_hh_num_in!N8)</f>
        <v>0</v>
      </c>
      <c r="O8" s="132">
        <f>IF(SER_hh_tes_in!O8=0,0,11630*1000*SER_hh_tes_in!O8/SER_hh_num_in!O8)</f>
        <v>0</v>
      </c>
      <c r="P8" s="132">
        <f>IF(SER_hh_tes_in!P8=0,0,11630*1000*SER_hh_tes_in!P8/SER_hh_num_in!P8)</f>
        <v>0</v>
      </c>
      <c r="Q8" s="132">
        <f>IF(SER_hh_tes_in!Q8=0,0,11630*1000*SER_hh_tes_in!Q8/SER_hh_num_in!Q8)</f>
        <v>0</v>
      </c>
      <c r="R8" s="132">
        <f>IF(SER_hh_tes_in!R8=0,0,11630*1000*SER_hh_tes_in!R8/SER_hh_num_in!R8)</f>
        <v>0</v>
      </c>
      <c r="S8" s="132">
        <f>IF(SER_hh_tes_in!S8=0,0,11630*1000*SER_hh_tes_in!S8/SER_hh_num_in!S8)</f>
        <v>0</v>
      </c>
      <c r="T8" s="132">
        <f>IF(SER_hh_tes_in!T8=0,0,11630*1000*SER_hh_tes_in!T8/SER_hh_num_in!T8)</f>
        <v>0</v>
      </c>
      <c r="U8" s="132">
        <f>IF(SER_hh_tes_in!U8=0,0,11630*1000*SER_hh_tes_in!U8/SER_hh_num_in!U8)</f>
        <v>0</v>
      </c>
      <c r="V8" s="132">
        <f>IF(SER_hh_tes_in!V8=0,0,11630*1000*SER_hh_tes_in!V8/SER_hh_num_in!V8)</f>
        <v>0</v>
      </c>
      <c r="W8" s="132">
        <f>IF(SER_hh_tes_in!W8=0,0,11630*1000*SER_hh_tes_in!W8/SER_hh_num_in!W8)</f>
        <v>0</v>
      </c>
      <c r="X8" s="132">
        <f>IF(SER_hh_tes_in!X8=0,0,11630*1000*SER_hh_tes_in!X8/SER_hh_num_in!X8)</f>
        <v>0</v>
      </c>
      <c r="Y8" s="132">
        <f>IF(SER_hh_tes_in!Y8=0,0,11630*1000*SER_hh_tes_in!Y8/SER_hh_num_in!Y8)</f>
        <v>0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70126.379055859652</v>
      </c>
      <c r="D9" s="132">
        <f>IF(SER_hh_tes_in!D9=0,0,11630*1000*SER_hh_tes_in!D9/SER_hh_num_in!D9)</f>
        <v>61226.136641554382</v>
      </c>
      <c r="E9" s="132">
        <f>IF(SER_hh_tes_in!E9=0,0,11630*1000*SER_hh_tes_in!E9/SER_hh_num_in!E9)</f>
        <v>62192.883768480089</v>
      </c>
      <c r="F9" s="132">
        <f>IF(SER_hh_tes_in!F9=0,0,11630*1000*SER_hh_tes_in!F9/SER_hh_num_in!F9)</f>
        <v>62156.168379880139</v>
      </c>
      <c r="G9" s="132">
        <f>IF(SER_hh_tes_in!G9=0,0,11630*1000*SER_hh_tes_in!G9/SER_hh_num_in!G9)</f>
        <v>63361.731221246773</v>
      </c>
      <c r="H9" s="132">
        <f>IF(SER_hh_tes_in!H9=0,0,11630*1000*SER_hh_tes_in!H9/SER_hh_num_in!H9)</f>
        <v>56525.108526389566</v>
      </c>
      <c r="I9" s="132">
        <f>IF(SER_hh_tes_in!I9=0,0,11630*1000*SER_hh_tes_in!I9/SER_hh_num_in!I9)</f>
        <v>50686.496674556052</v>
      </c>
      <c r="J9" s="132">
        <f>IF(SER_hh_tes_in!J9=0,0,11630*1000*SER_hh_tes_in!J9/SER_hh_num_in!J9)</f>
        <v>52653.170887122207</v>
      </c>
      <c r="K9" s="132">
        <f>IF(SER_hh_tes_in!K9=0,0,11630*1000*SER_hh_tes_in!K9/SER_hh_num_in!K9)</f>
        <v>50854.372181640647</v>
      </c>
      <c r="L9" s="132">
        <f>IF(SER_hh_tes_in!L9=0,0,11630*1000*SER_hh_tes_in!L9/SER_hh_num_in!L9)</f>
        <v>59391.392900156578</v>
      </c>
      <c r="M9" s="132">
        <f>IF(SER_hh_tes_in!M9=0,0,11630*1000*SER_hh_tes_in!M9/SER_hh_num_in!M9)</f>
        <v>50568.918361412783</v>
      </c>
      <c r="N9" s="132">
        <f>IF(SER_hh_tes_in!N9=0,0,11630*1000*SER_hh_tes_in!N9/SER_hh_num_in!N9)</f>
        <v>43613.408233849812</v>
      </c>
      <c r="O9" s="132">
        <f>IF(SER_hh_tes_in!O9=0,0,11630*1000*SER_hh_tes_in!O9/SER_hh_num_in!O9)</f>
        <v>40800.450036971451</v>
      </c>
      <c r="P9" s="132">
        <f>IF(SER_hh_tes_in!P9=0,0,11630*1000*SER_hh_tes_in!P9/SER_hh_num_in!P9)</f>
        <v>33868.170008779889</v>
      </c>
      <c r="Q9" s="132">
        <f>IF(SER_hh_tes_in!Q9=0,0,11630*1000*SER_hh_tes_in!Q9/SER_hh_num_in!Q9)</f>
        <v>40309.57309698929</v>
      </c>
      <c r="R9" s="132">
        <f>IF(SER_hh_tes_in!R9=0,0,11630*1000*SER_hh_tes_in!R9/SER_hh_num_in!R9)</f>
        <v>40661.520683129253</v>
      </c>
      <c r="S9" s="132">
        <f>IF(SER_hh_tes_in!S9=0,0,11630*1000*SER_hh_tes_in!S9/SER_hh_num_in!S9)</f>
        <v>41205.377169780608</v>
      </c>
      <c r="T9" s="132">
        <f>IF(SER_hh_tes_in!T9=0,0,11630*1000*SER_hh_tes_in!T9/SER_hh_num_in!T9)</f>
        <v>41300.313947985975</v>
      </c>
      <c r="U9" s="132">
        <f>IF(SER_hh_tes_in!U9=0,0,11630*1000*SER_hh_tes_in!U9/SER_hh_num_in!U9)</f>
        <v>39854.662857652031</v>
      </c>
      <c r="V9" s="132">
        <f>IF(SER_hh_tes_in!V9=0,0,11630*1000*SER_hh_tes_in!V9/SER_hh_num_in!V9)</f>
        <v>34888.79262202559</v>
      </c>
      <c r="W9" s="132">
        <f>IF(SER_hh_tes_in!W9=0,0,11630*1000*SER_hh_tes_in!W9/SER_hh_num_in!W9)</f>
        <v>37603.342260683283</v>
      </c>
      <c r="X9" s="132">
        <f>IF(SER_hh_tes_in!X9=0,0,11630*1000*SER_hh_tes_in!X9/SER_hh_num_in!X9)</f>
        <v>0</v>
      </c>
      <c r="Y9" s="132">
        <f>IF(SER_hh_tes_in!Y9=0,0,11630*1000*SER_hh_tes_in!Y9/SER_hh_num_in!Y9)</f>
        <v>29960.508414465778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0</v>
      </c>
      <c r="D10" s="132">
        <f>IF(SER_hh_tes_in!D10=0,0,11630*1000*SER_hh_tes_in!D10/SER_hh_num_in!D10)</f>
        <v>0</v>
      </c>
      <c r="E10" s="132">
        <f>IF(SER_hh_tes_in!E10=0,0,11630*1000*SER_hh_tes_in!E10/SER_hh_num_in!E10)</f>
        <v>0</v>
      </c>
      <c r="F10" s="132">
        <f>IF(SER_hh_tes_in!F10=0,0,11630*1000*SER_hh_tes_in!F10/SER_hh_num_in!F10)</f>
        <v>0</v>
      </c>
      <c r="G10" s="132">
        <f>IF(SER_hh_tes_in!G10=0,0,11630*1000*SER_hh_tes_in!G10/SER_hh_num_in!G10)</f>
        <v>0</v>
      </c>
      <c r="H10" s="132">
        <f>IF(SER_hh_tes_in!H10=0,0,11630*1000*SER_hh_tes_in!H10/SER_hh_num_in!H10)</f>
        <v>0</v>
      </c>
      <c r="I10" s="132">
        <f>IF(SER_hh_tes_in!I10=0,0,11630*1000*SER_hh_tes_in!I10/SER_hh_num_in!I10)</f>
        <v>75837.968876227475</v>
      </c>
      <c r="J10" s="132">
        <f>IF(SER_hh_tes_in!J10=0,0,11630*1000*SER_hh_tes_in!J10/SER_hh_num_in!J10)</f>
        <v>53209.444921369985</v>
      </c>
      <c r="K10" s="132">
        <f>IF(SER_hh_tes_in!K10=0,0,11630*1000*SER_hh_tes_in!K10/SER_hh_num_in!K10)</f>
        <v>58897.864688437374</v>
      </c>
      <c r="L10" s="132">
        <f>IF(SER_hh_tes_in!L10=0,0,11630*1000*SER_hh_tes_in!L10/SER_hh_num_in!L10)</f>
        <v>49795.51899789428</v>
      </c>
      <c r="M10" s="132">
        <f>IF(SER_hh_tes_in!M10=0,0,11630*1000*SER_hh_tes_in!M10/SER_hh_num_in!M10)</f>
        <v>57638.144479467926</v>
      </c>
      <c r="N10" s="132">
        <f>IF(SER_hh_tes_in!N10=0,0,11630*1000*SER_hh_tes_in!N10/SER_hh_num_in!N10)</f>
        <v>43548.324186343772</v>
      </c>
      <c r="O10" s="132">
        <f>IF(SER_hh_tes_in!O10=0,0,11630*1000*SER_hh_tes_in!O10/SER_hh_num_in!O10)</f>
        <v>36364.869111416403</v>
      </c>
      <c r="P10" s="132">
        <f>IF(SER_hh_tes_in!P10=0,0,11630*1000*SER_hh_tes_in!P10/SER_hh_num_in!P10)</f>
        <v>36906.502691068141</v>
      </c>
      <c r="Q10" s="132">
        <f>IF(SER_hh_tes_in!Q10=0,0,11630*1000*SER_hh_tes_in!Q10/SER_hh_num_in!Q10)</f>
        <v>39078.354766118588</v>
      </c>
      <c r="R10" s="132">
        <f>IF(SER_hh_tes_in!R10=0,0,11630*1000*SER_hh_tes_in!R10/SER_hh_num_in!R10)</f>
        <v>41303.838956686304</v>
      </c>
      <c r="S10" s="132">
        <f>IF(SER_hh_tes_in!S10=0,0,11630*1000*SER_hh_tes_in!S10/SER_hh_num_in!S10)</f>
        <v>41643.417564903975</v>
      </c>
      <c r="T10" s="132">
        <f>IF(SER_hh_tes_in!T10=0,0,11630*1000*SER_hh_tes_in!T10/SER_hh_num_in!T10)</f>
        <v>40741.586110848039</v>
      </c>
      <c r="U10" s="132">
        <f>IF(SER_hh_tes_in!U10=0,0,11630*1000*SER_hh_tes_in!U10/SER_hh_num_in!U10)</f>
        <v>41380.303018232997</v>
      </c>
      <c r="V10" s="132">
        <f>IF(SER_hh_tes_in!V10=0,0,11630*1000*SER_hh_tes_in!V10/SER_hh_num_in!V10)</f>
        <v>38601.148727209853</v>
      </c>
      <c r="W10" s="132">
        <f>IF(SER_hh_tes_in!W10=0,0,11630*1000*SER_hh_tes_in!W10/SER_hh_num_in!W10)</f>
        <v>31599.234712890924</v>
      </c>
      <c r="X10" s="132">
        <f>IF(SER_hh_tes_in!X10=0,0,11630*1000*SER_hh_tes_in!X10/SER_hh_num_in!X10)</f>
        <v>32695.000761060415</v>
      </c>
      <c r="Y10" s="132">
        <f>IF(SER_hh_tes_in!Y10=0,0,11630*1000*SER_hh_tes_in!Y10/SER_hh_num_in!Y10)</f>
        <v>31548.485366352237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0</v>
      </c>
      <c r="D11" s="132">
        <f>IF(SER_hh_tes_in!D11=0,0,11630*1000*SER_hh_tes_in!D11/SER_hh_num_in!D11)</f>
        <v>0</v>
      </c>
      <c r="E11" s="132">
        <f>IF(SER_hh_tes_in!E11=0,0,11630*1000*SER_hh_tes_in!E11/SER_hh_num_in!E11)</f>
        <v>0</v>
      </c>
      <c r="F11" s="132">
        <f>IF(SER_hh_tes_in!F11=0,0,11630*1000*SER_hh_tes_in!F11/SER_hh_num_in!F11)</f>
        <v>0</v>
      </c>
      <c r="G11" s="132">
        <f>IF(SER_hh_tes_in!G11=0,0,11630*1000*SER_hh_tes_in!G11/SER_hh_num_in!G11)</f>
        <v>0</v>
      </c>
      <c r="H11" s="132">
        <f>IF(SER_hh_tes_in!H11=0,0,11630*1000*SER_hh_tes_in!H11/SER_hh_num_in!H11)</f>
        <v>0</v>
      </c>
      <c r="I11" s="132">
        <f>IF(SER_hh_tes_in!I11=0,0,11630*1000*SER_hh_tes_in!I11/SER_hh_num_in!I11)</f>
        <v>78347.40594842752</v>
      </c>
      <c r="J11" s="132">
        <f>IF(SER_hh_tes_in!J11=0,0,11630*1000*SER_hh_tes_in!J11/SER_hh_num_in!J11)</f>
        <v>54036.711652783088</v>
      </c>
      <c r="K11" s="132">
        <f>IF(SER_hh_tes_in!K11=0,0,11630*1000*SER_hh_tes_in!K11/SER_hh_num_in!K11)</f>
        <v>40424.394419334814</v>
      </c>
      <c r="L11" s="132">
        <f>IF(SER_hh_tes_in!L11=0,0,11630*1000*SER_hh_tes_in!L11/SER_hh_num_in!L11)</f>
        <v>64535.091218043162</v>
      </c>
      <c r="M11" s="132">
        <f>IF(SER_hh_tes_in!M11=0,0,11630*1000*SER_hh_tes_in!M11/SER_hh_num_in!M11)</f>
        <v>54631.563990056573</v>
      </c>
      <c r="N11" s="132">
        <f>IF(SER_hh_tes_in!N11=0,0,11630*1000*SER_hh_tes_in!N11/SER_hh_num_in!N11)</f>
        <v>50436.488529517424</v>
      </c>
      <c r="O11" s="132">
        <f>IF(SER_hh_tes_in!O11=0,0,11630*1000*SER_hh_tes_in!O11/SER_hh_num_in!O11)</f>
        <v>0</v>
      </c>
      <c r="P11" s="132">
        <f>IF(SER_hh_tes_in!P11=0,0,11630*1000*SER_hh_tes_in!P11/SER_hh_num_in!P11)</f>
        <v>0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0</v>
      </c>
      <c r="S11" s="132">
        <f>IF(SER_hh_tes_in!S11=0,0,11630*1000*SER_hh_tes_in!S11/SER_hh_num_in!S11)</f>
        <v>0</v>
      </c>
      <c r="T11" s="132">
        <f>IF(SER_hh_tes_in!T11=0,0,11630*1000*SER_hh_tes_in!T11/SER_hh_num_in!T11)</f>
        <v>0</v>
      </c>
      <c r="U11" s="132">
        <f>IF(SER_hh_tes_in!U11=0,0,11630*1000*SER_hh_tes_in!U11/SER_hh_num_in!U11)</f>
        <v>0</v>
      </c>
      <c r="V11" s="132">
        <f>IF(SER_hh_tes_in!V11=0,0,11630*1000*SER_hh_tes_in!V11/SER_hh_num_in!V11)</f>
        <v>0</v>
      </c>
      <c r="W11" s="132">
        <f>IF(SER_hh_tes_in!W11=0,0,11630*1000*SER_hh_tes_in!W11/SER_hh_num_in!W11)</f>
        <v>0</v>
      </c>
      <c r="X11" s="132">
        <f>IF(SER_hh_tes_in!X11=0,0,11630*1000*SER_hh_tes_in!X11/SER_hh_num_in!X11)</f>
        <v>0</v>
      </c>
      <c r="Y11" s="132">
        <f>IF(SER_hh_tes_in!Y11=0,0,11630*1000*SER_hh_tes_in!Y11/SER_hh_num_in!Y11)</f>
        <v>28467.946677340376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64888.376800226353</v>
      </c>
      <c r="D12" s="132">
        <f>IF(SER_hh_tes_in!D12=0,0,11630*1000*SER_hh_tes_in!D12/SER_hh_num_in!D12)</f>
        <v>61770.039573541071</v>
      </c>
      <c r="E12" s="132">
        <f>IF(SER_hh_tes_in!E12=0,0,11630*1000*SER_hh_tes_in!E12/SER_hh_num_in!E12)</f>
        <v>66809.967234557436</v>
      </c>
      <c r="F12" s="132">
        <f>IF(SER_hh_tes_in!F12=0,0,11630*1000*SER_hh_tes_in!F12/SER_hh_num_in!F12)</f>
        <v>63355.260108421986</v>
      </c>
      <c r="G12" s="132">
        <f>IF(SER_hh_tes_in!G12=0,0,11630*1000*SER_hh_tes_in!G12/SER_hh_num_in!G12)</f>
        <v>65672.437711924926</v>
      </c>
      <c r="H12" s="132">
        <f>IF(SER_hh_tes_in!H12=0,0,11630*1000*SER_hh_tes_in!H12/SER_hh_num_in!H12)</f>
        <v>55499.658658636268</v>
      </c>
      <c r="I12" s="132">
        <f>IF(SER_hh_tes_in!I12=0,0,11630*1000*SER_hh_tes_in!I12/SER_hh_num_in!I12)</f>
        <v>50513.915581519279</v>
      </c>
      <c r="J12" s="132">
        <f>IF(SER_hh_tes_in!J12=0,0,11630*1000*SER_hh_tes_in!J12/SER_hh_num_in!J12)</f>
        <v>53629.957498967131</v>
      </c>
      <c r="K12" s="132">
        <f>IF(SER_hh_tes_in!K12=0,0,11630*1000*SER_hh_tes_in!K12/SER_hh_num_in!K12)</f>
        <v>50746.891794393421</v>
      </c>
      <c r="L12" s="132">
        <f>IF(SER_hh_tes_in!L12=0,0,11630*1000*SER_hh_tes_in!L12/SER_hh_num_in!L12)</f>
        <v>56005.244715443536</v>
      </c>
      <c r="M12" s="132">
        <f>IF(SER_hh_tes_in!M12=0,0,11630*1000*SER_hh_tes_in!M12/SER_hh_num_in!M12)</f>
        <v>52788.876830321933</v>
      </c>
      <c r="N12" s="132">
        <f>IF(SER_hh_tes_in!N12=0,0,11630*1000*SER_hh_tes_in!N12/SER_hh_num_in!N12)</f>
        <v>47068.004062856126</v>
      </c>
      <c r="O12" s="132">
        <f>IF(SER_hh_tes_in!O12=0,0,11630*1000*SER_hh_tes_in!O12/SER_hh_num_in!O12)</f>
        <v>46252.113199474239</v>
      </c>
      <c r="P12" s="132">
        <f>IF(SER_hh_tes_in!P12=0,0,11630*1000*SER_hh_tes_in!P12/SER_hh_num_in!P12)</f>
        <v>33808.201552543069</v>
      </c>
      <c r="Q12" s="132">
        <f>IF(SER_hh_tes_in!Q12=0,0,11630*1000*SER_hh_tes_in!Q12/SER_hh_num_in!Q12)</f>
        <v>37830.897998075008</v>
      </c>
      <c r="R12" s="132">
        <f>IF(SER_hh_tes_in!R12=0,0,11630*1000*SER_hh_tes_in!R12/SER_hh_num_in!R12)</f>
        <v>40367.520988047916</v>
      </c>
      <c r="S12" s="132">
        <f>IF(SER_hh_tes_in!S12=0,0,11630*1000*SER_hh_tes_in!S12/SER_hh_num_in!S12)</f>
        <v>0</v>
      </c>
      <c r="T12" s="132">
        <f>IF(SER_hh_tes_in!T12=0,0,11630*1000*SER_hh_tes_in!T12/SER_hh_num_in!T12)</f>
        <v>38264.003326548758</v>
      </c>
      <c r="U12" s="132">
        <f>IF(SER_hh_tes_in!U12=0,0,11630*1000*SER_hh_tes_in!U12/SER_hh_num_in!U12)</f>
        <v>35954.792891175712</v>
      </c>
      <c r="V12" s="132">
        <f>IF(SER_hh_tes_in!V12=0,0,11630*1000*SER_hh_tes_in!V12/SER_hh_num_in!V12)</f>
        <v>36125.555599725289</v>
      </c>
      <c r="W12" s="132">
        <f>IF(SER_hh_tes_in!W12=0,0,11630*1000*SER_hh_tes_in!W12/SER_hh_num_in!W12)</f>
        <v>37446.598852557188</v>
      </c>
      <c r="X12" s="132">
        <f>IF(SER_hh_tes_in!X12=0,0,11630*1000*SER_hh_tes_in!X12/SER_hh_num_in!X12)</f>
        <v>25940.259486206327</v>
      </c>
      <c r="Y12" s="132">
        <f>IF(SER_hh_tes_in!Y12=0,0,11630*1000*SER_hh_tes_in!Y12/SER_hh_num_in!Y12)</f>
        <v>33285.132459063672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0</v>
      </c>
      <c r="D13" s="132">
        <f>IF(SER_hh_tes_in!D13=0,0,11630*1000*SER_hh_tes_in!D13/SER_hh_num_in!D13)</f>
        <v>0</v>
      </c>
      <c r="E13" s="132">
        <f>IF(SER_hh_tes_in!E13=0,0,11630*1000*SER_hh_tes_in!E13/SER_hh_num_in!E13)</f>
        <v>0</v>
      </c>
      <c r="F13" s="132">
        <f>IF(SER_hh_tes_in!F13=0,0,11630*1000*SER_hh_tes_in!F13/SER_hh_num_in!F13)</f>
        <v>0</v>
      </c>
      <c r="G13" s="132">
        <f>IF(SER_hh_tes_in!G13=0,0,11630*1000*SER_hh_tes_in!G13/SER_hh_num_in!G13)</f>
        <v>0</v>
      </c>
      <c r="H13" s="132">
        <f>IF(SER_hh_tes_in!H13=0,0,11630*1000*SER_hh_tes_in!H13/SER_hh_num_in!H13)</f>
        <v>0</v>
      </c>
      <c r="I13" s="132">
        <f>IF(SER_hh_tes_in!I13=0,0,11630*1000*SER_hh_tes_in!I13/SER_hh_num_in!I13)</f>
        <v>0</v>
      </c>
      <c r="J13" s="132">
        <f>IF(SER_hh_tes_in!J13=0,0,11630*1000*SER_hh_tes_in!J13/SER_hh_num_in!J13)</f>
        <v>0</v>
      </c>
      <c r="K13" s="132">
        <f>IF(SER_hh_tes_in!K13=0,0,11630*1000*SER_hh_tes_in!K13/SER_hh_num_in!K13)</f>
        <v>0</v>
      </c>
      <c r="L13" s="132">
        <f>IF(SER_hh_tes_in!L13=0,0,11630*1000*SER_hh_tes_in!L13/SER_hh_num_in!L13)</f>
        <v>0</v>
      </c>
      <c r="M13" s="132">
        <f>IF(SER_hh_tes_in!M13=0,0,11630*1000*SER_hh_tes_in!M13/SER_hh_num_in!M13)</f>
        <v>0</v>
      </c>
      <c r="N13" s="132">
        <f>IF(SER_hh_tes_in!N13=0,0,11630*1000*SER_hh_tes_in!N13/SER_hh_num_in!N13)</f>
        <v>0</v>
      </c>
      <c r="O13" s="132">
        <f>IF(SER_hh_tes_in!O13=0,0,11630*1000*SER_hh_tes_in!O13/SER_hh_num_in!O13)</f>
        <v>0</v>
      </c>
      <c r="P13" s="132">
        <f>IF(SER_hh_tes_in!P13=0,0,11630*1000*SER_hh_tes_in!P13/SER_hh_num_in!P13)</f>
        <v>0</v>
      </c>
      <c r="Q13" s="132">
        <f>IF(SER_hh_tes_in!Q13=0,0,11630*1000*SER_hh_tes_in!Q13/SER_hh_num_in!Q13)</f>
        <v>0</v>
      </c>
      <c r="R13" s="132">
        <f>IF(SER_hh_tes_in!R13=0,0,11630*1000*SER_hh_tes_in!R13/SER_hh_num_in!R13)</f>
        <v>0</v>
      </c>
      <c r="S13" s="132">
        <f>IF(SER_hh_tes_in!S13=0,0,11630*1000*SER_hh_tes_in!S13/SER_hh_num_in!S13)</f>
        <v>0</v>
      </c>
      <c r="T13" s="132">
        <f>IF(SER_hh_tes_in!T13=0,0,11630*1000*SER_hh_tes_in!T13/SER_hh_num_in!T13)</f>
        <v>0</v>
      </c>
      <c r="U13" s="132">
        <f>IF(SER_hh_tes_in!U13=0,0,11630*1000*SER_hh_tes_in!U13/SER_hh_num_in!U13)</f>
        <v>0</v>
      </c>
      <c r="V13" s="132">
        <f>IF(SER_hh_tes_in!V13=0,0,11630*1000*SER_hh_tes_in!V13/SER_hh_num_in!V13)</f>
        <v>0</v>
      </c>
      <c r="W13" s="132">
        <f>IF(SER_hh_tes_in!W13=0,0,11630*1000*SER_hh_tes_in!W13/SER_hh_num_in!W13)</f>
        <v>0</v>
      </c>
      <c r="X13" s="132">
        <f>IF(SER_hh_tes_in!X13=0,0,11630*1000*SER_hh_tes_in!X13/SER_hh_num_in!X13)</f>
        <v>0</v>
      </c>
      <c r="Y13" s="132">
        <f>IF(SER_hh_tes_in!Y13=0,0,11630*1000*SER_hh_tes_in!Y13/SER_hh_num_in!Y13)</f>
        <v>0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64882.228273468274</v>
      </c>
      <c r="D14" s="65">
        <f>IF(SER_hh_tes_in!D14=0,0,11630*1000*SER_hh_tes_in!D14/SER_hh_num_in!D14)</f>
        <v>66220.474419783102</v>
      </c>
      <c r="E14" s="65">
        <f>IF(SER_hh_tes_in!E14=0,0,11630*1000*SER_hh_tes_in!E14/SER_hh_num_in!E14)</f>
        <v>61001.054540595382</v>
      </c>
      <c r="F14" s="65">
        <f>IF(SER_hh_tes_in!F14=0,0,11630*1000*SER_hh_tes_in!F14/SER_hh_num_in!F14)</f>
        <v>62331.281422626751</v>
      </c>
      <c r="G14" s="65">
        <f>IF(SER_hh_tes_in!G14=0,0,11630*1000*SER_hh_tes_in!G14/SER_hh_num_in!G14)</f>
        <v>65284.44354925595</v>
      </c>
      <c r="H14" s="65">
        <f>IF(SER_hh_tes_in!H14=0,0,11630*1000*SER_hh_tes_in!H14/SER_hh_num_in!H14)</f>
        <v>57366.677034312634</v>
      </c>
      <c r="I14" s="65">
        <f>IF(SER_hh_tes_in!I14=0,0,11630*1000*SER_hh_tes_in!I14/SER_hh_num_in!I14)</f>
        <v>49250.277918761931</v>
      </c>
      <c r="J14" s="65">
        <f>IF(SER_hh_tes_in!J14=0,0,11630*1000*SER_hh_tes_in!J14/SER_hh_num_in!J14)</f>
        <v>57152.243380606531</v>
      </c>
      <c r="K14" s="65">
        <f>IF(SER_hh_tes_in!K14=0,0,11630*1000*SER_hh_tes_in!K14/SER_hh_num_in!K14)</f>
        <v>53141.077130360361</v>
      </c>
      <c r="L14" s="65">
        <f>IF(SER_hh_tes_in!L14=0,0,11630*1000*SER_hh_tes_in!L14/SER_hh_num_in!L14)</f>
        <v>53320.35717977451</v>
      </c>
      <c r="M14" s="65">
        <f>IF(SER_hh_tes_in!M14=0,0,11630*1000*SER_hh_tes_in!M14/SER_hh_num_in!M14)</f>
        <v>52825.050342319708</v>
      </c>
      <c r="N14" s="65">
        <f>IF(SER_hh_tes_in!N14=0,0,11630*1000*SER_hh_tes_in!N14/SER_hh_num_in!N14)</f>
        <v>48647.460581427658</v>
      </c>
      <c r="O14" s="65">
        <f>IF(SER_hh_tes_in!O14=0,0,11630*1000*SER_hh_tes_in!O14/SER_hh_num_in!O14)</f>
        <v>46166.105540873999</v>
      </c>
      <c r="P14" s="65">
        <f>IF(SER_hh_tes_in!P14=0,0,11630*1000*SER_hh_tes_in!P14/SER_hh_num_in!P14)</f>
        <v>36019.316018579011</v>
      </c>
      <c r="Q14" s="65">
        <f>IF(SER_hh_tes_in!Q14=0,0,11630*1000*SER_hh_tes_in!Q14/SER_hh_num_in!Q14)</f>
        <v>35700.074844551469</v>
      </c>
      <c r="R14" s="65">
        <f>IF(SER_hh_tes_in!R14=0,0,11630*1000*SER_hh_tes_in!R14/SER_hh_num_in!R14)</f>
        <v>37266.826524457756</v>
      </c>
      <c r="S14" s="65">
        <f>IF(SER_hh_tes_in!S14=0,0,11630*1000*SER_hh_tes_in!S14/SER_hh_num_in!S14)</f>
        <v>42249.619909428242</v>
      </c>
      <c r="T14" s="65">
        <f>IF(SER_hh_tes_in!T14=0,0,11630*1000*SER_hh_tes_in!T14/SER_hh_num_in!T14)</f>
        <v>44455.646939469545</v>
      </c>
      <c r="U14" s="65">
        <f>IF(SER_hh_tes_in!U14=0,0,11630*1000*SER_hh_tes_in!U14/SER_hh_num_in!U14)</f>
        <v>42333.64297860716</v>
      </c>
      <c r="V14" s="65">
        <f>IF(SER_hh_tes_in!V14=0,0,11630*1000*SER_hh_tes_in!V14/SER_hh_num_in!V14)</f>
        <v>31936.727306264922</v>
      </c>
      <c r="W14" s="65">
        <f>IF(SER_hh_tes_in!W14=0,0,11630*1000*SER_hh_tes_in!W14/SER_hh_num_in!W14)</f>
        <v>32872.024331027991</v>
      </c>
      <c r="X14" s="65">
        <f>IF(SER_hh_tes_in!X14=0,0,11630*1000*SER_hh_tes_in!X14/SER_hh_num_in!X14)</f>
        <v>34507.406059762739</v>
      </c>
      <c r="Y14" s="65">
        <f>IF(SER_hh_tes_in!Y14=0,0,11630*1000*SER_hh_tes_in!Y14/SER_hh_num_in!Y14)</f>
        <v>31742.91646035255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1115.1583319809611</v>
      </c>
      <c r="D15" s="134">
        <f>IF(SER_hh_tes_in!D15=0,0,11630*1000*SER_hh_tes_in!D15/SER_hh_num_in!D15)</f>
        <v>981.77615232667995</v>
      </c>
      <c r="E15" s="134">
        <f>IF(SER_hh_tes_in!E15=0,0,11630*1000*SER_hh_tes_in!E15/SER_hh_num_in!E15)</f>
        <v>941.05589013586837</v>
      </c>
      <c r="F15" s="134">
        <f>IF(SER_hh_tes_in!F15=0,0,11630*1000*SER_hh_tes_in!F15/SER_hh_num_in!F15)</f>
        <v>875.94769061120064</v>
      </c>
      <c r="G15" s="134">
        <f>IF(SER_hh_tes_in!G15=0,0,11630*1000*SER_hh_tes_in!G15/SER_hh_num_in!G15)</f>
        <v>831.07433127161585</v>
      </c>
      <c r="H15" s="134">
        <f>IF(SER_hh_tes_in!H15=0,0,11630*1000*SER_hh_tes_in!H15/SER_hh_num_in!H15)</f>
        <v>772.02171464731919</v>
      </c>
      <c r="I15" s="134">
        <f>IF(SER_hh_tes_in!I15=0,0,11630*1000*SER_hh_tes_in!I15/SER_hh_num_in!I15)</f>
        <v>595.39599356006431</v>
      </c>
      <c r="J15" s="134">
        <f>IF(SER_hh_tes_in!J15=0,0,11630*1000*SER_hh_tes_in!J15/SER_hh_num_in!J15)</f>
        <v>616.58723045577312</v>
      </c>
      <c r="K15" s="134">
        <f>IF(SER_hh_tes_in!K15=0,0,11630*1000*SER_hh_tes_in!K15/SER_hh_num_in!K15)</f>
        <v>571.50857016564714</v>
      </c>
      <c r="L15" s="134">
        <f>IF(SER_hh_tes_in!L15=0,0,11630*1000*SER_hh_tes_in!L15/SER_hh_num_in!L15)</f>
        <v>631.21568777123241</v>
      </c>
      <c r="M15" s="134">
        <f>IF(SER_hh_tes_in!M15=0,0,11630*1000*SER_hh_tes_in!M15/SER_hh_num_in!M15)</f>
        <v>528.95493268082362</v>
      </c>
      <c r="N15" s="134">
        <f>IF(SER_hh_tes_in!N15=0,0,11630*1000*SER_hh_tes_in!N15/SER_hh_num_in!N15)</f>
        <v>506.62847619280541</v>
      </c>
      <c r="O15" s="134">
        <f>IF(SER_hh_tes_in!O15=0,0,11630*1000*SER_hh_tes_in!O15/SER_hh_num_in!O15)</f>
        <v>541.97061325130824</v>
      </c>
      <c r="P15" s="134">
        <f>IF(SER_hh_tes_in!P15=0,0,11630*1000*SER_hh_tes_in!P15/SER_hh_num_in!P15)</f>
        <v>530.80802579601709</v>
      </c>
      <c r="Q15" s="134">
        <f>IF(SER_hh_tes_in!Q15=0,0,11630*1000*SER_hh_tes_in!Q15/SER_hh_num_in!Q15)</f>
        <v>637.36830185359418</v>
      </c>
      <c r="R15" s="134">
        <f>IF(SER_hh_tes_in!R15=0,0,11630*1000*SER_hh_tes_in!R15/SER_hh_num_in!R15)</f>
        <v>631.25187860909512</v>
      </c>
      <c r="S15" s="134">
        <f>IF(SER_hh_tes_in!S15=0,0,11630*1000*SER_hh_tes_in!S15/SER_hh_num_in!S15)</f>
        <v>637.53048572489797</v>
      </c>
      <c r="T15" s="134">
        <f>IF(SER_hh_tes_in!T15=0,0,11630*1000*SER_hh_tes_in!T15/SER_hh_num_in!T15)</f>
        <v>573.26499907984169</v>
      </c>
      <c r="U15" s="134">
        <f>IF(SER_hh_tes_in!U15=0,0,11630*1000*SER_hh_tes_in!U15/SER_hh_num_in!U15)</f>
        <v>494.19387160950868</v>
      </c>
      <c r="V15" s="134">
        <f>IF(SER_hh_tes_in!V15=0,0,11630*1000*SER_hh_tes_in!V15/SER_hh_num_in!V15)</f>
        <v>404.69536264435544</v>
      </c>
      <c r="W15" s="134">
        <f>IF(SER_hh_tes_in!W15=0,0,11630*1000*SER_hh_tes_in!W15/SER_hh_num_in!W15)</f>
        <v>407.12499897429439</v>
      </c>
      <c r="X15" s="134">
        <f>IF(SER_hh_tes_in!X15=0,0,11630*1000*SER_hh_tes_in!X15/SER_hh_num_in!X15)</f>
        <v>179.89166466835999</v>
      </c>
      <c r="Y15" s="134">
        <f>IF(SER_hh_tes_in!Y15=0,0,11630*1000*SER_hh_tes_in!Y15/SER_hh_num_in!Y15)</f>
        <v>246.8689328262397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22044.712853070589</v>
      </c>
      <c r="D16" s="130">
        <f>IF(SER_hh_tes_in!D16=0,0,11630*1000*SER_hh_tes_in!D16/SER_hh_num_in!D16)</f>
        <v>21115.527224426074</v>
      </c>
      <c r="E16" s="130">
        <f>IF(SER_hh_tes_in!E16=0,0,11630*1000*SER_hh_tes_in!E16/SER_hh_num_in!E16)</f>
        <v>40108.501357112436</v>
      </c>
      <c r="F16" s="130">
        <f>IF(SER_hh_tes_in!F16=0,0,11630*1000*SER_hh_tes_in!F16/SER_hh_num_in!F16)</f>
        <v>20483.335277807197</v>
      </c>
      <c r="G16" s="130">
        <f>IF(SER_hh_tes_in!G16=0,0,11630*1000*SER_hh_tes_in!G16/SER_hh_num_in!G16)</f>
        <v>20480.894827156651</v>
      </c>
      <c r="H16" s="130">
        <f>IF(SER_hh_tes_in!H16=0,0,11630*1000*SER_hh_tes_in!H16/SER_hh_num_in!H16)</f>
        <v>23040.845795589892</v>
      </c>
      <c r="I16" s="130">
        <f>IF(SER_hh_tes_in!I16=0,0,11630*1000*SER_hh_tes_in!I16/SER_hh_num_in!I16)</f>
        <v>23707.8132744711</v>
      </c>
      <c r="J16" s="130">
        <f>IF(SER_hh_tes_in!J16=0,0,11630*1000*SER_hh_tes_in!J16/SER_hh_num_in!J16)</f>
        <v>22710.842182863693</v>
      </c>
      <c r="K16" s="130">
        <f>IF(SER_hh_tes_in!K16=0,0,11630*1000*SER_hh_tes_in!K16/SER_hh_num_in!K16)</f>
        <v>21462.451534023443</v>
      </c>
      <c r="L16" s="130">
        <f>IF(SER_hh_tes_in!L16=0,0,11630*1000*SER_hh_tes_in!L16/SER_hh_num_in!L16)</f>
        <v>21458.665876002902</v>
      </c>
      <c r="M16" s="130">
        <f>IF(SER_hh_tes_in!M16=0,0,11630*1000*SER_hh_tes_in!M16/SER_hh_num_in!M16)</f>
        <v>22788.764914138828</v>
      </c>
      <c r="N16" s="130">
        <f>IF(SER_hh_tes_in!N16=0,0,11630*1000*SER_hh_tes_in!N16/SER_hh_num_in!N16)</f>
        <v>32680.412042169777</v>
      </c>
      <c r="O16" s="130">
        <f>IF(SER_hh_tes_in!O16=0,0,11630*1000*SER_hh_tes_in!O16/SER_hh_num_in!O16)</f>
        <v>21486.697330322168</v>
      </c>
      <c r="P16" s="130">
        <f>IF(SER_hh_tes_in!P16=0,0,11630*1000*SER_hh_tes_in!P16/SER_hh_num_in!P16)</f>
        <v>17565.892306803598</v>
      </c>
      <c r="Q16" s="130">
        <f>IF(SER_hh_tes_in!Q16=0,0,11630*1000*SER_hh_tes_in!Q16/SER_hh_num_in!Q16)</f>
        <v>28332.646407308112</v>
      </c>
      <c r="R16" s="130">
        <f>IF(SER_hh_tes_in!R16=0,0,11630*1000*SER_hh_tes_in!R16/SER_hh_num_in!R16)</f>
        <v>19124.403104496385</v>
      </c>
      <c r="S16" s="130">
        <f>IF(SER_hh_tes_in!S16=0,0,11630*1000*SER_hh_tes_in!S16/SER_hh_num_in!S16)</f>
        <v>26986.424473884203</v>
      </c>
      <c r="T16" s="130">
        <f>IF(SER_hh_tes_in!T16=0,0,11630*1000*SER_hh_tes_in!T16/SER_hh_num_in!T16)</f>
        <v>19794.078266875018</v>
      </c>
      <c r="U16" s="130">
        <f>IF(SER_hh_tes_in!U16=0,0,11630*1000*SER_hh_tes_in!U16/SER_hh_num_in!U16)</f>
        <v>23264.337403210047</v>
      </c>
      <c r="V16" s="130">
        <f>IF(SER_hh_tes_in!V16=0,0,11630*1000*SER_hh_tes_in!V16/SER_hh_num_in!V16)</f>
        <v>17502.549376687726</v>
      </c>
      <c r="W16" s="130">
        <f>IF(SER_hh_tes_in!W16=0,0,11630*1000*SER_hh_tes_in!W16/SER_hh_num_in!W16)</f>
        <v>21378.857456621281</v>
      </c>
      <c r="X16" s="130">
        <f>IF(SER_hh_tes_in!X16=0,0,11630*1000*SER_hh_tes_in!X16/SER_hh_num_in!X16)</f>
        <v>23181.623617697747</v>
      </c>
      <c r="Y16" s="130">
        <f>IF(SER_hh_tes_in!Y16=0,0,11630*1000*SER_hh_tes_in!Y16/SER_hh_num_in!Y16)</f>
        <v>20340.904494819268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22041.433057145972</v>
      </c>
      <c r="D17" s="132">
        <f>IF(SER_hh_tes_in!D17=0,0,11630*1000*SER_hh_tes_in!D17/SER_hh_num_in!D17)</f>
        <v>21135.867419273454</v>
      </c>
      <c r="E17" s="132">
        <f>IF(SER_hh_tes_in!E17=0,0,11630*1000*SER_hh_tes_in!E17/SER_hh_num_in!E17)</f>
        <v>40196.219125156356</v>
      </c>
      <c r="F17" s="132">
        <f>IF(SER_hh_tes_in!F17=0,0,11630*1000*SER_hh_tes_in!F17/SER_hh_num_in!F17)</f>
        <v>20529.845808304515</v>
      </c>
      <c r="G17" s="132">
        <f>IF(SER_hh_tes_in!G17=0,0,11630*1000*SER_hh_tes_in!G17/SER_hh_num_in!G17)</f>
        <v>20521.311272989093</v>
      </c>
      <c r="H17" s="132">
        <f>IF(SER_hh_tes_in!H17=0,0,11630*1000*SER_hh_tes_in!H17/SER_hh_num_in!H17)</f>
        <v>23076.916170918696</v>
      </c>
      <c r="I17" s="132">
        <f>IF(SER_hh_tes_in!I17=0,0,11630*1000*SER_hh_tes_in!I17/SER_hh_num_in!I17)</f>
        <v>30716.395243873416</v>
      </c>
      <c r="J17" s="132">
        <f>IF(SER_hh_tes_in!J17=0,0,11630*1000*SER_hh_tes_in!J17/SER_hh_num_in!J17)</f>
        <v>27816.719861104149</v>
      </c>
      <c r="K17" s="132">
        <f>IF(SER_hh_tes_in!K17=0,0,11630*1000*SER_hh_tes_in!K17/SER_hh_num_in!K17)</f>
        <v>21456.474440978429</v>
      </c>
      <c r="L17" s="132">
        <f>IF(SER_hh_tes_in!L17=0,0,11630*1000*SER_hh_tes_in!L17/SER_hh_num_in!L17)</f>
        <v>21443.764887233781</v>
      </c>
      <c r="M17" s="132">
        <f>IF(SER_hh_tes_in!M17=0,0,11630*1000*SER_hh_tes_in!M17/SER_hh_num_in!M17)</f>
        <v>22787.279772749105</v>
      </c>
      <c r="N17" s="132">
        <f>IF(SER_hh_tes_in!N17=0,0,11630*1000*SER_hh_tes_in!N17/SER_hh_num_in!N17)</f>
        <v>28530.548370568747</v>
      </c>
      <c r="O17" s="132">
        <f>IF(SER_hh_tes_in!O17=0,0,11630*1000*SER_hh_tes_in!O17/SER_hh_num_in!O17)</f>
        <v>21684.165718628366</v>
      </c>
      <c r="P17" s="132">
        <f>IF(SER_hh_tes_in!P17=0,0,11630*1000*SER_hh_tes_in!P17/SER_hh_num_in!P17)</f>
        <v>14509.043729655319</v>
      </c>
      <c r="Q17" s="132">
        <f>IF(SER_hh_tes_in!Q17=0,0,11630*1000*SER_hh_tes_in!Q17/SER_hh_num_in!Q17)</f>
        <v>29767.890125998601</v>
      </c>
      <c r="R17" s="132">
        <f>IF(SER_hh_tes_in!R17=0,0,11630*1000*SER_hh_tes_in!R17/SER_hh_num_in!R17)</f>
        <v>19455.517074285621</v>
      </c>
      <c r="S17" s="132">
        <f>IF(SER_hh_tes_in!S17=0,0,11630*1000*SER_hh_tes_in!S17/SER_hh_num_in!S17)</f>
        <v>27376.08446898239</v>
      </c>
      <c r="T17" s="132">
        <f>IF(SER_hh_tes_in!T17=0,0,11630*1000*SER_hh_tes_in!T17/SER_hh_num_in!T17)</f>
        <v>20062.196769074821</v>
      </c>
      <c r="U17" s="132">
        <f>IF(SER_hh_tes_in!U17=0,0,11630*1000*SER_hh_tes_in!U17/SER_hh_num_in!U17)</f>
        <v>23562.893128359992</v>
      </c>
      <c r="V17" s="132">
        <f>IF(SER_hh_tes_in!V17=0,0,11630*1000*SER_hh_tes_in!V17/SER_hh_num_in!V17)</f>
        <v>14485.276452068758</v>
      </c>
      <c r="W17" s="132">
        <f>IF(SER_hh_tes_in!W17=0,0,11630*1000*SER_hh_tes_in!W17/SER_hh_num_in!W17)</f>
        <v>17756.144386805918</v>
      </c>
      <c r="X17" s="132">
        <f>IF(SER_hh_tes_in!X17=0,0,11630*1000*SER_hh_tes_in!X17/SER_hh_num_in!X17)</f>
        <v>23339.278517112489</v>
      </c>
      <c r="Y17" s="132">
        <f>IF(SER_hh_tes_in!Y17=0,0,11630*1000*SER_hh_tes_in!Y17/SER_hh_num_in!Y17)</f>
        <v>23558.32085371179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22044.715953118452</v>
      </c>
      <c r="D18" s="132">
        <f>IF(SER_hh_tes_in!D18=0,0,11630*1000*SER_hh_tes_in!D18/SER_hh_num_in!D18)</f>
        <v>21115.495024052743</v>
      </c>
      <c r="E18" s="132">
        <f>IF(SER_hh_tes_in!E18=0,0,11630*1000*SER_hh_tes_in!E18/SER_hh_num_in!E18)</f>
        <v>40108.354477016139</v>
      </c>
      <c r="F18" s="132">
        <f>IF(SER_hh_tes_in!F18=0,0,11630*1000*SER_hh_tes_in!F18/SER_hh_num_in!F18)</f>
        <v>20483.264204344876</v>
      </c>
      <c r="G18" s="132">
        <f>IF(SER_hh_tes_in!G18=0,0,11630*1000*SER_hh_tes_in!G18/SER_hh_num_in!G18)</f>
        <v>20480.834206228461</v>
      </c>
      <c r="H18" s="132">
        <f>IF(SER_hh_tes_in!H18=0,0,11630*1000*SER_hh_tes_in!H18/SER_hh_num_in!H18)</f>
        <v>23040.792410834118</v>
      </c>
      <c r="I18" s="132">
        <f>IF(SER_hh_tes_in!I18=0,0,11630*1000*SER_hh_tes_in!I18/SER_hh_num_in!I18)</f>
        <v>23701.182002491671</v>
      </c>
      <c r="J18" s="132">
        <f>IF(SER_hh_tes_in!J18=0,0,11630*1000*SER_hh_tes_in!J18/SER_hh_num_in!J18)</f>
        <v>22705.259480998062</v>
      </c>
      <c r="K18" s="132">
        <f>IF(SER_hh_tes_in!K18=0,0,11630*1000*SER_hh_tes_in!K18/SER_hh_num_in!K18)</f>
        <v>21462.463002469311</v>
      </c>
      <c r="L18" s="132">
        <f>IF(SER_hh_tes_in!L18=0,0,11630*1000*SER_hh_tes_in!L18/SER_hh_num_in!L18)</f>
        <v>21458.70309653836</v>
      </c>
      <c r="M18" s="132">
        <f>IF(SER_hh_tes_in!M18=0,0,11630*1000*SER_hh_tes_in!M18/SER_hh_num_in!M18)</f>
        <v>22788.768280535256</v>
      </c>
      <c r="N18" s="132">
        <f>IF(SER_hh_tes_in!N18=0,0,11630*1000*SER_hh_tes_in!N18/SER_hh_num_in!N18)</f>
        <v>32691.39125190943</v>
      </c>
      <c r="O18" s="132">
        <f>IF(SER_hh_tes_in!O18=0,0,11630*1000*SER_hh_tes_in!O18/SER_hh_num_in!O18)</f>
        <v>21486.005999139841</v>
      </c>
      <c r="P18" s="132">
        <f>IF(SER_hh_tes_in!P18=0,0,11630*1000*SER_hh_tes_in!P18/SER_hh_num_in!P18)</f>
        <v>17581.390361986512</v>
      </c>
      <c r="Q18" s="132">
        <f>IF(SER_hh_tes_in!Q18=0,0,11630*1000*SER_hh_tes_in!Q18/SER_hh_num_in!Q18)</f>
        <v>28325.935836504064</v>
      </c>
      <c r="R18" s="132">
        <f>IF(SER_hh_tes_in!R18=0,0,11630*1000*SER_hh_tes_in!R18/SER_hh_num_in!R18)</f>
        <v>19122.722416016109</v>
      </c>
      <c r="S18" s="132">
        <f>IF(SER_hh_tes_in!S18=0,0,11630*1000*SER_hh_tes_in!S18/SER_hh_num_in!S18)</f>
        <v>26983.589406630257</v>
      </c>
      <c r="T18" s="132">
        <f>IF(SER_hh_tes_in!T18=0,0,11630*1000*SER_hh_tes_in!T18/SER_hh_num_in!T18)</f>
        <v>19791.342877163141</v>
      </c>
      <c r="U18" s="132">
        <f>IF(SER_hh_tes_in!U18=0,0,11630*1000*SER_hh_tes_in!U18/SER_hh_num_in!U18)</f>
        <v>23261.718865073311</v>
      </c>
      <c r="V18" s="132">
        <f>IF(SER_hh_tes_in!V18=0,0,11630*1000*SER_hh_tes_in!V18/SER_hh_num_in!V18)</f>
        <v>17543.015333996489</v>
      </c>
      <c r="W18" s="132">
        <f>IF(SER_hh_tes_in!W18=0,0,11630*1000*SER_hh_tes_in!W18/SER_hh_num_in!W18)</f>
        <v>21400.614928447376</v>
      </c>
      <c r="X18" s="132">
        <f>IF(SER_hh_tes_in!X18=0,0,11630*1000*SER_hh_tes_in!X18/SER_hh_num_in!X18)</f>
        <v>23179.963441687669</v>
      </c>
      <c r="Y18" s="132">
        <f>IF(SER_hh_tes_in!Y18=0,0,11630*1000*SER_hh_tes_in!Y18/SER_hh_num_in!Y18)</f>
        <v>20316.622376753279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12860.237952366435</v>
      </c>
      <c r="D19" s="130">
        <f>IF(SER_hh_tes_in!D19=0,0,11630*1000*SER_hh_tes_in!D19/SER_hh_num_in!D19)</f>
        <v>13088.950129153147</v>
      </c>
      <c r="E19" s="130">
        <f>IF(SER_hh_tes_in!E19=0,0,11630*1000*SER_hh_tes_in!E19/SER_hh_num_in!E19)</f>
        <v>13005.627678911691</v>
      </c>
      <c r="F19" s="130">
        <f>IF(SER_hh_tes_in!F19=0,0,11630*1000*SER_hh_tes_in!F19/SER_hh_num_in!F19)</f>
        <v>13404.397882835845</v>
      </c>
      <c r="G19" s="130">
        <f>IF(SER_hh_tes_in!G19=0,0,11630*1000*SER_hh_tes_in!G19/SER_hh_num_in!G19)</f>
        <v>13517.599537430982</v>
      </c>
      <c r="H19" s="130">
        <f>IF(SER_hh_tes_in!H19=0,0,11630*1000*SER_hh_tes_in!H19/SER_hh_num_in!H19)</f>
        <v>13198.04984197984</v>
      </c>
      <c r="I19" s="130">
        <f>IF(SER_hh_tes_in!I19=0,0,11630*1000*SER_hh_tes_in!I19/SER_hh_num_in!I19)</f>
        <v>13111.394495241037</v>
      </c>
      <c r="J19" s="130">
        <f>IF(SER_hh_tes_in!J19=0,0,11630*1000*SER_hh_tes_in!J19/SER_hh_num_in!J19)</f>
        <v>13395.354741194004</v>
      </c>
      <c r="K19" s="130">
        <f>IF(SER_hh_tes_in!K19=0,0,11630*1000*SER_hh_tes_in!K19/SER_hh_num_in!K19)</f>
        <v>13462.772770085527</v>
      </c>
      <c r="L19" s="130">
        <f>IF(SER_hh_tes_in!L19=0,0,11630*1000*SER_hh_tes_in!L19/SER_hh_num_in!L19)</f>
        <v>13580.873400321072</v>
      </c>
      <c r="M19" s="130">
        <f>IF(SER_hh_tes_in!M19=0,0,11630*1000*SER_hh_tes_in!M19/SER_hh_num_in!M19)</f>
        <v>13589.452815779281</v>
      </c>
      <c r="N19" s="130">
        <f>IF(SER_hh_tes_in!N19=0,0,11630*1000*SER_hh_tes_in!N19/SER_hh_num_in!N19)</f>
        <v>13919.272636841421</v>
      </c>
      <c r="O19" s="130">
        <f>IF(SER_hh_tes_in!O19=0,0,11630*1000*SER_hh_tes_in!O19/SER_hh_num_in!O19)</f>
        <v>14175.986870454097</v>
      </c>
      <c r="P19" s="130">
        <f>IF(SER_hh_tes_in!P19=0,0,11630*1000*SER_hh_tes_in!P19/SER_hh_num_in!P19)</f>
        <v>14092.372265837475</v>
      </c>
      <c r="Q19" s="130">
        <f>IF(SER_hh_tes_in!Q19=0,0,11630*1000*SER_hh_tes_in!Q19/SER_hh_num_in!Q19)</f>
        <v>13992.249935860938</v>
      </c>
      <c r="R19" s="130">
        <f>IF(SER_hh_tes_in!R19=0,0,11630*1000*SER_hh_tes_in!R19/SER_hh_num_in!R19)</f>
        <v>14019.200428660302</v>
      </c>
      <c r="S19" s="130">
        <f>IF(SER_hh_tes_in!S19=0,0,11630*1000*SER_hh_tes_in!S19/SER_hh_num_in!S19)</f>
        <v>14107.790323507927</v>
      </c>
      <c r="T19" s="130">
        <f>IF(SER_hh_tes_in!T19=0,0,11630*1000*SER_hh_tes_in!T19/SER_hh_num_in!T19)</f>
        <v>14100.227403762903</v>
      </c>
      <c r="U19" s="130">
        <f>IF(SER_hh_tes_in!U19=0,0,11630*1000*SER_hh_tes_in!U19/SER_hh_num_in!U19)</f>
        <v>14047.960865852343</v>
      </c>
      <c r="V19" s="130">
        <f>IF(SER_hh_tes_in!V19=0,0,11630*1000*SER_hh_tes_in!V19/SER_hh_num_in!V19)</f>
        <v>13017.865223846726</v>
      </c>
      <c r="W19" s="130">
        <f>IF(SER_hh_tes_in!W19=0,0,11630*1000*SER_hh_tes_in!W19/SER_hh_num_in!W19)</f>
        <v>12862.427731791726</v>
      </c>
      <c r="X19" s="130">
        <f>IF(SER_hh_tes_in!X19=0,0,11630*1000*SER_hh_tes_in!X19/SER_hh_num_in!X19)</f>
        <v>14079.297548321319</v>
      </c>
      <c r="Y19" s="130">
        <f>IF(SER_hh_tes_in!Y19=0,0,11630*1000*SER_hh_tes_in!Y19/SER_hh_num_in!Y19)</f>
        <v>13894.0333326194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12980.598424777056</v>
      </c>
      <c r="D21" s="132">
        <f>IF(SER_hh_tes_in!D21=0,0,11630*1000*SER_hh_tes_in!D21/SER_hh_num_in!D21)</f>
        <v>13177.511773532573</v>
      </c>
      <c r="E21" s="132">
        <f>IF(SER_hh_tes_in!E21=0,0,11630*1000*SER_hh_tes_in!E21/SER_hh_num_in!E21)</f>
        <v>13053.091671728555</v>
      </c>
      <c r="F21" s="132">
        <f>IF(SER_hh_tes_in!F21=0,0,11630*1000*SER_hh_tes_in!F21/SER_hh_num_in!F21)</f>
        <v>13292.506141390273</v>
      </c>
      <c r="G21" s="132">
        <f>IF(SER_hh_tes_in!G21=0,0,11630*1000*SER_hh_tes_in!G21/SER_hh_num_in!G21)</f>
        <v>13103.021907049546</v>
      </c>
      <c r="H21" s="132">
        <f>IF(SER_hh_tes_in!H21=0,0,11630*1000*SER_hh_tes_in!H21/SER_hh_num_in!H21)</f>
        <v>13022.527746233925</v>
      </c>
      <c r="I21" s="132">
        <f>IF(SER_hh_tes_in!I21=0,0,11630*1000*SER_hh_tes_in!I21/SER_hh_num_in!I21)</f>
        <v>12808.911719032987</v>
      </c>
      <c r="J21" s="132">
        <f>IF(SER_hh_tes_in!J21=0,0,11630*1000*SER_hh_tes_in!J21/SER_hh_num_in!J21)</f>
        <v>12720.313478024176</v>
      </c>
      <c r="K21" s="132">
        <f>IF(SER_hh_tes_in!K21=0,0,11630*1000*SER_hh_tes_in!K21/SER_hh_num_in!K21)</f>
        <v>13065.781623965942</v>
      </c>
      <c r="L21" s="132">
        <f>IF(SER_hh_tes_in!L21=0,0,11630*1000*SER_hh_tes_in!L21/SER_hh_num_in!L21)</f>
        <v>12376.676256190107</v>
      </c>
      <c r="M21" s="132">
        <f>IF(SER_hh_tes_in!M21=0,0,11630*1000*SER_hh_tes_in!M21/SER_hh_num_in!M21)</f>
        <v>12924.912112969207</v>
      </c>
      <c r="N21" s="132">
        <f>IF(SER_hh_tes_in!N21=0,0,11630*1000*SER_hh_tes_in!N21/SER_hh_num_in!N21)</f>
        <v>11562.748937863471</v>
      </c>
      <c r="O21" s="132">
        <f>IF(SER_hh_tes_in!O21=0,0,11630*1000*SER_hh_tes_in!O21/SER_hh_num_in!O21)</f>
        <v>13561.441121099127</v>
      </c>
      <c r="P21" s="132">
        <f>IF(SER_hh_tes_in!P21=0,0,11630*1000*SER_hh_tes_in!P21/SER_hh_num_in!P21)</f>
        <v>14072.386140656949</v>
      </c>
      <c r="Q21" s="132">
        <f>IF(SER_hh_tes_in!Q21=0,0,11630*1000*SER_hh_tes_in!Q21/SER_hh_num_in!Q21)</f>
        <v>14195.692713482878</v>
      </c>
      <c r="R21" s="132">
        <f>IF(SER_hh_tes_in!R21=0,0,11630*1000*SER_hh_tes_in!R21/SER_hh_num_in!R21)</f>
        <v>10933.834378373002</v>
      </c>
      <c r="S21" s="132">
        <f>IF(SER_hh_tes_in!S21=0,0,11630*1000*SER_hh_tes_in!S21/SER_hh_num_in!S21)</f>
        <v>13298.706997438023</v>
      </c>
      <c r="T21" s="132">
        <f>IF(SER_hh_tes_in!T21=0,0,11630*1000*SER_hh_tes_in!T21/SER_hh_num_in!T21)</f>
        <v>13522.40629860338</v>
      </c>
      <c r="U21" s="132">
        <f>IF(SER_hh_tes_in!U21=0,0,11630*1000*SER_hh_tes_in!U21/SER_hh_num_in!U21)</f>
        <v>13360.088957429782</v>
      </c>
      <c r="V21" s="132">
        <f>IF(SER_hh_tes_in!V21=0,0,11630*1000*SER_hh_tes_in!V21/SER_hh_num_in!V21)</f>
        <v>11405.345650340711</v>
      </c>
      <c r="W21" s="132">
        <f>IF(SER_hh_tes_in!W21=0,0,11630*1000*SER_hh_tes_in!W21/SER_hh_num_in!W21)</f>
        <v>13746.046074083335</v>
      </c>
      <c r="X21" s="132">
        <f>IF(SER_hh_tes_in!X21=0,0,11630*1000*SER_hh_tes_in!X21/SER_hh_num_in!X21)</f>
        <v>14213.052817140011</v>
      </c>
      <c r="Y21" s="132">
        <f>IF(SER_hh_tes_in!Y21=0,0,11630*1000*SER_hh_tes_in!Y21/SER_hh_num_in!Y21)</f>
        <v>12513.657373527652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12763.741765402197</v>
      </c>
      <c r="D22" s="132">
        <f>IF(SER_hh_tes_in!D22=0,0,11630*1000*SER_hh_tes_in!D22/SER_hh_num_in!D22)</f>
        <v>12828.893890264191</v>
      </c>
      <c r="E22" s="132">
        <f>IF(SER_hh_tes_in!E22=0,0,11630*1000*SER_hh_tes_in!E22/SER_hh_num_in!E22)</f>
        <v>13035.930485597552</v>
      </c>
      <c r="F22" s="132">
        <f>IF(SER_hh_tes_in!F22=0,0,11630*1000*SER_hh_tes_in!F22/SER_hh_num_in!F22)</f>
        <v>12996.265985857839</v>
      </c>
      <c r="G22" s="132">
        <f>IF(SER_hh_tes_in!G22=0,0,11630*1000*SER_hh_tes_in!G22/SER_hh_num_in!G22)</f>
        <v>13207.226941437233</v>
      </c>
      <c r="H22" s="132">
        <f>IF(SER_hh_tes_in!H22=0,0,11630*1000*SER_hh_tes_in!H22/SER_hh_num_in!H22)</f>
        <v>12994.189082888166</v>
      </c>
      <c r="I22" s="132">
        <f>IF(SER_hh_tes_in!I22=0,0,11630*1000*SER_hh_tes_in!I22/SER_hh_num_in!I22)</f>
        <v>13203.447256537713</v>
      </c>
      <c r="J22" s="132">
        <f>IF(SER_hh_tes_in!J22=0,0,11630*1000*SER_hh_tes_in!J22/SER_hh_num_in!J22)</f>
        <v>12852.227405564812</v>
      </c>
      <c r="K22" s="132">
        <f>IF(SER_hh_tes_in!K22=0,0,11630*1000*SER_hh_tes_in!K22/SER_hh_num_in!K22)</f>
        <v>12903.12525520386</v>
      </c>
      <c r="L22" s="132">
        <f>IF(SER_hh_tes_in!L22=0,0,11630*1000*SER_hh_tes_in!L22/SER_hh_num_in!L22)</f>
        <v>11882.478310384507</v>
      </c>
      <c r="M22" s="132">
        <f>IF(SER_hh_tes_in!M22=0,0,11630*1000*SER_hh_tes_in!M22/SER_hh_num_in!M22)</f>
        <v>12287.341421177165</v>
      </c>
      <c r="N22" s="132">
        <f>IF(SER_hh_tes_in!N22=0,0,11630*1000*SER_hh_tes_in!N22/SER_hh_num_in!N22)</f>
        <v>8448.8369350788398</v>
      </c>
      <c r="O22" s="132">
        <f>IF(SER_hh_tes_in!O22=0,0,11630*1000*SER_hh_tes_in!O22/SER_hh_num_in!O22)</f>
        <v>13510.290144639308</v>
      </c>
      <c r="P22" s="132">
        <f>IF(SER_hh_tes_in!P22=0,0,11630*1000*SER_hh_tes_in!P22/SER_hh_num_in!P22)</f>
        <v>13861.532191232385</v>
      </c>
      <c r="Q22" s="132">
        <f>IF(SER_hh_tes_in!Q22=0,0,11630*1000*SER_hh_tes_in!Q22/SER_hh_num_in!Q22)</f>
        <v>12678.501714446063</v>
      </c>
      <c r="R22" s="132">
        <f>IF(SER_hh_tes_in!R22=0,0,11630*1000*SER_hh_tes_in!R22/SER_hh_num_in!R22)</f>
        <v>10978.665260489359</v>
      </c>
      <c r="S22" s="132">
        <f>IF(SER_hh_tes_in!S22=0,0,11630*1000*SER_hh_tes_in!S22/SER_hh_num_in!S22)</f>
        <v>13278.87006155571</v>
      </c>
      <c r="T22" s="132">
        <f>IF(SER_hh_tes_in!T22=0,0,11630*1000*SER_hh_tes_in!T22/SER_hh_num_in!T22)</f>
        <v>13334.143903550648</v>
      </c>
      <c r="U22" s="132">
        <f>IF(SER_hh_tes_in!U22=0,0,11630*1000*SER_hh_tes_in!U22/SER_hh_num_in!U22)</f>
        <v>13754.43818195054</v>
      </c>
      <c r="V22" s="132">
        <f>IF(SER_hh_tes_in!V22=0,0,11630*1000*SER_hh_tes_in!V22/SER_hh_num_in!V22)</f>
        <v>12167.345846911532</v>
      </c>
      <c r="W22" s="132">
        <f>IF(SER_hh_tes_in!W22=0,0,11630*1000*SER_hh_tes_in!W22/SER_hh_num_in!W22)</f>
        <v>14413.240570677832</v>
      </c>
      <c r="X22" s="132">
        <f>IF(SER_hh_tes_in!X22=0,0,11630*1000*SER_hh_tes_in!X22/SER_hh_num_in!X22)</f>
        <v>0</v>
      </c>
      <c r="Y22" s="132">
        <f>IF(SER_hh_tes_in!Y22=0,0,11630*1000*SER_hh_tes_in!Y22/SER_hh_num_in!Y22)</f>
        <v>0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12730.923467921131</v>
      </c>
      <c r="D23" s="132">
        <f>IF(SER_hh_tes_in!D23=0,0,11630*1000*SER_hh_tes_in!D23/SER_hh_num_in!D23)</f>
        <v>12943.409334921107</v>
      </c>
      <c r="E23" s="132">
        <f>IF(SER_hh_tes_in!E23=0,0,11630*1000*SER_hh_tes_in!E23/SER_hh_num_in!E23)</f>
        <v>13025.553000848697</v>
      </c>
      <c r="F23" s="132">
        <f>IF(SER_hh_tes_in!F23=0,0,11630*1000*SER_hh_tes_in!F23/SER_hh_num_in!F23)</f>
        <v>13152.020250527183</v>
      </c>
      <c r="G23" s="132">
        <f>IF(SER_hh_tes_in!G23=0,0,11630*1000*SER_hh_tes_in!G23/SER_hh_num_in!G23)</f>
        <v>13319.166533040852</v>
      </c>
      <c r="H23" s="132">
        <f>IF(SER_hh_tes_in!H23=0,0,11630*1000*SER_hh_tes_in!H23/SER_hh_num_in!H23)</f>
        <v>13046.338065500373</v>
      </c>
      <c r="I23" s="132">
        <f>IF(SER_hh_tes_in!I23=0,0,11630*1000*SER_hh_tes_in!I23/SER_hh_num_in!I23)</f>
        <v>12880.453603629237</v>
      </c>
      <c r="J23" s="132">
        <f>IF(SER_hh_tes_in!J23=0,0,11630*1000*SER_hh_tes_in!J23/SER_hh_num_in!J23)</f>
        <v>12787.35346440074</v>
      </c>
      <c r="K23" s="132">
        <f>IF(SER_hh_tes_in!K23=0,0,11630*1000*SER_hh_tes_in!K23/SER_hh_num_in!K23)</f>
        <v>12809.893278381947</v>
      </c>
      <c r="L23" s="132">
        <f>IF(SER_hh_tes_in!L23=0,0,11630*1000*SER_hh_tes_in!L23/SER_hh_num_in!L23)</f>
        <v>12193.118624680799</v>
      </c>
      <c r="M23" s="132">
        <f>IF(SER_hh_tes_in!M23=0,0,11630*1000*SER_hh_tes_in!M23/SER_hh_num_in!M23)</f>
        <v>12879.613597965143</v>
      </c>
      <c r="N23" s="132">
        <f>IF(SER_hh_tes_in!N23=0,0,11630*1000*SER_hh_tes_in!N23/SER_hh_num_in!N23)</f>
        <v>11979.271187069678</v>
      </c>
      <c r="O23" s="132">
        <f>IF(SER_hh_tes_in!O23=0,0,11630*1000*SER_hh_tes_in!O23/SER_hh_num_in!O23)</f>
        <v>13455.587125623013</v>
      </c>
      <c r="P23" s="132">
        <f>IF(SER_hh_tes_in!P23=0,0,11630*1000*SER_hh_tes_in!P23/SER_hh_num_in!P23)</f>
        <v>13893.862810881606</v>
      </c>
      <c r="Q23" s="132">
        <f>IF(SER_hh_tes_in!Q23=0,0,11630*1000*SER_hh_tes_in!Q23/SER_hh_num_in!Q23)</f>
        <v>13939.803278060168</v>
      </c>
      <c r="R23" s="132">
        <f>IF(SER_hh_tes_in!R23=0,0,11630*1000*SER_hh_tes_in!R23/SER_hh_num_in!R23)</f>
        <v>12046.720168747159</v>
      </c>
      <c r="S23" s="132">
        <f>IF(SER_hh_tes_in!S23=0,0,11630*1000*SER_hh_tes_in!S23/SER_hh_num_in!S23)</f>
        <v>13524.56700200816</v>
      </c>
      <c r="T23" s="132">
        <f>IF(SER_hh_tes_in!T23=0,0,11630*1000*SER_hh_tes_in!T23/SER_hh_num_in!T23)</f>
        <v>13593.056550866992</v>
      </c>
      <c r="U23" s="132">
        <f>IF(SER_hh_tes_in!U23=0,0,11630*1000*SER_hh_tes_in!U23/SER_hh_num_in!U23)</f>
        <v>13518.605698010655</v>
      </c>
      <c r="V23" s="132">
        <f>IF(SER_hh_tes_in!V23=0,0,11630*1000*SER_hh_tes_in!V23/SER_hh_num_in!V23)</f>
        <v>12172.281042446277</v>
      </c>
      <c r="W23" s="132">
        <f>IF(SER_hh_tes_in!W23=0,0,11630*1000*SER_hh_tes_in!W23/SER_hh_num_in!W23)</f>
        <v>14529.228322486151</v>
      </c>
      <c r="X23" s="132">
        <f>IF(SER_hh_tes_in!X23=0,0,11630*1000*SER_hh_tes_in!X23/SER_hh_num_in!X23)</f>
        <v>0</v>
      </c>
      <c r="Y23" s="132">
        <f>IF(SER_hh_tes_in!Y23=0,0,11630*1000*SER_hh_tes_in!Y23/SER_hh_num_in!Y23)</f>
        <v>0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12740.574174023517</v>
      </c>
      <c r="D25" s="132">
        <f>IF(SER_hh_tes_in!D25=0,0,11630*1000*SER_hh_tes_in!D25/SER_hh_num_in!D25)</f>
        <v>12795.704582037328</v>
      </c>
      <c r="E25" s="132">
        <f>IF(SER_hh_tes_in!E25=0,0,11630*1000*SER_hh_tes_in!E25/SER_hh_num_in!E25)</f>
        <v>12933.743680376338</v>
      </c>
      <c r="F25" s="132">
        <f>IF(SER_hh_tes_in!F25=0,0,11630*1000*SER_hh_tes_in!F25/SER_hh_num_in!F25)</f>
        <v>13029.847219806645</v>
      </c>
      <c r="G25" s="132">
        <f>IF(SER_hh_tes_in!G25=0,0,11630*1000*SER_hh_tes_in!G25/SER_hh_num_in!G25)</f>
        <v>13242.726100416779</v>
      </c>
      <c r="H25" s="132">
        <f>IF(SER_hh_tes_in!H25=0,0,11630*1000*SER_hh_tes_in!H25/SER_hh_num_in!H25)</f>
        <v>13026.372396571973</v>
      </c>
      <c r="I25" s="132">
        <f>IF(SER_hh_tes_in!I25=0,0,11630*1000*SER_hh_tes_in!I25/SER_hh_num_in!I25)</f>
        <v>12976.315661425439</v>
      </c>
      <c r="J25" s="132">
        <f>IF(SER_hh_tes_in!J25=0,0,11630*1000*SER_hh_tes_in!J25/SER_hh_num_in!J25)</f>
        <v>12728.421251507594</v>
      </c>
      <c r="K25" s="132">
        <f>IF(SER_hh_tes_in!K25=0,0,11630*1000*SER_hh_tes_in!K25/SER_hh_num_in!K25)</f>
        <v>12774.169544735609</v>
      </c>
      <c r="L25" s="132">
        <f>IF(SER_hh_tes_in!L25=0,0,11630*1000*SER_hh_tes_in!L25/SER_hh_num_in!L25)</f>
        <v>12232.033504854038</v>
      </c>
      <c r="M25" s="132">
        <f>IF(SER_hh_tes_in!M25=0,0,11630*1000*SER_hh_tes_in!M25/SER_hh_num_in!M25)</f>
        <v>12971.567150342129</v>
      </c>
      <c r="N25" s="132">
        <f>IF(SER_hh_tes_in!N25=0,0,11630*1000*SER_hh_tes_in!N25/SER_hh_num_in!N25)</f>
        <v>12353.075593570726</v>
      </c>
      <c r="O25" s="132">
        <f>IF(SER_hh_tes_in!O25=0,0,11630*1000*SER_hh_tes_in!O25/SER_hh_num_in!O25)</f>
        <v>13606.898213374287</v>
      </c>
      <c r="P25" s="132">
        <f>IF(SER_hh_tes_in!P25=0,0,11630*1000*SER_hh_tes_in!P25/SER_hh_num_in!P25)</f>
        <v>14116.296097396504</v>
      </c>
      <c r="Q25" s="132">
        <f>IF(SER_hh_tes_in!Q25=0,0,11630*1000*SER_hh_tes_in!Q25/SER_hh_num_in!Q25)</f>
        <v>14008.106771490977</v>
      </c>
      <c r="R25" s="132">
        <f>IF(SER_hh_tes_in!R25=0,0,11630*1000*SER_hh_tes_in!R25/SER_hh_num_in!R25)</f>
        <v>13253.392603055556</v>
      </c>
      <c r="S25" s="132">
        <f>IF(SER_hh_tes_in!S25=0,0,11630*1000*SER_hh_tes_in!S25/SER_hh_num_in!S25)</f>
        <v>13316.498448571871</v>
      </c>
      <c r="T25" s="132">
        <f>IF(SER_hh_tes_in!T25=0,0,11630*1000*SER_hh_tes_in!T25/SER_hh_num_in!T25)</f>
        <v>13322.467868483347</v>
      </c>
      <c r="U25" s="132">
        <f>IF(SER_hh_tes_in!U25=0,0,11630*1000*SER_hh_tes_in!U25/SER_hh_num_in!U25)</f>
        <v>13234.561008469653</v>
      </c>
      <c r="V25" s="132">
        <f>IF(SER_hh_tes_in!V25=0,0,11630*1000*SER_hh_tes_in!V25/SER_hh_num_in!V25)</f>
        <v>12363.114498545245</v>
      </c>
      <c r="W25" s="132">
        <f>IF(SER_hh_tes_in!W25=0,0,11630*1000*SER_hh_tes_in!W25/SER_hh_num_in!W25)</f>
        <v>13889.167100188168</v>
      </c>
      <c r="X25" s="132">
        <f>IF(SER_hh_tes_in!X25=0,0,11630*1000*SER_hh_tes_in!X25/SER_hh_num_in!X25)</f>
        <v>12852.835684324864</v>
      </c>
      <c r="Y25" s="132">
        <f>IF(SER_hh_tes_in!Y25=0,0,11630*1000*SER_hh_tes_in!Y25/SER_hh_num_in!Y25)</f>
        <v>13919.21860365403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12167.207702812959</v>
      </c>
      <c r="D26" s="65">
        <f>IF(SER_hh_tes_in!D26=0,0,11630*1000*SER_hh_tes_in!D26/SER_hh_num_in!D26)</f>
        <v>11152.293053209874</v>
      </c>
      <c r="E26" s="65">
        <f>IF(SER_hh_tes_in!E26=0,0,11630*1000*SER_hh_tes_in!E26/SER_hh_num_in!E26)</f>
        <v>12032.072452051591</v>
      </c>
      <c r="F26" s="65">
        <f>IF(SER_hh_tes_in!F26=0,0,11630*1000*SER_hh_tes_in!F26/SER_hh_num_in!F26)</f>
        <v>11249.320158255767</v>
      </c>
      <c r="G26" s="65">
        <f>IF(SER_hh_tes_in!G26=0,0,11630*1000*SER_hh_tes_in!G26/SER_hh_num_in!G26)</f>
        <v>11492.428366934664</v>
      </c>
      <c r="H26" s="65">
        <f>IF(SER_hh_tes_in!H26=0,0,11630*1000*SER_hh_tes_in!H26/SER_hh_num_in!H26)</f>
        <v>11430.831107278133</v>
      </c>
      <c r="I26" s="65">
        <f>IF(SER_hh_tes_in!I26=0,0,11630*1000*SER_hh_tes_in!I26/SER_hh_num_in!I26)</f>
        <v>11403.659240031122</v>
      </c>
      <c r="J26" s="65">
        <f>IF(SER_hh_tes_in!J26=0,0,11630*1000*SER_hh_tes_in!J26/SER_hh_num_in!J26)</f>
        <v>6554.7527270338451</v>
      </c>
      <c r="K26" s="65">
        <f>IF(SER_hh_tes_in!K26=0,0,11630*1000*SER_hh_tes_in!K26/SER_hh_num_in!K26)</f>
        <v>6641.8308164928922</v>
      </c>
      <c r="L26" s="65">
        <f>IF(SER_hh_tes_in!L26=0,0,11630*1000*SER_hh_tes_in!L26/SER_hh_num_in!L26)</f>
        <v>3443.6104470792561</v>
      </c>
      <c r="M26" s="65">
        <f>IF(SER_hh_tes_in!M26=0,0,11630*1000*SER_hh_tes_in!M26/SER_hh_num_in!M26)</f>
        <v>3530.3928762947558</v>
      </c>
      <c r="N26" s="65">
        <f>IF(SER_hh_tes_in!N26=0,0,11630*1000*SER_hh_tes_in!N26/SER_hh_num_in!N26)</f>
        <v>3667.830055740752</v>
      </c>
      <c r="O26" s="65">
        <f>IF(SER_hh_tes_in!O26=0,0,11630*1000*SER_hh_tes_in!O26/SER_hh_num_in!O26)</f>
        <v>3674.8937753822452</v>
      </c>
      <c r="P26" s="65">
        <f>IF(SER_hh_tes_in!P26=0,0,11630*1000*SER_hh_tes_in!P26/SER_hh_num_in!P26)</f>
        <v>5158.3934335744198</v>
      </c>
      <c r="Q26" s="65">
        <f>IF(SER_hh_tes_in!Q26=0,0,11630*1000*SER_hh_tes_in!Q26/SER_hh_num_in!Q26)</f>
        <v>4178.7931292737276</v>
      </c>
      <c r="R26" s="65">
        <f>IF(SER_hh_tes_in!R26=0,0,11630*1000*SER_hh_tes_in!R26/SER_hh_num_in!R26)</f>
        <v>3896.1040044968072</v>
      </c>
      <c r="S26" s="65">
        <f>IF(SER_hh_tes_in!S26=0,0,11630*1000*SER_hh_tes_in!S26/SER_hh_num_in!S26)</f>
        <v>3580.1881460365662</v>
      </c>
      <c r="T26" s="65">
        <f>IF(SER_hh_tes_in!T26=0,0,11630*1000*SER_hh_tes_in!T26/SER_hh_num_in!T26)</f>
        <v>3647.7449001568134</v>
      </c>
      <c r="U26" s="65">
        <f>IF(SER_hh_tes_in!U26=0,0,11630*1000*SER_hh_tes_in!U26/SER_hh_num_in!U26)</f>
        <v>3374.5848546869775</v>
      </c>
      <c r="V26" s="65">
        <f>IF(SER_hh_tes_in!V26=0,0,11630*1000*SER_hh_tes_in!V26/SER_hh_num_in!V26)</f>
        <v>2943.7171089091948</v>
      </c>
      <c r="W26" s="65">
        <f>IF(SER_hh_tes_in!W26=0,0,11630*1000*SER_hh_tes_in!W26/SER_hh_num_in!W26)</f>
        <v>2416.396768448034</v>
      </c>
      <c r="X26" s="65">
        <f>IF(SER_hh_tes_in!X26=0,0,11630*1000*SER_hh_tes_in!X26/SER_hh_num_in!X26)</f>
        <v>11998.165225305886</v>
      </c>
      <c r="Y26" s="65">
        <f>IF(SER_hh_tes_in!Y26=0,0,11630*1000*SER_hh_tes_in!Y26/SER_hh_num_in!Y26)</f>
        <v>5609.4747658073256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328.22396343345531</v>
      </c>
      <c r="D27" s="145">
        <f>IF(SER_hh_tes_in!D27=0,0,11630*1000*SER_hh_tes_in!D27/SER_hh_num_in!D19)</f>
        <v>769.96344500675104</v>
      </c>
      <c r="E27" s="145">
        <f>IF(SER_hh_tes_in!E27=0,0,11630*1000*SER_hh_tes_in!E27/SER_hh_num_in!E19)</f>
        <v>415.05340443784138</v>
      </c>
      <c r="F27" s="145">
        <f>IF(SER_hh_tes_in!F27=0,0,11630*1000*SER_hh_tes_in!F27/SER_hh_num_in!F19)</f>
        <v>991.6912994889725</v>
      </c>
      <c r="G27" s="145">
        <f>IF(SER_hh_tes_in!G27=0,0,11630*1000*SER_hh_tes_in!G27/SER_hh_num_in!G19)</f>
        <v>873.588567807044</v>
      </c>
      <c r="H27" s="145">
        <f>IF(SER_hh_tes_in!H27=0,0,11630*1000*SER_hh_tes_in!H27/SER_hh_num_in!H19)</f>
        <v>869.22508971718798</v>
      </c>
      <c r="I27" s="145">
        <f>IF(SER_hh_tes_in!I27=0,0,11630*1000*SER_hh_tes_in!I27/SER_hh_num_in!I19)</f>
        <v>866.32238856656511</v>
      </c>
      <c r="J27" s="145">
        <f>IF(SER_hh_tes_in!J27=0,0,11630*1000*SER_hh_tes_in!J27/SER_hh_num_in!J19)</f>
        <v>2656.4079648398497</v>
      </c>
      <c r="K27" s="145">
        <f>IF(SER_hh_tes_in!K27=0,0,11630*1000*SER_hh_tes_in!K27/SER_hh_num_in!K19)</f>
        <v>2615.9527281494848</v>
      </c>
      <c r="L27" s="145">
        <f>IF(SER_hh_tes_in!L27=0,0,11630*1000*SER_hh_tes_in!L27/SER_hh_num_in!L19)</f>
        <v>3963.7020021280318</v>
      </c>
      <c r="M27" s="145">
        <f>IF(SER_hh_tes_in!M27=0,0,11630*1000*SER_hh_tes_in!M27/SER_hh_num_in!M19)</f>
        <v>4328.6399156965044</v>
      </c>
      <c r="N27" s="145">
        <f>IF(SER_hh_tes_in!N27=0,0,11630*1000*SER_hh_tes_in!N27/SER_hh_num_in!N19)</f>
        <v>3861.6332346734266</v>
      </c>
      <c r="O27" s="145">
        <f>IF(SER_hh_tes_in!O27=0,0,11630*1000*SER_hh_tes_in!O27/SER_hh_num_in!O19)</f>
        <v>3076.0822650439432</v>
      </c>
      <c r="P27" s="145">
        <f>IF(SER_hh_tes_in!P27=0,0,11630*1000*SER_hh_tes_in!P27/SER_hh_num_in!P19)</f>
        <v>3556.9831175732461</v>
      </c>
      <c r="Q27" s="145">
        <f>IF(SER_hh_tes_in!Q27=0,0,11630*1000*SER_hh_tes_in!Q27/SER_hh_num_in!Q19)</f>
        <v>3402.3324749047838</v>
      </c>
      <c r="R27" s="145">
        <f>IF(SER_hh_tes_in!R27=0,0,11630*1000*SER_hh_tes_in!R27/SER_hh_num_in!R19)</f>
        <v>2932.6197022552278</v>
      </c>
      <c r="S27" s="145">
        <f>IF(SER_hh_tes_in!S27=0,0,11630*1000*SER_hh_tes_in!S27/SER_hh_num_in!S19)</f>
        <v>3128.5079004018585</v>
      </c>
      <c r="T27" s="145">
        <f>IF(SER_hh_tes_in!T27=0,0,11630*1000*SER_hh_tes_in!T27/SER_hh_num_in!T19)</f>
        <v>3417.5394572012638</v>
      </c>
      <c r="U27" s="145">
        <f>IF(SER_hh_tes_in!U27=0,0,11630*1000*SER_hh_tes_in!U27/SER_hh_num_in!U19)</f>
        <v>3763.9392057061441</v>
      </c>
      <c r="V27" s="145">
        <f>IF(SER_hh_tes_in!V27=0,0,11630*1000*SER_hh_tes_in!V27/SER_hh_num_in!V19)</f>
        <v>5032.6107348401692</v>
      </c>
      <c r="W27" s="145">
        <f>IF(SER_hh_tes_in!W27=0,0,11630*1000*SER_hh_tes_in!W27/SER_hh_num_in!W19)</f>
        <v>5321.1545335759474</v>
      </c>
      <c r="X27" s="145">
        <f>IF(SER_hh_tes_in!X27=0,0,11630*1000*SER_hh_tes_in!X27/SER_hh_num_in!X19)</f>
        <v>1943.2403403243932</v>
      </c>
      <c r="Y27" s="145">
        <f>IF(SER_hh_tes_in!Y27=0,0,11630*1000*SER_hh_tes_in!Y27/SER_hh_num_in!Y19)</f>
        <v>7296.9999305682795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9160.0092570062861</v>
      </c>
      <c r="D28" s="146">
        <f>IF(SER_hh_tes_in!D27=0,0,11630*1000*SER_hh_tes_in!D27/SER_hh_num_in!D27)</f>
        <v>9124.42947400296</v>
      </c>
      <c r="E28" s="146">
        <f>IF(SER_hh_tes_in!E27=0,0,11630*1000*SER_hh_tes_in!E27/SER_hh_num_in!E27)</f>
        <v>9687.2918229003226</v>
      </c>
      <c r="F28" s="146">
        <f>IF(SER_hh_tes_in!F27=0,0,11630*1000*SER_hh_tes_in!F27/SER_hh_num_in!F27)</f>
        <v>9546.8876127160038</v>
      </c>
      <c r="G28" s="146">
        <f>IF(SER_hh_tes_in!G27=0,0,11630*1000*SER_hh_tes_in!G27/SER_hh_num_in!G27)</f>
        <v>9678.1776987917146</v>
      </c>
      <c r="H28" s="146">
        <f>IF(SER_hh_tes_in!H27=0,0,11630*1000*SER_hh_tes_in!H27/SER_hh_num_in!H27)</f>
        <v>9481.367104858824</v>
      </c>
      <c r="I28" s="146">
        <f>IF(SER_hh_tes_in!I27=0,0,11630*1000*SER_hh_tes_in!I27/SER_hh_num_in!I27)</f>
        <v>9529.4304129903921</v>
      </c>
      <c r="J28" s="146">
        <f>IF(SER_hh_tes_in!J27=0,0,11630*1000*SER_hh_tes_in!J27/SER_hh_num_in!J27)</f>
        <v>9709.3640674243725</v>
      </c>
      <c r="K28" s="146">
        <f>IF(SER_hh_tes_in!K27=0,0,11630*1000*SER_hh_tes_in!K27/SER_hh_num_in!K27)</f>
        <v>10041.122620964663</v>
      </c>
      <c r="L28" s="146">
        <f>IF(SER_hh_tes_in!L27=0,0,11630*1000*SER_hh_tes_in!L27/SER_hh_num_in!L27)</f>
        <v>10123.593753187521</v>
      </c>
      <c r="M28" s="146">
        <f>IF(SER_hh_tes_in!M27=0,0,11630*1000*SER_hh_tes_in!M27/SER_hh_num_in!M27)</f>
        <v>9980.4888451955794</v>
      </c>
      <c r="N28" s="146">
        <f>IF(SER_hh_tes_in!N27=0,0,11630*1000*SER_hh_tes_in!N27/SER_hh_num_in!N27)</f>
        <v>10126.442738113819</v>
      </c>
      <c r="O28" s="146">
        <f>IF(SER_hh_tes_in!O27=0,0,11630*1000*SER_hh_tes_in!O27/SER_hh_num_in!O27)</f>
        <v>10736.765050528238</v>
      </c>
      <c r="P28" s="146">
        <f>IF(SER_hh_tes_in!P27=0,0,11630*1000*SER_hh_tes_in!P27/SER_hh_num_in!P27)</f>
        <v>10485.613005419349</v>
      </c>
      <c r="Q28" s="146">
        <f>IF(SER_hh_tes_in!Q27=0,0,11630*1000*SER_hh_tes_in!Q27/SER_hh_num_in!Q27)</f>
        <v>9915.6670394064222</v>
      </c>
      <c r="R28" s="146">
        <f>IF(SER_hh_tes_in!R27=0,0,11630*1000*SER_hh_tes_in!R27/SER_hh_num_in!R27)</f>
        <v>9756.0112520541643</v>
      </c>
      <c r="S28" s="146">
        <f>IF(SER_hh_tes_in!S27=0,0,11630*1000*SER_hh_tes_in!S27/SER_hh_num_in!S27)</f>
        <v>10183.618628494041</v>
      </c>
      <c r="T28" s="146">
        <f>IF(SER_hh_tes_in!T27=0,0,11630*1000*SER_hh_tes_in!T27/SER_hh_num_in!T27)</f>
        <v>10126.569132140965</v>
      </c>
      <c r="U28" s="146">
        <f>IF(SER_hh_tes_in!U27=0,0,11630*1000*SER_hh_tes_in!U27/SER_hh_num_in!U27)</f>
        <v>10411.293442361317</v>
      </c>
      <c r="V28" s="146">
        <f>IF(SER_hh_tes_in!V27=0,0,11630*1000*SER_hh_tes_in!V27/SER_hh_num_in!V27)</f>
        <v>9797.3768054000884</v>
      </c>
      <c r="W28" s="146">
        <f>IF(SER_hh_tes_in!W27=0,0,11630*1000*SER_hh_tes_in!W27/SER_hh_num_in!W27)</f>
        <v>9314.4687069495812</v>
      </c>
      <c r="X28" s="146">
        <f>IF(SER_hh_tes_in!X27=0,0,11630*1000*SER_hh_tes_in!X27/SER_hh_num_in!X27)</f>
        <v>9752.9550696214646</v>
      </c>
      <c r="Y28" s="146">
        <f>IF(SER_hh_tes_in!Y27=0,0,11630*1000*SER_hh_tes_in!Y27/SER_hh_num_in!Y27)</f>
        <v>9473.3694039010297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15766.287741192482</v>
      </c>
      <c r="D29" s="130">
        <f>IF(SER_hh_tes_in!D29=0,0,11630*1000*SER_hh_tes_in!D29/SER_hh_num_in!D29)</f>
        <v>15581.31154440205</v>
      </c>
      <c r="E29" s="130">
        <f>IF(SER_hh_tes_in!E29=0,0,11630*1000*SER_hh_tes_in!E29/SER_hh_num_in!E29)</f>
        <v>15209.186789823389</v>
      </c>
      <c r="F29" s="130">
        <f>IF(SER_hh_tes_in!F29=0,0,11630*1000*SER_hh_tes_in!F29/SER_hh_num_in!F29)</f>
        <v>15565.24155992974</v>
      </c>
      <c r="G29" s="130">
        <f>IF(SER_hh_tes_in!G29=0,0,11630*1000*SER_hh_tes_in!G29/SER_hh_num_in!G29)</f>
        <v>15733.862914305928</v>
      </c>
      <c r="H29" s="130">
        <f>IF(SER_hh_tes_in!H29=0,0,11630*1000*SER_hh_tes_in!H29/SER_hh_num_in!H29)</f>
        <v>15929.848506978904</v>
      </c>
      <c r="I29" s="130">
        <f>IF(SER_hh_tes_in!I29=0,0,11630*1000*SER_hh_tes_in!I29/SER_hh_num_in!I29)</f>
        <v>16178.477582149089</v>
      </c>
      <c r="J29" s="130">
        <f>IF(SER_hh_tes_in!J29=0,0,11630*1000*SER_hh_tes_in!J29/SER_hh_num_in!J29)</f>
        <v>16733.618552760396</v>
      </c>
      <c r="K29" s="130">
        <f>IF(SER_hh_tes_in!K29=0,0,11630*1000*SER_hh_tes_in!K29/SER_hh_num_in!K29)</f>
        <v>17740.204594650309</v>
      </c>
      <c r="L29" s="130">
        <f>IF(SER_hh_tes_in!L29=0,0,11630*1000*SER_hh_tes_in!L29/SER_hh_num_in!L29)</f>
        <v>17741.325931563795</v>
      </c>
      <c r="M29" s="130">
        <f>IF(SER_hh_tes_in!M29=0,0,11630*1000*SER_hh_tes_in!M29/SER_hh_num_in!M29)</f>
        <v>17737.83589970394</v>
      </c>
      <c r="N29" s="130">
        <f>IF(SER_hh_tes_in!N29=0,0,11630*1000*SER_hh_tes_in!N29/SER_hh_num_in!N29)</f>
        <v>18396.961547559269</v>
      </c>
      <c r="O29" s="130">
        <f>IF(SER_hh_tes_in!O29=0,0,11630*1000*SER_hh_tes_in!O29/SER_hh_num_in!O29)</f>
        <v>18807.411878918705</v>
      </c>
      <c r="P29" s="130">
        <f>IF(SER_hh_tes_in!P29=0,0,11630*1000*SER_hh_tes_in!P29/SER_hh_num_in!P29)</f>
        <v>19161.801781523431</v>
      </c>
      <c r="Q29" s="130">
        <f>IF(SER_hh_tes_in!Q29=0,0,11630*1000*SER_hh_tes_in!Q29/SER_hh_num_in!Q29)</f>
        <v>19134.748414083067</v>
      </c>
      <c r="R29" s="130">
        <f>IF(SER_hh_tes_in!R29=0,0,11630*1000*SER_hh_tes_in!R29/SER_hh_num_in!R29)</f>
        <v>19716.78666618378</v>
      </c>
      <c r="S29" s="130">
        <f>IF(SER_hh_tes_in!S29=0,0,11630*1000*SER_hh_tes_in!S29/SER_hh_num_in!S29)</f>
        <v>20112.81350325558</v>
      </c>
      <c r="T29" s="130">
        <f>IF(SER_hh_tes_in!T29=0,0,11630*1000*SER_hh_tes_in!T29/SER_hh_num_in!T29)</f>
        <v>20550.115166971951</v>
      </c>
      <c r="U29" s="130">
        <f>IF(SER_hh_tes_in!U29=0,0,11630*1000*SER_hh_tes_in!U29/SER_hh_num_in!U29)</f>
        <v>20903.334650029654</v>
      </c>
      <c r="V29" s="130">
        <f>IF(SER_hh_tes_in!V29=0,0,11630*1000*SER_hh_tes_in!V29/SER_hh_num_in!V29)</f>
        <v>17908.772238507237</v>
      </c>
      <c r="W29" s="130">
        <f>IF(SER_hh_tes_in!W29=0,0,11630*1000*SER_hh_tes_in!W29/SER_hh_num_in!W29)</f>
        <v>20539.18036895699</v>
      </c>
      <c r="X29" s="130">
        <f>IF(SER_hh_tes_in!X29=0,0,11630*1000*SER_hh_tes_in!X29/SER_hh_num_in!X29)</f>
        <v>21709.697846518811</v>
      </c>
      <c r="Y29" s="130">
        <f>IF(SER_hh_tes_in!Y29=0,0,11630*1000*SER_hh_tes_in!Y29/SER_hh_num_in!Y29)</f>
        <v>20800.067501269277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18798.801211159542</v>
      </c>
      <c r="D30" s="132">
        <f>IF(SER_hh_tes_in!D30=0,0,11630*1000*SER_hh_tes_in!D30/SER_hh_num_in!D30)</f>
        <v>14809.354244115379</v>
      </c>
      <c r="E30" s="132">
        <f>IF(SER_hh_tes_in!E30=0,0,11630*1000*SER_hh_tes_in!E30/SER_hh_num_in!E30)</f>
        <v>15380.360820350688</v>
      </c>
      <c r="F30" s="132">
        <f>IF(SER_hh_tes_in!F30=0,0,11630*1000*SER_hh_tes_in!F30/SER_hh_num_in!F30)</f>
        <v>16553.764276517159</v>
      </c>
      <c r="G30" s="132">
        <f>IF(SER_hh_tes_in!G30=0,0,11630*1000*SER_hh_tes_in!G30/SER_hh_num_in!G30)</f>
        <v>15124.481956119962</v>
      </c>
      <c r="H30" s="132">
        <f>IF(SER_hh_tes_in!H30=0,0,11630*1000*SER_hh_tes_in!H30/SER_hh_num_in!H30)</f>
        <v>16536.346230834097</v>
      </c>
      <c r="I30" s="132">
        <f>IF(SER_hh_tes_in!I30=0,0,11630*1000*SER_hh_tes_in!I30/SER_hh_num_in!I30)</f>
        <v>15480.98510735647</v>
      </c>
      <c r="J30" s="132">
        <f>IF(SER_hh_tes_in!J30=0,0,11630*1000*SER_hh_tes_in!J30/SER_hh_num_in!J30)</f>
        <v>15934.647994777937</v>
      </c>
      <c r="K30" s="132">
        <f>IF(SER_hh_tes_in!K30=0,0,11630*1000*SER_hh_tes_in!K30/SER_hh_num_in!K30)</f>
        <v>18775.07522081686</v>
      </c>
      <c r="L30" s="132">
        <f>IF(SER_hh_tes_in!L30=0,0,11630*1000*SER_hh_tes_in!L30/SER_hh_num_in!L30)</f>
        <v>20404.330898313918</v>
      </c>
      <c r="M30" s="132">
        <f>IF(SER_hh_tes_in!M30=0,0,11630*1000*SER_hh_tes_in!M30/SER_hh_num_in!M30)</f>
        <v>17985.82937366113</v>
      </c>
      <c r="N30" s="132">
        <f>IF(SER_hh_tes_in!N30=0,0,11630*1000*SER_hh_tes_in!N30/SER_hh_num_in!N30)</f>
        <v>18098.531712061271</v>
      </c>
      <c r="O30" s="132">
        <f>IF(SER_hh_tes_in!O30=0,0,11630*1000*SER_hh_tes_in!O30/SER_hh_num_in!O30)</f>
        <v>18665.110049062001</v>
      </c>
      <c r="P30" s="132">
        <f>IF(SER_hh_tes_in!P30=0,0,11630*1000*SER_hh_tes_in!P30/SER_hh_num_in!P30)</f>
        <v>18768.120093167585</v>
      </c>
      <c r="Q30" s="132">
        <f>IF(SER_hh_tes_in!Q30=0,0,11630*1000*SER_hh_tes_in!Q30/SER_hh_num_in!Q30)</f>
        <v>18636.391238965203</v>
      </c>
      <c r="R30" s="132">
        <f>IF(SER_hh_tes_in!R30=0,0,11630*1000*SER_hh_tes_in!R30/SER_hh_num_in!R30)</f>
        <v>20932.734626297337</v>
      </c>
      <c r="S30" s="132">
        <f>IF(SER_hh_tes_in!S30=0,0,11630*1000*SER_hh_tes_in!S30/SER_hh_num_in!S30)</f>
        <v>19818.778126450699</v>
      </c>
      <c r="T30" s="132">
        <f>IF(SER_hh_tes_in!T30=0,0,11630*1000*SER_hh_tes_in!T30/SER_hh_num_in!T30)</f>
        <v>19638.185230624807</v>
      </c>
      <c r="U30" s="132">
        <f>IF(SER_hh_tes_in!U30=0,0,11630*1000*SER_hh_tes_in!U30/SER_hh_num_in!U30)</f>
        <v>21495.048535083479</v>
      </c>
      <c r="V30" s="132">
        <f>IF(SER_hh_tes_in!V30=0,0,11630*1000*SER_hh_tes_in!V30/SER_hh_num_in!V30)</f>
        <v>18310.156371744128</v>
      </c>
      <c r="W30" s="132">
        <f>IF(SER_hh_tes_in!W30=0,0,11630*1000*SER_hh_tes_in!W30/SER_hh_num_in!W30)</f>
        <v>23884.298303922769</v>
      </c>
      <c r="X30" s="132">
        <f>IF(SER_hh_tes_in!X30=0,0,11630*1000*SER_hh_tes_in!X30/SER_hh_num_in!X30)</f>
        <v>0</v>
      </c>
      <c r="Y30" s="132">
        <f>IF(SER_hh_tes_in!Y30=0,0,11630*1000*SER_hh_tes_in!Y30/SER_hh_num_in!Y30)</f>
        <v>0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15454.431851632939</v>
      </c>
      <c r="D31" s="132">
        <f>IF(SER_hh_tes_in!D31=0,0,11630*1000*SER_hh_tes_in!D31/SER_hh_num_in!D31)</f>
        <v>15536.455827431259</v>
      </c>
      <c r="E31" s="132">
        <f>IF(SER_hh_tes_in!E31=0,0,11630*1000*SER_hh_tes_in!E31/SER_hh_num_in!E31)</f>
        <v>15419.888536218865</v>
      </c>
      <c r="F31" s="132">
        <f>IF(SER_hh_tes_in!F31=0,0,11630*1000*SER_hh_tes_in!F31/SER_hh_num_in!F31)</f>
        <v>15338.755433858332</v>
      </c>
      <c r="G31" s="132">
        <f>IF(SER_hh_tes_in!G31=0,0,11630*1000*SER_hh_tes_in!G31/SER_hh_num_in!G31)</f>
        <v>15811.70125361441</v>
      </c>
      <c r="H31" s="132">
        <f>IF(SER_hh_tes_in!H31=0,0,11630*1000*SER_hh_tes_in!H31/SER_hh_num_in!H31)</f>
        <v>15778.30605438237</v>
      </c>
      <c r="I31" s="132">
        <f>IF(SER_hh_tes_in!I31=0,0,11630*1000*SER_hh_tes_in!I31/SER_hh_num_in!I31)</f>
        <v>16256.628637827409</v>
      </c>
      <c r="J31" s="132">
        <f>IF(SER_hh_tes_in!J31=0,0,11630*1000*SER_hh_tes_in!J31/SER_hh_num_in!J31)</f>
        <v>16943.065539026444</v>
      </c>
      <c r="K31" s="132">
        <f>IF(SER_hh_tes_in!K31=0,0,11630*1000*SER_hh_tes_in!K31/SER_hh_num_in!K31)</f>
        <v>17397.378150783705</v>
      </c>
      <c r="L31" s="132">
        <f>IF(SER_hh_tes_in!L31=0,0,11630*1000*SER_hh_tes_in!L31/SER_hh_num_in!L31)</f>
        <v>17415.087348362795</v>
      </c>
      <c r="M31" s="132">
        <f>IF(SER_hh_tes_in!M31=0,0,11630*1000*SER_hh_tes_in!M31/SER_hh_num_in!M31)</f>
        <v>17871.145186541369</v>
      </c>
      <c r="N31" s="132">
        <f>IF(SER_hh_tes_in!N31=0,0,11630*1000*SER_hh_tes_in!N31/SER_hh_num_in!N31)</f>
        <v>18636.327803019642</v>
      </c>
      <c r="O31" s="132">
        <f>IF(SER_hh_tes_in!O31=0,0,11630*1000*SER_hh_tes_in!O31/SER_hh_num_in!O31)</f>
        <v>18555.7950119784</v>
      </c>
      <c r="P31" s="132">
        <f>IF(SER_hh_tes_in!P31=0,0,11630*1000*SER_hh_tes_in!P31/SER_hh_num_in!P31)</f>
        <v>18666.351622968836</v>
      </c>
      <c r="Q31" s="132">
        <f>IF(SER_hh_tes_in!Q31=0,0,11630*1000*SER_hh_tes_in!Q31/SER_hh_num_in!Q31)</f>
        <v>19382.396998468892</v>
      </c>
      <c r="R31" s="132">
        <f>IF(SER_hh_tes_in!R31=0,0,11630*1000*SER_hh_tes_in!R31/SER_hh_num_in!R31)</f>
        <v>19599.963368714016</v>
      </c>
      <c r="S31" s="132">
        <f>IF(SER_hh_tes_in!S31=0,0,11630*1000*SER_hh_tes_in!S31/SER_hh_num_in!S31)</f>
        <v>20488.534692212936</v>
      </c>
      <c r="T31" s="132">
        <f>IF(SER_hh_tes_in!T31=0,0,11630*1000*SER_hh_tes_in!T31/SER_hh_num_in!T31)</f>
        <v>20772.647075173565</v>
      </c>
      <c r="U31" s="132">
        <f>IF(SER_hh_tes_in!U31=0,0,11630*1000*SER_hh_tes_in!U31/SER_hh_num_in!U31)</f>
        <v>20393.0108235238</v>
      </c>
      <c r="V31" s="132">
        <f>IF(SER_hh_tes_in!V31=0,0,11630*1000*SER_hh_tes_in!V31/SER_hh_num_in!V31)</f>
        <v>17065.561941610173</v>
      </c>
      <c r="W31" s="132">
        <f>IF(SER_hh_tes_in!W31=0,0,11630*1000*SER_hh_tes_in!W31/SER_hh_num_in!W31)</f>
        <v>17807.506529255556</v>
      </c>
      <c r="X31" s="132">
        <f>IF(SER_hh_tes_in!X31=0,0,11630*1000*SER_hh_tes_in!X31/SER_hh_num_in!X31)</f>
        <v>25904.576198322276</v>
      </c>
      <c r="Y31" s="132">
        <f>IF(SER_hh_tes_in!Y31=0,0,11630*1000*SER_hh_tes_in!Y31/SER_hh_num_in!Y31)</f>
        <v>19898.606551832359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25448.350322249556</v>
      </c>
      <c r="L32" s="132">
        <f>IF(SER_hh_tes_in!L32=0,0,11630*1000*SER_hh_tes_in!L32/SER_hh_num_in!L32)</f>
        <v>20224.995588212383</v>
      </c>
      <c r="M32" s="132">
        <f>IF(SER_hh_tes_in!M32=0,0,11630*1000*SER_hh_tes_in!M32/SER_hh_num_in!M32)</f>
        <v>17050.139514636008</v>
      </c>
      <c r="N32" s="132">
        <f>IF(SER_hh_tes_in!N32=0,0,11630*1000*SER_hh_tes_in!N32/SER_hh_num_in!N32)</f>
        <v>18180.18665119533</v>
      </c>
      <c r="O32" s="132">
        <f>IF(SER_hh_tes_in!O32=0,0,11630*1000*SER_hh_tes_in!O32/SER_hh_num_in!O32)</f>
        <v>18534.223910766304</v>
      </c>
      <c r="P32" s="132">
        <f>IF(SER_hh_tes_in!P32=0,0,11630*1000*SER_hh_tes_in!P32/SER_hh_num_in!P32)</f>
        <v>17558.093356597648</v>
      </c>
      <c r="Q32" s="132">
        <f>IF(SER_hh_tes_in!Q32=0,0,11630*1000*SER_hh_tes_in!Q32/SER_hh_num_in!Q32)</f>
        <v>17520.195663418719</v>
      </c>
      <c r="R32" s="132">
        <f>IF(SER_hh_tes_in!R32=0,0,11630*1000*SER_hh_tes_in!R32/SER_hh_num_in!R32)</f>
        <v>17066.910254611237</v>
      </c>
      <c r="S32" s="132">
        <f>IF(SER_hh_tes_in!S32=0,0,11630*1000*SER_hh_tes_in!S32/SER_hh_num_in!S32)</f>
        <v>17913.062134322758</v>
      </c>
      <c r="T32" s="132">
        <f>IF(SER_hh_tes_in!T32=0,0,11630*1000*SER_hh_tes_in!T32/SER_hh_num_in!T32)</f>
        <v>21734.605773869422</v>
      </c>
      <c r="U32" s="132">
        <f>IF(SER_hh_tes_in!U32=0,0,11630*1000*SER_hh_tes_in!U32/SER_hh_num_in!U32)</f>
        <v>22765.739870153633</v>
      </c>
      <c r="V32" s="132">
        <f>IF(SER_hh_tes_in!V32=0,0,11630*1000*SER_hh_tes_in!V32/SER_hh_num_in!V32)</f>
        <v>18769.766792095572</v>
      </c>
      <c r="W32" s="132">
        <f>IF(SER_hh_tes_in!W32=0,0,11630*1000*SER_hh_tes_in!W32/SER_hh_num_in!W32)</f>
        <v>18880.463689609267</v>
      </c>
      <c r="X32" s="132">
        <f>IF(SER_hh_tes_in!X32=0,0,11630*1000*SER_hh_tes_in!X32/SER_hh_num_in!X32)</f>
        <v>15406.783092426424</v>
      </c>
      <c r="Y32" s="132">
        <f>IF(SER_hh_tes_in!Y32=0,0,11630*1000*SER_hh_tes_in!Y32/SER_hh_num_in!Y32)</f>
        <v>24041.00356990752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15278.190597766734</v>
      </c>
      <c r="D33" s="68">
        <f>IF(SER_hh_tes_in!D33=0,0,11630*1000*SER_hh_tes_in!D33/SER_hh_num_in!D33)</f>
        <v>15671.551444160288</v>
      </c>
      <c r="E33" s="68">
        <f>IF(SER_hh_tes_in!E33=0,0,11630*1000*SER_hh_tes_in!E33/SER_hh_num_in!E33)</f>
        <v>15169.661690490513</v>
      </c>
      <c r="F33" s="68">
        <f>IF(SER_hh_tes_in!F33=0,0,11630*1000*SER_hh_tes_in!F33/SER_hh_num_in!F33)</f>
        <v>15495.680003265026</v>
      </c>
      <c r="G33" s="68">
        <f>IF(SER_hh_tes_in!G33=0,0,11630*1000*SER_hh_tes_in!G33/SER_hh_num_in!G33)</f>
        <v>15766.07258954457</v>
      </c>
      <c r="H33" s="68">
        <f>IF(SER_hh_tes_in!H33=0,0,11630*1000*SER_hh_tes_in!H33/SER_hh_num_in!H33)</f>
        <v>15904.016476720455</v>
      </c>
      <c r="I33" s="68">
        <f>IF(SER_hh_tes_in!I33=0,0,11630*1000*SER_hh_tes_in!I33/SER_hh_num_in!I33)</f>
        <v>16212.520895922858</v>
      </c>
      <c r="J33" s="68">
        <f>IF(SER_hh_tes_in!J33=0,0,11630*1000*SER_hh_tes_in!J33/SER_hh_num_in!J33)</f>
        <v>16800.765960658038</v>
      </c>
      <c r="K33" s="68">
        <f>IF(SER_hh_tes_in!K33=0,0,11630*1000*SER_hh_tes_in!K33/SER_hh_num_in!K33)</f>
        <v>17300.045003298932</v>
      </c>
      <c r="L33" s="68">
        <f>IF(SER_hh_tes_in!L33=0,0,11630*1000*SER_hh_tes_in!L33/SER_hh_num_in!L33)</f>
        <v>17488.765397132855</v>
      </c>
      <c r="M33" s="68">
        <f>IF(SER_hh_tes_in!M33=0,0,11630*1000*SER_hh_tes_in!M33/SER_hh_num_in!M33)</f>
        <v>17702.884962258664</v>
      </c>
      <c r="N33" s="68">
        <f>IF(SER_hh_tes_in!N33=0,0,11630*1000*SER_hh_tes_in!N33/SER_hh_num_in!N33)</f>
        <v>18393.450964576994</v>
      </c>
      <c r="O33" s="68">
        <f>IF(SER_hh_tes_in!O33=0,0,11630*1000*SER_hh_tes_in!O33/SER_hh_num_in!O33)</f>
        <v>18848.826726385876</v>
      </c>
      <c r="P33" s="68">
        <f>IF(SER_hh_tes_in!P33=0,0,11630*1000*SER_hh_tes_in!P33/SER_hh_num_in!P33)</f>
        <v>19238.935045664748</v>
      </c>
      <c r="Q33" s="68">
        <f>IF(SER_hh_tes_in!Q33=0,0,11630*1000*SER_hh_tes_in!Q33/SER_hh_num_in!Q33)</f>
        <v>19143.730349583813</v>
      </c>
      <c r="R33" s="68">
        <f>IF(SER_hh_tes_in!R33=0,0,11630*1000*SER_hh_tes_in!R33/SER_hh_num_in!R33)</f>
        <v>19639.401248907892</v>
      </c>
      <c r="S33" s="68">
        <f>IF(SER_hh_tes_in!S33=0,0,11630*1000*SER_hh_tes_in!S33/SER_hh_num_in!S33)</f>
        <v>20093.813500978398</v>
      </c>
      <c r="T33" s="68">
        <f>IF(SER_hh_tes_in!T33=0,0,11630*1000*SER_hh_tes_in!T33/SER_hh_num_in!T33)</f>
        <v>20565.66813481112</v>
      </c>
      <c r="U33" s="68">
        <f>IF(SER_hh_tes_in!U33=0,0,11630*1000*SER_hh_tes_in!U33/SER_hh_num_in!U33)</f>
        <v>20879.351374424699</v>
      </c>
      <c r="V33" s="68">
        <f>IF(SER_hh_tes_in!V33=0,0,11630*1000*SER_hh_tes_in!V33/SER_hh_num_in!V33)</f>
        <v>18063.039279653447</v>
      </c>
      <c r="W33" s="68">
        <f>IF(SER_hh_tes_in!W33=0,0,11630*1000*SER_hh_tes_in!W33/SER_hh_num_in!W33)</f>
        <v>21243.582437487257</v>
      </c>
      <c r="X33" s="68">
        <f>IF(SER_hh_tes_in!X33=0,0,11630*1000*SER_hh_tes_in!X33/SER_hh_num_in!X33)</f>
        <v>20223.174855862064</v>
      </c>
      <c r="Y33" s="68">
        <f>IF(SER_hh_tes_in!Y33=0,0,11630*1000*SER_hh_tes_in!Y33/SER_hh_num_in!Y33)</f>
        <v>21102.012249677129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22582.068647554268</v>
      </c>
      <c r="D3" s="125">
        <f>IF(SER_hh_emi_in!D3=0,0,1000000*SER_hh_emi_in!D3/SER_hh_num_in!D3)</f>
        <v>19486.473473842045</v>
      </c>
      <c r="E3" s="125">
        <f>IF(SER_hh_emi_in!E3=0,0,1000000*SER_hh_emi_in!E3/SER_hh_num_in!E3)</f>
        <v>18098.884764463794</v>
      </c>
      <c r="F3" s="125">
        <f>IF(SER_hh_emi_in!F3=0,0,1000000*SER_hh_emi_in!F3/SER_hh_num_in!F3)</f>
        <v>12890.539116896151</v>
      </c>
      <c r="G3" s="125">
        <f>IF(SER_hh_emi_in!G3=0,0,1000000*SER_hh_emi_in!G3/SER_hh_num_in!G3)</f>
        <v>10812.06525644194</v>
      </c>
      <c r="H3" s="125">
        <f>IF(SER_hh_emi_in!H3=0,0,1000000*SER_hh_emi_in!H3/SER_hh_num_in!H3)</f>
        <v>8346.985584984679</v>
      </c>
      <c r="I3" s="125">
        <f>IF(SER_hh_emi_in!I3=0,0,1000000*SER_hh_emi_in!I3/SER_hh_num_in!I3)</f>
        <v>7343.4834853817092</v>
      </c>
      <c r="J3" s="125">
        <f>IF(SER_hh_emi_in!J3=0,0,1000000*SER_hh_emi_in!J3/SER_hh_num_in!J3)</f>
        <v>9748.894935969478</v>
      </c>
      <c r="K3" s="125">
        <f>IF(SER_hh_emi_in!K3=0,0,1000000*SER_hh_emi_in!K3/SER_hh_num_in!K3)</f>
        <v>10958.782855901023</v>
      </c>
      <c r="L3" s="125">
        <f>IF(SER_hh_emi_in!L3=0,0,1000000*SER_hh_emi_in!L3/SER_hh_num_in!L3)</f>
        <v>13143.849400340876</v>
      </c>
      <c r="M3" s="125">
        <f>IF(SER_hh_emi_in!M3=0,0,1000000*SER_hh_emi_in!M3/SER_hh_num_in!M3)</f>
        <v>9494.2408282331926</v>
      </c>
      <c r="N3" s="125">
        <f>IF(SER_hh_emi_in!N3=0,0,1000000*SER_hh_emi_in!N3/SER_hh_num_in!N3)</f>
        <v>11381.288368410627</v>
      </c>
      <c r="O3" s="125">
        <f>IF(SER_hh_emi_in!O3=0,0,1000000*SER_hh_emi_in!O3/SER_hh_num_in!O3)</f>
        <v>12392.109361591141</v>
      </c>
      <c r="P3" s="125">
        <f>IF(SER_hh_emi_in!P3=0,0,1000000*SER_hh_emi_in!P3/SER_hh_num_in!P3)</f>
        <v>10243.318964721611</v>
      </c>
      <c r="Q3" s="125">
        <f>IF(SER_hh_emi_in!Q3=0,0,1000000*SER_hh_emi_in!Q3/SER_hh_num_in!Q3)</f>
        <v>13309.774278659381</v>
      </c>
      <c r="R3" s="125">
        <f>IF(SER_hh_emi_in!R3=0,0,1000000*SER_hh_emi_in!R3/SER_hh_num_in!R3)</f>
        <v>9679.7977403448676</v>
      </c>
      <c r="S3" s="125">
        <f>IF(SER_hh_emi_in!S3=0,0,1000000*SER_hh_emi_in!S3/SER_hh_num_in!S3)</f>
        <v>7262.6665910795937</v>
      </c>
      <c r="T3" s="125">
        <f>IF(SER_hh_emi_in!T3=0,0,1000000*SER_hh_emi_in!T3/SER_hh_num_in!T3)</f>
        <v>6661.8550714441926</v>
      </c>
      <c r="U3" s="125">
        <f>IF(SER_hh_emi_in!U3=0,0,1000000*SER_hh_emi_in!U3/SER_hh_num_in!U3)</f>
        <v>7185.9078285959095</v>
      </c>
      <c r="V3" s="125">
        <f>IF(SER_hh_emi_in!V3=0,0,1000000*SER_hh_emi_in!V3/SER_hh_num_in!V3)</f>
        <v>6032.9446419771793</v>
      </c>
      <c r="W3" s="125">
        <f>IF(SER_hh_emi_in!W3=0,0,1000000*SER_hh_emi_in!W3/SER_hh_num_in!W3)</f>
        <v>4914.0730780894792</v>
      </c>
      <c r="X3" s="125">
        <f>IF(SER_hh_emi_in!X3=0,0,1000000*SER_hh_emi_in!X3/SER_hh_num_in!X3)</f>
        <v>2532.5258401227879</v>
      </c>
      <c r="Y3" s="125">
        <f>IF(SER_hh_emi_in!Y3=0,0,1000000*SER_hh_emi_in!Y3/SER_hh_num_in!Y3)</f>
        <v>2607.2774612288667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18737.402529691386</v>
      </c>
      <c r="D4" s="130">
        <f>IF(SER_hh_emi_in!D4=0,0,1000000*SER_hh_emi_in!D4/SER_hh_num_in!D4)</f>
        <v>15774.725716886383</v>
      </c>
      <c r="E4" s="130">
        <f>IF(SER_hh_emi_in!E4=0,0,1000000*SER_hh_emi_in!E4/SER_hh_num_in!E4)</f>
        <v>14810.135473252984</v>
      </c>
      <c r="F4" s="130">
        <f>IF(SER_hh_emi_in!F4=0,0,1000000*SER_hh_emi_in!F4/SER_hh_num_in!F4)</f>
        <v>9458.6362448734853</v>
      </c>
      <c r="G4" s="130">
        <f>IF(SER_hh_emi_in!G4=0,0,1000000*SER_hh_emi_in!G4/SER_hh_num_in!G4)</f>
        <v>7410.0897401209268</v>
      </c>
      <c r="H4" s="130">
        <f>IF(SER_hh_emi_in!H4=0,0,1000000*SER_hh_emi_in!H4/SER_hh_num_in!H4)</f>
        <v>5390.8600568279426</v>
      </c>
      <c r="I4" s="130">
        <f>IF(SER_hh_emi_in!I4=0,0,1000000*SER_hh_emi_in!I4/SER_hh_num_in!I4)</f>
        <v>4517.5273666341636</v>
      </c>
      <c r="J4" s="130">
        <f>IF(SER_hh_emi_in!J4=0,0,1000000*SER_hh_emi_in!J4/SER_hh_num_in!J4)</f>
        <v>6149.3383537105929</v>
      </c>
      <c r="K4" s="130">
        <f>IF(SER_hh_emi_in!K4=0,0,1000000*SER_hh_emi_in!K4/SER_hh_num_in!K4)</f>
        <v>7370.7540504807039</v>
      </c>
      <c r="L4" s="130">
        <f>IF(SER_hh_emi_in!L4=0,0,1000000*SER_hh_emi_in!L4/SER_hh_num_in!L4)</f>
        <v>9763.4133268293226</v>
      </c>
      <c r="M4" s="130">
        <f>IF(SER_hh_emi_in!M4=0,0,1000000*SER_hh_emi_in!M4/SER_hh_num_in!M4)</f>
        <v>6562.1542428259445</v>
      </c>
      <c r="N4" s="130">
        <f>IF(SER_hh_emi_in!N4=0,0,1000000*SER_hh_emi_in!N4/SER_hh_num_in!N4)</f>
        <v>8031.7924943486869</v>
      </c>
      <c r="O4" s="130">
        <f>IF(SER_hh_emi_in!O4=0,0,1000000*SER_hh_emi_in!O4/SER_hh_num_in!O4)</f>
        <v>9065.5945192584441</v>
      </c>
      <c r="P4" s="130">
        <f>IF(SER_hh_emi_in!P4=0,0,1000000*SER_hh_emi_in!P4/SER_hh_num_in!P4)</f>
        <v>7306.4675457971616</v>
      </c>
      <c r="Q4" s="130">
        <f>IF(SER_hh_emi_in!Q4=0,0,1000000*SER_hh_emi_in!Q4/SER_hh_num_in!Q4)</f>
        <v>10111.441248943143</v>
      </c>
      <c r="R4" s="130">
        <f>IF(SER_hh_emi_in!R4=0,0,1000000*SER_hh_emi_in!R4/SER_hh_num_in!R4)</f>
        <v>5936.9486790616584</v>
      </c>
      <c r="S4" s="130">
        <f>IF(SER_hh_emi_in!S4=0,0,1000000*SER_hh_emi_in!S4/SER_hh_num_in!S4)</f>
        <v>3824.6162537791579</v>
      </c>
      <c r="T4" s="130">
        <f>IF(SER_hh_emi_in!T4=0,0,1000000*SER_hh_emi_in!T4/SER_hh_num_in!T4)</f>
        <v>3475.4050406845231</v>
      </c>
      <c r="U4" s="130">
        <f>IF(SER_hh_emi_in!U4=0,0,1000000*SER_hh_emi_in!U4/SER_hh_num_in!U4)</f>
        <v>4048.4882346963459</v>
      </c>
      <c r="V4" s="130">
        <f>IF(SER_hh_emi_in!V4=0,0,1000000*SER_hh_emi_in!V4/SER_hh_num_in!V4)</f>
        <v>3456.8827106637677</v>
      </c>
      <c r="W4" s="130">
        <f>IF(SER_hh_emi_in!W4=0,0,1000000*SER_hh_emi_in!W4/SER_hh_num_in!W4)</f>
        <v>2349.6707792523493</v>
      </c>
      <c r="X4" s="130">
        <f>IF(SER_hh_emi_in!X4=0,0,1000000*SER_hh_emi_in!X4/SER_hh_num_in!X4)</f>
        <v>223.11473698467685</v>
      </c>
      <c r="Y4" s="130">
        <f>IF(SER_hh_emi_in!Y4=0,0,1000000*SER_hh_emi_in!Y4/SER_hh_num_in!Y4)</f>
        <v>866.68866023805344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30490.565508043765</v>
      </c>
      <c r="D5" s="132">
        <f>IF(SER_hh_emi_in!D5=0,0,1000000*SER_hh_emi_in!D5/SER_hh_num_in!D5)</f>
        <v>41219.05905967173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34819.43340502838</v>
      </c>
      <c r="K5" s="132">
        <f>IF(SER_hh_emi_in!K5=0,0,1000000*SER_hh_emi_in!K5/SER_hh_num_in!K5)</f>
        <v>32163.438077601615</v>
      </c>
      <c r="L5" s="132">
        <f>IF(SER_hh_emi_in!L5=0,0,1000000*SER_hh_emi_in!L5/SER_hh_num_in!L5)</f>
        <v>19268.136966551272</v>
      </c>
      <c r="M5" s="132">
        <f>IF(SER_hh_emi_in!M5=0,0,1000000*SER_hh_emi_in!M5/SER_hh_num_in!M5)</f>
        <v>40291.302706744107</v>
      </c>
      <c r="N5" s="132">
        <f>IF(SER_hh_emi_in!N5=0,0,1000000*SER_hh_emi_in!N5/SER_hh_num_in!N5)</f>
        <v>40213.864950555275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38028.391124281661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0</v>
      </c>
      <c r="D6" s="132">
        <f>IF(SER_hh_emi_in!D6=0,0,1000000*SER_hh_emi_in!D6/SER_hh_num_in!D6)</f>
        <v>0</v>
      </c>
      <c r="E6" s="132">
        <f>IF(SER_hh_emi_in!E6=0,0,1000000*SER_hh_emi_in!E6/SER_hh_num_in!E6)</f>
        <v>0</v>
      </c>
      <c r="F6" s="132">
        <f>IF(SER_hh_emi_in!F6=0,0,1000000*SER_hh_emi_in!F6/SER_hh_num_in!F6)</f>
        <v>0</v>
      </c>
      <c r="G6" s="132">
        <f>IF(SER_hh_emi_in!G6=0,0,1000000*SER_hh_emi_in!G6/SER_hh_num_in!G6)</f>
        <v>0</v>
      </c>
      <c r="H6" s="132">
        <f>IF(SER_hh_emi_in!H6=0,0,1000000*SER_hh_emi_in!H6/SER_hh_num_in!H6)</f>
        <v>0</v>
      </c>
      <c r="I6" s="132">
        <f>IF(SER_hh_emi_in!I6=0,0,1000000*SER_hh_emi_in!I6/SER_hh_num_in!I6)</f>
        <v>0</v>
      </c>
      <c r="J6" s="132">
        <f>IF(SER_hh_emi_in!J6=0,0,1000000*SER_hh_emi_in!J6/SER_hh_num_in!J6)</f>
        <v>0</v>
      </c>
      <c r="K6" s="132">
        <f>IF(SER_hh_emi_in!K6=0,0,1000000*SER_hh_emi_in!K6/SER_hh_num_in!K6)</f>
        <v>0</v>
      </c>
      <c r="L6" s="132">
        <f>IF(SER_hh_emi_in!L6=0,0,1000000*SER_hh_emi_in!L6/SER_hh_num_in!L6)</f>
        <v>0</v>
      </c>
      <c r="M6" s="132">
        <f>IF(SER_hh_emi_in!M6=0,0,1000000*SER_hh_emi_in!M6/SER_hh_num_in!M6)</f>
        <v>0</v>
      </c>
      <c r="N6" s="132">
        <f>IF(SER_hh_emi_in!N6=0,0,1000000*SER_hh_emi_in!N6/SER_hh_num_in!N6)</f>
        <v>0</v>
      </c>
      <c r="O6" s="132">
        <f>IF(SER_hh_emi_in!O6=0,0,1000000*SER_hh_emi_in!O6/SER_hh_num_in!O6)</f>
        <v>0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0</v>
      </c>
      <c r="T6" s="132">
        <f>IF(SER_hh_emi_in!T6=0,0,1000000*SER_hh_emi_in!T6/SER_hh_num_in!T6)</f>
        <v>0</v>
      </c>
      <c r="U6" s="132">
        <f>IF(SER_hh_emi_in!U6=0,0,1000000*SER_hh_emi_in!U6/SER_hh_num_in!U6)</f>
        <v>0</v>
      </c>
      <c r="V6" s="132">
        <f>IF(SER_hh_emi_in!V6=0,0,1000000*SER_hh_emi_in!V6/SER_hh_num_in!V6)</f>
        <v>0</v>
      </c>
      <c r="W6" s="132">
        <f>IF(SER_hh_emi_in!W6=0,0,1000000*SER_hh_emi_in!W6/SER_hh_num_in!W6)</f>
        <v>0</v>
      </c>
      <c r="X6" s="132">
        <f>IF(SER_hh_emi_in!X6=0,0,1000000*SER_hh_emi_in!X6/SER_hh_num_in!X6)</f>
        <v>0</v>
      </c>
      <c r="Y6" s="132">
        <f>IF(SER_hh_emi_in!Y6=0,0,1000000*SER_hh_emi_in!Y6/SER_hh_num_in!Y6)</f>
        <v>0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33547.986193111668</v>
      </c>
      <c r="D7" s="132">
        <f>IF(SER_hh_emi_in!D7=0,0,1000000*SER_hh_emi_in!D7/SER_hh_num_in!D7)</f>
        <v>36240.52007950221</v>
      </c>
      <c r="E7" s="132">
        <f>IF(SER_hh_emi_in!E7=0,0,1000000*SER_hh_emi_in!E7/SER_hh_num_in!E7)</f>
        <v>34759.608327122041</v>
      </c>
      <c r="F7" s="132">
        <f>IF(SER_hh_emi_in!F7=0,0,1000000*SER_hh_emi_in!F7/SER_hh_num_in!F7)</f>
        <v>34702.776094456683</v>
      </c>
      <c r="G7" s="132">
        <f>IF(SER_hh_emi_in!G7=0,0,1000000*SER_hh_emi_in!G7/SER_hh_num_in!G7)</f>
        <v>32715.23946415633</v>
      </c>
      <c r="H7" s="132">
        <f>IF(SER_hh_emi_in!H7=0,0,1000000*SER_hh_emi_in!H7/SER_hh_num_in!H7)</f>
        <v>0</v>
      </c>
      <c r="I7" s="132">
        <f>IF(SER_hh_emi_in!I7=0,0,1000000*SER_hh_emi_in!I7/SER_hh_num_in!I7)</f>
        <v>0</v>
      </c>
      <c r="J7" s="132">
        <f>IF(SER_hh_emi_in!J7=0,0,1000000*SER_hh_emi_in!J7/SER_hh_num_in!J7)</f>
        <v>0</v>
      </c>
      <c r="K7" s="132">
        <f>IF(SER_hh_emi_in!K7=0,0,1000000*SER_hh_emi_in!K7/SER_hh_num_in!K7)</f>
        <v>25829.226097129107</v>
      </c>
      <c r="L7" s="132">
        <f>IF(SER_hh_emi_in!L7=0,0,1000000*SER_hh_emi_in!L7/SER_hh_num_in!L7)</f>
        <v>26242.859019857566</v>
      </c>
      <c r="M7" s="132">
        <f>IF(SER_hh_emi_in!M7=0,0,1000000*SER_hh_emi_in!M7/SER_hh_num_in!M7)</f>
        <v>25269.68869682974</v>
      </c>
      <c r="N7" s="132">
        <f>IF(SER_hh_emi_in!N7=0,0,1000000*SER_hh_emi_in!N7/SER_hh_num_in!N7)</f>
        <v>21198.303633004736</v>
      </c>
      <c r="O7" s="132">
        <f>IF(SER_hh_emi_in!O7=0,0,1000000*SER_hh_emi_in!O7/SER_hh_num_in!O7)</f>
        <v>17951.062240001502</v>
      </c>
      <c r="P7" s="132">
        <f>IF(SER_hh_emi_in!P7=0,0,1000000*SER_hh_emi_in!P7/SER_hh_num_in!P7)</f>
        <v>12887.626862635872</v>
      </c>
      <c r="Q7" s="132">
        <f>IF(SER_hh_emi_in!Q7=0,0,1000000*SER_hh_emi_in!Q7/SER_hh_num_in!Q7)</f>
        <v>16168.479872868589</v>
      </c>
      <c r="R7" s="132">
        <f>IF(SER_hh_emi_in!R7=0,0,1000000*SER_hh_emi_in!R7/SER_hh_num_in!R7)</f>
        <v>15823.620353641738</v>
      </c>
      <c r="S7" s="132">
        <f>IF(SER_hh_emi_in!S7=0,0,1000000*SER_hh_emi_in!S7/SER_hh_num_in!S7)</f>
        <v>16750.053578547806</v>
      </c>
      <c r="T7" s="132">
        <f>IF(SER_hh_emi_in!T7=0,0,1000000*SER_hh_emi_in!T7/SER_hh_num_in!T7)</f>
        <v>0</v>
      </c>
      <c r="U7" s="132">
        <f>IF(SER_hh_emi_in!U7=0,0,1000000*SER_hh_emi_in!U7/SER_hh_num_in!U7)</f>
        <v>0</v>
      </c>
      <c r="V7" s="132">
        <f>IF(SER_hh_emi_in!V7=0,0,1000000*SER_hh_emi_in!V7/SER_hh_num_in!V7)</f>
        <v>0</v>
      </c>
      <c r="W7" s="132">
        <f>IF(SER_hh_emi_in!W7=0,0,1000000*SER_hh_emi_in!W7/SER_hh_num_in!W7)</f>
        <v>0</v>
      </c>
      <c r="X7" s="132">
        <f>IF(SER_hh_emi_in!X7=0,0,1000000*SER_hh_emi_in!X7/SER_hh_num_in!X7)</f>
        <v>12662.468009864519</v>
      </c>
      <c r="Y7" s="132">
        <f>IF(SER_hh_emi_in!Y7=0,0,1000000*SER_hh_emi_in!Y7/SER_hh_num_in!Y7)</f>
        <v>11688.780232530849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0</v>
      </c>
      <c r="D8" s="132">
        <f>IF(SER_hh_emi_in!D8=0,0,1000000*SER_hh_emi_in!D8/SER_hh_num_in!D8)</f>
        <v>0</v>
      </c>
      <c r="E8" s="132">
        <f>IF(SER_hh_emi_in!E8=0,0,1000000*SER_hh_emi_in!E8/SER_hh_num_in!E8)</f>
        <v>0</v>
      </c>
      <c r="F8" s="132">
        <f>IF(SER_hh_emi_in!F8=0,0,1000000*SER_hh_emi_in!F8/SER_hh_num_in!F8)</f>
        <v>0</v>
      </c>
      <c r="G8" s="132">
        <f>IF(SER_hh_emi_in!G8=0,0,1000000*SER_hh_emi_in!G8/SER_hh_num_in!G8)</f>
        <v>0</v>
      </c>
      <c r="H8" s="132">
        <f>IF(SER_hh_emi_in!H8=0,0,1000000*SER_hh_emi_in!H8/SER_hh_num_in!H8)</f>
        <v>0</v>
      </c>
      <c r="I8" s="132">
        <f>IF(SER_hh_emi_in!I8=0,0,1000000*SER_hh_emi_in!I8/SER_hh_num_in!I8)</f>
        <v>0</v>
      </c>
      <c r="J8" s="132">
        <f>IF(SER_hh_emi_in!J8=0,0,1000000*SER_hh_emi_in!J8/SER_hh_num_in!J8)</f>
        <v>0</v>
      </c>
      <c r="K8" s="132">
        <f>IF(SER_hh_emi_in!K8=0,0,1000000*SER_hh_emi_in!K8/SER_hh_num_in!K8)</f>
        <v>0</v>
      </c>
      <c r="L8" s="132">
        <f>IF(SER_hh_emi_in!L8=0,0,1000000*SER_hh_emi_in!L8/SER_hh_num_in!L8)</f>
        <v>0</v>
      </c>
      <c r="M8" s="132">
        <f>IF(SER_hh_emi_in!M8=0,0,1000000*SER_hh_emi_in!M8/SER_hh_num_in!M8)</f>
        <v>0</v>
      </c>
      <c r="N8" s="132">
        <f>IF(SER_hh_emi_in!N8=0,0,1000000*SER_hh_emi_in!N8/SER_hh_num_in!N8)</f>
        <v>0</v>
      </c>
      <c r="O8" s="132">
        <f>IF(SER_hh_emi_in!O8=0,0,1000000*SER_hh_emi_in!O8/SER_hh_num_in!O8)</f>
        <v>0</v>
      </c>
      <c r="P8" s="132">
        <f>IF(SER_hh_emi_in!P8=0,0,1000000*SER_hh_emi_in!P8/SER_hh_num_in!P8)</f>
        <v>0</v>
      </c>
      <c r="Q8" s="132">
        <f>IF(SER_hh_emi_in!Q8=0,0,1000000*SER_hh_emi_in!Q8/SER_hh_num_in!Q8)</f>
        <v>0</v>
      </c>
      <c r="R8" s="132">
        <f>IF(SER_hh_emi_in!R8=0,0,1000000*SER_hh_emi_in!R8/SER_hh_num_in!R8)</f>
        <v>0</v>
      </c>
      <c r="S8" s="132">
        <f>IF(SER_hh_emi_in!S8=0,0,1000000*SER_hh_emi_in!S8/SER_hh_num_in!S8)</f>
        <v>0</v>
      </c>
      <c r="T8" s="132">
        <f>IF(SER_hh_emi_in!T8=0,0,1000000*SER_hh_emi_in!T8/SER_hh_num_in!T8)</f>
        <v>0</v>
      </c>
      <c r="U8" s="132">
        <f>IF(SER_hh_emi_in!U8=0,0,1000000*SER_hh_emi_in!U8/SER_hh_num_in!U8)</f>
        <v>0</v>
      </c>
      <c r="V8" s="132">
        <f>IF(SER_hh_emi_in!V8=0,0,1000000*SER_hh_emi_in!V8/SER_hh_num_in!V8)</f>
        <v>0</v>
      </c>
      <c r="W8" s="132">
        <f>IF(SER_hh_emi_in!W8=0,0,1000000*SER_hh_emi_in!W8/SER_hh_num_in!W8)</f>
        <v>0</v>
      </c>
      <c r="X8" s="132">
        <f>IF(SER_hh_emi_in!X8=0,0,1000000*SER_hh_emi_in!X8/SER_hh_num_in!X8)</f>
        <v>0</v>
      </c>
      <c r="Y8" s="132">
        <f>IF(SER_hh_emi_in!Y8=0,0,1000000*SER_hh_emi_in!Y8/SER_hh_num_in!Y8)</f>
        <v>0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27152.04489268201</v>
      </c>
      <c r="D9" s="132">
        <f>IF(SER_hh_emi_in!D9=0,0,1000000*SER_hh_emi_in!D9/SER_hh_num_in!D9)</f>
        <v>23503.761978250732</v>
      </c>
      <c r="E9" s="132">
        <f>IF(SER_hh_emi_in!E9=0,0,1000000*SER_hh_emi_in!E9/SER_hh_num_in!E9)</f>
        <v>23593.884173897324</v>
      </c>
      <c r="F9" s="132">
        <f>IF(SER_hh_emi_in!F9=0,0,1000000*SER_hh_emi_in!F9/SER_hh_num_in!F9)</f>
        <v>23419.084389666245</v>
      </c>
      <c r="G9" s="132">
        <f>IF(SER_hh_emi_in!G9=0,0,1000000*SER_hh_emi_in!G9/SER_hh_num_in!G9)</f>
        <v>23663.767270156324</v>
      </c>
      <c r="H9" s="132">
        <f>IF(SER_hh_emi_in!H9=0,0,1000000*SER_hh_emi_in!H9/SER_hh_num_in!H9)</f>
        <v>20906.742351490993</v>
      </c>
      <c r="I9" s="132">
        <f>IF(SER_hh_emi_in!I9=0,0,1000000*SER_hh_emi_in!I9/SER_hh_num_in!I9)</f>
        <v>18583.616625258062</v>
      </c>
      <c r="J9" s="132">
        <f>IF(SER_hh_emi_in!J9=0,0,1000000*SER_hh_emi_in!J9/SER_hh_num_in!J9)</f>
        <v>19021.539323351881</v>
      </c>
      <c r="K9" s="132">
        <f>IF(SER_hh_emi_in!K9=0,0,1000000*SER_hh_emi_in!K9/SER_hh_num_in!K9)</f>
        <v>18148.093962128776</v>
      </c>
      <c r="L9" s="132">
        <f>IF(SER_hh_emi_in!L9=0,0,1000000*SER_hh_emi_in!L9/SER_hh_num_in!L9)</f>
        <v>20987.796078188752</v>
      </c>
      <c r="M9" s="132">
        <f>IF(SER_hh_emi_in!M9=0,0,1000000*SER_hh_emi_in!M9/SER_hh_num_in!M9)</f>
        <v>17464.731249011176</v>
      </c>
      <c r="N9" s="132">
        <f>IF(SER_hh_emi_in!N9=0,0,1000000*SER_hh_emi_in!N9/SER_hh_num_in!N9)</f>
        <v>14532.213991765064</v>
      </c>
      <c r="O9" s="132">
        <f>IF(SER_hh_emi_in!O9=0,0,1000000*SER_hh_emi_in!O9/SER_hh_num_in!O9)</f>
        <v>12961.403335621422</v>
      </c>
      <c r="P9" s="132">
        <f>IF(SER_hh_emi_in!P9=0,0,1000000*SER_hh_emi_in!P9/SER_hh_num_in!P9)</f>
        <v>10183.782988261511</v>
      </c>
      <c r="Q9" s="132">
        <f>IF(SER_hh_emi_in!Q9=0,0,1000000*SER_hh_emi_in!Q9/SER_hh_num_in!Q9)</f>
        <v>11607.371017681175</v>
      </c>
      <c r="R9" s="132">
        <f>IF(SER_hh_emi_in!R9=0,0,1000000*SER_hh_emi_in!R9/SER_hh_num_in!R9)</f>
        <v>11464.576210379433</v>
      </c>
      <c r="S9" s="132">
        <f>IF(SER_hh_emi_in!S9=0,0,1000000*SER_hh_emi_in!S9/SER_hh_num_in!S9)</f>
        <v>11432.562171552752</v>
      </c>
      <c r="T9" s="132">
        <f>IF(SER_hh_emi_in!T9=0,0,1000000*SER_hh_emi_in!T9/SER_hh_num_in!T9)</f>
        <v>11318.530569823773</v>
      </c>
      <c r="U9" s="132">
        <f>IF(SER_hh_emi_in!U9=0,0,1000000*SER_hh_emi_in!U9/SER_hh_num_in!U9)</f>
        <v>10800.093146015484</v>
      </c>
      <c r="V9" s="132">
        <f>IF(SER_hh_emi_in!V9=0,0,1000000*SER_hh_emi_in!V9/SER_hh_num_in!V9)</f>
        <v>9362.8593881870147</v>
      </c>
      <c r="W9" s="132">
        <f>IF(SER_hh_emi_in!W9=0,0,1000000*SER_hh_emi_in!W9/SER_hh_num_in!W9)</f>
        <v>10018.913379994698</v>
      </c>
      <c r="X9" s="132">
        <f>IF(SER_hh_emi_in!X9=0,0,1000000*SER_hh_emi_in!X9/SER_hh_num_in!X9)</f>
        <v>0</v>
      </c>
      <c r="Y9" s="132">
        <f>IF(SER_hh_emi_in!Y9=0,0,1000000*SER_hh_emi_in!Y9/SER_hh_num_in!Y9)</f>
        <v>7913.3445427949664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0</v>
      </c>
      <c r="X10" s="132">
        <f>IF(SER_hh_emi_in!X10=0,0,1000000*SER_hh_emi_in!X10/SER_hh_num_in!X10)</f>
        <v>0</v>
      </c>
      <c r="Y10" s="132">
        <f>IF(SER_hh_emi_in!Y10=0,0,1000000*SER_hh_emi_in!Y10/SER_hh_num_in!Y10)</f>
        <v>0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3.606934427918302</v>
      </c>
      <c r="D16" s="130">
        <f>IF(SER_hh_emi_in!D16=0,0,1000000*SER_hh_emi_in!D16/SER_hh_num_in!D16)</f>
        <v>5.6983310449673139</v>
      </c>
      <c r="E16" s="130">
        <f>IF(SER_hh_emi_in!E16=0,0,1000000*SER_hh_emi_in!E16/SER_hh_num_in!E16)</f>
        <v>11.254710527514034</v>
      </c>
      <c r="F16" s="130">
        <f>IF(SER_hh_emi_in!F16=0,0,1000000*SER_hh_emi_in!F16/SER_hh_num_in!F16)</f>
        <v>5.1800425506622672</v>
      </c>
      <c r="G16" s="130">
        <f>IF(SER_hh_emi_in!G16=0,0,1000000*SER_hh_emi_in!G16/SER_hh_num_in!G16)</f>
        <v>5.011967172159018</v>
      </c>
      <c r="H16" s="130">
        <f>IF(SER_hh_emi_in!H16=0,0,1000000*SER_hh_emi_in!H16/SER_hh_num_in!H16)</f>
        <v>5.4833026127686466</v>
      </c>
      <c r="I16" s="130">
        <f>IF(SER_hh_emi_in!I16=0,0,1000000*SER_hh_emi_in!I16/SER_hh_num_in!I16)</f>
        <v>4.6104537301560899</v>
      </c>
      <c r="J16" s="130">
        <f>IF(SER_hh_emi_in!J16=0,0,1000000*SER_hh_emi_in!J16/SER_hh_num_in!J16)</f>
        <v>4.7408602625653034</v>
      </c>
      <c r="K16" s="130">
        <f>IF(SER_hh_emi_in!K16=0,0,1000000*SER_hh_emi_in!K16/SER_hh_num_in!K16)</f>
        <v>6.3256940638653747</v>
      </c>
      <c r="L16" s="130">
        <f>IF(SER_hh_emi_in!L16=0,0,1000000*SER_hh_emi_in!L16/SER_hh_num_in!L16)</f>
        <v>8.145603981829348</v>
      </c>
      <c r="M16" s="130">
        <f>IF(SER_hh_emi_in!M16=0,0,1000000*SER_hh_emi_in!M16/SER_hh_num_in!M16)</f>
        <v>7.7453639894114268</v>
      </c>
      <c r="N16" s="130">
        <f>IF(SER_hh_emi_in!N16=0,0,1000000*SER_hh_emi_in!N16/SER_hh_num_in!N16)</f>
        <v>11.130016735121936</v>
      </c>
      <c r="O16" s="130">
        <f>IF(SER_hh_emi_in!O16=0,0,1000000*SER_hh_emi_in!O16/SER_hh_num_in!O16)</f>
        <v>10.998950605677805</v>
      </c>
      <c r="P16" s="130">
        <f>IF(SER_hh_emi_in!P16=0,0,1000000*SER_hh_emi_in!P16/SER_hh_num_in!P16)</f>
        <v>10.454410016137656</v>
      </c>
      <c r="Q16" s="130">
        <f>IF(SER_hh_emi_in!Q16=0,0,1000000*SER_hh_emi_in!Q16/SER_hh_num_in!Q16)</f>
        <v>19.54549909430235</v>
      </c>
      <c r="R16" s="130">
        <f>IF(SER_hh_emi_in!R16=0,0,1000000*SER_hh_emi_in!R16/SER_hh_num_in!R16)</f>
        <v>13.64674350412754</v>
      </c>
      <c r="S16" s="130">
        <f>IF(SER_hh_emi_in!S16=0,0,1000000*SER_hh_emi_in!S16/SER_hh_num_in!S16)</f>
        <v>26.92775980718444</v>
      </c>
      <c r="T16" s="130">
        <f>IF(SER_hh_emi_in!T16=0,0,1000000*SER_hh_emi_in!T16/SER_hh_num_in!T16)</f>
        <v>27.041251337430296</v>
      </c>
      <c r="U16" s="130">
        <f>IF(SER_hh_emi_in!U16=0,0,1000000*SER_hh_emi_in!U16/SER_hh_num_in!U16)</f>
        <v>26.834709797641302</v>
      </c>
      <c r="V16" s="130">
        <f>IF(SER_hh_emi_in!V16=0,0,1000000*SER_hh_emi_in!V16/SER_hh_num_in!V16)</f>
        <v>24.704233612883392</v>
      </c>
      <c r="W16" s="130">
        <f>IF(SER_hh_emi_in!W16=0,0,1000000*SER_hh_emi_in!W16/SER_hh_num_in!W16)</f>
        <v>13.493413733942385</v>
      </c>
      <c r="X16" s="130">
        <f>IF(SER_hh_emi_in!X16=0,0,1000000*SER_hh_emi_in!X16/SER_hh_num_in!X16)</f>
        <v>30.780085742067666</v>
      </c>
      <c r="Y16" s="130">
        <f>IF(SER_hh_emi_in!Y16=0,0,1000000*SER_hh_emi_in!Y16/SER_hh_num_in!Y16)</f>
        <v>22.318284432596414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3819.6798938299262</v>
      </c>
      <c r="D17" s="132">
        <f>IF(SER_hh_emi_in!D17=0,0,1000000*SER_hh_emi_in!D17/SER_hh_num_in!D17)</f>
        <v>3605.1958451883793</v>
      </c>
      <c r="E17" s="132">
        <f>IF(SER_hh_emi_in!E17=0,0,1000000*SER_hh_emi_in!E17/SER_hh_num_in!E17)</f>
        <v>6732.6425114398953</v>
      </c>
      <c r="F17" s="132">
        <f>IF(SER_hh_emi_in!F17=0,0,1000000*SER_hh_emi_in!F17/SER_hh_num_in!F17)</f>
        <v>3395.0040243362218</v>
      </c>
      <c r="G17" s="132">
        <f>IF(SER_hh_emi_in!G17=0,0,1000000*SER_hh_emi_in!G17/SER_hh_num_in!G17)</f>
        <v>3346.5295875756983</v>
      </c>
      <c r="H17" s="132">
        <f>IF(SER_hh_emi_in!H17=0,0,1000000*SER_hh_emi_in!H17/SER_hh_num_in!H17)</f>
        <v>3710.3758399775666</v>
      </c>
      <c r="I17" s="132">
        <f>IF(SER_hh_emi_in!I17=0,0,1000000*SER_hh_emi_in!I17/SER_hh_num_in!I17)</f>
        <v>4877.3924756673023</v>
      </c>
      <c r="J17" s="132">
        <f>IF(SER_hh_emi_in!J17=0,0,1000000*SER_hh_emi_in!J17/SER_hh_num_in!J17)</f>
        <v>4340.6794743780656</v>
      </c>
      <c r="K17" s="132">
        <f>IF(SER_hh_emi_in!K17=0,0,1000000*SER_hh_emi_in!K17/SER_hh_num_in!K17)</f>
        <v>3303.1335106494107</v>
      </c>
      <c r="L17" s="132">
        <f>IF(SER_hh_emi_in!L17=0,0,1000000*SER_hh_emi_in!L17/SER_hh_num_in!L17)</f>
        <v>3269.1828771844862</v>
      </c>
      <c r="M17" s="132">
        <f>IF(SER_hh_emi_in!M17=0,0,1000000*SER_hh_emi_in!M17/SER_hh_num_in!M17)</f>
        <v>3424.7406275132817</v>
      </c>
      <c r="N17" s="132">
        <f>IF(SER_hh_emi_in!N17=0,0,1000000*SER_hh_emi_in!N17/SER_hh_num_in!N17)</f>
        <v>4217.9949194589162</v>
      </c>
      <c r="O17" s="132">
        <f>IF(SER_hh_emi_in!O17=0,0,1000000*SER_hh_emi_in!O17/SER_hh_num_in!O17)</f>
        <v>3152.6843030019627</v>
      </c>
      <c r="P17" s="132">
        <f>IF(SER_hh_emi_in!P17=0,0,1000000*SER_hh_emi_in!P17/SER_hh_num_in!P17)</f>
        <v>2072.4904529634823</v>
      </c>
      <c r="Q17" s="132">
        <f>IF(SER_hh_emi_in!Q17=0,0,1000000*SER_hh_emi_in!Q17/SER_hh_num_in!Q17)</f>
        <v>4199.8985007879182</v>
      </c>
      <c r="R17" s="132">
        <f>IF(SER_hh_emi_in!R17=0,0,1000000*SER_hh_emi_in!R17/SER_hh_num_in!R17)</f>
        <v>2702.2041230383152</v>
      </c>
      <c r="S17" s="132">
        <f>IF(SER_hh_emi_in!S17=0,0,1000000*SER_hh_emi_in!S17/SER_hh_num_in!S17)</f>
        <v>3727.9583931602406</v>
      </c>
      <c r="T17" s="132">
        <f>IF(SER_hh_emi_in!T17=0,0,1000000*SER_hh_emi_in!T17/SER_hh_num_in!T17)</f>
        <v>2677.5812364508765</v>
      </c>
      <c r="U17" s="132">
        <f>IF(SER_hh_emi_in!U17=0,0,1000000*SER_hh_emi_in!U17/SER_hh_num_in!U17)</f>
        <v>3086.4259108625156</v>
      </c>
      <c r="V17" s="132">
        <f>IF(SER_hh_emi_in!V17=0,0,1000000*SER_hh_emi_in!V17/SER_hh_num_in!V17)</f>
        <v>1866.7319566904932</v>
      </c>
      <c r="W17" s="132">
        <f>IF(SER_hh_emi_in!W17=0,0,1000000*SER_hh_emi_in!W17/SER_hh_num_in!W17)</f>
        <v>2260.2051034507845</v>
      </c>
      <c r="X17" s="132">
        <f>IF(SER_hh_emi_in!X17=0,0,1000000*SER_hh_emi_in!X17/SER_hh_num_in!X17)</f>
        <v>2953.7420441059862</v>
      </c>
      <c r="Y17" s="132">
        <f>IF(SER_hh_emi_in!Y17=0,0,1000000*SER_hh_emi_in!Y17/SER_hh_num_in!Y17)</f>
        <v>2979.5237984122969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2403.5157099314929</v>
      </c>
      <c r="D19" s="130">
        <f>IF(SER_hh_emi_in!D19=0,0,1000000*SER_hh_emi_in!D19/SER_hh_num_in!D19)</f>
        <v>2700.7774350982413</v>
      </c>
      <c r="E19" s="130">
        <f>IF(SER_hh_emi_in!E19=0,0,1000000*SER_hh_emi_in!E19/SER_hh_num_in!E19)</f>
        <v>2302.4865040188843</v>
      </c>
      <c r="F19" s="130">
        <f>IF(SER_hh_emi_in!F19=0,0,1000000*SER_hh_emi_in!F19/SER_hh_num_in!F19)</f>
        <v>2478.7812838469254</v>
      </c>
      <c r="G19" s="130">
        <f>IF(SER_hh_emi_in!G19=0,0,1000000*SER_hh_emi_in!G19/SER_hh_num_in!G19)</f>
        <v>2563.0044216620386</v>
      </c>
      <c r="H19" s="130">
        <f>IF(SER_hh_emi_in!H19=0,0,1000000*SER_hh_emi_in!H19/SER_hh_num_in!H19)</f>
        <v>2156.4451384341432</v>
      </c>
      <c r="I19" s="130">
        <f>IF(SER_hh_emi_in!I19=0,0,1000000*SER_hh_emi_in!I19/SER_hh_num_in!I19)</f>
        <v>2049.4116669955315</v>
      </c>
      <c r="J19" s="130">
        <f>IF(SER_hh_emi_in!J19=0,0,1000000*SER_hh_emi_in!J19/SER_hh_num_in!J19)</f>
        <v>2457.3070463129702</v>
      </c>
      <c r="K19" s="130">
        <f>IF(SER_hh_emi_in!K19=0,0,1000000*SER_hh_emi_in!K19/SER_hh_num_in!K19)</f>
        <v>2379.2363630056493</v>
      </c>
      <c r="L19" s="130">
        <f>IF(SER_hh_emi_in!L19=0,0,1000000*SER_hh_emi_in!L19/SER_hh_num_in!L19)</f>
        <v>2136.0416746078022</v>
      </c>
      <c r="M19" s="130">
        <f>IF(SER_hh_emi_in!M19=0,0,1000000*SER_hh_emi_in!M19/SER_hh_num_in!M19)</f>
        <v>1778.8527897682177</v>
      </c>
      <c r="N19" s="130">
        <f>IF(SER_hh_emi_in!N19=0,0,1000000*SER_hh_emi_in!N19/SER_hh_num_in!N19)</f>
        <v>1954.1220737499334</v>
      </c>
      <c r="O19" s="130">
        <f>IF(SER_hh_emi_in!O19=0,0,1000000*SER_hh_emi_in!O19/SER_hh_num_in!O19)</f>
        <v>2227.6390307048919</v>
      </c>
      <c r="P19" s="130">
        <f>IF(SER_hh_emi_in!P19=0,0,1000000*SER_hh_emi_in!P19/SER_hh_num_in!P19)</f>
        <v>1971.4852281534636</v>
      </c>
      <c r="Q19" s="130">
        <f>IF(SER_hh_emi_in!Q19=0,0,1000000*SER_hh_emi_in!Q19/SER_hh_num_in!Q19)</f>
        <v>2114.838783553022</v>
      </c>
      <c r="R19" s="130">
        <f>IF(SER_hh_emi_in!R19=0,0,1000000*SER_hh_emi_in!R19/SER_hh_num_in!R19)</f>
        <v>2386.9563702138867</v>
      </c>
      <c r="S19" s="130">
        <f>IF(SER_hh_emi_in!S19=0,0,1000000*SER_hh_emi_in!S19/SER_hh_num_in!S19)</f>
        <v>2235.3667302884378</v>
      </c>
      <c r="T19" s="130">
        <f>IF(SER_hh_emi_in!T19=0,0,1000000*SER_hh_emi_in!T19/SER_hh_num_in!T19)</f>
        <v>2069.303219092752</v>
      </c>
      <c r="U19" s="130">
        <f>IF(SER_hh_emi_in!U19=0,0,1000000*SER_hh_emi_in!U19/SER_hh_num_in!U19)</f>
        <v>1900.4858230040261</v>
      </c>
      <c r="V19" s="130">
        <f>IF(SER_hh_emi_in!V19=0,0,1000000*SER_hh_emi_in!V19/SER_hh_num_in!V19)</f>
        <v>1232.1699070497443</v>
      </c>
      <c r="W19" s="130">
        <f>IF(SER_hh_emi_in!W19=0,0,1000000*SER_hh_emi_in!W19/SER_hh_num_in!W19)</f>
        <v>1110.2455553011559</v>
      </c>
      <c r="X19" s="130">
        <f>IF(SER_hh_emi_in!X19=0,0,1000000*SER_hh_emi_in!X19/SER_hh_num_in!X19)</f>
        <v>76.606670697776281</v>
      </c>
      <c r="Y19" s="130">
        <f>IF(SER_hh_emi_in!Y19=0,0,1000000*SER_hh_emi_in!Y19/SER_hh_num_in!Y19)</f>
        <v>20.236566055794114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5448.1663001628604</v>
      </c>
      <c r="D21" s="132">
        <f>IF(SER_hh_emi_in!D21=0,0,1000000*SER_hh_emi_in!D21/SER_hh_num_in!D21)</f>
        <v>5506.1084230153856</v>
      </c>
      <c r="E21" s="132">
        <f>IF(SER_hh_emi_in!E21=0,0,1000000*SER_hh_emi_in!E21/SER_hh_num_in!E21)</f>
        <v>5426.5114726996107</v>
      </c>
      <c r="F21" s="132">
        <f>IF(SER_hh_emi_in!F21=0,0,1000000*SER_hh_emi_in!F21/SER_hh_num_in!F21)</f>
        <v>5497.7492386788699</v>
      </c>
      <c r="G21" s="132">
        <f>IF(SER_hh_emi_in!G21=0,0,1000000*SER_hh_emi_in!G21/SER_hh_num_in!G21)</f>
        <v>5388.7387608242643</v>
      </c>
      <c r="H21" s="132">
        <f>IF(SER_hh_emi_in!H21=0,0,1000000*SER_hh_emi_in!H21/SER_hh_num_in!H21)</f>
        <v>5322.8568098673031</v>
      </c>
      <c r="I21" s="132">
        <f>IF(SER_hh_emi_in!I21=0,0,1000000*SER_hh_emi_in!I21/SER_hh_num_in!I21)</f>
        <v>5200.4980382333115</v>
      </c>
      <c r="J21" s="132">
        <f>IF(SER_hh_emi_in!J21=0,0,1000000*SER_hh_emi_in!J21/SER_hh_num_in!J21)</f>
        <v>5124.6272735788616</v>
      </c>
      <c r="K21" s="132">
        <f>IF(SER_hh_emi_in!K21=0,0,1000000*SER_hh_emi_in!K21/SER_hh_num_in!K21)</f>
        <v>5215.7557499922596</v>
      </c>
      <c r="L21" s="132">
        <f>IF(SER_hh_emi_in!L21=0,0,1000000*SER_hh_emi_in!L21/SER_hh_num_in!L21)</f>
        <v>4888.3235627000831</v>
      </c>
      <c r="M21" s="132">
        <f>IF(SER_hh_emi_in!M21=0,0,1000000*SER_hh_emi_in!M21/SER_hh_num_in!M21)</f>
        <v>4996.9287616296597</v>
      </c>
      <c r="N21" s="132">
        <f>IF(SER_hh_emi_in!N21=0,0,1000000*SER_hh_emi_in!N21/SER_hh_num_in!N21)</f>
        <v>4319.7547034579711</v>
      </c>
      <c r="O21" s="132">
        <f>IF(SER_hh_emi_in!O21=0,0,1000000*SER_hh_emi_in!O21/SER_hh_num_in!O21)</f>
        <v>4828.7166367715236</v>
      </c>
      <c r="P21" s="132">
        <f>IF(SER_hh_emi_in!P21=0,0,1000000*SER_hh_emi_in!P21/SER_hh_num_in!P21)</f>
        <v>4740.8906804070657</v>
      </c>
      <c r="Q21" s="132">
        <f>IF(SER_hh_emi_in!Q21=0,0,1000000*SER_hh_emi_in!Q21/SER_hh_num_in!Q21)</f>
        <v>4561.3345309520646</v>
      </c>
      <c r="R21" s="132">
        <f>IF(SER_hh_emi_in!R21=0,0,1000000*SER_hh_emi_in!R21/SER_hh_num_in!R21)</f>
        <v>3410.9333906362158</v>
      </c>
      <c r="S21" s="132">
        <f>IF(SER_hh_emi_in!S21=0,0,1000000*SER_hh_emi_in!S21/SER_hh_num_in!S21)</f>
        <v>4039.1650910895714</v>
      </c>
      <c r="T21" s="132">
        <f>IF(SER_hh_emi_in!T21=0,0,1000000*SER_hh_emi_in!T21/SER_hh_num_in!T21)</f>
        <v>4012.1562643623442</v>
      </c>
      <c r="U21" s="132">
        <f>IF(SER_hh_emi_in!U21=0,0,1000000*SER_hh_emi_in!U21/SER_hh_num_in!U21)</f>
        <v>3887.452679251709</v>
      </c>
      <c r="V21" s="132">
        <f>IF(SER_hh_emi_in!V21=0,0,1000000*SER_hh_emi_in!V21/SER_hh_num_in!V21)</f>
        <v>3268.9792840849259</v>
      </c>
      <c r="W21" s="132">
        <f>IF(SER_hh_emi_in!W21=0,0,1000000*SER_hh_emi_in!W21/SER_hh_num_in!W21)</f>
        <v>3903.9368446712565</v>
      </c>
      <c r="X21" s="132">
        <f>IF(SER_hh_emi_in!X21=0,0,1000000*SER_hh_emi_in!X21/SER_hh_num_in!X21)</f>
        <v>4019.0849532682582</v>
      </c>
      <c r="Y21" s="132">
        <f>IF(SER_hh_emi_in!Y21=0,0,1000000*SER_hh_emi_in!Y21/SER_hh_num_in!Y21)</f>
        <v>3530.7956515742312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6683.2544283169391</v>
      </c>
      <c r="D22" s="132">
        <f>IF(SER_hh_emi_in!D22=0,0,1000000*SER_hh_emi_in!D22/SER_hh_num_in!D22)</f>
        <v>6694.5676503045197</v>
      </c>
      <c r="E22" s="132">
        <f>IF(SER_hh_emi_in!E22=0,0,1000000*SER_hh_emi_in!E22/SER_hh_num_in!E22)</f>
        <v>6761.1139276773629</v>
      </c>
      <c r="F22" s="132">
        <f>IF(SER_hh_emi_in!F22=0,0,1000000*SER_hh_emi_in!F22/SER_hh_num_in!F22)</f>
        <v>6698.6114219335595</v>
      </c>
      <c r="G22" s="132">
        <f>IF(SER_hh_emi_in!G22=0,0,1000000*SER_hh_emi_in!G22/SER_hh_num_in!G22)</f>
        <v>6766.6280914575746</v>
      </c>
      <c r="H22" s="132">
        <f>IF(SER_hh_emi_in!H22=0,0,1000000*SER_hh_emi_in!H22/SER_hh_num_in!H22)</f>
        <v>6610.239713326434</v>
      </c>
      <c r="I22" s="132">
        <f>IF(SER_hh_emi_in!I22=0,0,1000000*SER_hh_emi_in!I22/SER_hh_num_in!I22)</f>
        <v>6668.6321537094082</v>
      </c>
      <c r="J22" s="132">
        <f>IF(SER_hh_emi_in!J22=0,0,1000000*SER_hh_emi_in!J22/SER_hh_num_in!J22)</f>
        <v>6434.3308486203059</v>
      </c>
      <c r="K22" s="132">
        <f>IF(SER_hh_emi_in!K22=0,0,1000000*SER_hh_emi_in!K22/SER_hh_num_in!K22)</f>
        <v>6412.9626467911048</v>
      </c>
      <c r="L22" s="132">
        <f>IF(SER_hh_emi_in!L22=0,0,1000000*SER_hh_emi_in!L22/SER_hh_num_in!L22)</f>
        <v>5837.7373105271363</v>
      </c>
      <c r="M22" s="132">
        <f>IF(SER_hh_emi_in!M22=0,0,1000000*SER_hh_emi_in!M22/SER_hh_num_in!M22)</f>
        <v>5907.2158980852564</v>
      </c>
      <c r="N22" s="132">
        <f>IF(SER_hh_emi_in!N22=0,0,1000000*SER_hh_emi_in!N22/SER_hh_num_in!N22)</f>
        <v>3919.2540419020324</v>
      </c>
      <c r="O22" s="132">
        <f>IF(SER_hh_emi_in!O22=0,0,1000000*SER_hh_emi_in!O22/SER_hh_num_in!O22)</f>
        <v>5938.324243092582</v>
      </c>
      <c r="P22" s="132">
        <f>IF(SER_hh_emi_in!P22=0,0,1000000*SER_hh_emi_in!P22/SER_hh_num_in!P22)</f>
        <v>5730.0876213308456</v>
      </c>
      <c r="Q22" s="132">
        <f>IF(SER_hh_emi_in!Q22=0,0,1000000*SER_hh_emi_in!Q22/SER_hh_num_in!Q22)</f>
        <v>4978.7576027946307</v>
      </c>
      <c r="R22" s="132">
        <f>IF(SER_hh_emi_in!R22=0,0,1000000*SER_hh_emi_in!R22/SER_hh_num_in!R22)</f>
        <v>4173.8325054297584</v>
      </c>
      <c r="S22" s="132">
        <f>IF(SER_hh_emi_in!S22=0,0,1000000*SER_hh_emi_in!S22/SER_hh_num_in!S22)</f>
        <v>4901.0118254133231</v>
      </c>
      <c r="T22" s="132">
        <f>IF(SER_hh_emi_in!T22=0,0,1000000*SER_hh_emi_in!T22/SER_hh_num_in!T22)</f>
        <v>4796.671898830702</v>
      </c>
      <c r="U22" s="132">
        <f>IF(SER_hh_emi_in!U22=0,0,1000000*SER_hh_emi_in!U22/SER_hh_num_in!U22)</f>
        <v>4847.8225756846523</v>
      </c>
      <c r="V22" s="132">
        <f>IF(SER_hh_emi_in!V22=0,0,1000000*SER_hh_emi_in!V22/SER_hh_num_in!V22)</f>
        <v>4218.9377513214686</v>
      </c>
      <c r="W22" s="132">
        <f>IF(SER_hh_emi_in!W22=0,0,1000000*SER_hh_emi_in!W22/SER_hh_num_in!W22)</f>
        <v>4949.3135963530667</v>
      </c>
      <c r="X22" s="132">
        <f>IF(SER_hh_emi_in!X22=0,0,1000000*SER_hh_emi_in!X22/SER_hh_num_in!X22)</f>
        <v>0</v>
      </c>
      <c r="Y22" s="132">
        <f>IF(SER_hh_emi_in!Y22=0,0,1000000*SER_hh_emi_in!Y22/SER_hh_num_in!Y22)</f>
        <v>0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4639.9646723088699</v>
      </c>
      <c r="D23" s="132">
        <f>IF(SER_hh_emi_in!D23=0,0,1000000*SER_hh_emi_in!D23/SER_hh_num_in!D23)</f>
        <v>4664.1456595932441</v>
      </c>
      <c r="E23" s="132">
        <f>IF(SER_hh_emi_in!E23=0,0,1000000*SER_hh_emi_in!E23/SER_hh_num_in!E23)</f>
        <v>4625.9170638851137</v>
      </c>
      <c r="F23" s="132">
        <f>IF(SER_hh_emi_in!F23=0,0,1000000*SER_hh_emi_in!F23/SER_hh_num_in!F23)</f>
        <v>4626.0849117818752</v>
      </c>
      <c r="G23" s="132">
        <f>IF(SER_hh_emi_in!G23=0,0,1000000*SER_hh_emi_in!G23/SER_hh_num_in!G23)</f>
        <v>4631.1586449004126</v>
      </c>
      <c r="H23" s="132">
        <f>IF(SER_hh_emi_in!H23=0,0,1000000*SER_hh_emi_in!H23/SER_hh_num_in!H23)</f>
        <v>4480.556271207729</v>
      </c>
      <c r="I23" s="132">
        <f>IF(SER_hh_emi_in!I23=0,0,1000000*SER_hh_emi_in!I23/SER_hh_num_in!I23)</f>
        <v>4373.6770932948793</v>
      </c>
      <c r="J23" s="132">
        <f>IF(SER_hh_emi_in!J23=0,0,1000000*SER_hh_emi_in!J23/SER_hh_num_in!J23)</f>
        <v>4268.259930772595</v>
      </c>
      <c r="K23" s="132">
        <f>IF(SER_hh_emi_in!K23=0,0,1000000*SER_hh_emi_in!K23/SER_hh_num_in!K23)</f>
        <v>4215.095731209517</v>
      </c>
      <c r="L23" s="132">
        <f>IF(SER_hh_emi_in!L23=0,0,1000000*SER_hh_emi_in!L23/SER_hh_num_in!L23)</f>
        <v>3966.2234538729663</v>
      </c>
      <c r="M23" s="132">
        <f>IF(SER_hh_emi_in!M23=0,0,1000000*SER_hh_emi_in!M23/SER_hh_num_in!M23)</f>
        <v>4099.8117420394246</v>
      </c>
      <c r="N23" s="132">
        <f>IF(SER_hh_emi_in!N23=0,0,1000000*SER_hh_emi_in!N23/SER_hh_num_in!N23)</f>
        <v>3696.9184943348046</v>
      </c>
      <c r="O23" s="132">
        <f>IF(SER_hh_emi_in!O23=0,0,1000000*SER_hh_emi_in!O23/SER_hh_num_in!O23)</f>
        <v>3992.2122673164213</v>
      </c>
      <c r="P23" s="132">
        <f>IF(SER_hh_emi_in!P23=0,0,1000000*SER_hh_emi_in!P23/SER_hh_num_in!P23)</f>
        <v>3939.0661390327</v>
      </c>
      <c r="Q23" s="132">
        <f>IF(SER_hh_emi_in!Q23=0,0,1000000*SER_hh_emi_in!Q23/SER_hh_num_in!Q23)</f>
        <v>3807.2498782347238</v>
      </c>
      <c r="R23" s="132">
        <f>IF(SER_hh_emi_in!R23=0,0,1000000*SER_hh_emi_in!R23/SER_hh_num_in!R23)</f>
        <v>3218.454817971171</v>
      </c>
      <c r="S23" s="132">
        <f>IF(SER_hh_emi_in!S23=0,0,1000000*SER_hh_emi_in!S23/SER_hh_num_in!S23)</f>
        <v>3546.2781759365366</v>
      </c>
      <c r="T23" s="132">
        <f>IF(SER_hh_emi_in!T23=0,0,1000000*SER_hh_emi_in!T23/SER_hh_num_in!T23)</f>
        <v>3511.3214121349088</v>
      </c>
      <c r="U23" s="132">
        <f>IF(SER_hh_emi_in!U23=0,0,1000000*SER_hh_emi_in!U23/SER_hh_num_in!U23)</f>
        <v>3447.385036887466</v>
      </c>
      <c r="V23" s="132">
        <f>IF(SER_hh_emi_in!V23=0,0,1000000*SER_hh_emi_in!V23/SER_hh_num_in!V23)</f>
        <v>3073.1619435604225</v>
      </c>
      <c r="W23" s="132">
        <f>IF(SER_hh_emi_in!W23=0,0,1000000*SER_hh_emi_in!W23/SER_hh_num_in!W23)</f>
        <v>3644.1818140963865</v>
      </c>
      <c r="X23" s="132">
        <f>IF(SER_hh_emi_in!X23=0,0,1000000*SER_hh_emi_in!X23/SER_hh_num_in!X23)</f>
        <v>0</v>
      </c>
      <c r="Y23" s="132">
        <f>IF(SER_hh_emi_in!Y23=0,0,1000000*SER_hh_emi_in!Y23/SER_hh_num_in!Y23)</f>
        <v>0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1437.543473503471</v>
      </c>
      <c r="D29" s="130">
        <f>IF(SER_hh_emi_in!D29=0,0,1000000*SER_hh_emi_in!D29/SER_hh_num_in!D29)</f>
        <v>1005.2719908124484</v>
      </c>
      <c r="E29" s="130">
        <f>IF(SER_hh_emi_in!E29=0,0,1000000*SER_hh_emi_in!E29/SER_hh_num_in!E29)</f>
        <v>975.99395454246201</v>
      </c>
      <c r="F29" s="130">
        <f>IF(SER_hh_emi_in!F29=0,0,1000000*SER_hh_emi_in!F29/SER_hh_num_in!F29)</f>
        <v>947.94154562507811</v>
      </c>
      <c r="G29" s="130">
        <f>IF(SER_hh_emi_in!G29=0,0,1000000*SER_hh_emi_in!G29/SER_hh_num_in!G29)</f>
        <v>833.95912748681485</v>
      </c>
      <c r="H29" s="130">
        <f>IF(SER_hh_emi_in!H29=0,0,1000000*SER_hh_emi_in!H29/SER_hh_num_in!H29)</f>
        <v>794.19708710982513</v>
      </c>
      <c r="I29" s="130">
        <f>IF(SER_hh_emi_in!I29=0,0,1000000*SER_hh_emi_in!I29/SER_hh_num_in!I29)</f>
        <v>771.93399802185775</v>
      </c>
      <c r="J29" s="130">
        <f>IF(SER_hh_emi_in!J29=0,0,1000000*SER_hh_emi_in!J29/SER_hh_num_in!J29)</f>
        <v>1137.5086756833475</v>
      </c>
      <c r="K29" s="130">
        <f>IF(SER_hh_emi_in!K29=0,0,1000000*SER_hh_emi_in!K29/SER_hh_num_in!K29)</f>
        <v>1202.466748350804</v>
      </c>
      <c r="L29" s="130">
        <f>IF(SER_hh_emi_in!L29=0,0,1000000*SER_hh_emi_in!L29/SER_hh_num_in!L29)</f>
        <v>1236.2487949219217</v>
      </c>
      <c r="M29" s="130">
        <f>IF(SER_hh_emi_in!M29=0,0,1000000*SER_hh_emi_in!M29/SER_hh_num_in!M29)</f>
        <v>1145.4884316496198</v>
      </c>
      <c r="N29" s="130">
        <f>IF(SER_hh_emi_in!N29=0,0,1000000*SER_hh_emi_in!N29/SER_hh_num_in!N29)</f>
        <v>1384.2437835768835</v>
      </c>
      <c r="O29" s="130">
        <f>IF(SER_hh_emi_in!O29=0,0,1000000*SER_hh_emi_in!O29/SER_hh_num_in!O29)</f>
        <v>1087.8768610221259</v>
      </c>
      <c r="P29" s="130">
        <f>IF(SER_hh_emi_in!P29=0,0,1000000*SER_hh_emi_in!P29/SER_hh_num_in!P29)</f>
        <v>954.9117807548497</v>
      </c>
      <c r="Q29" s="130">
        <f>IF(SER_hh_emi_in!Q29=0,0,1000000*SER_hh_emi_in!Q29/SER_hh_num_in!Q29)</f>
        <v>1063.9487470689141</v>
      </c>
      <c r="R29" s="130">
        <f>IF(SER_hh_emi_in!R29=0,0,1000000*SER_hh_emi_in!R29/SER_hh_num_in!R29)</f>
        <v>1342.2459475651956</v>
      </c>
      <c r="S29" s="130">
        <f>IF(SER_hh_emi_in!S29=0,0,1000000*SER_hh_emi_in!S29/SER_hh_num_in!S29)</f>
        <v>1175.7558472048131</v>
      </c>
      <c r="T29" s="130">
        <f>IF(SER_hh_emi_in!T29=0,0,1000000*SER_hh_emi_in!T29/SER_hh_num_in!T29)</f>
        <v>1090.1055603294865</v>
      </c>
      <c r="U29" s="130">
        <f>IF(SER_hh_emi_in!U29=0,0,1000000*SER_hh_emi_in!U29/SER_hh_num_in!U29)</f>
        <v>1210.0990610978968</v>
      </c>
      <c r="V29" s="130">
        <f>IF(SER_hh_emi_in!V29=0,0,1000000*SER_hh_emi_in!V29/SER_hh_num_in!V29)</f>
        <v>1319.1877906507839</v>
      </c>
      <c r="W29" s="130">
        <f>IF(SER_hh_emi_in!W29=0,0,1000000*SER_hh_emi_in!W29/SER_hh_num_in!W29)</f>
        <v>1440.663329802032</v>
      </c>
      <c r="X29" s="130">
        <f>IF(SER_hh_emi_in!X29=0,0,1000000*SER_hh_emi_in!X29/SER_hh_num_in!X29)</f>
        <v>2202.024346698267</v>
      </c>
      <c r="Y29" s="130">
        <f>IF(SER_hh_emi_in!Y29=0,0,1000000*SER_hh_emi_in!Y29/SER_hh_num_in!Y29)</f>
        <v>1698.0339505024228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7377.0348595949063</v>
      </c>
      <c r="D30" s="132">
        <f>IF(SER_hh_emi_in!D30=0,0,1000000*SER_hh_emi_in!D30/SER_hh_num_in!D30)</f>
        <v>5805.4364755239048</v>
      </c>
      <c r="E30" s="132">
        <f>IF(SER_hh_emi_in!E30=0,0,1000000*SER_hh_emi_in!E30/SER_hh_num_in!E30)</f>
        <v>6022.9989306249727</v>
      </c>
      <c r="F30" s="132">
        <f>IF(SER_hh_emi_in!F30=0,0,1000000*SER_hh_emi_in!F30/SER_hh_num_in!F30)</f>
        <v>6475.7638114186211</v>
      </c>
      <c r="G30" s="132">
        <f>IF(SER_hh_emi_in!G30=0,0,1000000*SER_hh_emi_in!G30/SER_hh_num_in!G30)</f>
        <v>5910.4853663426202</v>
      </c>
      <c r="H30" s="132">
        <f>IF(SER_hh_emi_in!H30=0,0,1000000*SER_hh_emi_in!H30/SER_hh_num_in!H30)</f>
        <v>6455.5170884941053</v>
      </c>
      <c r="I30" s="132">
        <f>IF(SER_hh_emi_in!I30=0,0,1000000*SER_hh_emi_in!I30/SER_hh_num_in!I30)</f>
        <v>6037.2524728170565</v>
      </c>
      <c r="J30" s="132">
        <f>IF(SER_hh_emi_in!J30=0,0,1000000*SER_hh_emi_in!J30/SER_hh_num_in!J30)</f>
        <v>6207.7308689657484</v>
      </c>
      <c r="K30" s="132">
        <f>IF(SER_hh_emi_in!K30=0,0,1000000*SER_hh_emi_in!K30/SER_hh_num_in!K30)</f>
        <v>7306.7141689102691</v>
      </c>
      <c r="L30" s="132">
        <f>IF(SER_hh_emi_in!L30=0,0,1000000*SER_hh_emi_in!L30/SER_hh_num_in!L30)</f>
        <v>7932.5565280812007</v>
      </c>
      <c r="M30" s="132">
        <f>IF(SER_hh_emi_in!M30=0,0,1000000*SER_hh_emi_in!M30/SER_hh_num_in!M30)</f>
        <v>6986.8294220748967</v>
      </c>
      <c r="N30" s="132">
        <f>IF(SER_hh_emi_in!N30=0,0,1000000*SER_hh_emi_in!N30/SER_hh_num_in!N30)</f>
        <v>7027.5257623582702</v>
      </c>
      <c r="O30" s="132">
        <f>IF(SER_hh_emi_in!O30=0,0,1000000*SER_hh_emi_in!O30/SER_hh_num_in!O30)</f>
        <v>7245.6241210118596</v>
      </c>
      <c r="P30" s="132">
        <f>IF(SER_hh_emi_in!P30=0,0,1000000*SER_hh_emi_in!P30/SER_hh_num_in!P30)</f>
        <v>7280.2865992456009</v>
      </c>
      <c r="Q30" s="132">
        <f>IF(SER_hh_emi_in!Q30=0,0,1000000*SER_hh_emi_in!Q30/SER_hh_num_in!Q30)</f>
        <v>7207.7453978555295</v>
      </c>
      <c r="R30" s="132">
        <f>IF(SER_hh_emi_in!R30=0,0,1000000*SER_hh_emi_in!R30/SER_hh_num_in!R30)</f>
        <v>8033.2817255520804</v>
      </c>
      <c r="S30" s="132">
        <f>IF(SER_hh_emi_in!S30=0,0,1000000*SER_hh_emi_in!S30/SER_hh_num_in!S30)</f>
        <v>7523.7325277654518</v>
      </c>
      <c r="T30" s="132">
        <f>IF(SER_hh_emi_in!T30=0,0,1000000*SER_hh_emi_in!T30/SER_hh_num_in!T30)</f>
        <v>7367.9646087200135</v>
      </c>
      <c r="U30" s="132">
        <f>IF(SER_hh_emi_in!U30=0,0,1000000*SER_hh_emi_in!U30/SER_hh_num_in!U30)</f>
        <v>7979.5156981413375</v>
      </c>
      <c r="V30" s="132">
        <f>IF(SER_hh_emi_in!V30=0,0,1000000*SER_hh_emi_in!V30/SER_hh_num_in!V30)</f>
        <v>6746.6763322882434</v>
      </c>
      <c r="W30" s="132">
        <f>IF(SER_hh_emi_in!W30=0,0,1000000*SER_hh_emi_in!W30/SER_hh_num_in!W30)</f>
        <v>8769.232107540367</v>
      </c>
      <c r="X30" s="132">
        <f>IF(SER_hh_emi_in!X30=0,0,1000000*SER_hh_emi_in!X30/SER_hh_num_in!X30)</f>
        <v>0</v>
      </c>
      <c r="Y30" s="132">
        <f>IF(SER_hh_emi_in!Y30=0,0,1000000*SER_hh_emi_in!Y30/SER_hh_num_in!Y30)</f>
        <v>0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5317.7583860429577</v>
      </c>
      <c r="D31" s="132">
        <f>IF(SER_hh_emi_in!D31=0,0,1000000*SER_hh_emi_in!D31/SER_hh_num_in!D31)</f>
        <v>5337.2085514347646</v>
      </c>
      <c r="E31" s="132">
        <f>IF(SER_hh_emi_in!E31=0,0,1000000*SER_hh_emi_in!E31/SER_hh_num_in!E31)</f>
        <v>5273.5154379253672</v>
      </c>
      <c r="F31" s="132">
        <f>IF(SER_hh_emi_in!F31=0,0,1000000*SER_hh_emi_in!F31/SER_hh_num_in!F31)</f>
        <v>5247.95613846787</v>
      </c>
      <c r="G31" s="132">
        <f>IF(SER_hh_emi_in!G31=0,0,1000000*SER_hh_emi_in!G31/SER_hh_num_in!G31)</f>
        <v>5403.3940893671952</v>
      </c>
      <c r="H31" s="132">
        <f>IF(SER_hh_emi_in!H31=0,0,1000000*SER_hh_emi_in!H31/SER_hh_num_in!H31)</f>
        <v>5382.5160516178357</v>
      </c>
      <c r="I31" s="132">
        <f>IF(SER_hh_emi_in!I31=0,0,1000000*SER_hh_emi_in!I31/SER_hh_num_in!I31)</f>
        <v>5543.3726320039768</v>
      </c>
      <c r="J31" s="132">
        <f>IF(SER_hh_emi_in!J31=0,0,1000000*SER_hh_emi_in!J31/SER_hh_num_in!J31)</f>
        <v>5745.3415331356309</v>
      </c>
      <c r="K31" s="132">
        <f>IF(SER_hh_emi_in!K31=0,0,1000000*SER_hh_emi_in!K31/SER_hh_num_in!K31)</f>
        <v>5888.6049695643642</v>
      </c>
      <c r="L31" s="132">
        <f>IF(SER_hh_emi_in!L31=0,0,1000000*SER_hh_emi_in!L31/SER_hh_num_in!L31)</f>
        <v>5905.6334562815</v>
      </c>
      <c r="M31" s="132">
        <f>IF(SER_hh_emi_in!M31=0,0,1000000*SER_hh_emi_in!M31/SER_hh_num_in!M31)</f>
        <v>6057.375938533015</v>
      </c>
      <c r="N31" s="132">
        <f>IF(SER_hh_emi_in!N31=0,0,1000000*SER_hh_emi_in!N31/SER_hh_num_in!N31)</f>
        <v>6314.0672325722317</v>
      </c>
      <c r="O31" s="132">
        <f>IF(SER_hh_emi_in!O31=0,0,1000000*SER_hh_emi_in!O31/SER_hh_num_in!O31)</f>
        <v>6292.452157210123</v>
      </c>
      <c r="P31" s="132">
        <f>IF(SER_hh_emi_in!P31=0,0,1000000*SER_hh_emi_in!P31/SER_hh_num_in!P31)</f>
        <v>6323.001249699716</v>
      </c>
      <c r="Q31" s="132">
        <f>IF(SER_hh_emi_in!Q31=0,0,1000000*SER_hh_emi_in!Q31/SER_hh_num_in!Q31)</f>
        <v>6547.3516837488842</v>
      </c>
      <c r="R31" s="132">
        <f>IF(SER_hh_emi_in!R31=0,0,1000000*SER_hh_emi_in!R31/SER_hh_num_in!R31)</f>
        <v>6565.4384736359689</v>
      </c>
      <c r="S31" s="132">
        <f>IF(SER_hh_emi_in!S31=0,0,1000000*SER_hh_emi_in!S31/SER_hh_num_in!S31)</f>
        <v>6779.1006110192575</v>
      </c>
      <c r="T31" s="132">
        <f>IF(SER_hh_emi_in!T31=0,0,1000000*SER_hh_emi_in!T31/SER_hh_num_in!T31)</f>
        <v>6785.5062382868055</v>
      </c>
      <c r="U31" s="132">
        <f>IF(SER_hh_emi_in!U31=0,0,1000000*SER_hh_emi_in!U31/SER_hh_num_in!U31)</f>
        <v>6580.3935220141766</v>
      </c>
      <c r="V31" s="132">
        <f>IF(SER_hh_emi_in!V31=0,0,1000000*SER_hh_emi_in!V31/SER_hh_num_in!V31)</f>
        <v>5461.3492930225293</v>
      </c>
      <c r="W31" s="132">
        <f>IF(SER_hh_emi_in!W31=0,0,1000000*SER_hh_emi_in!W31/SER_hh_num_in!W31)</f>
        <v>5676.4690854759338</v>
      </c>
      <c r="X31" s="132">
        <f>IF(SER_hh_emi_in!X31=0,0,1000000*SER_hh_emi_in!X31/SER_hh_num_in!X31)</f>
        <v>8243.9979993467005</v>
      </c>
      <c r="Y31" s="132">
        <f>IF(SER_hh_emi_in!Y31=0,0,1000000*SER_hh_emi_in!Y31/SER_hh_num_in!Y31)</f>
        <v>6333.0160985197363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185.88266966695571</v>
      </c>
      <c r="D3" s="125">
        <f>IF(SER_hh_fech_in!D3=0,0,SER_hh_fech_in!D3/SER_summary!D$27)</f>
        <v>178.54422807890646</v>
      </c>
      <c r="E3" s="125">
        <f>IF(SER_hh_fech_in!E3=0,0,SER_hh_fech_in!E3/SER_summary!E$27)</f>
        <v>180.41759992240938</v>
      </c>
      <c r="F3" s="125">
        <f>IF(SER_hh_fech_in!F3=0,0,SER_hh_fech_in!F3/SER_summary!F$27)</f>
        <v>165.3697350333899</v>
      </c>
      <c r="G3" s="125">
        <f>IF(SER_hh_fech_in!G3=0,0,SER_hh_fech_in!G3/SER_summary!G$27)</f>
        <v>165.22860304644345</v>
      </c>
      <c r="H3" s="125">
        <f>IF(SER_hh_fech_in!H3=0,0,SER_hh_fech_in!H3/SER_summary!H$27)</f>
        <v>150.54388270582609</v>
      </c>
      <c r="I3" s="125">
        <f>IF(SER_hh_fech_in!I3=0,0,SER_hh_fech_in!I3/SER_summary!I$27)</f>
        <v>143.48516210422773</v>
      </c>
      <c r="J3" s="125">
        <f>IF(SER_hh_fech_in!J3=0,0,SER_hh_fech_in!J3/SER_summary!J$27)</f>
        <v>146.72808382977263</v>
      </c>
      <c r="K3" s="125">
        <f>IF(SER_hh_fech_in!K3=0,0,SER_hh_fech_in!K3/SER_summary!K$27)</f>
        <v>142.8615848496944</v>
      </c>
      <c r="L3" s="125">
        <f>IF(SER_hh_fech_in!L3=0,0,SER_hh_fech_in!L3/SER_summary!L$27)</f>
        <v>150.56516012359887</v>
      </c>
      <c r="M3" s="125">
        <f>IF(SER_hh_fech_in!M3=0,0,SER_hh_fech_in!M3/SER_summary!M$27)</f>
        <v>139.13462775625084</v>
      </c>
      <c r="N3" s="125">
        <f>IF(SER_hh_fech_in!N3=0,0,SER_hh_fech_in!N3/SER_summary!N$27)</f>
        <v>134.53997934050074</v>
      </c>
      <c r="O3" s="125">
        <f>IF(SER_hh_fech_in!O3=0,0,SER_hh_fech_in!O3/SER_summary!O$27)</f>
        <v>125.68530046723212</v>
      </c>
      <c r="P3" s="125">
        <f>IF(SER_hh_fech_in!P3=0,0,SER_hh_fech_in!P3/SER_summary!P$27)</f>
        <v>109.55726561622176</v>
      </c>
      <c r="Q3" s="125">
        <f>IF(SER_hh_fech_in!Q3=0,0,SER_hh_fech_in!Q3/SER_summary!Q$27)</f>
        <v>119.19415432447511</v>
      </c>
      <c r="R3" s="125">
        <f>IF(SER_hh_fech_in!R3=0,0,SER_hh_fech_in!R3/SER_summary!R$27)</f>
        <v>113.45164817047353</v>
      </c>
      <c r="S3" s="125">
        <f>IF(SER_hh_fech_in!S3=0,0,SER_hh_fech_in!S3/SER_summary!S$27)</f>
        <v>117.05230844867999</v>
      </c>
      <c r="T3" s="125">
        <f>IF(SER_hh_fech_in!T3=0,0,SER_hh_fech_in!T3/SER_summary!T$27)</f>
        <v>114.6191170064936</v>
      </c>
      <c r="U3" s="125">
        <f>IF(SER_hh_fech_in!U3=0,0,SER_hh_fech_in!U3/SER_summary!U$27)</f>
        <v>110.86704971003451</v>
      </c>
      <c r="V3" s="125">
        <f>IF(SER_hh_fech_in!V3=0,0,SER_hh_fech_in!V3/SER_summary!V$27)</f>
        <v>93.541769986991298</v>
      </c>
      <c r="W3" s="125">
        <f>IF(SER_hh_fech_in!W3=0,0,SER_hh_fech_in!W3/SER_summary!W$27)</f>
        <v>96.473886494065951</v>
      </c>
      <c r="X3" s="125">
        <f>IF(SER_hh_fech_in!X3=0,0,SER_hh_fech_in!X3/SER_summary!X$27)</f>
        <v>96.867889093791291</v>
      </c>
      <c r="Y3" s="125">
        <f>IF(SER_hh_fech_in!Y3=0,0,SER_hh_fech_in!Y3/SER_summary!Y$27)</f>
        <v>90.902320521764054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127.15229526922634</v>
      </c>
      <c r="D4" s="130">
        <f>IF(SER_hh_fech_in!D4=0,0,SER_hh_fech_in!D4/SER_summary!D$27)</f>
        <v>121.26073111263193</v>
      </c>
      <c r="E4" s="130">
        <f>IF(SER_hh_fech_in!E4=0,0,SER_hh_fech_in!E4/SER_summary!E$27)</f>
        <v>117.40111166359473</v>
      </c>
      <c r="F4" s="130">
        <f>IF(SER_hh_fech_in!F4=0,0,SER_hh_fech_in!F4/SER_summary!F$27)</f>
        <v>109.33666712655307</v>
      </c>
      <c r="G4" s="130">
        <f>IF(SER_hh_fech_in!G4=0,0,SER_hh_fech_in!G4/SER_summary!G$27)</f>
        <v>109.31634240204494</v>
      </c>
      <c r="H4" s="130">
        <f>IF(SER_hh_fech_in!H4=0,0,SER_hh_fech_in!H4/SER_summary!H$27)</f>
        <v>94.581448312852245</v>
      </c>
      <c r="I4" s="130">
        <f>IF(SER_hh_fech_in!I4=0,0,SER_hh_fech_in!I4/SER_summary!I$27)</f>
        <v>87.615814030425426</v>
      </c>
      <c r="J4" s="130">
        <f>IF(SER_hh_fech_in!J4=0,0,SER_hh_fech_in!J4/SER_summary!J$27)</f>
        <v>90.907683458596779</v>
      </c>
      <c r="K4" s="130">
        <f>IF(SER_hh_fech_in!K4=0,0,SER_hh_fech_in!K4/SER_summary!K$27)</f>
        <v>85.973584660104464</v>
      </c>
      <c r="L4" s="130">
        <f>IF(SER_hh_fech_in!L4=0,0,SER_hh_fech_in!L4/SER_summary!L$27)</f>
        <v>95.308711312140971</v>
      </c>
      <c r="M4" s="130">
        <f>IF(SER_hh_fech_in!M4=0,0,SER_hh_fech_in!M4/SER_summary!M$27)</f>
        <v>84.657373118975386</v>
      </c>
      <c r="N4" s="130">
        <f>IF(SER_hh_fech_in!N4=0,0,SER_hh_fech_in!N4/SER_summary!N$27)</f>
        <v>75.726372326393644</v>
      </c>
      <c r="O4" s="130">
        <f>IF(SER_hh_fech_in!O4=0,0,SER_hh_fech_in!O4/SER_summary!O$27)</f>
        <v>70.395623318898714</v>
      </c>
      <c r="P4" s="130">
        <f>IF(SER_hh_fech_in!P4=0,0,SER_hh_fech_in!P4/SER_summary!P$27)</f>
        <v>56.456729656158103</v>
      </c>
      <c r="Q4" s="130">
        <f>IF(SER_hh_fech_in!Q4=0,0,SER_hh_fech_in!Q4/SER_summary!Q$27)</f>
        <v>63.801579548874464</v>
      </c>
      <c r="R4" s="130">
        <f>IF(SER_hh_fech_in!R4=0,0,SER_hh_fech_in!R4/SER_summary!R$27)</f>
        <v>60.117424248301241</v>
      </c>
      <c r="S4" s="130">
        <f>IF(SER_hh_fech_in!S4=0,0,SER_hh_fech_in!S4/SER_summary!S$27)</f>
        <v>61.951019100836255</v>
      </c>
      <c r="T4" s="130">
        <f>IF(SER_hh_fech_in!T4=0,0,SER_hh_fech_in!T4/SER_summary!T$27)</f>
        <v>61.834644963519473</v>
      </c>
      <c r="U4" s="130">
        <f>IF(SER_hh_fech_in!U4=0,0,SER_hh_fech_in!U4/SER_summary!U$27)</f>
        <v>57.403392669430474</v>
      </c>
      <c r="V4" s="130">
        <f>IF(SER_hh_fech_in!V4=0,0,SER_hh_fech_in!V4/SER_summary!V$27)</f>
        <v>47.673116796841292</v>
      </c>
      <c r="W4" s="130">
        <f>IF(SER_hh_fech_in!W4=0,0,SER_hh_fech_in!W4/SER_summary!W$27)</f>
        <v>46.674565214355113</v>
      </c>
      <c r="X4" s="130">
        <f>IF(SER_hh_fech_in!X4=0,0,SER_hh_fech_in!X4/SER_summary!X$27)</f>
        <v>42.881520693809279</v>
      </c>
      <c r="Y4" s="130">
        <f>IF(SER_hh_fech_in!Y4=0,0,SER_hh_fech_in!Y4/SER_summary!Y$27)</f>
        <v>40.759257118947097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92.990794137155859</v>
      </c>
      <c r="D5" s="132">
        <f>IF(SER_hh_fech_in!D5=0,0,SER_hh_fech_in!D5/SER_summary!D$27)</f>
        <v>125.71078862194322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106.19307021003625</v>
      </c>
      <c r="K5" s="132">
        <f>IF(SER_hh_fech_in!K5=0,0,SER_hh_fech_in!K5/SER_summary!K$27)</f>
        <v>98.092757519645772</v>
      </c>
      <c r="L5" s="132">
        <f>IF(SER_hh_fech_in!L5=0,0,SER_hh_fech_in!L5/SER_summary!L$27)</f>
        <v>58.764385907844357</v>
      </c>
      <c r="M5" s="132">
        <f>IF(SER_hh_fech_in!M5=0,0,SER_hh_fech_in!M5/SER_summary!M$27)</f>
        <v>122.88129698782539</v>
      </c>
      <c r="N5" s="132">
        <f>IF(SER_hh_fech_in!N5=0,0,SER_hh_fech_in!N5/SER_summary!N$27)</f>
        <v>122.64512562385715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115.97981970758815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0</v>
      </c>
      <c r="D6" s="132">
        <f>IF(SER_hh_fech_in!D6=0,0,SER_hh_fech_in!D6/SER_summary!D$27)</f>
        <v>0</v>
      </c>
      <c r="E6" s="132">
        <f>IF(SER_hh_fech_in!E6=0,0,SER_hh_fech_in!E6/SER_summary!E$27)</f>
        <v>0</v>
      </c>
      <c r="F6" s="132">
        <f>IF(SER_hh_fech_in!F6=0,0,SER_hh_fech_in!F6/SER_summary!F$27)</f>
        <v>0</v>
      </c>
      <c r="G6" s="132">
        <f>IF(SER_hh_fech_in!G6=0,0,SER_hh_fech_in!G6/SER_summary!G$27)</f>
        <v>0</v>
      </c>
      <c r="H6" s="132">
        <f>IF(SER_hh_fech_in!H6=0,0,SER_hh_fech_in!H6/SER_summary!H$27)</f>
        <v>0</v>
      </c>
      <c r="I6" s="132">
        <f>IF(SER_hh_fech_in!I6=0,0,SER_hh_fech_in!I6/SER_summary!I$27)</f>
        <v>0</v>
      </c>
      <c r="J6" s="132">
        <f>IF(SER_hh_fech_in!J6=0,0,SER_hh_fech_in!J6/SER_summary!J$27)</f>
        <v>0</v>
      </c>
      <c r="K6" s="132">
        <f>IF(SER_hh_fech_in!K6=0,0,SER_hh_fech_in!K6/SER_summary!K$27)</f>
        <v>0</v>
      </c>
      <c r="L6" s="132">
        <f>IF(SER_hh_fech_in!L6=0,0,SER_hh_fech_in!L6/SER_summary!L$27)</f>
        <v>0</v>
      </c>
      <c r="M6" s="132">
        <f>IF(SER_hh_fech_in!M6=0,0,SER_hh_fech_in!M6/SER_summary!M$27)</f>
        <v>0</v>
      </c>
      <c r="N6" s="132">
        <f>IF(SER_hh_fech_in!N6=0,0,SER_hh_fech_in!N6/SER_summary!N$27)</f>
        <v>0</v>
      </c>
      <c r="O6" s="132">
        <f>IF(SER_hh_fech_in!O6=0,0,SER_hh_fech_in!O6/SER_summary!O$27)</f>
        <v>0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0</v>
      </c>
      <c r="T6" s="132">
        <f>IF(SER_hh_fech_in!T6=0,0,SER_hh_fech_in!T6/SER_summary!T$27)</f>
        <v>0</v>
      </c>
      <c r="U6" s="132">
        <f>IF(SER_hh_fech_in!U6=0,0,SER_hh_fech_in!U6/SER_summary!U$27)</f>
        <v>0</v>
      </c>
      <c r="V6" s="132">
        <f>IF(SER_hh_fech_in!V6=0,0,SER_hh_fech_in!V6/SER_summary!V$27)</f>
        <v>0</v>
      </c>
      <c r="W6" s="132">
        <f>IF(SER_hh_fech_in!W6=0,0,SER_hh_fech_in!W6/SER_summary!W$27)</f>
        <v>0</v>
      </c>
      <c r="X6" s="132">
        <f>IF(SER_hh_fech_in!X6=0,0,SER_hh_fech_in!X6/SER_summary!X$27)</f>
        <v>0</v>
      </c>
      <c r="Y6" s="132">
        <f>IF(SER_hh_fech_in!Y6=0,0,SER_hh_fech_in!Y6/SER_summary!Y$27)</f>
        <v>0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139.5162573239981</v>
      </c>
      <c r="D7" s="132">
        <f>IF(SER_hh_fech_in!D7=0,0,SER_hh_fech_in!D7/SER_summary!D$27)</f>
        <v>150.48875745208525</v>
      </c>
      <c r="E7" s="132">
        <f>IF(SER_hh_fech_in!E7=0,0,SER_hh_fech_in!E7/SER_summary!E$27)</f>
        <v>144.42201026586409</v>
      </c>
      <c r="F7" s="132">
        <f>IF(SER_hh_fech_in!F7=0,0,SER_hh_fech_in!F7/SER_summary!F$27)</f>
        <v>144.2773186216732</v>
      </c>
      <c r="G7" s="132">
        <f>IF(SER_hh_fech_in!G7=0,0,SER_hh_fech_in!G7/SER_summary!G$27)</f>
        <v>135.98829359459288</v>
      </c>
      <c r="H7" s="132">
        <f>IF(SER_hh_fech_in!H7=0,0,SER_hh_fech_in!H7/SER_summary!H$27)</f>
        <v>0</v>
      </c>
      <c r="I7" s="132">
        <f>IF(SER_hh_fech_in!I7=0,0,SER_hh_fech_in!I7/SER_summary!I$27)</f>
        <v>0</v>
      </c>
      <c r="J7" s="132">
        <f>IF(SER_hh_fech_in!J7=0,0,SER_hh_fech_in!J7/SER_summary!J$27)</f>
        <v>0</v>
      </c>
      <c r="K7" s="132">
        <f>IF(SER_hh_fech_in!K7=0,0,SER_hh_fech_in!K7/SER_summary!K$27)</f>
        <v>107.14298947908526</v>
      </c>
      <c r="L7" s="132">
        <f>IF(SER_hh_fech_in!L7=0,0,SER_hh_fech_in!L7/SER_summary!L$27)</f>
        <v>108.85722984277459</v>
      </c>
      <c r="M7" s="132">
        <f>IF(SER_hh_fech_in!M7=0,0,SER_hh_fech_in!M7/SER_summary!M$27)</f>
        <v>104.65902167310371</v>
      </c>
      <c r="N7" s="132">
        <f>IF(SER_hh_fech_in!N7=0,0,SER_hh_fech_in!N7/SER_summary!N$27)</f>
        <v>87.674206348879252</v>
      </c>
      <c r="O7" s="132">
        <f>IF(SER_hh_fech_in!O7=0,0,SER_hh_fech_in!O7/SER_summary!O$27)</f>
        <v>74.391412949533347</v>
      </c>
      <c r="P7" s="132">
        <f>IF(SER_hh_fech_in!P7=0,0,SER_hh_fech_in!P7/SER_summary!P$27)</f>
        <v>53.505549826735134</v>
      </c>
      <c r="Q7" s="132">
        <f>IF(SER_hh_fech_in!Q7=0,0,SER_hh_fech_in!Q7/SER_summary!Q$27)</f>
        <v>67.167650950846706</v>
      </c>
      <c r="R7" s="132">
        <f>IF(SER_hh_fech_in!R7=0,0,SER_hh_fech_in!R7/SER_summary!R$27)</f>
        <v>65.787907591955189</v>
      </c>
      <c r="S7" s="132">
        <f>IF(SER_hh_fech_in!S7=0,0,SER_hh_fech_in!S7/SER_summary!S$27)</f>
        <v>69.714383917912045</v>
      </c>
      <c r="T7" s="132">
        <f>IF(SER_hh_fech_in!T7=0,0,SER_hh_fech_in!T7/SER_summary!T$27)</f>
        <v>0</v>
      </c>
      <c r="U7" s="132">
        <f>IF(SER_hh_fech_in!U7=0,0,SER_hh_fech_in!U7/SER_summary!U$27)</f>
        <v>0</v>
      </c>
      <c r="V7" s="132">
        <f>IF(SER_hh_fech_in!V7=0,0,SER_hh_fech_in!V7/SER_summary!V$27)</f>
        <v>0</v>
      </c>
      <c r="W7" s="132">
        <f>IF(SER_hh_fech_in!W7=0,0,SER_hh_fech_in!W7/SER_summary!W$27)</f>
        <v>0</v>
      </c>
      <c r="X7" s="132">
        <f>IF(SER_hh_fech_in!X7=0,0,SER_hh_fech_in!X7/SER_summary!X$27)</f>
        <v>52.74182373612782</v>
      </c>
      <c r="Y7" s="132">
        <f>IF(SER_hh_fech_in!Y7=0,0,SER_hh_fech_in!Y7/SER_summary!Y$27)</f>
        <v>48.686210795100259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0</v>
      </c>
      <c r="D8" s="132">
        <f>IF(SER_hh_fech_in!D8=0,0,SER_hh_fech_in!D8/SER_summary!D$27)</f>
        <v>0</v>
      </c>
      <c r="E8" s="132">
        <f>IF(SER_hh_fech_in!E8=0,0,SER_hh_fech_in!E8/SER_summary!E$27)</f>
        <v>0</v>
      </c>
      <c r="F8" s="132">
        <f>IF(SER_hh_fech_in!F8=0,0,SER_hh_fech_in!F8/SER_summary!F$27)</f>
        <v>0</v>
      </c>
      <c r="G8" s="132">
        <f>IF(SER_hh_fech_in!G8=0,0,SER_hh_fech_in!G8/SER_summary!G$27)</f>
        <v>0</v>
      </c>
      <c r="H8" s="132">
        <f>IF(SER_hh_fech_in!H8=0,0,SER_hh_fech_in!H8/SER_summary!H$27)</f>
        <v>0</v>
      </c>
      <c r="I8" s="132">
        <f>IF(SER_hh_fech_in!I8=0,0,SER_hh_fech_in!I8/SER_summary!I$27)</f>
        <v>0</v>
      </c>
      <c r="J8" s="132">
        <f>IF(SER_hh_fech_in!J8=0,0,SER_hh_fech_in!J8/SER_summary!J$27)</f>
        <v>0</v>
      </c>
      <c r="K8" s="132">
        <f>IF(SER_hh_fech_in!K8=0,0,SER_hh_fech_in!K8/SER_summary!K$27)</f>
        <v>0</v>
      </c>
      <c r="L8" s="132">
        <f>IF(SER_hh_fech_in!L8=0,0,SER_hh_fech_in!L8/SER_summary!L$27)</f>
        <v>0</v>
      </c>
      <c r="M8" s="132">
        <f>IF(SER_hh_fech_in!M8=0,0,SER_hh_fech_in!M8/SER_summary!M$27)</f>
        <v>0</v>
      </c>
      <c r="N8" s="132">
        <f>IF(SER_hh_fech_in!N8=0,0,SER_hh_fech_in!N8/SER_summary!N$27)</f>
        <v>0</v>
      </c>
      <c r="O8" s="132">
        <f>IF(SER_hh_fech_in!O8=0,0,SER_hh_fech_in!O8/SER_summary!O$27)</f>
        <v>0</v>
      </c>
      <c r="P8" s="132">
        <f>IF(SER_hh_fech_in!P8=0,0,SER_hh_fech_in!P8/SER_summary!P$27)</f>
        <v>0</v>
      </c>
      <c r="Q8" s="132">
        <f>IF(SER_hh_fech_in!Q8=0,0,SER_hh_fech_in!Q8/SER_summary!Q$27)</f>
        <v>0</v>
      </c>
      <c r="R8" s="132">
        <f>IF(SER_hh_fech_in!R8=0,0,SER_hh_fech_in!R8/SER_summary!R$27)</f>
        <v>0</v>
      </c>
      <c r="S8" s="132">
        <f>IF(SER_hh_fech_in!S8=0,0,SER_hh_fech_in!S8/SER_summary!S$27)</f>
        <v>0</v>
      </c>
      <c r="T8" s="132">
        <f>IF(SER_hh_fech_in!T8=0,0,SER_hh_fech_in!T8/SER_summary!T$27)</f>
        <v>0</v>
      </c>
      <c r="U8" s="132">
        <f>IF(SER_hh_fech_in!U8=0,0,SER_hh_fech_in!U8/SER_summary!U$27)</f>
        <v>0</v>
      </c>
      <c r="V8" s="132">
        <f>IF(SER_hh_fech_in!V8=0,0,SER_hh_fech_in!V8/SER_summary!V$27)</f>
        <v>0</v>
      </c>
      <c r="W8" s="132">
        <f>IF(SER_hh_fech_in!W8=0,0,SER_hh_fech_in!W8/SER_summary!W$27)</f>
        <v>0</v>
      </c>
      <c r="X8" s="132">
        <f>IF(SER_hh_fech_in!X8=0,0,SER_hh_fech_in!X8/SER_summary!X$27)</f>
        <v>0</v>
      </c>
      <c r="Y8" s="132">
        <f>IF(SER_hh_fech_in!Y8=0,0,SER_hh_fech_in!Y8/SER_summary!Y$27)</f>
        <v>0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149.58923794440051</v>
      </c>
      <c r="D9" s="132">
        <f>IF(SER_hh_fech_in!D9=0,0,SER_hh_fech_in!D9/SER_summary!D$27)</f>
        <v>129.54771912092014</v>
      </c>
      <c r="E9" s="132">
        <f>IF(SER_hh_fech_in!E9=0,0,SER_hh_fech_in!E9/SER_summary!E$27)</f>
        <v>130.47186859692036</v>
      </c>
      <c r="F9" s="132">
        <f>IF(SER_hh_fech_in!F9=0,0,SER_hh_fech_in!F9/SER_summary!F$27)</f>
        <v>129.29707286341127</v>
      </c>
      <c r="G9" s="132">
        <f>IF(SER_hh_fech_in!G9=0,0,SER_hh_fech_in!G9/SER_summary!G$27)</f>
        <v>130.6464758367288</v>
      </c>
      <c r="H9" s="132">
        <f>IF(SER_hh_fech_in!H9=0,0,SER_hh_fech_in!H9/SER_summary!H$27)</f>
        <v>115.49065503007616</v>
      </c>
      <c r="I9" s="132">
        <f>IF(SER_hh_fech_in!I9=0,0,SER_hh_fech_in!I9/SER_summary!I$27)</f>
        <v>102.57847269295152</v>
      </c>
      <c r="J9" s="132">
        <f>IF(SER_hh_fech_in!J9=0,0,SER_hh_fech_in!J9/SER_summary!J$27)</f>
        <v>105.45715513762175</v>
      </c>
      <c r="K9" s="132">
        <f>IF(SER_hh_fech_in!K9=0,0,SER_hh_fech_in!K9/SER_summary!K$27)</f>
        <v>100.67967878210632</v>
      </c>
      <c r="L9" s="132">
        <f>IF(SER_hh_fech_in!L9=0,0,SER_hh_fech_in!L9/SER_summary!L$27)</f>
        <v>116.07831065187851</v>
      </c>
      <c r="M9" s="132">
        <f>IF(SER_hh_fech_in!M9=0,0,SER_hh_fech_in!M9/SER_summary!M$27)</f>
        <v>96.552745306931953</v>
      </c>
      <c r="N9" s="132">
        <f>IF(SER_hh_fech_in!N9=0,0,SER_hh_fech_in!N9/SER_summary!N$27)</f>
        <v>80.334081366557001</v>
      </c>
      <c r="O9" s="132">
        <f>IF(SER_hh_fech_in!O9=0,0,SER_hh_fech_in!O9/SER_summary!O$27)</f>
        <v>71.56461898269734</v>
      </c>
      <c r="P9" s="132">
        <f>IF(SER_hh_fech_in!P9=0,0,SER_hh_fech_in!P9/SER_summary!P$27)</f>
        <v>56.243050722164874</v>
      </c>
      <c r="Q9" s="132">
        <f>IF(SER_hh_fech_in!Q9=0,0,SER_hh_fech_in!Q9/SER_summary!Q$27)</f>
        <v>64.065514632545714</v>
      </c>
      <c r="R9" s="132">
        <f>IF(SER_hh_fech_in!R9=0,0,SER_hh_fech_in!R9/SER_summary!R$27)</f>
        <v>63.248117998020426</v>
      </c>
      <c r="S9" s="132">
        <f>IF(SER_hh_fech_in!S9=0,0,SER_hh_fech_in!S9/SER_summary!S$27)</f>
        <v>63.067586797005823</v>
      </c>
      <c r="T9" s="132">
        <f>IF(SER_hh_fech_in!T9=0,0,SER_hh_fech_in!T9/SER_summary!T$27)</f>
        <v>62.402554285557329</v>
      </c>
      <c r="U9" s="132">
        <f>IF(SER_hh_fech_in!U9=0,0,SER_hh_fech_in!U9/SER_summary!U$27)</f>
        <v>59.555079185376087</v>
      </c>
      <c r="V9" s="132">
        <f>IF(SER_hh_fech_in!V9=0,0,SER_hh_fech_in!V9/SER_summary!V$27)</f>
        <v>51.619077421613227</v>
      </c>
      <c r="W9" s="132">
        <f>IF(SER_hh_fech_in!W9=0,0,SER_hh_fech_in!W9/SER_summary!W$27)</f>
        <v>55.229181640301078</v>
      </c>
      <c r="X9" s="132">
        <f>IF(SER_hh_fech_in!X9=0,0,SER_hh_fech_in!X9/SER_summary!X$27)</f>
        <v>0</v>
      </c>
      <c r="Y9" s="132">
        <f>IF(SER_hh_fech_in!Y9=0,0,SER_hh_fech_in!Y9/SER_summary!Y$27)</f>
        <v>43.660542421134949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0</v>
      </c>
      <c r="D10" s="132">
        <f>IF(SER_hh_fech_in!D10=0,0,SER_hh_fech_in!D10/SER_summary!D$27)</f>
        <v>0</v>
      </c>
      <c r="E10" s="132">
        <f>IF(SER_hh_fech_in!E10=0,0,SER_hh_fech_in!E10/SER_summary!E$27)</f>
        <v>0</v>
      </c>
      <c r="F10" s="132">
        <f>IF(SER_hh_fech_in!F10=0,0,SER_hh_fech_in!F10/SER_summary!F$27)</f>
        <v>0</v>
      </c>
      <c r="G10" s="132">
        <f>IF(SER_hh_fech_in!G10=0,0,SER_hh_fech_in!G10/SER_summary!G$27)</f>
        <v>0</v>
      </c>
      <c r="H10" s="132">
        <f>IF(SER_hh_fech_in!H10=0,0,SER_hh_fech_in!H10/SER_summary!H$27)</f>
        <v>0</v>
      </c>
      <c r="I10" s="132">
        <f>IF(SER_hh_fech_in!I10=0,0,SER_hh_fech_in!I10/SER_summary!I$27)</f>
        <v>175.8747433979768</v>
      </c>
      <c r="J10" s="132">
        <f>IF(SER_hh_fech_in!J10=0,0,SER_hh_fech_in!J10/SER_summary!J$27)</f>
        <v>121.11221773376977</v>
      </c>
      <c r="K10" s="132">
        <f>IF(SER_hh_fech_in!K10=0,0,SER_hh_fech_in!K10/SER_summary!K$27)</f>
        <v>131.62952544715574</v>
      </c>
      <c r="L10" s="132">
        <f>IF(SER_hh_fech_in!L10=0,0,SER_hh_fech_in!L10/SER_summary!L$27)</f>
        <v>109.31848665628712</v>
      </c>
      <c r="M10" s="132">
        <f>IF(SER_hh_fech_in!M10=0,0,SER_hh_fech_in!M10/SER_summary!M$27)</f>
        <v>124.51274365202448</v>
      </c>
      <c r="N10" s="132">
        <f>IF(SER_hh_fech_in!N10=0,0,SER_hh_fech_in!N10/SER_summary!N$27)</f>
        <v>92.789146154903918</v>
      </c>
      <c r="O10" s="132">
        <f>IF(SER_hh_fech_in!O10=0,0,SER_hh_fech_in!O10/SER_summary!O$27)</f>
        <v>76.627506668055602</v>
      </c>
      <c r="P10" s="132">
        <f>IF(SER_hh_fech_in!P10=0,0,SER_hh_fech_in!P10/SER_summary!P$27)</f>
        <v>77.035057924216602</v>
      </c>
      <c r="Q10" s="132">
        <f>IF(SER_hh_fech_in!Q10=0,0,SER_hh_fech_in!Q10/SER_summary!Q$27)</f>
        <v>80.660293378258828</v>
      </c>
      <c r="R10" s="132">
        <f>IF(SER_hh_fech_in!R10=0,0,SER_hh_fech_in!R10/SER_summary!R$27)</f>
        <v>83.855516430400471</v>
      </c>
      <c r="S10" s="132">
        <f>IF(SER_hh_fech_in!S10=0,0,SER_hh_fech_in!S10/SER_summary!S$27)</f>
        <v>83.012512450001992</v>
      </c>
      <c r="T10" s="132">
        <f>IF(SER_hh_fech_in!T10=0,0,SER_hh_fech_in!T10/SER_summary!T$27)</f>
        <v>79.756612060508715</v>
      </c>
      <c r="U10" s="132">
        <f>IF(SER_hh_fech_in!U10=0,0,SER_hh_fech_in!U10/SER_summary!U$27)</f>
        <v>79.685354017705933</v>
      </c>
      <c r="V10" s="132">
        <f>IF(SER_hh_fech_in!V10=0,0,SER_hh_fech_in!V10/SER_summary!V$27)</f>
        <v>73.330036972919643</v>
      </c>
      <c r="W10" s="132">
        <f>IF(SER_hh_fech_in!W10=0,0,SER_hh_fech_in!W10/SER_summary!W$27)</f>
        <v>59.384556137232906</v>
      </c>
      <c r="X10" s="132">
        <f>IF(SER_hh_fech_in!X10=0,0,SER_hh_fech_in!X10/SER_summary!X$27)</f>
        <v>60.858592860786082</v>
      </c>
      <c r="Y10" s="132">
        <f>IF(SER_hh_fech_in!Y10=0,0,SER_hh_fech_in!Y10/SER_summary!Y$27)</f>
        <v>58.202031457590223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0</v>
      </c>
      <c r="D11" s="132">
        <f>IF(SER_hh_fech_in!D11=0,0,SER_hh_fech_in!D11/SER_summary!D$27)</f>
        <v>0</v>
      </c>
      <c r="E11" s="132">
        <f>IF(SER_hh_fech_in!E11=0,0,SER_hh_fech_in!E11/SER_summary!E$27)</f>
        <v>0</v>
      </c>
      <c r="F11" s="132">
        <f>IF(SER_hh_fech_in!F11=0,0,SER_hh_fech_in!F11/SER_summary!F$27)</f>
        <v>0</v>
      </c>
      <c r="G11" s="132">
        <f>IF(SER_hh_fech_in!G11=0,0,SER_hh_fech_in!G11/SER_summary!G$27)</f>
        <v>0</v>
      </c>
      <c r="H11" s="132">
        <f>IF(SER_hh_fech_in!H11=0,0,SER_hh_fech_in!H11/SER_summary!H$27)</f>
        <v>0</v>
      </c>
      <c r="I11" s="132">
        <f>IF(SER_hh_fech_in!I11=0,0,SER_hh_fech_in!I11/SER_summary!I$27)</f>
        <v>108.14403019002152</v>
      </c>
      <c r="J11" s="132">
        <f>IF(SER_hh_fech_in!J11=0,0,SER_hh_fech_in!J11/SER_summary!J$27)</f>
        <v>74.165745471829425</v>
      </c>
      <c r="K11" s="132">
        <f>IF(SER_hh_fech_in!K11=0,0,SER_hh_fech_in!K11/SER_summary!K$27)</f>
        <v>55.170570339226352</v>
      </c>
      <c r="L11" s="132">
        <f>IF(SER_hh_fech_in!L11=0,0,SER_hh_fech_in!L11/SER_summary!L$27)</f>
        <v>87.583468771913061</v>
      </c>
      <c r="M11" s="132">
        <f>IF(SER_hh_fech_in!M11=0,0,SER_hh_fech_in!M11/SER_summary!M$27)</f>
        <v>73.725866314230416</v>
      </c>
      <c r="N11" s="132">
        <f>IF(SER_hh_fech_in!N11=0,0,SER_hh_fech_in!N11/SER_summary!N$27)</f>
        <v>67.678378737307568</v>
      </c>
      <c r="O11" s="132">
        <f>IF(SER_hh_fech_in!O11=0,0,SER_hh_fech_in!O11/SER_summary!O$27)</f>
        <v>0</v>
      </c>
      <c r="P11" s="132">
        <f>IF(SER_hh_fech_in!P11=0,0,SER_hh_fech_in!P11/SER_summary!P$27)</f>
        <v>0</v>
      </c>
      <c r="Q11" s="132">
        <f>IF(SER_hh_fech_in!Q11=0,0,SER_hh_fech_in!Q11/SER_summary!Q$27)</f>
        <v>0</v>
      </c>
      <c r="R11" s="132">
        <f>IF(SER_hh_fech_in!R11=0,0,SER_hh_fech_in!R11/SER_summary!R$27)</f>
        <v>0</v>
      </c>
      <c r="S11" s="132">
        <f>IF(SER_hh_fech_in!S11=0,0,SER_hh_fech_in!S11/SER_summary!S$27)</f>
        <v>0</v>
      </c>
      <c r="T11" s="132">
        <f>IF(SER_hh_fech_in!T11=0,0,SER_hh_fech_in!T11/SER_summary!T$27)</f>
        <v>0</v>
      </c>
      <c r="U11" s="132">
        <f>IF(SER_hh_fech_in!U11=0,0,SER_hh_fech_in!U11/SER_summary!U$27)</f>
        <v>0</v>
      </c>
      <c r="V11" s="132">
        <f>IF(SER_hh_fech_in!V11=0,0,SER_hh_fech_in!V11/SER_summary!V$27)</f>
        <v>0</v>
      </c>
      <c r="W11" s="132">
        <f>IF(SER_hh_fech_in!W11=0,0,SER_hh_fech_in!W11/SER_summary!W$27)</f>
        <v>0</v>
      </c>
      <c r="X11" s="132">
        <f>IF(SER_hh_fech_in!X11=0,0,SER_hh_fech_in!X11/SER_summary!X$27)</f>
        <v>0</v>
      </c>
      <c r="Y11" s="132">
        <f>IF(SER_hh_fech_in!Y11=0,0,SER_hh_fech_in!Y11/SER_summary!Y$27)</f>
        <v>36.513116666884102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93.093813299260475</v>
      </c>
      <c r="D12" s="132">
        <f>IF(SER_hh_fech_in!D12=0,0,SER_hh_fech_in!D12/SER_summary!D$27)</f>
        <v>88.345076233837531</v>
      </c>
      <c r="E12" s="132">
        <f>IF(SER_hh_fech_in!E12=0,0,SER_hh_fech_in!E12/SER_summary!E$27)</f>
        <v>95.249829861713906</v>
      </c>
      <c r="F12" s="132">
        <f>IF(SER_hh_fech_in!F12=0,0,SER_hh_fech_in!F12/SER_summary!F$27)</f>
        <v>90.037527347371892</v>
      </c>
      <c r="G12" s="132">
        <f>IF(SER_hh_fech_in!G12=0,0,SER_hh_fech_in!G12/SER_summary!G$27)</f>
        <v>93.02788656782225</v>
      </c>
      <c r="H12" s="132">
        <f>IF(SER_hh_fech_in!H12=0,0,SER_hh_fech_in!H12/SER_summary!H$27)</f>
        <v>78.358192917807131</v>
      </c>
      <c r="I12" s="132">
        <f>IF(SER_hh_fech_in!I12=0,0,SER_hh_fech_in!I12/SER_summary!I$27)</f>
        <v>71.07837774889245</v>
      </c>
      <c r="J12" s="132">
        <f>IF(SER_hh_fech_in!J12=0,0,SER_hh_fech_in!J12/SER_summary!J$27)</f>
        <v>75.198068097229353</v>
      </c>
      <c r="K12" s="132">
        <f>IF(SER_hh_fech_in!K12=0,0,SER_hh_fech_in!K12/SER_summary!K$27)</f>
        <v>70.892213806026376</v>
      </c>
      <c r="L12" s="132">
        <f>IF(SER_hh_fech_in!L12=0,0,SER_hh_fech_in!L12/SER_summary!L$27)</f>
        <v>77.932627329791828</v>
      </c>
      <c r="M12" s="132">
        <f>IF(SER_hh_fech_in!M12=0,0,SER_hh_fech_in!M12/SER_summary!M$27)</f>
        <v>73.062109149699509</v>
      </c>
      <c r="N12" s="132">
        <f>IF(SER_hh_fech_in!N12=0,0,SER_hh_fech_in!N12/SER_summary!N$27)</f>
        <v>64.673828599052101</v>
      </c>
      <c r="O12" s="132">
        <f>IF(SER_hh_fech_in!O12=0,0,SER_hh_fech_in!O12/SER_summary!O$27)</f>
        <v>62.957497904674959</v>
      </c>
      <c r="P12" s="132">
        <f>IF(SER_hh_fech_in!P12=0,0,SER_hh_fech_in!P12/SER_summary!P$27)</f>
        <v>45.522081244132046</v>
      </c>
      <c r="Q12" s="132">
        <f>IF(SER_hh_fech_in!Q12=0,0,SER_hh_fech_in!Q12/SER_summary!Q$27)</f>
        <v>50.4247632309648</v>
      </c>
      <c r="R12" s="132">
        <f>IF(SER_hh_fech_in!R12=0,0,SER_hh_fech_in!R12/SER_summary!R$27)</f>
        <v>53.393145855890609</v>
      </c>
      <c r="S12" s="132">
        <f>IF(SER_hh_fech_in!S12=0,0,SER_hh_fech_in!S12/SER_summary!S$27)</f>
        <v>0</v>
      </c>
      <c r="T12" s="132">
        <f>IF(SER_hh_fech_in!T12=0,0,SER_hh_fech_in!T12/SER_summary!T$27)</f>
        <v>49.87941079109423</v>
      </c>
      <c r="U12" s="132">
        <f>IF(SER_hh_fech_in!U12=0,0,SER_hh_fech_in!U12/SER_summary!U$27)</f>
        <v>46.552868337492043</v>
      </c>
      <c r="V12" s="132">
        <f>IF(SER_hh_fech_in!V12=0,0,SER_hh_fech_in!V12/SER_summary!V$27)</f>
        <v>46.4765508974859</v>
      </c>
      <c r="W12" s="132">
        <f>IF(SER_hh_fech_in!W12=0,0,SER_hh_fech_in!W12/SER_summary!W$27)</f>
        <v>47.895564817114767</v>
      </c>
      <c r="X12" s="132">
        <f>IF(SER_hh_fech_in!X12=0,0,SER_hh_fech_in!X12/SER_summary!X$27)</f>
        <v>33.002871205116243</v>
      </c>
      <c r="Y12" s="132">
        <f>IF(SER_hh_fech_in!Y12=0,0,SER_hh_fech_in!Y12/SER_summary!Y$27)</f>
        <v>42.133127593376123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0</v>
      </c>
      <c r="D13" s="132">
        <f>IF(SER_hh_fech_in!D13=0,0,SER_hh_fech_in!D13/SER_summary!D$27)</f>
        <v>0</v>
      </c>
      <c r="E13" s="132">
        <f>IF(SER_hh_fech_in!E13=0,0,SER_hh_fech_in!E13/SER_summary!E$27)</f>
        <v>0</v>
      </c>
      <c r="F13" s="132">
        <f>IF(SER_hh_fech_in!F13=0,0,SER_hh_fech_in!F13/SER_summary!F$27)</f>
        <v>0</v>
      </c>
      <c r="G13" s="132">
        <f>IF(SER_hh_fech_in!G13=0,0,SER_hh_fech_in!G13/SER_summary!G$27)</f>
        <v>0</v>
      </c>
      <c r="H13" s="132">
        <f>IF(SER_hh_fech_in!H13=0,0,SER_hh_fech_in!H13/SER_summary!H$27)</f>
        <v>0</v>
      </c>
      <c r="I13" s="132">
        <f>IF(SER_hh_fech_in!I13=0,0,SER_hh_fech_in!I13/SER_summary!I$27)</f>
        <v>0</v>
      </c>
      <c r="J13" s="132">
        <f>IF(SER_hh_fech_in!J13=0,0,SER_hh_fech_in!J13/SER_summary!J$27)</f>
        <v>0</v>
      </c>
      <c r="K13" s="132">
        <f>IF(SER_hh_fech_in!K13=0,0,SER_hh_fech_in!K13/SER_summary!K$27)</f>
        <v>0</v>
      </c>
      <c r="L13" s="132">
        <f>IF(SER_hh_fech_in!L13=0,0,SER_hh_fech_in!L13/SER_summary!L$27)</f>
        <v>0</v>
      </c>
      <c r="M13" s="132">
        <f>IF(SER_hh_fech_in!M13=0,0,SER_hh_fech_in!M13/SER_summary!M$27)</f>
        <v>0</v>
      </c>
      <c r="N13" s="132">
        <f>IF(SER_hh_fech_in!N13=0,0,SER_hh_fech_in!N13/SER_summary!N$27)</f>
        <v>0</v>
      </c>
      <c r="O13" s="132">
        <f>IF(SER_hh_fech_in!O13=0,0,SER_hh_fech_in!O13/SER_summary!O$27)</f>
        <v>0</v>
      </c>
      <c r="P13" s="132">
        <f>IF(SER_hh_fech_in!P13=0,0,SER_hh_fech_in!P13/SER_summary!P$27)</f>
        <v>0</v>
      </c>
      <c r="Q13" s="132">
        <f>IF(SER_hh_fech_in!Q13=0,0,SER_hh_fech_in!Q13/SER_summary!Q$27)</f>
        <v>0</v>
      </c>
      <c r="R13" s="132">
        <f>IF(SER_hh_fech_in!R13=0,0,SER_hh_fech_in!R13/SER_summary!R$27)</f>
        <v>0</v>
      </c>
      <c r="S13" s="132">
        <f>IF(SER_hh_fech_in!S13=0,0,SER_hh_fech_in!S13/SER_summary!S$27)</f>
        <v>0</v>
      </c>
      <c r="T13" s="132">
        <f>IF(SER_hh_fech_in!T13=0,0,SER_hh_fech_in!T13/SER_summary!T$27)</f>
        <v>0</v>
      </c>
      <c r="U13" s="132">
        <f>IF(SER_hh_fech_in!U13=0,0,SER_hh_fech_in!U13/SER_summary!U$27)</f>
        <v>0</v>
      </c>
      <c r="V13" s="132">
        <f>IF(SER_hh_fech_in!V13=0,0,SER_hh_fech_in!V13/SER_summary!V$27)</f>
        <v>0</v>
      </c>
      <c r="W13" s="132">
        <f>IF(SER_hh_fech_in!W13=0,0,SER_hh_fech_in!W13/SER_summary!W$27)</f>
        <v>0</v>
      </c>
      <c r="X13" s="132">
        <f>IF(SER_hh_fech_in!X13=0,0,SER_hh_fech_in!X13/SER_summary!X$27)</f>
        <v>0</v>
      </c>
      <c r="Y13" s="132">
        <f>IF(SER_hh_fech_in!Y13=0,0,SER_hh_fech_in!Y13/SER_summary!Y$27)</f>
        <v>0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102.71263984123041</v>
      </c>
      <c r="D14" s="65">
        <f>IF(SER_hh_fech_in!D14=0,0,SER_hh_fech_in!D14/SER_summary!D$27)</f>
        <v>104.28190184262949</v>
      </c>
      <c r="E14" s="65">
        <f>IF(SER_hh_fech_in!E14=0,0,SER_hh_fech_in!E14/SER_summary!E$27)</f>
        <v>95.563213705875015</v>
      </c>
      <c r="F14" s="65">
        <f>IF(SER_hh_fech_in!F14=0,0,SER_hh_fech_in!F14/SER_summary!F$27)</f>
        <v>97.1424414798106</v>
      </c>
      <c r="G14" s="65">
        <f>IF(SER_hh_fech_in!G14=0,0,SER_hh_fech_in!G14/SER_summary!G$27)</f>
        <v>101.22308414842486</v>
      </c>
      <c r="H14" s="65">
        <f>IF(SER_hh_fech_in!H14=0,0,SER_hh_fech_in!H14/SER_summary!H$27)</f>
        <v>88.493832338366801</v>
      </c>
      <c r="I14" s="65">
        <f>IF(SER_hh_fech_in!I14=0,0,SER_hh_fech_in!I14/SER_summary!I$27)</f>
        <v>75.589752315939677</v>
      </c>
      <c r="J14" s="65">
        <f>IF(SER_hh_fech_in!J14=0,0,SER_hh_fech_in!J14/SER_summary!J$27)</f>
        <v>87.279113621742425</v>
      </c>
      <c r="K14" s="65">
        <f>IF(SER_hh_fech_in!K14=0,0,SER_hh_fech_in!K14/SER_summary!K$27)</f>
        <v>80.752445694904154</v>
      </c>
      <c r="L14" s="65">
        <f>IF(SER_hh_fech_in!L14=0,0,SER_hh_fech_in!L14/SER_summary!L$27)</f>
        <v>80.629282939721932</v>
      </c>
      <c r="M14" s="65">
        <f>IF(SER_hh_fech_in!M14=0,0,SER_hh_fech_in!M14/SER_summary!M$27)</f>
        <v>79.566138341109209</v>
      </c>
      <c r="N14" s="65">
        <f>IF(SER_hh_fech_in!N14=0,0,SER_hh_fech_in!N14/SER_summary!N$27)</f>
        <v>73.077973895200486</v>
      </c>
      <c r="O14" s="65">
        <f>IF(SER_hh_fech_in!O14=0,0,SER_hh_fech_in!O14/SER_summary!O$27)</f>
        <v>69.222554960902116</v>
      </c>
      <c r="P14" s="65">
        <f>IF(SER_hh_fech_in!P14=0,0,SER_hh_fech_in!P14/SER_summary!P$27)</f>
        <v>53.852628156265617</v>
      </c>
      <c r="Q14" s="65">
        <f>IF(SER_hh_fech_in!Q14=0,0,SER_hh_fech_in!Q14/SER_summary!Q$27)</f>
        <v>52.900382832204087</v>
      </c>
      <c r="R14" s="65">
        <f>IF(SER_hh_fech_in!R14=0,0,SER_hh_fech_in!R14/SER_summary!R$27)</f>
        <v>54.094628206164899</v>
      </c>
      <c r="S14" s="65">
        <f>IF(SER_hh_fech_in!S14=0,0,SER_hh_fech_in!S14/SER_summary!S$27)</f>
        <v>59.685845441794513</v>
      </c>
      <c r="T14" s="65">
        <f>IF(SER_hh_fech_in!T14=0,0,SER_hh_fech_in!T14/SER_summary!T$27)</f>
        <v>60.973853735703536</v>
      </c>
      <c r="U14" s="65">
        <f>IF(SER_hh_fech_in!U14=0,0,SER_hh_fech_in!U14/SER_summary!U$27)</f>
        <v>56.443328751706218</v>
      </c>
      <c r="V14" s="65">
        <f>IF(SER_hh_fech_in!V14=0,0,SER_hh_fech_in!V14/SER_summary!V$27)</f>
        <v>41.580787144499034</v>
      </c>
      <c r="W14" s="65">
        <f>IF(SER_hh_fech_in!W14=0,0,SER_hh_fech_in!W14/SER_summary!W$27)</f>
        <v>41.997410291052688</v>
      </c>
      <c r="X14" s="65">
        <f>IF(SER_hh_fech_in!X14=0,0,SER_hh_fech_in!X14/SER_summary!X$27)</f>
        <v>43.368172387809487</v>
      </c>
      <c r="Y14" s="65">
        <f>IF(SER_hh_fech_in!Y14=0,0,SER_hh_fech_in!Y14/SER_summary!Y$27)</f>
        <v>39.289762089893273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1.2390648133121791</v>
      </c>
      <c r="D15" s="134">
        <f>IF(SER_hh_fech_in!D15=0,0,SER_hh_fech_in!D15/SER_summary!D$27)</f>
        <v>1.0908623914740889</v>
      </c>
      <c r="E15" s="134">
        <f>IF(SER_hh_fech_in!E15=0,0,SER_hh_fech_in!E15/SER_summary!E$27)</f>
        <v>1.0456176557065204</v>
      </c>
      <c r="F15" s="134">
        <f>IF(SER_hh_fech_in!F15=0,0,SER_hh_fech_in!F15/SER_summary!F$27)</f>
        <v>0.97327521179022281</v>
      </c>
      <c r="G15" s="134">
        <f>IF(SER_hh_fech_in!G15=0,0,SER_hh_fech_in!G15/SER_summary!G$27)</f>
        <v>0.9234159236351287</v>
      </c>
      <c r="H15" s="134">
        <f>IF(SER_hh_fech_in!H15=0,0,SER_hh_fech_in!H15/SER_summary!H$27)</f>
        <v>0.85780190516368804</v>
      </c>
      <c r="I15" s="134">
        <f>IF(SER_hh_fech_in!I15=0,0,SER_hh_fech_in!I15/SER_summary!I$27)</f>
        <v>0.661551103955627</v>
      </c>
      <c r="J15" s="134">
        <f>IF(SER_hh_fech_in!J15=0,0,SER_hh_fech_in!J15/SER_summary!J$27)</f>
        <v>0.68509692272863676</v>
      </c>
      <c r="K15" s="134">
        <f>IF(SER_hh_fech_in!K15=0,0,SER_hh_fech_in!K15/SER_summary!K$27)</f>
        <v>0.63500952240627462</v>
      </c>
      <c r="L15" s="134">
        <f>IF(SER_hh_fech_in!L15=0,0,SER_hh_fech_in!L15/SER_summary!L$27)</f>
        <v>0.70135076419025821</v>
      </c>
      <c r="M15" s="134">
        <f>IF(SER_hh_fech_in!M15=0,0,SER_hh_fech_in!M15/SER_summary!M$27)</f>
        <v>0.58772770297869281</v>
      </c>
      <c r="N15" s="134">
        <f>IF(SER_hh_fech_in!N15=0,0,SER_hh_fech_in!N15/SER_summary!N$27)</f>
        <v>0.56292052910311707</v>
      </c>
      <c r="O15" s="134">
        <f>IF(SER_hh_fech_in!O15=0,0,SER_hh_fech_in!O15/SER_summary!O$27)</f>
        <v>0.60218957027923126</v>
      </c>
      <c r="P15" s="134">
        <f>IF(SER_hh_fech_in!P15=0,0,SER_hh_fech_in!P15/SER_summary!P$27)</f>
        <v>0.58978669532890793</v>
      </c>
      <c r="Q15" s="134">
        <f>IF(SER_hh_fech_in!Q15=0,0,SER_hh_fech_in!Q15/SER_summary!Q$27)</f>
        <v>0.7081870020595491</v>
      </c>
      <c r="R15" s="134">
        <f>IF(SER_hh_fech_in!R15=0,0,SER_hh_fech_in!R15/SER_summary!R$27)</f>
        <v>0.70139097623232805</v>
      </c>
      <c r="S15" s="134">
        <f>IF(SER_hh_fech_in!S15=0,0,SER_hh_fech_in!S15/SER_summary!S$27)</f>
        <v>0.7083672063609977</v>
      </c>
      <c r="T15" s="134">
        <f>IF(SER_hh_fech_in!T15=0,0,SER_hh_fech_in!T15/SER_summary!T$27)</f>
        <v>0.63696111008871292</v>
      </c>
      <c r="U15" s="134">
        <f>IF(SER_hh_fech_in!U15=0,0,SER_hh_fech_in!U15/SER_summary!U$27)</f>
        <v>0.54910430178834302</v>
      </c>
      <c r="V15" s="134">
        <f>IF(SER_hh_fech_in!V15=0,0,SER_hh_fech_in!V15/SER_summary!V$27)</f>
        <v>0.44966151404928384</v>
      </c>
      <c r="W15" s="134">
        <f>IF(SER_hh_fech_in!W15=0,0,SER_hh_fech_in!W15/SER_summary!W$27)</f>
        <v>0.45236110997143819</v>
      </c>
      <c r="X15" s="134">
        <f>IF(SER_hh_fech_in!X15=0,0,SER_hh_fech_in!X15/SER_summary!X$27)</f>
        <v>0.19987962740928883</v>
      </c>
      <c r="Y15" s="134">
        <f>IF(SER_hh_fech_in!Y15=0,0,SER_hh_fech_in!Y15/SER_summary!Y$27)</f>
        <v>0.27429881425137742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10.834033480626257</v>
      </c>
      <c r="D16" s="130">
        <f>IF(SER_hh_fech_in!D16=0,0,SER_hh_fech_in!D16/SER_summary!D$27)</f>
        <v>9.9736697347857355</v>
      </c>
      <c r="E16" s="130">
        <f>IF(SER_hh_fech_in!E16=0,0,SER_hh_fech_in!E16/SER_summary!E$27)</f>
        <v>18.216716184285488</v>
      </c>
      <c r="F16" s="130">
        <f>IF(SER_hh_fech_in!F16=0,0,SER_hh_fech_in!F16/SER_summary!F$27)</f>
        <v>8.9541309914449716</v>
      </c>
      <c r="G16" s="130">
        <f>IF(SER_hh_fech_in!G16=0,0,SER_hh_fech_in!G16/SER_summary!G$27)</f>
        <v>8.6259442529169803</v>
      </c>
      <c r="H16" s="130">
        <f>IF(SER_hh_fech_in!H16=0,0,SER_hh_fech_in!H16/SER_summary!H$27)</f>
        <v>9.3579635801011758</v>
      </c>
      <c r="I16" s="130">
        <f>IF(SER_hh_fech_in!I16=0,0,SER_hh_fech_in!I16/SER_summary!I$27)</f>
        <v>9.2901298869227293</v>
      </c>
      <c r="J16" s="130">
        <f>IF(SER_hh_fech_in!J16=0,0,SER_hh_fech_in!J16/SER_summary!J$27)</f>
        <v>8.5953177049868739</v>
      </c>
      <c r="K16" s="130">
        <f>IF(SER_hh_fech_in!K16=0,0,SER_hh_fech_in!K16/SER_summary!K$27)</f>
        <v>7.8536243365749687</v>
      </c>
      <c r="L16" s="130">
        <f>IF(SER_hh_fech_in!L16=0,0,SER_hh_fech_in!L16/SER_summary!L$27)</f>
        <v>7.5955644247416148</v>
      </c>
      <c r="M16" s="130">
        <f>IF(SER_hh_fech_in!M16=0,0,SER_hh_fech_in!M16/SER_summary!M$27)</f>
        <v>7.7662283029843264</v>
      </c>
      <c r="N16" s="130">
        <f>IF(SER_hh_fech_in!N16=0,0,SER_hh_fech_in!N16/SER_summary!N$27)</f>
        <v>10.680997171622408</v>
      </c>
      <c r="O16" s="130">
        <f>IF(SER_hh_fech_in!O16=0,0,SER_hh_fech_in!O16/SER_summary!O$27)</f>
        <v>6.7228497885266956</v>
      </c>
      <c r="P16" s="130">
        <f>IF(SER_hh_fech_in!P16=0,0,SER_hh_fech_in!P16/SER_summary!P$27)</f>
        <v>5.2630215766823687</v>
      </c>
      <c r="Q16" s="130">
        <f>IF(SER_hh_fech_in!Q16=0,0,SER_hh_fech_in!Q16/SER_summary!Q$27)</f>
        <v>8.2255665445570649</v>
      </c>
      <c r="R16" s="130">
        <f>IF(SER_hh_fech_in!R16=0,0,SER_hh_fech_in!R16/SER_summary!R$27)</f>
        <v>5.3920262709414226</v>
      </c>
      <c r="S16" s="130">
        <f>IF(SER_hh_fech_in!S16=0,0,SER_hh_fech_in!S16/SER_summary!S$27)</f>
        <v>7.5221805175362615</v>
      </c>
      <c r="T16" s="130">
        <f>IF(SER_hh_fech_in!T16=0,0,SER_hh_fech_in!T16/SER_summary!T$27)</f>
        <v>5.4902124569147466</v>
      </c>
      <c r="U16" s="130">
        <f>IF(SER_hh_fech_in!U16=0,0,SER_hh_fech_in!U16/SER_summary!U$27)</f>
        <v>6.3923644355537865</v>
      </c>
      <c r="V16" s="130">
        <f>IF(SER_hh_fech_in!V16=0,0,SER_hh_fech_in!V16/SER_summary!V$27)</f>
        <v>4.7933824353379499</v>
      </c>
      <c r="W16" s="130">
        <f>IF(SER_hh_fech_in!W16=0,0,SER_hh_fech_in!W16/SER_summary!W$27)</f>
        <v>5.7611827647057066</v>
      </c>
      <c r="X16" s="130">
        <f>IF(SER_hh_fech_in!X16=0,0,SER_hh_fech_in!X16/SER_summary!X$27)</f>
        <v>6.2716053028390997</v>
      </c>
      <c r="Y16" s="130">
        <f>IF(SER_hh_fech_in!Y16=0,0,SER_hh_fech_in!Y16/SER_summary!Y$27)</f>
        <v>5.4640526695850449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21.043829544623573</v>
      </c>
      <c r="D17" s="132">
        <f>IF(SER_hh_fech_in!D17=0,0,SER_hh_fech_in!D17/SER_summary!D$27)</f>
        <v>19.871069965759258</v>
      </c>
      <c r="E17" s="132">
        <f>IF(SER_hh_fech_in!E17=0,0,SER_hh_fech_in!E17/SER_summary!E$27)</f>
        <v>37.230853664800591</v>
      </c>
      <c r="F17" s="132">
        <f>IF(SER_hh_fech_in!F17=0,0,SER_hh_fech_in!F17/SER_summary!F$27)</f>
        <v>18.743861860793732</v>
      </c>
      <c r="G17" s="132">
        <f>IF(SER_hh_fech_in!G17=0,0,SER_hh_fech_in!G17/SER_summary!G$27)</f>
        <v>18.476022516140059</v>
      </c>
      <c r="H17" s="132">
        <f>IF(SER_hh_fech_in!H17=0,0,SER_hh_fech_in!H17/SER_summary!H$27)</f>
        <v>20.496437415378495</v>
      </c>
      <c r="I17" s="132">
        <f>IF(SER_hh_fech_in!I17=0,0,SER_hh_fech_in!I17/SER_summary!I$27)</f>
        <v>26.922395191796948</v>
      </c>
      <c r="J17" s="132">
        <f>IF(SER_hh_fech_in!J17=0,0,SER_hh_fech_in!J17/SER_summary!J$27)</f>
        <v>24.065124328303554</v>
      </c>
      <c r="K17" s="132">
        <f>IF(SER_hh_fech_in!K17=0,0,SER_hh_fech_in!K17/SER_summary!K$27)</f>
        <v>18.324702391368081</v>
      </c>
      <c r="L17" s="132">
        <f>IF(SER_hh_fech_in!L17=0,0,SER_hh_fech_in!L17/SER_summary!L$27)</f>
        <v>18.081042153348957</v>
      </c>
      <c r="M17" s="132">
        <f>IF(SER_hh_fech_in!M17=0,0,SER_hh_fech_in!M17/SER_summary!M$27)</f>
        <v>18.933478267483444</v>
      </c>
      <c r="N17" s="132">
        <f>IF(SER_hh_fech_in!N17=0,0,SER_hh_fech_in!N17/SER_summary!N$27)</f>
        <v>23.317076617200332</v>
      </c>
      <c r="O17" s="132">
        <f>IF(SER_hh_fech_in!O17=0,0,SER_hh_fech_in!O17/SER_summary!O$27)</f>
        <v>17.407115963824687</v>
      </c>
      <c r="P17" s="132">
        <f>IF(SER_hh_fech_in!P17=0,0,SER_hh_fech_in!P17/SER_summary!P$27)</f>
        <v>11.445961270147436</v>
      </c>
      <c r="Q17" s="132">
        <f>IF(SER_hh_fech_in!Q17=0,0,SER_hh_fech_in!Q17/SER_summary!Q$27)</f>
        <v>23.180844176305786</v>
      </c>
      <c r="R17" s="132">
        <f>IF(SER_hh_fech_in!R17=0,0,SER_hh_fech_in!R17/SER_summary!R$27)</f>
        <v>14.907600777596318</v>
      </c>
      <c r="S17" s="132">
        <f>IF(SER_hh_fech_in!S17=0,0,SER_hh_fech_in!S17/SER_summary!S$27)</f>
        <v>20.565236034428409</v>
      </c>
      <c r="T17" s="132">
        <f>IF(SER_hh_fech_in!T17=0,0,SER_hh_fech_in!T17/SER_summary!T$27)</f>
        <v>14.762332215374935</v>
      </c>
      <c r="U17" s="132">
        <f>IF(SER_hh_fech_in!U17=0,0,SER_hh_fech_in!U17/SER_summary!U$27)</f>
        <v>17.019514279747504</v>
      </c>
      <c r="V17" s="132">
        <f>IF(SER_hh_fech_in!V17=0,0,SER_hh_fech_in!V17/SER_summary!V$27)</f>
        <v>10.291618981203632</v>
      </c>
      <c r="W17" s="132">
        <f>IF(SER_hh_fech_in!W17=0,0,SER_hh_fech_in!W17/SER_summary!W$27)</f>
        <v>12.45936295367841</v>
      </c>
      <c r="X17" s="132">
        <f>IF(SER_hh_fech_in!X17=0,0,SER_hh_fech_in!X17/SER_summary!X$27)</f>
        <v>16.298813206260398</v>
      </c>
      <c r="Y17" s="132">
        <f>IF(SER_hh_fech_in!Y17=0,0,SER_hh_fech_in!Y17/SER_summary!Y$27)</f>
        <v>16.439019493193292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10.824383228831536</v>
      </c>
      <c r="D18" s="132">
        <f>IF(SER_hh_fech_in!D18=0,0,SER_hh_fech_in!D18/SER_summary!D$27)</f>
        <v>9.9580012525103587</v>
      </c>
      <c r="E18" s="132">
        <f>IF(SER_hh_fech_in!E18=0,0,SER_hh_fech_in!E18/SER_summary!E$27)</f>
        <v>18.184877727762494</v>
      </c>
      <c r="F18" s="132">
        <f>IF(SER_hh_fech_in!F18=0,0,SER_hh_fech_in!F18/SER_summary!F$27)</f>
        <v>8.9391711520151809</v>
      </c>
      <c r="G18" s="132">
        <f>IF(SER_hh_fech_in!G18=0,0,SER_hh_fech_in!G18/SER_summary!G$27)</f>
        <v>8.6111700471498089</v>
      </c>
      <c r="H18" s="132">
        <f>IF(SER_hh_fech_in!H18=0,0,SER_hh_fech_in!H18/SER_summary!H$27)</f>
        <v>9.3414784534565367</v>
      </c>
      <c r="I18" s="132">
        <f>IF(SER_hh_fech_in!I18=0,0,SER_hh_fech_in!I18/SER_summary!I$27)</f>
        <v>9.2734468621167832</v>
      </c>
      <c r="J18" s="132">
        <f>IF(SER_hh_fech_in!J18=0,0,SER_hh_fech_in!J18/SER_summary!J$27)</f>
        <v>8.5784032147191169</v>
      </c>
      <c r="K18" s="132">
        <f>IF(SER_hh_fech_in!K18=0,0,SER_hh_fech_in!K18/SER_summary!K$27)</f>
        <v>7.8335331332114455</v>
      </c>
      <c r="L18" s="132">
        <f>IF(SER_hh_fech_in!L18=0,0,SER_hh_fech_in!L18/SER_summary!L$27)</f>
        <v>7.5693732033657106</v>
      </c>
      <c r="M18" s="132">
        <f>IF(SER_hh_fech_in!M18=0,0,SER_hh_fech_in!M18/SER_summary!M$27)</f>
        <v>7.740915298702725</v>
      </c>
      <c r="N18" s="132">
        <f>IF(SER_hh_fech_in!N18=0,0,SER_hh_fech_in!N18/SER_summary!N$27)</f>
        <v>10.64756615376287</v>
      </c>
      <c r="O18" s="132">
        <f>IF(SER_hh_fech_in!O18=0,0,SER_hh_fech_in!O18/SER_summary!O$27)</f>
        <v>6.6854444780838831</v>
      </c>
      <c r="P18" s="132">
        <f>IF(SER_hh_fech_in!P18=0,0,SER_hh_fech_in!P18/SER_summary!P$27)</f>
        <v>5.2316744104281137</v>
      </c>
      <c r="Q18" s="132">
        <f>IF(SER_hh_fech_in!Q18=0,0,SER_hh_fech_in!Q18/SER_summary!Q$27)</f>
        <v>8.155642218719521</v>
      </c>
      <c r="R18" s="132">
        <f>IF(SER_hh_fech_in!R18=0,0,SER_hh_fech_in!R18/SER_summary!R$27)</f>
        <v>5.3437265375694567</v>
      </c>
      <c r="S18" s="132">
        <f>IF(SER_hh_fech_in!S18=0,0,SER_hh_fech_in!S18/SER_summary!S$27)</f>
        <v>7.427282555075343</v>
      </c>
      <c r="T18" s="132">
        <f>IF(SER_hh_fech_in!T18=0,0,SER_hh_fech_in!T18/SER_summary!T$27)</f>
        <v>5.3956167435025817</v>
      </c>
      <c r="U18" s="132">
        <f>IF(SER_hh_fech_in!U18=0,0,SER_hh_fech_in!U18/SER_summary!U$27)</f>
        <v>6.2991570547946401</v>
      </c>
      <c r="V18" s="132">
        <f>IF(SER_hh_fech_in!V18=0,0,SER_hh_fech_in!V18/SER_summary!V$27)</f>
        <v>4.7196431976564366</v>
      </c>
      <c r="W18" s="132">
        <f>IF(SER_hh_fech_in!W18=0,0,SER_hh_fech_in!W18/SER_summary!W$27)</f>
        <v>5.7209544982271998</v>
      </c>
      <c r="X18" s="132">
        <f>IF(SER_hh_fech_in!X18=0,0,SER_hh_fech_in!X18/SER_summary!X$27)</f>
        <v>6.1660143565944212</v>
      </c>
      <c r="Y18" s="132">
        <f>IF(SER_hh_fech_in!Y18=0,0,SER_hh_fech_in!Y18/SER_summary!Y$27)</f>
        <v>5.381223650753018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23.364887474004803</v>
      </c>
      <c r="D19" s="130">
        <f>IF(SER_hh_fech_in!D19=0,0,SER_hh_fech_in!D19/SER_summary!D$27)</f>
        <v>23.601072471577382</v>
      </c>
      <c r="E19" s="130">
        <f>IF(SER_hh_fech_in!E19=0,0,SER_hh_fech_in!E19/SER_summary!E$27)</f>
        <v>23.295533650859689</v>
      </c>
      <c r="F19" s="130">
        <f>IF(SER_hh_fech_in!F19=0,0,SER_hh_fech_in!F19/SER_summary!F$27)</f>
        <v>23.536613156521792</v>
      </c>
      <c r="G19" s="130">
        <f>IF(SER_hh_fech_in!G19=0,0,SER_hh_fech_in!G19/SER_summary!G$27)</f>
        <v>23.672687001830106</v>
      </c>
      <c r="H19" s="130">
        <f>IF(SER_hh_fech_in!H19=0,0,SER_hh_fech_in!H19/SER_summary!H$27)</f>
        <v>22.804574448558412</v>
      </c>
      <c r="I19" s="130">
        <f>IF(SER_hh_fech_in!I19=0,0,SER_hh_fech_in!I19/SER_summary!I$27)</f>
        <v>22.489159689498582</v>
      </c>
      <c r="J19" s="130">
        <f>IF(SER_hh_fech_in!J19=0,0,SER_hh_fech_in!J19/SER_summary!J$27)</f>
        <v>21.923105581230551</v>
      </c>
      <c r="K19" s="130">
        <f>IF(SER_hh_fech_in!K19=0,0,SER_hh_fech_in!K19/SER_summary!K$27)</f>
        <v>21.774364872441886</v>
      </c>
      <c r="L19" s="130">
        <f>IF(SER_hh_fech_in!L19=0,0,SER_hh_fech_in!L19/SER_summary!L$27)</f>
        <v>20.772604752391334</v>
      </c>
      <c r="M19" s="130">
        <f>IF(SER_hh_fech_in!M19=0,0,SER_hh_fech_in!M19/SER_summary!M$27)</f>
        <v>20.092807090087042</v>
      </c>
      <c r="N19" s="130">
        <f>IF(SER_hh_fech_in!N19=0,0,SER_hh_fech_in!N19/SER_summary!N$27)</f>
        <v>20.410182097975515</v>
      </c>
      <c r="O19" s="130">
        <f>IF(SER_hh_fech_in!O19=0,0,SER_hh_fech_in!O19/SER_summary!O$27)</f>
        <v>20.797276293185451</v>
      </c>
      <c r="P19" s="130">
        <f>IF(SER_hh_fech_in!P19=0,0,SER_hh_fech_in!P19/SER_summary!P$27)</f>
        <v>19.949206855970072</v>
      </c>
      <c r="Q19" s="130">
        <f>IF(SER_hh_fech_in!Q19=0,0,SER_hh_fech_in!Q19/SER_summary!Q$27)</f>
        <v>19.400932057524521</v>
      </c>
      <c r="R19" s="130">
        <f>IF(SER_hh_fech_in!R19=0,0,SER_hh_fech_in!R19/SER_summary!R$27)</f>
        <v>19.321734977254675</v>
      </c>
      <c r="S19" s="130">
        <f>IF(SER_hh_fech_in!S19=0,0,SER_hh_fech_in!S19/SER_summary!S$27)</f>
        <v>19.085622116741305</v>
      </c>
      <c r="T19" s="130">
        <f>IF(SER_hh_fech_in!T19=0,0,SER_hh_fech_in!T19/SER_summary!T$27)</f>
        <v>18.712079253841161</v>
      </c>
      <c r="U19" s="130">
        <f>IF(SER_hh_fech_in!U19=0,0,SER_hh_fech_in!U19/SER_summary!U$27)</f>
        <v>18.314167964600269</v>
      </c>
      <c r="V19" s="130">
        <f>IF(SER_hh_fech_in!V19=0,0,SER_hh_fech_in!V19/SER_summary!V$27)</f>
        <v>16.328975925858163</v>
      </c>
      <c r="W19" s="130">
        <f>IF(SER_hh_fech_in!W19=0,0,SER_hh_fech_in!W19/SER_summary!W$27)</f>
        <v>15.936748522051884</v>
      </c>
      <c r="X19" s="130">
        <f>IF(SER_hh_fech_in!X19=0,0,SER_hh_fech_in!X19/SER_summary!X$27)</f>
        <v>17.179582467157577</v>
      </c>
      <c r="Y19" s="130">
        <f>IF(SER_hh_fech_in!Y19=0,0,SER_hh_fech_in!Y19/SER_summary!Y$27)</f>
        <v>16.181293519232856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26.648697443617127</v>
      </c>
      <c r="D21" s="132">
        <f>IF(SER_hh_fech_in!D21=0,0,SER_hh_fech_in!D21/SER_summary!D$27)</f>
        <v>26.932110617163548</v>
      </c>
      <c r="E21" s="132">
        <f>IF(SER_hh_fech_in!E21=0,0,SER_hh_fech_in!E21/SER_summary!E$27)</f>
        <v>26.542776861632575</v>
      </c>
      <c r="F21" s="132">
        <f>IF(SER_hh_fech_in!F21=0,0,SER_hh_fech_in!F21/SER_summary!F$27)</f>
        <v>26.891223213588415</v>
      </c>
      <c r="G21" s="132">
        <f>IF(SER_hh_fech_in!G21=0,0,SER_hh_fech_in!G21/SER_summary!G$27)</f>
        <v>26.358018630159183</v>
      </c>
      <c r="H21" s="132">
        <f>IF(SER_hh_fech_in!H21=0,0,SER_hh_fech_in!H21/SER_summary!H$27)</f>
        <v>26.035769256458018</v>
      </c>
      <c r="I21" s="132">
        <f>IF(SER_hh_fech_in!I21=0,0,SER_hh_fech_in!I21/SER_summary!I$27)</f>
        <v>25.43727396369329</v>
      </c>
      <c r="J21" s="132">
        <f>IF(SER_hh_fech_in!J21=0,0,SER_hh_fech_in!J21/SER_summary!J$27)</f>
        <v>25.066166155909979</v>
      </c>
      <c r="K21" s="132">
        <f>IF(SER_hh_fech_in!K21=0,0,SER_hh_fech_in!K21/SER_summary!K$27)</f>
        <v>25.511904237797442</v>
      </c>
      <c r="L21" s="132">
        <f>IF(SER_hh_fech_in!L21=0,0,SER_hh_fech_in!L21/SER_summary!L$27)</f>
        <v>23.910330274794482</v>
      </c>
      <c r="M21" s="132">
        <f>IF(SER_hh_fech_in!M21=0,0,SER_hh_fech_in!M21/SER_summary!M$27)</f>
        <v>24.441552511346181</v>
      </c>
      <c r="N21" s="132">
        <f>IF(SER_hh_fech_in!N21=0,0,SER_hh_fech_in!N21/SER_summary!N$27)</f>
        <v>21.129280895785499</v>
      </c>
      <c r="O21" s="132">
        <f>IF(SER_hh_fech_in!O21=0,0,SER_hh_fech_in!O21/SER_summary!O$27)</f>
        <v>23.618774025021633</v>
      </c>
      <c r="P21" s="132">
        <f>IF(SER_hh_fech_in!P21=0,0,SER_hh_fech_in!P21/SER_summary!P$27)</f>
        <v>23.189189608925009</v>
      </c>
      <c r="Q21" s="132">
        <f>IF(SER_hh_fech_in!Q21=0,0,SER_hh_fech_in!Q21/SER_summary!Q$27)</f>
        <v>22.310923925143626</v>
      </c>
      <c r="R21" s="132">
        <f>IF(SER_hh_fech_in!R21=0,0,SER_hh_fech_in!R21/SER_summary!R$27)</f>
        <v>16.683949593219737</v>
      </c>
      <c r="S21" s="132">
        <f>IF(SER_hh_fech_in!S21=0,0,SER_hh_fech_in!S21/SER_summary!S$27)</f>
        <v>19.756828721261424</v>
      </c>
      <c r="T21" s="132">
        <f>IF(SER_hh_fech_in!T21=0,0,SER_hh_fech_in!T21/SER_summary!T$27)</f>
        <v>19.624720042468073</v>
      </c>
      <c r="U21" s="132">
        <f>IF(SER_hh_fech_in!U21=0,0,SER_hh_fech_in!U21/SER_summary!U$27)</f>
        <v>19.014755528417119</v>
      </c>
      <c r="V21" s="132">
        <f>IF(SER_hh_fech_in!V21=0,0,SER_hh_fech_in!V21/SER_summary!V$27)</f>
        <v>15.989607345213972</v>
      </c>
      <c r="W21" s="132">
        <f>IF(SER_hh_fech_in!W21=0,0,SER_hh_fech_in!W21/SER_summary!W$27)</f>
        <v>19.095384773685002</v>
      </c>
      <c r="X21" s="132">
        <f>IF(SER_hh_fech_in!X21=0,0,SER_hh_fech_in!X21/SER_summary!X$27)</f>
        <v>19.658610442313087</v>
      </c>
      <c r="Y21" s="132">
        <f>IF(SER_hh_fech_in!Y21=0,0,SER_hh_fech_in!Y21/SER_summary!Y$27)</f>
        <v>17.270233665816708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27.793699425519275</v>
      </c>
      <c r="D22" s="132">
        <f>IF(SER_hh_fech_in!D22=0,0,SER_hh_fech_in!D22/SER_summary!D$27)</f>
        <v>27.799191765547402</v>
      </c>
      <c r="E22" s="132">
        <f>IF(SER_hh_fech_in!E22=0,0,SER_hh_fech_in!E22/SER_summary!E$27)</f>
        <v>28.09161875134809</v>
      </c>
      <c r="F22" s="132">
        <f>IF(SER_hh_fech_in!F22=0,0,SER_hh_fech_in!F22/SER_summary!F$27)</f>
        <v>27.849578714236266</v>
      </c>
      <c r="G22" s="132">
        <f>IF(SER_hh_fech_in!G22=0,0,SER_hh_fech_in!G22/SER_summary!G$27)</f>
        <v>28.127020392277057</v>
      </c>
      <c r="H22" s="132">
        <f>IF(SER_hh_fech_in!H22=0,0,SER_hh_fech_in!H22/SER_summary!H$27)</f>
        <v>27.488588787029208</v>
      </c>
      <c r="I22" s="132">
        <f>IF(SER_hh_fech_in!I22=0,0,SER_hh_fech_in!I22/SER_summary!I$27)</f>
        <v>27.727467254902582</v>
      </c>
      <c r="J22" s="132">
        <f>IF(SER_hh_fech_in!J22=0,0,SER_hh_fech_in!J22/SER_summary!J$27)</f>
        <v>26.762767098094425</v>
      </c>
      <c r="K22" s="132">
        <f>IF(SER_hh_fech_in!K22=0,0,SER_hh_fech_in!K22/SER_summary!K$27)</f>
        <v>26.601803198094149</v>
      </c>
      <c r="L22" s="132">
        <f>IF(SER_hh_fech_in!L22=0,0,SER_hh_fech_in!L22/SER_summary!L$27)</f>
        <v>24.215346037294761</v>
      </c>
      <c r="M22" s="132">
        <f>IF(SER_hh_fech_in!M22=0,0,SER_hh_fech_in!M22/SER_summary!M$27)</f>
        <v>24.465811356946823</v>
      </c>
      <c r="N22" s="132">
        <f>IF(SER_hh_fech_in!N22=0,0,SER_hh_fech_in!N22/SER_summary!N$27)</f>
        <v>16.20966911090008</v>
      </c>
      <c r="O22" s="132">
        <f>IF(SER_hh_fech_in!O22=0,0,SER_hh_fech_in!O22/SER_summary!O$27)</f>
        <v>24.609147084996589</v>
      </c>
      <c r="P22" s="132">
        <f>IF(SER_hh_fech_in!P22=0,0,SER_hh_fech_in!P22/SER_summary!P$27)</f>
        <v>23.789600056124637</v>
      </c>
      <c r="Q22" s="132">
        <f>IF(SER_hh_fech_in!Q22=0,0,SER_hh_fech_in!Q22/SER_summary!Q$27)</f>
        <v>20.682924768613589</v>
      </c>
      <c r="R22" s="132">
        <f>IF(SER_hh_fech_in!R22=0,0,SER_hh_fech_in!R22/SER_summary!R$27)</f>
        <v>17.353026743233045</v>
      </c>
      <c r="S22" s="132">
        <f>IF(SER_hh_fech_in!S22=0,0,SER_hh_fech_in!S22/SER_summary!S$27)</f>
        <v>20.398204601606619</v>
      </c>
      <c r="T22" s="132">
        <f>IF(SER_hh_fech_in!T22=0,0,SER_hh_fech_in!T22/SER_summary!T$27)</f>
        <v>19.979140212720136</v>
      </c>
      <c r="U22" s="132">
        <f>IF(SER_hh_fech_in!U22=0,0,SER_hh_fech_in!U22/SER_summary!U$27)</f>
        <v>20.18589331769812</v>
      </c>
      <c r="V22" s="132">
        <f>IF(SER_hh_fech_in!V22=0,0,SER_hh_fech_in!V22/SER_summary!V$27)</f>
        <v>17.572756832281488</v>
      </c>
      <c r="W22" s="132">
        <f>IF(SER_hh_fech_in!W22=0,0,SER_hh_fech_in!W22/SER_summary!W$27)</f>
        <v>20.614924761138049</v>
      </c>
      <c r="X22" s="132">
        <f>IF(SER_hh_fech_in!X22=0,0,SER_hh_fech_in!X22/SER_summary!X$27)</f>
        <v>0</v>
      </c>
      <c r="Y22" s="132">
        <f>IF(SER_hh_fech_in!Y22=0,0,SER_hh_fech_in!Y22/SER_summary!Y$27)</f>
        <v>0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25.563038885763401</v>
      </c>
      <c r="D23" s="132">
        <f>IF(SER_hh_fech_in!D23=0,0,SER_hh_fech_in!D23/SER_summary!D$27)</f>
        <v>25.707775308785447</v>
      </c>
      <c r="E23" s="132">
        <f>IF(SER_hh_fech_in!E23=0,0,SER_hh_fech_in!E23/SER_summary!E$27)</f>
        <v>25.580868281416734</v>
      </c>
      <c r="F23" s="132">
        <f>IF(SER_hh_fech_in!F23=0,0,SER_hh_fech_in!F23/SER_summary!F$27)</f>
        <v>25.540675628416949</v>
      </c>
      <c r="G23" s="132">
        <f>IF(SER_hh_fech_in!G23=0,0,SER_hh_fech_in!G23/SER_summary!G$27)</f>
        <v>25.568395306190077</v>
      </c>
      <c r="H23" s="132">
        <f>IF(SER_hh_fech_in!H23=0,0,SER_hh_fech_in!H23/SER_summary!H$27)</f>
        <v>24.750980806150924</v>
      </c>
      <c r="I23" s="132">
        <f>IF(SER_hh_fech_in!I23=0,0,SER_hh_fech_in!I23/SER_summary!I$27)</f>
        <v>24.141970065856661</v>
      </c>
      <c r="J23" s="132">
        <f>IF(SER_hh_fech_in!J23=0,0,SER_hh_fech_in!J23/SER_summary!J$27)</f>
        <v>23.663623749660999</v>
      </c>
      <c r="K23" s="132">
        <f>IF(SER_hh_fech_in!K23=0,0,SER_hh_fech_in!K23/SER_summary!K$27)</f>
        <v>23.383969971699578</v>
      </c>
      <c r="L23" s="132">
        <f>IF(SER_hh_fech_in!L23=0,0,SER_hh_fech_in!L23/SER_summary!L$27)</f>
        <v>21.93620123229082</v>
      </c>
      <c r="M23" s="132">
        <f>IF(SER_hh_fech_in!M23=0,0,SER_hh_fech_in!M23/SER_summary!M$27)</f>
        <v>22.665569443441267</v>
      </c>
      <c r="N23" s="132">
        <f>IF(SER_hh_fech_in!N23=0,0,SER_hh_fech_in!N23/SER_summary!N$27)</f>
        <v>20.436566052338303</v>
      </c>
      <c r="O23" s="132">
        <f>IF(SER_hh_fech_in!O23=0,0,SER_hh_fech_in!O23/SER_summary!O$27)</f>
        <v>22.042455003569433</v>
      </c>
      <c r="P23" s="132">
        <f>IF(SER_hh_fech_in!P23=0,0,SER_hh_fech_in!P23/SER_summary!P$27)</f>
        <v>21.754695373118761</v>
      </c>
      <c r="Q23" s="132">
        <f>IF(SER_hh_fech_in!Q23=0,0,SER_hh_fech_in!Q23/SER_summary!Q$27)</f>
        <v>21.013666437667784</v>
      </c>
      <c r="R23" s="132">
        <f>IF(SER_hh_fech_in!R23=0,0,SER_hh_fech_in!R23/SER_summary!R$27)</f>
        <v>17.755668099972524</v>
      </c>
      <c r="S23" s="132">
        <f>IF(SER_hh_fech_in!S23=0,0,SER_hh_fech_in!S23/SER_summary!S$27)</f>
        <v>19.562999379414574</v>
      </c>
      <c r="T23" s="132">
        <f>IF(SER_hh_fech_in!T23=0,0,SER_hh_fech_in!T23/SER_summary!T$27)</f>
        <v>19.358999269655197</v>
      </c>
      <c r="U23" s="132">
        <f>IF(SER_hh_fech_in!U23=0,0,SER_hh_fech_in!U23/SER_summary!U$27)</f>
        <v>19.009955384510665</v>
      </c>
      <c r="V23" s="132">
        <f>IF(SER_hh_fech_in!V23=0,0,SER_hh_fech_in!V23/SER_summary!V$27)</f>
        <v>16.942877994509541</v>
      </c>
      <c r="W23" s="132">
        <f>IF(SER_hh_fech_in!W23=0,0,SER_hh_fech_in!W23/SER_summary!W$27)</f>
        <v>20.088523745787466</v>
      </c>
      <c r="X23" s="132">
        <f>IF(SER_hh_fech_in!X23=0,0,SER_hh_fech_in!X23/SER_summary!X$27)</f>
        <v>0</v>
      </c>
      <c r="Y23" s="132">
        <f>IF(SER_hh_fech_in!Y23=0,0,SER_hh_fech_in!Y23/SER_summary!Y$27)</f>
        <v>0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18.287846444999833</v>
      </c>
      <c r="D25" s="132">
        <f>IF(SER_hh_fech_in!D25=0,0,SER_hh_fech_in!D25/SER_summary!D$27)</f>
        <v>18.300390098038044</v>
      </c>
      <c r="E25" s="132">
        <f>IF(SER_hh_fech_in!E25=0,0,SER_hh_fech_in!E25/SER_summary!E$27)</f>
        <v>18.429193262663539</v>
      </c>
      <c r="F25" s="132">
        <f>IF(SER_hh_fech_in!F25=0,0,SER_hh_fech_in!F25/SER_summary!F$27)</f>
        <v>18.497266454735961</v>
      </c>
      <c r="G25" s="132">
        <f>IF(SER_hh_fech_in!G25=0,0,SER_hh_fech_in!G25/SER_summary!G$27)</f>
        <v>18.728329527682305</v>
      </c>
      <c r="H25" s="132">
        <f>IF(SER_hh_fech_in!H25=0,0,SER_hh_fech_in!H25/SER_summary!H$27)</f>
        <v>18.35144336838631</v>
      </c>
      <c r="I25" s="132">
        <f>IF(SER_hh_fech_in!I25=0,0,SER_hh_fech_in!I25/SER_summary!I$27)</f>
        <v>18.209046134567799</v>
      </c>
      <c r="J25" s="132">
        <f>IF(SER_hh_fech_in!J25=0,0,SER_hh_fech_in!J25/SER_summary!J$27)</f>
        <v>17.788155074632119</v>
      </c>
      <c r="K25" s="132">
        <f>IF(SER_hh_fech_in!K25=0,0,SER_hh_fech_in!K25/SER_summary!K$27)</f>
        <v>17.775185698255576</v>
      </c>
      <c r="L25" s="132">
        <f>IF(SER_hh_fech_in!L25=0,0,SER_hh_fech_in!L25/SER_summary!L$27)</f>
        <v>16.943518968146257</v>
      </c>
      <c r="M25" s="132">
        <f>IF(SER_hh_fech_in!M25=0,0,SER_hh_fech_in!M25/SER_summary!M$27)</f>
        <v>17.855640268551642</v>
      </c>
      <c r="N25" s="132">
        <f>IF(SER_hh_fech_in!N25=0,0,SER_hh_fech_in!N25/SER_summary!N$27)</f>
        <v>16.861741855315316</v>
      </c>
      <c r="O25" s="132">
        <f>IF(SER_hh_fech_in!O25=0,0,SER_hh_fech_in!O25/SER_summary!O$27)</f>
        <v>18.371531076659849</v>
      </c>
      <c r="P25" s="132">
        <f>IF(SER_hh_fech_in!P25=0,0,SER_hh_fech_in!P25/SER_summary!P$27)</f>
        <v>18.821102611900173</v>
      </c>
      <c r="Q25" s="132">
        <f>IF(SER_hh_fech_in!Q25=0,0,SER_hh_fech_in!Q25/SER_summary!Q$27)</f>
        <v>18.459196053052835</v>
      </c>
      <c r="R25" s="132">
        <f>IF(SER_hh_fech_in!R25=0,0,SER_hh_fech_in!R25/SER_summary!R$27)</f>
        <v>17.31009120681199</v>
      </c>
      <c r="S25" s="132">
        <f>IF(SER_hh_fech_in!S25=0,0,SER_hh_fech_in!S25/SER_summary!S$27)</f>
        <v>17.244032733287568</v>
      </c>
      <c r="T25" s="132">
        <f>IF(SER_hh_fech_in!T25=0,0,SER_hh_fech_in!T25/SER_summary!T$27)</f>
        <v>17.110743267470347</v>
      </c>
      <c r="U25" s="132">
        <f>IF(SER_hh_fech_in!U25=0,0,SER_hh_fech_in!U25/SER_summary!U$27)</f>
        <v>16.865871118257079</v>
      </c>
      <c r="V25" s="132">
        <f>IF(SER_hh_fech_in!V25=0,0,SER_hh_fech_in!V25/SER_summary!V$27)</f>
        <v>15.640191573553285</v>
      </c>
      <c r="W25" s="132">
        <f>IF(SER_hh_fech_in!W25=0,0,SER_hh_fech_in!W25/SER_summary!W$27)</f>
        <v>17.453271846641591</v>
      </c>
      <c r="X25" s="132">
        <f>IF(SER_hh_fech_in!X25=0,0,SER_hh_fech_in!X25/SER_summary!X$27)</f>
        <v>16.065494333323393</v>
      </c>
      <c r="Y25" s="132">
        <f>IF(SER_hh_fech_in!Y25=0,0,SER_hh_fech_in!Y25/SER_summary!Y$27)</f>
        <v>17.310355777656987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21.034054160577799</v>
      </c>
      <c r="D26" s="65">
        <f>IF(SER_hh_fech_in!D26=0,0,SER_hh_fech_in!D26/SER_summary!D$27)</f>
        <v>19.210040643500548</v>
      </c>
      <c r="E26" s="65">
        <f>IF(SER_hh_fech_in!E26=0,0,SER_hh_fech_in!E26/SER_summary!E$27)</f>
        <v>20.644030515534332</v>
      </c>
      <c r="F26" s="65">
        <f>IF(SER_hh_fech_in!F26=0,0,SER_hh_fech_in!F26/SER_summary!F$27)</f>
        <v>19.224562728959857</v>
      </c>
      <c r="G26" s="65">
        <f>IF(SER_hh_fech_in!G26=0,0,SER_hh_fech_in!G26/SER_summary!G$27)</f>
        <v>19.556397969580388</v>
      </c>
      <c r="H26" s="65">
        <f>IF(SER_hh_fech_in!H26=0,0,SER_hh_fech_in!H26/SER_summary!H$27)</f>
        <v>19.363646123443562</v>
      </c>
      <c r="I26" s="65">
        <f>IF(SER_hh_fech_in!I26=0,0,SER_hh_fech_in!I26/SER_summary!I$27)</f>
        <v>19.223971047384556</v>
      </c>
      <c r="J26" s="65">
        <f>IF(SER_hh_fech_in!J26=0,0,SER_hh_fech_in!J26/SER_summary!J$27)</f>
        <v>10.989694424542551</v>
      </c>
      <c r="K26" s="65">
        <f>IF(SER_hh_fech_in!K26=0,0,SER_hh_fech_in!K26/SER_summary!K$27)</f>
        <v>11.065949386254193</v>
      </c>
      <c r="L26" s="65">
        <f>IF(SER_hh_fech_in!L26=0,0,SER_hh_fech_in!L26/SER_summary!L$27)</f>
        <v>5.6963791102663768</v>
      </c>
      <c r="M26" s="65">
        <f>IF(SER_hh_fech_in!M26=0,0,SER_hh_fech_in!M26/SER_summary!M$27)</f>
        <v>5.7616246916578868</v>
      </c>
      <c r="N26" s="65">
        <f>IF(SER_hh_fech_in!N26=0,0,SER_hh_fech_in!N26/SER_summary!N$27)</f>
        <v>5.8564339725671131</v>
      </c>
      <c r="O26" s="65">
        <f>IF(SER_hh_fech_in!O26=0,0,SER_hh_fech_in!O26/SER_summary!O$27)</f>
        <v>5.6803386991160236</v>
      </c>
      <c r="P26" s="65">
        <f>IF(SER_hh_fech_in!P26=0,0,SER_hh_fech_in!P26/SER_summary!P$27)</f>
        <v>7.6563519772292299</v>
      </c>
      <c r="Q26" s="65">
        <f>IF(SER_hh_fech_in!Q26=0,0,SER_hh_fech_in!Q26/SER_summary!Q$27)</f>
        <v>5.9732234602815506</v>
      </c>
      <c r="R26" s="65">
        <f>IF(SER_hh_fech_in!R26=0,0,SER_hh_fech_in!R26/SER_summary!R$27)</f>
        <v>5.4332947097337829</v>
      </c>
      <c r="S26" s="65">
        <f>IF(SER_hh_fech_in!S26=0,0,SER_hh_fech_in!S26/SER_summary!S$27)</f>
        <v>4.8774675203492617</v>
      </c>
      <c r="T26" s="65">
        <f>IF(SER_hh_fech_in!T26=0,0,SER_hh_fech_in!T26/SER_summary!T$27)</f>
        <v>4.8582115325518762</v>
      </c>
      <c r="U26" s="65">
        <f>IF(SER_hh_fech_in!U26=0,0,SER_hh_fech_in!U26/SER_summary!U$27)</f>
        <v>4.3957438931951254</v>
      </c>
      <c r="V26" s="65">
        <f>IF(SER_hh_fech_in!V26=0,0,SER_hh_fech_in!V26/SER_summary!V$27)</f>
        <v>3.7535471296738674</v>
      </c>
      <c r="W26" s="65">
        <f>IF(SER_hh_fech_in!W26=0,0,SER_hh_fech_in!W26/SER_summary!W$27)</f>
        <v>3.0228754658995607</v>
      </c>
      <c r="X26" s="65">
        <f>IF(SER_hh_fech_in!X26=0,0,SER_hh_fech_in!X26/SER_summary!X$27)</f>
        <v>14.784067018645965</v>
      </c>
      <c r="Y26" s="65">
        <f>IF(SER_hh_fech_in!Y26=0,0,SER_hh_fech_in!Y26/SER_summary!Y$27)</f>
        <v>6.8164391589918081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0.36469329270383927</v>
      </c>
      <c r="D27" s="145">
        <f>IF(SER_hh_fech_in!D27=0,0,SER_hh_fech_in!D27/SER_summary!D$27)</f>
        <v>0.85551493889639008</v>
      </c>
      <c r="E27" s="145">
        <f>IF(SER_hh_fech_in!E27=0,0,SER_hh_fech_in!E27/SER_summary!E$27)</f>
        <v>0.46117044937537932</v>
      </c>
      <c r="F27" s="145">
        <f>IF(SER_hh_fech_in!F27=0,0,SER_hh_fech_in!F27/SER_summary!F$27)</f>
        <v>1.1018792216544138</v>
      </c>
      <c r="G27" s="145">
        <f>IF(SER_hh_fech_in!G27=0,0,SER_hh_fech_in!G27/SER_summary!G$27)</f>
        <v>0.9706539642300489</v>
      </c>
      <c r="H27" s="145">
        <f>IF(SER_hh_fech_in!H27=0,0,SER_hh_fech_in!H27/SER_summary!H$27)</f>
        <v>0.96580565524132012</v>
      </c>
      <c r="I27" s="145">
        <f>IF(SER_hh_fech_in!I27=0,0,SER_hh_fech_in!I27/SER_summary!I$27)</f>
        <v>0.96258043174062791</v>
      </c>
      <c r="J27" s="145">
        <f>IF(SER_hh_fech_in!J27=0,0,SER_hh_fech_in!J27/SER_summary!J$27)</f>
        <v>2.9515644053776104</v>
      </c>
      <c r="K27" s="145">
        <f>IF(SER_hh_fech_in!K27=0,0,SER_hh_fech_in!K27/SER_summary!K$27)</f>
        <v>2.9066141423883165</v>
      </c>
      <c r="L27" s="145">
        <f>IF(SER_hh_fech_in!L27=0,0,SER_hh_fech_in!L27/SER_summary!L$27)</f>
        <v>4.4041133356978133</v>
      </c>
      <c r="M27" s="145">
        <f>IF(SER_hh_fech_in!M27=0,0,SER_hh_fech_in!M27/SER_summary!M$27)</f>
        <v>4.8095999063294483</v>
      </c>
      <c r="N27" s="145">
        <f>IF(SER_hh_fech_in!N27=0,0,SER_hh_fech_in!N27/SER_summary!N$27)</f>
        <v>4.2907035940815854</v>
      </c>
      <c r="O27" s="145">
        <f>IF(SER_hh_fech_in!O27=0,0,SER_hh_fech_in!O27/SER_summary!O$27)</f>
        <v>3.4178691833821588</v>
      </c>
      <c r="P27" s="145">
        <f>IF(SER_hh_fech_in!P27=0,0,SER_hh_fech_in!P27/SER_summary!P$27)</f>
        <v>3.9522034639702741</v>
      </c>
      <c r="Q27" s="145">
        <f>IF(SER_hh_fech_in!Q27=0,0,SER_hh_fech_in!Q27/SER_summary!Q$27)</f>
        <v>3.780369416560871</v>
      </c>
      <c r="R27" s="145">
        <f>IF(SER_hh_fech_in!R27=0,0,SER_hh_fech_in!R27/SER_summary!R$27)</f>
        <v>3.2584663358391426</v>
      </c>
      <c r="S27" s="145">
        <f>IF(SER_hh_fech_in!S27=0,0,SER_hh_fech_in!S27/SER_summary!S$27)</f>
        <v>3.4761198893353984</v>
      </c>
      <c r="T27" s="145">
        <f>IF(SER_hh_fech_in!T27=0,0,SER_hh_fech_in!T27/SER_summary!T$27)</f>
        <v>3.7972660635569593</v>
      </c>
      <c r="U27" s="145">
        <f>IF(SER_hh_fech_in!U27=0,0,SER_hh_fech_in!U27/SER_summary!U$27)</f>
        <v>4.1821546730068269</v>
      </c>
      <c r="V27" s="145">
        <f>IF(SER_hh_fech_in!V27=0,0,SER_hh_fech_in!V27/SER_summary!V$27)</f>
        <v>5.5917897053779662</v>
      </c>
      <c r="W27" s="145">
        <f>IF(SER_hh_fech_in!W27=0,0,SER_hh_fech_in!W27/SER_summary!W$27)</f>
        <v>5.912393926195497</v>
      </c>
      <c r="X27" s="145">
        <f>IF(SER_hh_fech_in!X27=0,0,SER_hh_fech_in!X27/SER_summary!X$27)</f>
        <v>2.1591559336937696</v>
      </c>
      <c r="Y27" s="145">
        <f>IF(SER_hh_fech_in!Y27=0,0,SER_hh_fech_in!Y27/SER_summary!Y$27)</f>
        <v>8.1077777006314218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10.177788063340319</v>
      </c>
      <c r="D28" s="146">
        <f>IF(SER_hh_fech_in!D28=0,0,SER_hh_fech_in!D28/SER_summary!D$27)</f>
        <v>10.138254971114399</v>
      </c>
      <c r="E28" s="146">
        <f>IF(SER_hh_fech_in!E28=0,0,SER_hh_fech_in!E28/SER_summary!E$27)</f>
        <v>10.763657581000359</v>
      </c>
      <c r="F28" s="146">
        <f>IF(SER_hh_fech_in!F28=0,0,SER_hh_fech_in!F28/SER_summary!F$27)</f>
        <v>10.607652903017781</v>
      </c>
      <c r="G28" s="146">
        <f>IF(SER_hh_fech_in!G28=0,0,SER_hh_fech_in!G28/SER_summary!G$27)</f>
        <v>10.753530776435239</v>
      </c>
      <c r="H28" s="146">
        <f>IF(SER_hh_fech_in!H28=0,0,SER_hh_fech_in!H28/SER_summary!H$27)</f>
        <v>10.534852338732028</v>
      </c>
      <c r="I28" s="146">
        <f>IF(SER_hh_fech_in!I28=0,0,SER_hh_fech_in!I28/SER_summary!I$27)</f>
        <v>10.588256014433769</v>
      </c>
      <c r="J28" s="146">
        <f>IF(SER_hh_fech_in!J28=0,0,SER_hh_fech_in!J28/SER_summary!J$27)</f>
        <v>10.78818229713819</v>
      </c>
      <c r="K28" s="146">
        <f>IF(SER_hh_fech_in!K28=0,0,SER_hh_fech_in!K28/SER_summary!K$27)</f>
        <v>11.156802912182959</v>
      </c>
      <c r="L28" s="146">
        <f>IF(SER_hh_fech_in!L28=0,0,SER_hh_fech_in!L28/SER_summary!L$27)</f>
        <v>11.248437503541689</v>
      </c>
      <c r="M28" s="146">
        <f>IF(SER_hh_fech_in!M28=0,0,SER_hh_fech_in!M28/SER_summary!M$27)</f>
        <v>11.08943205021731</v>
      </c>
      <c r="N28" s="146">
        <f>IF(SER_hh_fech_in!N28=0,0,SER_hh_fech_in!N28/SER_summary!N$27)</f>
        <v>11.251603042348687</v>
      </c>
      <c r="O28" s="146">
        <f>IF(SER_hh_fech_in!O28=0,0,SER_hh_fech_in!O28/SER_summary!O$27)</f>
        <v>11.929738945031374</v>
      </c>
      <c r="P28" s="146">
        <f>IF(SER_hh_fech_in!P28=0,0,SER_hh_fech_in!P28/SER_summary!P$27)</f>
        <v>11.650681117132612</v>
      </c>
      <c r="Q28" s="146">
        <f>IF(SER_hh_fech_in!Q28=0,0,SER_hh_fech_in!Q28/SER_summary!Q$27)</f>
        <v>11.017407821562692</v>
      </c>
      <c r="R28" s="146">
        <f>IF(SER_hh_fech_in!R28=0,0,SER_hh_fech_in!R28/SER_summary!R$27)</f>
        <v>10.840012502282406</v>
      </c>
      <c r="S28" s="146">
        <f>IF(SER_hh_fech_in!S28=0,0,SER_hh_fech_in!S28/SER_summary!S$27)</f>
        <v>11.315131809437824</v>
      </c>
      <c r="T28" s="146">
        <f>IF(SER_hh_fech_in!T28=0,0,SER_hh_fech_in!T28/SER_summary!T$27)</f>
        <v>11.251743480156627</v>
      </c>
      <c r="U28" s="146">
        <f>IF(SER_hh_fech_in!U28=0,0,SER_hh_fech_in!U28/SER_summary!U$27)</f>
        <v>11.56810382484591</v>
      </c>
      <c r="V28" s="146">
        <f>IF(SER_hh_fech_in!V28=0,0,SER_hh_fech_in!V28/SER_summary!V$27)</f>
        <v>10.88597422822232</v>
      </c>
      <c r="W28" s="146">
        <f>IF(SER_hh_fech_in!W28=0,0,SER_hh_fech_in!W28/SER_summary!W$27)</f>
        <v>10.349409674388424</v>
      </c>
      <c r="X28" s="146">
        <f>IF(SER_hh_fech_in!X28=0,0,SER_hh_fech_in!X28/SER_summary!X$27)</f>
        <v>10.836616744023846</v>
      </c>
      <c r="Y28" s="146">
        <f>IF(SER_hh_fech_in!Y28=0,0,SER_hh_fech_in!Y28/SER_summary!Y$27)</f>
        <v>10.525966004334478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24.531453443098297</v>
      </c>
      <c r="D29" s="130">
        <f>IF(SER_hh_fech_in!D29=0,0,SER_hh_fech_in!D29/SER_summary!D$27)</f>
        <v>23.708754759911407</v>
      </c>
      <c r="E29" s="130">
        <f>IF(SER_hh_fech_in!E29=0,0,SER_hh_fech_in!E29/SER_summary!E$27)</f>
        <v>23.099966492636995</v>
      </c>
      <c r="F29" s="130">
        <f>IF(SER_hh_fech_in!F29=0,0,SER_hh_fech_in!F29/SER_summary!F$27)</f>
        <v>23.542323758870118</v>
      </c>
      <c r="G29" s="130">
        <f>IF(SER_hh_fech_in!G29=0,0,SER_hh_fech_in!G29/SER_summary!G$27)</f>
        <v>23.613629389651397</v>
      </c>
      <c r="H29" s="130">
        <f>IF(SER_hh_fech_in!H29=0,0,SER_hh_fech_in!H29/SER_summary!H$27)</f>
        <v>23.799896364314282</v>
      </c>
      <c r="I29" s="130">
        <f>IF(SER_hh_fech_in!I29=0,0,SER_hh_fech_in!I29/SER_summary!I$27)</f>
        <v>24.090058497381012</v>
      </c>
      <c r="J29" s="130">
        <f>IF(SER_hh_fech_in!J29=0,0,SER_hh_fech_in!J29/SER_summary!J$27)</f>
        <v>25.301977084958459</v>
      </c>
      <c r="K29" s="130">
        <f>IF(SER_hh_fech_in!K29=0,0,SER_hh_fech_in!K29/SER_summary!K$27)</f>
        <v>27.260010980573089</v>
      </c>
      <c r="L29" s="130">
        <f>IF(SER_hh_fech_in!L29=0,0,SER_hh_fech_in!L29/SER_summary!L$27)</f>
        <v>26.888279634324938</v>
      </c>
      <c r="M29" s="130">
        <f>IF(SER_hh_fech_in!M29=0,0,SER_hh_fech_in!M29/SER_summary!M$27)</f>
        <v>26.618219244204088</v>
      </c>
      <c r="N29" s="130">
        <f>IF(SER_hh_fech_in!N29=0,0,SER_hh_fech_in!N29/SER_summary!N$27)</f>
        <v>27.722427744509176</v>
      </c>
      <c r="O29" s="130">
        <f>IF(SER_hh_fech_in!O29=0,0,SER_hh_fech_in!O29/SER_summary!O$27)</f>
        <v>27.769551066621265</v>
      </c>
      <c r="P29" s="130">
        <f>IF(SER_hh_fech_in!P29=0,0,SER_hh_fech_in!P29/SER_summary!P$27)</f>
        <v>27.8883075274112</v>
      </c>
      <c r="Q29" s="130">
        <f>IF(SER_hh_fech_in!Q29=0,0,SER_hh_fech_in!Q29/SER_summary!Q$27)</f>
        <v>27.766076173519064</v>
      </c>
      <c r="R29" s="130">
        <f>IF(SER_hh_fech_in!R29=0,0,SER_hh_fech_in!R29/SER_summary!R$27)</f>
        <v>28.620462673976188</v>
      </c>
      <c r="S29" s="130">
        <f>IF(SER_hh_fech_in!S29=0,0,SER_hh_fech_in!S29/SER_summary!S$27)</f>
        <v>28.493486713566163</v>
      </c>
      <c r="T29" s="130">
        <f>IF(SER_hh_fech_in!T29=0,0,SER_hh_fech_in!T29/SER_summary!T$27)</f>
        <v>28.582180332218208</v>
      </c>
      <c r="U29" s="130">
        <f>IF(SER_hh_fech_in!U29=0,0,SER_hh_fech_in!U29/SER_summary!U$27)</f>
        <v>28.757124640449984</v>
      </c>
      <c r="V29" s="130">
        <f>IF(SER_hh_fech_in!V29=0,0,SER_hh_fech_in!V29/SER_summary!V$27)</f>
        <v>24.746294828953889</v>
      </c>
      <c r="W29" s="130">
        <f>IF(SER_hh_fech_in!W29=0,0,SER_hh_fech_in!W29/SER_summary!W$27)</f>
        <v>28.101389992953258</v>
      </c>
      <c r="X29" s="130">
        <f>IF(SER_hh_fech_in!X29=0,0,SER_hh_fech_in!X29/SER_summary!X$27)</f>
        <v>30.535180629985337</v>
      </c>
      <c r="Y29" s="130">
        <f>IF(SER_hh_fech_in!Y29=0,0,SER_hh_fech_in!Y29/SER_summary!Y$27)</f>
        <v>28.497717213999071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36.083401124977534</v>
      </c>
      <c r="D30" s="132">
        <f>IF(SER_hh_fech_in!D30=0,0,SER_hh_fech_in!D30/SER_summary!D$27)</f>
        <v>28.396218404667803</v>
      </c>
      <c r="E30" s="132">
        <f>IF(SER_hh_fech_in!E30=0,0,SER_hh_fech_in!E30/SER_summary!E$27)</f>
        <v>29.460384900632796</v>
      </c>
      <c r="F30" s="132">
        <f>IF(SER_hh_fech_in!F30=0,0,SER_hh_fech_in!F30/SER_summary!F$27)</f>
        <v>31.675000544983565</v>
      </c>
      <c r="G30" s="132">
        <f>IF(SER_hh_fech_in!G30=0,0,SER_hh_fech_in!G30/SER_summary!G$27)</f>
        <v>28.910045618079373</v>
      </c>
      <c r="H30" s="132">
        <f>IF(SER_hh_fech_in!H30=0,0,SER_hh_fech_in!H30/SER_summary!H$27)</f>
        <v>31.575967445824315</v>
      </c>
      <c r="I30" s="132">
        <f>IF(SER_hh_fech_in!I30=0,0,SER_hh_fech_in!I30/SER_summary!I$27)</f>
        <v>29.53010346509096</v>
      </c>
      <c r="J30" s="132">
        <f>IF(SER_hh_fech_in!J30=0,0,SER_hh_fech_in!J30/SER_summary!J$27)</f>
        <v>30.363966998130277</v>
      </c>
      <c r="K30" s="132">
        <f>IF(SER_hh_fech_in!K30=0,0,SER_hh_fech_in!K30/SER_summary!K$27)</f>
        <v>35.739440477149088</v>
      </c>
      <c r="L30" s="132">
        <f>IF(SER_hh_fech_in!L30=0,0,SER_hh_fech_in!L30/SER_summary!L$27)</f>
        <v>38.800632584381049</v>
      </c>
      <c r="M30" s="132">
        <f>IF(SER_hh_fech_in!M30=0,0,SER_hh_fech_in!M30/SER_summary!M$27)</f>
        <v>34.174783422721603</v>
      </c>
      <c r="N30" s="132">
        <f>IF(SER_hh_fech_in!N30=0,0,SER_hh_fech_in!N30/SER_summary!N$27)</f>
        <v>34.373842041626411</v>
      </c>
      <c r="O30" s="132">
        <f>IF(SER_hh_fech_in!O30=0,0,SER_hh_fech_in!O30/SER_summary!O$27)</f>
        <v>35.440629810666287</v>
      </c>
      <c r="P30" s="132">
        <f>IF(SER_hh_fech_in!P30=0,0,SER_hh_fech_in!P30/SER_summary!P$27)</f>
        <v>35.610174909733722</v>
      </c>
      <c r="Q30" s="132">
        <f>IF(SER_hh_fech_in!Q30=0,0,SER_hh_fech_in!Q30/SER_summary!Q$27)</f>
        <v>35.255353044626055</v>
      </c>
      <c r="R30" s="132">
        <f>IF(SER_hh_fech_in!R30=0,0,SER_hh_fech_in!R30/SER_summary!R$27)</f>
        <v>39.293311251746594</v>
      </c>
      <c r="S30" s="132">
        <f>IF(SER_hh_fech_in!S30=0,0,SER_hh_fech_in!S30/SER_summary!S$27)</f>
        <v>36.800945626995421</v>
      </c>
      <c r="T30" s="132">
        <f>IF(SER_hh_fech_in!T30=0,0,SER_hh_fech_in!T30/SER_summary!T$27)</f>
        <v>36.03903567099065</v>
      </c>
      <c r="U30" s="132">
        <f>IF(SER_hh_fech_in!U30=0,0,SER_hh_fech_in!U30/SER_summary!U$27)</f>
        <v>39.03032467639715</v>
      </c>
      <c r="V30" s="132">
        <f>IF(SER_hh_fech_in!V30=0,0,SER_hh_fech_in!V30/SER_summary!V$27)</f>
        <v>33.000119016886003</v>
      </c>
      <c r="W30" s="132">
        <f>IF(SER_hh_fech_in!W30=0,0,SER_hh_fech_in!W30/SER_summary!W$27)</f>
        <v>42.89307638052653</v>
      </c>
      <c r="X30" s="132">
        <f>IF(SER_hh_fech_in!X30=0,0,SER_hh_fech_in!X30/SER_summary!X$27)</f>
        <v>0</v>
      </c>
      <c r="Y30" s="132">
        <f>IF(SER_hh_fech_in!Y30=0,0,SER_hh_fech_in!Y30/SER_summary!Y$27)</f>
        <v>0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29.297219700568771</v>
      </c>
      <c r="D31" s="132">
        <f>IF(SER_hh_fech_in!D31=0,0,SER_hh_fech_in!D31/SER_summary!D$27)</f>
        <v>29.417554302619902</v>
      </c>
      <c r="E31" s="132">
        <f>IF(SER_hh_fech_in!E31=0,0,SER_hh_fech_in!E31/SER_summary!E$27)</f>
        <v>29.162023861337602</v>
      </c>
      <c r="F31" s="132">
        <f>IF(SER_hh_fech_in!F31=0,0,SER_hh_fech_in!F31/SER_summary!F$27)</f>
        <v>28.974034848214533</v>
      </c>
      <c r="G31" s="132">
        <f>IF(SER_hh_fech_in!G31=0,0,SER_hh_fech_in!G31/SER_summary!G$27)</f>
        <v>29.831868580922315</v>
      </c>
      <c r="H31" s="132">
        <f>IF(SER_hh_fech_in!H31=0,0,SER_hh_fech_in!H31/SER_summary!H$27)</f>
        <v>29.733484732350504</v>
      </c>
      <c r="I31" s="132">
        <f>IF(SER_hh_fech_in!I31=0,0,SER_hh_fech_in!I31/SER_summary!I$27)</f>
        <v>30.598494879947967</v>
      </c>
      <c r="J31" s="132">
        <f>IF(SER_hh_fech_in!J31=0,0,SER_hh_fech_in!J31/SER_summary!J$27)</f>
        <v>31.852699357232638</v>
      </c>
      <c r="K31" s="132">
        <f>IF(SER_hh_fech_in!K31=0,0,SER_hh_fech_in!K31/SER_summary!K$27)</f>
        <v>32.668050873421436</v>
      </c>
      <c r="L31" s="132">
        <f>IF(SER_hh_fech_in!L31=0,0,SER_hh_fech_in!L31/SER_summary!L$27)</f>
        <v>32.662598415789965</v>
      </c>
      <c r="M31" s="132">
        <f>IF(SER_hh_fech_in!M31=0,0,SER_hh_fech_in!M31/SER_summary!M$27)</f>
        <v>33.487848618032963</v>
      </c>
      <c r="N31" s="132">
        <f>IF(SER_hh_fech_in!N31=0,0,SER_hh_fech_in!N31/SER_summary!N$27)</f>
        <v>34.90416471315401</v>
      </c>
      <c r="O31" s="132">
        <f>IF(SER_hh_fech_in!O31=0,0,SER_hh_fech_in!O31/SER_summary!O$27)</f>
        <v>34.742915519031975</v>
      </c>
      <c r="P31" s="132">
        <f>IF(SER_hh_fech_in!P31=0,0,SER_hh_fech_in!P31/SER_summary!P$27)</f>
        <v>34.920704851339558</v>
      </c>
      <c r="Q31" s="132">
        <f>IF(SER_hh_fech_in!Q31=0,0,SER_hh_fech_in!Q31/SER_summary!Q$27)</f>
        <v>36.137335014163547</v>
      </c>
      <c r="R31" s="132">
        <f>IF(SER_hh_fech_in!R31=0,0,SER_hh_fech_in!R31/SER_summary!R$27)</f>
        <v>36.220407947859734</v>
      </c>
      <c r="S31" s="132">
        <f>IF(SER_hh_fech_in!S31=0,0,SER_hh_fech_in!S31/SER_summary!S$27)</f>
        <v>37.396824069317454</v>
      </c>
      <c r="T31" s="132">
        <f>IF(SER_hh_fech_in!T31=0,0,SER_hh_fech_in!T31/SER_summary!T$27)</f>
        <v>37.410591311083316</v>
      </c>
      <c r="U31" s="132">
        <f>IF(SER_hh_fech_in!U31=0,0,SER_hh_fech_in!U31/SER_summary!U$27)</f>
        <v>36.286340495042275</v>
      </c>
      <c r="V31" s="132">
        <f>IF(SER_hh_fech_in!V31=0,0,SER_hh_fech_in!V31/SER_summary!V$27)</f>
        <v>30.109371538643863</v>
      </c>
      <c r="W31" s="132">
        <f>IF(SER_hh_fech_in!W31=0,0,SER_hh_fech_in!W31/SER_summary!W$27)</f>
        <v>31.291491432923241</v>
      </c>
      <c r="X31" s="132">
        <f>IF(SER_hh_fech_in!X31=0,0,SER_hh_fech_in!X31/SER_summary!X$27)</f>
        <v>45.490561280480904</v>
      </c>
      <c r="Y31" s="132">
        <f>IF(SER_hh_fech_in!Y31=0,0,SER_hh_fech_in!Y31/SER_summary!Y$27)</f>
        <v>34.941347053428267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49.31096189231971</v>
      </c>
      <c r="L32" s="132">
        <f>IF(SER_hh_fech_in!L32=0,0,SER_hh_fech_in!L32/SER_summary!L$27)</f>
        <v>39.170221293295889</v>
      </c>
      <c r="M32" s="132">
        <f>IF(SER_hh_fech_in!M32=0,0,SER_hh_fech_in!M32/SER_summary!M$27)</f>
        <v>33.008924087962008</v>
      </c>
      <c r="N32" s="132">
        <f>IF(SER_hh_fech_in!N32=0,0,SER_hh_fech_in!N32/SER_summary!N$27)</f>
        <v>35.189252394433062</v>
      </c>
      <c r="O32" s="132">
        <f>IF(SER_hh_fech_in!O32=0,0,SER_hh_fech_in!O32/SER_summary!O$27)</f>
        <v>35.869993083676711</v>
      </c>
      <c r="P32" s="132">
        <f>IF(SER_hh_fech_in!P32=0,0,SER_hh_fech_in!P32/SER_summary!P$27)</f>
        <v>33.968887661582293</v>
      </c>
      <c r="Q32" s="132">
        <f>IF(SER_hh_fech_in!Q32=0,0,SER_hh_fech_in!Q32/SER_summary!Q$27)</f>
        <v>33.847069776207213</v>
      </c>
      <c r="R32" s="132">
        <f>IF(SER_hh_fech_in!R32=0,0,SER_hh_fech_in!R32/SER_summary!R$27)</f>
        <v>32.847915909482531</v>
      </c>
      <c r="S32" s="132">
        <f>IF(SER_hh_fech_in!S32=0,0,SER_hh_fech_in!S32/SER_summary!S$27)</f>
        <v>34.295323515005542</v>
      </c>
      <c r="T32" s="132">
        <f>IF(SER_hh_fech_in!T32=0,0,SER_hh_fech_in!T32/SER_summary!T$27)</f>
        <v>41.373324054591549</v>
      </c>
      <c r="U32" s="132">
        <f>IF(SER_hh_fech_in!U32=0,0,SER_hh_fech_in!U32/SER_summary!U$27)</f>
        <v>43.11083611920531</v>
      </c>
      <c r="V32" s="132">
        <f>IF(SER_hh_fech_in!V32=0,0,SER_hh_fech_in!V32/SER_summary!V$27)</f>
        <v>35.41312637895458</v>
      </c>
      <c r="W32" s="132">
        <f>IF(SER_hh_fech_in!W32=0,0,SER_hh_fech_in!W32/SER_summary!W$27)</f>
        <v>35.559161442949879</v>
      </c>
      <c r="X32" s="132">
        <f>IF(SER_hh_fech_in!X32=0,0,SER_hh_fech_in!X32/SER_summary!X$27)</f>
        <v>28.997898649937877</v>
      </c>
      <c r="Y32" s="132">
        <f>IF(SER_hh_fech_in!Y32=0,0,SER_hh_fech_in!Y32/SER_summary!Y$27)</f>
        <v>45.245848077970379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22.03371690669497</v>
      </c>
      <c r="D33" s="68">
        <f>IF(SER_hh_fech_in!D33=0,0,SER_hh_fech_in!D33/SER_summary!D$27)</f>
        <v>22.565057802538146</v>
      </c>
      <c r="E33" s="68">
        <f>IF(SER_hh_fech_in!E33=0,0,SER_hh_fech_in!E33/SER_summary!E$27)</f>
        <v>21.806077337341708</v>
      </c>
      <c r="F33" s="68">
        <f>IF(SER_hh_fech_in!F33=0,0,SER_hh_fech_in!F33/SER_summary!F$27)</f>
        <v>22.237515350598269</v>
      </c>
      <c r="G33" s="68">
        <f>IF(SER_hh_fech_in!G33=0,0,SER_hh_fech_in!G33/SER_summary!G$27)</f>
        <v>22.586267999952589</v>
      </c>
      <c r="H33" s="68">
        <f>IF(SER_hh_fech_in!H33=0,0,SER_hh_fech_in!H33/SER_summary!H$27)</f>
        <v>22.742998777544067</v>
      </c>
      <c r="I33" s="68">
        <f>IF(SER_hh_fech_in!I33=0,0,SER_hh_fech_in!I33/SER_summary!I$27)</f>
        <v>23.140883422231379</v>
      </c>
      <c r="J33" s="68">
        <f>IF(SER_hh_fech_in!J33=0,0,SER_hh_fech_in!J33/SER_summary!J$27)</f>
        <v>23.93261299268881</v>
      </c>
      <c r="K33" s="68">
        <f>IF(SER_hh_fech_in!K33=0,0,SER_hh_fech_in!K33/SER_summary!K$27)</f>
        <v>24.590184390622159</v>
      </c>
      <c r="L33" s="68">
        <f>IF(SER_hh_fech_in!L33=0,0,SER_hh_fech_in!L33/SER_summary!L$27)</f>
        <v>24.799551194508474</v>
      </c>
      <c r="M33" s="68">
        <f>IF(SER_hh_fech_in!M33=0,0,SER_hh_fech_in!M33/SER_summary!M$27)</f>
        <v>25.018452359001646</v>
      </c>
      <c r="N33" s="68">
        <f>IF(SER_hh_fech_in!N33=0,0,SER_hh_fech_in!N33/SER_summary!N$27)</f>
        <v>25.874778717967462</v>
      </c>
      <c r="O33" s="68">
        <f>IF(SER_hh_fech_in!O33=0,0,SER_hh_fech_in!O33/SER_summary!O$27)</f>
        <v>26.346933135047131</v>
      </c>
      <c r="P33" s="68">
        <f>IF(SER_hh_fech_in!P33=0,0,SER_hh_fech_in!P33/SER_summary!P$27)</f>
        <v>26.668188375129361</v>
      </c>
      <c r="Q33" s="68">
        <f>IF(SER_hh_fech_in!Q33=0,0,SER_hh_fech_in!Q33/SER_summary!Q$27)</f>
        <v>26.25319993574286</v>
      </c>
      <c r="R33" s="68">
        <f>IF(SER_hh_fech_in!R33=0,0,SER_hh_fech_in!R33/SER_summary!R$27)</f>
        <v>26.547661464863769</v>
      </c>
      <c r="S33" s="68">
        <f>IF(SER_hh_fech_in!S33=0,0,SER_hh_fech_in!S33/SER_summary!S$27)</f>
        <v>26.684246130815776</v>
      </c>
      <c r="T33" s="68">
        <f>IF(SER_hh_fech_in!T33=0,0,SER_hh_fech_in!T33/SER_summary!T$27)</f>
        <v>26.803411084144646</v>
      </c>
      <c r="U33" s="68">
        <f>IF(SER_hh_fech_in!U33=0,0,SER_hh_fech_in!U33/SER_summary!U$27)</f>
        <v>26.737470640084751</v>
      </c>
      <c r="V33" s="68">
        <f>IF(SER_hh_fech_in!V33=0,0,SER_hh_fech_in!V33/SER_summary!V$27)</f>
        <v>22.799718018157197</v>
      </c>
      <c r="W33" s="68">
        <f>IF(SER_hh_fech_in!W33=0,0,SER_hh_fech_in!W33/SER_summary!W$27)</f>
        <v>26.52979111855441</v>
      </c>
      <c r="X33" s="68">
        <f>IF(SER_hh_fech_in!X33=0,0,SER_hh_fech_in!X33/SER_summary!X$27)</f>
        <v>25.049936446889877</v>
      </c>
      <c r="Y33" s="68">
        <f>IF(SER_hh_fech_in!Y33=0,0,SER_hh_fech_in!Y33/SER_summary!Y$27)</f>
        <v>25.951244824796397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129.25435626106659</v>
      </c>
      <c r="D3" s="125">
        <f>IF(SER_hh_tesh_in!D3=0,0,SER_hh_tesh_in!D3/SER_summary!D$27)</f>
        <v>127.99002213507245</v>
      </c>
      <c r="E3" s="125">
        <f>IF(SER_hh_tesh_in!E3=0,0,SER_hh_tesh_in!E3/SER_summary!E$27)</f>
        <v>143.27639971477458</v>
      </c>
      <c r="F3" s="125">
        <f>IF(SER_hh_tesh_in!F3=0,0,SER_hh_tesh_in!F3/SER_summary!F$27)</f>
        <v>125.22792619238724</v>
      </c>
      <c r="G3" s="125">
        <f>IF(SER_hh_tesh_in!G3=0,0,SER_hh_tesh_in!G3/SER_summary!G$27)</f>
        <v>127.66276160557828</v>
      </c>
      <c r="H3" s="125">
        <f>IF(SER_hh_tesh_in!H3=0,0,SER_hh_tesh_in!H3/SER_summary!H$27)</f>
        <v>121.54253331710973</v>
      </c>
      <c r="I3" s="125">
        <f>IF(SER_hh_tesh_in!I3=0,0,SER_hh_tesh_in!I3/SER_summary!I$27)</f>
        <v>118.06808338495459</v>
      </c>
      <c r="J3" s="125">
        <f>IF(SER_hh_tesh_in!J3=0,0,SER_hh_tesh_in!J3/SER_summary!J$27)</f>
        <v>120.08256477150788</v>
      </c>
      <c r="K3" s="125">
        <f>IF(SER_hh_tesh_in!K3=0,0,SER_hh_tesh_in!K3/SER_summary!K$27)</f>
        <v>115.79737927612399</v>
      </c>
      <c r="L3" s="125">
        <f>IF(SER_hh_tesh_in!L3=0,0,SER_hh_tesh_in!L3/SER_summary!L$27)</f>
        <v>122.27218401240306</v>
      </c>
      <c r="M3" s="125">
        <f>IF(SER_hh_tesh_in!M3=0,0,SER_hh_tesh_in!M3/SER_summary!M$27)</f>
        <v>118.96269086301918</v>
      </c>
      <c r="N3" s="125">
        <f>IF(SER_hh_tesh_in!N3=0,0,SER_hh_tesh_in!N3/SER_summary!N$27)</f>
        <v>124.06761343762709</v>
      </c>
      <c r="O3" s="125">
        <f>IF(SER_hh_tesh_in!O3=0,0,SER_hh_tesh_in!O3/SER_summary!O$27)</f>
        <v>108.34620560208691</v>
      </c>
      <c r="P3" s="125">
        <f>IF(SER_hh_tesh_in!P3=0,0,SER_hh_tesh_in!P3/SER_summary!P$27)</f>
        <v>95.086089498819504</v>
      </c>
      <c r="Q3" s="125">
        <f>IF(SER_hh_tesh_in!Q3=0,0,SER_hh_tesh_in!Q3/SER_summary!Q$27)</f>
        <v>112.94884498364506</v>
      </c>
      <c r="R3" s="125">
        <f>IF(SER_hh_tesh_in!R3=0,0,SER_hh_tesh_in!R3/SER_summary!R$27)</f>
        <v>102.46602861383124</v>
      </c>
      <c r="S3" s="125">
        <f>IF(SER_hh_tesh_in!S3=0,0,SER_hh_tesh_in!S3/SER_summary!S$27)</f>
        <v>114.91490258612716</v>
      </c>
      <c r="T3" s="125">
        <f>IF(SER_hh_tesh_in!T3=0,0,SER_hh_tesh_in!T3/SER_summary!T$27)</f>
        <v>108.62154634369016</v>
      </c>
      <c r="U3" s="125">
        <f>IF(SER_hh_tesh_in!U3=0,0,SER_hh_tesh_in!U3/SER_summary!U$27)</f>
        <v>110.00481484606877</v>
      </c>
      <c r="V3" s="125">
        <f>IF(SER_hh_tesh_in!V3=0,0,SER_hh_tesh_in!V3/SER_summary!V$27)</f>
        <v>91.966433693468815</v>
      </c>
      <c r="W3" s="125">
        <f>IF(SER_hh_tesh_in!W3=0,0,SER_hh_tesh_in!W3/SER_summary!W$27)</f>
        <v>99.568064275023104</v>
      </c>
      <c r="X3" s="125">
        <f>IF(SER_hh_tesh_in!X3=0,0,SER_hh_tesh_in!X3/SER_summary!X$27)</f>
        <v>102.87348675105567</v>
      </c>
      <c r="Y3" s="125">
        <f>IF(SER_hh_tesh_in!Y3=0,0,SER_hh_tesh_in!Y3/SER_summary!Y$27)</f>
        <v>96.548894385774602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72.952980098144934</v>
      </c>
      <c r="D4" s="130">
        <f>IF(SER_hh_tesh_in!D4=0,0,SER_hh_tesh_in!D4/SER_summary!D$27)</f>
        <v>72.672478915093237</v>
      </c>
      <c r="E4" s="130">
        <f>IF(SER_hh_tesh_in!E4=0,0,SER_hh_tesh_in!E4/SER_summary!E$27)</f>
        <v>71.265360830032776</v>
      </c>
      <c r="F4" s="130">
        <f>IF(SER_hh_tesh_in!F4=0,0,SER_hh_tesh_in!F4/SER_summary!F$27)</f>
        <v>70.280176502861934</v>
      </c>
      <c r="G4" s="130">
        <f>IF(SER_hh_tesh_in!G4=0,0,SER_hh_tesh_in!G4/SER_summary!G$27)</f>
        <v>72.404586851252091</v>
      </c>
      <c r="H4" s="130">
        <f>IF(SER_hh_tesh_in!H4=0,0,SER_hh_tesh_in!H4/SER_summary!H$27)</f>
        <v>63.57726204538902</v>
      </c>
      <c r="I4" s="130">
        <f>IF(SER_hh_tesh_in!I4=0,0,SER_hh_tesh_in!I4/SER_summary!I$27)</f>
        <v>59.181766327331012</v>
      </c>
      <c r="J4" s="130">
        <f>IF(SER_hh_tesh_in!J4=0,0,SER_hh_tesh_in!J4/SER_summary!J$27)</f>
        <v>61.371658686154454</v>
      </c>
      <c r="K4" s="130">
        <f>IF(SER_hh_tesh_in!K4=0,0,SER_hh_tesh_in!K4/SER_summary!K$27)</f>
        <v>57.280236055280369</v>
      </c>
      <c r="L4" s="130">
        <f>IF(SER_hh_tesh_in!L4=0,0,SER_hh_tesh_in!L4/SER_summary!L$27)</f>
        <v>63.626778225861088</v>
      </c>
      <c r="M4" s="130">
        <f>IF(SER_hh_tesh_in!M4=0,0,SER_hh_tesh_in!M4/SER_summary!M$27)</f>
        <v>58.833742385661353</v>
      </c>
      <c r="N4" s="130">
        <f>IF(SER_hh_tesh_in!N4=0,0,SER_hh_tesh_in!N4/SER_summary!N$27)</f>
        <v>51.849117630326568</v>
      </c>
      <c r="O4" s="130">
        <f>IF(SER_hh_tesh_in!O4=0,0,SER_hh_tesh_in!O4/SER_summary!O$27)</f>
        <v>47.823876624648072</v>
      </c>
      <c r="P4" s="130">
        <f>IF(SER_hh_tesh_in!P4=0,0,SER_hh_tesh_in!P4/SER_summary!P$27)</f>
        <v>38.619349105303371</v>
      </c>
      <c r="Q4" s="130">
        <f>IF(SER_hh_tesh_in!Q4=0,0,SER_hh_tesh_in!Q4/SER_summary!Q$27)</f>
        <v>44.660350808920505</v>
      </c>
      <c r="R4" s="130">
        <f>IF(SER_hh_tesh_in!R4=0,0,SER_hh_tesh_in!R4/SER_summary!R$27)</f>
        <v>43.732261725675166</v>
      </c>
      <c r="S4" s="130">
        <f>IF(SER_hh_tesh_in!S4=0,0,SER_hh_tesh_in!S4/SER_summary!S$27)</f>
        <v>46.907093363185268</v>
      </c>
      <c r="T4" s="130">
        <f>IF(SER_hh_tesh_in!T4=0,0,SER_hh_tesh_in!T4/SER_summary!T$27)</f>
        <v>48.127745413012498</v>
      </c>
      <c r="U4" s="130">
        <f>IF(SER_hh_tesh_in!U4=0,0,SER_hh_tesh_in!U4/SER_summary!U$27)</f>
        <v>45.320778269299829</v>
      </c>
      <c r="V4" s="130">
        <f>IF(SER_hh_tesh_in!V4=0,0,SER_hh_tesh_in!V4/SER_summary!V$27)</f>
        <v>38.156226094533608</v>
      </c>
      <c r="W4" s="130">
        <f>IF(SER_hh_tesh_in!W4=0,0,SER_hh_tesh_in!W4/SER_summary!W$27)</f>
        <v>38.700880322389786</v>
      </c>
      <c r="X4" s="130">
        <f>IF(SER_hh_tesh_in!X4=0,0,SER_hh_tesh_in!X4/SER_summary!X$27)</f>
        <v>37.350576737124705</v>
      </c>
      <c r="Y4" s="130">
        <f>IF(SER_hh_tesh_in!Y4=0,0,SER_hh_tesh_in!Y4/SER_summary!Y$27)</f>
        <v>35.398888464988012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54.098303189633853</v>
      </c>
      <c r="D5" s="132">
        <f>IF(SER_hh_tesh_in!D5=0,0,SER_hh_tesh_in!D5/SER_summary!D$27)</f>
        <v>73.945923669166618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66.549644469768268</v>
      </c>
      <c r="K5" s="132">
        <f>IF(SER_hh_tesh_in!K5=0,0,SER_hh_tesh_in!K5/SER_summary!K$27)</f>
        <v>62.092125609559531</v>
      </c>
      <c r="L5" s="132">
        <f>IF(SER_hh_tesh_in!L5=0,0,SER_hh_tesh_in!L5/SER_summary!L$27)</f>
        <v>37.565278760571161</v>
      </c>
      <c r="M5" s="132">
        <f>IF(SER_hh_tesh_in!M5=0,0,SER_hh_tesh_in!M5/SER_summary!M$27)</f>
        <v>79.262961912231376</v>
      </c>
      <c r="N5" s="132">
        <f>IF(SER_hh_tesh_in!N5=0,0,SER_hh_tesh_in!N5/SER_summary!N$27)</f>
        <v>79.744277919734145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79.344401964012505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0</v>
      </c>
      <c r="D6" s="132">
        <f>IF(SER_hh_tesh_in!D6=0,0,SER_hh_tesh_in!D6/SER_summary!D$27)</f>
        <v>0</v>
      </c>
      <c r="E6" s="132">
        <f>IF(SER_hh_tesh_in!E6=0,0,SER_hh_tesh_in!E6/SER_summary!E$27)</f>
        <v>0</v>
      </c>
      <c r="F6" s="132">
        <f>IF(SER_hh_tesh_in!F6=0,0,SER_hh_tesh_in!F6/SER_summary!F$27)</f>
        <v>0</v>
      </c>
      <c r="G6" s="132">
        <f>IF(SER_hh_tesh_in!G6=0,0,SER_hh_tesh_in!G6/SER_summary!G$27)</f>
        <v>0</v>
      </c>
      <c r="H6" s="132">
        <f>IF(SER_hh_tesh_in!H6=0,0,SER_hh_tesh_in!H6/SER_summary!H$27)</f>
        <v>0</v>
      </c>
      <c r="I6" s="132">
        <f>IF(SER_hh_tesh_in!I6=0,0,SER_hh_tesh_in!I6/SER_summary!I$27)</f>
        <v>0</v>
      </c>
      <c r="J6" s="132">
        <f>IF(SER_hh_tesh_in!J6=0,0,SER_hh_tesh_in!J6/SER_summary!J$27)</f>
        <v>0</v>
      </c>
      <c r="K6" s="132">
        <f>IF(SER_hh_tesh_in!K6=0,0,SER_hh_tesh_in!K6/SER_summary!K$27)</f>
        <v>0</v>
      </c>
      <c r="L6" s="132">
        <f>IF(SER_hh_tesh_in!L6=0,0,SER_hh_tesh_in!L6/SER_summary!L$27)</f>
        <v>0</v>
      </c>
      <c r="M6" s="132">
        <f>IF(SER_hh_tesh_in!M6=0,0,SER_hh_tesh_in!M6/SER_summary!M$27)</f>
        <v>0</v>
      </c>
      <c r="N6" s="132">
        <f>IF(SER_hh_tesh_in!N6=0,0,SER_hh_tesh_in!N6/SER_summary!N$27)</f>
        <v>0</v>
      </c>
      <c r="O6" s="132">
        <f>IF(SER_hh_tesh_in!O6=0,0,SER_hh_tesh_in!O6/SER_summary!O$27)</f>
        <v>0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0</v>
      </c>
      <c r="T6" s="132">
        <f>IF(SER_hh_tesh_in!T6=0,0,SER_hh_tesh_in!T6/SER_summary!T$27)</f>
        <v>0</v>
      </c>
      <c r="U6" s="132">
        <f>IF(SER_hh_tesh_in!U6=0,0,SER_hh_tesh_in!U6/SER_summary!U$27)</f>
        <v>0</v>
      </c>
      <c r="V6" s="132">
        <f>IF(SER_hh_tesh_in!V6=0,0,SER_hh_tesh_in!V6/SER_summary!V$27)</f>
        <v>0</v>
      </c>
      <c r="W6" s="132">
        <f>IF(SER_hh_tesh_in!W6=0,0,SER_hh_tesh_in!W6/SER_summary!W$27)</f>
        <v>0</v>
      </c>
      <c r="X6" s="132">
        <f>IF(SER_hh_tesh_in!X6=0,0,SER_hh_tesh_in!X6/SER_summary!X$27)</f>
        <v>0</v>
      </c>
      <c r="Y6" s="132">
        <f>IF(SER_hh_tesh_in!Y6=0,0,SER_hh_tesh_in!Y6/SER_summary!Y$27)</f>
        <v>0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68.048596251663966</v>
      </c>
      <c r="D7" s="132">
        <f>IF(SER_hh_tesh_in!D7=0,0,SER_hh_tesh_in!D7/SER_summary!D$27)</f>
        <v>74.138989009331041</v>
      </c>
      <c r="E7" s="132">
        <f>IF(SER_hh_tesh_in!E7=0,0,SER_hh_tesh_in!E7/SER_summary!E$27)</f>
        <v>71.896728330700597</v>
      </c>
      <c r="F7" s="132">
        <f>IF(SER_hh_tesh_in!F7=0,0,SER_hh_tesh_in!F7/SER_summary!F$27)</f>
        <v>72.566425375647725</v>
      </c>
      <c r="G7" s="132">
        <f>IF(SER_hh_tesh_in!G7=0,0,SER_hh_tesh_in!G7/SER_summary!G$27)</f>
        <v>69.127718485390119</v>
      </c>
      <c r="H7" s="132">
        <f>IF(SER_hh_tesh_in!H7=0,0,SER_hh_tesh_in!H7/SER_summary!H$27)</f>
        <v>0</v>
      </c>
      <c r="I7" s="132">
        <f>IF(SER_hh_tesh_in!I7=0,0,SER_hh_tesh_in!I7/SER_summary!I$27)</f>
        <v>0</v>
      </c>
      <c r="J7" s="132">
        <f>IF(SER_hh_tesh_in!J7=0,0,SER_hh_tesh_in!J7/SER_summary!J$27)</f>
        <v>0</v>
      </c>
      <c r="K7" s="132">
        <f>IF(SER_hh_tesh_in!K7=0,0,SER_hh_tesh_in!K7/SER_summary!K$27)</f>
        <v>57.118203005668555</v>
      </c>
      <c r="L7" s="132">
        <f>IF(SER_hh_tesh_in!L7=0,0,SER_hh_tesh_in!L7/SER_summary!L$27)</f>
        <v>58.883151520420839</v>
      </c>
      <c r="M7" s="132">
        <f>IF(SER_hh_tesh_in!M7=0,0,SER_hh_tesh_in!M7/SER_summary!M$27)</f>
        <v>58.092797530822622</v>
      </c>
      <c r="N7" s="132">
        <f>IF(SER_hh_tesh_in!N7=0,0,SER_hh_tesh_in!N7/SER_summary!N$27)</f>
        <v>50.60604208541983</v>
      </c>
      <c r="O7" s="132">
        <f>IF(SER_hh_tesh_in!O7=0,0,SER_hh_tesh_in!O7/SER_summary!O$27)</f>
        <v>45.243576741590196</v>
      </c>
      <c r="P7" s="132">
        <f>IF(SER_hh_tesh_in!P7=0,0,SER_hh_tesh_in!P7/SER_summary!P$27)</f>
        <v>34.451291542974488</v>
      </c>
      <c r="Q7" s="132">
        <f>IF(SER_hh_tesh_in!Q7=0,0,SER_hh_tesh_in!Q7/SER_summary!Q$27)</f>
        <v>45.162809252335727</v>
      </c>
      <c r="R7" s="132">
        <f>IF(SER_hh_tesh_in!R7=0,0,SER_hh_tesh_in!R7/SER_summary!R$27)</f>
        <v>44.949566427610087</v>
      </c>
      <c r="S7" s="132">
        <f>IF(SER_hh_tesh_in!S7=0,0,SER_hh_tesh_in!S7/SER_summary!S$27)</f>
        <v>47.988702531214457</v>
      </c>
      <c r="T7" s="132">
        <f>IF(SER_hh_tesh_in!T7=0,0,SER_hh_tesh_in!T7/SER_summary!T$27)</f>
        <v>0</v>
      </c>
      <c r="U7" s="132">
        <f>IF(SER_hh_tesh_in!U7=0,0,SER_hh_tesh_in!U7/SER_summary!U$27)</f>
        <v>0</v>
      </c>
      <c r="V7" s="132">
        <f>IF(SER_hh_tesh_in!V7=0,0,SER_hh_tesh_in!V7/SER_summary!V$27)</f>
        <v>0</v>
      </c>
      <c r="W7" s="132">
        <f>IF(SER_hh_tesh_in!W7=0,0,SER_hh_tesh_in!W7/SER_summary!W$27)</f>
        <v>0</v>
      </c>
      <c r="X7" s="132">
        <f>IF(SER_hh_tesh_in!X7=0,0,SER_hh_tesh_in!X7/SER_summary!X$27)</f>
        <v>36.65962725856744</v>
      </c>
      <c r="Y7" s="132">
        <f>IF(SER_hh_tesh_in!Y7=0,0,SER_hh_tesh_in!Y7/SER_summary!Y$27)</f>
        <v>33.875505130861526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0</v>
      </c>
      <c r="D8" s="132">
        <f>IF(SER_hh_tesh_in!D8=0,0,SER_hh_tesh_in!D8/SER_summary!D$27)</f>
        <v>0</v>
      </c>
      <c r="E8" s="132">
        <f>IF(SER_hh_tesh_in!E8=0,0,SER_hh_tesh_in!E8/SER_summary!E$27)</f>
        <v>0</v>
      </c>
      <c r="F8" s="132">
        <f>IF(SER_hh_tesh_in!F8=0,0,SER_hh_tesh_in!F8/SER_summary!F$27)</f>
        <v>0</v>
      </c>
      <c r="G8" s="132">
        <f>IF(SER_hh_tesh_in!G8=0,0,SER_hh_tesh_in!G8/SER_summary!G$27)</f>
        <v>0</v>
      </c>
      <c r="H8" s="132">
        <f>IF(SER_hh_tesh_in!H8=0,0,SER_hh_tesh_in!H8/SER_summary!H$27)</f>
        <v>0</v>
      </c>
      <c r="I8" s="132">
        <f>IF(SER_hh_tesh_in!I8=0,0,SER_hh_tesh_in!I8/SER_summary!I$27)</f>
        <v>0</v>
      </c>
      <c r="J8" s="132">
        <f>IF(SER_hh_tesh_in!J8=0,0,SER_hh_tesh_in!J8/SER_summary!J$27)</f>
        <v>0</v>
      </c>
      <c r="K8" s="132">
        <f>IF(SER_hh_tesh_in!K8=0,0,SER_hh_tesh_in!K8/SER_summary!K$27)</f>
        <v>0</v>
      </c>
      <c r="L8" s="132">
        <f>IF(SER_hh_tesh_in!L8=0,0,SER_hh_tesh_in!L8/SER_summary!L$27)</f>
        <v>0</v>
      </c>
      <c r="M8" s="132">
        <f>IF(SER_hh_tesh_in!M8=0,0,SER_hh_tesh_in!M8/SER_summary!M$27)</f>
        <v>0</v>
      </c>
      <c r="N8" s="132">
        <f>IF(SER_hh_tesh_in!N8=0,0,SER_hh_tesh_in!N8/SER_summary!N$27)</f>
        <v>0</v>
      </c>
      <c r="O8" s="132">
        <f>IF(SER_hh_tesh_in!O8=0,0,SER_hh_tesh_in!O8/SER_summary!O$27)</f>
        <v>0</v>
      </c>
      <c r="P8" s="132">
        <f>IF(SER_hh_tesh_in!P8=0,0,SER_hh_tesh_in!P8/SER_summary!P$27)</f>
        <v>0</v>
      </c>
      <c r="Q8" s="132">
        <f>IF(SER_hh_tesh_in!Q8=0,0,SER_hh_tesh_in!Q8/SER_summary!Q$27)</f>
        <v>0</v>
      </c>
      <c r="R8" s="132">
        <f>IF(SER_hh_tesh_in!R8=0,0,SER_hh_tesh_in!R8/SER_summary!R$27)</f>
        <v>0</v>
      </c>
      <c r="S8" s="132">
        <f>IF(SER_hh_tesh_in!S8=0,0,SER_hh_tesh_in!S8/SER_summary!S$27)</f>
        <v>0</v>
      </c>
      <c r="T8" s="132">
        <f>IF(SER_hh_tesh_in!T8=0,0,SER_hh_tesh_in!T8/SER_summary!T$27)</f>
        <v>0</v>
      </c>
      <c r="U8" s="132">
        <f>IF(SER_hh_tesh_in!U8=0,0,SER_hh_tesh_in!U8/SER_summary!U$27)</f>
        <v>0</v>
      </c>
      <c r="V8" s="132">
        <f>IF(SER_hh_tesh_in!V8=0,0,SER_hh_tesh_in!V8/SER_summary!V$27)</f>
        <v>0</v>
      </c>
      <c r="W8" s="132">
        <f>IF(SER_hh_tesh_in!W8=0,0,SER_hh_tesh_in!W8/SER_summary!W$27)</f>
        <v>0</v>
      </c>
      <c r="X8" s="132">
        <f>IF(SER_hh_tesh_in!X8=0,0,SER_hh_tesh_in!X8/SER_summary!X$27)</f>
        <v>0</v>
      </c>
      <c r="Y8" s="132">
        <f>IF(SER_hh_tesh_in!Y8=0,0,SER_hh_tesh_in!Y8/SER_summary!Y$27)</f>
        <v>0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77.918198950955173</v>
      </c>
      <c r="D9" s="132">
        <f>IF(SER_hh_tesh_in!D9=0,0,SER_hh_tesh_in!D9/SER_summary!D$27)</f>
        <v>68.029040712838196</v>
      </c>
      <c r="E9" s="132">
        <f>IF(SER_hh_tesh_in!E9=0,0,SER_hh_tesh_in!E9/SER_summary!E$27)</f>
        <v>69.103204187200106</v>
      </c>
      <c r="F9" s="132">
        <f>IF(SER_hh_tesh_in!F9=0,0,SER_hh_tesh_in!F9/SER_summary!F$27)</f>
        <v>69.062409310977927</v>
      </c>
      <c r="G9" s="132">
        <f>IF(SER_hh_tesh_in!G9=0,0,SER_hh_tesh_in!G9/SER_summary!G$27)</f>
        <v>70.401923579163082</v>
      </c>
      <c r="H9" s="132">
        <f>IF(SER_hh_tesh_in!H9=0,0,SER_hh_tesh_in!H9/SER_summary!H$27)</f>
        <v>62.805676140432858</v>
      </c>
      <c r="I9" s="132">
        <f>IF(SER_hh_tesh_in!I9=0,0,SER_hh_tesh_in!I9/SER_summary!I$27)</f>
        <v>56.31832963839561</v>
      </c>
      <c r="J9" s="132">
        <f>IF(SER_hh_tesh_in!J9=0,0,SER_hh_tesh_in!J9/SER_summary!J$27)</f>
        <v>58.50352320791356</v>
      </c>
      <c r="K9" s="132">
        <f>IF(SER_hh_tesh_in!K9=0,0,SER_hh_tesh_in!K9/SER_summary!K$27)</f>
        <v>56.504857979600722</v>
      </c>
      <c r="L9" s="132">
        <f>IF(SER_hh_tesh_in!L9=0,0,SER_hh_tesh_in!L9/SER_summary!L$27)</f>
        <v>65.990436555729531</v>
      </c>
      <c r="M9" s="132">
        <f>IF(SER_hh_tesh_in!M9=0,0,SER_hh_tesh_in!M9/SER_summary!M$27)</f>
        <v>56.187687068236421</v>
      </c>
      <c r="N9" s="132">
        <f>IF(SER_hh_tesh_in!N9=0,0,SER_hh_tesh_in!N9/SER_summary!N$27)</f>
        <v>48.459342482055348</v>
      </c>
      <c r="O9" s="132">
        <f>IF(SER_hh_tesh_in!O9=0,0,SER_hh_tesh_in!O9/SER_summary!O$27)</f>
        <v>45.33383337441272</v>
      </c>
      <c r="P9" s="132">
        <f>IF(SER_hh_tesh_in!P9=0,0,SER_hh_tesh_in!P9/SER_summary!P$27)</f>
        <v>37.631300009755435</v>
      </c>
      <c r="Q9" s="132">
        <f>IF(SER_hh_tesh_in!Q9=0,0,SER_hh_tesh_in!Q9/SER_summary!Q$27)</f>
        <v>44.78841455221032</v>
      </c>
      <c r="R9" s="132">
        <f>IF(SER_hh_tesh_in!R9=0,0,SER_hh_tesh_in!R9/SER_summary!R$27)</f>
        <v>45.179467425699173</v>
      </c>
      <c r="S9" s="132">
        <f>IF(SER_hh_tesh_in!S9=0,0,SER_hh_tesh_in!S9/SER_summary!S$27)</f>
        <v>45.783752410867343</v>
      </c>
      <c r="T9" s="132">
        <f>IF(SER_hh_tesh_in!T9=0,0,SER_hh_tesh_in!T9/SER_summary!T$27)</f>
        <v>45.889237719984408</v>
      </c>
      <c r="U9" s="132">
        <f>IF(SER_hh_tesh_in!U9=0,0,SER_hh_tesh_in!U9/SER_summary!U$27)</f>
        <v>44.282958730724481</v>
      </c>
      <c r="V9" s="132">
        <f>IF(SER_hh_tesh_in!V9=0,0,SER_hh_tesh_in!V9/SER_summary!V$27)</f>
        <v>38.765325135583993</v>
      </c>
      <c r="W9" s="132">
        <f>IF(SER_hh_tesh_in!W9=0,0,SER_hh_tesh_in!W9/SER_summary!W$27)</f>
        <v>41.781491400759201</v>
      </c>
      <c r="X9" s="132">
        <f>IF(SER_hh_tesh_in!X9=0,0,SER_hh_tesh_in!X9/SER_summary!X$27)</f>
        <v>0</v>
      </c>
      <c r="Y9" s="132">
        <f>IF(SER_hh_tesh_in!Y9=0,0,SER_hh_tesh_in!Y9/SER_summary!Y$27)</f>
        <v>33.289453793850861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0</v>
      </c>
      <c r="D10" s="132">
        <f>IF(SER_hh_tesh_in!D10=0,0,SER_hh_tesh_in!D10/SER_summary!D$27)</f>
        <v>0</v>
      </c>
      <c r="E10" s="132">
        <f>IF(SER_hh_tesh_in!E10=0,0,SER_hh_tesh_in!E10/SER_summary!E$27)</f>
        <v>0</v>
      </c>
      <c r="F10" s="132">
        <f>IF(SER_hh_tesh_in!F10=0,0,SER_hh_tesh_in!F10/SER_summary!F$27)</f>
        <v>0</v>
      </c>
      <c r="G10" s="132">
        <f>IF(SER_hh_tesh_in!G10=0,0,SER_hh_tesh_in!G10/SER_summary!G$27)</f>
        <v>0</v>
      </c>
      <c r="H10" s="132">
        <f>IF(SER_hh_tesh_in!H10=0,0,SER_hh_tesh_in!H10/SER_summary!H$27)</f>
        <v>0</v>
      </c>
      <c r="I10" s="132">
        <f>IF(SER_hh_tesh_in!I10=0,0,SER_hh_tesh_in!I10/SER_summary!I$27)</f>
        <v>84.264409862474977</v>
      </c>
      <c r="J10" s="132">
        <f>IF(SER_hh_tesh_in!J10=0,0,SER_hh_tesh_in!J10/SER_summary!J$27)</f>
        <v>59.121605468188861</v>
      </c>
      <c r="K10" s="132">
        <f>IF(SER_hh_tesh_in!K10=0,0,SER_hh_tesh_in!K10/SER_summary!K$27)</f>
        <v>65.442071876041524</v>
      </c>
      <c r="L10" s="132">
        <f>IF(SER_hh_tesh_in!L10=0,0,SER_hh_tesh_in!L10/SER_summary!L$27)</f>
        <v>55.328354442104754</v>
      </c>
      <c r="M10" s="132">
        <f>IF(SER_hh_tesh_in!M10=0,0,SER_hh_tesh_in!M10/SER_summary!M$27)</f>
        <v>64.042382754964351</v>
      </c>
      <c r="N10" s="132">
        <f>IF(SER_hh_tesh_in!N10=0,0,SER_hh_tesh_in!N10/SER_summary!N$27)</f>
        <v>48.3870268737153</v>
      </c>
      <c r="O10" s="132">
        <f>IF(SER_hh_tesh_in!O10=0,0,SER_hh_tesh_in!O10/SER_summary!O$27)</f>
        <v>40.405410123795996</v>
      </c>
      <c r="P10" s="132">
        <f>IF(SER_hh_tesh_in!P10=0,0,SER_hh_tesh_in!P10/SER_summary!P$27)</f>
        <v>41.007225212297939</v>
      </c>
      <c r="Q10" s="132">
        <f>IF(SER_hh_tesh_in!Q10=0,0,SER_hh_tesh_in!Q10/SER_summary!Q$27)</f>
        <v>43.42039418457621</v>
      </c>
      <c r="R10" s="132">
        <f>IF(SER_hh_tesh_in!R10=0,0,SER_hh_tesh_in!R10/SER_summary!R$27)</f>
        <v>45.893154396318124</v>
      </c>
      <c r="S10" s="132">
        <f>IF(SER_hh_tesh_in!S10=0,0,SER_hh_tesh_in!S10/SER_summary!S$27)</f>
        <v>46.270463961004417</v>
      </c>
      <c r="T10" s="132">
        <f>IF(SER_hh_tesh_in!T10=0,0,SER_hh_tesh_in!T10/SER_summary!T$27)</f>
        <v>45.268429012053367</v>
      </c>
      <c r="U10" s="132">
        <f>IF(SER_hh_tesh_in!U10=0,0,SER_hh_tesh_in!U10/SER_summary!U$27)</f>
        <v>45.978114464703339</v>
      </c>
      <c r="V10" s="132">
        <f>IF(SER_hh_tesh_in!V10=0,0,SER_hh_tesh_in!V10/SER_summary!V$27)</f>
        <v>42.89016525245539</v>
      </c>
      <c r="W10" s="132">
        <f>IF(SER_hh_tesh_in!W10=0,0,SER_hh_tesh_in!W10/SER_summary!W$27)</f>
        <v>35.11026079210103</v>
      </c>
      <c r="X10" s="132">
        <f>IF(SER_hh_tesh_in!X10=0,0,SER_hh_tesh_in!X10/SER_summary!X$27)</f>
        <v>36.327778623400455</v>
      </c>
      <c r="Y10" s="132">
        <f>IF(SER_hh_tesh_in!Y10=0,0,SER_hh_tesh_in!Y10/SER_summary!Y$27)</f>
        <v>35.053872629280264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0</v>
      </c>
      <c r="D11" s="132">
        <f>IF(SER_hh_tesh_in!D11=0,0,SER_hh_tesh_in!D11/SER_summary!D$27)</f>
        <v>0</v>
      </c>
      <c r="E11" s="132">
        <f>IF(SER_hh_tesh_in!E11=0,0,SER_hh_tesh_in!E11/SER_summary!E$27)</f>
        <v>0</v>
      </c>
      <c r="F11" s="132">
        <f>IF(SER_hh_tesh_in!F11=0,0,SER_hh_tesh_in!F11/SER_summary!F$27)</f>
        <v>0</v>
      </c>
      <c r="G11" s="132">
        <f>IF(SER_hh_tesh_in!G11=0,0,SER_hh_tesh_in!G11/SER_summary!G$27)</f>
        <v>0</v>
      </c>
      <c r="H11" s="132">
        <f>IF(SER_hh_tesh_in!H11=0,0,SER_hh_tesh_in!H11/SER_summary!H$27)</f>
        <v>0</v>
      </c>
      <c r="I11" s="132">
        <f>IF(SER_hh_tesh_in!I11=0,0,SER_hh_tesh_in!I11/SER_summary!I$27)</f>
        <v>87.052673276030575</v>
      </c>
      <c r="J11" s="132">
        <f>IF(SER_hh_tesh_in!J11=0,0,SER_hh_tesh_in!J11/SER_summary!J$27)</f>
        <v>60.040790725314537</v>
      </c>
      <c r="K11" s="132">
        <f>IF(SER_hh_tesh_in!K11=0,0,SER_hh_tesh_in!K11/SER_summary!K$27)</f>
        <v>44.915993799260903</v>
      </c>
      <c r="L11" s="132">
        <f>IF(SER_hh_tesh_in!L11=0,0,SER_hh_tesh_in!L11/SER_summary!L$27)</f>
        <v>71.705656908936845</v>
      </c>
      <c r="M11" s="132">
        <f>IF(SER_hh_tesh_in!M11=0,0,SER_hh_tesh_in!M11/SER_summary!M$27)</f>
        <v>60.701737766729515</v>
      </c>
      <c r="N11" s="132">
        <f>IF(SER_hh_tesh_in!N11=0,0,SER_hh_tesh_in!N11/SER_summary!N$27)</f>
        <v>56.040542810574919</v>
      </c>
      <c r="O11" s="132">
        <f>IF(SER_hh_tesh_in!O11=0,0,SER_hh_tesh_in!O11/SER_summary!O$27)</f>
        <v>0</v>
      </c>
      <c r="P11" s="132">
        <f>IF(SER_hh_tesh_in!P11=0,0,SER_hh_tesh_in!P11/SER_summary!P$27)</f>
        <v>0</v>
      </c>
      <c r="Q11" s="132">
        <f>IF(SER_hh_tesh_in!Q11=0,0,SER_hh_tesh_in!Q11/SER_summary!Q$27)</f>
        <v>0</v>
      </c>
      <c r="R11" s="132">
        <f>IF(SER_hh_tesh_in!R11=0,0,SER_hh_tesh_in!R11/SER_summary!R$27)</f>
        <v>0</v>
      </c>
      <c r="S11" s="132">
        <f>IF(SER_hh_tesh_in!S11=0,0,SER_hh_tesh_in!S11/SER_summary!S$27)</f>
        <v>0</v>
      </c>
      <c r="T11" s="132">
        <f>IF(SER_hh_tesh_in!T11=0,0,SER_hh_tesh_in!T11/SER_summary!T$27)</f>
        <v>0</v>
      </c>
      <c r="U11" s="132">
        <f>IF(SER_hh_tesh_in!U11=0,0,SER_hh_tesh_in!U11/SER_summary!U$27)</f>
        <v>0</v>
      </c>
      <c r="V11" s="132">
        <f>IF(SER_hh_tesh_in!V11=0,0,SER_hh_tesh_in!V11/SER_summary!V$27)</f>
        <v>0</v>
      </c>
      <c r="W11" s="132">
        <f>IF(SER_hh_tesh_in!W11=0,0,SER_hh_tesh_in!W11/SER_summary!W$27)</f>
        <v>0</v>
      </c>
      <c r="X11" s="132">
        <f>IF(SER_hh_tesh_in!X11=0,0,SER_hh_tesh_in!X11/SER_summary!X$27)</f>
        <v>0</v>
      </c>
      <c r="Y11" s="132">
        <f>IF(SER_hh_tesh_in!Y11=0,0,SER_hh_tesh_in!Y11/SER_summary!Y$27)</f>
        <v>31.63105186371153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72.098196444695958</v>
      </c>
      <c r="D12" s="132">
        <f>IF(SER_hh_tesh_in!D12=0,0,SER_hh_tesh_in!D12/SER_summary!D$27)</f>
        <v>68.633377303934523</v>
      </c>
      <c r="E12" s="132">
        <f>IF(SER_hh_tesh_in!E12=0,0,SER_hh_tesh_in!E12/SER_summary!E$27)</f>
        <v>74.233296927286034</v>
      </c>
      <c r="F12" s="132">
        <f>IF(SER_hh_tesh_in!F12=0,0,SER_hh_tesh_in!F12/SER_summary!F$27)</f>
        <v>70.394733453802203</v>
      </c>
      <c r="G12" s="132">
        <f>IF(SER_hh_tesh_in!G12=0,0,SER_hh_tesh_in!G12/SER_summary!G$27)</f>
        <v>72.969375235472143</v>
      </c>
      <c r="H12" s="132">
        <f>IF(SER_hh_tesh_in!H12=0,0,SER_hh_tesh_in!H12/SER_summary!H$27)</f>
        <v>61.666287398484748</v>
      </c>
      <c r="I12" s="132">
        <f>IF(SER_hh_tesh_in!I12=0,0,SER_hh_tesh_in!I12/SER_summary!I$27)</f>
        <v>56.126572868354756</v>
      </c>
      <c r="J12" s="132">
        <f>IF(SER_hh_tesh_in!J12=0,0,SER_hh_tesh_in!J12/SER_summary!J$27)</f>
        <v>59.588841665519027</v>
      </c>
      <c r="K12" s="132">
        <f>IF(SER_hh_tesh_in!K12=0,0,SER_hh_tesh_in!K12/SER_summary!K$27)</f>
        <v>56.385435327103799</v>
      </c>
      <c r="L12" s="132">
        <f>IF(SER_hh_tesh_in!L12=0,0,SER_hh_tesh_in!L12/SER_summary!L$27)</f>
        <v>62.22804968382615</v>
      </c>
      <c r="M12" s="132">
        <f>IF(SER_hh_tesh_in!M12=0,0,SER_hh_tesh_in!M12/SER_summary!M$27)</f>
        <v>58.654307589246585</v>
      </c>
      <c r="N12" s="132">
        <f>IF(SER_hh_tesh_in!N12=0,0,SER_hh_tesh_in!N12/SER_summary!N$27)</f>
        <v>52.297782292062365</v>
      </c>
      <c r="O12" s="132">
        <f>IF(SER_hh_tesh_in!O12=0,0,SER_hh_tesh_in!O12/SER_summary!O$27)</f>
        <v>51.391236888304704</v>
      </c>
      <c r="P12" s="132">
        <f>IF(SER_hh_tesh_in!P12=0,0,SER_hh_tesh_in!P12/SER_summary!P$27)</f>
        <v>37.564668391714527</v>
      </c>
      <c r="Q12" s="132">
        <f>IF(SER_hh_tesh_in!Q12=0,0,SER_hh_tesh_in!Q12/SER_summary!Q$27)</f>
        <v>42.034331108972232</v>
      </c>
      <c r="R12" s="132">
        <f>IF(SER_hh_tesh_in!R12=0,0,SER_hh_tesh_in!R12/SER_summary!R$27)</f>
        <v>44.852801097831026</v>
      </c>
      <c r="S12" s="132">
        <f>IF(SER_hh_tesh_in!S12=0,0,SER_hh_tesh_in!S12/SER_summary!S$27)</f>
        <v>0</v>
      </c>
      <c r="T12" s="132">
        <f>IF(SER_hh_tesh_in!T12=0,0,SER_hh_tesh_in!T12/SER_summary!T$27)</f>
        <v>42.515559251720838</v>
      </c>
      <c r="U12" s="132">
        <f>IF(SER_hh_tesh_in!U12=0,0,SER_hh_tesh_in!U12/SER_summary!U$27)</f>
        <v>39.94976987908413</v>
      </c>
      <c r="V12" s="132">
        <f>IF(SER_hh_tesh_in!V12=0,0,SER_hh_tesh_in!V12/SER_summary!V$27)</f>
        <v>40.139506221916989</v>
      </c>
      <c r="W12" s="132">
        <f>IF(SER_hh_tesh_in!W12=0,0,SER_hh_tesh_in!W12/SER_summary!W$27)</f>
        <v>41.607332058396878</v>
      </c>
      <c r="X12" s="132">
        <f>IF(SER_hh_tesh_in!X12=0,0,SER_hh_tesh_in!X12/SER_summary!X$27)</f>
        <v>28.822510540229246</v>
      </c>
      <c r="Y12" s="132">
        <f>IF(SER_hh_tesh_in!Y12=0,0,SER_hh_tesh_in!Y12/SER_summary!Y$27)</f>
        <v>36.983480510070748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0</v>
      </c>
      <c r="D13" s="132">
        <f>IF(SER_hh_tesh_in!D13=0,0,SER_hh_tesh_in!D13/SER_summary!D$27)</f>
        <v>0</v>
      </c>
      <c r="E13" s="132">
        <f>IF(SER_hh_tesh_in!E13=0,0,SER_hh_tesh_in!E13/SER_summary!E$27)</f>
        <v>0</v>
      </c>
      <c r="F13" s="132">
        <f>IF(SER_hh_tesh_in!F13=0,0,SER_hh_tesh_in!F13/SER_summary!F$27)</f>
        <v>0</v>
      </c>
      <c r="G13" s="132">
        <f>IF(SER_hh_tesh_in!G13=0,0,SER_hh_tesh_in!G13/SER_summary!G$27)</f>
        <v>0</v>
      </c>
      <c r="H13" s="132">
        <f>IF(SER_hh_tesh_in!H13=0,0,SER_hh_tesh_in!H13/SER_summary!H$27)</f>
        <v>0</v>
      </c>
      <c r="I13" s="132">
        <f>IF(SER_hh_tesh_in!I13=0,0,SER_hh_tesh_in!I13/SER_summary!I$27)</f>
        <v>0</v>
      </c>
      <c r="J13" s="132">
        <f>IF(SER_hh_tesh_in!J13=0,0,SER_hh_tesh_in!J13/SER_summary!J$27)</f>
        <v>0</v>
      </c>
      <c r="K13" s="132">
        <f>IF(SER_hh_tesh_in!K13=0,0,SER_hh_tesh_in!K13/SER_summary!K$27)</f>
        <v>0</v>
      </c>
      <c r="L13" s="132">
        <f>IF(SER_hh_tesh_in!L13=0,0,SER_hh_tesh_in!L13/SER_summary!L$27)</f>
        <v>0</v>
      </c>
      <c r="M13" s="132">
        <f>IF(SER_hh_tesh_in!M13=0,0,SER_hh_tesh_in!M13/SER_summary!M$27)</f>
        <v>0</v>
      </c>
      <c r="N13" s="132">
        <f>IF(SER_hh_tesh_in!N13=0,0,SER_hh_tesh_in!N13/SER_summary!N$27)</f>
        <v>0</v>
      </c>
      <c r="O13" s="132">
        <f>IF(SER_hh_tesh_in!O13=0,0,SER_hh_tesh_in!O13/SER_summary!O$27)</f>
        <v>0</v>
      </c>
      <c r="P13" s="132">
        <f>IF(SER_hh_tesh_in!P13=0,0,SER_hh_tesh_in!P13/SER_summary!P$27)</f>
        <v>0</v>
      </c>
      <c r="Q13" s="132">
        <f>IF(SER_hh_tesh_in!Q13=0,0,SER_hh_tesh_in!Q13/SER_summary!Q$27)</f>
        <v>0</v>
      </c>
      <c r="R13" s="132">
        <f>IF(SER_hh_tesh_in!R13=0,0,SER_hh_tesh_in!R13/SER_summary!R$27)</f>
        <v>0</v>
      </c>
      <c r="S13" s="132">
        <f>IF(SER_hh_tesh_in!S13=0,0,SER_hh_tesh_in!S13/SER_summary!S$27)</f>
        <v>0</v>
      </c>
      <c r="T13" s="132">
        <f>IF(SER_hh_tesh_in!T13=0,0,SER_hh_tesh_in!T13/SER_summary!T$27)</f>
        <v>0</v>
      </c>
      <c r="U13" s="132">
        <f>IF(SER_hh_tesh_in!U13=0,0,SER_hh_tesh_in!U13/SER_summary!U$27)</f>
        <v>0</v>
      </c>
      <c r="V13" s="132">
        <f>IF(SER_hh_tesh_in!V13=0,0,SER_hh_tesh_in!V13/SER_summary!V$27)</f>
        <v>0</v>
      </c>
      <c r="W13" s="132">
        <f>IF(SER_hh_tesh_in!W13=0,0,SER_hh_tesh_in!W13/SER_summary!W$27)</f>
        <v>0</v>
      </c>
      <c r="X13" s="132">
        <f>IF(SER_hh_tesh_in!X13=0,0,SER_hh_tesh_in!X13/SER_summary!X$27)</f>
        <v>0</v>
      </c>
      <c r="Y13" s="132">
        <f>IF(SER_hh_tesh_in!Y13=0,0,SER_hh_tesh_in!Y13/SER_summary!Y$27)</f>
        <v>0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72.091364748298091</v>
      </c>
      <c r="D14" s="65">
        <f>IF(SER_hh_tesh_in!D14=0,0,SER_hh_tesh_in!D14/SER_summary!D$27)</f>
        <v>73.578304910870116</v>
      </c>
      <c r="E14" s="65">
        <f>IF(SER_hh_tesh_in!E14=0,0,SER_hh_tesh_in!E14/SER_summary!E$27)</f>
        <v>67.778949489550428</v>
      </c>
      <c r="F14" s="65">
        <f>IF(SER_hh_tesh_in!F14=0,0,SER_hh_tesh_in!F14/SER_summary!F$27)</f>
        <v>69.256979358474155</v>
      </c>
      <c r="G14" s="65">
        <f>IF(SER_hh_tesh_in!G14=0,0,SER_hh_tesh_in!G14/SER_summary!G$27)</f>
        <v>72.538270610284385</v>
      </c>
      <c r="H14" s="65">
        <f>IF(SER_hh_tesh_in!H14=0,0,SER_hh_tesh_in!H14/SER_summary!H$27)</f>
        <v>63.740752260347378</v>
      </c>
      <c r="I14" s="65">
        <f>IF(SER_hh_tesh_in!I14=0,0,SER_hh_tesh_in!I14/SER_summary!I$27)</f>
        <v>54.722531020846588</v>
      </c>
      <c r="J14" s="65">
        <f>IF(SER_hh_tesh_in!J14=0,0,SER_hh_tesh_in!J14/SER_summary!J$27)</f>
        <v>63.502492645118359</v>
      </c>
      <c r="K14" s="65">
        <f>IF(SER_hh_tesh_in!K14=0,0,SER_hh_tesh_in!K14/SER_summary!K$27)</f>
        <v>59.045641255955957</v>
      </c>
      <c r="L14" s="65">
        <f>IF(SER_hh_tesh_in!L14=0,0,SER_hh_tesh_in!L14/SER_summary!L$27)</f>
        <v>59.244841310860565</v>
      </c>
      <c r="M14" s="65">
        <f>IF(SER_hh_tesh_in!M14=0,0,SER_hh_tesh_in!M14/SER_summary!M$27)</f>
        <v>58.694500380355223</v>
      </c>
      <c r="N14" s="65">
        <f>IF(SER_hh_tesh_in!N14=0,0,SER_hh_tesh_in!N14/SER_summary!N$27)</f>
        <v>54.052733979364064</v>
      </c>
      <c r="O14" s="65">
        <f>IF(SER_hh_tesh_in!O14=0,0,SER_hh_tesh_in!O14/SER_summary!O$27)</f>
        <v>51.295672823193328</v>
      </c>
      <c r="P14" s="65">
        <f>IF(SER_hh_tesh_in!P14=0,0,SER_hh_tesh_in!P14/SER_summary!P$27)</f>
        <v>40.021462242865574</v>
      </c>
      <c r="Q14" s="65">
        <f>IF(SER_hh_tesh_in!Q14=0,0,SER_hh_tesh_in!Q14/SER_summary!Q$27)</f>
        <v>39.666749827279411</v>
      </c>
      <c r="R14" s="65">
        <f>IF(SER_hh_tesh_in!R14=0,0,SER_hh_tesh_in!R14/SER_summary!R$27)</f>
        <v>41.407585027175287</v>
      </c>
      <c r="S14" s="65">
        <f>IF(SER_hh_tesh_in!S14=0,0,SER_hh_tesh_in!S14/SER_summary!S$27)</f>
        <v>46.944022121586933</v>
      </c>
      <c r="T14" s="65">
        <f>IF(SER_hh_tesh_in!T14=0,0,SER_hh_tesh_in!T14/SER_summary!T$27)</f>
        <v>49.395163266077269</v>
      </c>
      <c r="U14" s="65">
        <f>IF(SER_hh_tesh_in!U14=0,0,SER_hh_tesh_in!U14/SER_summary!U$27)</f>
        <v>47.037381087341295</v>
      </c>
      <c r="V14" s="65">
        <f>IF(SER_hh_tesh_in!V14=0,0,SER_hh_tesh_in!V14/SER_summary!V$27)</f>
        <v>35.485252562516578</v>
      </c>
      <c r="W14" s="65">
        <f>IF(SER_hh_tesh_in!W14=0,0,SER_hh_tesh_in!W14/SER_summary!W$27)</f>
        <v>36.524471478919992</v>
      </c>
      <c r="X14" s="65">
        <f>IF(SER_hh_tesh_in!X14=0,0,SER_hh_tesh_in!X14/SER_summary!X$27)</f>
        <v>38.341562288625255</v>
      </c>
      <c r="Y14" s="65">
        <f>IF(SER_hh_tesh_in!Y14=0,0,SER_hh_tesh_in!Y14/SER_summary!Y$27)</f>
        <v>35.269907178169497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1.2390648133121791</v>
      </c>
      <c r="D15" s="134">
        <f>IF(SER_hh_tesh_in!D15=0,0,SER_hh_tesh_in!D15/SER_summary!D$27)</f>
        <v>1.0908623914740889</v>
      </c>
      <c r="E15" s="134">
        <f>IF(SER_hh_tesh_in!E15=0,0,SER_hh_tesh_in!E15/SER_summary!E$27)</f>
        <v>1.0456176557065204</v>
      </c>
      <c r="F15" s="134">
        <f>IF(SER_hh_tesh_in!F15=0,0,SER_hh_tesh_in!F15/SER_summary!F$27)</f>
        <v>0.97327521179022281</v>
      </c>
      <c r="G15" s="134">
        <f>IF(SER_hh_tesh_in!G15=0,0,SER_hh_tesh_in!G15/SER_summary!G$27)</f>
        <v>0.9234159236351287</v>
      </c>
      <c r="H15" s="134">
        <f>IF(SER_hh_tesh_in!H15=0,0,SER_hh_tesh_in!H15/SER_summary!H$27)</f>
        <v>0.85780190516368804</v>
      </c>
      <c r="I15" s="134">
        <f>IF(SER_hh_tesh_in!I15=0,0,SER_hh_tesh_in!I15/SER_summary!I$27)</f>
        <v>0.661551103955627</v>
      </c>
      <c r="J15" s="134">
        <f>IF(SER_hh_tesh_in!J15=0,0,SER_hh_tesh_in!J15/SER_summary!J$27)</f>
        <v>0.68509692272863676</v>
      </c>
      <c r="K15" s="134">
        <f>IF(SER_hh_tesh_in!K15=0,0,SER_hh_tesh_in!K15/SER_summary!K$27)</f>
        <v>0.63500952240627462</v>
      </c>
      <c r="L15" s="134">
        <f>IF(SER_hh_tesh_in!L15=0,0,SER_hh_tesh_in!L15/SER_summary!L$27)</f>
        <v>0.70135076419025821</v>
      </c>
      <c r="M15" s="134">
        <f>IF(SER_hh_tesh_in!M15=0,0,SER_hh_tesh_in!M15/SER_summary!M$27)</f>
        <v>0.58772770297869281</v>
      </c>
      <c r="N15" s="134">
        <f>IF(SER_hh_tesh_in!N15=0,0,SER_hh_tesh_in!N15/SER_summary!N$27)</f>
        <v>0.56292052910311707</v>
      </c>
      <c r="O15" s="134">
        <f>IF(SER_hh_tesh_in!O15=0,0,SER_hh_tesh_in!O15/SER_summary!O$27)</f>
        <v>0.60218957027923126</v>
      </c>
      <c r="P15" s="134">
        <f>IF(SER_hh_tesh_in!P15=0,0,SER_hh_tesh_in!P15/SER_summary!P$27)</f>
        <v>0.58978669532890793</v>
      </c>
      <c r="Q15" s="134">
        <f>IF(SER_hh_tesh_in!Q15=0,0,SER_hh_tesh_in!Q15/SER_summary!Q$27)</f>
        <v>0.7081870020595491</v>
      </c>
      <c r="R15" s="134">
        <f>IF(SER_hh_tesh_in!R15=0,0,SER_hh_tesh_in!R15/SER_summary!R$27)</f>
        <v>0.70139097623232805</v>
      </c>
      <c r="S15" s="134">
        <f>IF(SER_hh_tesh_in!S15=0,0,SER_hh_tesh_in!S15/SER_summary!S$27)</f>
        <v>0.7083672063609977</v>
      </c>
      <c r="T15" s="134">
        <f>IF(SER_hh_tesh_in!T15=0,0,SER_hh_tesh_in!T15/SER_summary!T$27)</f>
        <v>0.63696111008871292</v>
      </c>
      <c r="U15" s="134">
        <f>IF(SER_hh_tesh_in!U15=0,0,SER_hh_tesh_in!U15/SER_summary!U$27)</f>
        <v>0.54910430178834302</v>
      </c>
      <c r="V15" s="134">
        <f>IF(SER_hh_tesh_in!V15=0,0,SER_hh_tesh_in!V15/SER_summary!V$27)</f>
        <v>0.44966151404928384</v>
      </c>
      <c r="W15" s="134">
        <f>IF(SER_hh_tesh_in!W15=0,0,SER_hh_tesh_in!W15/SER_summary!W$27)</f>
        <v>0.45236110997143819</v>
      </c>
      <c r="X15" s="134">
        <f>IF(SER_hh_tesh_in!X15=0,0,SER_hh_tesh_in!X15/SER_summary!X$27)</f>
        <v>0.19987962740928883</v>
      </c>
      <c r="Y15" s="134">
        <f>IF(SER_hh_tesh_in!Y15=0,0,SER_hh_tesh_in!Y15/SER_summary!Y$27)</f>
        <v>0.27429881425137742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24.494125392300656</v>
      </c>
      <c r="D16" s="130">
        <f>IF(SER_hh_tesh_in!D16=0,0,SER_hh_tesh_in!D16/SER_summary!D$27)</f>
        <v>23.46169691602897</v>
      </c>
      <c r="E16" s="130">
        <f>IF(SER_hh_tesh_in!E16=0,0,SER_hh_tesh_in!E16/SER_summary!E$27)</f>
        <v>44.565001507902707</v>
      </c>
      <c r="F16" s="130">
        <f>IF(SER_hh_tesh_in!F16=0,0,SER_hh_tesh_in!F16/SER_summary!F$27)</f>
        <v>22.759261419785773</v>
      </c>
      <c r="G16" s="130">
        <f>IF(SER_hh_tesh_in!G16=0,0,SER_hh_tesh_in!G16/SER_summary!G$27)</f>
        <v>22.756549807951835</v>
      </c>
      <c r="H16" s="130">
        <f>IF(SER_hh_tesh_in!H16=0,0,SER_hh_tesh_in!H16/SER_summary!H$27)</f>
        <v>25.600939772877663</v>
      </c>
      <c r="I16" s="130">
        <f>IF(SER_hh_tesh_in!I16=0,0,SER_hh_tesh_in!I16/SER_summary!I$27)</f>
        <v>26.342014749412332</v>
      </c>
      <c r="J16" s="130">
        <f>IF(SER_hh_tesh_in!J16=0,0,SER_hh_tesh_in!J16/SER_summary!J$27)</f>
        <v>25.234269092070768</v>
      </c>
      <c r="K16" s="130">
        <f>IF(SER_hh_tesh_in!K16=0,0,SER_hh_tesh_in!K16/SER_summary!K$27)</f>
        <v>23.847168371137158</v>
      </c>
      <c r="L16" s="130">
        <f>IF(SER_hh_tesh_in!L16=0,0,SER_hh_tesh_in!L16/SER_summary!L$27)</f>
        <v>23.84296208444767</v>
      </c>
      <c r="M16" s="130">
        <f>IF(SER_hh_tesh_in!M16=0,0,SER_hh_tesh_in!M16/SER_summary!M$27)</f>
        <v>25.320849904598695</v>
      </c>
      <c r="N16" s="130">
        <f>IF(SER_hh_tesh_in!N16=0,0,SER_hh_tesh_in!N16/SER_summary!N$27)</f>
        <v>36.311568935744198</v>
      </c>
      <c r="O16" s="130">
        <f>IF(SER_hh_tesh_in!O16=0,0,SER_hh_tesh_in!O16/SER_summary!O$27)</f>
        <v>23.874108144802406</v>
      </c>
      <c r="P16" s="130">
        <f>IF(SER_hh_tesh_in!P16=0,0,SER_hh_tesh_in!P16/SER_summary!P$27)</f>
        <v>19.517658118670667</v>
      </c>
      <c r="Q16" s="130">
        <f>IF(SER_hh_tesh_in!Q16=0,0,SER_hh_tesh_in!Q16/SER_summary!Q$27)</f>
        <v>31.480718230342347</v>
      </c>
      <c r="R16" s="130">
        <f>IF(SER_hh_tesh_in!R16=0,0,SER_hh_tesh_in!R16/SER_summary!R$27)</f>
        <v>21.249336782773764</v>
      </c>
      <c r="S16" s="130">
        <f>IF(SER_hh_tesh_in!S16=0,0,SER_hh_tesh_in!S16/SER_summary!S$27)</f>
        <v>29.984916082093559</v>
      </c>
      <c r="T16" s="130">
        <f>IF(SER_hh_tesh_in!T16=0,0,SER_hh_tesh_in!T16/SER_summary!T$27)</f>
        <v>21.993420296527795</v>
      </c>
      <c r="U16" s="130">
        <f>IF(SER_hh_tesh_in!U16=0,0,SER_hh_tesh_in!U16/SER_summary!U$27)</f>
        <v>25.849263781344501</v>
      </c>
      <c r="V16" s="130">
        <f>IF(SER_hh_tesh_in!V16=0,0,SER_hh_tesh_in!V16/SER_summary!V$27)</f>
        <v>19.447277085208583</v>
      </c>
      <c r="W16" s="130">
        <f>IF(SER_hh_tesh_in!W16=0,0,SER_hh_tesh_in!W16/SER_summary!W$27)</f>
        <v>23.754286062912534</v>
      </c>
      <c r="X16" s="130">
        <f>IF(SER_hh_tesh_in!X16=0,0,SER_hh_tesh_in!X16/SER_summary!X$27)</f>
        <v>25.757359575219713</v>
      </c>
      <c r="Y16" s="130">
        <f>IF(SER_hh_tesh_in!Y16=0,0,SER_hh_tesh_in!Y16/SER_summary!Y$27)</f>
        <v>22.601004994243631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24.490481174606639</v>
      </c>
      <c r="D17" s="132">
        <f>IF(SER_hh_tesh_in!D17=0,0,SER_hh_tesh_in!D17/SER_summary!D$27)</f>
        <v>23.484297132526059</v>
      </c>
      <c r="E17" s="132">
        <f>IF(SER_hh_tesh_in!E17=0,0,SER_hh_tesh_in!E17/SER_summary!E$27)</f>
        <v>44.66246569461817</v>
      </c>
      <c r="F17" s="132">
        <f>IF(SER_hh_tesh_in!F17=0,0,SER_hh_tesh_in!F17/SER_summary!F$27)</f>
        <v>22.810939787005015</v>
      </c>
      <c r="G17" s="132">
        <f>IF(SER_hh_tesh_in!G17=0,0,SER_hh_tesh_in!G17/SER_summary!G$27)</f>
        <v>22.801456969987882</v>
      </c>
      <c r="H17" s="132">
        <f>IF(SER_hh_tesh_in!H17=0,0,SER_hh_tesh_in!H17/SER_summary!H$27)</f>
        <v>25.641017967687443</v>
      </c>
      <c r="I17" s="132">
        <f>IF(SER_hh_tesh_in!I17=0,0,SER_hh_tesh_in!I17/SER_summary!I$27)</f>
        <v>34.129328048748242</v>
      </c>
      <c r="J17" s="132">
        <f>IF(SER_hh_tesh_in!J17=0,0,SER_hh_tesh_in!J17/SER_summary!J$27)</f>
        <v>30.90746651233794</v>
      </c>
      <c r="K17" s="132">
        <f>IF(SER_hh_tesh_in!K17=0,0,SER_hh_tesh_in!K17/SER_summary!K$27)</f>
        <v>23.8405271566427</v>
      </c>
      <c r="L17" s="132">
        <f>IF(SER_hh_tesh_in!L17=0,0,SER_hh_tesh_in!L17/SER_summary!L$27)</f>
        <v>23.826405430259758</v>
      </c>
      <c r="M17" s="132">
        <f>IF(SER_hh_tesh_in!M17=0,0,SER_hh_tesh_in!M17/SER_summary!M$27)</f>
        <v>25.319199747499002</v>
      </c>
      <c r="N17" s="132">
        <f>IF(SER_hh_tesh_in!N17=0,0,SER_hh_tesh_in!N17/SER_summary!N$27)</f>
        <v>31.700609300631942</v>
      </c>
      <c r="O17" s="132">
        <f>IF(SER_hh_tesh_in!O17=0,0,SER_hh_tesh_in!O17/SER_summary!O$27)</f>
        <v>24.093517465142625</v>
      </c>
      <c r="P17" s="132">
        <f>IF(SER_hh_tesh_in!P17=0,0,SER_hh_tesh_in!P17/SER_summary!P$27)</f>
        <v>16.121159699617024</v>
      </c>
      <c r="Q17" s="132">
        <f>IF(SER_hh_tesh_in!Q17=0,0,SER_hh_tesh_in!Q17/SER_summary!Q$27)</f>
        <v>33.075433473331778</v>
      </c>
      <c r="R17" s="132">
        <f>IF(SER_hh_tesh_in!R17=0,0,SER_hh_tesh_in!R17/SER_summary!R$27)</f>
        <v>21.617241193650692</v>
      </c>
      <c r="S17" s="132">
        <f>IF(SER_hh_tesh_in!S17=0,0,SER_hh_tesh_in!S17/SER_summary!S$27)</f>
        <v>30.417871632202655</v>
      </c>
      <c r="T17" s="132">
        <f>IF(SER_hh_tesh_in!T17=0,0,SER_hh_tesh_in!T17/SER_summary!T$27)</f>
        <v>22.291329743416465</v>
      </c>
      <c r="U17" s="132">
        <f>IF(SER_hh_tesh_in!U17=0,0,SER_hh_tesh_in!U17/SER_summary!U$27)</f>
        <v>26.180992364844439</v>
      </c>
      <c r="V17" s="132">
        <f>IF(SER_hh_tesh_in!V17=0,0,SER_hh_tesh_in!V17/SER_summary!V$27)</f>
        <v>16.094751613409731</v>
      </c>
      <c r="W17" s="132">
        <f>IF(SER_hh_tesh_in!W17=0,0,SER_hh_tesh_in!W17/SER_summary!W$27)</f>
        <v>19.729049318673241</v>
      </c>
      <c r="X17" s="132">
        <f>IF(SER_hh_tesh_in!X17=0,0,SER_hh_tesh_in!X17/SER_summary!X$27)</f>
        <v>25.932531685680537</v>
      </c>
      <c r="Y17" s="132">
        <f>IF(SER_hh_tesh_in!Y17=0,0,SER_hh_tesh_in!Y17/SER_summary!Y$27)</f>
        <v>26.175912059679767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24.494128836798282</v>
      </c>
      <c r="D18" s="132">
        <f>IF(SER_hh_tesh_in!D18=0,0,SER_hh_tesh_in!D18/SER_summary!D$27)</f>
        <v>23.46166113783638</v>
      </c>
      <c r="E18" s="132">
        <f>IF(SER_hh_tesh_in!E18=0,0,SER_hh_tesh_in!E18/SER_summary!E$27)</f>
        <v>44.564838307795711</v>
      </c>
      <c r="F18" s="132">
        <f>IF(SER_hh_tesh_in!F18=0,0,SER_hh_tesh_in!F18/SER_summary!F$27)</f>
        <v>22.759182449272082</v>
      </c>
      <c r="G18" s="132">
        <f>IF(SER_hh_tesh_in!G18=0,0,SER_hh_tesh_in!G18/SER_summary!G$27)</f>
        <v>22.756482451364956</v>
      </c>
      <c r="H18" s="132">
        <f>IF(SER_hh_tesh_in!H18=0,0,SER_hh_tesh_in!H18/SER_summary!H$27)</f>
        <v>25.600880456482358</v>
      </c>
      <c r="I18" s="132">
        <f>IF(SER_hh_tesh_in!I18=0,0,SER_hh_tesh_in!I18/SER_summary!I$27)</f>
        <v>26.334646669435191</v>
      </c>
      <c r="J18" s="132">
        <f>IF(SER_hh_tesh_in!J18=0,0,SER_hh_tesh_in!J18/SER_summary!J$27)</f>
        <v>25.228066089997842</v>
      </c>
      <c r="K18" s="132">
        <f>IF(SER_hh_tesh_in!K18=0,0,SER_hh_tesh_in!K18/SER_summary!K$27)</f>
        <v>23.847181113854788</v>
      </c>
      <c r="L18" s="132">
        <f>IF(SER_hh_tesh_in!L18=0,0,SER_hh_tesh_in!L18/SER_summary!L$27)</f>
        <v>23.843003440598178</v>
      </c>
      <c r="M18" s="132">
        <f>IF(SER_hh_tesh_in!M18=0,0,SER_hh_tesh_in!M18/SER_summary!M$27)</f>
        <v>25.320853645039172</v>
      </c>
      <c r="N18" s="132">
        <f>IF(SER_hh_tesh_in!N18=0,0,SER_hh_tesh_in!N18/SER_summary!N$27)</f>
        <v>36.323768057677142</v>
      </c>
      <c r="O18" s="132">
        <f>IF(SER_hh_tesh_in!O18=0,0,SER_hh_tesh_in!O18/SER_summary!O$27)</f>
        <v>23.873339999044266</v>
      </c>
      <c r="P18" s="132">
        <f>IF(SER_hh_tesh_in!P18=0,0,SER_hh_tesh_in!P18/SER_summary!P$27)</f>
        <v>19.534878179985014</v>
      </c>
      <c r="Q18" s="132">
        <f>IF(SER_hh_tesh_in!Q18=0,0,SER_hh_tesh_in!Q18/SER_summary!Q$27)</f>
        <v>31.473262040560073</v>
      </c>
      <c r="R18" s="132">
        <f>IF(SER_hh_tesh_in!R18=0,0,SER_hh_tesh_in!R18/SER_summary!R$27)</f>
        <v>21.247469351129013</v>
      </c>
      <c r="S18" s="132">
        <f>IF(SER_hh_tesh_in!S18=0,0,SER_hh_tesh_in!S18/SER_summary!S$27)</f>
        <v>29.981766007366954</v>
      </c>
      <c r="T18" s="132">
        <f>IF(SER_hh_tesh_in!T18=0,0,SER_hh_tesh_in!T18/SER_summary!T$27)</f>
        <v>21.990380974625708</v>
      </c>
      <c r="U18" s="132">
        <f>IF(SER_hh_tesh_in!U18=0,0,SER_hh_tesh_in!U18/SER_summary!U$27)</f>
        <v>25.846354294525906</v>
      </c>
      <c r="V18" s="132">
        <f>IF(SER_hh_tesh_in!V18=0,0,SER_hh_tesh_in!V18/SER_summary!V$27)</f>
        <v>19.492239259996097</v>
      </c>
      <c r="W18" s="132">
        <f>IF(SER_hh_tesh_in!W18=0,0,SER_hh_tesh_in!W18/SER_summary!W$27)</f>
        <v>23.778461031608195</v>
      </c>
      <c r="X18" s="132">
        <f>IF(SER_hh_tesh_in!X18=0,0,SER_hh_tesh_in!X18/SER_summary!X$27)</f>
        <v>25.755514935208513</v>
      </c>
      <c r="Y18" s="132">
        <f>IF(SER_hh_tesh_in!Y18=0,0,SER_hh_tesh_in!Y18/SER_summary!Y$27)</f>
        <v>22.574024863059201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14.289153280407152</v>
      </c>
      <c r="D19" s="130">
        <f>IF(SER_hh_tesh_in!D19=0,0,SER_hh_tesh_in!D19/SER_summary!D$27)</f>
        <v>14.543277921281275</v>
      </c>
      <c r="E19" s="130">
        <f>IF(SER_hh_tesh_in!E19=0,0,SER_hh_tesh_in!E19/SER_summary!E$27)</f>
        <v>14.45069742101299</v>
      </c>
      <c r="F19" s="130">
        <f>IF(SER_hh_tesh_in!F19=0,0,SER_hh_tesh_in!F19/SER_summary!F$27)</f>
        <v>14.893775425373159</v>
      </c>
      <c r="G19" s="130">
        <f>IF(SER_hh_tesh_in!G19=0,0,SER_hh_tesh_in!G19/SER_summary!G$27)</f>
        <v>15.01955504158998</v>
      </c>
      <c r="H19" s="130">
        <f>IF(SER_hh_tesh_in!H19=0,0,SER_hh_tesh_in!H19/SER_summary!H$27)</f>
        <v>14.664499824422046</v>
      </c>
      <c r="I19" s="130">
        <f>IF(SER_hh_tesh_in!I19=0,0,SER_hh_tesh_in!I19/SER_summary!I$27)</f>
        <v>14.568216105823375</v>
      </c>
      <c r="J19" s="130">
        <f>IF(SER_hh_tesh_in!J19=0,0,SER_hh_tesh_in!J19/SER_summary!J$27)</f>
        <v>14.883727490215557</v>
      </c>
      <c r="K19" s="130">
        <f>IF(SER_hh_tesh_in!K19=0,0,SER_hh_tesh_in!K19/SER_summary!K$27)</f>
        <v>14.958636411206141</v>
      </c>
      <c r="L19" s="130">
        <f>IF(SER_hh_tesh_in!L19=0,0,SER_hh_tesh_in!L19/SER_summary!L$27)</f>
        <v>15.089859333690081</v>
      </c>
      <c r="M19" s="130">
        <f>IF(SER_hh_tesh_in!M19=0,0,SER_hh_tesh_in!M19/SER_summary!M$27)</f>
        <v>15.099392017532532</v>
      </c>
      <c r="N19" s="130">
        <f>IF(SER_hh_tesh_in!N19=0,0,SER_hh_tesh_in!N19/SER_summary!N$27)</f>
        <v>15.465858485379357</v>
      </c>
      <c r="O19" s="130">
        <f>IF(SER_hh_tesh_in!O19=0,0,SER_hh_tesh_in!O19/SER_summary!O$27)</f>
        <v>15.751096522726773</v>
      </c>
      <c r="P19" s="130">
        <f>IF(SER_hh_tesh_in!P19=0,0,SER_hh_tesh_in!P19/SER_summary!P$27)</f>
        <v>15.658191406486086</v>
      </c>
      <c r="Q19" s="130">
        <f>IF(SER_hh_tesh_in!Q19=0,0,SER_hh_tesh_in!Q19/SER_summary!Q$27)</f>
        <v>15.546944373178821</v>
      </c>
      <c r="R19" s="130">
        <f>IF(SER_hh_tesh_in!R19=0,0,SER_hh_tesh_in!R19/SER_summary!R$27)</f>
        <v>15.576889365178115</v>
      </c>
      <c r="S19" s="130">
        <f>IF(SER_hh_tesh_in!S19=0,0,SER_hh_tesh_in!S19/SER_summary!S$27)</f>
        <v>15.675322581675474</v>
      </c>
      <c r="T19" s="130">
        <f>IF(SER_hh_tesh_in!T19=0,0,SER_hh_tesh_in!T19/SER_summary!T$27)</f>
        <v>15.666919337514335</v>
      </c>
      <c r="U19" s="130">
        <f>IF(SER_hh_tesh_in!U19=0,0,SER_hh_tesh_in!U19/SER_summary!U$27)</f>
        <v>15.608845406502605</v>
      </c>
      <c r="V19" s="130">
        <f>IF(SER_hh_tesh_in!V19=0,0,SER_hh_tesh_in!V19/SER_summary!V$27)</f>
        <v>14.464294693163028</v>
      </c>
      <c r="W19" s="130">
        <f>IF(SER_hh_tesh_in!W19=0,0,SER_hh_tesh_in!W19/SER_summary!W$27)</f>
        <v>14.291586368657473</v>
      </c>
      <c r="X19" s="130">
        <f>IF(SER_hh_tesh_in!X19=0,0,SER_hh_tesh_in!X19/SER_summary!X$27)</f>
        <v>15.64366394257924</v>
      </c>
      <c r="Y19" s="130">
        <f>IF(SER_hh_tesh_in!Y19=0,0,SER_hh_tesh_in!Y19/SER_summary!Y$27)</f>
        <v>15.437814814021555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14.422887138641174</v>
      </c>
      <c r="D21" s="132">
        <f>IF(SER_hh_tesh_in!D21=0,0,SER_hh_tesh_in!D21/SER_summary!D$27)</f>
        <v>14.641679748369526</v>
      </c>
      <c r="E21" s="132">
        <f>IF(SER_hh_tesh_in!E21=0,0,SER_hh_tesh_in!E21/SER_summary!E$27)</f>
        <v>14.503435190809505</v>
      </c>
      <c r="F21" s="132">
        <f>IF(SER_hh_tesh_in!F21=0,0,SER_hh_tesh_in!F21/SER_summary!F$27)</f>
        <v>14.769451268211412</v>
      </c>
      <c r="G21" s="132">
        <f>IF(SER_hh_tesh_in!G21=0,0,SER_hh_tesh_in!G21/SER_summary!G$27)</f>
        <v>14.558913230055051</v>
      </c>
      <c r="H21" s="132">
        <f>IF(SER_hh_tesh_in!H21=0,0,SER_hh_tesh_in!H21/SER_summary!H$27)</f>
        <v>14.469475273593252</v>
      </c>
      <c r="I21" s="132">
        <f>IF(SER_hh_tesh_in!I21=0,0,SER_hh_tesh_in!I21/SER_summary!I$27)</f>
        <v>14.232124132258875</v>
      </c>
      <c r="J21" s="132">
        <f>IF(SER_hh_tesh_in!J21=0,0,SER_hh_tesh_in!J21/SER_summary!J$27)</f>
        <v>14.133681642249083</v>
      </c>
      <c r="K21" s="132">
        <f>IF(SER_hh_tesh_in!K21=0,0,SER_hh_tesh_in!K21/SER_summary!K$27)</f>
        <v>14.517535137739936</v>
      </c>
      <c r="L21" s="132">
        <f>IF(SER_hh_tesh_in!L21=0,0,SER_hh_tesh_in!L21/SER_summary!L$27)</f>
        <v>13.751862506877897</v>
      </c>
      <c r="M21" s="132">
        <f>IF(SER_hh_tesh_in!M21=0,0,SER_hh_tesh_in!M21/SER_summary!M$27)</f>
        <v>14.361013458854671</v>
      </c>
      <c r="N21" s="132">
        <f>IF(SER_hh_tesh_in!N21=0,0,SER_hh_tesh_in!N21/SER_summary!N$27)</f>
        <v>12.847498819848301</v>
      </c>
      <c r="O21" s="132">
        <f>IF(SER_hh_tesh_in!O21=0,0,SER_hh_tesh_in!O21/SER_summary!O$27)</f>
        <v>15.068267912332361</v>
      </c>
      <c r="P21" s="132">
        <f>IF(SER_hh_tesh_in!P21=0,0,SER_hh_tesh_in!P21/SER_summary!P$27)</f>
        <v>15.635984600729945</v>
      </c>
      <c r="Q21" s="132">
        <f>IF(SER_hh_tesh_in!Q21=0,0,SER_hh_tesh_in!Q21/SER_summary!Q$27)</f>
        <v>15.772991903869865</v>
      </c>
      <c r="R21" s="132">
        <f>IF(SER_hh_tesh_in!R21=0,0,SER_hh_tesh_in!R21/SER_summary!R$27)</f>
        <v>12.148704864858892</v>
      </c>
      <c r="S21" s="132">
        <f>IF(SER_hh_tesh_in!S21=0,0,SER_hh_tesh_in!S21/SER_summary!S$27)</f>
        <v>14.77634110826447</v>
      </c>
      <c r="T21" s="132">
        <f>IF(SER_hh_tesh_in!T21=0,0,SER_hh_tesh_in!T21/SER_summary!T$27)</f>
        <v>15.024895887337088</v>
      </c>
      <c r="U21" s="132">
        <f>IF(SER_hh_tesh_in!U21=0,0,SER_hh_tesh_in!U21/SER_summary!U$27)</f>
        <v>14.844543286033092</v>
      </c>
      <c r="V21" s="132">
        <f>IF(SER_hh_tesh_in!V21=0,0,SER_hh_tesh_in!V21/SER_summary!V$27)</f>
        <v>12.672606278156344</v>
      </c>
      <c r="W21" s="132">
        <f>IF(SER_hh_tesh_in!W21=0,0,SER_hh_tesh_in!W21/SER_summary!W$27)</f>
        <v>15.27338452675926</v>
      </c>
      <c r="X21" s="132">
        <f>IF(SER_hh_tesh_in!X21=0,0,SER_hh_tesh_in!X21/SER_summary!X$27)</f>
        <v>15.792280907933341</v>
      </c>
      <c r="Y21" s="132">
        <f>IF(SER_hh_tesh_in!Y21=0,0,SER_hh_tesh_in!Y21/SER_summary!Y$27)</f>
        <v>13.904063748364058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14.181935294891332</v>
      </c>
      <c r="D22" s="132">
        <f>IF(SER_hh_tesh_in!D22=0,0,SER_hh_tesh_in!D22/SER_summary!D$27)</f>
        <v>14.254326544737991</v>
      </c>
      <c r="E22" s="132">
        <f>IF(SER_hh_tesh_in!E22=0,0,SER_hh_tesh_in!E22/SER_summary!E$27)</f>
        <v>14.484367206219503</v>
      </c>
      <c r="F22" s="132">
        <f>IF(SER_hh_tesh_in!F22=0,0,SER_hh_tesh_in!F22/SER_summary!F$27)</f>
        <v>14.440295539842042</v>
      </c>
      <c r="G22" s="132">
        <f>IF(SER_hh_tesh_in!G22=0,0,SER_hh_tesh_in!G22/SER_summary!G$27)</f>
        <v>14.674696601596926</v>
      </c>
      <c r="H22" s="132">
        <f>IF(SER_hh_tesh_in!H22=0,0,SER_hh_tesh_in!H22/SER_summary!H$27)</f>
        <v>14.437987869875743</v>
      </c>
      <c r="I22" s="132">
        <f>IF(SER_hh_tesh_in!I22=0,0,SER_hh_tesh_in!I22/SER_summary!I$27)</f>
        <v>14.67049695170857</v>
      </c>
      <c r="J22" s="132">
        <f>IF(SER_hh_tesh_in!J22=0,0,SER_hh_tesh_in!J22/SER_summary!J$27)</f>
        <v>14.280252672849789</v>
      </c>
      <c r="K22" s="132">
        <f>IF(SER_hh_tesh_in!K22=0,0,SER_hh_tesh_in!K22/SER_summary!K$27)</f>
        <v>14.336805839115401</v>
      </c>
      <c r="L22" s="132">
        <f>IF(SER_hh_tesh_in!L22=0,0,SER_hh_tesh_in!L22/SER_summary!L$27)</f>
        <v>13.202753678205008</v>
      </c>
      <c r="M22" s="132">
        <f>IF(SER_hh_tesh_in!M22=0,0,SER_hh_tesh_in!M22/SER_summary!M$27)</f>
        <v>13.652601579085736</v>
      </c>
      <c r="N22" s="132">
        <f>IF(SER_hh_tesh_in!N22=0,0,SER_hh_tesh_in!N22/SER_summary!N$27)</f>
        <v>9.3875965945320434</v>
      </c>
      <c r="O22" s="132">
        <f>IF(SER_hh_tesh_in!O22=0,0,SER_hh_tesh_in!O22/SER_summary!O$27)</f>
        <v>15.011433494043674</v>
      </c>
      <c r="P22" s="132">
        <f>IF(SER_hh_tesh_in!P22=0,0,SER_hh_tesh_in!P22/SER_summary!P$27)</f>
        <v>15.401702434702653</v>
      </c>
      <c r="Q22" s="132">
        <f>IF(SER_hh_tesh_in!Q22=0,0,SER_hh_tesh_in!Q22/SER_summary!Q$27)</f>
        <v>14.087224127162292</v>
      </c>
      <c r="R22" s="132">
        <f>IF(SER_hh_tesh_in!R22=0,0,SER_hh_tesh_in!R22/SER_summary!R$27)</f>
        <v>12.198516956099288</v>
      </c>
      <c r="S22" s="132">
        <f>IF(SER_hh_tesh_in!S22=0,0,SER_hh_tesh_in!S22/SER_summary!S$27)</f>
        <v>14.754300068395233</v>
      </c>
      <c r="T22" s="132">
        <f>IF(SER_hh_tesh_in!T22=0,0,SER_hh_tesh_in!T22/SER_summary!T$27)</f>
        <v>14.815715448389607</v>
      </c>
      <c r="U22" s="132">
        <f>IF(SER_hh_tesh_in!U22=0,0,SER_hh_tesh_in!U22/SER_summary!U$27)</f>
        <v>15.282709091056157</v>
      </c>
      <c r="V22" s="132">
        <f>IF(SER_hh_tesh_in!V22=0,0,SER_hh_tesh_in!V22/SER_summary!V$27)</f>
        <v>13.519273163235036</v>
      </c>
      <c r="W22" s="132">
        <f>IF(SER_hh_tesh_in!W22=0,0,SER_hh_tesh_in!W22/SER_summary!W$27)</f>
        <v>16.014711745197591</v>
      </c>
      <c r="X22" s="132">
        <f>IF(SER_hh_tesh_in!X22=0,0,SER_hh_tesh_in!X22/SER_summary!X$27)</f>
        <v>0</v>
      </c>
      <c r="Y22" s="132">
        <f>IF(SER_hh_tesh_in!Y22=0,0,SER_hh_tesh_in!Y22/SER_summary!Y$27)</f>
        <v>0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14.14547051991237</v>
      </c>
      <c r="D23" s="132">
        <f>IF(SER_hh_tesh_in!D23=0,0,SER_hh_tesh_in!D23/SER_summary!D$27)</f>
        <v>14.381565927690119</v>
      </c>
      <c r="E23" s="132">
        <f>IF(SER_hh_tesh_in!E23=0,0,SER_hh_tesh_in!E23/SER_summary!E$27)</f>
        <v>14.472836667609663</v>
      </c>
      <c r="F23" s="132">
        <f>IF(SER_hh_tesh_in!F23=0,0,SER_hh_tesh_in!F23/SER_summary!F$27)</f>
        <v>14.613355833919091</v>
      </c>
      <c r="G23" s="132">
        <f>IF(SER_hh_tesh_in!G23=0,0,SER_hh_tesh_in!G23/SER_summary!G$27)</f>
        <v>14.799073925600947</v>
      </c>
      <c r="H23" s="132">
        <f>IF(SER_hh_tesh_in!H23=0,0,SER_hh_tesh_in!H23/SER_summary!H$27)</f>
        <v>14.495931183889304</v>
      </c>
      <c r="I23" s="132">
        <f>IF(SER_hh_tesh_in!I23=0,0,SER_hh_tesh_in!I23/SER_summary!I$27)</f>
        <v>14.311615115143598</v>
      </c>
      <c r="J23" s="132">
        <f>IF(SER_hh_tesh_in!J23=0,0,SER_hh_tesh_in!J23/SER_summary!J$27)</f>
        <v>14.20817051600082</v>
      </c>
      <c r="K23" s="132">
        <f>IF(SER_hh_tesh_in!K23=0,0,SER_hh_tesh_in!K23/SER_summary!K$27)</f>
        <v>14.23321475375772</v>
      </c>
      <c r="L23" s="132">
        <f>IF(SER_hh_tesh_in!L23=0,0,SER_hh_tesh_in!L23/SER_summary!L$27)</f>
        <v>13.547909582978665</v>
      </c>
      <c r="M23" s="132">
        <f>IF(SER_hh_tesh_in!M23=0,0,SER_hh_tesh_in!M23/SER_summary!M$27)</f>
        <v>14.310681775516823</v>
      </c>
      <c r="N23" s="132">
        <f>IF(SER_hh_tesh_in!N23=0,0,SER_hh_tesh_in!N23/SER_summary!N$27)</f>
        <v>13.31030131896631</v>
      </c>
      <c r="O23" s="132">
        <f>IF(SER_hh_tesh_in!O23=0,0,SER_hh_tesh_in!O23/SER_summary!O$27)</f>
        <v>14.950652361803346</v>
      </c>
      <c r="P23" s="132">
        <f>IF(SER_hh_tesh_in!P23=0,0,SER_hh_tesh_in!P23/SER_summary!P$27)</f>
        <v>15.43762534542401</v>
      </c>
      <c r="Q23" s="132">
        <f>IF(SER_hh_tesh_in!Q23=0,0,SER_hh_tesh_in!Q23/SER_summary!Q$27)</f>
        <v>15.488670308955742</v>
      </c>
      <c r="R23" s="132">
        <f>IF(SER_hh_tesh_in!R23=0,0,SER_hh_tesh_in!R23/SER_summary!R$27)</f>
        <v>13.385244631941289</v>
      </c>
      <c r="S23" s="132">
        <f>IF(SER_hh_tesh_in!S23=0,0,SER_hh_tesh_in!S23/SER_summary!S$27)</f>
        <v>15.027296668897955</v>
      </c>
      <c r="T23" s="132">
        <f>IF(SER_hh_tesh_in!T23=0,0,SER_hh_tesh_in!T23/SER_summary!T$27)</f>
        <v>15.103396167629988</v>
      </c>
      <c r="U23" s="132">
        <f>IF(SER_hh_tesh_in!U23=0,0,SER_hh_tesh_in!U23/SER_summary!U$27)</f>
        <v>15.020672997789619</v>
      </c>
      <c r="V23" s="132">
        <f>IF(SER_hh_tesh_in!V23=0,0,SER_hh_tesh_in!V23/SER_summary!V$27)</f>
        <v>13.524756713829197</v>
      </c>
      <c r="W23" s="132">
        <f>IF(SER_hh_tesh_in!W23=0,0,SER_hh_tesh_in!W23/SER_summary!W$27)</f>
        <v>16.143587024984612</v>
      </c>
      <c r="X23" s="132">
        <f>IF(SER_hh_tesh_in!X23=0,0,SER_hh_tesh_in!X23/SER_summary!X$27)</f>
        <v>0</v>
      </c>
      <c r="Y23" s="132">
        <f>IF(SER_hh_tesh_in!Y23=0,0,SER_hh_tesh_in!Y23/SER_summary!Y$27)</f>
        <v>0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14.156193526692798</v>
      </c>
      <c r="D25" s="132">
        <f>IF(SER_hh_tesh_in!D25=0,0,SER_hh_tesh_in!D25/SER_summary!D$27)</f>
        <v>14.21744953559703</v>
      </c>
      <c r="E25" s="132">
        <f>IF(SER_hh_tesh_in!E25=0,0,SER_hh_tesh_in!E25/SER_summary!E$27)</f>
        <v>14.370826311529264</v>
      </c>
      <c r="F25" s="132">
        <f>IF(SER_hh_tesh_in!F25=0,0,SER_hh_tesh_in!F25/SER_summary!F$27)</f>
        <v>14.477608022007381</v>
      </c>
      <c r="G25" s="132">
        <f>IF(SER_hh_tesh_in!G25=0,0,SER_hh_tesh_in!G25/SER_summary!G$27)</f>
        <v>14.714140111574199</v>
      </c>
      <c r="H25" s="132">
        <f>IF(SER_hh_tesh_in!H25=0,0,SER_hh_tesh_in!H25/SER_summary!H$27)</f>
        <v>14.473747107302193</v>
      </c>
      <c r="I25" s="132">
        <f>IF(SER_hh_tesh_in!I25=0,0,SER_hh_tesh_in!I25/SER_summary!I$27)</f>
        <v>14.418128512694931</v>
      </c>
      <c r="J25" s="132">
        <f>IF(SER_hh_tesh_in!J25=0,0,SER_hh_tesh_in!J25/SER_summary!J$27)</f>
        <v>14.14269027945288</v>
      </c>
      <c r="K25" s="132">
        <f>IF(SER_hh_tesh_in!K25=0,0,SER_hh_tesh_in!K25/SER_summary!K$27)</f>
        <v>14.193521716372899</v>
      </c>
      <c r="L25" s="132">
        <f>IF(SER_hh_tesh_in!L25=0,0,SER_hh_tesh_in!L25/SER_summary!L$27)</f>
        <v>13.591148338726709</v>
      </c>
      <c r="M25" s="132">
        <f>IF(SER_hh_tesh_in!M25=0,0,SER_hh_tesh_in!M25/SER_summary!M$27)</f>
        <v>14.41285238926903</v>
      </c>
      <c r="N25" s="132">
        <f>IF(SER_hh_tesh_in!N25=0,0,SER_hh_tesh_in!N25/SER_summary!N$27)</f>
        <v>13.725639548411918</v>
      </c>
      <c r="O25" s="132">
        <f>IF(SER_hh_tesh_in!O25=0,0,SER_hh_tesh_in!O25/SER_summary!O$27)</f>
        <v>15.118775792638095</v>
      </c>
      <c r="P25" s="132">
        <f>IF(SER_hh_tesh_in!P25=0,0,SER_hh_tesh_in!P25/SER_summary!P$27)</f>
        <v>15.684773441551673</v>
      </c>
      <c r="Q25" s="132">
        <f>IF(SER_hh_tesh_in!Q25=0,0,SER_hh_tesh_in!Q25/SER_summary!Q$27)</f>
        <v>15.564563079434418</v>
      </c>
      <c r="R25" s="132">
        <f>IF(SER_hh_tesh_in!R25=0,0,SER_hh_tesh_in!R25/SER_summary!R$27)</f>
        <v>14.725991781172842</v>
      </c>
      <c r="S25" s="132">
        <f>IF(SER_hh_tesh_in!S25=0,0,SER_hh_tesh_in!S25/SER_summary!S$27)</f>
        <v>14.796109387302078</v>
      </c>
      <c r="T25" s="132">
        <f>IF(SER_hh_tesh_in!T25=0,0,SER_hh_tesh_in!T25/SER_summary!T$27)</f>
        <v>14.802742076092606</v>
      </c>
      <c r="U25" s="132">
        <f>IF(SER_hh_tesh_in!U25=0,0,SER_hh_tesh_in!U25/SER_summary!U$27)</f>
        <v>14.705067787188504</v>
      </c>
      <c r="V25" s="132">
        <f>IF(SER_hh_tesh_in!V25=0,0,SER_hh_tesh_in!V25/SER_summary!V$27)</f>
        <v>13.736793887272494</v>
      </c>
      <c r="W25" s="132">
        <f>IF(SER_hh_tesh_in!W25=0,0,SER_hh_tesh_in!W25/SER_summary!W$27)</f>
        <v>15.432407889097965</v>
      </c>
      <c r="X25" s="132">
        <f>IF(SER_hh_tesh_in!X25=0,0,SER_hh_tesh_in!X25/SER_summary!X$27)</f>
        <v>14.280928538138735</v>
      </c>
      <c r="Y25" s="132">
        <f>IF(SER_hh_tesh_in!Y25=0,0,SER_hh_tesh_in!Y25/SER_summary!Y$27)</f>
        <v>15.465798448504477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13.519119669792179</v>
      </c>
      <c r="D26" s="65">
        <f>IF(SER_hh_tesh_in!D26=0,0,SER_hh_tesh_in!D26/SER_summary!D$27)</f>
        <v>12.391436725788749</v>
      </c>
      <c r="E26" s="65">
        <f>IF(SER_hh_tesh_in!E26=0,0,SER_hh_tesh_in!E26/SER_summary!E$27)</f>
        <v>13.368969391168434</v>
      </c>
      <c r="F26" s="65">
        <f>IF(SER_hh_tesh_in!F26=0,0,SER_hh_tesh_in!F26/SER_summary!F$27)</f>
        <v>12.499244620284184</v>
      </c>
      <c r="G26" s="65">
        <f>IF(SER_hh_tesh_in!G26=0,0,SER_hh_tesh_in!G26/SER_summary!G$27)</f>
        <v>12.769364852149627</v>
      </c>
      <c r="H26" s="65">
        <f>IF(SER_hh_tesh_in!H26=0,0,SER_hh_tesh_in!H26/SER_summary!H$27)</f>
        <v>12.70092345253126</v>
      </c>
      <c r="I26" s="65">
        <f>IF(SER_hh_tesh_in!I26=0,0,SER_hh_tesh_in!I26/SER_summary!I$27)</f>
        <v>12.670732488923468</v>
      </c>
      <c r="J26" s="65">
        <f>IF(SER_hh_tesh_in!J26=0,0,SER_hh_tesh_in!J26/SER_summary!J$27)</f>
        <v>7.2830585855931602</v>
      </c>
      <c r="K26" s="65">
        <f>IF(SER_hh_tesh_in!K26=0,0,SER_hh_tesh_in!K26/SER_summary!K$27)</f>
        <v>7.3798120183254357</v>
      </c>
      <c r="L26" s="65">
        <f>IF(SER_hh_tesh_in!L26=0,0,SER_hh_tesh_in!L26/SER_summary!L$27)</f>
        <v>3.8262338300880625</v>
      </c>
      <c r="M26" s="65">
        <f>IF(SER_hh_tesh_in!M26=0,0,SER_hh_tesh_in!M26/SER_summary!M$27)</f>
        <v>3.9226587514386169</v>
      </c>
      <c r="N26" s="65">
        <f>IF(SER_hh_tesh_in!N26=0,0,SER_hh_tesh_in!N26/SER_summary!N$27)</f>
        <v>4.0753667286008355</v>
      </c>
      <c r="O26" s="65">
        <f>IF(SER_hh_tesh_in!O26=0,0,SER_hh_tesh_in!O26/SER_summary!O$27)</f>
        <v>4.0832153059802723</v>
      </c>
      <c r="P26" s="65">
        <f>IF(SER_hh_tesh_in!P26=0,0,SER_hh_tesh_in!P26/SER_summary!P$27)</f>
        <v>5.7315482595271341</v>
      </c>
      <c r="Q26" s="65">
        <f>IF(SER_hh_tesh_in!Q26=0,0,SER_hh_tesh_in!Q26/SER_summary!Q$27)</f>
        <v>4.6431034769708086</v>
      </c>
      <c r="R26" s="65">
        <f>IF(SER_hh_tesh_in!R26=0,0,SER_hh_tesh_in!R26/SER_summary!R$27)</f>
        <v>4.3290044494408972</v>
      </c>
      <c r="S26" s="65">
        <f>IF(SER_hh_tesh_in!S26=0,0,SER_hh_tesh_in!S26/SER_summary!S$27)</f>
        <v>3.9779868289295179</v>
      </c>
      <c r="T26" s="65">
        <f>IF(SER_hh_tesh_in!T26=0,0,SER_hh_tesh_in!T26/SER_summary!T$27)</f>
        <v>4.0530498890631259</v>
      </c>
      <c r="U26" s="65">
        <f>IF(SER_hh_tesh_in!U26=0,0,SER_hh_tesh_in!U26/SER_summary!U$27)</f>
        <v>3.7495387274299756</v>
      </c>
      <c r="V26" s="65">
        <f>IF(SER_hh_tesh_in!V26=0,0,SER_hh_tesh_in!V26/SER_summary!V$27)</f>
        <v>3.2707967876768831</v>
      </c>
      <c r="W26" s="65">
        <f>IF(SER_hh_tesh_in!W26=0,0,SER_hh_tesh_in!W26/SER_summary!W$27)</f>
        <v>2.6848852982755935</v>
      </c>
      <c r="X26" s="65">
        <f>IF(SER_hh_tesh_in!X26=0,0,SER_hh_tesh_in!X26/SER_summary!X$27)</f>
        <v>13.331294694784313</v>
      </c>
      <c r="Y26" s="65">
        <f>IF(SER_hh_tesh_in!Y26=0,0,SER_hh_tesh_in!Y26/SER_summary!Y$27)</f>
        <v>6.2327497397859171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0.36469329270383927</v>
      </c>
      <c r="D27" s="145">
        <f>IF(SER_hh_tesh_in!D27=0,0,SER_hh_tesh_in!D27/SER_summary!D$27)</f>
        <v>0.85551493889639008</v>
      </c>
      <c r="E27" s="145">
        <f>IF(SER_hh_tesh_in!E27=0,0,SER_hh_tesh_in!E27/SER_summary!E$27)</f>
        <v>0.46117044937537932</v>
      </c>
      <c r="F27" s="145">
        <f>IF(SER_hh_tesh_in!F27=0,0,SER_hh_tesh_in!F27/SER_summary!F$27)</f>
        <v>1.1018792216544138</v>
      </c>
      <c r="G27" s="145">
        <f>IF(SER_hh_tesh_in!G27=0,0,SER_hh_tesh_in!G27/SER_summary!G$27)</f>
        <v>0.9706539642300489</v>
      </c>
      <c r="H27" s="145">
        <f>IF(SER_hh_tesh_in!H27=0,0,SER_hh_tesh_in!H27/SER_summary!H$27)</f>
        <v>0.96580565524132012</v>
      </c>
      <c r="I27" s="145">
        <f>IF(SER_hh_tesh_in!I27=0,0,SER_hh_tesh_in!I27/SER_summary!I$27)</f>
        <v>0.96258043174062791</v>
      </c>
      <c r="J27" s="145">
        <f>IF(SER_hh_tesh_in!J27=0,0,SER_hh_tesh_in!J27/SER_summary!J$27)</f>
        <v>2.9515644053776104</v>
      </c>
      <c r="K27" s="145">
        <f>IF(SER_hh_tesh_in!K27=0,0,SER_hh_tesh_in!K27/SER_summary!K$27)</f>
        <v>2.9066141423883165</v>
      </c>
      <c r="L27" s="145">
        <f>IF(SER_hh_tesh_in!L27=0,0,SER_hh_tesh_in!L27/SER_summary!L$27)</f>
        <v>4.4041133356978133</v>
      </c>
      <c r="M27" s="145">
        <f>IF(SER_hh_tesh_in!M27=0,0,SER_hh_tesh_in!M27/SER_summary!M$27)</f>
        <v>4.8095999063294483</v>
      </c>
      <c r="N27" s="145">
        <f>IF(SER_hh_tesh_in!N27=0,0,SER_hh_tesh_in!N27/SER_summary!N$27)</f>
        <v>4.2907035940815854</v>
      </c>
      <c r="O27" s="145">
        <f>IF(SER_hh_tesh_in!O27=0,0,SER_hh_tesh_in!O27/SER_summary!O$27)</f>
        <v>3.4178691833821588</v>
      </c>
      <c r="P27" s="145">
        <f>IF(SER_hh_tesh_in!P27=0,0,SER_hh_tesh_in!P27/SER_summary!P$27)</f>
        <v>3.9522034639702741</v>
      </c>
      <c r="Q27" s="145">
        <f>IF(SER_hh_tesh_in!Q27=0,0,SER_hh_tesh_in!Q27/SER_summary!Q$27)</f>
        <v>3.780369416560871</v>
      </c>
      <c r="R27" s="145">
        <f>IF(SER_hh_tesh_in!R27=0,0,SER_hh_tesh_in!R27/SER_summary!R$27)</f>
        <v>3.2584663358391426</v>
      </c>
      <c r="S27" s="145">
        <f>IF(SER_hh_tesh_in!S27=0,0,SER_hh_tesh_in!S27/SER_summary!S$27)</f>
        <v>3.4761198893353984</v>
      </c>
      <c r="T27" s="145">
        <f>IF(SER_hh_tesh_in!T27=0,0,SER_hh_tesh_in!T27/SER_summary!T$27)</f>
        <v>3.7972660635569593</v>
      </c>
      <c r="U27" s="145">
        <f>IF(SER_hh_tesh_in!U27=0,0,SER_hh_tesh_in!U27/SER_summary!U$27)</f>
        <v>4.1821546730068269</v>
      </c>
      <c r="V27" s="145">
        <f>IF(SER_hh_tesh_in!V27=0,0,SER_hh_tesh_in!V27/SER_summary!V$27)</f>
        <v>5.5917897053779662</v>
      </c>
      <c r="W27" s="145">
        <f>IF(SER_hh_tesh_in!W27=0,0,SER_hh_tesh_in!W27/SER_summary!W$27)</f>
        <v>5.912393926195497</v>
      </c>
      <c r="X27" s="145">
        <f>IF(SER_hh_tesh_in!X27=0,0,SER_hh_tesh_in!X27/SER_summary!X$27)</f>
        <v>2.1591559336937696</v>
      </c>
      <c r="Y27" s="145">
        <f>IF(SER_hh_tesh_in!Y27=0,0,SER_hh_tesh_in!Y27/SER_summary!Y$27)</f>
        <v>8.1077777006314218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10.177788063340319</v>
      </c>
      <c r="D28" s="146">
        <f>IF(SER_hh_tesh_in!D28=0,0,SER_hh_tesh_in!D28/SER_summary!D$27)</f>
        <v>10.138254971114399</v>
      </c>
      <c r="E28" s="146">
        <f>IF(SER_hh_tesh_in!E28=0,0,SER_hh_tesh_in!E28/SER_summary!E$27)</f>
        <v>10.763657581000359</v>
      </c>
      <c r="F28" s="146">
        <f>IF(SER_hh_tesh_in!F28=0,0,SER_hh_tesh_in!F28/SER_summary!F$27)</f>
        <v>10.607652903017781</v>
      </c>
      <c r="G28" s="146">
        <f>IF(SER_hh_tesh_in!G28=0,0,SER_hh_tesh_in!G28/SER_summary!G$27)</f>
        <v>10.753530776435239</v>
      </c>
      <c r="H28" s="146">
        <f>IF(SER_hh_tesh_in!H28=0,0,SER_hh_tesh_in!H28/SER_summary!H$27)</f>
        <v>10.534852338732028</v>
      </c>
      <c r="I28" s="146">
        <f>IF(SER_hh_tesh_in!I28=0,0,SER_hh_tesh_in!I28/SER_summary!I$27)</f>
        <v>10.588256014433769</v>
      </c>
      <c r="J28" s="146">
        <f>IF(SER_hh_tesh_in!J28=0,0,SER_hh_tesh_in!J28/SER_summary!J$27)</f>
        <v>10.78818229713819</v>
      </c>
      <c r="K28" s="146">
        <f>IF(SER_hh_tesh_in!K28=0,0,SER_hh_tesh_in!K28/SER_summary!K$27)</f>
        <v>11.156802912182959</v>
      </c>
      <c r="L28" s="146">
        <f>IF(SER_hh_tesh_in!L28=0,0,SER_hh_tesh_in!L28/SER_summary!L$27)</f>
        <v>11.248437503541689</v>
      </c>
      <c r="M28" s="146">
        <f>IF(SER_hh_tesh_in!M28=0,0,SER_hh_tesh_in!M28/SER_summary!M$27)</f>
        <v>11.08943205021731</v>
      </c>
      <c r="N28" s="146">
        <f>IF(SER_hh_tesh_in!N28=0,0,SER_hh_tesh_in!N28/SER_summary!N$27)</f>
        <v>11.251603042348687</v>
      </c>
      <c r="O28" s="146">
        <f>IF(SER_hh_tesh_in!O28=0,0,SER_hh_tesh_in!O28/SER_summary!O$27)</f>
        <v>11.929738945031374</v>
      </c>
      <c r="P28" s="146">
        <f>IF(SER_hh_tesh_in!P28=0,0,SER_hh_tesh_in!P28/SER_summary!P$27)</f>
        <v>11.650681117132612</v>
      </c>
      <c r="Q28" s="146">
        <f>IF(SER_hh_tesh_in!Q28=0,0,SER_hh_tesh_in!Q28/SER_summary!Q$27)</f>
        <v>11.017407821562692</v>
      </c>
      <c r="R28" s="146">
        <f>IF(SER_hh_tesh_in!R28=0,0,SER_hh_tesh_in!R28/SER_summary!R$27)</f>
        <v>10.840012502282406</v>
      </c>
      <c r="S28" s="146">
        <f>IF(SER_hh_tesh_in!S28=0,0,SER_hh_tesh_in!S28/SER_summary!S$27)</f>
        <v>11.315131809437824</v>
      </c>
      <c r="T28" s="146">
        <f>IF(SER_hh_tesh_in!T28=0,0,SER_hh_tesh_in!T28/SER_summary!T$27)</f>
        <v>11.251743480156627</v>
      </c>
      <c r="U28" s="146">
        <f>IF(SER_hh_tesh_in!U28=0,0,SER_hh_tesh_in!U28/SER_summary!U$27)</f>
        <v>11.56810382484591</v>
      </c>
      <c r="V28" s="146">
        <f>IF(SER_hh_tesh_in!V28=0,0,SER_hh_tesh_in!V28/SER_summary!V$27)</f>
        <v>10.88597422822232</v>
      </c>
      <c r="W28" s="146">
        <f>IF(SER_hh_tesh_in!W28=0,0,SER_hh_tesh_in!W28/SER_summary!W$27)</f>
        <v>10.349409674388424</v>
      </c>
      <c r="X28" s="146">
        <f>IF(SER_hh_tesh_in!X28=0,0,SER_hh_tesh_in!X28/SER_summary!X$27)</f>
        <v>10.836616744023846</v>
      </c>
      <c r="Y28" s="146">
        <f>IF(SER_hh_tesh_in!Y28=0,0,SER_hh_tesh_in!Y28/SER_summary!Y$27)</f>
        <v>10.525966004334478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17.518097490213872</v>
      </c>
      <c r="D29" s="130">
        <f>IF(SER_hh_tesh_in!D29=0,0,SER_hh_tesh_in!D29/SER_summary!D$27)</f>
        <v>17.312568382668942</v>
      </c>
      <c r="E29" s="130">
        <f>IF(SER_hh_tesh_in!E29=0,0,SER_hh_tesh_in!E29/SER_summary!E$27)</f>
        <v>16.8990964331371</v>
      </c>
      <c r="F29" s="130">
        <f>IF(SER_hh_tesh_in!F29=0,0,SER_hh_tesh_in!F29/SER_summary!F$27)</f>
        <v>17.294712844366376</v>
      </c>
      <c r="G29" s="130">
        <f>IF(SER_hh_tesh_in!G29=0,0,SER_hh_tesh_in!G29/SER_summary!G$27)</f>
        <v>17.482069904784364</v>
      </c>
      <c r="H29" s="130">
        <f>IF(SER_hh_tesh_in!H29=0,0,SER_hh_tesh_in!H29/SER_summary!H$27)</f>
        <v>17.699831674421006</v>
      </c>
      <c r="I29" s="130">
        <f>IF(SER_hh_tesh_in!I29=0,0,SER_hh_tesh_in!I29/SER_summary!I$27)</f>
        <v>17.976086202387876</v>
      </c>
      <c r="J29" s="130">
        <f>IF(SER_hh_tesh_in!J29=0,0,SER_hh_tesh_in!J29/SER_summary!J$27)</f>
        <v>18.592909503067105</v>
      </c>
      <c r="K29" s="130">
        <f>IF(SER_hh_tesh_in!K29=0,0,SER_hh_tesh_in!K29/SER_summary!K$27)</f>
        <v>19.711338438500345</v>
      </c>
      <c r="L29" s="130">
        <f>IF(SER_hh_tesh_in!L29=0,0,SER_hh_tesh_in!L29/SER_summary!L$27)</f>
        <v>19.712584368404215</v>
      </c>
      <c r="M29" s="130">
        <f>IF(SER_hh_tesh_in!M29=0,0,SER_hh_tesh_in!M29/SER_summary!M$27)</f>
        <v>19.708706555226598</v>
      </c>
      <c r="N29" s="130">
        <f>IF(SER_hh_tesh_in!N29=0,0,SER_hh_tesh_in!N29/SER_summary!N$27)</f>
        <v>20.441068386176966</v>
      </c>
      <c r="O29" s="130">
        <f>IF(SER_hh_tesh_in!O29=0,0,SER_hh_tesh_in!O29/SER_summary!O$27)</f>
        <v>20.897124309909671</v>
      </c>
      <c r="P29" s="130">
        <f>IF(SER_hh_tesh_in!P29=0,0,SER_hh_tesh_in!P29/SER_summary!P$27)</f>
        <v>21.290890868359369</v>
      </c>
      <c r="Q29" s="130">
        <f>IF(SER_hh_tesh_in!Q29=0,0,SER_hh_tesh_in!Q29/SER_summary!Q$27)</f>
        <v>21.260831571203408</v>
      </c>
      <c r="R29" s="130">
        <f>IF(SER_hh_tesh_in!R29=0,0,SER_hh_tesh_in!R29/SER_summary!R$27)</f>
        <v>21.907540740204201</v>
      </c>
      <c r="S29" s="130">
        <f>IF(SER_hh_tesh_in!S29=0,0,SER_hh_tesh_in!S29/SER_summary!S$27)</f>
        <v>22.347570559172866</v>
      </c>
      <c r="T29" s="130">
        <f>IF(SER_hh_tesh_in!T29=0,0,SER_hh_tesh_in!T29/SER_summary!T$27)</f>
        <v>22.833461296635498</v>
      </c>
      <c r="U29" s="130">
        <f>IF(SER_hh_tesh_in!U29=0,0,SER_hh_tesh_in!U29/SER_summary!U$27)</f>
        <v>23.225927388921839</v>
      </c>
      <c r="V29" s="130">
        <f>IF(SER_hh_tesh_in!V29=0,0,SER_hh_tesh_in!V29/SER_summary!V$27)</f>
        <v>19.898635820563598</v>
      </c>
      <c r="W29" s="130">
        <f>IF(SER_hh_tesh_in!W29=0,0,SER_hh_tesh_in!W29/SER_summary!W$27)</f>
        <v>22.821311521063322</v>
      </c>
      <c r="X29" s="130">
        <f>IF(SER_hh_tesh_in!X29=0,0,SER_hh_tesh_in!X29/SER_summary!X$27)</f>
        <v>24.121886496132007</v>
      </c>
      <c r="Y29" s="130">
        <f>IF(SER_hh_tesh_in!Y29=0,0,SER_hh_tesh_in!Y29/SER_summary!Y$27)</f>
        <v>23.11118611252142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20.887556901288381</v>
      </c>
      <c r="D30" s="132">
        <f>IF(SER_hh_tesh_in!D30=0,0,SER_hh_tesh_in!D30/SER_summary!D$27)</f>
        <v>16.454838049017088</v>
      </c>
      <c r="E30" s="132">
        <f>IF(SER_hh_tesh_in!E30=0,0,SER_hh_tesh_in!E30/SER_summary!E$27)</f>
        <v>17.089289800389654</v>
      </c>
      <c r="F30" s="132">
        <f>IF(SER_hh_tesh_in!F30=0,0,SER_hh_tesh_in!F30/SER_summary!F$27)</f>
        <v>18.393071418352395</v>
      </c>
      <c r="G30" s="132">
        <f>IF(SER_hh_tesh_in!G30=0,0,SER_hh_tesh_in!G30/SER_summary!G$27)</f>
        <v>16.804979951244402</v>
      </c>
      <c r="H30" s="132">
        <f>IF(SER_hh_tesh_in!H30=0,0,SER_hh_tesh_in!H30/SER_summary!H$27)</f>
        <v>18.373718034260111</v>
      </c>
      <c r="I30" s="132">
        <f>IF(SER_hh_tesh_in!I30=0,0,SER_hh_tesh_in!I30/SER_summary!I$27)</f>
        <v>17.201094563729409</v>
      </c>
      <c r="J30" s="132">
        <f>IF(SER_hh_tesh_in!J30=0,0,SER_hh_tesh_in!J30/SER_summary!J$27)</f>
        <v>17.70516443864215</v>
      </c>
      <c r="K30" s="132">
        <f>IF(SER_hh_tesh_in!K30=0,0,SER_hh_tesh_in!K30/SER_summary!K$27)</f>
        <v>20.861194689796509</v>
      </c>
      <c r="L30" s="132">
        <f>IF(SER_hh_tesh_in!L30=0,0,SER_hh_tesh_in!L30/SER_summary!L$27)</f>
        <v>22.671478775904355</v>
      </c>
      <c r="M30" s="132">
        <f>IF(SER_hh_tesh_in!M30=0,0,SER_hh_tesh_in!M30/SER_summary!M$27)</f>
        <v>19.984254859623476</v>
      </c>
      <c r="N30" s="132">
        <f>IF(SER_hh_tesh_in!N30=0,0,SER_hh_tesh_in!N30/SER_summary!N$27)</f>
        <v>20.10947968006808</v>
      </c>
      <c r="O30" s="132">
        <f>IF(SER_hh_tesh_in!O30=0,0,SER_hh_tesh_in!O30/SER_summary!O$27)</f>
        <v>20.739011165624444</v>
      </c>
      <c r="P30" s="132">
        <f>IF(SER_hh_tesh_in!P30=0,0,SER_hh_tesh_in!P30/SER_summary!P$27)</f>
        <v>20.853466770186209</v>
      </c>
      <c r="Q30" s="132">
        <f>IF(SER_hh_tesh_in!Q30=0,0,SER_hh_tesh_in!Q30/SER_summary!Q$27)</f>
        <v>20.707101376628003</v>
      </c>
      <c r="R30" s="132">
        <f>IF(SER_hh_tesh_in!R30=0,0,SER_hh_tesh_in!R30/SER_summary!R$27)</f>
        <v>23.258594029219267</v>
      </c>
      <c r="S30" s="132">
        <f>IF(SER_hh_tesh_in!S30=0,0,SER_hh_tesh_in!S30/SER_summary!S$27)</f>
        <v>22.020864584945222</v>
      </c>
      <c r="T30" s="132">
        <f>IF(SER_hh_tesh_in!T30=0,0,SER_hh_tesh_in!T30/SER_summary!T$27)</f>
        <v>21.820205811805337</v>
      </c>
      <c r="U30" s="132">
        <f>IF(SER_hh_tesh_in!U30=0,0,SER_hh_tesh_in!U30/SER_summary!U$27)</f>
        <v>23.883387261203868</v>
      </c>
      <c r="V30" s="132">
        <f>IF(SER_hh_tesh_in!V30=0,0,SER_hh_tesh_in!V30/SER_summary!V$27)</f>
        <v>20.344618190826807</v>
      </c>
      <c r="W30" s="132">
        <f>IF(SER_hh_tesh_in!W30=0,0,SER_hh_tesh_in!W30/SER_summary!W$27)</f>
        <v>26.538109226580854</v>
      </c>
      <c r="X30" s="132">
        <f>IF(SER_hh_tesh_in!X30=0,0,SER_hh_tesh_in!X30/SER_summary!X$27)</f>
        <v>0</v>
      </c>
      <c r="Y30" s="132">
        <f>IF(SER_hh_tesh_in!Y30=0,0,SER_hh_tesh_in!Y30/SER_summary!Y$27)</f>
        <v>0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17.171590946258824</v>
      </c>
      <c r="D31" s="132">
        <f>IF(SER_hh_tesh_in!D31=0,0,SER_hh_tesh_in!D31/SER_summary!D$27)</f>
        <v>17.262728697145842</v>
      </c>
      <c r="E31" s="132">
        <f>IF(SER_hh_tesh_in!E31=0,0,SER_hh_tesh_in!E31/SER_summary!E$27)</f>
        <v>17.133209484687626</v>
      </c>
      <c r="F31" s="132">
        <f>IF(SER_hh_tesh_in!F31=0,0,SER_hh_tesh_in!F31/SER_summary!F$27)</f>
        <v>17.043061593175924</v>
      </c>
      <c r="G31" s="132">
        <f>IF(SER_hh_tesh_in!G31=0,0,SER_hh_tesh_in!G31/SER_summary!G$27)</f>
        <v>17.568556948460454</v>
      </c>
      <c r="H31" s="132">
        <f>IF(SER_hh_tesh_in!H31=0,0,SER_hh_tesh_in!H31/SER_summary!H$27)</f>
        <v>17.53145117153597</v>
      </c>
      <c r="I31" s="132">
        <f>IF(SER_hh_tesh_in!I31=0,0,SER_hh_tesh_in!I31/SER_summary!I$27)</f>
        <v>18.062920708697121</v>
      </c>
      <c r="J31" s="132">
        <f>IF(SER_hh_tesh_in!J31=0,0,SER_hh_tesh_in!J31/SER_summary!J$27)</f>
        <v>18.825628376696045</v>
      </c>
      <c r="K31" s="132">
        <f>IF(SER_hh_tesh_in!K31=0,0,SER_hh_tesh_in!K31/SER_summary!K$27)</f>
        <v>19.330420167537451</v>
      </c>
      <c r="L31" s="132">
        <f>IF(SER_hh_tesh_in!L31=0,0,SER_hh_tesh_in!L31/SER_summary!L$27)</f>
        <v>19.350097053736437</v>
      </c>
      <c r="M31" s="132">
        <f>IF(SER_hh_tesh_in!M31=0,0,SER_hh_tesh_in!M31/SER_summary!M$27)</f>
        <v>19.856827985045964</v>
      </c>
      <c r="N31" s="132">
        <f>IF(SER_hh_tesh_in!N31=0,0,SER_hh_tesh_in!N31/SER_summary!N$27)</f>
        <v>20.707030892244045</v>
      </c>
      <c r="O31" s="132">
        <f>IF(SER_hh_tesh_in!O31=0,0,SER_hh_tesh_in!O31/SER_summary!O$27)</f>
        <v>20.61755001330933</v>
      </c>
      <c r="P31" s="132">
        <f>IF(SER_hh_tesh_in!P31=0,0,SER_hh_tesh_in!P31/SER_summary!P$27)</f>
        <v>20.740390692187599</v>
      </c>
      <c r="Q31" s="132">
        <f>IF(SER_hh_tesh_in!Q31=0,0,SER_hh_tesh_in!Q31/SER_summary!Q$27)</f>
        <v>21.535996664965435</v>
      </c>
      <c r="R31" s="132">
        <f>IF(SER_hh_tesh_in!R31=0,0,SER_hh_tesh_in!R31/SER_summary!R$27)</f>
        <v>21.77773707634891</v>
      </c>
      <c r="S31" s="132">
        <f>IF(SER_hh_tesh_in!S31=0,0,SER_hh_tesh_in!S31/SER_summary!S$27)</f>
        <v>22.765038546903263</v>
      </c>
      <c r="T31" s="132">
        <f>IF(SER_hh_tesh_in!T31=0,0,SER_hh_tesh_in!T31/SER_summary!T$27)</f>
        <v>23.08071897241507</v>
      </c>
      <c r="U31" s="132">
        <f>IF(SER_hh_tesh_in!U31=0,0,SER_hh_tesh_in!U31/SER_summary!U$27)</f>
        <v>22.658900915026447</v>
      </c>
      <c r="V31" s="132">
        <f>IF(SER_hh_tesh_in!V31=0,0,SER_hh_tesh_in!V31/SER_summary!V$27)</f>
        <v>18.96173549067797</v>
      </c>
      <c r="W31" s="132">
        <f>IF(SER_hh_tesh_in!W31=0,0,SER_hh_tesh_in!W31/SER_summary!W$27)</f>
        <v>19.786118365839506</v>
      </c>
      <c r="X31" s="132">
        <f>IF(SER_hh_tesh_in!X31=0,0,SER_hh_tesh_in!X31/SER_summary!X$27)</f>
        <v>28.782862442580299</v>
      </c>
      <c r="Y31" s="132">
        <f>IF(SER_hh_tesh_in!Y31=0,0,SER_hh_tesh_in!Y31/SER_summary!Y$27)</f>
        <v>22.109562835369289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28.275944802499506</v>
      </c>
      <c r="L32" s="132">
        <f>IF(SER_hh_tesh_in!L32=0,0,SER_hh_tesh_in!L32/SER_summary!L$27)</f>
        <v>22.472217320235981</v>
      </c>
      <c r="M32" s="132">
        <f>IF(SER_hh_tesh_in!M32=0,0,SER_hh_tesh_in!M32/SER_summary!M$27)</f>
        <v>18.944599460706673</v>
      </c>
      <c r="N32" s="132">
        <f>IF(SER_hh_tesh_in!N32=0,0,SER_hh_tesh_in!N32/SER_summary!N$27)</f>
        <v>20.200207390217034</v>
      </c>
      <c r="O32" s="132">
        <f>IF(SER_hh_tesh_in!O32=0,0,SER_hh_tesh_in!O32/SER_summary!O$27)</f>
        <v>20.59358212307367</v>
      </c>
      <c r="P32" s="132">
        <f>IF(SER_hh_tesh_in!P32=0,0,SER_hh_tesh_in!P32/SER_summary!P$27)</f>
        <v>19.508992618441834</v>
      </c>
      <c r="Q32" s="132">
        <f>IF(SER_hh_tesh_in!Q32=0,0,SER_hh_tesh_in!Q32/SER_summary!Q$27)</f>
        <v>19.466884070465245</v>
      </c>
      <c r="R32" s="132">
        <f>IF(SER_hh_tesh_in!R32=0,0,SER_hh_tesh_in!R32/SER_summary!R$27)</f>
        <v>18.96323361623471</v>
      </c>
      <c r="S32" s="132">
        <f>IF(SER_hh_tesh_in!S32=0,0,SER_hh_tesh_in!S32/SER_summary!S$27)</f>
        <v>19.903402371469731</v>
      </c>
      <c r="T32" s="132">
        <f>IF(SER_hh_tesh_in!T32=0,0,SER_hh_tesh_in!T32/SER_summary!T$27)</f>
        <v>24.149561970966023</v>
      </c>
      <c r="U32" s="132">
        <f>IF(SER_hh_tesh_in!U32=0,0,SER_hh_tesh_in!U32/SER_summary!U$27)</f>
        <v>25.295266522392929</v>
      </c>
      <c r="V32" s="132">
        <f>IF(SER_hh_tesh_in!V32=0,0,SER_hh_tesh_in!V32/SER_summary!V$27)</f>
        <v>20.855296435661746</v>
      </c>
      <c r="W32" s="132">
        <f>IF(SER_hh_tesh_in!W32=0,0,SER_hh_tesh_in!W32/SER_summary!W$27)</f>
        <v>20.97829298845474</v>
      </c>
      <c r="X32" s="132">
        <f>IF(SER_hh_tesh_in!X32=0,0,SER_hh_tesh_in!X32/SER_summary!X$27)</f>
        <v>17.118647880473798</v>
      </c>
      <c r="Y32" s="132">
        <f>IF(SER_hh_tesh_in!Y32=0,0,SER_hh_tesh_in!Y32/SER_summary!Y$27)</f>
        <v>26.712226188786133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16.97576733085193</v>
      </c>
      <c r="D33" s="68">
        <f>IF(SER_hh_tesh_in!D33=0,0,SER_hh_tesh_in!D33/SER_summary!D$27)</f>
        <v>17.412834937955875</v>
      </c>
      <c r="E33" s="68">
        <f>IF(SER_hh_tesh_in!E33=0,0,SER_hh_tesh_in!E33/SER_summary!E$27)</f>
        <v>16.855179656100571</v>
      </c>
      <c r="F33" s="68">
        <f>IF(SER_hh_tesh_in!F33=0,0,SER_hh_tesh_in!F33/SER_summary!F$27)</f>
        <v>17.217422225850026</v>
      </c>
      <c r="G33" s="68">
        <f>IF(SER_hh_tesh_in!G33=0,0,SER_hh_tesh_in!G33/SER_summary!G$27)</f>
        <v>17.5178584328273</v>
      </c>
      <c r="H33" s="68">
        <f>IF(SER_hh_tesh_in!H33=0,0,SER_hh_tesh_in!H33/SER_summary!H$27)</f>
        <v>17.671129418578285</v>
      </c>
      <c r="I33" s="68">
        <f>IF(SER_hh_tesh_in!I33=0,0,SER_hh_tesh_in!I33/SER_summary!I$27)</f>
        <v>18.013912106580953</v>
      </c>
      <c r="J33" s="68">
        <f>IF(SER_hh_tesh_in!J33=0,0,SER_hh_tesh_in!J33/SER_summary!J$27)</f>
        <v>18.667517734064486</v>
      </c>
      <c r="K33" s="68">
        <f>IF(SER_hh_tesh_in!K33=0,0,SER_hh_tesh_in!K33/SER_summary!K$27)</f>
        <v>19.222272225887703</v>
      </c>
      <c r="L33" s="68">
        <f>IF(SER_hh_tesh_in!L33=0,0,SER_hh_tesh_in!L33/SER_summary!L$27)</f>
        <v>19.431961552369838</v>
      </c>
      <c r="M33" s="68">
        <f>IF(SER_hh_tesh_in!M33=0,0,SER_hh_tesh_in!M33/SER_summary!M$27)</f>
        <v>19.669872180287403</v>
      </c>
      <c r="N33" s="68">
        <f>IF(SER_hh_tesh_in!N33=0,0,SER_hh_tesh_in!N33/SER_summary!N$27)</f>
        <v>20.437167738418882</v>
      </c>
      <c r="O33" s="68">
        <f>IF(SER_hh_tesh_in!O33=0,0,SER_hh_tesh_in!O33/SER_summary!O$27)</f>
        <v>20.943140807095414</v>
      </c>
      <c r="P33" s="68">
        <f>IF(SER_hh_tesh_in!P33=0,0,SER_hh_tesh_in!P33/SER_summary!P$27)</f>
        <v>21.376594495183056</v>
      </c>
      <c r="Q33" s="68">
        <f>IF(SER_hh_tesh_in!Q33=0,0,SER_hh_tesh_in!Q33/SER_summary!Q$27)</f>
        <v>21.270811499537569</v>
      </c>
      <c r="R33" s="68">
        <f>IF(SER_hh_tesh_in!R33=0,0,SER_hh_tesh_in!R33/SER_summary!R$27)</f>
        <v>21.821556943230995</v>
      </c>
      <c r="S33" s="68">
        <f>IF(SER_hh_tesh_in!S33=0,0,SER_hh_tesh_in!S33/SER_summary!S$27)</f>
        <v>22.326459445531555</v>
      </c>
      <c r="T33" s="68">
        <f>IF(SER_hh_tesh_in!T33=0,0,SER_hh_tesh_in!T33/SER_summary!T$27)</f>
        <v>22.850742372012352</v>
      </c>
      <c r="U33" s="68">
        <f>IF(SER_hh_tesh_in!U33=0,0,SER_hh_tesh_in!U33/SER_summary!U$27)</f>
        <v>23.199279304916335</v>
      </c>
      <c r="V33" s="68">
        <f>IF(SER_hh_tesh_in!V33=0,0,SER_hh_tesh_in!V33/SER_summary!V$27)</f>
        <v>20.070043644059385</v>
      </c>
      <c r="W33" s="68">
        <f>IF(SER_hh_tesh_in!W33=0,0,SER_hh_tesh_in!W33/SER_summary!W$27)</f>
        <v>23.603980486096951</v>
      </c>
      <c r="X33" s="68">
        <f>IF(SER_hh_tesh_in!X33=0,0,SER_hh_tesh_in!X33/SER_summary!X$27)</f>
        <v>22.470194284291175</v>
      </c>
      <c r="Y33" s="68">
        <f>IF(SER_hh_tesh_in!Y33=0,0,SER_hh_tesh_in!Y33/SER_summary!Y$27)</f>
        <v>23.446680277419034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25.091187386171413</v>
      </c>
      <c r="D3" s="125">
        <f>IF(SER_hh_emih_in!D3=0,0,SER_hh_emih_in!D3/SER_summary!D$27)</f>
        <v>21.651637193157828</v>
      </c>
      <c r="E3" s="125">
        <f>IF(SER_hh_emih_in!E3=0,0,SER_hh_emih_in!E3/SER_summary!E$27)</f>
        <v>20.109871960515328</v>
      </c>
      <c r="F3" s="125">
        <f>IF(SER_hh_emih_in!F3=0,0,SER_hh_emih_in!F3/SER_summary!F$27)</f>
        <v>14.322821240995721</v>
      </c>
      <c r="G3" s="125">
        <f>IF(SER_hh_emih_in!G3=0,0,SER_hh_emih_in!G3/SER_summary!G$27)</f>
        <v>12.013405840491044</v>
      </c>
      <c r="H3" s="125">
        <f>IF(SER_hh_emih_in!H3=0,0,SER_hh_emih_in!H3/SER_summary!H$27)</f>
        <v>9.2744284277607552</v>
      </c>
      <c r="I3" s="125">
        <f>IF(SER_hh_emih_in!I3=0,0,SER_hh_emih_in!I3/SER_summary!I$27)</f>
        <v>8.1594260948685662</v>
      </c>
      <c r="J3" s="125">
        <f>IF(SER_hh_emih_in!J3=0,0,SER_hh_emih_in!J3/SER_summary!J$27)</f>
        <v>10.83210548441053</v>
      </c>
      <c r="K3" s="125">
        <f>IF(SER_hh_emih_in!K3=0,0,SER_hh_emih_in!K3/SER_summary!K$27)</f>
        <v>12.176425395445582</v>
      </c>
      <c r="L3" s="125">
        <f>IF(SER_hh_emih_in!L3=0,0,SER_hh_emih_in!L3/SER_summary!L$27)</f>
        <v>14.604277111489862</v>
      </c>
      <c r="M3" s="125">
        <f>IF(SER_hh_emih_in!M3=0,0,SER_hh_emih_in!M3/SER_summary!M$27)</f>
        <v>10.549156475814657</v>
      </c>
      <c r="N3" s="125">
        <f>IF(SER_hh_emih_in!N3=0,0,SER_hh_emih_in!N3/SER_summary!N$27)</f>
        <v>12.645875964900696</v>
      </c>
      <c r="O3" s="125">
        <f>IF(SER_hh_emih_in!O3=0,0,SER_hh_emih_in!O3/SER_summary!O$27)</f>
        <v>13.769010401767932</v>
      </c>
      <c r="P3" s="125">
        <f>IF(SER_hh_emih_in!P3=0,0,SER_hh_emih_in!P3/SER_summary!P$27)</f>
        <v>11.381465516357347</v>
      </c>
      <c r="Q3" s="125">
        <f>IF(SER_hh_emih_in!Q3=0,0,SER_hh_emih_in!Q3/SER_summary!Q$27)</f>
        <v>14.788638087399312</v>
      </c>
      <c r="R3" s="125">
        <f>IF(SER_hh_emih_in!R3=0,0,SER_hh_emih_in!R3/SER_summary!R$27)</f>
        <v>10.75533082260541</v>
      </c>
      <c r="S3" s="125">
        <f>IF(SER_hh_emih_in!S3=0,0,SER_hh_emih_in!S3/SER_summary!S$27)</f>
        <v>8.069629545643993</v>
      </c>
      <c r="T3" s="125">
        <f>IF(SER_hh_emih_in!T3=0,0,SER_hh_emih_in!T3/SER_summary!T$27)</f>
        <v>7.4020611904935461</v>
      </c>
      <c r="U3" s="125">
        <f>IF(SER_hh_emih_in!U3=0,0,SER_hh_emih_in!U3/SER_summary!U$27)</f>
        <v>7.9843420317732336</v>
      </c>
      <c r="V3" s="125">
        <f>IF(SER_hh_emih_in!V3=0,0,SER_hh_emih_in!V3/SER_summary!V$27)</f>
        <v>6.7032718244190885</v>
      </c>
      <c r="W3" s="125">
        <f>IF(SER_hh_emih_in!W3=0,0,SER_hh_emih_in!W3/SER_summary!W$27)</f>
        <v>5.4600811978771988</v>
      </c>
      <c r="X3" s="125">
        <f>IF(SER_hh_emih_in!X3=0,0,SER_hh_emih_in!X3/SER_summary!X$27)</f>
        <v>2.8139176001364303</v>
      </c>
      <c r="Y3" s="125">
        <f>IF(SER_hh_emih_in!Y3=0,0,SER_hh_emih_in!Y3/SER_summary!Y$27)</f>
        <v>2.8969749569209631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20.819336144101541</v>
      </c>
      <c r="D4" s="130">
        <f>IF(SER_hh_emih_in!D4=0,0,SER_hh_emih_in!D4/SER_summary!D$27)</f>
        <v>17.527473018762649</v>
      </c>
      <c r="E4" s="130">
        <f>IF(SER_hh_emih_in!E4=0,0,SER_hh_emih_in!E4/SER_summary!E$27)</f>
        <v>16.455706081392204</v>
      </c>
      <c r="F4" s="130">
        <f>IF(SER_hh_emih_in!F4=0,0,SER_hh_emih_in!F4/SER_summary!F$27)</f>
        <v>10.509595827637204</v>
      </c>
      <c r="G4" s="130">
        <f>IF(SER_hh_emih_in!G4=0,0,SER_hh_emih_in!G4/SER_summary!G$27)</f>
        <v>8.233433044578808</v>
      </c>
      <c r="H4" s="130">
        <f>IF(SER_hh_emih_in!H4=0,0,SER_hh_emih_in!H4/SER_summary!H$27)</f>
        <v>5.9898445075866036</v>
      </c>
      <c r="I4" s="130">
        <f>IF(SER_hh_emih_in!I4=0,0,SER_hh_emih_in!I4/SER_summary!I$27)</f>
        <v>5.0194748518157377</v>
      </c>
      <c r="J4" s="130">
        <f>IF(SER_hh_emih_in!J4=0,0,SER_hh_emih_in!J4/SER_summary!J$27)</f>
        <v>6.8325981707895469</v>
      </c>
      <c r="K4" s="130">
        <f>IF(SER_hh_emih_in!K4=0,0,SER_hh_emih_in!K4/SER_summary!K$27)</f>
        <v>8.1897267227563368</v>
      </c>
      <c r="L4" s="130">
        <f>IF(SER_hh_emih_in!L4=0,0,SER_hh_emih_in!L4/SER_summary!L$27)</f>
        <v>10.848237029810358</v>
      </c>
      <c r="M4" s="130">
        <f>IF(SER_hh_emih_in!M4=0,0,SER_hh_emih_in!M4/SER_summary!M$27)</f>
        <v>7.2912824920288264</v>
      </c>
      <c r="N4" s="130">
        <f>IF(SER_hh_emih_in!N4=0,0,SER_hh_emih_in!N4/SER_summary!N$27)</f>
        <v>8.9242138826096529</v>
      </c>
      <c r="O4" s="130">
        <f>IF(SER_hh_emih_in!O4=0,0,SER_hh_emih_in!O4/SER_summary!O$27)</f>
        <v>10.072882799176048</v>
      </c>
      <c r="P4" s="130">
        <f>IF(SER_hh_emih_in!P4=0,0,SER_hh_emih_in!P4/SER_summary!P$27)</f>
        <v>8.1182972731079577</v>
      </c>
      <c r="Q4" s="130">
        <f>IF(SER_hh_emih_in!Q4=0,0,SER_hh_emih_in!Q4/SER_summary!Q$27)</f>
        <v>11.234934721047937</v>
      </c>
      <c r="R4" s="130">
        <f>IF(SER_hh_emih_in!R4=0,0,SER_hh_emih_in!R4/SER_summary!R$27)</f>
        <v>6.5966096434018437</v>
      </c>
      <c r="S4" s="130">
        <f>IF(SER_hh_emih_in!S4=0,0,SER_hh_emih_in!S4/SER_summary!S$27)</f>
        <v>4.2495736153101751</v>
      </c>
      <c r="T4" s="130">
        <f>IF(SER_hh_emih_in!T4=0,0,SER_hh_emih_in!T4/SER_summary!T$27)</f>
        <v>3.8615611563161365</v>
      </c>
      <c r="U4" s="130">
        <f>IF(SER_hh_emih_in!U4=0,0,SER_hh_emih_in!U4/SER_summary!U$27)</f>
        <v>4.4983202607737178</v>
      </c>
      <c r="V4" s="130">
        <f>IF(SER_hh_emih_in!V4=0,0,SER_hh_emih_in!V4/SER_summary!V$27)</f>
        <v>3.8409807896264088</v>
      </c>
      <c r="W4" s="130">
        <f>IF(SER_hh_emih_in!W4=0,0,SER_hh_emih_in!W4/SER_summary!W$27)</f>
        <v>2.6107453102803881</v>
      </c>
      <c r="X4" s="130">
        <f>IF(SER_hh_emih_in!X4=0,0,SER_hh_emih_in!X4/SER_summary!X$27)</f>
        <v>0.24790526331630755</v>
      </c>
      <c r="Y4" s="130">
        <f>IF(SER_hh_emih_in!Y4=0,0,SER_hh_emih_in!Y4/SER_summary!Y$27)</f>
        <v>0.9629874002645038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33.878406120048631</v>
      </c>
      <c r="D5" s="132">
        <f>IF(SER_hh_emih_in!D5=0,0,SER_hh_emih_in!D5/SER_summary!D$27)</f>
        <v>45.79895451074637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38.688259338920417</v>
      </c>
      <c r="K5" s="132">
        <f>IF(SER_hh_emih_in!K5=0,0,SER_hh_emih_in!K5/SER_summary!K$27)</f>
        <v>35.737153419557352</v>
      </c>
      <c r="L5" s="132">
        <f>IF(SER_hh_emih_in!L5=0,0,SER_hh_emih_in!L5/SER_summary!L$27)</f>
        <v>21.409041073945858</v>
      </c>
      <c r="M5" s="132">
        <f>IF(SER_hh_emih_in!M5=0,0,SER_hh_emih_in!M5/SER_summary!M$27)</f>
        <v>44.768114118604558</v>
      </c>
      <c r="N5" s="132">
        <f>IF(SER_hh_emih_in!N5=0,0,SER_hh_emih_in!N5/SER_summary!N$27)</f>
        <v>44.682072167283636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42.253767915868515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0</v>
      </c>
      <c r="D6" s="132">
        <f>IF(SER_hh_emih_in!D6=0,0,SER_hh_emih_in!D6/SER_summary!D$27)</f>
        <v>0</v>
      </c>
      <c r="E6" s="132">
        <f>IF(SER_hh_emih_in!E6=0,0,SER_hh_emih_in!E6/SER_summary!E$27)</f>
        <v>0</v>
      </c>
      <c r="F6" s="132">
        <f>IF(SER_hh_emih_in!F6=0,0,SER_hh_emih_in!F6/SER_summary!F$27)</f>
        <v>0</v>
      </c>
      <c r="G6" s="132">
        <f>IF(SER_hh_emih_in!G6=0,0,SER_hh_emih_in!G6/SER_summary!G$27)</f>
        <v>0</v>
      </c>
      <c r="H6" s="132">
        <f>IF(SER_hh_emih_in!H6=0,0,SER_hh_emih_in!H6/SER_summary!H$27)</f>
        <v>0</v>
      </c>
      <c r="I6" s="132">
        <f>IF(SER_hh_emih_in!I6=0,0,SER_hh_emih_in!I6/SER_summary!I$27)</f>
        <v>0</v>
      </c>
      <c r="J6" s="132">
        <f>IF(SER_hh_emih_in!J6=0,0,SER_hh_emih_in!J6/SER_summary!J$27)</f>
        <v>0</v>
      </c>
      <c r="K6" s="132">
        <f>IF(SER_hh_emih_in!K6=0,0,SER_hh_emih_in!K6/SER_summary!K$27)</f>
        <v>0</v>
      </c>
      <c r="L6" s="132">
        <f>IF(SER_hh_emih_in!L6=0,0,SER_hh_emih_in!L6/SER_summary!L$27)</f>
        <v>0</v>
      </c>
      <c r="M6" s="132">
        <f>IF(SER_hh_emih_in!M6=0,0,SER_hh_emih_in!M6/SER_summary!M$27)</f>
        <v>0</v>
      </c>
      <c r="N6" s="132">
        <f>IF(SER_hh_emih_in!N6=0,0,SER_hh_emih_in!N6/SER_summary!N$27)</f>
        <v>0</v>
      </c>
      <c r="O6" s="132">
        <f>IF(SER_hh_emih_in!O6=0,0,SER_hh_emih_in!O6/SER_summary!O$27)</f>
        <v>0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0</v>
      </c>
      <c r="T6" s="132">
        <f>IF(SER_hh_emih_in!T6=0,0,SER_hh_emih_in!T6/SER_summary!T$27)</f>
        <v>0</v>
      </c>
      <c r="U6" s="132">
        <f>IF(SER_hh_emih_in!U6=0,0,SER_hh_emih_in!U6/SER_summary!U$27)</f>
        <v>0</v>
      </c>
      <c r="V6" s="132">
        <f>IF(SER_hh_emih_in!V6=0,0,SER_hh_emih_in!V6/SER_summary!V$27)</f>
        <v>0</v>
      </c>
      <c r="W6" s="132">
        <f>IF(SER_hh_emih_in!W6=0,0,SER_hh_emih_in!W6/SER_summary!W$27)</f>
        <v>0</v>
      </c>
      <c r="X6" s="132">
        <f>IF(SER_hh_emih_in!X6=0,0,SER_hh_emih_in!X6/SER_summary!X$27)</f>
        <v>0</v>
      </c>
      <c r="Y6" s="132">
        <f>IF(SER_hh_emih_in!Y6=0,0,SER_hh_emih_in!Y6/SER_summary!Y$27)</f>
        <v>0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37.275540214568522</v>
      </c>
      <c r="D7" s="132">
        <f>IF(SER_hh_emih_in!D7=0,0,SER_hh_emih_in!D7/SER_summary!D$27)</f>
        <v>40.267244532780232</v>
      </c>
      <c r="E7" s="132">
        <f>IF(SER_hh_emih_in!E7=0,0,SER_hh_emih_in!E7/SER_summary!E$27)</f>
        <v>38.6217870301356</v>
      </c>
      <c r="F7" s="132">
        <f>IF(SER_hh_emih_in!F7=0,0,SER_hh_emih_in!F7/SER_summary!F$27)</f>
        <v>38.558640104951863</v>
      </c>
      <c r="G7" s="132">
        <f>IF(SER_hh_emih_in!G7=0,0,SER_hh_emih_in!G7/SER_summary!G$27)</f>
        <v>36.350266071284814</v>
      </c>
      <c r="H7" s="132">
        <f>IF(SER_hh_emih_in!H7=0,0,SER_hh_emih_in!H7/SER_summary!H$27)</f>
        <v>0</v>
      </c>
      <c r="I7" s="132">
        <f>IF(SER_hh_emih_in!I7=0,0,SER_hh_emih_in!I7/SER_summary!I$27)</f>
        <v>0</v>
      </c>
      <c r="J7" s="132">
        <f>IF(SER_hh_emih_in!J7=0,0,SER_hh_emih_in!J7/SER_summary!J$27)</f>
        <v>0</v>
      </c>
      <c r="K7" s="132">
        <f>IF(SER_hh_emih_in!K7=0,0,SER_hh_emih_in!K7/SER_summary!K$27)</f>
        <v>28.699140107921231</v>
      </c>
      <c r="L7" s="132">
        <f>IF(SER_hh_emih_in!L7=0,0,SER_hh_emih_in!L7/SER_summary!L$27)</f>
        <v>29.158732244286185</v>
      </c>
      <c r="M7" s="132">
        <f>IF(SER_hh_emih_in!M7=0,0,SER_hh_emih_in!M7/SER_summary!M$27)</f>
        <v>28.077431885366373</v>
      </c>
      <c r="N7" s="132">
        <f>IF(SER_hh_emih_in!N7=0,0,SER_hh_emih_in!N7/SER_summary!N$27)</f>
        <v>23.553670703338597</v>
      </c>
      <c r="O7" s="132">
        <f>IF(SER_hh_emih_in!O7=0,0,SER_hh_emih_in!O7/SER_summary!O$27)</f>
        <v>19.945624711112778</v>
      </c>
      <c r="P7" s="132">
        <f>IF(SER_hh_emih_in!P7=0,0,SER_hh_emih_in!P7/SER_summary!P$27)</f>
        <v>14.319585402928748</v>
      </c>
      <c r="Q7" s="132">
        <f>IF(SER_hh_emih_in!Q7=0,0,SER_hh_emih_in!Q7/SER_summary!Q$27)</f>
        <v>17.964977636520654</v>
      </c>
      <c r="R7" s="132">
        <f>IF(SER_hh_emih_in!R7=0,0,SER_hh_emih_in!R7/SER_summary!R$27)</f>
        <v>17.581800392935268</v>
      </c>
      <c r="S7" s="132">
        <f>IF(SER_hh_emih_in!S7=0,0,SER_hh_emih_in!S7/SER_summary!S$27)</f>
        <v>18.611170642830896</v>
      </c>
      <c r="T7" s="132">
        <f>IF(SER_hh_emih_in!T7=0,0,SER_hh_emih_in!T7/SER_summary!T$27)</f>
        <v>0</v>
      </c>
      <c r="U7" s="132">
        <f>IF(SER_hh_emih_in!U7=0,0,SER_hh_emih_in!U7/SER_summary!U$27)</f>
        <v>0</v>
      </c>
      <c r="V7" s="132">
        <f>IF(SER_hh_emih_in!V7=0,0,SER_hh_emih_in!V7/SER_summary!V$27)</f>
        <v>0</v>
      </c>
      <c r="W7" s="132">
        <f>IF(SER_hh_emih_in!W7=0,0,SER_hh_emih_in!W7/SER_summary!W$27)</f>
        <v>0</v>
      </c>
      <c r="X7" s="132">
        <f>IF(SER_hh_emih_in!X7=0,0,SER_hh_emih_in!X7/SER_summary!X$27)</f>
        <v>14.069408899849462</v>
      </c>
      <c r="Y7" s="132">
        <f>IF(SER_hh_emih_in!Y7=0,0,SER_hh_emih_in!Y7/SER_summary!Y$27)</f>
        <v>12.987533591700943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0</v>
      </c>
      <c r="D8" s="132">
        <f>IF(SER_hh_emih_in!D8=0,0,SER_hh_emih_in!D8/SER_summary!D$27)</f>
        <v>0</v>
      </c>
      <c r="E8" s="132">
        <f>IF(SER_hh_emih_in!E8=0,0,SER_hh_emih_in!E8/SER_summary!E$27)</f>
        <v>0</v>
      </c>
      <c r="F8" s="132">
        <f>IF(SER_hh_emih_in!F8=0,0,SER_hh_emih_in!F8/SER_summary!F$27)</f>
        <v>0</v>
      </c>
      <c r="G8" s="132">
        <f>IF(SER_hh_emih_in!G8=0,0,SER_hh_emih_in!G8/SER_summary!G$27)</f>
        <v>0</v>
      </c>
      <c r="H8" s="132">
        <f>IF(SER_hh_emih_in!H8=0,0,SER_hh_emih_in!H8/SER_summary!H$27)</f>
        <v>0</v>
      </c>
      <c r="I8" s="132">
        <f>IF(SER_hh_emih_in!I8=0,0,SER_hh_emih_in!I8/SER_summary!I$27)</f>
        <v>0</v>
      </c>
      <c r="J8" s="132">
        <f>IF(SER_hh_emih_in!J8=0,0,SER_hh_emih_in!J8/SER_summary!J$27)</f>
        <v>0</v>
      </c>
      <c r="K8" s="132">
        <f>IF(SER_hh_emih_in!K8=0,0,SER_hh_emih_in!K8/SER_summary!K$27)</f>
        <v>0</v>
      </c>
      <c r="L8" s="132">
        <f>IF(SER_hh_emih_in!L8=0,0,SER_hh_emih_in!L8/SER_summary!L$27)</f>
        <v>0</v>
      </c>
      <c r="M8" s="132">
        <f>IF(SER_hh_emih_in!M8=0,0,SER_hh_emih_in!M8/SER_summary!M$27)</f>
        <v>0</v>
      </c>
      <c r="N8" s="132">
        <f>IF(SER_hh_emih_in!N8=0,0,SER_hh_emih_in!N8/SER_summary!N$27)</f>
        <v>0</v>
      </c>
      <c r="O8" s="132">
        <f>IF(SER_hh_emih_in!O8=0,0,SER_hh_emih_in!O8/SER_summary!O$27)</f>
        <v>0</v>
      </c>
      <c r="P8" s="132">
        <f>IF(SER_hh_emih_in!P8=0,0,SER_hh_emih_in!P8/SER_summary!P$27)</f>
        <v>0</v>
      </c>
      <c r="Q8" s="132">
        <f>IF(SER_hh_emih_in!Q8=0,0,SER_hh_emih_in!Q8/SER_summary!Q$27)</f>
        <v>0</v>
      </c>
      <c r="R8" s="132">
        <f>IF(SER_hh_emih_in!R8=0,0,SER_hh_emih_in!R8/SER_summary!R$27)</f>
        <v>0</v>
      </c>
      <c r="S8" s="132">
        <f>IF(SER_hh_emih_in!S8=0,0,SER_hh_emih_in!S8/SER_summary!S$27)</f>
        <v>0</v>
      </c>
      <c r="T8" s="132">
        <f>IF(SER_hh_emih_in!T8=0,0,SER_hh_emih_in!T8/SER_summary!T$27)</f>
        <v>0</v>
      </c>
      <c r="U8" s="132">
        <f>IF(SER_hh_emih_in!U8=0,0,SER_hh_emih_in!U8/SER_summary!U$27)</f>
        <v>0</v>
      </c>
      <c r="V8" s="132">
        <f>IF(SER_hh_emih_in!V8=0,0,SER_hh_emih_in!V8/SER_summary!V$27)</f>
        <v>0</v>
      </c>
      <c r="W8" s="132">
        <f>IF(SER_hh_emih_in!W8=0,0,SER_hh_emih_in!W8/SER_summary!W$27)</f>
        <v>0</v>
      </c>
      <c r="X8" s="132">
        <f>IF(SER_hh_emih_in!X8=0,0,SER_hh_emih_in!X8/SER_summary!X$27)</f>
        <v>0</v>
      </c>
      <c r="Y8" s="132">
        <f>IF(SER_hh_emih_in!Y8=0,0,SER_hh_emih_in!Y8/SER_summary!Y$27)</f>
        <v>0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30.168938769646683</v>
      </c>
      <c r="D9" s="132">
        <f>IF(SER_hh_emih_in!D9=0,0,SER_hh_emih_in!D9/SER_summary!D$27)</f>
        <v>26.115291086945259</v>
      </c>
      <c r="E9" s="132">
        <f>IF(SER_hh_emih_in!E9=0,0,SER_hh_emih_in!E9/SER_summary!E$27)</f>
        <v>26.215426859885916</v>
      </c>
      <c r="F9" s="132">
        <f>IF(SER_hh_emih_in!F9=0,0,SER_hh_emih_in!F9/SER_summary!F$27)</f>
        <v>26.021204877406934</v>
      </c>
      <c r="G9" s="132">
        <f>IF(SER_hh_emih_in!G9=0,0,SER_hh_emih_in!G9/SER_summary!G$27)</f>
        <v>26.293074744618139</v>
      </c>
      <c r="H9" s="132">
        <f>IF(SER_hh_emih_in!H9=0,0,SER_hh_emih_in!H9/SER_summary!H$27)</f>
        <v>23.229713723878884</v>
      </c>
      <c r="I9" s="132">
        <f>IF(SER_hh_emih_in!I9=0,0,SER_hh_emih_in!I9/SER_summary!I$27)</f>
        <v>20.648462916953402</v>
      </c>
      <c r="J9" s="132">
        <f>IF(SER_hh_emih_in!J9=0,0,SER_hh_emih_in!J9/SER_summary!J$27)</f>
        <v>21.135043692613198</v>
      </c>
      <c r="K9" s="132">
        <f>IF(SER_hh_emih_in!K9=0,0,SER_hh_emih_in!K9/SER_summary!K$27)</f>
        <v>20.164548846809751</v>
      </c>
      <c r="L9" s="132">
        <f>IF(SER_hh_emih_in!L9=0,0,SER_hh_emih_in!L9/SER_summary!L$27)</f>
        <v>23.319773420209724</v>
      </c>
      <c r="M9" s="132">
        <f>IF(SER_hh_emih_in!M9=0,0,SER_hh_emih_in!M9/SER_summary!M$27)</f>
        <v>19.405256943345748</v>
      </c>
      <c r="N9" s="132">
        <f>IF(SER_hh_emih_in!N9=0,0,SER_hh_emih_in!N9/SER_summary!N$27)</f>
        <v>16.146904435294516</v>
      </c>
      <c r="O9" s="132">
        <f>IF(SER_hh_emih_in!O9=0,0,SER_hh_emih_in!O9/SER_summary!O$27)</f>
        <v>14.401559261801578</v>
      </c>
      <c r="P9" s="132">
        <f>IF(SER_hh_emih_in!P9=0,0,SER_hh_emih_in!P9/SER_summary!P$27)</f>
        <v>11.315314431401681</v>
      </c>
      <c r="Q9" s="132">
        <f>IF(SER_hh_emih_in!Q9=0,0,SER_hh_emih_in!Q9/SER_summary!Q$27)</f>
        <v>12.897078908534638</v>
      </c>
      <c r="R9" s="132">
        <f>IF(SER_hh_emih_in!R9=0,0,SER_hh_emih_in!R9/SER_summary!R$27)</f>
        <v>12.738418011532705</v>
      </c>
      <c r="S9" s="132">
        <f>IF(SER_hh_emih_in!S9=0,0,SER_hh_emih_in!S9/SER_summary!S$27)</f>
        <v>12.702846857280836</v>
      </c>
      <c r="T9" s="132">
        <f>IF(SER_hh_emih_in!T9=0,0,SER_hh_emih_in!T9/SER_summary!T$27)</f>
        <v>12.57614507758197</v>
      </c>
      <c r="U9" s="132">
        <f>IF(SER_hh_emih_in!U9=0,0,SER_hh_emih_in!U9/SER_summary!U$27)</f>
        <v>12.000103495572763</v>
      </c>
      <c r="V9" s="132">
        <f>IF(SER_hh_emih_in!V9=0,0,SER_hh_emih_in!V9/SER_summary!V$27)</f>
        <v>10.403177097985571</v>
      </c>
      <c r="W9" s="132">
        <f>IF(SER_hh_emih_in!W9=0,0,SER_hh_emih_in!W9/SER_summary!W$27)</f>
        <v>11.132125977771887</v>
      </c>
      <c r="X9" s="132">
        <f>IF(SER_hh_emih_in!X9=0,0,SER_hh_emih_in!X9/SER_summary!X$27)</f>
        <v>0</v>
      </c>
      <c r="Y9" s="132">
        <f>IF(SER_hh_emih_in!Y9=0,0,SER_hh_emih_in!Y9/SER_summary!Y$27)</f>
        <v>8.7926050475499622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0</v>
      </c>
      <c r="X10" s="132">
        <f>IF(SER_hh_emih_in!X10=0,0,SER_hh_emih_in!X10/SER_summary!X$27)</f>
        <v>0</v>
      </c>
      <c r="Y10" s="132">
        <f>IF(SER_hh_emih_in!Y10=0,0,SER_hh_emih_in!Y10/SER_summary!Y$27)</f>
        <v>0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4.0077049199092251E-3</v>
      </c>
      <c r="D16" s="130">
        <f>IF(SER_hh_emih_in!D16=0,0,SER_hh_emih_in!D16/SER_summary!D$27)</f>
        <v>6.331478938852571E-3</v>
      </c>
      <c r="E16" s="130">
        <f>IF(SER_hh_emih_in!E16=0,0,SER_hh_emih_in!E16/SER_summary!E$27)</f>
        <v>1.2505233919460037E-2</v>
      </c>
      <c r="F16" s="130">
        <f>IF(SER_hh_emih_in!F16=0,0,SER_hh_emih_in!F16/SER_summary!F$27)</f>
        <v>5.7556028340691847E-3</v>
      </c>
      <c r="G16" s="130">
        <f>IF(SER_hh_emih_in!G16=0,0,SER_hh_emih_in!G16/SER_summary!G$27)</f>
        <v>5.5688524135100196E-3</v>
      </c>
      <c r="H16" s="130">
        <f>IF(SER_hh_emih_in!H16=0,0,SER_hh_emih_in!H16/SER_summary!H$27)</f>
        <v>6.0925584586318301E-3</v>
      </c>
      <c r="I16" s="130">
        <f>IF(SER_hh_emih_in!I16=0,0,SER_hh_emih_in!I16/SER_summary!I$27)</f>
        <v>5.1227263668401002E-3</v>
      </c>
      <c r="J16" s="130">
        <f>IF(SER_hh_emih_in!J16=0,0,SER_hh_emih_in!J16/SER_summary!J$27)</f>
        <v>5.2676225139614476E-3</v>
      </c>
      <c r="K16" s="130">
        <f>IF(SER_hh_emih_in!K16=0,0,SER_hh_emih_in!K16/SER_summary!K$27)</f>
        <v>7.0285489598504161E-3</v>
      </c>
      <c r="L16" s="130">
        <f>IF(SER_hh_emih_in!L16=0,0,SER_hh_emih_in!L16/SER_summary!L$27)</f>
        <v>9.0506710909214975E-3</v>
      </c>
      <c r="M16" s="130">
        <f>IF(SER_hh_emih_in!M16=0,0,SER_hh_emih_in!M16/SER_summary!M$27)</f>
        <v>8.6059599882349173E-3</v>
      </c>
      <c r="N16" s="130">
        <f>IF(SER_hh_emih_in!N16=0,0,SER_hh_emih_in!N16/SER_summary!N$27)</f>
        <v>1.2366685261246596E-2</v>
      </c>
      <c r="O16" s="130">
        <f>IF(SER_hh_emih_in!O16=0,0,SER_hh_emih_in!O16/SER_summary!O$27)</f>
        <v>1.2221056228530893E-2</v>
      </c>
      <c r="P16" s="130">
        <f>IF(SER_hh_emih_in!P16=0,0,SER_hh_emih_in!P16/SER_summary!P$27)</f>
        <v>1.161601112904184E-2</v>
      </c>
      <c r="Q16" s="130">
        <f>IF(SER_hh_emih_in!Q16=0,0,SER_hh_emih_in!Q16/SER_summary!Q$27)</f>
        <v>2.1717221215891501E-2</v>
      </c>
      <c r="R16" s="130">
        <f>IF(SER_hh_emih_in!R16=0,0,SER_hh_emih_in!R16/SER_summary!R$27)</f>
        <v>1.5163048337919491E-2</v>
      </c>
      <c r="S16" s="130">
        <f>IF(SER_hh_emih_in!S16=0,0,SER_hh_emih_in!S16/SER_summary!S$27)</f>
        <v>2.9919733119093822E-2</v>
      </c>
      <c r="T16" s="130">
        <f>IF(SER_hh_emih_in!T16=0,0,SER_hh_emih_in!T16/SER_summary!T$27)</f>
        <v>3.0045834819366991E-2</v>
      </c>
      <c r="U16" s="130">
        <f>IF(SER_hh_emih_in!U16=0,0,SER_hh_emih_in!U16/SER_summary!U$27)</f>
        <v>2.981634421960145E-2</v>
      </c>
      <c r="V16" s="130">
        <f>IF(SER_hh_emih_in!V16=0,0,SER_hh_emih_in!V16/SER_summary!V$27)</f>
        <v>2.7449148458759325E-2</v>
      </c>
      <c r="W16" s="130">
        <f>IF(SER_hh_emih_in!W16=0,0,SER_hh_emih_in!W16/SER_summary!W$27)</f>
        <v>1.499268192660265E-2</v>
      </c>
      <c r="X16" s="130">
        <f>IF(SER_hh_emih_in!X16=0,0,SER_hh_emih_in!X16/SER_summary!X$27)</f>
        <v>3.4200095268964066E-2</v>
      </c>
      <c r="Y16" s="130">
        <f>IF(SER_hh_emih_in!Y16=0,0,SER_hh_emih_in!Y16/SER_summary!Y$27)</f>
        <v>2.4798093813996017E-2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4.2440887709221409</v>
      </c>
      <c r="D17" s="132">
        <f>IF(SER_hh_emih_in!D17=0,0,SER_hh_emih_in!D17/SER_summary!D$27)</f>
        <v>4.0057731613204215</v>
      </c>
      <c r="E17" s="132">
        <f>IF(SER_hh_emih_in!E17=0,0,SER_hh_emih_in!E17/SER_summary!E$27)</f>
        <v>7.4807139015998834</v>
      </c>
      <c r="F17" s="132">
        <f>IF(SER_hh_emih_in!F17=0,0,SER_hh_emih_in!F17/SER_summary!F$27)</f>
        <v>3.7722266937069127</v>
      </c>
      <c r="G17" s="132">
        <f>IF(SER_hh_emih_in!G17=0,0,SER_hh_emih_in!G17/SER_summary!G$27)</f>
        <v>3.7183662084174425</v>
      </c>
      <c r="H17" s="132">
        <f>IF(SER_hh_emih_in!H17=0,0,SER_hh_emih_in!H17/SER_summary!H$27)</f>
        <v>4.1226398221972964</v>
      </c>
      <c r="I17" s="132">
        <f>IF(SER_hh_emih_in!I17=0,0,SER_hh_emih_in!I17/SER_summary!I$27)</f>
        <v>5.4193249729636692</v>
      </c>
      <c r="J17" s="132">
        <f>IF(SER_hh_emih_in!J17=0,0,SER_hh_emih_in!J17/SER_summary!J$27)</f>
        <v>4.8229771937534061</v>
      </c>
      <c r="K17" s="132">
        <f>IF(SER_hh_emih_in!K17=0,0,SER_hh_emih_in!K17/SER_summary!K$27)</f>
        <v>3.670148345166012</v>
      </c>
      <c r="L17" s="132">
        <f>IF(SER_hh_emih_in!L17=0,0,SER_hh_emih_in!L17/SER_summary!L$27)</f>
        <v>3.6324254190938734</v>
      </c>
      <c r="M17" s="132">
        <f>IF(SER_hh_emih_in!M17=0,0,SER_hh_emih_in!M17/SER_summary!M$27)</f>
        <v>3.8052673639036456</v>
      </c>
      <c r="N17" s="132">
        <f>IF(SER_hh_emih_in!N17=0,0,SER_hh_emih_in!N17/SER_summary!N$27)</f>
        <v>4.6866610216210178</v>
      </c>
      <c r="O17" s="132">
        <f>IF(SER_hh_emih_in!O17=0,0,SER_hh_emih_in!O17/SER_summary!O$27)</f>
        <v>3.5029825588910692</v>
      </c>
      <c r="P17" s="132">
        <f>IF(SER_hh_emih_in!P17=0,0,SER_hh_emih_in!P17/SER_summary!P$27)</f>
        <v>2.302767169959425</v>
      </c>
      <c r="Q17" s="132">
        <f>IF(SER_hh_emih_in!Q17=0,0,SER_hh_emih_in!Q17/SER_summary!Q$27)</f>
        <v>4.6665538897643533</v>
      </c>
      <c r="R17" s="132">
        <f>IF(SER_hh_emih_in!R17=0,0,SER_hh_emih_in!R17/SER_summary!R$27)</f>
        <v>3.0024490255981284</v>
      </c>
      <c r="S17" s="132">
        <f>IF(SER_hh_emih_in!S17=0,0,SER_hh_emih_in!S17/SER_summary!S$27)</f>
        <v>4.1421759924002677</v>
      </c>
      <c r="T17" s="132">
        <f>IF(SER_hh_emih_in!T17=0,0,SER_hh_emih_in!T17/SER_summary!T$27)</f>
        <v>2.9750902627231959</v>
      </c>
      <c r="U17" s="132">
        <f>IF(SER_hh_emih_in!U17=0,0,SER_hh_emih_in!U17/SER_summary!U$27)</f>
        <v>3.4293621231805731</v>
      </c>
      <c r="V17" s="132">
        <f>IF(SER_hh_emih_in!V17=0,0,SER_hh_emih_in!V17/SER_summary!V$27)</f>
        <v>2.0741466185449924</v>
      </c>
      <c r="W17" s="132">
        <f>IF(SER_hh_emih_in!W17=0,0,SER_hh_emih_in!W17/SER_summary!W$27)</f>
        <v>2.5113390038342049</v>
      </c>
      <c r="X17" s="132">
        <f>IF(SER_hh_emih_in!X17=0,0,SER_hh_emih_in!X17/SER_summary!X$27)</f>
        <v>3.2819356045622059</v>
      </c>
      <c r="Y17" s="132">
        <f>IF(SER_hh_emih_in!Y17=0,0,SER_hh_emih_in!Y17/SER_summary!Y$27)</f>
        <v>3.3105819982358855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2.6705730110349926</v>
      </c>
      <c r="D19" s="130">
        <f>IF(SER_hh_emih_in!D19=0,0,SER_hh_emih_in!D19/SER_summary!D$27)</f>
        <v>3.0008638167758237</v>
      </c>
      <c r="E19" s="130">
        <f>IF(SER_hh_emih_in!E19=0,0,SER_hh_emih_in!E19/SER_summary!E$27)</f>
        <v>2.5583183377987604</v>
      </c>
      <c r="F19" s="130">
        <f>IF(SER_hh_emih_in!F19=0,0,SER_hh_emih_in!F19/SER_summary!F$27)</f>
        <v>2.7542014264965835</v>
      </c>
      <c r="G19" s="130">
        <f>IF(SER_hh_emih_in!G19=0,0,SER_hh_emih_in!G19/SER_summary!G$27)</f>
        <v>2.8477826907355985</v>
      </c>
      <c r="H19" s="130">
        <f>IF(SER_hh_emih_in!H19=0,0,SER_hh_emih_in!H19/SER_summary!H$27)</f>
        <v>2.3960501538157151</v>
      </c>
      <c r="I19" s="130">
        <f>IF(SER_hh_emih_in!I19=0,0,SER_hh_emih_in!I19/SER_summary!I$27)</f>
        <v>2.2771240744394796</v>
      </c>
      <c r="J19" s="130">
        <f>IF(SER_hh_emih_in!J19=0,0,SER_hh_emih_in!J19/SER_summary!J$27)</f>
        <v>2.7303411625699665</v>
      </c>
      <c r="K19" s="130">
        <f>IF(SER_hh_emih_in!K19=0,0,SER_hh_emih_in!K19/SER_summary!K$27)</f>
        <v>2.6435959588951659</v>
      </c>
      <c r="L19" s="130">
        <f>IF(SER_hh_emih_in!L19=0,0,SER_hh_emih_in!L19/SER_summary!L$27)</f>
        <v>2.3733796384531134</v>
      </c>
      <c r="M19" s="130">
        <f>IF(SER_hh_emih_in!M19=0,0,SER_hh_emih_in!M19/SER_summary!M$27)</f>
        <v>1.9765030997424637</v>
      </c>
      <c r="N19" s="130">
        <f>IF(SER_hh_emih_in!N19=0,0,SER_hh_emih_in!N19/SER_summary!N$27)</f>
        <v>2.1712467486110372</v>
      </c>
      <c r="O19" s="130">
        <f>IF(SER_hh_emih_in!O19=0,0,SER_hh_emih_in!O19/SER_summary!O$27)</f>
        <v>2.4751544785609907</v>
      </c>
      <c r="P19" s="130">
        <f>IF(SER_hh_emih_in!P19=0,0,SER_hh_emih_in!P19/SER_summary!P$27)</f>
        <v>2.1905391423927374</v>
      </c>
      <c r="Q19" s="130">
        <f>IF(SER_hh_emih_in!Q19=0,0,SER_hh_emih_in!Q19/SER_summary!Q$27)</f>
        <v>2.3498208706144688</v>
      </c>
      <c r="R19" s="130">
        <f>IF(SER_hh_emih_in!R19=0,0,SER_hh_emih_in!R19/SER_summary!R$27)</f>
        <v>2.6521737446820968</v>
      </c>
      <c r="S19" s="130">
        <f>IF(SER_hh_emih_in!S19=0,0,SER_hh_emih_in!S19/SER_summary!S$27)</f>
        <v>2.4837408114315975</v>
      </c>
      <c r="T19" s="130">
        <f>IF(SER_hh_emih_in!T19=0,0,SER_hh_emih_in!T19/SER_summary!T$27)</f>
        <v>2.2992257989919462</v>
      </c>
      <c r="U19" s="130">
        <f>IF(SER_hh_emih_in!U19=0,0,SER_hh_emih_in!U19/SER_summary!U$27)</f>
        <v>2.1116509144489179</v>
      </c>
      <c r="V19" s="130">
        <f>IF(SER_hh_emih_in!V19=0,0,SER_hh_emih_in!V19/SER_summary!V$27)</f>
        <v>1.369077674499716</v>
      </c>
      <c r="W19" s="130">
        <f>IF(SER_hh_emih_in!W19=0,0,SER_hh_emih_in!W19/SER_summary!W$27)</f>
        <v>1.2336061725568399</v>
      </c>
      <c r="X19" s="130">
        <f>IF(SER_hh_emih_in!X19=0,0,SER_hh_emih_in!X19/SER_summary!X$27)</f>
        <v>8.5118522997529172E-2</v>
      </c>
      <c r="Y19" s="130">
        <f>IF(SER_hh_emih_in!Y19=0,0,SER_hh_emih_in!Y19/SER_summary!Y$27)</f>
        <v>2.2485073395326793E-2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6.0535181112920675</v>
      </c>
      <c r="D21" s="132">
        <f>IF(SER_hh_emih_in!D21=0,0,SER_hh_emih_in!D21/SER_summary!D$27)</f>
        <v>6.1178982477948729</v>
      </c>
      <c r="E21" s="132">
        <f>IF(SER_hh_emih_in!E21=0,0,SER_hh_emih_in!E21/SER_summary!E$27)</f>
        <v>6.0294571918884561</v>
      </c>
      <c r="F21" s="132">
        <f>IF(SER_hh_emih_in!F21=0,0,SER_hh_emih_in!F21/SER_summary!F$27)</f>
        <v>6.1086102651987435</v>
      </c>
      <c r="G21" s="132">
        <f>IF(SER_hh_emih_in!G21=0,0,SER_hh_emih_in!G21/SER_summary!G$27)</f>
        <v>5.9874875120269602</v>
      </c>
      <c r="H21" s="132">
        <f>IF(SER_hh_emih_in!H21=0,0,SER_hh_emih_in!H21/SER_summary!H$27)</f>
        <v>5.9142853442970038</v>
      </c>
      <c r="I21" s="132">
        <f>IF(SER_hh_emih_in!I21=0,0,SER_hh_emih_in!I21/SER_summary!I$27)</f>
        <v>5.7783311535925685</v>
      </c>
      <c r="J21" s="132">
        <f>IF(SER_hh_emih_in!J21=0,0,SER_hh_emih_in!J21/SER_summary!J$27)</f>
        <v>5.6940303039765121</v>
      </c>
      <c r="K21" s="132">
        <f>IF(SER_hh_emih_in!K21=0,0,SER_hh_emih_in!K21/SER_summary!K$27)</f>
        <v>5.7952841666580666</v>
      </c>
      <c r="L21" s="132">
        <f>IF(SER_hh_emih_in!L21=0,0,SER_hh_emih_in!L21/SER_summary!L$27)</f>
        <v>5.4314706252223148</v>
      </c>
      <c r="M21" s="132">
        <f>IF(SER_hh_emih_in!M21=0,0,SER_hh_emih_in!M21/SER_summary!M$27)</f>
        <v>5.5521430684773989</v>
      </c>
      <c r="N21" s="132">
        <f>IF(SER_hh_emih_in!N21=0,0,SER_hh_emih_in!N21/SER_summary!N$27)</f>
        <v>4.7997274482866343</v>
      </c>
      <c r="O21" s="132">
        <f>IF(SER_hh_emih_in!O21=0,0,SER_hh_emih_in!O21/SER_summary!O$27)</f>
        <v>5.3652407075239141</v>
      </c>
      <c r="P21" s="132">
        <f>IF(SER_hh_emih_in!P21=0,0,SER_hh_emih_in!P21/SER_summary!P$27)</f>
        <v>5.2676563115634067</v>
      </c>
      <c r="Q21" s="132">
        <f>IF(SER_hh_emih_in!Q21=0,0,SER_hh_emih_in!Q21/SER_summary!Q$27)</f>
        <v>5.0681494788356272</v>
      </c>
      <c r="R21" s="132">
        <f>IF(SER_hh_emih_in!R21=0,0,SER_hh_emih_in!R21/SER_summary!R$27)</f>
        <v>3.7899259895957957</v>
      </c>
      <c r="S21" s="132">
        <f>IF(SER_hh_emih_in!S21=0,0,SER_hh_emih_in!S21/SER_summary!S$27)</f>
        <v>4.4879612123217463</v>
      </c>
      <c r="T21" s="132">
        <f>IF(SER_hh_emih_in!T21=0,0,SER_hh_emih_in!T21/SER_summary!T$27)</f>
        <v>4.4579514048470488</v>
      </c>
      <c r="U21" s="132">
        <f>IF(SER_hh_emih_in!U21=0,0,SER_hh_emih_in!U21/SER_summary!U$27)</f>
        <v>4.3193918658352324</v>
      </c>
      <c r="V21" s="132">
        <f>IF(SER_hh_emih_in!V21=0,0,SER_hh_emih_in!V21/SER_summary!V$27)</f>
        <v>3.6321992045388067</v>
      </c>
      <c r="W21" s="132">
        <f>IF(SER_hh_emih_in!W21=0,0,SER_hh_emih_in!W21/SER_summary!W$27)</f>
        <v>4.3377076051902854</v>
      </c>
      <c r="X21" s="132">
        <f>IF(SER_hh_emih_in!X21=0,0,SER_hh_emih_in!X21/SER_summary!X$27)</f>
        <v>4.4656499480758409</v>
      </c>
      <c r="Y21" s="132">
        <f>IF(SER_hh_emih_in!Y21=0,0,SER_hh_emih_in!Y21/SER_summary!Y$27)</f>
        <v>3.9231062795269236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7.4258382536854892</v>
      </c>
      <c r="D22" s="132">
        <f>IF(SER_hh_emih_in!D22=0,0,SER_hh_emih_in!D22/SER_summary!D$27)</f>
        <v>7.4384085003383555</v>
      </c>
      <c r="E22" s="132">
        <f>IF(SER_hh_emih_in!E22=0,0,SER_hh_emih_in!E22/SER_summary!E$27)</f>
        <v>7.5123488085304029</v>
      </c>
      <c r="F22" s="132">
        <f>IF(SER_hh_emih_in!F22=0,0,SER_hh_emih_in!F22/SER_summary!F$27)</f>
        <v>7.4429015799261764</v>
      </c>
      <c r="G22" s="132">
        <f>IF(SER_hh_emih_in!G22=0,0,SER_hh_emih_in!G22/SER_summary!G$27)</f>
        <v>7.5184756571750828</v>
      </c>
      <c r="H22" s="132">
        <f>IF(SER_hh_emih_in!H22=0,0,SER_hh_emih_in!H22/SER_summary!H$27)</f>
        <v>7.3447107925849275</v>
      </c>
      <c r="I22" s="132">
        <f>IF(SER_hh_emih_in!I22=0,0,SER_hh_emih_in!I22/SER_summary!I$27)</f>
        <v>7.4095912818993428</v>
      </c>
      <c r="J22" s="132">
        <f>IF(SER_hh_emih_in!J22=0,0,SER_hh_emih_in!J22/SER_summary!J$27)</f>
        <v>7.1492564984670057</v>
      </c>
      <c r="K22" s="132">
        <f>IF(SER_hh_emih_in!K22=0,0,SER_hh_emih_in!K22/SER_summary!K$27)</f>
        <v>7.1255140519901161</v>
      </c>
      <c r="L22" s="132">
        <f>IF(SER_hh_emih_in!L22=0,0,SER_hh_emih_in!L22/SER_summary!L$27)</f>
        <v>6.4863747894745956</v>
      </c>
      <c r="M22" s="132">
        <f>IF(SER_hh_emih_in!M22=0,0,SER_hh_emih_in!M22/SER_summary!M$27)</f>
        <v>6.5635732200947281</v>
      </c>
      <c r="N22" s="132">
        <f>IF(SER_hh_emih_in!N22=0,0,SER_hh_emih_in!N22/SER_summary!N$27)</f>
        <v>4.3547267132244807</v>
      </c>
      <c r="O22" s="132">
        <f>IF(SER_hh_emih_in!O22=0,0,SER_hh_emih_in!O22/SER_summary!O$27)</f>
        <v>6.5981380478806457</v>
      </c>
      <c r="P22" s="132">
        <f>IF(SER_hh_emih_in!P22=0,0,SER_hh_emih_in!P22/SER_summary!P$27)</f>
        <v>6.3667640237009406</v>
      </c>
      <c r="Q22" s="132">
        <f>IF(SER_hh_emih_in!Q22=0,0,SER_hh_emih_in!Q22/SER_summary!Q$27)</f>
        <v>5.5319528919940337</v>
      </c>
      <c r="R22" s="132">
        <f>IF(SER_hh_emih_in!R22=0,0,SER_hh_emih_in!R22/SER_summary!R$27)</f>
        <v>4.6375916726997319</v>
      </c>
      <c r="S22" s="132">
        <f>IF(SER_hh_emih_in!S22=0,0,SER_hh_emih_in!S22/SER_summary!S$27)</f>
        <v>5.4455686949036926</v>
      </c>
      <c r="T22" s="132">
        <f>IF(SER_hh_emih_in!T22=0,0,SER_hh_emih_in!T22/SER_summary!T$27)</f>
        <v>5.3296354431452242</v>
      </c>
      <c r="U22" s="132">
        <f>IF(SER_hh_emih_in!U22=0,0,SER_hh_emih_in!U22/SER_summary!U$27)</f>
        <v>5.3864695285385036</v>
      </c>
      <c r="V22" s="132">
        <f>IF(SER_hh_emih_in!V22=0,0,SER_hh_emih_in!V22/SER_summary!V$27)</f>
        <v>4.6877086125794092</v>
      </c>
      <c r="W22" s="132">
        <f>IF(SER_hh_emih_in!W22=0,0,SER_hh_emih_in!W22/SER_summary!W$27)</f>
        <v>5.4992373292811854</v>
      </c>
      <c r="X22" s="132">
        <f>IF(SER_hh_emih_in!X22=0,0,SER_hh_emih_in!X22/SER_summary!X$27)</f>
        <v>0</v>
      </c>
      <c r="Y22" s="132">
        <f>IF(SER_hh_emih_in!Y22=0,0,SER_hh_emih_in!Y22/SER_summary!Y$27)</f>
        <v>0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5.1555163025654114</v>
      </c>
      <c r="D23" s="132">
        <f>IF(SER_hh_emih_in!D23=0,0,SER_hh_emih_in!D23/SER_summary!D$27)</f>
        <v>5.1823840662147154</v>
      </c>
      <c r="E23" s="132">
        <f>IF(SER_hh_emih_in!E23=0,0,SER_hh_emih_in!E23/SER_summary!E$27)</f>
        <v>5.1399078487612373</v>
      </c>
      <c r="F23" s="132">
        <f>IF(SER_hh_emih_in!F23=0,0,SER_hh_emih_in!F23/SER_summary!F$27)</f>
        <v>5.1400943464243047</v>
      </c>
      <c r="G23" s="132">
        <f>IF(SER_hh_emih_in!G23=0,0,SER_hh_emih_in!G23/SER_summary!G$27)</f>
        <v>5.1457318276671247</v>
      </c>
      <c r="H23" s="132">
        <f>IF(SER_hh_emih_in!H23=0,0,SER_hh_emih_in!H23/SER_summary!H$27)</f>
        <v>4.9783958568974773</v>
      </c>
      <c r="I23" s="132">
        <f>IF(SER_hh_emih_in!I23=0,0,SER_hh_emih_in!I23/SER_summary!I$27)</f>
        <v>4.859641214772088</v>
      </c>
      <c r="J23" s="132">
        <f>IF(SER_hh_emih_in!J23=0,0,SER_hh_emih_in!J23/SER_summary!J$27)</f>
        <v>4.7425110341917716</v>
      </c>
      <c r="K23" s="132">
        <f>IF(SER_hh_emih_in!K23=0,0,SER_hh_emih_in!K23/SER_summary!K$27)</f>
        <v>4.6834397013439082</v>
      </c>
      <c r="L23" s="132">
        <f>IF(SER_hh_emih_in!L23=0,0,SER_hh_emih_in!L23/SER_summary!L$27)</f>
        <v>4.4069149487477404</v>
      </c>
      <c r="M23" s="132">
        <f>IF(SER_hh_emih_in!M23=0,0,SER_hh_emih_in!M23/SER_summary!M$27)</f>
        <v>4.5553463800438045</v>
      </c>
      <c r="N23" s="132">
        <f>IF(SER_hh_emih_in!N23=0,0,SER_hh_emih_in!N23/SER_summary!N$27)</f>
        <v>4.1076872159275606</v>
      </c>
      <c r="O23" s="132">
        <f>IF(SER_hh_emih_in!O23=0,0,SER_hh_emih_in!O23/SER_summary!O$27)</f>
        <v>4.4357914081293561</v>
      </c>
      <c r="P23" s="132">
        <f>IF(SER_hh_emih_in!P23=0,0,SER_hh_emih_in!P23/SER_summary!P$27)</f>
        <v>4.3767401544807782</v>
      </c>
      <c r="Q23" s="132">
        <f>IF(SER_hh_emih_in!Q23=0,0,SER_hh_emih_in!Q23/SER_summary!Q$27)</f>
        <v>4.2302776424830268</v>
      </c>
      <c r="R23" s="132">
        <f>IF(SER_hh_emih_in!R23=0,0,SER_hh_emih_in!R23/SER_summary!R$27)</f>
        <v>3.5760609088568569</v>
      </c>
      <c r="S23" s="132">
        <f>IF(SER_hh_emih_in!S23=0,0,SER_hh_emih_in!S23/SER_summary!S$27)</f>
        <v>3.9403090843739297</v>
      </c>
      <c r="T23" s="132">
        <f>IF(SER_hh_emih_in!T23=0,0,SER_hh_emih_in!T23/SER_summary!T$27)</f>
        <v>3.9014682357054538</v>
      </c>
      <c r="U23" s="132">
        <f>IF(SER_hh_emih_in!U23=0,0,SER_hh_emih_in!U23/SER_summary!U$27)</f>
        <v>3.8304278187638516</v>
      </c>
      <c r="V23" s="132">
        <f>IF(SER_hh_emih_in!V23=0,0,SER_hh_emih_in!V23/SER_summary!V$27)</f>
        <v>3.4146243817338027</v>
      </c>
      <c r="W23" s="132">
        <f>IF(SER_hh_emih_in!W23=0,0,SER_hh_emih_in!W23/SER_summary!W$27)</f>
        <v>4.0490909045515409</v>
      </c>
      <c r="X23" s="132">
        <f>IF(SER_hh_emih_in!X23=0,0,SER_hh_emih_in!X23/SER_summary!X$27)</f>
        <v>0</v>
      </c>
      <c r="Y23" s="132">
        <f>IF(SER_hh_emih_in!Y23=0,0,SER_hh_emih_in!Y23/SER_summary!Y$27)</f>
        <v>0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1.597270526114968</v>
      </c>
      <c r="D29" s="130">
        <f>IF(SER_hh_emih_in!D29=0,0,SER_hh_emih_in!D29/SER_summary!D$27)</f>
        <v>1.1169688786804983</v>
      </c>
      <c r="E29" s="130">
        <f>IF(SER_hh_emih_in!E29=0,0,SER_hh_emih_in!E29/SER_summary!E$27)</f>
        <v>1.0844377272694021</v>
      </c>
      <c r="F29" s="130">
        <f>IF(SER_hh_emih_in!F29=0,0,SER_hh_emih_in!F29/SER_summary!F$27)</f>
        <v>1.0532683840278645</v>
      </c>
      <c r="G29" s="130">
        <f>IF(SER_hh_emih_in!G29=0,0,SER_hh_emih_in!G29/SER_summary!G$27)</f>
        <v>0.92662125276312757</v>
      </c>
      <c r="H29" s="130">
        <f>IF(SER_hh_emih_in!H29=0,0,SER_hh_emih_in!H29/SER_summary!H$27)</f>
        <v>0.88244120789980585</v>
      </c>
      <c r="I29" s="130">
        <f>IF(SER_hh_emih_in!I29=0,0,SER_hh_emih_in!I29/SER_summary!I$27)</f>
        <v>0.85770444224650866</v>
      </c>
      <c r="J29" s="130">
        <f>IF(SER_hh_emih_in!J29=0,0,SER_hh_emih_in!J29/SER_summary!J$27)</f>
        <v>1.2638985285370525</v>
      </c>
      <c r="K29" s="130">
        <f>IF(SER_hh_emih_in!K29=0,0,SER_hh_emih_in!K29/SER_summary!K$27)</f>
        <v>1.3360741648342267</v>
      </c>
      <c r="L29" s="130">
        <f>IF(SER_hh_emih_in!L29=0,0,SER_hh_emih_in!L29/SER_summary!L$27)</f>
        <v>1.3736097721354685</v>
      </c>
      <c r="M29" s="130">
        <f>IF(SER_hh_emih_in!M29=0,0,SER_hh_emih_in!M29/SER_summary!M$27)</f>
        <v>1.2727649240551329</v>
      </c>
      <c r="N29" s="130">
        <f>IF(SER_hh_emih_in!N29=0,0,SER_hh_emih_in!N29/SER_summary!N$27)</f>
        <v>1.5380486484187594</v>
      </c>
      <c r="O29" s="130">
        <f>IF(SER_hh_emih_in!O29=0,0,SER_hh_emih_in!O29/SER_summary!O$27)</f>
        <v>1.208752067802362</v>
      </c>
      <c r="P29" s="130">
        <f>IF(SER_hh_emih_in!P29=0,0,SER_hh_emih_in!P29/SER_summary!P$27)</f>
        <v>1.0610130897276109</v>
      </c>
      <c r="Q29" s="130">
        <f>IF(SER_hh_emih_in!Q29=0,0,SER_hh_emih_in!Q29/SER_summary!Q$27)</f>
        <v>1.1821652745210156</v>
      </c>
      <c r="R29" s="130">
        <f>IF(SER_hh_emih_in!R29=0,0,SER_hh_emih_in!R29/SER_summary!R$27)</f>
        <v>1.4913843861835507</v>
      </c>
      <c r="S29" s="130">
        <f>IF(SER_hh_emih_in!S29=0,0,SER_hh_emih_in!S29/SER_summary!S$27)</f>
        <v>1.3063953857831256</v>
      </c>
      <c r="T29" s="130">
        <f>IF(SER_hh_emih_in!T29=0,0,SER_hh_emih_in!T29/SER_summary!T$27)</f>
        <v>1.211228400366096</v>
      </c>
      <c r="U29" s="130">
        <f>IF(SER_hh_emih_in!U29=0,0,SER_hh_emih_in!U29/SER_summary!U$27)</f>
        <v>1.3445545123309965</v>
      </c>
      <c r="V29" s="130">
        <f>IF(SER_hh_emih_in!V29=0,0,SER_hh_emih_in!V29/SER_summary!V$27)</f>
        <v>1.4657642118342042</v>
      </c>
      <c r="W29" s="130">
        <f>IF(SER_hh_emih_in!W29=0,0,SER_hh_emih_in!W29/SER_summary!W$27)</f>
        <v>1.6007370331133688</v>
      </c>
      <c r="X29" s="130">
        <f>IF(SER_hh_emih_in!X29=0,0,SER_hh_emih_in!X29/SER_summary!X$27)</f>
        <v>2.4466937185536293</v>
      </c>
      <c r="Y29" s="130">
        <f>IF(SER_hh_emih_in!Y29=0,0,SER_hh_emih_in!Y29/SER_summary!Y$27)</f>
        <v>1.8867043894471365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8.1967053995498969</v>
      </c>
      <c r="D30" s="132">
        <f>IF(SER_hh_emih_in!D30=0,0,SER_hh_emih_in!D30/SER_summary!D$27)</f>
        <v>6.4504849728043387</v>
      </c>
      <c r="E30" s="132">
        <f>IF(SER_hh_emih_in!E30=0,0,SER_hh_emih_in!E30/SER_summary!E$27)</f>
        <v>6.6922210340277477</v>
      </c>
      <c r="F30" s="132">
        <f>IF(SER_hh_emih_in!F30=0,0,SER_hh_emih_in!F30/SER_summary!F$27)</f>
        <v>7.195293123798467</v>
      </c>
      <c r="G30" s="132">
        <f>IF(SER_hh_emih_in!G30=0,0,SER_hh_emih_in!G30/SER_summary!G$27)</f>
        <v>6.5672059626029116</v>
      </c>
      <c r="H30" s="132">
        <f>IF(SER_hh_emih_in!H30=0,0,SER_hh_emih_in!H30/SER_summary!H$27)</f>
        <v>7.1727967649934516</v>
      </c>
      <c r="I30" s="132">
        <f>IF(SER_hh_emih_in!I30=0,0,SER_hh_emih_in!I30/SER_summary!I$27)</f>
        <v>6.7080583031300627</v>
      </c>
      <c r="J30" s="132">
        <f>IF(SER_hh_emih_in!J30=0,0,SER_hh_emih_in!J30/SER_summary!J$27)</f>
        <v>6.8974787432952755</v>
      </c>
      <c r="K30" s="132">
        <f>IF(SER_hh_emih_in!K30=0,0,SER_hh_emih_in!K30/SER_summary!K$27)</f>
        <v>8.1185712987891883</v>
      </c>
      <c r="L30" s="132">
        <f>IF(SER_hh_emih_in!L30=0,0,SER_hh_emih_in!L30/SER_summary!L$27)</f>
        <v>8.813951697868001</v>
      </c>
      <c r="M30" s="132">
        <f>IF(SER_hh_emih_in!M30=0,0,SER_hh_emih_in!M30/SER_summary!M$27)</f>
        <v>7.7631438023054402</v>
      </c>
      <c r="N30" s="132">
        <f>IF(SER_hh_emih_in!N30=0,0,SER_hh_emih_in!N30/SER_summary!N$27)</f>
        <v>7.8083619581758557</v>
      </c>
      <c r="O30" s="132">
        <f>IF(SER_hh_emih_in!O30=0,0,SER_hh_emih_in!O30/SER_summary!O$27)</f>
        <v>8.0506934677909534</v>
      </c>
      <c r="P30" s="132">
        <f>IF(SER_hh_emih_in!P30=0,0,SER_hh_emih_in!P30/SER_summary!P$27)</f>
        <v>8.0892073324951124</v>
      </c>
      <c r="Q30" s="132">
        <f>IF(SER_hh_emih_in!Q30=0,0,SER_hh_emih_in!Q30/SER_summary!Q$27)</f>
        <v>8.0086059976172557</v>
      </c>
      <c r="R30" s="132">
        <f>IF(SER_hh_emih_in!R30=0,0,SER_hh_emih_in!R30/SER_summary!R$27)</f>
        <v>8.9258685839467571</v>
      </c>
      <c r="S30" s="132">
        <f>IF(SER_hh_emih_in!S30=0,0,SER_hh_emih_in!S30/SER_summary!S$27)</f>
        <v>8.3597028086282794</v>
      </c>
      <c r="T30" s="132">
        <f>IF(SER_hh_emih_in!T30=0,0,SER_hh_emih_in!T30/SER_summary!T$27)</f>
        <v>8.186627343022236</v>
      </c>
      <c r="U30" s="132">
        <f>IF(SER_hh_emih_in!U30=0,0,SER_hh_emih_in!U30/SER_summary!U$27)</f>
        <v>8.8661285534903769</v>
      </c>
      <c r="V30" s="132">
        <f>IF(SER_hh_emih_in!V30=0,0,SER_hh_emih_in!V30/SER_summary!V$27)</f>
        <v>7.4963070358758257</v>
      </c>
      <c r="W30" s="132">
        <f>IF(SER_hh_emih_in!W30=0,0,SER_hh_emih_in!W30/SER_summary!W$27)</f>
        <v>9.7435912306004084</v>
      </c>
      <c r="X30" s="132">
        <f>IF(SER_hh_emih_in!X30=0,0,SER_hh_emih_in!X30/SER_summary!X$27)</f>
        <v>0</v>
      </c>
      <c r="Y30" s="132">
        <f>IF(SER_hh_emih_in!Y30=0,0,SER_hh_emih_in!Y30/SER_summary!Y$27)</f>
        <v>0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5.9086204289366204</v>
      </c>
      <c r="D31" s="132">
        <f>IF(SER_hh_emih_in!D31=0,0,SER_hh_emih_in!D31/SER_summary!D$27)</f>
        <v>5.9302317238164051</v>
      </c>
      <c r="E31" s="132">
        <f>IF(SER_hh_emih_in!E31=0,0,SER_hh_emih_in!E31/SER_summary!E$27)</f>
        <v>5.8594615976948523</v>
      </c>
      <c r="F31" s="132">
        <f>IF(SER_hh_emih_in!F31=0,0,SER_hh_emih_in!F31/SER_summary!F$27)</f>
        <v>5.8310623760754101</v>
      </c>
      <c r="G31" s="132">
        <f>IF(SER_hh_emih_in!G31=0,0,SER_hh_emih_in!G31/SER_summary!G$27)</f>
        <v>6.0037712104079946</v>
      </c>
      <c r="H31" s="132">
        <f>IF(SER_hh_emih_in!H31=0,0,SER_hh_emih_in!H31/SER_summary!H$27)</f>
        <v>5.9805733906864846</v>
      </c>
      <c r="I31" s="132">
        <f>IF(SER_hh_emih_in!I31=0,0,SER_hh_emih_in!I31/SER_summary!I$27)</f>
        <v>6.1593029244488635</v>
      </c>
      <c r="J31" s="132">
        <f>IF(SER_hh_emih_in!J31=0,0,SER_hh_emih_in!J31/SER_summary!J$27)</f>
        <v>6.3837128145951443</v>
      </c>
      <c r="K31" s="132">
        <f>IF(SER_hh_emih_in!K31=0,0,SER_hh_emih_in!K31/SER_summary!K$27)</f>
        <v>6.5428944106270714</v>
      </c>
      <c r="L31" s="132">
        <f>IF(SER_hh_emih_in!L31=0,0,SER_hh_emih_in!L31/SER_summary!L$27)</f>
        <v>6.561814951423889</v>
      </c>
      <c r="M31" s="132">
        <f>IF(SER_hh_emih_in!M31=0,0,SER_hh_emih_in!M31/SER_summary!M$27)</f>
        <v>6.7304177094811273</v>
      </c>
      <c r="N31" s="132">
        <f>IF(SER_hh_emih_in!N31=0,0,SER_hh_emih_in!N31/SER_summary!N$27)</f>
        <v>7.0156302584135908</v>
      </c>
      <c r="O31" s="132">
        <f>IF(SER_hh_emih_in!O31=0,0,SER_hh_emih_in!O31/SER_summary!O$27)</f>
        <v>6.9916135080112465</v>
      </c>
      <c r="P31" s="132">
        <f>IF(SER_hh_emih_in!P31=0,0,SER_hh_emih_in!P31/SER_summary!P$27)</f>
        <v>7.0255569441107966</v>
      </c>
      <c r="Q31" s="132">
        <f>IF(SER_hh_emih_in!Q31=0,0,SER_hh_emih_in!Q31/SER_summary!Q$27)</f>
        <v>7.2748352041654272</v>
      </c>
      <c r="R31" s="132">
        <f>IF(SER_hh_emih_in!R31=0,0,SER_hh_emih_in!R31/SER_summary!R$27)</f>
        <v>7.2949316373733</v>
      </c>
      <c r="S31" s="132">
        <f>IF(SER_hh_emih_in!S31=0,0,SER_hh_emih_in!S31/SER_summary!S$27)</f>
        <v>7.5323340122436191</v>
      </c>
      <c r="T31" s="132">
        <f>IF(SER_hh_emih_in!T31=0,0,SER_hh_emih_in!T31/SER_summary!T$27)</f>
        <v>7.5394513758742274</v>
      </c>
      <c r="U31" s="132">
        <f>IF(SER_hh_emih_in!U31=0,0,SER_hh_emih_in!U31/SER_summary!U$27)</f>
        <v>7.3115483577935301</v>
      </c>
      <c r="V31" s="132">
        <f>IF(SER_hh_emih_in!V31=0,0,SER_hh_emih_in!V31/SER_summary!V$27)</f>
        <v>6.0681658811361441</v>
      </c>
      <c r="W31" s="132">
        <f>IF(SER_hh_emih_in!W31=0,0,SER_hh_emih_in!W31/SER_summary!W$27)</f>
        <v>6.3071878727510375</v>
      </c>
      <c r="X31" s="132">
        <f>IF(SER_hh_emih_in!X31=0,0,SER_hh_emih_in!X31/SER_summary!X$27)</f>
        <v>9.1599977770518866</v>
      </c>
      <c r="Y31" s="132">
        <f>IF(SER_hh_emih_in!Y31=0,0,SER_hh_emih_in!Y31/SER_summary!Y$27)</f>
        <v>7.0366845539108178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130.94660524769287</v>
      </c>
      <c r="C3" s="179">
        <f t="shared" ref="C3:W3" si="1">SUM(C4:C9)</f>
        <v>140.74743765829842</v>
      </c>
      <c r="D3" s="179">
        <f t="shared" si="1"/>
        <v>151.66729190274489</v>
      </c>
      <c r="E3" s="179">
        <f t="shared" si="1"/>
        <v>164.31760881948475</v>
      </c>
      <c r="F3" s="179">
        <f t="shared" si="1"/>
        <v>176.89295279473464</v>
      </c>
      <c r="G3" s="179">
        <f t="shared" si="1"/>
        <v>189.03513930513969</v>
      </c>
      <c r="H3" s="179">
        <f t="shared" si="1"/>
        <v>200.30882045462931</v>
      </c>
      <c r="I3" s="179">
        <f t="shared" si="1"/>
        <v>210.49193451558708</v>
      </c>
      <c r="J3" s="179">
        <f t="shared" si="1"/>
        <v>216.74540945552275</v>
      </c>
      <c r="K3" s="179">
        <f t="shared" si="1"/>
        <v>220.67554395345553</v>
      </c>
      <c r="L3" s="179">
        <f t="shared" si="1"/>
        <v>223.97448193330251</v>
      </c>
      <c r="M3" s="179">
        <f t="shared" si="1"/>
        <v>226.72096796088539</v>
      </c>
      <c r="N3" s="179">
        <f t="shared" si="1"/>
        <v>227.81778777204369</v>
      </c>
      <c r="O3" s="179">
        <f t="shared" si="1"/>
        <v>229.68519168517909</v>
      </c>
      <c r="P3" s="179">
        <f t="shared" si="1"/>
        <v>235.04444361997071</v>
      </c>
      <c r="Q3" s="179">
        <f t="shared" si="1"/>
        <v>242.16009136350254</v>
      </c>
      <c r="R3" s="179">
        <f t="shared" si="1"/>
        <v>240.01612812557119</v>
      </c>
      <c r="S3" s="179">
        <f t="shared" si="1"/>
        <v>237.37897525793861</v>
      </c>
      <c r="T3" s="179">
        <f t="shared" si="1"/>
        <v>234.1442504836908</v>
      </c>
      <c r="U3" s="179">
        <f t="shared" si="1"/>
        <v>232.26454548638156</v>
      </c>
      <c r="V3" s="179">
        <f t="shared" si="1"/>
        <v>213.97206393826826</v>
      </c>
      <c r="W3" s="179">
        <f t="shared" si="1"/>
        <v>218.20609874175759</v>
      </c>
      <c r="X3" s="179">
        <f t="shared" ref="X3:Y3" si="2">SUM(X4:X9)</f>
        <v>216.34745688983173</v>
      </c>
      <c r="Y3" s="179">
        <f t="shared" si="2"/>
        <v>213.4791560820191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4.5097372114466676</v>
      </c>
      <c r="C4" s="180">
        <f t="shared" ref="C4:R9" si="4">C12*C44/11630</f>
        <v>4.970093617184884</v>
      </c>
      <c r="D4" s="180">
        <f t="shared" si="4"/>
        <v>5.4886707879315209</v>
      </c>
      <c r="E4" s="180">
        <f t="shared" si="4"/>
        <v>6.0589218098060851</v>
      </c>
      <c r="F4" s="180">
        <f t="shared" si="4"/>
        <v>6.5380002435623323</v>
      </c>
      <c r="G4" s="180">
        <f t="shared" si="4"/>
        <v>6.9397601178883699</v>
      </c>
      <c r="H4" s="180">
        <f t="shared" si="4"/>
        <v>7.4228612497469006</v>
      </c>
      <c r="I4" s="180">
        <f t="shared" si="4"/>
        <v>7.9271592648952529</v>
      </c>
      <c r="J4" s="180">
        <f t="shared" si="4"/>
        <v>8.1929141354674009</v>
      </c>
      <c r="K4" s="180">
        <f t="shared" si="4"/>
        <v>8.4131052706646265</v>
      </c>
      <c r="L4" s="180">
        <f t="shared" si="4"/>
        <v>8.5266913793797006</v>
      </c>
      <c r="M4" s="180">
        <f t="shared" si="4"/>
        <v>8.7374796125659078</v>
      </c>
      <c r="N4" s="180">
        <f t="shared" si="4"/>
        <v>8.7712047461652389</v>
      </c>
      <c r="O4" s="180">
        <f t="shared" si="4"/>
        <v>8.856451697449538</v>
      </c>
      <c r="P4" s="180">
        <f t="shared" si="4"/>
        <v>9.2267928637657306</v>
      </c>
      <c r="Q4" s="180">
        <f t="shared" si="4"/>
        <v>9.6485467968265066</v>
      </c>
      <c r="R4" s="180">
        <f t="shared" si="4"/>
        <v>9.783768422322181</v>
      </c>
      <c r="S4" s="180">
        <f t="shared" ref="D4:W9" si="5">S12*S44/11630</f>
        <v>9.906733617276636</v>
      </c>
      <c r="T4" s="180">
        <f t="shared" si="5"/>
        <v>10.044742908579719</v>
      </c>
      <c r="U4" s="180">
        <f t="shared" si="5"/>
        <v>10.110432391376829</v>
      </c>
      <c r="V4" s="180">
        <f t="shared" si="5"/>
        <v>10.161500373923539</v>
      </c>
      <c r="W4" s="180">
        <f t="shared" si="5"/>
        <v>10.200831181397392</v>
      </c>
      <c r="X4" s="180">
        <f t="shared" ref="X4:Y4" si="6">X12*X44/11630</f>
        <v>10.193198507433758</v>
      </c>
      <c r="Y4" s="180">
        <f t="shared" si="6"/>
        <v>10.164386126576497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23.379999789190418</v>
      </c>
      <c r="C5" s="180">
        <f t="shared" si="4"/>
        <v>23.951470391578784</v>
      </c>
      <c r="D5" s="180">
        <f t="shared" si="5"/>
        <v>24.658045741120649</v>
      </c>
      <c r="E5" s="180">
        <f t="shared" si="5"/>
        <v>25.824332113216251</v>
      </c>
      <c r="F5" s="180">
        <f t="shared" si="5"/>
        <v>27.081369196809899</v>
      </c>
      <c r="G5" s="180">
        <f t="shared" si="5"/>
        <v>28.224935243090815</v>
      </c>
      <c r="H5" s="180">
        <f t="shared" si="5"/>
        <v>28.982482008138014</v>
      </c>
      <c r="I5" s="180">
        <f t="shared" si="5"/>
        <v>29.664896733972547</v>
      </c>
      <c r="J5" s="180">
        <f t="shared" si="5"/>
        <v>30.496452917392695</v>
      </c>
      <c r="K5" s="180">
        <f t="shared" si="5"/>
        <v>31.217839475445619</v>
      </c>
      <c r="L5" s="180">
        <f t="shared" si="5"/>
        <v>31.742530686479743</v>
      </c>
      <c r="M5" s="180">
        <f t="shared" si="5"/>
        <v>32.004059662689748</v>
      </c>
      <c r="N5" s="180">
        <f t="shared" si="5"/>
        <v>32.461975725556641</v>
      </c>
      <c r="O5" s="180">
        <f t="shared" si="5"/>
        <v>33.041888503804373</v>
      </c>
      <c r="P5" s="180">
        <f t="shared" si="5"/>
        <v>33.691387873675659</v>
      </c>
      <c r="Q5" s="180">
        <f t="shared" si="5"/>
        <v>34.380013899320652</v>
      </c>
      <c r="R5" s="180">
        <f t="shared" si="5"/>
        <v>33.832830221382828</v>
      </c>
      <c r="S5" s="180">
        <f t="shared" si="5"/>
        <v>33.16222561128636</v>
      </c>
      <c r="T5" s="180">
        <f t="shared" si="5"/>
        <v>32.174887047851549</v>
      </c>
      <c r="U5" s="180">
        <f t="shared" si="5"/>
        <v>31.336487031809714</v>
      </c>
      <c r="V5" s="180">
        <f t="shared" si="5"/>
        <v>30.399149146878038</v>
      </c>
      <c r="W5" s="180">
        <f t="shared" si="5"/>
        <v>29.226170976949735</v>
      </c>
      <c r="X5" s="180">
        <f t="shared" ref="X5:Y5" si="7">X13*X45/11630</f>
        <v>28.050499147975422</v>
      </c>
      <c r="Y5" s="180">
        <f t="shared" si="7"/>
        <v>27.21237396307248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49.723528796247145</v>
      </c>
      <c r="C6" s="180">
        <f t="shared" si="4"/>
        <v>51.999971560779038</v>
      </c>
      <c r="D6" s="180">
        <f t="shared" si="5"/>
        <v>54.151446765484998</v>
      </c>
      <c r="E6" s="180">
        <f t="shared" si="5"/>
        <v>56.871062622492872</v>
      </c>
      <c r="F6" s="180">
        <f t="shared" si="5"/>
        <v>58.970359097259042</v>
      </c>
      <c r="G6" s="180">
        <f t="shared" si="5"/>
        <v>60.787857280875606</v>
      </c>
      <c r="H6" s="180">
        <f t="shared" si="5"/>
        <v>63.198468261807143</v>
      </c>
      <c r="I6" s="180">
        <f t="shared" si="5"/>
        <v>65.878099186278433</v>
      </c>
      <c r="J6" s="180">
        <f t="shared" si="5"/>
        <v>67.053360662036596</v>
      </c>
      <c r="K6" s="180">
        <f t="shared" si="5"/>
        <v>67.698741903208386</v>
      </c>
      <c r="L6" s="180">
        <f t="shared" si="5"/>
        <v>68.278955056501658</v>
      </c>
      <c r="M6" s="180">
        <f t="shared" si="5"/>
        <v>69.595422099505853</v>
      </c>
      <c r="N6" s="180">
        <f t="shared" si="5"/>
        <v>69.371398988852206</v>
      </c>
      <c r="O6" s="180">
        <f t="shared" si="5"/>
        <v>69.159086668587477</v>
      </c>
      <c r="P6" s="180">
        <f t="shared" si="5"/>
        <v>70.999952536546687</v>
      </c>
      <c r="Q6" s="180">
        <f t="shared" si="5"/>
        <v>72.784727134623736</v>
      </c>
      <c r="R6" s="180">
        <f t="shared" si="5"/>
        <v>69.832616576295109</v>
      </c>
      <c r="S6" s="180">
        <f t="shared" si="5"/>
        <v>66.65547014212116</v>
      </c>
      <c r="T6" s="180">
        <f t="shared" si="5"/>
        <v>63.802058873009656</v>
      </c>
      <c r="U6" s="180">
        <f t="shared" si="5"/>
        <v>61.269289563286598</v>
      </c>
      <c r="V6" s="180">
        <f t="shared" si="5"/>
        <v>49.558455538503814</v>
      </c>
      <c r="W6" s="180">
        <f t="shared" si="5"/>
        <v>50.227891116160045</v>
      </c>
      <c r="X6" s="180">
        <f t="shared" ref="X6:Y6" si="8">X14*X46/11630</f>
        <v>48.527812674351715</v>
      </c>
      <c r="Y6" s="180">
        <f t="shared" si="8"/>
        <v>46.061270178508252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26.204719775556317</v>
      </c>
      <c r="C7" s="180">
        <f t="shared" si="4"/>
        <v>29.11751229574319</v>
      </c>
      <c r="D7" s="180">
        <f t="shared" si="5"/>
        <v>32.402367273482831</v>
      </c>
      <c r="E7" s="180">
        <f t="shared" si="5"/>
        <v>35.253506442903948</v>
      </c>
      <c r="F7" s="180">
        <f t="shared" si="5"/>
        <v>38.730812137459552</v>
      </c>
      <c r="G7" s="180">
        <f t="shared" si="5"/>
        <v>41.756169462590819</v>
      </c>
      <c r="H7" s="180">
        <f t="shared" si="5"/>
        <v>44.60398570362976</v>
      </c>
      <c r="I7" s="180">
        <f t="shared" si="5"/>
        <v>46.747636389890417</v>
      </c>
      <c r="J7" s="180">
        <f t="shared" si="5"/>
        <v>48.269414846505391</v>
      </c>
      <c r="K7" s="180">
        <f t="shared" si="5"/>
        <v>48.943795456153211</v>
      </c>
      <c r="L7" s="180">
        <f t="shared" si="5"/>
        <v>49.448304240010657</v>
      </c>
      <c r="M7" s="180">
        <f t="shared" si="5"/>
        <v>49.157529566594789</v>
      </c>
      <c r="N7" s="180">
        <f t="shared" si="5"/>
        <v>49.006380668578181</v>
      </c>
      <c r="O7" s="180">
        <f t="shared" si="5"/>
        <v>48.995000870264739</v>
      </c>
      <c r="P7" s="180">
        <f t="shared" si="5"/>
        <v>49.171528465342199</v>
      </c>
      <c r="Q7" s="180">
        <f t="shared" si="5"/>
        <v>49.489713389521235</v>
      </c>
      <c r="R7" s="180">
        <f t="shared" si="5"/>
        <v>48.967376015530142</v>
      </c>
      <c r="S7" s="180">
        <f t="shared" si="5"/>
        <v>48.591649067171375</v>
      </c>
      <c r="T7" s="180">
        <f t="shared" si="5"/>
        <v>48.43520123509407</v>
      </c>
      <c r="U7" s="180">
        <f t="shared" si="5"/>
        <v>48.455467738170583</v>
      </c>
      <c r="V7" s="180">
        <f t="shared" si="5"/>
        <v>48.475136415747158</v>
      </c>
      <c r="W7" s="180">
        <f t="shared" si="5"/>
        <v>48.17429492091641</v>
      </c>
      <c r="X7" s="180">
        <f t="shared" ref="X7:Y7" si="9">X15*X47/11630</f>
        <v>47.614210303114142</v>
      </c>
      <c r="Y7" s="180">
        <f t="shared" si="9"/>
        <v>47.109211878819323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7.9416091829753093</v>
      </c>
      <c r="C8" s="55">
        <f t="shared" si="4"/>
        <v>9.3667190055608174</v>
      </c>
      <c r="D8" s="55">
        <f t="shared" si="5"/>
        <v>10.991898118793026</v>
      </c>
      <c r="E8" s="55">
        <f t="shared" si="5"/>
        <v>13.283600077571426</v>
      </c>
      <c r="F8" s="55">
        <f t="shared" si="5"/>
        <v>15.567386045193862</v>
      </c>
      <c r="G8" s="55">
        <f t="shared" si="5"/>
        <v>18.180300798840435</v>
      </c>
      <c r="H8" s="55">
        <f t="shared" si="5"/>
        <v>20.79636511842002</v>
      </c>
      <c r="I8" s="55">
        <f t="shared" si="5"/>
        <v>23.19166333899982</v>
      </c>
      <c r="J8" s="55">
        <f t="shared" si="5"/>
        <v>24.426569591537611</v>
      </c>
      <c r="K8" s="55">
        <f t="shared" si="5"/>
        <v>25.273622170678429</v>
      </c>
      <c r="L8" s="55">
        <f t="shared" si="5"/>
        <v>25.811935892747329</v>
      </c>
      <c r="M8" s="55">
        <f t="shared" si="5"/>
        <v>26.305532852122852</v>
      </c>
      <c r="N8" s="55">
        <f t="shared" si="5"/>
        <v>26.247851276117789</v>
      </c>
      <c r="O8" s="55">
        <f t="shared" si="5"/>
        <v>26.222646937233943</v>
      </c>
      <c r="P8" s="55">
        <f t="shared" si="5"/>
        <v>26.877445479359316</v>
      </c>
      <c r="Q8" s="55">
        <f t="shared" si="5"/>
        <v>27.521972477604599</v>
      </c>
      <c r="R8" s="55">
        <f t="shared" si="5"/>
        <v>28.08591980988027</v>
      </c>
      <c r="S8" s="55">
        <f t="shared" si="5"/>
        <v>28.09708688996378</v>
      </c>
      <c r="T8" s="55">
        <f t="shared" si="5"/>
        <v>27.763067186770897</v>
      </c>
      <c r="U8" s="55">
        <f t="shared" si="5"/>
        <v>27.826803423249409</v>
      </c>
      <c r="V8" s="55">
        <f t="shared" si="5"/>
        <v>24.253152225748185</v>
      </c>
      <c r="W8" s="55">
        <f t="shared" si="5"/>
        <v>26.739529925877843</v>
      </c>
      <c r="X8" s="55">
        <f t="shared" ref="X8:Y8" si="10">X16*X48/11630</f>
        <v>27.570630849406765</v>
      </c>
      <c r="Y8" s="55">
        <f t="shared" si="10"/>
        <v>28.165012378923585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19.187010492277004</v>
      </c>
      <c r="C9" s="63">
        <f t="shared" si="4"/>
        <v>21.341670787451733</v>
      </c>
      <c r="D9" s="63">
        <f t="shared" si="5"/>
        <v>23.974863215931837</v>
      </c>
      <c r="E9" s="63">
        <f t="shared" si="5"/>
        <v>27.026185753494161</v>
      </c>
      <c r="F9" s="63">
        <f t="shared" si="5"/>
        <v>30.005026074449944</v>
      </c>
      <c r="G9" s="63">
        <f t="shared" si="5"/>
        <v>33.146116401853646</v>
      </c>
      <c r="H9" s="63">
        <f t="shared" si="5"/>
        <v>35.304658112887452</v>
      </c>
      <c r="I9" s="63">
        <f t="shared" si="5"/>
        <v>37.08247960155061</v>
      </c>
      <c r="J9" s="63">
        <f t="shared" si="5"/>
        <v>38.306697302583082</v>
      </c>
      <c r="K9" s="63">
        <f t="shared" si="5"/>
        <v>39.128439677305266</v>
      </c>
      <c r="L9" s="63">
        <f t="shared" si="5"/>
        <v>40.166064678183425</v>
      </c>
      <c r="M9" s="63">
        <f t="shared" si="5"/>
        <v>40.920944167406276</v>
      </c>
      <c r="N9" s="63">
        <f t="shared" si="5"/>
        <v>41.958976366773634</v>
      </c>
      <c r="O9" s="63">
        <f t="shared" si="5"/>
        <v>43.410117007839041</v>
      </c>
      <c r="P9" s="63">
        <f t="shared" si="5"/>
        <v>45.07733640128113</v>
      </c>
      <c r="Q9" s="63">
        <f t="shared" si="5"/>
        <v>48.335117665605829</v>
      </c>
      <c r="R9" s="63">
        <f t="shared" si="5"/>
        <v>49.51361708016065</v>
      </c>
      <c r="S9" s="63">
        <f t="shared" si="5"/>
        <v>50.965809930119299</v>
      </c>
      <c r="T9" s="63">
        <f t="shared" si="5"/>
        <v>51.924293232384876</v>
      </c>
      <c r="U9" s="63">
        <f t="shared" si="5"/>
        <v>53.266065338488445</v>
      </c>
      <c r="V9" s="63">
        <f t="shared" si="5"/>
        <v>51.124670237467534</v>
      </c>
      <c r="W9" s="63">
        <f t="shared" si="5"/>
        <v>53.637380620456177</v>
      </c>
      <c r="X9" s="63">
        <f t="shared" ref="X9:Y9" si="11">X17*X49/11630</f>
        <v>54.391105407549937</v>
      </c>
      <c r="Y9" s="63">
        <f t="shared" si="11"/>
        <v>54.766901556118967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578.24143290208053</v>
      </c>
      <c r="C11" s="179">
        <f t="shared" ref="C11:W11" si="13">SUM(C12:C17)</f>
        <v>618.86637682090384</v>
      </c>
      <c r="D11" s="179">
        <f t="shared" si="13"/>
        <v>664.80017624935613</v>
      </c>
      <c r="E11" s="179">
        <f t="shared" si="13"/>
        <v>725.38131576851083</v>
      </c>
      <c r="F11" s="179">
        <f t="shared" si="13"/>
        <v>783.1348416099795</v>
      </c>
      <c r="G11" s="179">
        <f t="shared" si="13"/>
        <v>844.17250474525849</v>
      </c>
      <c r="H11" s="179">
        <f t="shared" si="13"/>
        <v>900.46546981958227</v>
      </c>
      <c r="I11" s="179">
        <f t="shared" si="13"/>
        <v>952.88845067772672</v>
      </c>
      <c r="J11" s="179">
        <f t="shared" si="13"/>
        <v>979.16942600435914</v>
      </c>
      <c r="K11" s="179">
        <f t="shared" si="13"/>
        <v>995.50488447791997</v>
      </c>
      <c r="L11" s="179">
        <f t="shared" si="13"/>
        <v>1007.4634876132111</v>
      </c>
      <c r="M11" s="179">
        <f t="shared" si="13"/>
        <v>1020.024959070054</v>
      </c>
      <c r="N11" s="179">
        <f t="shared" si="13"/>
        <v>1020.4131452324459</v>
      </c>
      <c r="O11" s="179">
        <f t="shared" si="13"/>
        <v>1025.6531141593389</v>
      </c>
      <c r="P11" s="179">
        <f t="shared" si="13"/>
        <v>1051.2273300656977</v>
      </c>
      <c r="Q11" s="179">
        <f t="shared" si="13"/>
        <v>1086.4820313318783</v>
      </c>
      <c r="R11" s="179">
        <f t="shared" si="13"/>
        <v>1085.3864261612589</v>
      </c>
      <c r="S11" s="179">
        <f t="shared" si="13"/>
        <v>1080.2625493181031</v>
      </c>
      <c r="T11" s="179">
        <f t="shared" si="13"/>
        <v>1071.3951387468828</v>
      </c>
      <c r="U11" s="179">
        <f t="shared" si="13"/>
        <v>1055.7304725764893</v>
      </c>
      <c r="V11" s="179">
        <f t="shared" si="13"/>
        <v>1032.9649273103275</v>
      </c>
      <c r="W11" s="179">
        <f t="shared" si="13"/>
        <v>1008.7883638540893</v>
      </c>
      <c r="X11" s="179">
        <f t="shared" ref="X11:Y11" si="14">SUM(X12:X17)</f>
        <v>991.47218915113228</v>
      </c>
      <c r="Y11" s="179">
        <f t="shared" si="14"/>
        <v>976.02037940739569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5.9872424393978037</v>
      </c>
      <c r="C12" s="180">
        <f t="shared" ref="C12:W12" si="15">C20*C52</f>
        <v>6.5984233753265071</v>
      </c>
      <c r="D12" s="180">
        <f t="shared" si="15"/>
        <v>7.2868996876305445</v>
      </c>
      <c r="E12" s="180">
        <f t="shared" si="15"/>
        <v>8.0439795260325102</v>
      </c>
      <c r="F12" s="180">
        <f t="shared" si="15"/>
        <v>8.6800163050947408</v>
      </c>
      <c r="G12" s="180">
        <f t="shared" si="15"/>
        <v>9.2134029875618406</v>
      </c>
      <c r="H12" s="180">
        <f t="shared" si="15"/>
        <v>9.8547804034881796</v>
      </c>
      <c r="I12" s="180">
        <f t="shared" si="15"/>
        <v>10.524299343690842</v>
      </c>
      <c r="J12" s="180">
        <f t="shared" si="15"/>
        <v>10.877122305420759</v>
      </c>
      <c r="K12" s="180">
        <f t="shared" si="15"/>
        <v>11.169453686966854</v>
      </c>
      <c r="L12" s="180">
        <f t="shared" si="15"/>
        <v>11.320253509381951</v>
      </c>
      <c r="M12" s="180">
        <f t="shared" si="15"/>
        <v>11.60010135777871</v>
      </c>
      <c r="N12" s="180">
        <f t="shared" si="15"/>
        <v>11.644875707523031</v>
      </c>
      <c r="O12" s="180">
        <f t="shared" si="15"/>
        <v>11.758051739878784</v>
      </c>
      <c r="P12" s="180">
        <f t="shared" si="15"/>
        <v>12.249726142191262</v>
      </c>
      <c r="Q12" s="180">
        <f t="shared" si="15"/>
        <v>12.809657448298214</v>
      </c>
      <c r="R12" s="180">
        <f t="shared" si="15"/>
        <v>12.989181136028193</v>
      </c>
      <c r="S12" s="180">
        <f t="shared" si="15"/>
        <v>13.152432873165221</v>
      </c>
      <c r="T12" s="180">
        <f t="shared" si="15"/>
        <v>13.335657537303899</v>
      </c>
      <c r="U12" s="180">
        <f t="shared" si="15"/>
        <v>13.422868574396411</v>
      </c>
      <c r="V12" s="180">
        <f t="shared" si="15"/>
        <v>13.49066773387338</v>
      </c>
      <c r="W12" s="180">
        <f t="shared" si="15"/>
        <v>13.542884319594945</v>
      </c>
      <c r="X12" s="180">
        <f t="shared" ref="X12:Y12" si="16">X20*X52</f>
        <v>13.532750986467425</v>
      </c>
      <c r="Y12" s="180">
        <f t="shared" si="16"/>
        <v>13.494498932886383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72.912870557305141</v>
      </c>
      <c r="C13" s="180">
        <f t="shared" ref="C13:W13" si="17">C21*C53/1000</f>
        <v>74.172039083346945</v>
      </c>
      <c r="D13" s="180">
        <f t="shared" si="17"/>
        <v>76.054620348040103</v>
      </c>
      <c r="E13" s="180">
        <f t="shared" si="17"/>
        <v>79.285424332555323</v>
      </c>
      <c r="F13" s="180">
        <f t="shared" si="17"/>
        <v>82.874793501063351</v>
      </c>
      <c r="G13" s="180">
        <f t="shared" si="17"/>
        <v>86.318695334546447</v>
      </c>
      <c r="H13" s="180">
        <f t="shared" si="17"/>
        <v>88.513356257043526</v>
      </c>
      <c r="I13" s="180">
        <f t="shared" si="17"/>
        <v>90.553490308532574</v>
      </c>
      <c r="J13" s="180">
        <f t="shared" si="17"/>
        <v>93.073285133598645</v>
      </c>
      <c r="K13" s="180">
        <f t="shared" si="17"/>
        <v>95.25742221784256</v>
      </c>
      <c r="L13" s="180">
        <f t="shared" si="17"/>
        <v>96.855561179516442</v>
      </c>
      <c r="M13" s="180">
        <f t="shared" si="17"/>
        <v>97.746860601958062</v>
      </c>
      <c r="N13" s="180">
        <f t="shared" si="17"/>
        <v>99.425272316674409</v>
      </c>
      <c r="O13" s="180">
        <f t="shared" si="17"/>
        <v>101.3669841111612</v>
      </c>
      <c r="P13" s="180">
        <f t="shared" si="17"/>
        <v>103.73514943573332</v>
      </c>
      <c r="Q13" s="180">
        <f t="shared" si="17"/>
        <v>106.22367295643816</v>
      </c>
      <c r="R13" s="180">
        <f t="shared" si="17"/>
        <v>105.06565631476566</v>
      </c>
      <c r="S13" s="180">
        <f t="shared" si="17"/>
        <v>103.17026991183135</v>
      </c>
      <c r="T13" s="180">
        <f t="shared" si="17"/>
        <v>100.96551704372806</v>
      </c>
      <c r="U13" s="180">
        <f t="shared" si="17"/>
        <v>97.949261757908701</v>
      </c>
      <c r="V13" s="180">
        <f t="shared" si="17"/>
        <v>94.620708749377926</v>
      </c>
      <c r="W13" s="180">
        <f t="shared" si="17"/>
        <v>90.98304389514729</v>
      </c>
      <c r="X13" s="180">
        <f t="shared" ref="X13:Y13" si="18">X21*X53/1000</f>
        <v>87.641831690280185</v>
      </c>
      <c r="Y13" s="180">
        <f t="shared" si="18"/>
        <v>85.334643536150011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259.06237243178151</v>
      </c>
      <c r="C14" s="180">
        <f t="shared" ref="C14:W14" si="19">C22*C54</f>
        <v>269.21377518976595</v>
      </c>
      <c r="D14" s="180">
        <f t="shared" si="19"/>
        <v>278.46381044262426</v>
      </c>
      <c r="E14" s="180">
        <f t="shared" si="19"/>
        <v>290.4214170598238</v>
      </c>
      <c r="F14" s="180">
        <f t="shared" si="19"/>
        <v>299.34687351070562</v>
      </c>
      <c r="G14" s="180">
        <f t="shared" si="19"/>
        <v>307.12014171956287</v>
      </c>
      <c r="H14" s="180">
        <f t="shared" si="19"/>
        <v>317.74837238897618</v>
      </c>
      <c r="I14" s="180">
        <f t="shared" si="19"/>
        <v>330.12404956739488</v>
      </c>
      <c r="J14" s="180">
        <f t="shared" si="19"/>
        <v>334.63051668715127</v>
      </c>
      <c r="K14" s="180">
        <f t="shared" si="19"/>
        <v>337.33934420397026</v>
      </c>
      <c r="L14" s="180">
        <f t="shared" si="19"/>
        <v>339.83761963180427</v>
      </c>
      <c r="M14" s="180">
        <f t="shared" si="19"/>
        <v>345.23322971205829</v>
      </c>
      <c r="N14" s="180">
        <f t="shared" si="19"/>
        <v>342.79274024351633</v>
      </c>
      <c r="O14" s="180">
        <f t="shared" si="19"/>
        <v>340.75107999365611</v>
      </c>
      <c r="P14" s="180">
        <f t="shared" si="19"/>
        <v>348.45395800667052</v>
      </c>
      <c r="Q14" s="180">
        <f t="shared" si="19"/>
        <v>355.91046909600135</v>
      </c>
      <c r="R14" s="180">
        <f t="shared" si="19"/>
        <v>346.04852057543638</v>
      </c>
      <c r="S14" s="180">
        <f t="shared" si="19"/>
        <v>334.09928320154688</v>
      </c>
      <c r="T14" s="180">
        <f t="shared" si="19"/>
        <v>320.87370061031129</v>
      </c>
      <c r="U14" s="180">
        <f t="shared" si="19"/>
        <v>302.19332224874665</v>
      </c>
      <c r="V14" s="180">
        <f t="shared" si="19"/>
        <v>280.73848561228607</v>
      </c>
      <c r="W14" s="180">
        <f t="shared" si="19"/>
        <v>257.90899949861415</v>
      </c>
      <c r="X14" s="180">
        <f t="shared" ref="X14:Y14" si="20">X22*X54</f>
        <v>244.04847438664737</v>
      </c>
      <c r="Y14" s="180">
        <f t="shared" si="20"/>
        <v>229.28346937920941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34.790056049054797</v>
      </c>
      <c r="C15" s="180">
        <f t="shared" ref="C15:W15" si="21">C23*C55/1000</f>
        <v>38.657153881220708</v>
      </c>
      <c r="D15" s="180">
        <f t="shared" si="21"/>
        <v>43.0182113459595</v>
      </c>
      <c r="E15" s="180">
        <f t="shared" si="21"/>
        <v>46.803456613124759</v>
      </c>
      <c r="F15" s="180">
        <f t="shared" si="21"/>
        <v>51.420016570622643</v>
      </c>
      <c r="G15" s="180">
        <f t="shared" si="21"/>
        <v>55.436558316202195</v>
      </c>
      <c r="H15" s="180">
        <f t="shared" si="21"/>
        <v>59.217391978677419</v>
      </c>
      <c r="I15" s="180">
        <f t="shared" si="21"/>
        <v>62.063357444569156</v>
      </c>
      <c r="J15" s="180">
        <f t="shared" si="21"/>
        <v>64.083709436627558</v>
      </c>
      <c r="K15" s="180">
        <f t="shared" si="21"/>
        <v>64.979034378431706</v>
      </c>
      <c r="L15" s="180">
        <f t="shared" si="21"/>
        <v>65.648833140562104</v>
      </c>
      <c r="M15" s="180">
        <f t="shared" si="21"/>
        <v>65.26279324880106</v>
      </c>
      <c r="N15" s="180">
        <f t="shared" si="21"/>
        <v>65.062124106799558</v>
      </c>
      <c r="O15" s="180">
        <f t="shared" si="21"/>
        <v>65.047015995568387</v>
      </c>
      <c r="P15" s="180">
        <f t="shared" si="21"/>
        <v>65.281378544740861</v>
      </c>
      <c r="Q15" s="180">
        <f t="shared" si="21"/>
        <v>65.70380898631646</v>
      </c>
      <c r="R15" s="180">
        <f t="shared" si="21"/>
        <v>65.010340532033752</v>
      </c>
      <c r="S15" s="180">
        <f t="shared" si="21"/>
        <v>64.511515827762935</v>
      </c>
      <c r="T15" s="180">
        <f t="shared" si="21"/>
        <v>64.303811685404582</v>
      </c>
      <c r="U15" s="180">
        <f t="shared" si="21"/>
        <v>64.330718013119181</v>
      </c>
      <c r="V15" s="180">
        <f t="shared" si="21"/>
        <v>64.356830652413194</v>
      </c>
      <c r="W15" s="180">
        <f t="shared" si="21"/>
        <v>63.957425791125324</v>
      </c>
      <c r="X15" s="180">
        <f t="shared" ref="X15:Y15" si="22">X23*X55/1000</f>
        <v>63.213843130732592</v>
      </c>
      <c r="Y15" s="180">
        <f t="shared" si="22"/>
        <v>62.543394309437069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100.30427732567888</v>
      </c>
      <c r="C16" s="55">
        <f t="shared" ref="C16:W16" si="23">C24*C56</f>
        <v>117.74129274775196</v>
      </c>
      <c r="D16" s="55">
        <f t="shared" si="23"/>
        <v>137.57026512920481</v>
      </c>
      <c r="E16" s="55">
        <f t="shared" si="23"/>
        <v>165.58826916044754</v>
      </c>
      <c r="F16" s="55">
        <f t="shared" si="23"/>
        <v>193.33934179413907</v>
      </c>
      <c r="G16" s="55">
        <f t="shared" si="23"/>
        <v>225.01291387818759</v>
      </c>
      <c r="H16" s="55">
        <f t="shared" si="23"/>
        <v>256.56202617532284</v>
      </c>
      <c r="I16" s="55">
        <f t="shared" si="23"/>
        <v>285.24654585358905</v>
      </c>
      <c r="J16" s="55">
        <f t="shared" si="23"/>
        <v>299.57791712706529</v>
      </c>
      <c r="K16" s="55">
        <f t="shared" si="23"/>
        <v>309.12971311643855</v>
      </c>
      <c r="L16" s="55">
        <f t="shared" si="23"/>
        <v>314.90533636807305</v>
      </c>
      <c r="M16" s="55">
        <f t="shared" si="23"/>
        <v>320.4057016999011</v>
      </c>
      <c r="N16" s="55">
        <f t="shared" si="23"/>
        <v>319.20776167089252</v>
      </c>
      <c r="O16" s="55">
        <f t="shared" si="23"/>
        <v>318.42907018994254</v>
      </c>
      <c r="P16" s="55">
        <f t="shared" si="23"/>
        <v>325.91778275085375</v>
      </c>
      <c r="Q16" s="55">
        <f t="shared" si="23"/>
        <v>333.27954896719837</v>
      </c>
      <c r="R16" s="55">
        <f t="shared" si="23"/>
        <v>338.46502705141017</v>
      </c>
      <c r="S16" s="55">
        <f t="shared" si="23"/>
        <v>342.62447093530341</v>
      </c>
      <c r="T16" s="55">
        <f t="shared" si="23"/>
        <v>344.91634309893368</v>
      </c>
      <c r="U16" s="55">
        <f t="shared" si="23"/>
        <v>346.94806280292295</v>
      </c>
      <c r="V16" s="55">
        <f t="shared" si="23"/>
        <v>347.3053795863824</v>
      </c>
      <c r="W16" s="55">
        <f t="shared" si="23"/>
        <v>347.08388424116623</v>
      </c>
      <c r="X16" s="55">
        <f t="shared" ref="X16:Y16" si="24">X24*X56</f>
        <v>346.4224360331163</v>
      </c>
      <c r="Y16" s="55">
        <f t="shared" si="24"/>
        <v>348.31895124496231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105.18461409886245</v>
      </c>
      <c r="C17" s="63">
        <f t="shared" ref="C17:W17" si="25">C25*C57/1000</f>
        <v>112.48369254349177</v>
      </c>
      <c r="D17" s="63">
        <f t="shared" si="25"/>
        <v>122.40636929589692</v>
      </c>
      <c r="E17" s="63">
        <f t="shared" si="25"/>
        <v>135.23876907652689</v>
      </c>
      <c r="F17" s="63">
        <f t="shared" si="25"/>
        <v>147.47379992835403</v>
      </c>
      <c r="G17" s="63">
        <f t="shared" si="25"/>
        <v>161.07079250919759</v>
      </c>
      <c r="H17" s="63">
        <f t="shared" si="25"/>
        <v>168.56954261607416</v>
      </c>
      <c r="I17" s="63">
        <f t="shared" si="25"/>
        <v>174.37670815995017</v>
      </c>
      <c r="J17" s="63">
        <f t="shared" si="25"/>
        <v>176.92687531449562</v>
      </c>
      <c r="K17" s="63">
        <f t="shared" si="25"/>
        <v>177.62991687427007</v>
      </c>
      <c r="L17" s="63">
        <f t="shared" si="25"/>
        <v>178.89588378387319</v>
      </c>
      <c r="M17" s="63">
        <f t="shared" si="25"/>
        <v>179.77627244955681</v>
      </c>
      <c r="N17" s="63">
        <f t="shared" si="25"/>
        <v>182.28037118704012</v>
      </c>
      <c r="O17" s="63">
        <f t="shared" si="25"/>
        <v>188.30091212913194</v>
      </c>
      <c r="P17" s="63">
        <f t="shared" si="25"/>
        <v>195.58933518550791</v>
      </c>
      <c r="Q17" s="63">
        <f t="shared" si="25"/>
        <v>212.55487387762579</v>
      </c>
      <c r="R17" s="63">
        <f t="shared" si="25"/>
        <v>217.80770055158482</v>
      </c>
      <c r="S17" s="63">
        <f t="shared" si="25"/>
        <v>222.70457656849331</v>
      </c>
      <c r="T17" s="63">
        <f t="shared" si="25"/>
        <v>227.00010877120124</v>
      </c>
      <c r="U17" s="63">
        <f t="shared" si="25"/>
        <v>230.8862391793956</v>
      </c>
      <c r="V17" s="63">
        <f t="shared" si="25"/>
        <v>232.45285497599463</v>
      </c>
      <c r="W17" s="63">
        <f t="shared" si="25"/>
        <v>235.31212610844139</v>
      </c>
      <c r="X17" s="63">
        <f t="shared" ref="X17:Y17" si="26">X25*X57/1000</f>
        <v>236.61285292388845</v>
      </c>
      <c r="Y17" s="63">
        <f t="shared" si="26"/>
        <v>237.04542200475046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8.0043377229563379</v>
      </c>
      <c r="C20" s="181">
        <v>8.9671991800843713</v>
      </c>
      <c r="D20" s="181">
        <v>10.073575023712205</v>
      </c>
      <c r="E20" s="181">
        <v>11.324951623593529</v>
      </c>
      <c r="F20" s="181">
        <v>12.421167538731281</v>
      </c>
      <c r="G20" s="181">
        <v>13.381791672286543</v>
      </c>
      <c r="H20" s="181">
        <v>14.552581182672107</v>
      </c>
      <c r="I20" s="181">
        <v>15.807540037599527</v>
      </c>
      <c r="J20" s="181">
        <v>16.546574119391913</v>
      </c>
      <c r="K20" s="181">
        <v>17.200482750775365</v>
      </c>
      <c r="L20" s="181">
        <v>17.627359745034305</v>
      </c>
      <c r="M20" s="181">
        <v>18.313833100029029</v>
      </c>
      <c r="N20" s="181">
        <v>18.588696779566426</v>
      </c>
      <c r="O20" s="181">
        <v>19.018840425801528</v>
      </c>
      <c r="P20" s="181">
        <v>20.22608263102104</v>
      </c>
      <c r="Q20" s="181">
        <v>21.623937998991902</v>
      </c>
      <c r="R20" s="181">
        <v>22.266417304420251</v>
      </c>
      <c r="S20" s="181">
        <v>22.894280632441131</v>
      </c>
      <c r="T20" s="181">
        <v>23.582974213285155</v>
      </c>
      <c r="U20" s="181">
        <v>24.279979433839188</v>
      </c>
      <c r="V20" s="181">
        <v>24.979374675073085</v>
      </c>
      <c r="W20" s="181">
        <v>25.665522764933897</v>
      </c>
      <c r="X20" s="181">
        <v>26.134748552389972</v>
      </c>
      <c r="Y20" s="181">
        <v>26.476502433406488</v>
      </c>
      <c r="DA20" s="190" t="s">
        <v>922</v>
      </c>
    </row>
    <row r="21" spans="1:105" ht="12" customHeight="1" x14ac:dyDescent="0.25">
      <c r="A21" s="131" t="s">
        <v>156</v>
      </c>
      <c r="B21" s="181">
        <v>360.36789959677179</v>
      </c>
      <c r="C21" s="181">
        <v>371.12474148590917</v>
      </c>
      <c r="D21" s="181">
        <v>386.21605205444706</v>
      </c>
      <c r="E21" s="181">
        <v>409.4595007615074</v>
      </c>
      <c r="F21" s="181">
        <v>436.24302479254675</v>
      </c>
      <c r="G21" s="181">
        <v>464.20249027879777</v>
      </c>
      <c r="H21" s="181">
        <v>486.76214832481003</v>
      </c>
      <c r="I21" s="181">
        <v>510.27590079859351</v>
      </c>
      <c r="J21" s="181">
        <v>532.09898354394079</v>
      </c>
      <c r="K21" s="181">
        <v>553.67786896103303</v>
      </c>
      <c r="L21" s="181">
        <v>574.19694529621142</v>
      </c>
      <c r="M21" s="181">
        <v>591.96005758992158</v>
      </c>
      <c r="N21" s="181">
        <v>616.37222568838513</v>
      </c>
      <c r="O21" s="181">
        <v>644.86117287829711</v>
      </c>
      <c r="P21" s="181">
        <v>681.68367084995691</v>
      </c>
      <c r="Q21" s="181">
        <v>725.01140448299941</v>
      </c>
      <c r="R21" s="181">
        <v>744.7612959883246</v>
      </c>
      <c r="S21" s="181">
        <v>764.16496472918868</v>
      </c>
      <c r="T21" s="181">
        <v>784.2964791140181</v>
      </c>
      <c r="U21" s="181">
        <v>803.31342984665559</v>
      </c>
      <c r="V21" s="181">
        <v>819.92979859127661</v>
      </c>
      <c r="W21" s="181">
        <v>832.66646440236389</v>
      </c>
      <c r="X21" s="181">
        <v>841.12698038987617</v>
      </c>
      <c r="Y21" s="181">
        <v>849.29471466751693</v>
      </c>
      <c r="DA21" s="190" t="s">
        <v>923</v>
      </c>
    </row>
    <row r="22" spans="1:105" ht="12" customHeight="1" x14ac:dyDescent="0.25">
      <c r="A22" s="131" t="s">
        <v>160</v>
      </c>
      <c r="B22" s="181">
        <v>5.0812924810032243</v>
      </c>
      <c r="C22" s="181">
        <v>5.3458863719851824</v>
      </c>
      <c r="D22" s="181">
        <v>5.6327323087807351</v>
      </c>
      <c r="E22" s="181">
        <v>6.0070135763859582</v>
      </c>
      <c r="F22" s="181">
        <v>6.3519221489211084</v>
      </c>
      <c r="G22" s="181">
        <v>6.7075889478202786</v>
      </c>
      <c r="H22" s="181">
        <v>7.1756042454487972</v>
      </c>
      <c r="I22" s="181">
        <v>7.6920587354102894</v>
      </c>
      <c r="J22" s="181">
        <v>8.0233654878899703</v>
      </c>
      <c r="K22" s="181">
        <v>8.3388448373619806</v>
      </c>
      <c r="L22" s="181">
        <v>8.667711813091092</v>
      </c>
      <c r="M22" s="181">
        <v>9.1301404973992994</v>
      </c>
      <c r="N22" s="181">
        <v>9.4256137478239594</v>
      </c>
      <c r="O22" s="181">
        <v>9.8334322667615321</v>
      </c>
      <c r="P22" s="181">
        <v>10.593353937536918</v>
      </c>
      <c r="Q22" s="181">
        <v>11.515048624929571</v>
      </c>
      <c r="R22" s="181">
        <v>11.935128669286488</v>
      </c>
      <c r="S22" s="181">
        <v>12.353076546587024</v>
      </c>
      <c r="T22" s="181">
        <v>12.791416702600415</v>
      </c>
      <c r="U22" s="181">
        <v>13.210239982508581</v>
      </c>
      <c r="V22" s="181">
        <v>13.58417374421559</v>
      </c>
      <c r="W22" s="181">
        <v>13.862531914673191</v>
      </c>
      <c r="X22" s="181">
        <v>14.067961138987974</v>
      </c>
      <c r="Y22" s="181">
        <v>14.227665384302156</v>
      </c>
      <c r="DA22" s="190" t="s">
        <v>924</v>
      </c>
    </row>
    <row r="23" spans="1:105" ht="12" customHeight="1" x14ac:dyDescent="0.25">
      <c r="A23" s="131" t="s">
        <v>172</v>
      </c>
      <c r="B23" s="181">
        <v>48.602551326671588</v>
      </c>
      <c r="C23" s="181">
        <v>55.049834802043932</v>
      </c>
      <c r="D23" s="181">
        <v>62.562107998760915</v>
      </c>
      <c r="E23" s="181">
        <v>69.420834892269966</v>
      </c>
      <c r="F23" s="181">
        <v>77.874737338898129</v>
      </c>
      <c r="G23" s="181">
        <v>85.630214793038562</v>
      </c>
      <c r="H23" s="181">
        <v>93.256189176662815</v>
      </c>
      <c r="I23" s="181">
        <v>99.610752062924291</v>
      </c>
      <c r="J23" s="181">
        <v>104.82990611341766</v>
      </c>
      <c r="K23" s="181">
        <v>108.33431607775343</v>
      </c>
      <c r="L23" s="181">
        <v>111.73285814178477</v>
      </c>
      <c r="M23" s="181">
        <v>114.2155767865796</v>
      </c>
      <c r="N23" s="181">
        <v>117.37693385811259</v>
      </c>
      <c r="O23" s="181">
        <v>120.74631724091314</v>
      </c>
      <c r="P23" s="181">
        <v>125.25045004637391</v>
      </c>
      <c r="Q23" s="181">
        <v>129.76463637309399</v>
      </c>
      <c r="R23" s="181">
        <v>131.59764125438824</v>
      </c>
      <c r="S23" s="181">
        <v>133.37762978768944</v>
      </c>
      <c r="T23" s="181">
        <v>135.38794452334062</v>
      </c>
      <c r="U23" s="181">
        <v>137.35866512192374</v>
      </c>
      <c r="V23" s="181">
        <v>139.17115426549111</v>
      </c>
      <c r="W23" s="181">
        <v>140.71184670550298</v>
      </c>
      <c r="X23" s="181">
        <v>141.70398828574736</v>
      </c>
      <c r="Y23" s="181">
        <v>142.77151760897229</v>
      </c>
      <c r="DA23" s="190" t="s">
        <v>925</v>
      </c>
    </row>
    <row r="24" spans="1:105" ht="12" customHeight="1" x14ac:dyDescent="0.25">
      <c r="A24" s="60" t="s">
        <v>159</v>
      </c>
      <c r="B24" s="36">
        <v>1.9053634940194211</v>
      </c>
      <c r="C24" s="36">
        <v>2.2636437596458032</v>
      </c>
      <c r="D24" s="36">
        <v>2.6780705058283352</v>
      </c>
      <c r="E24" s="36">
        <v>3.2714212745835898</v>
      </c>
      <c r="F24" s="36">
        <v>3.8687280730084099</v>
      </c>
      <c r="G24" s="36">
        <v>4.5601983333762144</v>
      </c>
      <c r="H24" s="36">
        <v>5.2631441095899074</v>
      </c>
      <c r="I24" s="36">
        <v>5.9214261676624957</v>
      </c>
      <c r="J24" s="36">
        <v>6.2701127992409367</v>
      </c>
      <c r="K24" s="36">
        <v>6.5195172998463651</v>
      </c>
      <c r="L24" s="36">
        <v>6.6931819446999281</v>
      </c>
      <c r="M24" s="36">
        <v>6.8752266804879909</v>
      </c>
      <c r="N24" s="36">
        <v>6.9043453268760926</v>
      </c>
      <c r="O24" s="36">
        <v>6.9579098195658009</v>
      </c>
      <c r="P24" s="36">
        <v>7.2509515885250577</v>
      </c>
      <c r="Q24" s="36">
        <v>7.5696890491921076</v>
      </c>
      <c r="R24" s="36">
        <v>7.8770649174240734</v>
      </c>
      <c r="S24" s="36">
        <v>8.1814010177105541</v>
      </c>
      <c r="T24" s="36">
        <v>8.5060090682010543</v>
      </c>
      <c r="U24" s="36">
        <v>8.8299868996237603</v>
      </c>
      <c r="V24" s="36">
        <v>9.1468172058550472</v>
      </c>
      <c r="W24" s="36">
        <v>9.4474589465658525</v>
      </c>
      <c r="X24" s="36">
        <v>9.7092153267307673</v>
      </c>
      <c r="Y24" s="36">
        <v>9.9338367034428625</v>
      </c>
      <c r="DA24" s="89" t="s">
        <v>926</v>
      </c>
    </row>
    <row r="25" spans="1:105" ht="12" customHeight="1" x14ac:dyDescent="0.25">
      <c r="A25" s="62" t="s">
        <v>157</v>
      </c>
      <c r="B25" s="38">
        <v>269.3325367989604</v>
      </c>
      <c r="C25" s="38">
        <v>295.56791779515862</v>
      </c>
      <c r="D25" s="38">
        <v>333.29957685395323</v>
      </c>
      <c r="E25" s="38">
        <v>384.16956820340755</v>
      </c>
      <c r="F25" s="38">
        <v>438.31544702760698</v>
      </c>
      <c r="G25" s="38">
        <v>501.76735569194193</v>
      </c>
      <c r="H25" s="38">
        <v>549.76142980944167</v>
      </c>
      <c r="I25" s="38">
        <v>597.55278608037452</v>
      </c>
      <c r="J25" s="38">
        <v>639.34252353778038</v>
      </c>
      <c r="K25" s="38">
        <v>677.54915486807761</v>
      </c>
      <c r="L25" s="38">
        <v>727.34416294414439</v>
      </c>
      <c r="M25" s="38">
        <v>777.11965763781325</v>
      </c>
      <c r="N25" s="38">
        <v>834.19243090603072</v>
      </c>
      <c r="O25" s="38">
        <v>903.18138568848667</v>
      </c>
      <c r="P25" s="38">
        <v>970.28896099196379</v>
      </c>
      <c r="Q25" s="38">
        <v>1078.9701869040309</v>
      </c>
      <c r="R25" s="38">
        <v>1124.9072562060442</v>
      </c>
      <c r="S25" s="38">
        <v>1170.1350895880357</v>
      </c>
      <c r="T25" s="38">
        <v>1217.1856454261679</v>
      </c>
      <c r="U25" s="38">
        <v>1264.2978158285937</v>
      </c>
      <c r="V25" s="38">
        <v>1310.9702125784045</v>
      </c>
      <c r="W25" s="38">
        <v>1357.595657749021</v>
      </c>
      <c r="X25" s="38">
        <v>1395.3297371036588</v>
      </c>
      <c r="Y25" s="38">
        <v>1428.1488935933849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1.3100362157748524</v>
      </c>
      <c r="D28" s="182">
        <v>1.4633706466482046</v>
      </c>
      <c r="E28" s="182">
        <v>1.6184692130663834</v>
      </c>
      <c r="F28" s="182">
        <v>1.4736919610491164</v>
      </c>
      <c r="G28" s="182">
        <v>1.3487773137584469</v>
      </c>
      <c r="H28" s="182">
        <v>1.5699218339694117</v>
      </c>
      <c r="I28" s="182">
        <v>1.6653808734873348</v>
      </c>
      <c r="J28" s="182">
        <v>1.1610651310602069</v>
      </c>
      <c r="K28" s="182">
        <v>1.0878770796919746</v>
      </c>
      <c r="L28" s="182">
        <v>0.87312049803440317</v>
      </c>
      <c r="M28" s="182">
        <v>1.1453391214760487</v>
      </c>
      <c r="N28" s="182">
        <v>0.74670873692660322</v>
      </c>
      <c r="O28" s="182">
        <v>0.91533512148908258</v>
      </c>
      <c r="P28" s="182">
        <v>1.7061576096993214</v>
      </c>
      <c r="Q28" s="182">
        <v>1.910882891170754</v>
      </c>
      <c r="R28" s="182">
        <v>1.1700181170131252</v>
      </c>
      <c r="S28" s="182">
        <v>1.1703238884065321</v>
      </c>
      <c r="T28" s="182">
        <v>1.246497960563353</v>
      </c>
      <c r="U28" s="182">
        <v>2.0070414363288833</v>
      </c>
      <c r="V28" s="182">
        <v>2.1627658878821023</v>
      </c>
      <c r="W28" s="182">
        <v>2.3046173029271948</v>
      </c>
      <c r="X28" s="182">
        <v>1.9429177485051916</v>
      </c>
      <c r="Y28" s="182">
        <v>1.6905311947749624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55.962987485084341</v>
      </c>
      <c r="D29" s="182">
        <v>62.243349345214767</v>
      </c>
      <c r="E29" s="182">
        <v>72.425141405864053</v>
      </c>
      <c r="F29" s="182">
        <v>78.082236864555398</v>
      </c>
      <c r="G29" s="182">
        <v>81.46632533533375</v>
      </c>
      <c r="H29" s="182">
        <v>78.369714337304742</v>
      </c>
      <c r="I29" s="182">
        <v>81.726146025236403</v>
      </c>
      <c r="J29" s="182">
        <v>77.786070230431619</v>
      </c>
      <c r="K29" s="182">
        <v>83.822234762307005</v>
      </c>
      <c r="L29" s="182">
        <v>92.944217741042451</v>
      </c>
      <c r="M29" s="182">
        <v>95.845349158265549</v>
      </c>
      <c r="N29" s="182">
        <v>105.8784934337973</v>
      </c>
      <c r="O29" s="182">
        <v>106.85866152721678</v>
      </c>
      <c r="P29" s="182">
        <v>118.5486439968962</v>
      </c>
      <c r="Q29" s="182">
        <v>121.11380386347412</v>
      </c>
      <c r="R29" s="182">
        <v>103.57212626763214</v>
      </c>
      <c r="S29" s="182">
        <v>112.34788648190658</v>
      </c>
      <c r="T29" s="182">
        <v>115.97686354309496</v>
      </c>
      <c r="U29" s="182">
        <v>124.8954441664348</v>
      </c>
      <c r="V29" s="182">
        <v>123.4750302718378</v>
      </c>
      <c r="W29" s="182">
        <v>131.28530980798348</v>
      </c>
      <c r="X29" s="182">
        <v>129.5743198509864</v>
      </c>
      <c r="Y29" s="182">
        <v>111.7398605452729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1.0581195066806748</v>
      </c>
      <c r="D30" s="182">
        <v>1.1009860403274789</v>
      </c>
      <c r="E30" s="182">
        <v>1.2095713893933455</v>
      </c>
      <c r="F30" s="182">
        <v>1.201898155200336</v>
      </c>
      <c r="G30" s="182">
        <v>1.2349195586761414</v>
      </c>
      <c r="H30" s="182">
        <v>1.3701095951708195</v>
      </c>
      <c r="I30" s="182">
        <v>1.574573996642167</v>
      </c>
      <c r="J30" s="182">
        <v>1.4322927928071598</v>
      </c>
      <c r="K30" s="182">
        <v>1.5250507388653558</v>
      </c>
      <c r="L30" s="182">
        <v>1.5307651309294474</v>
      </c>
      <c r="M30" s="182">
        <v>1.6973482429843489</v>
      </c>
      <c r="N30" s="182">
        <v>1.6655828455954795</v>
      </c>
      <c r="O30" s="182">
        <v>1.9823925155797397</v>
      </c>
      <c r="P30" s="182">
        <v>2.1922144635825447</v>
      </c>
      <c r="Q30" s="182">
        <v>2.4467454262580102</v>
      </c>
      <c r="R30" s="182">
        <v>1.9508451752863643</v>
      </c>
      <c r="S30" s="182">
        <v>2.115296120284885</v>
      </c>
      <c r="T30" s="182">
        <v>2.1039230016088695</v>
      </c>
      <c r="U30" s="182">
        <v>2.4012157954879054</v>
      </c>
      <c r="V30" s="182">
        <v>2.5661482252895542</v>
      </c>
      <c r="W30" s="182">
        <v>2.725103596715611</v>
      </c>
      <c r="X30" s="182">
        <v>2.1562743996011466</v>
      </c>
      <c r="Y30" s="182">
        <v>2.2750003655990678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10.864434123559782</v>
      </c>
      <c r="D31" s="182">
        <v>12.022467524186524</v>
      </c>
      <c r="E31" s="182">
        <v>11.463924789552209</v>
      </c>
      <c r="F31" s="182">
        <v>13.156105084007436</v>
      </c>
      <c r="G31" s="182">
        <v>12.556728158691996</v>
      </c>
      <c r="H31" s="182">
        <v>12.528359522178107</v>
      </c>
      <c r="I31" s="182">
        <v>11.360212773264905</v>
      </c>
      <c r="J31" s="182">
        <v>10.330243873731703</v>
      </c>
      <c r="K31" s="182">
        <v>8.7231607301526708</v>
      </c>
      <c r="L31" s="182">
        <v>8.7272215624594338</v>
      </c>
      <c r="M31" s="182">
        <v>13.347152768354604</v>
      </c>
      <c r="N31" s="182">
        <v>15.183824595719514</v>
      </c>
      <c r="O31" s="182">
        <v>14.833308172352758</v>
      </c>
      <c r="P31" s="182">
        <v>17.660237889468206</v>
      </c>
      <c r="Q31" s="182">
        <v>17.070914485412075</v>
      </c>
      <c r="R31" s="182">
        <v>14.361364403472351</v>
      </c>
      <c r="S31" s="182">
        <v>13.140201306566112</v>
      </c>
      <c r="T31" s="182">
        <v>12.340558609382882</v>
      </c>
      <c r="U31" s="182">
        <v>10.693881328735785</v>
      </c>
      <c r="V31" s="182">
        <v>10.539710706026824</v>
      </c>
      <c r="W31" s="182">
        <v>14.887845208366471</v>
      </c>
      <c r="X31" s="182">
        <v>16.175966175963893</v>
      </c>
      <c r="Y31" s="182">
        <v>15.90083749557769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0.4125496947365086</v>
      </c>
      <c r="D32" s="41">
        <v>0.4748031942573343</v>
      </c>
      <c r="E32" s="41">
        <v>0.66052146765337749</v>
      </c>
      <c r="F32" s="41">
        <v>0.67203631522038165</v>
      </c>
      <c r="G32" s="41">
        <v>0.77460919999634736</v>
      </c>
      <c r="H32" s="41">
        <v>0.79544046343973296</v>
      </c>
      <c r="I32" s="41">
        <v>0.76118530898325698</v>
      </c>
      <c r="J32" s="41">
        <v>0.46316973720921428</v>
      </c>
      <c r="K32" s="41">
        <v>0.37677055910094293</v>
      </c>
      <c r="L32" s="41">
        <v>0.31536339391616952</v>
      </c>
      <c r="M32" s="41">
        <v>0.33968905424370988</v>
      </c>
      <c r="N32" s="41">
        <v>0.20450291269778731</v>
      </c>
      <c r="O32" s="41">
        <v>0.24868500937132243</v>
      </c>
      <c r="P32" s="41">
        <v>0.51011948539976171</v>
      </c>
      <c r="Q32" s="41">
        <v>0.56024325296625932</v>
      </c>
      <c r="R32" s="41">
        <v>0.71992556296847443</v>
      </c>
      <c r="S32" s="41">
        <v>0.77913929454381492</v>
      </c>
      <c r="T32" s="41">
        <v>0.98512951814387772</v>
      </c>
      <c r="U32" s="41">
        <v>0.99601414664308763</v>
      </c>
      <c r="V32" s="41">
        <v>1.0914395062276334</v>
      </c>
      <c r="W32" s="41">
        <v>1.0960822041505374</v>
      </c>
      <c r="X32" s="41">
        <v>1.0229416891481726</v>
      </c>
      <c r="Y32" s="41">
        <v>0.68779111392130865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80.101888355990297</v>
      </c>
      <c r="D33" s="42">
        <v>91.598166418586686</v>
      </c>
      <c r="E33" s="42">
        <v>104.7364987092464</v>
      </c>
      <c r="F33" s="42">
        <v>108.01238618399151</v>
      </c>
      <c r="G33" s="42">
        <v>117.31841602412703</v>
      </c>
      <c r="H33" s="42">
        <v>128.09596247349003</v>
      </c>
      <c r="I33" s="42">
        <v>139.38952268951954</v>
      </c>
      <c r="J33" s="42">
        <v>146.52623616665227</v>
      </c>
      <c r="K33" s="42">
        <v>146.21901751428879</v>
      </c>
      <c r="L33" s="42">
        <v>167.11342410019381</v>
      </c>
      <c r="M33" s="42">
        <v>177.87145716715884</v>
      </c>
      <c r="N33" s="42">
        <v>196.46229595773707</v>
      </c>
      <c r="O33" s="42">
        <v>215.51519094910827</v>
      </c>
      <c r="P33" s="42">
        <v>213.32659281776591</v>
      </c>
      <c r="Q33" s="42">
        <v>275.79465001226095</v>
      </c>
      <c r="R33" s="42">
        <v>223.80852646917208</v>
      </c>
      <c r="S33" s="42">
        <v>241.69012933972863</v>
      </c>
      <c r="T33" s="42">
        <v>262.56574678724041</v>
      </c>
      <c r="U33" s="42">
        <v>260.43876322019173</v>
      </c>
      <c r="V33" s="42">
        <v>322.46704676207173</v>
      </c>
      <c r="W33" s="42">
        <v>270.43397163978852</v>
      </c>
      <c r="X33" s="42">
        <v>279.42420869436637</v>
      </c>
      <c r="Y33" s="42">
        <v>295.3849032769665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0.34717475864681901</v>
      </c>
      <c r="D36" s="182">
        <v>0.35699480302037045</v>
      </c>
      <c r="E36" s="182">
        <v>0.36709261318505959</v>
      </c>
      <c r="F36" s="182">
        <v>0.37747604591136508</v>
      </c>
      <c r="G36" s="182">
        <v>0.38815318020318479</v>
      </c>
      <c r="H36" s="182">
        <v>0.39913232358384754</v>
      </c>
      <c r="I36" s="182">
        <v>0.41042201855991678</v>
      </c>
      <c r="J36" s="182">
        <v>0.42203104926782231</v>
      </c>
      <c r="K36" s="182">
        <v>0.43396844830852288</v>
      </c>
      <c r="L36" s="182">
        <v>0.44624350377546307</v>
      </c>
      <c r="M36" s="182">
        <v>0.45886576648132404</v>
      </c>
      <c r="N36" s="182">
        <v>0.47184505738920635</v>
      </c>
      <c r="O36" s="182">
        <v>0.48519147525398054</v>
      </c>
      <c r="P36" s="182">
        <v>0.49891540447980987</v>
      </c>
      <c r="Q36" s="182">
        <v>0.51302752319989153</v>
      </c>
      <c r="R36" s="182">
        <v>0.52753881158477611</v>
      </c>
      <c r="S36" s="182">
        <v>0.54246056038565271</v>
      </c>
      <c r="T36" s="182">
        <v>0.55780437971932884</v>
      </c>
      <c r="U36" s="182">
        <v>1.3100362157748506</v>
      </c>
      <c r="V36" s="182">
        <v>1.4633706466482046</v>
      </c>
      <c r="W36" s="182">
        <v>1.6184692130663834</v>
      </c>
      <c r="X36" s="182">
        <v>1.4736919610491164</v>
      </c>
      <c r="Y36" s="182">
        <v>1.3487773137584469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45.206145595946964</v>
      </c>
      <c r="D37" s="182">
        <v>47.152038776676875</v>
      </c>
      <c r="E37" s="182">
        <v>49.181692698803715</v>
      </c>
      <c r="F37" s="182">
        <v>51.298712833516049</v>
      </c>
      <c r="G37" s="182">
        <v>53.50685984908273</v>
      </c>
      <c r="H37" s="182">
        <v>55.810056291292426</v>
      </c>
      <c r="I37" s="182">
        <v>58.212393551452919</v>
      </c>
      <c r="J37" s="182">
        <v>55.962987485084341</v>
      </c>
      <c r="K37" s="182">
        <v>62.24334934521471</v>
      </c>
      <c r="L37" s="182">
        <v>72.425141405863997</v>
      </c>
      <c r="M37" s="182">
        <v>78.082236864555398</v>
      </c>
      <c r="N37" s="182">
        <v>81.46632533533375</v>
      </c>
      <c r="O37" s="182">
        <v>78.369714337304799</v>
      </c>
      <c r="P37" s="182">
        <v>81.726146025236403</v>
      </c>
      <c r="Q37" s="182">
        <v>77.786070230431619</v>
      </c>
      <c r="R37" s="182">
        <v>83.822234762306948</v>
      </c>
      <c r="S37" s="182">
        <v>92.944217741042507</v>
      </c>
      <c r="T37" s="182">
        <v>95.845349158265549</v>
      </c>
      <c r="U37" s="182">
        <v>105.8784934337973</v>
      </c>
      <c r="V37" s="182">
        <v>106.85866152721678</v>
      </c>
      <c r="W37" s="182">
        <v>118.5486439968962</v>
      </c>
      <c r="X37" s="182">
        <v>121.11380386347412</v>
      </c>
      <c r="Y37" s="182">
        <v>103.57212626763214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0.79352561569871671</v>
      </c>
      <c r="D38" s="182">
        <v>0.81414010353192623</v>
      </c>
      <c r="E38" s="182">
        <v>0.83529012178812234</v>
      </c>
      <c r="F38" s="182">
        <v>0.85698958266518588</v>
      </c>
      <c r="G38" s="182">
        <v>0.87925275977697126</v>
      </c>
      <c r="H38" s="182">
        <v>0.90209429754230008</v>
      </c>
      <c r="I38" s="182">
        <v>1.0581195066806748</v>
      </c>
      <c r="J38" s="182">
        <v>1.1009860403274789</v>
      </c>
      <c r="K38" s="182">
        <v>1.2095713893933446</v>
      </c>
      <c r="L38" s="182">
        <v>1.201898155200336</v>
      </c>
      <c r="M38" s="182">
        <v>1.2349195586761414</v>
      </c>
      <c r="N38" s="182">
        <v>1.3701095951708204</v>
      </c>
      <c r="O38" s="182">
        <v>1.574573996642167</v>
      </c>
      <c r="P38" s="182">
        <v>1.4322927928071589</v>
      </c>
      <c r="Q38" s="182">
        <v>1.5250507388653567</v>
      </c>
      <c r="R38" s="182">
        <v>1.5307651309294474</v>
      </c>
      <c r="S38" s="182">
        <v>1.6973482429843489</v>
      </c>
      <c r="T38" s="182">
        <v>1.6655828455954786</v>
      </c>
      <c r="U38" s="182">
        <v>1.9823925155797397</v>
      </c>
      <c r="V38" s="182">
        <v>2.1922144635825447</v>
      </c>
      <c r="W38" s="182">
        <v>2.4467454262580119</v>
      </c>
      <c r="X38" s="182">
        <v>1.9508451752863625</v>
      </c>
      <c r="Y38" s="182">
        <v>2.115296120284885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4.4171506481874374</v>
      </c>
      <c r="D39" s="182">
        <v>4.5101943274695415</v>
      </c>
      <c r="E39" s="182">
        <v>4.6051978960431654</v>
      </c>
      <c r="F39" s="182">
        <v>4.7022026373792727</v>
      </c>
      <c r="G39" s="182">
        <v>4.8012507045515633</v>
      </c>
      <c r="H39" s="182">
        <v>4.9023851385538535</v>
      </c>
      <c r="I39" s="182">
        <v>5.0056498870034289</v>
      </c>
      <c r="J39" s="182">
        <v>5.1110898232383306</v>
      </c>
      <c r="K39" s="182">
        <v>5.2187507658169068</v>
      </c>
      <c r="L39" s="182">
        <v>5.3286794984280874</v>
      </c>
      <c r="M39" s="182">
        <v>10.864434123559775</v>
      </c>
      <c r="N39" s="182">
        <v>12.022467524186524</v>
      </c>
      <c r="O39" s="182">
        <v>11.463924789552195</v>
      </c>
      <c r="P39" s="182">
        <v>13.156105084007436</v>
      </c>
      <c r="Q39" s="182">
        <v>12.55672815869201</v>
      </c>
      <c r="R39" s="182">
        <v>12.528359522178107</v>
      </c>
      <c r="S39" s="182">
        <v>11.360212773264891</v>
      </c>
      <c r="T39" s="182">
        <v>10.330243873731689</v>
      </c>
      <c r="U39" s="182">
        <v>8.7231607301526708</v>
      </c>
      <c r="V39" s="182">
        <v>8.727221562459448</v>
      </c>
      <c r="W39" s="182">
        <v>13.34715276835459</v>
      </c>
      <c r="X39" s="182">
        <v>15.1838245957195</v>
      </c>
      <c r="Y39" s="182">
        <v>14.833308172352758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5.4269429110126666E-2</v>
      </c>
      <c r="D40" s="41">
        <v>6.0376448074802358E-2</v>
      </c>
      <c r="E40" s="41">
        <v>6.7170698898122883E-2</v>
      </c>
      <c r="F40" s="41">
        <v>7.4729516795561501E-2</v>
      </c>
      <c r="G40" s="41">
        <v>8.3138939628542907E-2</v>
      </c>
      <c r="H40" s="41">
        <v>9.2494687226039929E-2</v>
      </c>
      <c r="I40" s="41">
        <v>0.10290325091066865</v>
      </c>
      <c r="J40" s="41">
        <v>0.11448310563077335</v>
      </c>
      <c r="K40" s="41">
        <v>0.12736605849551452</v>
      </c>
      <c r="L40" s="41">
        <v>0.14169874906260649</v>
      </c>
      <c r="M40" s="41">
        <v>0.15764431845564708</v>
      </c>
      <c r="N40" s="41">
        <v>0.17538426630968562</v>
      </c>
      <c r="O40" s="41">
        <v>0.19512051668161412</v>
      </c>
      <c r="P40" s="41">
        <v>0.21707771644050489</v>
      </c>
      <c r="Q40" s="41">
        <v>0.24150579229920943</v>
      </c>
      <c r="R40" s="41">
        <v>0.4125496947365086</v>
      </c>
      <c r="S40" s="41">
        <v>0.47480319425733519</v>
      </c>
      <c r="T40" s="41">
        <v>0.6605214676533766</v>
      </c>
      <c r="U40" s="41">
        <v>0.67203631522038165</v>
      </c>
      <c r="V40" s="41">
        <v>0.77460919999634648</v>
      </c>
      <c r="W40" s="41">
        <v>0.79544046343973207</v>
      </c>
      <c r="X40" s="41">
        <v>0.76118530898325787</v>
      </c>
      <c r="Y40" s="41">
        <v>0.46316973720921339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53.866507359792081</v>
      </c>
      <c r="D41" s="42">
        <v>53.866507359792081</v>
      </c>
      <c r="E41" s="42">
        <v>53.866507359792081</v>
      </c>
      <c r="F41" s="42">
        <v>53.866507359792081</v>
      </c>
      <c r="G41" s="42">
        <v>53.866507359792081</v>
      </c>
      <c r="H41" s="42">
        <v>80.101888355990354</v>
      </c>
      <c r="I41" s="42">
        <v>91.598166418586743</v>
      </c>
      <c r="J41" s="42">
        <v>104.73649870924646</v>
      </c>
      <c r="K41" s="42">
        <v>108.01238618399157</v>
      </c>
      <c r="L41" s="42">
        <v>117.31841602412703</v>
      </c>
      <c r="M41" s="42">
        <v>128.09596247348998</v>
      </c>
      <c r="N41" s="42">
        <v>139.38952268951959</v>
      </c>
      <c r="O41" s="42">
        <v>146.52623616665232</v>
      </c>
      <c r="P41" s="42">
        <v>146.21901751428879</v>
      </c>
      <c r="Q41" s="42">
        <v>167.1134241001937</v>
      </c>
      <c r="R41" s="42">
        <v>177.87145716715895</v>
      </c>
      <c r="S41" s="42">
        <v>196.46229595773707</v>
      </c>
      <c r="T41" s="42">
        <v>215.51519094910827</v>
      </c>
      <c r="U41" s="42">
        <v>213.32659281776591</v>
      </c>
      <c r="V41" s="42">
        <v>275.79465001226095</v>
      </c>
      <c r="W41" s="42">
        <v>223.80852646917197</v>
      </c>
      <c r="X41" s="42">
        <v>241.69012933972863</v>
      </c>
      <c r="Y41" s="42">
        <v>262.56574678724041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8760</v>
      </c>
      <c r="D44" s="184">
        <v>8760.0000000000018</v>
      </c>
      <c r="E44" s="184">
        <v>8759.9999999999982</v>
      </c>
      <c r="F44" s="184">
        <v>8760</v>
      </c>
      <c r="G44" s="184">
        <v>8760.0000000000018</v>
      </c>
      <c r="H44" s="184">
        <v>8760</v>
      </c>
      <c r="I44" s="184">
        <v>8760.0000000000018</v>
      </c>
      <c r="J44" s="184">
        <v>8760.0000000000018</v>
      </c>
      <c r="K44" s="184">
        <v>8759.9999999999964</v>
      </c>
      <c r="L44" s="184">
        <v>8760.0000000000018</v>
      </c>
      <c r="M44" s="184">
        <v>8760</v>
      </c>
      <c r="N44" s="184">
        <v>8759.9999999999982</v>
      </c>
      <c r="O44" s="184">
        <v>8759.9999999999982</v>
      </c>
      <c r="P44" s="184">
        <v>8759.9999999999982</v>
      </c>
      <c r="Q44" s="184">
        <v>8759.9999999999945</v>
      </c>
      <c r="R44" s="184">
        <v>8759.9999999999982</v>
      </c>
      <c r="S44" s="184">
        <v>8759.9999999999964</v>
      </c>
      <c r="T44" s="184">
        <v>8759.9999999999982</v>
      </c>
      <c r="U44" s="184">
        <v>8759.9999999999964</v>
      </c>
      <c r="V44" s="184">
        <v>8759.9999999999964</v>
      </c>
      <c r="W44" s="184">
        <v>8759.9999999999964</v>
      </c>
      <c r="X44" s="184">
        <v>8759.9999999999964</v>
      </c>
      <c r="Y44" s="184">
        <v>8759.9999999999964</v>
      </c>
      <c r="DA44" s="193" t="s">
        <v>940</v>
      </c>
    </row>
    <row r="45" spans="1:105" ht="12" customHeight="1" x14ac:dyDescent="0.25">
      <c r="A45" s="131" t="s">
        <v>6</v>
      </c>
      <c r="B45" s="184">
        <v>3729.2373139332112</v>
      </c>
      <c r="C45" s="184">
        <v>3755.5338116166522</v>
      </c>
      <c r="D45" s="184">
        <v>3770.6199920124009</v>
      </c>
      <c r="E45" s="184">
        <v>3788.0478663640556</v>
      </c>
      <c r="F45" s="184">
        <v>3800.3874333015137</v>
      </c>
      <c r="G45" s="184">
        <v>3802.8377931909226</v>
      </c>
      <c r="H45" s="184">
        <v>3808.0836611347318</v>
      </c>
      <c r="I45" s="184">
        <v>3809.9331990474602</v>
      </c>
      <c r="J45" s="184">
        <v>3810.693336118668</v>
      </c>
      <c r="K45" s="184">
        <v>3811.3930090313479</v>
      </c>
      <c r="L45" s="184">
        <v>3811.5068188963487</v>
      </c>
      <c r="M45" s="184">
        <v>3807.8687293372345</v>
      </c>
      <c r="N45" s="184">
        <v>3797.1510551740121</v>
      </c>
      <c r="O45" s="184">
        <v>3790.9499495204309</v>
      </c>
      <c r="P45" s="184">
        <v>3777.2234686334314</v>
      </c>
      <c r="Q45" s="184">
        <v>3764.1285649487145</v>
      </c>
      <c r="R45" s="184">
        <v>3745.0469475569648</v>
      </c>
      <c r="S45" s="184">
        <v>3738.2540938281654</v>
      </c>
      <c r="T45" s="184">
        <v>3706.1557977705447</v>
      </c>
      <c r="U45" s="184">
        <v>3720.735997793478</v>
      </c>
      <c r="V45" s="184">
        <v>3736.413616543703</v>
      </c>
      <c r="W45" s="184">
        <v>3735.8649909937176</v>
      </c>
      <c r="X45" s="184">
        <v>3722.2784918943457</v>
      </c>
      <c r="Y45" s="184">
        <v>3708.6919927949739</v>
      </c>
      <c r="DA45" s="193" t="s">
        <v>941</v>
      </c>
    </row>
    <row r="46" spans="1:105" ht="12" customHeight="1" x14ac:dyDescent="0.25">
      <c r="A46" s="131" t="s">
        <v>5</v>
      </c>
      <c r="B46" s="184">
        <v>2232.2216633472431</v>
      </c>
      <c r="C46" s="184">
        <v>2246.3919939667703</v>
      </c>
      <c r="D46" s="184">
        <v>2261.6271927096718</v>
      </c>
      <c r="E46" s="184">
        <v>2277.4162628761928</v>
      </c>
      <c r="F46" s="184">
        <v>2291.072120639988</v>
      </c>
      <c r="G46" s="184">
        <v>2301.9095270609905</v>
      </c>
      <c r="H46" s="184">
        <v>2313.1453997978583</v>
      </c>
      <c r="I46" s="184">
        <v>2320.8315011899977</v>
      </c>
      <c r="J46" s="184">
        <v>2330.4227965214404</v>
      </c>
      <c r="K46" s="184">
        <v>2333.9595035741077</v>
      </c>
      <c r="L46" s="184">
        <v>2336.6578666819223</v>
      </c>
      <c r="M46" s="184">
        <v>2344.4868261735078</v>
      </c>
      <c r="N46" s="184">
        <v>2353.577761498731</v>
      </c>
      <c r="O46" s="184">
        <v>2360.4332463763481</v>
      </c>
      <c r="P46" s="184">
        <v>2369.6945579944622</v>
      </c>
      <c r="Q46" s="184">
        <v>2378.3688598026247</v>
      </c>
      <c r="R46" s="184">
        <v>2346.9348443732702</v>
      </c>
      <c r="S46" s="184">
        <v>2320.2777040536907</v>
      </c>
      <c r="T46" s="184">
        <v>2312.4922462693644</v>
      </c>
      <c r="U46" s="184">
        <v>2357.9668548548761</v>
      </c>
      <c r="V46" s="184">
        <v>2053.0310856944211</v>
      </c>
      <c r="W46" s="184">
        <v>2264.9476164715229</v>
      </c>
      <c r="X46" s="184">
        <v>2312.5670538245713</v>
      </c>
      <c r="Y46" s="184">
        <v>2336.3767725010953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8759.9999999999982</v>
      </c>
      <c r="C47" s="184">
        <v>8759.9999999999982</v>
      </c>
      <c r="D47" s="184">
        <v>8760.0000000000018</v>
      </c>
      <c r="E47" s="184">
        <v>8760</v>
      </c>
      <c r="F47" s="184">
        <v>8760.0000000000036</v>
      </c>
      <c r="G47" s="184">
        <v>8760</v>
      </c>
      <c r="H47" s="184">
        <v>8759.9999999999982</v>
      </c>
      <c r="I47" s="184">
        <v>8759.9999999999964</v>
      </c>
      <c r="J47" s="184">
        <v>8760.0000000000036</v>
      </c>
      <c r="K47" s="184">
        <v>8760.0000000000018</v>
      </c>
      <c r="L47" s="184">
        <v>8759.9999999999982</v>
      </c>
      <c r="M47" s="184">
        <v>8760.0000000000018</v>
      </c>
      <c r="N47" s="184">
        <v>8760.0000000000018</v>
      </c>
      <c r="O47" s="184">
        <v>8759.9999999999982</v>
      </c>
      <c r="P47" s="184">
        <v>8759.9999999999982</v>
      </c>
      <c r="Q47" s="184">
        <v>8759.9999999999964</v>
      </c>
      <c r="R47" s="184">
        <v>8759.9999999999982</v>
      </c>
      <c r="S47" s="184">
        <v>8759.9999999999964</v>
      </c>
      <c r="T47" s="184">
        <v>8759.9999999999982</v>
      </c>
      <c r="U47" s="184">
        <v>8759.9999999999982</v>
      </c>
      <c r="V47" s="184">
        <v>8759.9999999999982</v>
      </c>
      <c r="W47" s="184">
        <v>8760</v>
      </c>
      <c r="X47" s="184">
        <v>8760</v>
      </c>
      <c r="Y47" s="184">
        <v>8760</v>
      </c>
      <c r="DA47" s="193" t="s">
        <v>943</v>
      </c>
    </row>
    <row r="48" spans="1:105" ht="12" customHeight="1" x14ac:dyDescent="0.25">
      <c r="A48" s="60" t="s">
        <v>4</v>
      </c>
      <c r="B48" s="44">
        <v>920.80734003112696</v>
      </c>
      <c r="C48" s="44">
        <v>925.20592811948893</v>
      </c>
      <c r="D48" s="44">
        <v>929.239868815406</v>
      </c>
      <c r="E48" s="44">
        <v>932.96626437023474</v>
      </c>
      <c r="F48" s="44">
        <v>936.42968898890172</v>
      </c>
      <c r="G48" s="44">
        <v>939.66561583650787</v>
      </c>
      <c r="H48" s="44">
        <v>942.70274495707133</v>
      </c>
      <c r="I48" s="44">
        <v>945.56463015334441</v>
      </c>
      <c r="J48" s="44">
        <v>948.27084410594296</v>
      </c>
      <c r="K48" s="44">
        <v>950.83783076612872</v>
      </c>
      <c r="L48" s="44">
        <v>953.27954074990635</v>
      </c>
      <c r="M48" s="44">
        <v>954.83115764504271</v>
      </c>
      <c r="N48" s="44">
        <v>956.31293156329832</v>
      </c>
      <c r="O48" s="44">
        <v>957.73097505864314</v>
      </c>
      <c r="P48" s="44">
        <v>959.09062796951673</v>
      </c>
      <c r="Q48" s="44">
        <v>960.39658270794177</v>
      </c>
      <c r="R48" s="44">
        <v>965.06055657943534</v>
      </c>
      <c r="S48" s="44">
        <v>953.72382374865879</v>
      </c>
      <c r="T48" s="44">
        <v>936.12401338005407</v>
      </c>
      <c r="U48" s="44">
        <v>932.77858708270094</v>
      </c>
      <c r="V48" s="44">
        <v>812.15027743414475</v>
      </c>
      <c r="W48" s="44">
        <v>895.98148216492484</v>
      </c>
      <c r="X48" s="44">
        <v>925.59373593212786</v>
      </c>
      <c r="Y48" s="44">
        <v>940.39986281572931</v>
      </c>
      <c r="DA48" s="95" t="s">
        <v>944</v>
      </c>
    </row>
    <row r="49" spans="1:105" ht="12" customHeight="1" x14ac:dyDescent="0.25">
      <c r="A49" s="62" t="s">
        <v>3</v>
      </c>
      <c r="B49" s="185">
        <v>2121.4598155529557</v>
      </c>
      <c r="C49" s="185">
        <v>2206.5743544300508</v>
      </c>
      <c r="D49" s="185">
        <v>2277.8852179437495</v>
      </c>
      <c r="E49" s="185">
        <v>2324.1452318696979</v>
      </c>
      <c r="F49" s="185">
        <v>2366.2403316072714</v>
      </c>
      <c r="G49" s="185">
        <v>2393.2913456767487</v>
      </c>
      <c r="H49" s="185">
        <v>2435.7494686215541</v>
      </c>
      <c r="I49" s="185">
        <v>2473.2043764150203</v>
      </c>
      <c r="J49" s="185">
        <v>2518.028359666288</v>
      </c>
      <c r="K49" s="185">
        <v>2561.8643607718586</v>
      </c>
      <c r="L49" s="185">
        <v>2611.1910588821688</v>
      </c>
      <c r="M49" s="185">
        <v>2647.2380041168676</v>
      </c>
      <c r="N49" s="185">
        <v>2677.1006223421182</v>
      </c>
      <c r="O49" s="185">
        <v>2681.1323168469212</v>
      </c>
      <c r="P49" s="185">
        <v>2680.3579134295433</v>
      </c>
      <c r="Q49" s="185">
        <v>2644.6696243466763</v>
      </c>
      <c r="R49" s="185">
        <v>2643.8154628324892</v>
      </c>
      <c r="S49" s="185">
        <v>2661.5185849357313</v>
      </c>
      <c r="T49" s="185">
        <v>2660.2609732724864</v>
      </c>
      <c r="U49" s="185">
        <v>2683.071724362444</v>
      </c>
      <c r="V49" s="185">
        <v>2557.8516337136389</v>
      </c>
      <c r="W49" s="185">
        <v>2650.958736943423</v>
      </c>
      <c r="X49" s="185">
        <v>2673.4327745639621</v>
      </c>
      <c r="Y49" s="185">
        <v>2686.9916310170256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0.74799972797580361</v>
      </c>
      <c r="C52" s="180">
        <v>0.7358399476596017</v>
      </c>
      <c r="D52" s="180">
        <v>0.72336778854358053</v>
      </c>
      <c r="E52" s="180">
        <v>0.71028820196232045</v>
      </c>
      <c r="F52" s="180">
        <v>0.69880840734407579</v>
      </c>
      <c r="G52" s="180">
        <v>0.68850294588299699</v>
      </c>
      <c r="H52" s="180">
        <v>0.67718436198949761</v>
      </c>
      <c r="I52" s="180">
        <v>0.66577717460515273</v>
      </c>
      <c r="J52" s="180">
        <v>0.65736400942798268</v>
      </c>
      <c r="K52" s="180">
        <v>0.64936861649789202</v>
      </c>
      <c r="L52" s="180">
        <v>0.64219790559223766</v>
      </c>
      <c r="M52" s="180">
        <v>0.63340652360538996</v>
      </c>
      <c r="N52" s="180">
        <v>0.62644927966782638</v>
      </c>
      <c r="O52" s="180">
        <v>0.61823178893322328</v>
      </c>
      <c r="P52" s="180">
        <v>0.60564007206238135</v>
      </c>
      <c r="Q52" s="180">
        <v>0.59238319351893232</v>
      </c>
      <c r="R52" s="180">
        <v>0.58335299111858585</v>
      </c>
      <c r="S52" s="180">
        <v>0.57448552694546173</v>
      </c>
      <c r="T52" s="180">
        <v>0.56547818848868658</v>
      </c>
      <c r="U52" s="180">
        <v>0.55283690049954737</v>
      </c>
      <c r="V52" s="180">
        <v>0.54007227600199759</v>
      </c>
      <c r="W52" s="180">
        <v>0.5276683605329956</v>
      </c>
      <c r="X52" s="180">
        <v>0.5178068179741443</v>
      </c>
      <c r="Y52" s="180">
        <v>0.50967830689977467</v>
      </c>
      <c r="DA52" s="189" t="s">
        <v>946</v>
      </c>
    </row>
    <row r="53" spans="1:105" ht="12" customHeight="1" x14ac:dyDescent="0.25">
      <c r="A53" s="131" t="s">
        <v>100</v>
      </c>
      <c r="B53" s="180">
        <v>202.32898279477695</v>
      </c>
      <c r="C53" s="180">
        <v>199.85743549830968</v>
      </c>
      <c r="D53" s="180">
        <v>196.92247368661478</v>
      </c>
      <c r="E53" s="180">
        <v>193.6343501252293</v>
      </c>
      <c r="F53" s="180">
        <v>189.97391085043495</v>
      </c>
      <c r="G53" s="180">
        <v>185.95052189983696</v>
      </c>
      <c r="H53" s="180">
        <v>181.8410830868051</v>
      </c>
      <c r="I53" s="180">
        <v>177.45986076711498</v>
      </c>
      <c r="J53" s="180">
        <v>174.91723910784853</v>
      </c>
      <c r="K53" s="180">
        <v>172.04484332485868</v>
      </c>
      <c r="L53" s="180">
        <v>168.68003560964868</v>
      </c>
      <c r="M53" s="180">
        <v>165.12408117520638</v>
      </c>
      <c r="N53" s="180">
        <v>161.30719096830319</v>
      </c>
      <c r="O53" s="180">
        <v>157.19194824324137</v>
      </c>
      <c r="P53" s="180">
        <v>152.17490732379022</v>
      </c>
      <c r="Q53" s="180">
        <v>146.51310627614959</v>
      </c>
      <c r="R53" s="180">
        <v>141.07292750134096</v>
      </c>
      <c r="S53" s="180">
        <v>135.01046851630227</v>
      </c>
      <c r="T53" s="180">
        <v>128.73386497639763</v>
      </c>
      <c r="U53" s="180">
        <v>121.93156259893006</v>
      </c>
      <c r="V53" s="180">
        <v>115.40098787962823</v>
      </c>
      <c r="W53" s="180">
        <v>109.26709286947116</v>
      </c>
      <c r="X53" s="180">
        <v>104.1957204245865</v>
      </c>
      <c r="Y53" s="180">
        <v>100.47706886949948</v>
      </c>
      <c r="DA53" s="189" t="s">
        <v>947</v>
      </c>
    </row>
    <row r="54" spans="1:105" ht="12" customHeight="1" x14ac:dyDescent="0.25">
      <c r="A54" s="131" t="s">
        <v>140</v>
      </c>
      <c r="B54" s="180">
        <v>50.983558494281674</v>
      </c>
      <c r="C54" s="180">
        <v>50.359053009537504</v>
      </c>
      <c r="D54" s="180">
        <v>49.436720081395229</v>
      </c>
      <c r="E54" s="180">
        <v>48.347055215838566</v>
      </c>
      <c r="F54" s="180">
        <v>47.126974558646083</v>
      </c>
      <c r="G54" s="180">
        <v>45.786965198480999</v>
      </c>
      <c r="H54" s="180">
        <v>44.28175823527495</v>
      </c>
      <c r="I54" s="180">
        <v>42.917515443254906</v>
      </c>
      <c r="J54" s="180">
        <v>41.707001530993985</v>
      </c>
      <c r="K54" s="180">
        <v>40.453965840991543</v>
      </c>
      <c r="L54" s="180">
        <v>39.207304875842532</v>
      </c>
      <c r="M54" s="180">
        <v>37.812477235196681</v>
      </c>
      <c r="N54" s="180">
        <v>36.368214252642701</v>
      </c>
      <c r="O54" s="180">
        <v>34.652303564996892</v>
      </c>
      <c r="P54" s="180">
        <v>32.893638791010723</v>
      </c>
      <c r="Q54" s="180">
        <v>30.908290593360668</v>
      </c>
      <c r="R54" s="180">
        <v>28.994117295605495</v>
      </c>
      <c r="S54" s="180">
        <v>27.045836066955619</v>
      </c>
      <c r="T54" s="180">
        <v>25.085079164458747</v>
      </c>
      <c r="U54" s="180">
        <v>22.875687546091129</v>
      </c>
      <c r="V54" s="180">
        <v>20.666585314534135</v>
      </c>
      <c r="W54" s="180">
        <v>18.604754245912542</v>
      </c>
      <c r="X54" s="180">
        <v>17.347821192815992</v>
      </c>
      <c r="Y54" s="180">
        <v>16.115326245455933</v>
      </c>
      <c r="DA54" s="189" t="s">
        <v>948</v>
      </c>
    </row>
    <row r="55" spans="1:105" ht="12" customHeight="1" x14ac:dyDescent="0.25">
      <c r="A55" s="131" t="s">
        <v>173</v>
      </c>
      <c r="B55" s="180">
        <v>715.80719734692366</v>
      </c>
      <c r="C55" s="180">
        <v>702.22106969493416</v>
      </c>
      <c r="D55" s="180">
        <v>687.60808614075961</v>
      </c>
      <c r="E55" s="180">
        <v>674.19898774994908</v>
      </c>
      <c r="F55" s="180">
        <v>660.29136441065771</v>
      </c>
      <c r="G55" s="180">
        <v>647.39482961928752</v>
      </c>
      <c r="H55" s="180">
        <v>634.99691014069936</v>
      </c>
      <c r="I55" s="180">
        <v>623.05881804168712</v>
      </c>
      <c r="J55" s="180">
        <v>611.31133101744888</v>
      </c>
      <c r="K55" s="180">
        <v>599.8010300983035</v>
      </c>
      <c r="L55" s="180">
        <v>587.55172142160916</v>
      </c>
      <c r="M55" s="180">
        <v>571.40011095640216</v>
      </c>
      <c r="N55" s="180">
        <v>554.30076394266575</v>
      </c>
      <c r="O55" s="180">
        <v>538.70807393476468</v>
      </c>
      <c r="P55" s="180">
        <v>521.20673834361844</v>
      </c>
      <c r="Q55" s="180">
        <v>506.33062152162586</v>
      </c>
      <c r="R55" s="180">
        <v>494.00840252420505</v>
      </c>
      <c r="S55" s="180">
        <v>483.67568032549678</v>
      </c>
      <c r="T55" s="180">
        <v>474.95965694581275</v>
      </c>
      <c r="U55" s="180">
        <v>468.34117058444963</v>
      </c>
      <c r="V55" s="180">
        <v>462.4293805140274</v>
      </c>
      <c r="W55" s="180">
        <v>454.52765554973041</v>
      </c>
      <c r="X55" s="180">
        <v>446.0978402616397</v>
      </c>
      <c r="Y55" s="180">
        <v>438.06632693177039</v>
      </c>
      <c r="DA55" s="189" t="s">
        <v>949</v>
      </c>
    </row>
    <row r="56" spans="1:105" ht="12" customHeight="1" x14ac:dyDescent="0.25">
      <c r="A56" s="60" t="s">
        <v>99</v>
      </c>
      <c r="B56" s="55">
        <v>52.64311909014485</v>
      </c>
      <c r="C56" s="55">
        <v>52.014055765636535</v>
      </c>
      <c r="D56" s="55">
        <v>51.369172256595952</v>
      </c>
      <c r="E56" s="55">
        <v>50.616614389268719</v>
      </c>
      <c r="F56" s="55">
        <v>49.974911171204148</v>
      </c>
      <c r="G56" s="55">
        <v>49.342791130664651</v>
      </c>
      <c r="H56" s="55">
        <v>48.746912650148509</v>
      </c>
      <c r="I56" s="55">
        <v>48.17193320949422</v>
      </c>
      <c r="J56" s="55">
        <v>47.778712555750573</v>
      </c>
      <c r="K56" s="55">
        <v>47.416043074802992</v>
      </c>
      <c r="L56" s="55">
        <v>47.048674153768438</v>
      </c>
      <c r="M56" s="55">
        <v>46.602929123663351</v>
      </c>
      <c r="N56" s="55">
        <v>46.232878941951732</v>
      </c>
      <c r="O56" s="55">
        <v>45.765047039631462</v>
      </c>
      <c r="P56" s="55">
        <v>44.94827730840634</v>
      </c>
      <c r="Q56" s="55">
        <v>44.028169030637841</v>
      </c>
      <c r="R56" s="55">
        <v>42.968419150986719</v>
      </c>
      <c r="S56" s="55">
        <v>41.878459470891684</v>
      </c>
      <c r="T56" s="55">
        <v>40.549726708894802</v>
      </c>
      <c r="U56" s="55">
        <v>39.292024636832267</v>
      </c>
      <c r="V56" s="55">
        <v>37.97007983980108</v>
      </c>
      <c r="W56" s="55">
        <v>36.738332095883948</v>
      </c>
      <c r="X56" s="55">
        <v>35.679756229050668</v>
      </c>
      <c r="Y56" s="55">
        <v>35.063889375616789</v>
      </c>
      <c r="DA56" s="101" t="s">
        <v>950</v>
      </c>
    </row>
    <row r="57" spans="1:105" ht="12" customHeight="1" x14ac:dyDescent="0.25">
      <c r="A57" s="62" t="s">
        <v>98</v>
      </c>
      <c r="B57" s="63">
        <v>390.53808852428426</v>
      </c>
      <c r="C57" s="63">
        <v>380.56800407359447</v>
      </c>
      <c r="D57" s="63">
        <v>367.25629972681759</v>
      </c>
      <c r="E57" s="63">
        <v>352.02884421319277</v>
      </c>
      <c r="F57" s="63">
        <v>336.45585828296277</v>
      </c>
      <c r="G57" s="63">
        <v>321.00691821029176</v>
      </c>
      <c r="H57" s="63">
        <v>306.62307953197757</v>
      </c>
      <c r="I57" s="63">
        <v>291.81808238861669</v>
      </c>
      <c r="J57" s="63">
        <v>276.73253193839929</v>
      </c>
      <c r="K57" s="63">
        <v>262.16535818549659</v>
      </c>
      <c r="L57" s="63">
        <v>245.95768124368837</v>
      </c>
      <c r="M57" s="63">
        <v>231.33666827579324</v>
      </c>
      <c r="N57" s="63">
        <v>218.51117851676295</v>
      </c>
      <c r="O57" s="63">
        <v>208.48626323890844</v>
      </c>
      <c r="P57" s="63">
        <v>201.57844008196216</v>
      </c>
      <c r="Q57" s="63">
        <v>196.99791195114042</v>
      </c>
      <c r="R57" s="63">
        <v>193.62280699137918</v>
      </c>
      <c r="S57" s="63">
        <v>190.32381692518931</v>
      </c>
      <c r="T57" s="63">
        <v>186.49588057844923</v>
      </c>
      <c r="U57" s="63">
        <v>182.62013608564033</v>
      </c>
      <c r="V57" s="63">
        <v>177.31360540893482</v>
      </c>
      <c r="W57" s="63">
        <v>173.33005211478334</v>
      </c>
      <c r="X57" s="63">
        <v>169.5748658055802</v>
      </c>
      <c r="Y57" s="63">
        <v>165.98088831502523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0.66476601980159333</v>
      </c>
      <c r="D60" s="180">
        <v>0.6529503171603207</v>
      </c>
      <c r="E60" s="180">
        <v>0.63743258436884587</v>
      </c>
      <c r="F60" s="180">
        <v>0.62318909446144599</v>
      </c>
      <c r="G60" s="180">
        <v>0.61071990703689161</v>
      </c>
      <c r="H60" s="180">
        <v>0.59871024471127965</v>
      </c>
      <c r="I60" s="180">
        <v>0.586361062497327</v>
      </c>
      <c r="J60" s="180">
        <v>0.57576621146925488</v>
      </c>
      <c r="K60" s="180">
        <v>0.56710420170414222</v>
      </c>
      <c r="L60" s="180">
        <v>0.55500912295729721</v>
      </c>
      <c r="M60" s="180">
        <v>0.54401295233782687</v>
      </c>
      <c r="N60" s="180">
        <v>0.53262310275775837</v>
      </c>
      <c r="O60" s="180">
        <v>0.52013640980735332</v>
      </c>
      <c r="P60" s="180">
        <v>0.50690685563259941</v>
      </c>
      <c r="Q60" s="180">
        <v>0.49384279814573195</v>
      </c>
      <c r="R60" s="180">
        <v>0.49069545756925187</v>
      </c>
      <c r="S60" s="180">
        <v>0.486200524811847</v>
      </c>
      <c r="T60" s="180">
        <v>0.48171935087729212</v>
      </c>
      <c r="U60" s="180">
        <v>0.47735865374137026</v>
      </c>
      <c r="V60" s="180">
        <v>0.47314759912877041</v>
      </c>
      <c r="W60" s="180">
        <v>0.47030871353399778</v>
      </c>
      <c r="X60" s="180">
        <v>0.46746982793922515</v>
      </c>
      <c r="Y60" s="180">
        <v>0.46463094234445251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185.93864352427101</v>
      </c>
      <c r="D61" s="180">
        <v>183.51848715153113</v>
      </c>
      <c r="E61" s="180">
        <v>182.00428172477427</v>
      </c>
      <c r="F61" s="180">
        <v>178.89581697083273</v>
      </c>
      <c r="G61" s="180">
        <v>175.16305418898662</v>
      </c>
      <c r="H61" s="180">
        <v>172.09011102920104</v>
      </c>
      <c r="I61" s="180">
        <v>169.07916372976646</v>
      </c>
      <c r="J61" s="180">
        <v>166.1669855196217</v>
      </c>
      <c r="K61" s="180">
        <v>162.33094273741213</v>
      </c>
      <c r="L61" s="180">
        <v>159.01822793583932</v>
      </c>
      <c r="M61" s="180">
        <v>155.04022999278564</v>
      </c>
      <c r="N61" s="180">
        <v>150.62834346031798</v>
      </c>
      <c r="O61" s="180">
        <v>144.38103954905648</v>
      </c>
      <c r="P61" s="180">
        <v>136.53765411099639</v>
      </c>
      <c r="Q61" s="180">
        <v>127.26873266806771</v>
      </c>
      <c r="R61" s="180">
        <v>120.19571479570865</v>
      </c>
      <c r="S61" s="180">
        <v>114.68340707240711</v>
      </c>
      <c r="T61" s="180">
        <v>109.11773023100082</v>
      </c>
      <c r="U61" s="180">
        <v>103.54298248825249</v>
      </c>
      <c r="V61" s="180">
        <v>97.993996040746552</v>
      </c>
      <c r="W61" s="180">
        <v>95.583343738144194</v>
      </c>
      <c r="X61" s="180">
        <v>93.172691435541836</v>
      </c>
      <c r="Y61" s="180">
        <v>90.762039132939464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47.828399422886406</v>
      </c>
      <c r="D62" s="180">
        <v>46.102123900427806</v>
      </c>
      <c r="E62" s="180">
        <v>45.093385871532625</v>
      </c>
      <c r="F62" s="180">
        <v>43.778946444020363</v>
      </c>
      <c r="G62" s="180">
        <v>42.594436494790038</v>
      </c>
      <c r="H62" s="180">
        <v>41.32531313924558</v>
      </c>
      <c r="I62" s="180">
        <v>40.000558700578509</v>
      </c>
      <c r="J62" s="180">
        <v>38.584472561132173</v>
      </c>
      <c r="K62" s="180">
        <v>37.541371876253152</v>
      </c>
      <c r="L62" s="180">
        <v>36.005595686681964</v>
      </c>
      <c r="M62" s="180">
        <v>34.168776524307987</v>
      </c>
      <c r="N62" s="180">
        <v>32.528984511488972</v>
      </c>
      <c r="O62" s="180">
        <v>30.7417319487847</v>
      </c>
      <c r="P62" s="180">
        <v>28.723074782422508</v>
      </c>
      <c r="Q62" s="180">
        <v>26.44697209312622</v>
      </c>
      <c r="R62" s="180">
        <v>23.197208291174896</v>
      </c>
      <c r="S62" s="180">
        <v>21.768619051959522</v>
      </c>
      <c r="T62" s="180">
        <v>19.465605901177838</v>
      </c>
      <c r="U62" s="180">
        <v>17.600167818768458</v>
      </c>
      <c r="V62" s="180">
        <v>16.176892250814948</v>
      </c>
      <c r="W62" s="180">
        <v>15.3680476382742</v>
      </c>
      <c r="X62" s="180">
        <v>14.559203025733451</v>
      </c>
      <c r="Y62" s="180">
        <v>13.750358413192703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646.96660479184266</v>
      </c>
      <c r="D63" s="180">
        <v>631.27531935573211</v>
      </c>
      <c r="E63" s="180">
        <v>617.73600196800328</v>
      </c>
      <c r="F63" s="180">
        <v>606.74723998830643</v>
      </c>
      <c r="G63" s="180">
        <v>593.57114862801564</v>
      </c>
      <c r="H63" s="180">
        <v>581.87955222019957</v>
      </c>
      <c r="I63" s="180">
        <v>565.92652010336485</v>
      </c>
      <c r="J63" s="180">
        <v>549.73599299622026</v>
      </c>
      <c r="K63" s="180">
        <v>530.8791668974111</v>
      </c>
      <c r="L63" s="180">
        <v>513.80681324155</v>
      </c>
      <c r="M63" s="180">
        <v>497.7006168606228</v>
      </c>
      <c r="N63" s="180">
        <v>486.62429134331893</v>
      </c>
      <c r="O63" s="180">
        <v>476.39885000837614</v>
      </c>
      <c r="P63" s="180">
        <v>465.27079925634786</v>
      </c>
      <c r="Q63" s="180">
        <v>461.35442857911067</v>
      </c>
      <c r="R63" s="180">
        <v>459.32458708039115</v>
      </c>
      <c r="S63" s="180">
        <v>451.30366268996704</v>
      </c>
      <c r="T63" s="180">
        <v>443.35130237141482</v>
      </c>
      <c r="U63" s="180">
        <v>435.56221409845119</v>
      </c>
      <c r="V63" s="180">
        <v>427.92621776375796</v>
      </c>
      <c r="W63" s="180">
        <v>419.36769340848281</v>
      </c>
      <c r="X63" s="180">
        <v>410.80916905320765</v>
      </c>
      <c r="Y63" s="180">
        <v>402.25064469793244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49.191473659029484</v>
      </c>
      <c r="D64" s="55">
        <v>48.456659950828133</v>
      </c>
      <c r="E64" s="55">
        <v>47.771466451811868</v>
      </c>
      <c r="F64" s="55">
        <v>47.14785015080431</v>
      </c>
      <c r="G64" s="55">
        <v>46.539939345042981</v>
      </c>
      <c r="H64" s="55">
        <v>45.783842796351124</v>
      </c>
      <c r="I64" s="55">
        <v>44.800743482911415</v>
      </c>
      <c r="J64" s="55">
        <v>43.953905882695658</v>
      </c>
      <c r="K64" s="55">
        <v>43.147592565584688</v>
      </c>
      <c r="L64" s="55">
        <v>41.967735091600233</v>
      </c>
      <c r="M64" s="55">
        <v>40.623192857645357</v>
      </c>
      <c r="N64" s="55">
        <v>39.289586064447541</v>
      </c>
      <c r="O64" s="55">
        <v>38.173033186235472</v>
      </c>
      <c r="P64" s="55">
        <v>37.082215403870272</v>
      </c>
      <c r="Q64" s="55">
        <v>35.83333542174892</v>
      </c>
      <c r="R64" s="55">
        <v>35.391722195311402</v>
      </c>
      <c r="S64" s="55">
        <v>34.86773289684232</v>
      </c>
      <c r="T64" s="55">
        <v>34.356854274456886</v>
      </c>
      <c r="U64" s="55">
        <v>33.851715162415815</v>
      </c>
      <c r="V64" s="55">
        <v>33.357397968154942</v>
      </c>
      <c r="W64" s="55">
        <v>33.023823988473389</v>
      </c>
      <c r="X64" s="55">
        <v>32.690250008791843</v>
      </c>
      <c r="Y64" s="55">
        <v>32.35667602911029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353.74947889456018</v>
      </c>
      <c r="D65" s="63">
        <v>337.9936606012177</v>
      </c>
      <c r="E65" s="63">
        <v>323.37650215351687</v>
      </c>
      <c r="F65" s="63">
        <v>308.03831715117525</v>
      </c>
      <c r="G65" s="63">
        <v>295.2129475861102</v>
      </c>
      <c r="H65" s="63">
        <v>279.74926515497719</v>
      </c>
      <c r="I65" s="63">
        <v>263.76993339699635</v>
      </c>
      <c r="J65" s="63">
        <v>248.55268727114529</v>
      </c>
      <c r="K65" s="63">
        <v>232.35688359110966</v>
      </c>
      <c r="L65" s="63">
        <v>214.82345002215519</v>
      </c>
      <c r="M65" s="63">
        <v>206.41389361564671</v>
      </c>
      <c r="N65" s="63">
        <v>199.89007896957952</v>
      </c>
      <c r="O65" s="63">
        <v>196.92361596478582</v>
      </c>
      <c r="P65" s="63">
        <v>193.42838481932378</v>
      </c>
      <c r="Q65" s="63">
        <v>191.68399749591541</v>
      </c>
      <c r="R65" s="63">
        <v>187.5172826210524</v>
      </c>
      <c r="S65" s="63">
        <v>182.74531935212642</v>
      </c>
      <c r="T65" s="63">
        <v>177.99565812222238</v>
      </c>
      <c r="U65" s="63">
        <v>173.35955730127623</v>
      </c>
      <c r="V65" s="63">
        <v>168.79875740946059</v>
      </c>
      <c r="W65" s="63">
        <v>165.7603797760903</v>
      </c>
      <c r="X65" s="63">
        <v>162.72200214272002</v>
      </c>
      <c r="Y65" s="63">
        <v>159.6836245093497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262.57540758577238</v>
      </c>
      <c r="C68" s="187">
        <f>1000000*C20/SER_summary!C$8</f>
        <v>282.87958989800461</v>
      </c>
      <c r="D68" s="187">
        <f>1000000*D20/SER_summary!D$8</f>
        <v>305.02582549776344</v>
      </c>
      <c r="E68" s="187">
        <f>1000000*E20/SER_summary!E$8</f>
        <v>324.68955475404533</v>
      </c>
      <c r="F68" s="187">
        <f>1000000*F20/SER_summary!F$8</f>
        <v>342.85649218409958</v>
      </c>
      <c r="G68" s="187">
        <f>1000000*G20/SER_summary!G$8</f>
        <v>356.17683136931942</v>
      </c>
      <c r="H68" s="187">
        <f>1000000*H20/SER_summary!H$8</f>
        <v>368.08781859488732</v>
      </c>
      <c r="I68" s="187">
        <f>1000000*I20/SER_summary!I$8</f>
        <v>380.02196283737612</v>
      </c>
      <c r="J68" s="187">
        <f>1000000*J20/SER_summary!J$8</f>
        <v>389.43959636478661</v>
      </c>
      <c r="K68" s="187">
        <f>1000000*K20/SER_summary!K$8</f>
        <v>399.13293928841625</v>
      </c>
      <c r="L68" s="187">
        <f>1000000*L20/SER_summary!L$8</f>
        <v>406.95842980088111</v>
      </c>
      <c r="M68" s="187">
        <f>1000000*M20/SER_summary!M$8</f>
        <v>417.70542493527461</v>
      </c>
      <c r="N68" s="187">
        <f>1000000*N20/SER_summary!N$8</f>
        <v>428.05298111728257</v>
      </c>
      <c r="O68" s="187">
        <f>1000000*O20/SER_summary!O$8</f>
        <v>437.92973633101877</v>
      </c>
      <c r="P68" s="187">
        <f>1000000*P20/SER_summary!P$8</f>
        <v>452.31781204469399</v>
      </c>
      <c r="Q68" s="187">
        <f>1000000*Q20/SER_summary!Q$8</f>
        <v>468.17819380751178</v>
      </c>
      <c r="R68" s="187">
        <f>1000000*R20/SER_summary!R$8</f>
        <v>477.55650614554099</v>
      </c>
      <c r="S68" s="187">
        <f>1000000*S20/SER_summary!S$8</f>
        <v>486.95188087960895</v>
      </c>
      <c r="T68" s="187">
        <f>1000000*T20/SER_summary!T$8</f>
        <v>496.27407966462971</v>
      </c>
      <c r="U68" s="187">
        <f>1000000*U20/SER_summary!U$8</f>
        <v>505.4683716953042</v>
      </c>
      <c r="V68" s="187">
        <f>1000000*V20/SER_summary!V$8</f>
        <v>514.43288333018575</v>
      </c>
      <c r="W68" s="187">
        <f>1000000*W20/SER_summary!W$8</f>
        <v>523.11180246088179</v>
      </c>
      <c r="X68" s="187">
        <f>1000000*X20/SER_summary!X$8</f>
        <v>527.50601637770694</v>
      </c>
      <c r="Y68" s="187">
        <f>1000000*Y20/SER_summary!Y$8</f>
        <v>529.71694602715365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8.0122083581351908E-2</v>
      </c>
      <c r="C69" s="187">
        <f>1000*C21/SER_summary!C$3</f>
        <v>8.6400387177814897E-2</v>
      </c>
      <c r="D69" s="187">
        <f>1000*D21/SER_summary!D$3</f>
        <v>8.9703075199837015E-2</v>
      </c>
      <c r="E69" s="187">
        <f>1000*E21/SER_summary!E$3</f>
        <v>9.5104060581241406E-2</v>
      </c>
      <c r="F69" s="187">
        <f>1000*F21/SER_summary!F$3</f>
        <v>0.10131697328383646</v>
      </c>
      <c r="G69" s="187">
        <f>1000*G21/SER_summary!G$3</f>
        <v>0.10768208259992557</v>
      </c>
      <c r="H69" s="187">
        <f>1000*H21/SER_summary!H$3</f>
        <v>0.11287272247424979</v>
      </c>
      <c r="I69" s="187">
        <f>1000*I21/SER_summary!I$3</f>
        <v>0.11829659253525385</v>
      </c>
      <c r="J69" s="187">
        <f>1000*J21/SER_summary!J$3</f>
        <v>0.12340052313571528</v>
      </c>
      <c r="K69" s="187">
        <f>1000*K21/SER_summary!K$3</f>
        <v>0.12846962337916529</v>
      </c>
      <c r="L69" s="187">
        <f>1000*L21/SER_summary!L$3</f>
        <v>0.13344581977844236</v>
      </c>
      <c r="M69" s="187">
        <f>1000*M21/SER_summary!M$3</f>
        <v>0.13799062709780804</v>
      </c>
      <c r="N69" s="187">
        <f>1000*N21/SER_summary!N$3</f>
        <v>0.14414745838347034</v>
      </c>
      <c r="O69" s="187">
        <f>1000*O21/SER_summary!O$3</f>
        <v>0.15181051778491073</v>
      </c>
      <c r="P69" s="187">
        <f>1000*P21/SER_summary!P$3</f>
        <v>0.16162710991617024</v>
      </c>
      <c r="Q69" s="187">
        <f>1000*Q21/SER_summary!Q$3</f>
        <v>0.17340974511153645</v>
      </c>
      <c r="R69" s="187">
        <f>1000*R21/SER_summary!R$3</f>
        <v>0.18028094013076967</v>
      </c>
      <c r="S69" s="187">
        <f>1000*S21/SER_summary!S$3</f>
        <v>0.18735186148791186</v>
      </c>
      <c r="T69" s="187">
        <f>1000*T21/SER_summary!T$3</f>
        <v>0.19537365637697898</v>
      </c>
      <c r="U69" s="187">
        <f>1000*U21/SER_summary!U$3</f>
        <v>0.20241345724535226</v>
      </c>
      <c r="V69" s="187">
        <f>1000*V21/SER_summary!V$3</f>
        <v>0.20844731299627142</v>
      </c>
      <c r="W69" s="187">
        <f>1000*W21/SER_summary!W$3</f>
        <v>0.21388669492635393</v>
      </c>
      <c r="X69" s="187">
        <f>1000*X21/SER_summary!X$3</f>
        <v>0.21777849765616028</v>
      </c>
      <c r="Y69" s="187">
        <f>1000*Y21/SER_summary!Y$3</f>
        <v>0.22054481755860247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166.68742504897176</v>
      </c>
      <c r="C70" s="187">
        <f>1000000*C22/SER_summary!C$8</f>
        <v>168.64152498219312</v>
      </c>
      <c r="D70" s="187">
        <f>1000000*D22/SER_summary!D$8</f>
        <v>170.55800133015939</v>
      </c>
      <c r="E70" s="187">
        <f>1000000*E22/SER_summary!E$8</f>
        <v>172.22277218870579</v>
      </c>
      <c r="F70" s="187">
        <f>1000000*F22/SER_summary!F$8</f>
        <v>175.32955254124388</v>
      </c>
      <c r="G70" s="187">
        <f>1000000*G22/SER_summary!G$8</f>
        <v>178.53272835731357</v>
      </c>
      <c r="H70" s="187">
        <f>1000000*H22/SER_summary!H$8</f>
        <v>181.49718463363899</v>
      </c>
      <c r="I70" s="187">
        <f>1000000*I22/SER_summary!I$8</f>
        <v>184.92132564194361</v>
      </c>
      <c r="J70" s="187">
        <f>1000000*J22/SER_summary!J$8</f>
        <v>188.83765270957849</v>
      </c>
      <c r="K70" s="187">
        <f>1000000*K22/SER_summary!K$8</f>
        <v>193.50082776347014</v>
      </c>
      <c r="L70" s="187">
        <f>1000000*L22/SER_summary!L$8</f>
        <v>200.10928695182392</v>
      </c>
      <c r="M70" s="187">
        <f>1000000*M22/SER_summary!M$8</f>
        <v>208.24199911371309</v>
      </c>
      <c r="N70" s="187">
        <f>1000000*N22/SER_summary!N$8</f>
        <v>217.04921606183706</v>
      </c>
      <c r="O70" s="187">
        <f>1000000*O22/SER_summary!O$8</f>
        <v>226.42560237109322</v>
      </c>
      <c r="P70" s="187">
        <f>1000000*P22/SER_summary!P$8</f>
        <v>236.90018292978058</v>
      </c>
      <c r="Q70" s="187">
        <f>1000000*Q22/SER_summary!Q$8</f>
        <v>249.31141899669379</v>
      </c>
      <c r="R70" s="187">
        <f>1000000*R22/SER_summary!R$8</f>
        <v>255.97734335871135</v>
      </c>
      <c r="S70" s="187">
        <f>1000000*S22/SER_summary!S$8</f>
        <v>262.7448294001689</v>
      </c>
      <c r="T70" s="187">
        <f>1000000*T22/SER_summary!T$8</f>
        <v>269.1793025882929</v>
      </c>
      <c r="U70" s="187">
        <f>1000000*U22/SER_summary!U$8</f>
        <v>275.0149979269147</v>
      </c>
      <c r="V70" s="187">
        <f>1000000*V22/SER_summary!V$8</f>
        <v>279.7566295311828</v>
      </c>
      <c r="W70" s="187">
        <f>1000000*W22/SER_summary!W$8</f>
        <v>282.54456856276965</v>
      </c>
      <c r="X70" s="187">
        <f>1000000*X22/SER_summary!X$8</f>
        <v>283.94893963138225</v>
      </c>
      <c r="Y70" s="187">
        <f>1000000*Y22/SER_summary!Y$8</f>
        <v>284.65374063001263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1.0806005984494771E-2</v>
      </c>
      <c r="C71" s="187">
        <f>1000*C23/SER_summary!C$3</f>
        <v>1.2815979397999614E-2</v>
      </c>
      <c r="D71" s="187">
        <f>1000*D23/SER_summary!D$3</f>
        <v>1.4530761858862401E-2</v>
      </c>
      <c r="E71" s="187">
        <f>1000*E23/SER_summary!E$3</f>
        <v>1.6124191220172224E-2</v>
      </c>
      <c r="F71" s="187">
        <f>1000*F23/SER_summary!F$3</f>
        <v>1.8086323984671138E-2</v>
      </c>
      <c r="G71" s="187">
        <f>1000*G23/SER_summary!G$3</f>
        <v>1.9863831098483237E-2</v>
      </c>
      <c r="H71" s="187">
        <f>1000*H23/SER_summary!H$3</f>
        <v>2.1624688764664755E-2</v>
      </c>
      <c r="I71" s="187">
        <f>1000*I23/SER_summary!I$3</f>
        <v>2.3092629948771492E-2</v>
      </c>
      <c r="J71" s="187">
        <f>1000*J23/SER_summary!J$3</f>
        <v>2.4311388773016505E-2</v>
      </c>
      <c r="K71" s="187">
        <f>1000*K23/SER_summary!K$3</f>
        <v>2.5136761943663558E-2</v>
      </c>
      <c r="L71" s="187">
        <f>1000*L23/SER_summary!L$3</f>
        <v>2.5967192917104601E-2</v>
      </c>
      <c r="M71" s="187">
        <f>1000*M23/SER_summary!M$3</f>
        <v>2.6624565058131218E-2</v>
      </c>
      <c r="N71" s="187">
        <f>1000*N23/SER_summary!N$3</f>
        <v>2.7450274336412998E-2</v>
      </c>
      <c r="O71" s="187">
        <f>1000*O23/SER_summary!O$3</f>
        <v>2.8425592533578684E-2</v>
      </c>
      <c r="P71" s="187">
        <f>1000*P23/SER_summary!P$3</f>
        <v>2.9696865455870476E-2</v>
      </c>
      <c r="Q71" s="187">
        <f>1000*Q23/SER_summary!Q$3</f>
        <v>3.1037377314079333E-2</v>
      </c>
      <c r="R71" s="187">
        <f>1000*R23/SER_summary!R$3</f>
        <v>3.1855235512540374E-2</v>
      </c>
      <c r="S71" s="187">
        <f>1000*S23/SER_summary!S$3</f>
        <v>3.2700461778465376E-2</v>
      </c>
      <c r="T71" s="187">
        <f>1000*T23/SER_summary!T$3</f>
        <v>3.3726069739302318E-2</v>
      </c>
      <c r="U71" s="187">
        <f>1000*U23/SER_summary!U$3</f>
        <v>3.4610702693271947E-2</v>
      </c>
      <c r="V71" s="187">
        <f>1000*V23/SER_summary!V$3</f>
        <v>3.5380898709954318E-2</v>
      </c>
      <c r="W71" s="187">
        <f>1000*W23/SER_summary!W$3</f>
        <v>3.6144594643216607E-2</v>
      </c>
      <c r="X71" s="187">
        <f>1000*X23/SER_summary!X$3</f>
        <v>3.668896896691156E-2</v>
      </c>
      <c r="Y71" s="187">
        <f>1000*Y23/SER_summary!Y$3</f>
        <v>3.7074901986129012E-2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62.503808979266609</v>
      </c>
      <c r="C72" s="187">
        <f>1000000*C24/SER_summary!C$8</f>
        <v>71.408987973183102</v>
      </c>
      <c r="D72" s="187">
        <f>1000000*D24/SER_summary!D$8</f>
        <v>81.091436243701366</v>
      </c>
      <c r="E72" s="187">
        <f>1000000*E24/SER_summary!E$8</f>
        <v>93.792569925381358</v>
      </c>
      <c r="F72" s="187">
        <f>1000000*F24/SER_summary!F$8</f>
        <v>106.78694512330014</v>
      </c>
      <c r="G72" s="187">
        <f>1000000*G24/SER_summary!G$8</f>
        <v>121.37664616027151</v>
      </c>
      <c r="H72" s="187">
        <f>1000000*H24/SER_summary!H$8</f>
        <v>133.12409736330758</v>
      </c>
      <c r="I72" s="187">
        <f>1000000*I24/SER_summary!I$8</f>
        <v>142.35434417241694</v>
      </c>
      <c r="J72" s="187">
        <f>1000000*J24/SER_summary!J$8</f>
        <v>147.57315804945671</v>
      </c>
      <c r="K72" s="187">
        <f>1000000*K24/SER_summary!K$8</f>
        <v>151.28378315498492</v>
      </c>
      <c r="L72" s="187">
        <f>1000000*L24/SER_summary!L$8</f>
        <v>154.52381150580473</v>
      </c>
      <c r="M72" s="187">
        <f>1000000*M24/SER_summary!M$8</f>
        <v>156.81149142366172</v>
      </c>
      <c r="N72" s="187">
        <f>1000000*N24/SER_summary!N$8</f>
        <v>158.99046796444782</v>
      </c>
      <c r="O72" s="187">
        <f>1000000*O24/SER_summary!O$8</f>
        <v>160.21353271168434</v>
      </c>
      <c r="P72" s="187">
        <f>1000000*P24/SER_summary!P$8</f>
        <v>162.15372089568521</v>
      </c>
      <c r="Q72" s="187">
        <f>1000000*Q24/SER_summary!Q$8</f>
        <v>163.89074676871897</v>
      </c>
      <c r="R72" s="187">
        <f>1000000*R24/SER_summary!R$8</f>
        <v>168.9424728377783</v>
      </c>
      <c r="S72" s="187">
        <f>1000000*S24/SER_summary!S$8</f>
        <v>174.0150161415973</v>
      </c>
      <c r="T72" s="187">
        <f>1000000*T24/SER_summary!T$8</f>
        <v>178.99828002027209</v>
      </c>
      <c r="U72" s="187">
        <f>1000000*U24/SER_summary!U$8</f>
        <v>183.82548932571106</v>
      </c>
      <c r="V72" s="187">
        <f>1000000*V24/SER_summary!V$8</f>
        <v>188.37235157842866</v>
      </c>
      <c r="W72" s="187">
        <f>1000000*W24/SER_summary!W$8</f>
        <v>192.5570471903838</v>
      </c>
      <c r="X72" s="187">
        <f>1000000*X24/SER_summary!X$8</f>
        <v>195.97163863620784</v>
      </c>
      <c r="Y72" s="187">
        <f>1000000*Y24/SER_summary!Y$8</f>
        <v>198.74685692022396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5.9881815357943589E-2</v>
      </c>
      <c r="C73" s="52">
        <f>1000*C25/SER_summary!C$3</f>
        <v>6.8810240008781151E-2</v>
      </c>
      <c r="D73" s="52">
        <f>1000*D25/SER_summary!D$3</f>
        <v>7.7412621374911506E-2</v>
      </c>
      <c r="E73" s="52">
        <f>1000*E25/SER_summary!E$3</f>
        <v>8.9230035742086558E-2</v>
      </c>
      <c r="F73" s="52">
        <f>1000*F25/SER_summary!F$3</f>
        <v>0.10179829111882599</v>
      </c>
      <c r="G73" s="52">
        <f>1000*G25/SER_summary!G$3</f>
        <v>0.11639608785621756</v>
      </c>
      <c r="H73" s="52">
        <f>1000*H25/SER_summary!H$3</f>
        <v>0.12748129555160206</v>
      </c>
      <c r="I73" s="52">
        <f>1000*I25/SER_summary!I$3</f>
        <v>0.13852987833175484</v>
      </c>
      <c r="J73" s="52">
        <f>1000*J25/SER_summary!J$3</f>
        <v>0.14827166430953215</v>
      </c>
      <c r="K73" s="52">
        <f>1000*K25/SER_summary!K$3</f>
        <v>0.15721142134525104</v>
      </c>
      <c r="L73" s="52">
        <f>1000*L25/SER_summary!L$3</f>
        <v>0.16903788653050977</v>
      </c>
      <c r="M73" s="52">
        <f>1000*M25/SER_summary!M$3</f>
        <v>0.18115281176920658</v>
      </c>
      <c r="N73" s="52">
        <f>1000*N25/SER_summary!N$3</f>
        <v>0.19508782794931662</v>
      </c>
      <c r="O73" s="52">
        <f>1000*O25/SER_summary!O$3</f>
        <v>0.21262318089809876</v>
      </c>
      <c r="P73" s="52">
        <f>1000*P25/SER_summary!P$3</f>
        <v>0.23005538676488696</v>
      </c>
      <c r="Q73" s="52">
        <f>1000*Q25/SER_summary!Q$3</f>
        <v>0.2580703474966678</v>
      </c>
      <c r="R73" s="52">
        <f>1000*R25/SER_summary!R$3</f>
        <v>0.27230112359642478</v>
      </c>
      <c r="S73" s="52">
        <f>1000*S25/SER_summary!S$3</f>
        <v>0.28688437359115848</v>
      </c>
      <c r="T73" s="52">
        <f>1000*T25/SER_summary!T$3</f>
        <v>0.30320933010578022</v>
      </c>
      <c r="U73" s="52">
        <f>1000*U25/SER_summary!U$3</f>
        <v>0.31856916912053129</v>
      </c>
      <c r="V73" s="52">
        <f>1000*V25/SER_summary!V$3</f>
        <v>0.33328245747333729</v>
      </c>
      <c r="W73" s="52">
        <f>1000*W25/SER_summary!W$3</f>
        <v>0.34872504261441384</v>
      </c>
      <c r="X73" s="52">
        <f>1000*X25/SER_summary!X$3</f>
        <v>0.36126865617905857</v>
      </c>
      <c r="Y73" s="52">
        <f>1000*Y25/SER_summary!Y$3</f>
        <v>0.37086164760530538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4.5097372114466676</v>
      </c>
      <c r="C3" s="198">
        <f>'SER_se-appl'!C4</f>
        <v>4.970093617184884</v>
      </c>
      <c r="D3" s="198">
        <f>'SER_se-appl'!D4</f>
        <v>5.4886707879315209</v>
      </c>
      <c r="E3" s="198">
        <f>'SER_se-appl'!E4</f>
        <v>6.0589218098060851</v>
      </c>
      <c r="F3" s="198">
        <f>'SER_se-appl'!F4</f>
        <v>6.5380002435623323</v>
      </c>
      <c r="G3" s="198">
        <f>'SER_se-appl'!G4</f>
        <v>6.9397601178883699</v>
      </c>
      <c r="H3" s="198">
        <f>'SER_se-appl'!H4</f>
        <v>7.4228612497469006</v>
      </c>
      <c r="I3" s="198">
        <f>'SER_se-appl'!I4</f>
        <v>7.9271592648952529</v>
      </c>
      <c r="J3" s="198">
        <f>'SER_se-appl'!J4</f>
        <v>8.1929141354674009</v>
      </c>
      <c r="K3" s="198">
        <f>'SER_se-appl'!K4</f>
        <v>8.4131052706646265</v>
      </c>
      <c r="L3" s="198">
        <f>'SER_se-appl'!L4</f>
        <v>8.5266913793797006</v>
      </c>
      <c r="M3" s="198">
        <f>'SER_se-appl'!M4</f>
        <v>8.7374796125659078</v>
      </c>
      <c r="N3" s="198">
        <f>'SER_se-appl'!N4</f>
        <v>8.7712047461652389</v>
      </c>
      <c r="O3" s="198">
        <f>'SER_se-appl'!O4</f>
        <v>8.856451697449538</v>
      </c>
      <c r="P3" s="198">
        <f>'SER_se-appl'!P4</f>
        <v>9.2267928637657306</v>
      </c>
      <c r="Q3" s="198">
        <f>'SER_se-appl'!Q4</f>
        <v>9.6485467968265066</v>
      </c>
      <c r="R3" s="198">
        <f>'SER_se-appl'!R4</f>
        <v>9.783768422322181</v>
      </c>
      <c r="S3" s="198">
        <f>'SER_se-appl'!S4</f>
        <v>9.906733617276636</v>
      </c>
      <c r="T3" s="198">
        <f>'SER_se-appl'!T4</f>
        <v>10.044742908579719</v>
      </c>
      <c r="U3" s="198">
        <f>'SER_se-appl'!U4</f>
        <v>10.110432391376829</v>
      </c>
      <c r="V3" s="198">
        <f>'SER_se-appl'!V4</f>
        <v>10.161500373923539</v>
      </c>
      <c r="W3" s="198">
        <f>'SER_se-appl'!W4</f>
        <v>10.200831181397392</v>
      </c>
      <c r="X3" s="198">
        <f>'SER_se-appl'!X4</f>
        <v>10.193198507433758</v>
      </c>
      <c r="Y3" s="198">
        <f>'SER_se-appl'!Y4</f>
        <v>10.164386126576497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5.9872424393978037</v>
      </c>
      <c r="C5" s="59">
        <f>'SER_se-appl'!C12</f>
        <v>6.5984233753265071</v>
      </c>
      <c r="D5" s="59">
        <f>'SER_se-appl'!D12</f>
        <v>7.2868996876305445</v>
      </c>
      <c r="E5" s="59">
        <f>'SER_se-appl'!E12</f>
        <v>8.0439795260325102</v>
      </c>
      <c r="F5" s="59">
        <f>'SER_se-appl'!F12</f>
        <v>8.6800163050947408</v>
      </c>
      <c r="G5" s="59">
        <f>'SER_se-appl'!G12</f>
        <v>9.2134029875618406</v>
      </c>
      <c r="H5" s="59">
        <f>'SER_se-appl'!H12</f>
        <v>9.8547804034881796</v>
      </c>
      <c r="I5" s="59">
        <f>'SER_se-appl'!I12</f>
        <v>10.524299343690842</v>
      </c>
      <c r="J5" s="59">
        <f>'SER_se-appl'!J12</f>
        <v>10.877122305420759</v>
      </c>
      <c r="K5" s="59">
        <f>'SER_se-appl'!K12</f>
        <v>11.169453686966854</v>
      </c>
      <c r="L5" s="59">
        <f>'SER_se-appl'!L12</f>
        <v>11.320253509381951</v>
      </c>
      <c r="M5" s="59">
        <f>'SER_se-appl'!M12</f>
        <v>11.60010135777871</v>
      </c>
      <c r="N5" s="59">
        <f>'SER_se-appl'!N12</f>
        <v>11.644875707523031</v>
      </c>
      <c r="O5" s="59">
        <f>'SER_se-appl'!O12</f>
        <v>11.758051739878784</v>
      </c>
      <c r="P5" s="59">
        <f>'SER_se-appl'!P12</f>
        <v>12.249726142191262</v>
      </c>
      <c r="Q5" s="59">
        <f>'SER_se-appl'!Q12</f>
        <v>12.809657448298214</v>
      </c>
      <c r="R5" s="59">
        <f>'SER_se-appl'!R12</f>
        <v>12.989181136028193</v>
      </c>
      <c r="S5" s="59">
        <f>'SER_se-appl'!S12</f>
        <v>13.152432873165221</v>
      </c>
      <c r="T5" s="59">
        <f>'SER_se-appl'!T12</f>
        <v>13.335657537303899</v>
      </c>
      <c r="U5" s="59">
        <f>'SER_se-appl'!U12</f>
        <v>13.422868574396411</v>
      </c>
      <c r="V5" s="59">
        <f>'SER_se-appl'!V12</f>
        <v>13.49066773387338</v>
      </c>
      <c r="W5" s="59">
        <f>'SER_se-appl'!W12</f>
        <v>13.542884319594945</v>
      </c>
      <c r="X5" s="59">
        <f>'SER_se-appl'!X12</f>
        <v>13.532750986467425</v>
      </c>
      <c r="Y5" s="59">
        <f>'SER_se-appl'!Y12</f>
        <v>13.494498932886383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262.57540758577238</v>
      </c>
      <c r="C6" s="201">
        <f>'SER_se-appl'!C68</f>
        <v>282.87958989800461</v>
      </c>
      <c r="D6" s="201">
        <f>'SER_se-appl'!D68</f>
        <v>305.02582549776344</v>
      </c>
      <c r="E6" s="201">
        <f>'SER_se-appl'!E68</f>
        <v>324.68955475404533</v>
      </c>
      <c r="F6" s="201">
        <f>'SER_se-appl'!F68</f>
        <v>342.85649218409958</v>
      </c>
      <c r="G6" s="201">
        <f>'SER_se-appl'!G68</f>
        <v>356.17683136931942</v>
      </c>
      <c r="H6" s="201">
        <f>'SER_se-appl'!H68</f>
        <v>368.08781859488732</v>
      </c>
      <c r="I6" s="201">
        <f>'SER_se-appl'!I68</f>
        <v>380.02196283737612</v>
      </c>
      <c r="J6" s="201">
        <f>'SER_se-appl'!J68</f>
        <v>389.43959636478661</v>
      </c>
      <c r="K6" s="201">
        <f>'SER_se-appl'!K68</f>
        <v>399.13293928841625</v>
      </c>
      <c r="L6" s="201">
        <f>'SER_se-appl'!L68</f>
        <v>406.95842980088111</v>
      </c>
      <c r="M6" s="201">
        <f>'SER_se-appl'!M68</f>
        <v>417.70542493527461</v>
      </c>
      <c r="N6" s="201">
        <f>'SER_se-appl'!N68</f>
        <v>428.05298111728257</v>
      </c>
      <c r="O6" s="201">
        <f>'SER_se-appl'!O68</f>
        <v>437.92973633101877</v>
      </c>
      <c r="P6" s="201">
        <f>'SER_se-appl'!P68</f>
        <v>452.31781204469399</v>
      </c>
      <c r="Q6" s="201">
        <f>'SER_se-appl'!Q68</f>
        <v>468.17819380751178</v>
      </c>
      <c r="R6" s="201">
        <f>'SER_se-appl'!R68</f>
        <v>477.55650614554099</v>
      </c>
      <c r="S6" s="201">
        <f>'SER_se-appl'!S68</f>
        <v>486.95188087960895</v>
      </c>
      <c r="T6" s="201">
        <f>'SER_se-appl'!T68</f>
        <v>496.27407966462971</v>
      </c>
      <c r="U6" s="201">
        <f>'SER_se-appl'!U68</f>
        <v>505.4683716953042</v>
      </c>
      <c r="V6" s="201">
        <f>'SER_se-appl'!V68</f>
        <v>514.43288333018575</v>
      </c>
      <c r="W6" s="201">
        <f>'SER_se-appl'!W68</f>
        <v>523.11180246088179</v>
      </c>
      <c r="X6" s="201">
        <f>'SER_se-appl'!X68</f>
        <v>527.50601637770694</v>
      </c>
      <c r="Y6" s="201">
        <f>'SER_se-appl'!Y68</f>
        <v>529.71694602715365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8.0043377229563379</v>
      </c>
      <c r="C8" s="34">
        <f>'SER_se-appl'!C20</f>
        <v>8.9671991800843713</v>
      </c>
      <c r="D8" s="34">
        <f>'SER_se-appl'!D20</f>
        <v>10.073575023712205</v>
      </c>
      <c r="E8" s="34">
        <f>'SER_se-appl'!E20</f>
        <v>11.324951623593529</v>
      </c>
      <c r="F8" s="34">
        <f>'SER_se-appl'!F20</f>
        <v>12.421167538731281</v>
      </c>
      <c r="G8" s="34">
        <f>'SER_se-appl'!G20</f>
        <v>13.381791672286543</v>
      </c>
      <c r="H8" s="34">
        <f>'SER_se-appl'!H20</f>
        <v>14.552581182672107</v>
      </c>
      <c r="I8" s="34">
        <f>'SER_se-appl'!I20</f>
        <v>15.807540037599527</v>
      </c>
      <c r="J8" s="34">
        <f>'SER_se-appl'!J20</f>
        <v>16.546574119391913</v>
      </c>
      <c r="K8" s="34">
        <f>'SER_se-appl'!K20</f>
        <v>17.200482750775365</v>
      </c>
      <c r="L8" s="34">
        <f>'SER_se-appl'!L20</f>
        <v>17.627359745034305</v>
      </c>
      <c r="M8" s="34">
        <f>'SER_se-appl'!M20</f>
        <v>18.313833100029029</v>
      </c>
      <c r="N8" s="34">
        <f>'SER_se-appl'!N20</f>
        <v>18.588696779566426</v>
      </c>
      <c r="O8" s="34">
        <f>'SER_se-appl'!O20</f>
        <v>19.018840425801528</v>
      </c>
      <c r="P8" s="34">
        <f>'SER_se-appl'!P20</f>
        <v>20.22608263102104</v>
      </c>
      <c r="Q8" s="34">
        <f>'SER_se-appl'!Q20</f>
        <v>21.623937998991902</v>
      </c>
      <c r="R8" s="34">
        <f>'SER_se-appl'!R20</f>
        <v>22.266417304420251</v>
      </c>
      <c r="S8" s="34">
        <f>'SER_se-appl'!S20</f>
        <v>22.894280632441131</v>
      </c>
      <c r="T8" s="34">
        <f>'SER_se-appl'!T20</f>
        <v>23.582974213285155</v>
      </c>
      <c r="U8" s="34">
        <f>'SER_se-appl'!U20</f>
        <v>24.279979433839188</v>
      </c>
      <c r="V8" s="34">
        <f>'SER_se-appl'!V20</f>
        <v>24.979374675073085</v>
      </c>
      <c r="W8" s="34">
        <f>'SER_se-appl'!W20</f>
        <v>25.665522764933897</v>
      </c>
      <c r="X8" s="34">
        <f>'SER_se-appl'!X20</f>
        <v>26.134748552389972</v>
      </c>
      <c r="Y8" s="34">
        <f>'SER_se-appl'!Y20</f>
        <v>26.476502433406488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1.3100362157748524</v>
      </c>
      <c r="D9" s="36">
        <f>'SER_se-appl'!D28</f>
        <v>1.4633706466482046</v>
      </c>
      <c r="E9" s="36">
        <f>'SER_se-appl'!E28</f>
        <v>1.6184692130663834</v>
      </c>
      <c r="F9" s="36">
        <f>'SER_se-appl'!F28</f>
        <v>1.4736919610491164</v>
      </c>
      <c r="G9" s="36">
        <f>'SER_se-appl'!G28</f>
        <v>1.3487773137584469</v>
      </c>
      <c r="H9" s="36">
        <f>'SER_se-appl'!H28</f>
        <v>1.5699218339694117</v>
      </c>
      <c r="I9" s="36">
        <f>'SER_se-appl'!I28</f>
        <v>1.6653808734873348</v>
      </c>
      <c r="J9" s="36">
        <f>'SER_se-appl'!J28</f>
        <v>1.1610651310602069</v>
      </c>
      <c r="K9" s="36">
        <f>'SER_se-appl'!K28</f>
        <v>1.0878770796919746</v>
      </c>
      <c r="L9" s="36">
        <f>'SER_se-appl'!L28</f>
        <v>0.87312049803440317</v>
      </c>
      <c r="M9" s="36">
        <f>'SER_se-appl'!M28</f>
        <v>1.1453391214760487</v>
      </c>
      <c r="N9" s="36">
        <f>'SER_se-appl'!N28</f>
        <v>0.74670873692660322</v>
      </c>
      <c r="O9" s="36">
        <f>'SER_se-appl'!O28</f>
        <v>0.91533512148908258</v>
      </c>
      <c r="P9" s="36">
        <f>'SER_se-appl'!P28</f>
        <v>1.7061576096993214</v>
      </c>
      <c r="Q9" s="36">
        <f>'SER_se-appl'!Q28</f>
        <v>1.910882891170754</v>
      </c>
      <c r="R9" s="36">
        <f>'SER_se-appl'!R28</f>
        <v>1.1700181170131252</v>
      </c>
      <c r="S9" s="36">
        <f>'SER_se-appl'!S28</f>
        <v>1.1703238884065321</v>
      </c>
      <c r="T9" s="36">
        <f>'SER_se-appl'!T28</f>
        <v>1.246497960563353</v>
      </c>
      <c r="U9" s="36">
        <f>'SER_se-appl'!U28</f>
        <v>2.0070414363288833</v>
      </c>
      <c r="V9" s="36">
        <f>'SER_se-appl'!V28</f>
        <v>2.1627658878821023</v>
      </c>
      <c r="W9" s="36">
        <f>'SER_se-appl'!W28</f>
        <v>2.3046173029271948</v>
      </c>
      <c r="X9" s="36">
        <f>'SER_se-appl'!X28</f>
        <v>1.9429177485051916</v>
      </c>
      <c r="Y9" s="36">
        <f>'SER_se-appl'!Y28</f>
        <v>1.6905311947749624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0.34717475864681901</v>
      </c>
      <c r="D10" s="38">
        <f>'SER_se-appl'!D36</f>
        <v>0.35699480302037045</v>
      </c>
      <c r="E10" s="38">
        <f>'SER_se-appl'!E36</f>
        <v>0.36709261318505959</v>
      </c>
      <c r="F10" s="38">
        <f>'SER_se-appl'!F36</f>
        <v>0.37747604591136508</v>
      </c>
      <c r="G10" s="38">
        <f>'SER_se-appl'!G36</f>
        <v>0.38815318020318479</v>
      </c>
      <c r="H10" s="38">
        <f>'SER_se-appl'!H36</f>
        <v>0.39913232358384754</v>
      </c>
      <c r="I10" s="38">
        <f>'SER_se-appl'!I36</f>
        <v>0.41042201855991678</v>
      </c>
      <c r="J10" s="38">
        <f>'SER_se-appl'!J36</f>
        <v>0.42203104926782231</v>
      </c>
      <c r="K10" s="38">
        <f>'SER_se-appl'!K36</f>
        <v>0.43396844830852288</v>
      </c>
      <c r="L10" s="38">
        <f>'SER_se-appl'!L36</f>
        <v>0.44624350377546307</v>
      </c>
      <c r="M10" s="38">
        <f>'SER_se-appl'!M36</f>
        <v>0.45886576648132404</v>
      </c>
      <c r="N10" s="38">
        <f>'SER_se-appl'!N36</f>
        <v>0.47184505738920635</v>
      </c>
      <c r="O10" s="38">
        <f>'SER_se-appl'!O36</f>
        <v>0.48519147525398054</v>
      </c>
      <c r="P10" s="38">
        <f>'SER_se-appl'!P36</f>
        <v>0.49891540447980987</v>
      </c>
      <c r="Q10" s="38">
        <f>'SER_se-appl'!Q36</f>
        <v>0.51302752319989153</v>
      </c>
      <c r="R10" s="38">
        <f>'SER_se-appl'!R36</f>
        <v>0.52753881158477611</v>
      </c>
      <c r="S10" s="38">
        <f>'SER_se-appl'!S36</f>
        <v>0.54246056038565271</v>
      </c>
      <c r="T10" s="38">
        <f>'SER_se-appl'!T36</f>
        <v>0.55780437971932884</v>
      </c>
      <c r="U10" s="38">
        <f>'SER_se-appl'!U36</f>
        <v>1.3100362157748506</v>
      </c>
      <c r="V10" s="38">
        <f>'SER_se-appl'!V36</f>
        <v>1.4633706466482046</v>
      </c>
      <c r="W10" s="38">
        <f>'SER_se-appl'!W36</f>
        <v>1.6184692130663834</v>
      </c>
      <c r="X10" s="38">
        <f>'SER_se-appl'!X36</f>
        <v>1.4736919610491164</v>
      </c>
      <c r="Y10" s="38">
        <f>'SER_se-appl'!Y36</f>
        <v>1.3487773137584469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8760</v>
      </c>
      <c r="D12" s="204">
        <f>'SER_se-appl'!D44</f>
        <v>8760.0000000000018</v>
      </c>
      <c r="E12" s="204">
        <f>'SER_se-appl'!E44</f>
        <v>8759.9999999999982</v>
      </c>
      <c r="F12" s="204">
        <f>'SER_se-appl'!F44</f>
        <v>8760</v>
      </c>
      <c r="G12" s="204">
        <f>'SER_se-appl'!G44</f>
        <v>8760.0000000000018</v>
      </c>
      <c r="H12" s="204">
        <f>'SER_se-appl'!H44</f>
        <v>8760</v>
      </c>
      <c r="I12" s="204">
        <f>'SER_se-appl'!I44</f>
        <v>8760.0000000000018</v>
      </c>
      <c r="J12" s="204">
        <f>'SER_se-appl'!J44</f>
        <v>8760.0000000000018</v>
      </c>
      <c r="K12" s="204">
        <f>'SER_se-appl'!K44</f>
        <v>8759.9999999999964</v>
      </c>
      <c r="L12" s="204">
        <f>'SER_se-appl'!L44</f>
        <v>8760.0000000000018</v>
      </c>
      <c r="M12" s="204">
        <f>'SER_se-appl'!M44</f>
        <v>8760</v>
      </c>
      <c r="N12" s="204">
        <f>'SER_se-appl'!N44</f>
        <v>8759.9999999999982</v>
      </c>
      <c r="O12" s="204">
        <f>'SER_se-appl'!O44</f>
        <v>8759.9999999999982</v>
      </c>
      <c r="P12" s="204">
        <f>'SER_se-appl'!P44</f>
        <v>8759.9999999999982</v>
      </c>
      <c r="Q12" s="204">
        <f>'SER_se-appl'!Q44</f>
        <v>8759.9999999999945</v>
      </c>
      <c r="R12" s="204">
        <f>'SER_se-appl'!R44</f>
        <v>8759.9999999999982</v>
      </c>
      <c r="S12" s="204">
        <f>'SER_se-appl'!S44</f>
        <v>8759.9999999999964</v>
      </c>
      <c r="T12" s="204">
        <f>'SER_se-appl'!T44</f>
        <v>8759.9999999999982</v>
      </c>
      <c r="U12" s="204">
        <f>'SER_se-appl'!U44</f>
        <v>8759.9999999999964</v>
      </c>
      <c r="V12" s="204">
        <f>'SER_se-appl'!V44</f>
        <v>8759.9999999999964</v>
      </c>
      <c r="W12" s="204">
        <f>'SER_se-appl'!W44</f>
        <v>8759.9999999999964</v>
      </c>
      <c r="X12" s="204">
        <f>'SER_se-appl'!X44</f>
        <v>8759.9999999999964</v>
      </c>
      <c r="Y12" s="204">
        <f>'SER_se-appl'!Y44</f>
        <v>8759.9999999999964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0.74799972797580361</v>
      </c>
      <c r="C14" s="59">
        <f>'SER_se-appl'!C52</f>
        <v>0.7358399476596017</v>
      </c>
      <c r="D14" s="59">
        <f>'SER_se-appl'!D52</f>
        <v>0.72336778854358053</v>
      </c>
      <c r="E14" s="59">
        <f>'SER_se-appl'!E52</f>
        <v>0.71028820196232045</v>
      </c>
      <c r="F14" s="59">
        <f>'SER_se-appl'!F52</f>
        <v>0.69880840734407579</v>
      </c>
      <c r="G14" s="59">
        <f>'SER_se-appl'!G52</f>
        <v>0.68850294588299699</v>
      </c>
      <c r="H14" s="59">
        <f>'SER_se-appl'!H52</f>
        <v>0.67718436198949761</v>
      </c>
      <c r="I14" s="59">
        <f>'SER_se-appl'!I52</f>
        <v>0.66577717460515273</v>
      </c>
      <c r="J14" s="59">
        <f>'SER_se-appl'!J52</f>
        <v>0.65736400942798268</v>
      </c>
      <c r="K14" s="59">
        <f>'SER_se-appl'!K52</f>
        <v>0.64936861649789202</v>
      </c>
      <c r="L14" s="59">
        <f>'SER_se-appl'!L52</f>
        <v>0.64219790559223766</v>
      </c>
      <c r="M14" s="59">
        <f>'SER_se-appl'!M52</f>
        <v>0.63340652360538996</v>
      </c>
      <c r="N14" s="59">
        <f>'SER_se-appl'!N52</f>
        <v>0.62644927966782638</v>
      </c>
      <c r="O14" s="59">
        <f>'SER_se-appl'!O52</f>
        <v>0.61823178893322328</v>
      </c>
      <c r="P14" s="59">
        <f>'SER_se-appl'!P52</f>
        <v>0.60564007206238135</v>
      </c>
      <c r="Q14" s="59">
        <f>'SER_se-appl'!Q52</f>
        <v>0.59238319351893232</v>
      </c>
      <c r="R14" s="59">
        <f>'SER_se-appl'!R52</f>
        <v>0.58335299111858585</v>
      </c>
      <c r="S14" s="59">
        <f>'SER_se-appl'!S52</f>
        <v>0.57448552694546173</v>
      </c>
      <c r="T14" s="59">
        <f>'SER_se-appl'!T52</f>
        <v>0.56547818848868658</v>
      </c>
      <c r="U14" s="59">
        <f>'SER_se-appl'!U52</f>
        <v>0.55283690049954737</v>
      </c>
      <c r="V14" s="59">
        <f>'SER_se-appl'!V52</f>
        <v>0.54007227600199759</v>
      </c>
      <c r="W14" s="59">
        <f>'SER_se-appl'!W52</f>
        <v>0.5276683605329956</v>
      </c>
      <c r="X14" s="59">
        <f>'SER_se-appl'!X52</f>
        <v>0.5178068179741443</v>
      </c>
      <c r="Y14" s="59">
        <f>'SER_se-appl'!Y52</f>
        <v>0.50967830689977467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0.66476601980159333</v>
      </c>
      <c r="D15" s="63">
        <f>'SER_se-appl'!D60</f>
        <v>0.6529503171603207</v>
      </c>
      <c r="E15" s="63">
        <f>'SER_se-appl'!E60</f>
        <v>0.63743258436884587</v>
      </c>
      <c r="F15" s="63">
        <f>'SER_se-appl'!F60</f>
        <v>0.62318909446144599</v>
      </c>
      <c r="G15" s="63">
        <f>'SER_se-appl'!G60</f>
        <v>0.61071990703689161</v>
      </c>
      <c r="H15" s="63">
        <f>'SER_se-appl'!H60</f>
        <v>0.59871024471127965</v>
      </c>
      <c r="I15" s="63">
        <f>'SER_se-appl'!I60</f>
        <v>0.586361062497327</v>
      </c>
      <c r="J15" s="63">
        <f>'SER_se-appl'!J60</f>
        <v>0.57576621146925488</v>
      </c>
      <c r="K15" s="63">
        <f>'SER_se-appl'!K60</f>
        <v>0.56710420170414222</v>
      </c>
      <c r="L15" s="63">
        <f>'SER_se-appl'!L60</f>
        <v>0.55500912295729721</v>
      </c>
      <c r="M15" s="63">
        <f>'SER_se-appl'!M60</f>
        <v>0.54401295233782687</v>
      </c>
      <c r="N15" s="63">
        <f>'SER_se-appl'!N60</f>
        <v>0.53262310275775837</v>
      </c>
      <c r="O15" s="63">
        <f>'SER_se-appl'!O60</f>
        <v>0.52013640980735332</v>
      </c>
      <c r="P15" s="63">
        <f>'SER_se-appl'!P60</f>
        <v>0.50690685563259941</v>
      </c>
      <c r="Q15" s="63">
        <f>'SER_se-appl'!Q60</f>
        <v>0.49384279814573195</v>
      </c>
      <c r="R15" s="63">
        <f>'SER_se-appl'!R60</f>
        <v>0.49069545756925187</v>
      </c>
      <c r="S15" s="63">
        <f>'SER_se-appl'!S60</f>
        <v>0.486200524811847</v>
      </c>
      <c r="T15" s="63">
        <f>'SER_se-appl'!T60</f>
        <v>0.48171935087729212</v>
      </c>
      <c r="U15" s="63">
        <f>'SER_se-appl'!U60</f>
        <v>0.47735865374137026</v>
      </c>
      <c r="V15" s="63">
        <f>'SER_se-appl'!V60</f>
        <v>0.47314759912877041</v>
      </c>
      <c r="W15" s="63">
        <f>'SER_se-appl'!W60</f>
        <v>0.47030871353399778</v>
      </c>
      <c r="X15" s="63">
        <f>'SER_se-appl'!X60</f>
        <v>0.46746982793922515</v>
      </c>
      <c r="Y15" s="63">
        <f>'SER_se-appl'!Y60</f>
        <v>0.46463094234445251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23.379999789190418</v>
      </c>
      <c r="C3" s="198">
        <f>'SER_se-appl'!C5</f>
        <v>23.951470391578784</v>
      </c>
      <c r="D3" s="198">
        <f>'SER_se-appl'!D5</f>
        <v>24.658045741120649</v>
      </c>
      <c r="E3" s="198">
        <f>'SER_se-appl'!E5</f>
        <v>25.824332113216251</v>
      </c>
      <c r="F3" s="198">
        <f>'SER_se-appl'!F5</f>
        <v>27.081369196809899</v>
      </c>
      <c r="G3" s="198">
        <f>'SER_se-appl'!G5</f>
        <v>28.224935243090815</v>
      </c>
      <c r="H3" s="198">
        <f>'SER_se-appl'!H5</f>
        <v>28.982482008138014</v>
      </c>
      <c r="I3" s="198">
        <f>'SER_se-appl'!I5</f>
        <v>29.664896733972547</v>
      </c>
      <c r="J3" s="198">
        <f>'SER_se-appl'!J5</f>
        <v>30.496452917392695</v>
      </c>
      <c r="K3" s="198">
        <f>'SER_se-appl'!K5</f>
        <v>31.217839475445619</v>
      </c>
      <c r="L3" s="198">
        <f>'SER_se-appl'!L5</f>
        <v>31.742530686479743</v>
      </c>
      <c r="M3" s="198">
        <f>'SER_se-appl'!M5</f>
        <v>32.004059662689748</v>
      </c>
      <c r="N3" s="198">
        <f>'SER_se-appl'!N5</f>
        <v>32.461975725556641</v>
      </c>
      <c r="O3" s="198">
        <f>'SER_se-appl'!O5</f>
        <v>33.041888503804373</v>
      </c>
      <c r="P3" s="198">
        <f>'SER_se-appl'!P5</f>
        <v>33.691387873675659</v>
      </c>
      <c r="Q3" s="198">
        <f>'SER_se-appl'!Q5</f>
        <v>34.380013899320652</v>
      </c>
      <c r="R3" s="198">
        <f>'SER_se-appl'!R5</f>
        <v>33.832830221382828</v>
      </c>
      <c r="S3" s="198">
        <f>'SER_se-appl'!S5</f>
        <v>33.16222561128636</v>
      </c>
      <c r="T3" s="198">
        <f>'SER_se-appl'!T5</f>
        <v>32.174887047851549</v>
      </c>
      <c r="U3" s="198">
        <f>'SER_se-appl'!U5</f>
        <v>31.336487031809714</v>
      </c>
      <c r="V3" s="198">
        <f>'SER_se-appl'!V5</f>
        <v>30.399149146878038</v>
      </c>
      <c r="W3" s="198">
        <f>'SER_se-appl'!W5</f>
        <v>29.226170976949735</v>
      </c>
      <c r="X3" s="198">
        <f>'SER_se-appl'!X5</f>
        <v>28.050499147975422</v>
      </c>
      <c r="Y3" s="198">
        <f>'SER_se-appl'!Y5</f>
        <v>27.21237396307248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72.912870557305141</v>
      </c>
      <c r="C5" s="59">
        <f>'SER_se-appl'!C13</f>
        <v>74.172039083346945</v>
      </c>
      <c r="D5" s="59">
        <f>'SER_se-appl'!D13</f>
        <v>76.054620348040103</v>
      </c>
      <c r="E5" s="59">
        <f>'SER_se-appl'!E13</f>
        <v>79.285424332555323</v>
      </c>
      <c r="F5" s="59">
        <f>'SER_se-appl'!F13</f>
        <v>82.874793501063351</v>
      </c>
      <c r="G5" s="59">
        <f>'SER_se-appl'!G13</f>
        <v>86.318695334546447</v>
      </c>
      <c r="H5" s="59">
        <f>'SER_se-appl'!H13</f>
        <v>88.513356257043526</v>
      </c>
      <c r="I5" s="59">
        <f>'SER_se-appl'!I13</f>
        <v>90.553490308532574</v>
      </c>
      <c r="J5" s="59">
        <f>'SER_se-appl'!J13</f>
        <v>93.073285133598645</v>
      </c>
      <c r="K5" s="59">
        <f>'SER_se-appl'!K13</f>
        <v>95.25742221784256</v>
      </c>
      <c r="L5" s="59">
        <f>'SER_se-appl'!L13</f>
        <v>96.855561179516442</v>
      </c>
      <c r="M5" s="59">
        <f>'SER_se-appl'!M13</f>
        <v>97.746860601958062</v>
      </c>
      <c r="N5" s="59">
        <f>'SER_se-appl'!N13</f>
        <v>99.425272316674409</v>
      </c>
      <c r="O5" s="59">
        <f>'SER_se-appl'!O13</f>
        <v>101.3669841111612</v>
      </c>
      <c r="P5" s="59">
        <f>'SER_se-appl'!P13</f>
        <v>103.73514943573332</v>
      </c>
      <c r="Q5" s="59">
        <f>'SER_se-appl'!Q13</f>
        <v>106.22367295643816</v>
      </c>
      <c r="R5" s="59">
        <f>'SER_se-appl'!R13</f>
        <v>105.06565631476566</v>
      </c>
      <c r="S5" s="59">
        <f>'SER_se-appl'!S13</f>
        <v>103.17026991183135</v>
      </c>
      <c r="T5" s="59">
        <f>'SER_se-appl'!T13</f>
        <v>100.96551704372806</v>
      </c>
      <c r="U5" s="59">
        <f>'SER_se-appl'!U13</f>
        <v>97.949261757908701</v>
      </c>
      <c r="V5" s="59">
        <f>'SER_se-appl'!V13</f>
        <v>94.620708749377926</v>
      </c>
      <c r="W5" s="59">
        <f>'SER_se-appl'!W13</f>
        <v>90.98304389514729</v>
      </c>
      <c r="X5" s="59">
        <f>'SER_se-appl'!X13</f>
        <v>87.641831690280185</v>
      </c>
      <c r="Y5" s="59">
        <f>'SER_se-appl'!Y13</f>
        <v>85.334643536150011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8.0122083581351908E-2</v>
      </c>
      <c r="C6" s="201">
        <f>'SER_se-appl'!C69</f>
        <v>8.6400387177814897E-2</v>
      </c>
      <c r="D6" s="201">
        <f>'SER_se-appl'!D69</f>
        <v>8.9703075199837015E-2</v>
      </c>
      <c r="E6" s="201">
        <f>'SER_se-appl'!E69</f>
        <v>9.5104060581241406E-2</v>
      </c>
      <c r="F6" s="201">
        <f>'SER_se-appl'!F69</f>
        <v>0.10131697328383646</v>
      </c>
      <c r="G6" s="201">
        <f>'SER_se-appl'!G69</f>
        <v>0.10768208259992557</v>
      </c>
      <c r="H6" s="201">
        <f>'SER_se-appl'!H69</f>
        <v>0.11287272247424979</v>
      </c>
      <c r="I6" s="201">
        <f>'SER_se-appl'!I69</f>
        <v>0.11829659253525385</v>
      </c>
      <c r="J6" s="201">
        <f>'SER_se-appl'!J69</f>
        <v>0.12340052313571528</v>
      </c>
      <c r="K6" s="201">
        <f>'SER_se-appl'!K69</f>
        <v>0.12846962337916529</v>
      </c>
      <c r="L6" s="201">
        <f>'SER_se-appl'!L69</f>
        <v>0.13344581977844236</v>
      </c>
      <c r="M6" s="201">
        <f>'SER_se-appl'!M69</f>
        <v>0.13799062709780804</v>
      </c>
      <c r="N6" s="201">
        <f>'SER_se-appl'!N69</f>
        <v>0.14414745838347034</v>
      </c>
      <c r="O6" s="201">
        <f>'SER_se-appl'!O69</f>
        <v>0.15181051778491073</v>
      </c>
      <c r="P6" s="201">
        <f>'SER_se-appl'!P69</f>
        <v>0.16162710991617024</v>
      </c>
      <c r="Q6" s="201">
        <f>'SER_se-appl'!Q69</f>
        <v>0.17340974511153645</v>
      </c>
      <c r="R6" s="201">
        <f>'SER_se-appl'!R69</f>
        <v>0.18028094013076967</v>
      </c>
      <c r="S6" s="201">
        <f>'SER_se-appl'!S69</f>
        <v>0.18735186148791186</v>
      </c>
      <c r="T6" s="201">
        <f>'SER_se-appl'!T69</f>
        <v>0.19537365637697898</v>
      </c>
      <c r="U6" s="201">
        <f>'SER_se-appl'!U69</f>
        <v>0.20241345724535226</v>
      </c>
      <c r="V6" s="201">
        <f>'SER_se-appl'!V69</f>
        <v>0.20844731299627142</v>
      </c>
      <c r="W6" s="201">
        <f>'SER_se-appl'!W69</f>
        <v>0.21388669492635393</v>
      </c>
      <c r="X6" s="201">
        <f>'SER_se-appl'!X69</f>
        <v>0.21777849765616028</v>
      </c>
      <c r="Y6" s="201">
        <f>'SER_se-appl'!Y69</f>
        <v>0.22054481755860247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360.36789959677179</v>
      </c>
      <c r="C8" s="34">
        <f>'SER_se-appl'!C21</f>
        <v>371.12474148590917</v>
      </c>
      <c r="D8" s="34">
        <f>'SER_se-appl'!D21</f>
        <v>386.21605205444706</v>
      </c>
      <c r="E8" s="34">
        <f>'SER_se-appl'!E21</f>
        <v>409.4595007615074</v>
      </c>
      <c r="F8" s="34">
        <f>'SER_se-appl'!F21</f>
        <v>436.24302479254675</v>
      </c>
      <c r="G8" s="34">
        <f>'SER_se-appl'!G21</f>
        <v>464.20249027879777</v>
      </c>
      <c r="H8" s="34">
        <f>'SER_se-appl'!H21</f>
        <v>486.76214832481003</v>
      </c>
      <c r="I8" s="34">
        <f>'SER_se-appl'!I21</f>
        <v>510.27590079859351</v>
      </c>
      <c r="J8" s="34">
        <f>'SER_se-appl'!J21</f>
        <v>532.09898354394079</v>
      </c>
      <c r="K8" s="34">
        <f>'SER_se-appl'!K21</f>
        <v>553.67786896103303</v>
      </c>
      <c r="L8" s="34">
        <f>'SER_se-appl'!L21</f>
        <v>574.19694529621142</v>
      </c>
      <c r="M8" s="34">
        <f>'SER_se-appl'!M21</f>
        <v>591.96005758992158</v>
      </c>
      <c r="N8" s="34">
        <f>'SER_se-appl'!N21</f>
        <v>616.37222568838513</v>
      </c>
      <c r="O8" s="34">
        <f>'SER_se-appl'!O21</f>
        <v>644.86117287829711</v>
      </c>
      <c r="P8" s="34">
        <f>'SER_se-appl'!P21</f>
        <v>681.68367084995691</v>
      </c>
      <c r="Q8" s="34">
        <f>'SER_se-appl'!Q21</f>
        <v>725.01140448299941</v>
      </c>
      <c r="R8" s="34">
        <f>'SER_se-appl'!R21</f>
        <v>744.7612959883246</v>
      </c>
      <c r="S8" s="34">
        <f>'SER_se-appl'!S21</f>
        <v>764.16496472918868</v>
      </c>
      <c r="T8" s="34">
        <f>'SER_se-appl'!T21</f>
        <v>784.2964791140181</v>
      </c>
      <c r="U8" s="34">
        <f>'SER_se-appl'!U21</f>
        <v>803.31342984665559</v>
      </c>
      <c r="V8" s="34">
        <f>'SER_se-appl'!V21</f>
        <v>819.92979859127661</v>
      </c>
      <c r="W8" s="34">
        <f>'SER_se-appl'!W21</f>
        <v>832.66646440236389</v>
      </c>
      <c r="X8" s="34">
        <f>'SER_se-appl'!X21</f>
        <v>841.12698038987617</v>
      </c>
      <c r="Y8" s="34">
        <f>'SER_se-appl'!Y21</f>
        <v>849.29471466751693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55.962987485084341</v>
      </c>
      <c r="D9" s="36">
        <f>'SER_se-appl'!D29</f>
        <v>62.243349345214767</v>
      </c>
      <c r="E9" s="36">
        <f>'SER_se-appl'!E29</f>
        <v>72.425141405864053</v>
      </c>
      <c r="F9" s="36">
        <f>'SER_se-appl'!F29</f>
        <v>78.082236864555398</v>
      </c>
      <c r="G9" s="36">
        <f>'SER_se-appl'!G29</f>
        <v>81.46632533533375</v>
      </c>
      <c r="H9" s="36">
        <f>'SER_se-appl'!H29</f>
        <v>78.369714337304742</v>
      </c>
      <c r="I9" s="36">
        <f>'SER_se-appl'!I29</f>
        <v>81.726146025236403</v>
      </c>
      <c r="J9" s="36">
        <f>'SER_se-appl'!J29</f>
        <v>77.786070230431619</v>
      </c>
      <c r="K9" s="36">
        <f>'SER_se-appl'!K29</f>
        <v>83.822234762307005</v>
      </c>
      <c r="L9" s="36">
        <f>'SER_se-appl'!L29</f>
        <v>92.944217741042451</v>
      </c>
      <c r="M9" s="36">
        <f>'SER_se-appl'!M29</f>
        <v>95.845349158265549</v>
      </c>
      <c r="N9" s="36">
        <f>'SER_se-appl'!N29</f>
        <v>105.8784934337973</v>
      </c>
      <c r="O9" s="36">
        <f>'SER_se-appl'!O29</f>
        <v>106.85866152721678</v>
      </c>
      <c r="P9" s="36">
        <f>'SER_se-appl'!P29</f>
        <v>118.5486439968962</v>
      </c>
      <c r="Q9" s="36">
        <f>'SER_se-appl'!Q29</f>
        <v>121.11380386347412</v>
      </c>
      <c r="R9" s="36">
        <f>'SER_se-appl'!R29</f>
        <v>103.57212626763214</v>
      </c>
      <c r="S9" s="36">
        <f>'SER_se-appl'!S29</f>
        <v>112.34788648190658</v>
      </c>
      <c r="T9" s="36">
        <f>'SER_se-appl'!T29</f>
        <v>115.97686354309496</v>
      </c>
      <c r="U9" s="36">
        <f>'SER_se-appl'!U29</f>
        <v>124.8954441664348</v>
      </c>
      <c r="V9" s="36">
        <f>'SER_se-appl'!V29</f>
        <v>123.4750302718378</v>
      </c>
      <c r="W9" s="36">
        <f>'SER_se-appl'!W29</f>
        <v>131.28530980798348</v>
      </c>
      <c r="X9" s="36">
        <f>'SER_se-appl'!X29</f>
        <v>129.5743198509864</v>
      </c>
      <c r="Y9" s="36">
        <f>'SER_se-appl'!Y29</f>
        <v>111.7398605452729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45.206145595946964</v>
      </c>
      <c r="D10" s="38">
        <f>'SER_se-appl'!D37</f>
        <v>47.152038776676875</v>
      </c>
      <c r="E10" s="38">
        <f>'SER_se-appl'!E37</f>
        <v>49.181692698803715</v>
      </c>
      <c r="F10" s="38">
        <f>'SER_se-appl'!F37</f>
        <v>51.298712833516049</v>
      </c>
      <c r="G10" s="38">
        <f>'SER_se-appl'!G37</f>
        <v>53.50685984908273</v>
      </c>
      <c r="H10" s="38">
        <f>'SER_se-appl'!H37</f>
        <v>55.810056291292426</v>
      </c>
      <c r="I10" s="38">
        <f>'SER_se-appl'!I37</f>
        <v>58.212393551452919</v>
      </c>
      <c r="J10" s="38">
        <f>'SER_se-appl'!J37</f>
        <v>55.962987485084341</v>
      </c>
      <c r="K10" s="38">
        <f>'SER_se-appl'!K37</f>
        <v>62.24334934521471</v>
      </c>
      <c r="L10" s="38">
        <f>'SER_se-appl'!L37</f>
        <v>72.425141405863997</v>
      </c>
      <c r="M10" s="38">
        <f>'SER_se-appl'!M37</f>
        <v>78.082236864555398</v>
      </c>
      <c r="N10" s="38">
        <f>'SER_se-appl'!N37</f>
        <v>81.46632533533375</v>
      </c>
      <c r="O10" s="38">
        <f>'SER_se-appl'!O37</f>
        <v>78.369714337304799</v>
      </c>
      <c r="P10" s="38">
        <f>'SER_se-appl'!P37</f>
        <v>81.726146025236403</v>
      </c>
      <c r="Q10" s="38">
        <f>'SER_se-appl'!Q37</f>
        <v>77.786070230431619</v>
      </c>
      <c r="R10" s="38">
        <f>'SER_se-appl'!R37</f>
        <v>83.822234762306948</v>
      </c>
      <c r="S10" s="38">
        <f>'SER_se-appl'!S37</f>
        <v>92.944217741042507</v>
      </c>
      <c r="T10" s="38">
        <f>'SER_se-appl'!T37</f>
        <v>95.845349158265549</v>
      </c>
      <c r="U10" s="38">
        <f>'SER_se-appl'!U37</f>
        <v>105.8784934337973</v>
      </c>
      <c r="V10" s="38">
        <f>'SER_se-appl'!V37</f>
        <v>106.85866152721678</v>
      </c>
      <c r="W10" s="38">
        <f>'SER_se-appl'!W37</f>
        <v>118.5486439968962</v>
      </c>
      <c r="X10" s="38">
        <f>'SER_se-appl'!X37</f>
        <v>121.11380386347412</v>
      </c>
      <c r="Y10" s="38">
        <f>'SER_se-appl'!Y37</f>
        <v>103.57212626763214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3729.2373139332112</v>
      </c>
      <c r="C12" s="204">
        <f>'SER_se-appl'!C45</f>
        <v>3755.5338116166522</v>
      </c>
      <c r="D12" s="204">
        <f>'SER_se-appl'!D45</f>
        <v>3770.6199920124009</v>
      </c>
      <c r="E12" s="204">
        <f>'SER_se-appl'!E45</f>
        <v>3788.0478663640556</v>
      </c>
      <c r="F12" s="204">
        <f>'SER_se-appl'!F45</f>
        <v>3800.3874333015137</v>
      </c>
      <c r="G12" s="204">
        <f>'SER_se-appl'!G45</f>
        <v>3802.8377931909226</v>
      </c>
      <c r="H12" s="204">
        <f>'SER_se-appl'!H45</f>
        <v>3808.0836611347318</v>
      </c>
      <c r="I12" s="204">
        <f>'SER_se-appl'!I45</f>
        <v>3809.9331990474602</v>
      </c>
      <c r="J12" s="204">
        <f>'SER_se-appl'!J45</f>
        <v>3810.693336118668</v>
      </c>
      <c r="K12" s="204">
        <f>'SER_se-appl'!K45</f>
        <v>3811.3930090313479</v>
      </c>
      <c r="L12" s="204">
        <f>'SER_se-appl'!L45</f>
        <v>3811.5068188963487</v>
      </c>
      <c r="M12" s="204">
        <f>'SER_se-appl'!M45</f>
        <v>3807.8687293372345</v>
      </c>
      <c r="N12" s="204">
        <f>'SER_se-appl'!N45</f>
        <v>3797.1510551740121</v>
      </c>
      <c r="O12" s="204">
        <f>'SER_se-appl'!O45</f>
        <v>3790.9499495204309</v>
      </c>
      <c r="P12" s="204">
        <f>'SER_se-appl'!P45</f>
        <v>3777.2234686334314</v>
      </c>
      <c r="Q12" s="204">
        <f>'SER_se-appl'!Q45</f>
        <v>3764.1285649487145</v>
      </c>
      <c r="R12" s="204">
        <f>'SER_se-appl'!R45</f>
        <v>3745.0469475569648</v>
      </c>
      <c r="S12" s="204">
        <f>'SER_se-appl'!S45</f>
        <v>3738.2540938281654</v>
      </c>
      <c r="T12" s="204">
        <f>'SER_se-appl'!T45</f>
        <v>3706.1557977705447</v>
      </c>
      <c r="U12" s="204">
        <f>'SER_se-appl'!U45</f>
        <v>3720.735997793478</v>
      </c>
      <c r="V12" s="204">
        <f>'SER_se-appl'!V45</f>
        <v>3736.413616543703</v>
      </c>
      <c r="W12" s="204">
        <f>'SER_se-appl'!W45</f>
        <v>3735.8649909937176</v>
      </c>
      <c r="X12" s="204">
        <f>'SER_se-appl'!X45</f>
        <v>3722.2784918943457</v>
      </c>
      <c r="Y12" s="204">
        <f>'SER_se-appl'!Y45</f>
        <v>3708.6919927949739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202.32898279477695</v>
      </c>
      <c r="C14" s="59">
        <f>'SER_se-appl'!C53</f>
        <v>199.85743549830968</v>
      </c>
      <c r="D14" s="59">
        <f>'SER_se-appl'!D53</f>
        <v>196.92247368661478</v>
      </c>
      <c r="E14" s="59">
        <f>'SER_se-appl'!E53</f>
        <v>193.6343501252293</v>
      </c>
      <c r="F14" s="59">
        <f>'SER_se-appl'!F53</f>
        <v>189.97391085043495</v>
      </c>
      <c r="G14" s="59">
        <f>'SER_se-appl'!G53</f>
        <v>185.95052189983696</v>
      </c>
      <c r="H14" s="59">
        <f>'SER_se-appl'!H53</f>
        <v>181.8410830868051</v>
      </c>
      <c r="I14" s="59">
        <f>'SER_se-appl'!I53</f>
        <v>177.45986076711498</v>
      </c>
      <c r="J14" s="59">
        <f>'SER_se-appl'!J53</f>
        <v>174.91723910784853</v>
      </c>
      <c r="K14" s="59">
        <f>'SER_se-appl'!K53</f>
        <v>172.04484332485868</v>
      </c>
      <c r="L14" s="59">
        <f>'SER_se-appl'!L53</f>
        <v>168.68003560964868</v>
      </c>
      <c r="M14" s="59">
        <f>'SER_se-appl'!M53</f>
        <v>165.12408117520638</v>
      </c>
      <c r="N14" s="59">
        <f>'SER_se-appl'!N53</f>
        <v>161.30719096830319</v>
      </c>
      <c r="O14" s="59">
        <f>'SER_se-appl'!O53</f>
        <v>157.19194824324137</v>
      </c>
      <c r="P14" s="59">
        <f>'SER_se-appl'!P53</f>
        <v>152.17490732379022</v>
      </c>
      <c r="Q14" s="59">
        <f>'SER_se-appl'!Q53</f>
        <v>146.51310627614959</v>
      </c>
      <c r="R14" s="59">
        <f>'SER_se-appl'!R53</f>
        <v>141.07292750134096</v>
      </c>
      <c r="S14" s="59">
        <f>'SER_se-appl'!S53</f>
        <v>135.01046851630227</v>
      </c>
      <c r="T14" s="59">
        <f>'SER_se-appl'!T53</f>
        <v>128.73386497639763</v>
      </c>
      <c r="U14" s="59">
        <f>'SER_se-appl'!U53</f>
        <v>121.93156259893006</v>
      </c>
      <c r="V14" s="59">
        <f>'SER_se-appl'!V53</f>
        <v>115.40098787962823</v>
      </c>
      <c r="W14" s="59">
        <f>'SER_se-appl'!W53</f>
        <v>109.26709286947116</v>
      </c>
      <c r="X14" s="59">
        <f>'SER_se-appl'!X53</f>
        <v>104.1957204245865</v>
      </c>
      <c r="Y14" s="59">
        <f>'SER_se-appl'!Y53</f>
        <v>100.47706886949948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185.93864352427101</v>
      </c>
      <c r="D15" s="63">
        <f>'SER_se-appl'!D61</f>
        <v>183.51848715153113</v>
      </c>
      <c r="E15" s="63">
        <f>'SER_se-appl'!E61</f>
        <v>182.00428172477427</v>
      </c>
      <c r="F15" s="63">
        <f>'SER_se-appl'!F61</f>
        <v>178.89581697083273</v>
      </c>
      <c r="G15" s="63">
        <f>'SER_se-appl'!G61</f>
        <v>175.16305418898662</v>
      </c>
      <c r="H15" s="63">
        <f>'SER_se-appl'!H61</f>
        <v>172.09011102920104</v>
      </c>
      <c r="I15" s="63">
        <f>'SER_se-appl'!I61</f>
        <v>169.07916372976646</v>
      </c>
      <c r="J15" s="63">
        <f>'SER_se-appl'!J61</f>
        <v>166.1669855196217</v>
      </c>
      <c r="K15" s="63">
        <f>'SER_se-appl'!K61</f>
        <v>162.33094273741213</v>
      </c>
      <c r="L15" s="63">
        <f>'SER_se-appl'!L61</f>
        <v>159.01822793583932</v>
      </c>
      <c r="M15" s="63">
        <f>'SER_se-appl'!M61</f>
        <v>155.04022999278564</v>
      </c>
      <c r="N15" s="63">
        <f>'SER_se-appl'!N61</f>
        <v>150.62834346031798</v>
      </c>
      <c r="O15" s="63">
        <f>'SER_se-appl'!O61</f>
        <v>144.38103954905648</v>
      </c>
      <c r="P15" s="63">
        <f>'SER_se-appl'!P61</f>
        <v>136.53765411099639</v>
      </c>
      <c r="Q15" s="63">
        <f>'SER_se-appl'!Q61</f>
        <v>127.26873266806771</v>
      </c>
      <c r="R15" s="63">
        <f>'SER_se-appl'!R61</f>
        <v>120.19571479570865</v>
      </c>
      <c r="S15" s="63">
        <f>'SER_se-appl'!S61</f>
        <v>114.68340707240711</v>
      </c>
      <c r="T15" s="63">
        <f>'SER_se-appl'!T61</f>
        <v>109.11773023100082</v>
      </c>
      <c r="U15" s="63">
        <f>'SER_se-appl'!U61</f>
        <v>103.54298248825249</v>
      </c>
      <c r="V15" s="63">
        <f>'SER_se-appl'!V61</f>
        <v>97.993996040746552</v>
      </c>
      <c r="W15" s="63">
        <f>'SER_se-appl'!W61</f>
        <v>95.583343738144194</v>
      </c>
      <c r="X15" s="63">
        <f>'SER_se-appl'!X61</f>
        <v>93.172691435541836</v>
      </c>
      <c r="Y15" s="63">
        <f>'SER_se-appl'!Y61</f>
        <v>90.762039132939464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49.723528796247145</v>
      </c>
      <c r="C3" s="198">
        <f>'SER_se-appl'!C6</f>
        <v>51.999971560779038</v>
      </c>
      <c r="D3" s="198">
        <f>'SER_se-appl'!D6</f>
        <v>54.151446765484998</v>
      </c>
      <c r="E3" s="198">
        <f>'SER_se-appl'!E6</f>
        <v>56.871062622492872</v>
      </c>
      <c r="F3" s="198">
        <f>'SER_se-appl'!F6</f>
        <v>58.970359097259042</v>
      </c>
      <c r="G3" s="198">
        <f>'SER_se-appl'!G6</f>
        <v>60.787857280875606</v>
      </c>
      <c r="H3" s="198">
        <f>'SER_se-appl'!H6</f>
        <v>63.198468261807143</v>
      </c>
      <c r="I3" s="198">
        <f>'SER_se-appl'!I6</f>
        <v>65.878099186278433</v>
      </c>
      <c r="J3" s="198">
        <f>'SER_se-appl'!J6</f>
        <v>67.053360662036596</v>
      </c>
      <c r="K3" s="198">
        <f>'SER_se-appl'!K6</f>
        <v>67.698741903208386</v>
      </c>
      <c r="L3" s="198">
        <f>'SER_se-appl'!L6</f>
        <v>68.278955056501658</v>
      </c>
      <c r="M3" s="198">
        <f>'SER_se-appl'!M6</f>
        <v>69.595422099505853</v>
      </c>
      <c r="N3" s="198">
        <f>'SER_se-appl'!N6</f>
        <v>69.371398988852206</v>
      </c>
      <c r="O3" s="198">
        <f>'SER_se-appl'!O6</f>
        <v>69.159086668587477</v>
      </c>
      <c r="P3" s="198">
        <f>'SER_se-appl'!P6</f>
        <v>70.999952536546687</v>
      </c>
      <c r="Q3" s="198">
        <f>'SER_se-appl'!Q6</f>
        <v>72.784727134623736</v>
      </c>
      <c r="R3" s="198">
        <f>'SER_se-appl'!R6</f>
        <v>69.832616576295109</v>
      </c>
      <c r="S3" s="198">
        <f>'SER_se-appl'!S6</f>
        <v>66.65547014212116</v>
      </c>
      <c r="T3" s="198">
        <f>'SER_se-appl'!T6</f>
        <v>63.802058873009656</v>
      </c>
      <c r="U3" s="198">
        <f>'SER_se-appl'!U6</f>
        <v>61.269289563286598</v>
      </c>
      <c r="V3" s="198">
        <f>'SER_se-appl'!V6</f>
        <v>49.558455538503814</v>
      </c>
      <c r="W3" s="198">
        <f>'SER_se-appl'!W6</f>
        <v>50.227891116160045</v>
      </c>
      <c r="X3" s="198">
        <f>'SER_se-appl'!X6</f>
        <v>48.527812674351715</v>
      </c>
      <c r="Y3" s="198">
        <f>'SER_se-appl'!Y6</f>
        <v>46.061270178508252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259.06237243178151</v>
      </c>
      <c r="C5" s="59">
        <f>'SER_se-appl'!C14</f>
        <v>269.21377518976595</v>
      </c>
      <c r="D5" s="59">
        <f>'SER_se-appl'!D14</f>
        <v>278.46381044262426</v>
      </c>
      <c r="E5" s="59">
        <f>'SER_se-appl'!E14</f>
        <v>290.4214170598238</v>
      </c>
      <c r="F5" s="59">
        <f>'SER_se-appl'!F14</f>
        <v>299.34687351070562</v>
      </c>
      <c r="G5" s="59">
        <f>'SER_se-appl'!G14</f>
        <v>307.12014171956287</v>
      </c>
      <c r="H5" s="59">
        <f>'SER_se-appl'!H14</f>
        <v>317.74837238897618</v>
      </c>
      <c r="I5" s="59">
        <f>'SER_se-appl'!I14</f>
        <v>330.12404956739488</v>
      </c>
      <c r="J5" s="59">
        <f>'SER_se-appl'!J14</f>
        <v>334.63051668715127</v>
      </c>
      <c r="K5" s="59">
        <f>'SER_se-appl'!K14</f>
        <v>337.33934420397026</v>
      </c>
      <c r="L5" s="59">
        <f>'SER_se-appl'!L14</f>
        <v>339.83761963180427</v>
      </c>
      <c r="M5" s="59">
        <f>'SER_se-appl'!M14</f>
        <v>345.23322971205829</v>
      </c>
      <c r="N5" s="59">
        <f>'SER_se-appl'!N14</f>
        <v>342.79274024351633</v>
      </c>
      <c r="O5" s="59">
        <f>'SER_se-appl'!O14</f>
        <v>340.75107999365611</v>
      </c>
      <c r="P5" s="59">
        <f>'SER_se-appl'!P14</f>
        <v>348.45395800667052</v>
      </c>
      <c r="Q5" s="59">
        <f>'SER_se-appl'!Q14</f>
        <v>355.91046909600135</v>
      </c>
      <c r="R5" s="59">
        <f>'SER_se-appl'!R14</f>
        <v>346.04852057543638</v>
      </c>
      <c r="S5" s="59">
        <f>'SER_se-appl'!S14</f>
        <v>334.09928320154688</v>
      </c>
      <c r="T5" s="59">
        <f>'SER_se-appl'!T14</f>
        <v>320.87370061031129</v>
      </c>
      <c r="U5" s="59">
        <f>'SER_se-appl'!U14</f>
        <v>302.19332224874665</v>
      </c>
      <c r="V5" s="59">
        <f>'SER_se-appl'!V14</f>
        <v>280.73848561228607</v>
      </c>
      <c r="W5" s="59">
        <f>'SER_se-appl'!W14</f>
        <v>257.90899949861415</v>
      </c>
      <c r="X5" s="59">
        <f>'SER_se-appl'!X14</f>
        <v>244.04847438664737</v>
      </c>
      <c r="Y5" s="59">
        <f>'SER_se-appl'!Y14</f>
        <v>229.28346937920941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166.68742504897176</v>
      </c>
      <c r="C6" s="201">
        <f>'SER_se-appl'!C70</f>
        <v>168.64152498219312</v>
      </c>
      <c r="D6" s="201">
        <f>'SER_se-appl'!D70</f>
        <v>170.55800133015939</v>
      </c>
      <c r="E6" s="201">
        <f>'SER_se-appl'!E70</f>
        <v>172.22277218870579</v>
      </c>
      <c r="F6" s="201">
        <f>'SER_se-appl'!F70</f>
        <v>175.32955254124388</v>
      </c>
      <c r="G6" s="201">
        <f>'SER_se-appl'!G70</f>
        <v>178.53272835731357</v>
      </c>
      <c r="H6" s="201">
        <f>'SER_se-appl'!H70</f>
        <v>181.49718463363899</v>
      </c>
      <c r="I6" s="201">
        <f>'SER_se-appl'!I70</f>
        <v>184.92132564194361</v>
      </c>
      <c r="J6" s="201">
        <f>'SER_se-appl'!J70</f>
        <v>188.83765270957849</v>
      </c>
      <c r="K6" s="201">
        <f>'SER_se-appl'!K70</f>
        <v>193.50082776347014</v>
      </c>
      <c r="L6" s="201">
        <f>'SER_se-appl'!L70</f>
        <v>200.10928695182392</v>
      </c>
      <c r="M6" s="201">
        <f>'SER_se-appl'!M70</f>
        <v>208.24199911371309</v>
      </c>
      <c r="N6" s="201">
        <f>'SER_se-appl'!N70</f>
        <v>217.04921606183706</v>
      </c>
      <c r="O6" s="201">
        <f>'SER_se-appl'!O70</f>
        <v>226.42560237109322</v>
      </c>
      <c r="P6" s="201">
        <f>'SER_se-appl'!P70</f>
        <v>236.90018292978058</v>
      </c>
      <c r="Q6" s="201">
        <f>'SER_se-appl'!Q70</f>
        <v>249.31141899669379</v>
      </c>
      <c r="R6" s="201">
        <f>'SER_se-appl'!R70</f>
        <v>255.97734335871135</v>
      </c>
      <c r="S6" s="201">
        <f>'SER_se-appl'!S70</f>
        <v>262.7448294001689</v>
      </c>
      <c r="T6" s="201">
        <f>'SER_se-appl'!T70</f>
        <v>269.1793025882929</v>
      </c>
      <c r="U6" s="201">
        <f>'SER_se-appl'!U70</f>
        <v>275.0149979269147</v>
      </c>
      <c r="V6" s="201">
        <f>'SER_se-appl'!V70</f>
        <v>279.7566295311828</v>
      </c>
      <c r="W6" s="201">
        <f>'SER_se-appl'!W70</f>
        <v>282.54456856276965</v>
      </c>
      <c r="X6" s="201">
        <f>'SER_se-appl'!X70</f>
        <v>283.94893963138225</v>
      </c>
      <c r="Y6" s="201">
        <f>'SER_se-appl'!Y70</f>
        <v>284.65374063001263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5.0812924810032243</v>
      </c>
      <c r="C8" s="34">
        <f>'SER_se-appl'!C22</f>
        <v>5.3458863719851824</v>
      </c>
      <c r="D8" s="34">
        <f>'SER_se-appl'!D22</f>
        <v>5.6327323087807351</v>
      </c>
      <c r="E8" s="34">
        <f>'SER_se-appl'!E22</f>
        <v>6.0070135763859582</v>
      </c>
      <c r="F8" s="34">
        <f>'SER_se-appl'!F22</f>
        <v>6.3519221489211084</v>
      </c>
      <c r="G8" s="34">
        <f>'SER_se-appl'!G22</f>
        <v>6.7075889478202786</v>
      </c>
      <c r="H8" s="34">
        <f>'SER_se-appl'!H22</f>
        <v>7.1756042454487972</v>
      </c>
      <c r="I8" s="34">
        <f>'SER_se-appl'!I22</f>
        <v>7.6920587354102894</v>
      </c>
      <c r="J8" s="34">
        <f>'SER_se-appl'!J22</f>
        <v>8.0233654878899703</v>
      </c>
      <c r="K8" s="34">
        <f>'SER_se-appl'!K22</f>
        <v>8.3388448373619806</v>
      </c>
      <c r="L8" s="34">
        <f>'SER_se-appl'!L22</f>
        <v>8.667711813091092</v>
      </c>
      <c r="M8" s="34">
        <f>'SER_se-appl'!M22</f>
        <v>9.1301404973992994</v>
      </c>
      <c r="N8" s="34">
        <f>'SER_se-appl'!N22</f>
        <v>9.4256137478239594</v>
      </c>
      <c r="O8" s="34">
        <f>'SER_se-appl'!O22</f>
        <v>9.8334322667615321</v>
      </c>
      <c r="P8" s="34">
        <f>'SER_se-appl'!P22</f>
        <v>10.593353937536918</v>
      </c>
      <c r="Q8" s="34">
        <f>'SER_se-appl'!Q22</f>
        <v>11.515048624929571</v>
      </c>
      <c r="R8" s="34">
        <f>'SER_se-appl'!R22</f>
        <v>11.935128669286488</v>
      </c>
      <c r="S8" s="34">
        <f>'SER_se-appl'!S22</f>
        <v>12.353076546587024</v>
      </c>
      <c r="T8" s="34">
        <f>'SER_se-appl'!T22</f>
        <v>12.791416702600415</v>
      </c>
      <c r="U8" s="34">
        <f>'SER_se-appl'!U22</f>
        <v>13.210239982508581</v>
      </c>
      <c r="V8" s="34">
        <f>'SER_se-appl'!V22</f>
        <v>13.58417374421559</v>
      </c>
      <c r="W8" s="34">
        <f>'SER_se-appl'!W22</f>
        <v>13.862531914673191</v>
      </c>
      <c r="X8" s="34">
        <f>'SER_se-appl'!X22</f>
        <v>14.067961138987974</v>
      </c>
      <c r="Y8" s="34">
        <f>'SER_se-appl'!Y22</f>
        <v>14.227665384302156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1.0581195066806748</v>
      </c>
      <c r="D9" s="36">
        <f>'SER_se-appl'!D30</f>
        <v>1.1009860403274789</v>
      </c>
      <c r="E9" s="36">
        <f>'SER_se-appl'!E30</f>
        <v>1.2095713893933455</v>
      </c>
      <c r="F9" s="36">
        <f>'SER_se-appl'!F30</f>
        <v>1.201898155200336</v>
      </c>
      <c r="G9" s="36">
        <f>'SER_se-appl'!G30</f>
        <v>1.2349195586761414</v>
      </c>
      <c r="H9" s="36">
        <f>'SER_se-appl'!H30</f>
        <v>1.3701095951708195</v>
      </c>
      <c r="I9" s="36">
        <f>'SER_se-appl'!I30</f>
        <v>1.574573996642167</v>
      </c>
      <c r="J9" s="36">
        <f>'SER_se-appl'!J30</f>
        <v>1.4322927928071598</v>
      </c>
      <c r="K9" s="36">
        <f>'SER_se-appl'!K30</f>
        <v>1.5250507388653558</v>
      </c>
      <c r="L9" s="36">
        <f>'SER_se-appl'!L30</f>
        <v>1.5307651309294474</v>
      </c>
      <c r="M9" s="36">
        <f>'SER_se-appl'!M30</f>
        <v>1.6973482429843489</v>
      </c>
      <c r="N9" s="36">
        <f>'SER_se-appl'!N30</f>
        <v>1.6655828455954795</v>
      </c>
      <c r="O9" s="36">
        <f>'SER_se-appl'!O30</f>
        <v>1.9823925155797397</v>
      </c>
      <c r="P9" s="36">
        <f>'SER_se-appl'!P30</f>
        <v>2.1922144635825447</v>
      </c>
      <c r="Q9" s="36">
        <f>'SER_se-appl'!Q30</f>
        <v>2.4467454262580102</v>
      </c>
      <c r="R9" s="36">
        <f>'SER_se-appl'!R30</f>
        <v>1.9508451752863643</v>
      </c>
      <c r="S9" s="36">
        <f>'SER_se-appl'!S30</f>
        <v>2.115296120284885</v>
      </c>
      <c r="T9" s="36">
        <f>'SER_se-appl'!T30</f>
        <v>2.1039230016088695</v>
      </c>
      <c r="U9" s="36">
        <f>'SER_se-appl'!U30</f>
        <v>2.4012157954879054</v>
      </c>
      <c r="V9" s="36">
        <f>'SER_se-appl'!V30</f>
        <v>2.5661482252895542</v>
      </c>
      <c r="W9" s="36">
        <f>'SER_se-appl'!W30</f>
        <v>2.725103596715611</v>
      </c>
      <c r="X9" s="36">
        <f>'SER_se-appl'!X30</f>
        <v>2.1562743996011466</v>
      </c>
      <c r="Y9" s="36">
        <f>'SER_se-appl'!Y30</f>
        <v>2.2750003655990678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0.79352561569871671</v>
      </c>
      <c r="D10" s="38">
        <f>'SER_se-appl'!D38</f>
        <v>0.81414010353192623</v>
      </c>
      <c r="E10" s="38">
        <f>'SER_se-appl'!E38</f>
        <v>0.83529012178812234</v>
      </c>
      <c r="F10" s="38">
        <f>'SER_se-appl'!F38</f>
        <v>0.85698958266518588</v>
      </c>
      <c r="G10" s="38">
        <f>'SER_se-appl'!G38</f>
        <v>0.87925275977697126</v>
      </c>
      <c r="H10" s="38">
        <f>'SER_se-appl'!H38</f>
        <v>0.90209429754230008</v>
      </c>
      <c r="I10" s="38">
        <f>'SER_se-appl'!I38</f>
        <v>1.0581195066806748</v>
      </c>
      <c r="J10" s="38">
        <f>'SER_se-appl'!J38</f>
        <v>1.1009860403274789</v>
      </c>
      <c r="K10" s="38">
        <f>'SER_se-appl'!K38</f>
        <v>1.2095713893933446</v>
      </c>
      <c r="L10" s="38">
        <f>'SER_se-appl'!L38</f>
        <v>1.201898155200336</v>
      </c>
      <c r="M10" s="38">
        <f>'SER_se-appl'!M38</f>
        <v>1.2349195586761414</v>
      </c>
      <c r="N10" s="38">
        <f>'SER_se-appl'!N38</f>
        <v>1.3701095951708204</v>
      </c>
      <c r="O10" s="38">
        <f>'SER_se-appl'!O38</f>
        <v>1.574573996642167</v>
      </c>
      <c r="P10" s="38">
        <f>'SER_se-appl'!P38</f>
        <v>1.4322927928071589</v>
      </c>
      <c r="Q10" s="38">
        <f>'SER_se-appl'!Q38</f>
        <v>1.5250507388653567</v>
      </c>
      <c r="R10" s="38">
        <f>'SER_se-appl'!R38</f>
        <v>1.5307651309294474</v>
      </c>
      <c r="S10" s="38">
        <f>'SER_se-appl'!S38</f>
        <v>1.6973482429843489</v>
      </c>
      <c r="T10" s="38">
        <f>'SER_se-appl'!T38</f>
        <v>1.6655828455954786</v>
      </c>
      <c r="U10" s="38">
        <f>'SER_se-appl'!U38</f>
        <v>1.9823925155797397</v>
      </c>
      <c r="V10" s="38">
        <f>'SER_se-appl'!V38</f>
        <v>2.1922144635825447</v>
      </c>
      <c r="W10" s="38">
        <f>'SER_se-appl'!W38</f>
        <v>2.4467454262580119</v>
      </c>
      <c r="X10" s="38">
        <f>'SER_se-appl'!X38</f>
        <v>1.9508451752863625</v>
      </c>
      <c r="Y10" s="38">
        <f>'SER_se-appl'!Y38</f>
        <v>2.115296120284885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2232.2216633472431</v>
      </c>
      <c r="C12" s="204">
        <f>'SER_se-appl'!C46</f>
        <v>2246.3919939667703</v>
      </c>
      <c r="D12" s="204">
        <f>'SER_se-appl'!D46</f>
        <v>2261.6271927096718</v>
      </c>
      <c r="E12" s="204">
        <f>'SER_se-appl'!E46</f>
        <v>2277.4162628761928</v>
      </c>
      <c r="F12" s="204">
        <f>'SER_se-appl'!F46</f>
        <v>2291.072120639988</v>
      </c>
      <c r="G12" s="204">
        <f>'SER_se-appl'!G46</f>
        <v>2301.9095270609905</v>
      </c>
      <c r="H12" s="204">
        <f>'SER_se-appl'!H46</f>
        <v>2313.1453997978583</v>
      </c>
      <c r="I12" s="204">
        <f>'SER_se-appl'!I46</f>
        <v>2320.8315011899977</v>
      </c>
      <c r="J12" s="204">
        <f>'SER_se-appl'!J46</f>
        <v>2330.4227965214404</v>
      </c>
      <c r="K12" s="204">
        <f>'SER_se-appl'!K46</f>
        <v>2333.9595035741077</v>
      </c>
      <c r="L12" s="204">
        <f>'SER_se-appl'!L46</f>
        <v>2336.6578666819223</v>
      </c>
      <c r="M12" s="204">
        <f>'SER_se-appl'!M46</f>
        <v>2344.4868261735078</v>
      </c>
      <c r="N12" s="204">
        <f>'SER_se-appl'!N46</f>
        <v>2353.577761498731</v>
      </c>
      <c r="O12" s="204">
        <f>'SER_se-appl'!O46</f>
        <v>2360.4332463763481</v>
      </c>
      <c r="P12" s="204">
        <f>'SER_se-appl'!P46</f>
        <v>2369.6945579944622</v>
      </c>
      <c r="Q12" s="204">
        <f>'SER_se-appl'!Q46</f>
        <v>2378.3688598026247</v>
      </c>
      <c r="R12" s="204">
        <f>'SER_se-appl'!R46</f>
        <v>2346.9348443732702</v>
      </c>
      <c r="S12" s="204">
        <f>'SER_se-appl'!S46</f>
        <v>2320.2777040536907</v>
      </c>
      <c r="T12" s="204">
        <f>'SER_se-appl'!T46</f>
        <v>2312.4922462693644</v>
      </c>
      <c r="U12" s="204">
        <f>'SER_se-appl'!U46</f>
        <v>2357.9668548548761</v>
      </c>
      <c r="V12" s="204">
        <f>'SER_se-appl'!V46</f>
        <v>2053.0310856944211</v>
      </c>
      <c r="W12" s="204">
        <f>'SER_se-appl'!W46</f>
        <v>2264.9476164715229</v>
      </c>
      <c r="X12" s="204">
        <f>'SER_se-appl'!X46</f>
        <v>2312.5670538245713</v>
      </c>
      <c r="Y12" s="204">
        <f>'SER_se-appl'!Y46</f>
        <v>2336.3767725010953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50.983558494281674</v>
      </c>
      <c r="C14" s="59">
        <f>'SER_se-appl'!C54</f>
        <v>50.359053009537504</v>
      </c>
      <c r="D14" s="59">
        <f>'SER_se-appl'!D54</f>
        <v>49.436720081395229</v>
      </c>
      <c r="E14" s="59">
        <f>'SER_se-appl'!E54</f>
        <v>48.347055215838566</v>
      </c>
      <c r="F14" s="59">
        <f>'SER_se-appl'!F54</f>
        <v>47.126974558646083</v>
      </c>
      <c r="G14" s="59">
        <f>'SER_se-appl'!G54</f>
        <v>45.786965198480999</v>
      </c>
      <c r="H14" s="59">
        <f>'SER_se-appl'!H54</f>
        <v>44.28175823527495</v>
      </c>
      <c r="I14" s="59">
        <f>'SER_se-appl'!I54</f>
        <v>42.917515443254906</v>
      </c>
      <c r="J14" s="59">
        <f>'SER_se-appl'!J54</f>
        <v>41.707001530993985</v>
      </c>
      <c r="K14" s="59">
        <f>'SER_se-appl'!K54</f>
        <v>40.453965840991543</v>
      </c>
      <c r="L14" s="59">
        <f>'SER_se-appl'!L54</f>
        <v>39.207304875842532</v>
      </c>
      <c r="M14" s="59">
        <f>'SER_se-appl'!M54</f>
        <v>37.812477235196681</v>
      </c>
      <c r="N14" s="59">
        <f>'SER_se-appl'!N54</f>
        <v>36.368214252642701</v>
      </c>
      <c r="O14" s="59">
        <f>'SER_se-appl'!O54</f>
        <v>34.652303564996892</v>
      </c>
      <c r="P14" s="59">
        <f>'SER_se-appl'!P54</f>
        <v>32.893638791010723</v>
      </c>
      <c r="Q14" s="59">
        <f>'SER_se-appl'!Q54</f>
        <v>30.908290593360668</v>
      </c>
      <c r="R14" s="59">
        <f>'SER_se-appl'!R54</f>
        <v>28.994117295605495</v>
      </c>
      <c r="S14" s="59">
        <f>'SER_se-appl'!S54</f>
        <v>27.045836066955619</v>
      </c>
      <c r="T14" s="59">
        <f>'SER_se-appl'!T54</f>
        <v>25.085079164458747</v>
      </c>
      <c r="U14" s="59">
        <f>'SER_se-appl'!U54</f>
        <v>22.875687546091129</v>
      </c>
      <c r="V14" s="59">
        <f>'SER_se-appl'!V54</f>
        <v>20.666585314534135</v>
      </c>
      <c r="W14" s="59">
        <f>'SER_se-appl'!W54</f>
        <v>18.604754245912542</v>
      </c>
      <c r="X14" s="59">
        <f>'SER_se-appl'!X54</f>
        <v>17.347821192815992</v>
      </c>
      <c r="Y14" s="59">
        <f>'SER_se-appl'!Y54</f>
        <v>16.115326245455933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47.828399422886406</v>
      </c>
      <c r="D15" s="63">
        <f>'SER_se-appl'!D62</f>
        <v>46.102123900427806</v>
      </c>
      <c r="E15" s="63">
        <f>'SER_se-appl'!E62</f>
        <v>45.093385871532625</v>
      </c>
      <c r="F15" s="63">
        <f>'SER_se-appl'!F62</f>
        <v>43.778946444020363</v>
      </c>
      <c r="G15" s="63">
        <f>'SER_se-appl'!G62</f>
        <v>42.594436494790038</v>
      </c>
      <c r="H15" s="63">
        <f>'SER_se-appl'!H62</f>
        <v>41.32531313924558</v>
      </c>
      <c r="I15" s="63">
        <f>'SER_se-appl'!I62</f>
        <v>40.000558700578509</v>
      </c>
      <c r="J15" s="63">
        <f>'SER_se-appl'!J62</f>
        <v>38.584472561132173</v>
      </c>
      <c r="K15" s="63">
        <f>'SER_se-appl'!K62</f>
        <v>37.541371876253152</v>
      </c>
      <c r="L15" s="63">
        <f>'SER_se-appl'!L62</f>
        <v>36.005595686681964</v>
      </c>
      <c r="M15" s="63">
        <f>'SER_se-appl'!M62</f>
        <v>34.168776524307987</v>
      </c>
      <c r="N15" s="63">
        <f>'SER_se-appl'!N62</f>
        <v>32.528984511488972</v>
      </c>
      <c r="O15" s="63">
        <f>'SER_se-appl'!O62</f>
        <v>30.7417319487847</v>
      </c>
      <c r="P15" s="63">
        <f>'SER_se-appl'!P62</f>
        <v>28.723074782422508</v>
      </c>
      <c r="Q15" s="63">
        <f>'SER_se-appl'!Q62</f>
        <v>26.44697209312622</v>
      </c>
      <c r="R15" s="63">
        <f>'SER_se-appl'!R62</f>
        <v>23.197208291174896</v>
      </c>
      <c r="S15" s="63">
        <f>'SER_se-appl'!S62</f>
        <v>21.768619051959522</v>
      </c>
      <c r="T15" s="63">
        <f>'SER_se-appl'!T62</f>
        <v>19.465605901177838</v>
      </c>
      <c r="U15" s="63">
        <f>'SER_se-appl'!U62</f>
        <v>17.600167818768458</v>
      </c>
      <c r="V15" s="63">
        <f>'SER_se-appl'!V62</f>
        <v>16.176892250814948</v>
      </c>
      <c r="W15" s="63">
        <f>'SER_se-appl'!W62</f>
        <v>15.3680476382742</v>
      </c>
      <c r="X15" s="63">
        <f>'SER_se-appl'!X62</f>
        <v>14.559203025733451</v>
      </c>
      <c r="Y15" s="63">
        <f>'SER_se-appl'!Y62</f>
        <v>13.750358413192703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26.204719775556317</v>
      </c>
      <c r="C3" s="198">
        <f>'SER_se-appl'!C7</f>
        <v>29.11751229574319</v>
      </c>
      <c r="D3" s="198">
        <f>'SER_se-appl'!D7</f>
        <v>32.402367273482831</v>
      </c>
      <c r="E3" s="198">
        <f>'SER_se-appl'!E7</f>
        <v>35.253506442903948</v>
      </c>
      <c r="F3" s="198">
        <f>'SER_se-appl'!F7</f>
        <v>38.730812137459552</v>
      </c>
      <c r="G3" s="198">
        <f>'SER_se-appl'!G7</f>
        <v>41.756169462590819</v>
      </c>
      <c r="H3" s="198">
        <f>'SER_se-appl'!H7</f>
        <v>44.60398570362976</v>
      </c>
      <c r="I3" s="198">
        <f>'SER_se-appl'!I7</f>
        <v>46.747636389890417</v>
      </c>
      <c r="J3" s="198">
        <f>'SER_se-appl'!J7</f>
        <v>48.269414846505391</v>
      </c>
      <c r="K3" s="198">
        <f>'SER_se-appl'!K7</f>
        <v>48.943795456153211</v>
      </c>
      <c r="L3" s="198">
        <f>'SER_se-appl'!L7</f>
        <v>49.448304240010657</v>
      </c>
      <c r="M3" s="198">
        <f>'SER_se-appl'!M7</f>
        <v>49.157529566594789</v>
      </c>
      <c r="N3" s="198">
        <f>'SER_se-appl'!N7</f>
        <v>49.006380668578181</v>
      </c>
      <c r="O3" s="198">
        <f>'SER_se-appl'!O7</f>
        <v>48.995000870264739</v>
      </c>
      <c r="P3" s="198">
        <f>'SER_se-appl'!P7</f>
        <v>49.171528465342199</v>
      </c>
      <c r="Q3" s="198">
        <f>'SER_se-appl'!Q7</f>
        <v>49.489713389521235</v>
      </c>
      <c r="R3" s="198">
        <f>'SER_se-appl'!R7</f>
        <v>48.967376015530142</v>
      </c>
      <c r="S3" s="198">
        <f>'SER_se-appl'!S7</f>
        <v>48.591649067171375</v>
      </c>
      <c r="T3" s="198">
        <f>'SER_se-appl'!T7</f>
        <v>48.43520123509407</v>
      </c>
      <c r="U3" s="198">
        <f>'SER_se-appl'!U7</f>
        <v>48.455467738170583</v>
      </c>
      <c r="V3" s="198">
        <f>'SER_se-appl'!V7</f>
        <v>48.475136415747158</v>
      </c>
      <c r="W3" s="198">
        <f>'SER_se-appl'!W7</f>
        <v>48.17429492091641</v>
      </c>
      <c r="X3" s="198">
        <f>'SER_se-appl'!X7</f>
        <v>47.614210303114142</v>
      </c>
      <c r="Y3" s="198">
        <f>'SER_se-appl'!Y7</f>
        <v>47.109211878819323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34.790056049054797</v>
      </c>
      <c r="C5" s="59">
        <f>'SER_se-appl'!C15</f>
        <v>38.657153881220708</v>
      </c>
      <c r="D5" s="59">
        <f>'SER_se-appl'!D15</f>
        <v>43.0182113459595</v>
      </c>
      <c r="E5" s="59">
        <f>'SER_se-appl'!E15</f>
        <v>46.803456613124759</v>
      </c>
      <c r="F5" s="59">
        <f>'SER_se-appl'!F15</f>
        <v>51.420016570622643</v>
      </c>
      <c r="G5" s="59">
        <f>'SER_se-appl'!G15</f>
        <v>55.436558316202195</v>
      </c>
      <c r="H5" s="59">
        <f>'SER_se-appl'!H15</f>
        <v>59.217391978677419</v>
      </c>
      <c r="I5" s="59">
        <f>'SER_se-appl'!I15</f>
        <v>62.063357444569156</v>
      </c>
      <c r="J5" s="59">
        <f>'SER_se-appl'!J15</f>
        <v>64.083709436627558</v>
      </c>
      <c r="K5" s="59">
        <f>'SER_se-appl'!K15</f>
        <v>64.979034378431706</v>
      </c>
      <c r="L5" s="59">
        <f>'SER_se-appl'!L15</f>
        <v>65.648833140562104</v>
      </c>
      <c r="M5" s="59">
        <f>'SER_se-appl'!M15</f>
        <v>65.26279324880106</v>
      </c>
      <c r="N5" s="59">
        <f>'SER_se-appl'!N15</f>
        <v>65.062124106799558</v>
      </c>
      <c r="O5" s="59">
        <f>'SER_se-appl'!O15</f>
        <v>65.047015995568387</v>
      </c>
      <c r="P5" s="59">
        <f>'SER_se-appl'!P15</f>
        <v>65.281378544740861</v>
      </c>
      <c r="Q5" s="59">
        <f>'SER_se-appl'!Q15</f>
        <v>65.70380898631646</v>
      </c>
      <c r="R5" s="59">
        <f>'SER_se-appl'!R15</f>
        <v>65.010340532033752</v>
      </c>
      <c r="S5" s="59">
        <f>'SER_se-appl'!S15</f>
        <v>64.511515827762935</v>
      </c>
      <c r="T5" s="59">
        <f>'SER_se-appl'!T15</f>
        <v>64.303811685404582</v>
      </c>
      <c r="U5" s="59">
        <f>'SER_se-appl'!U15</f>
        <v>64.330718013119181</v>
      </c>
      <c r="V5" s="59">
        <f>'SER_se-appl'!V15</f>
        <v>64.356830652413194</v>
      </c>
      <c r="W5" s="59">
        <f>'SER_se-appl'!W15</f>
        <v>63.957425791125324</v>
      </c>
      <c r="X5" s="59">
        <f>'SER_se-appl'!X15</f>
        <v>63.213843130732592</v>
      </c>
      <c r="Y5" s="59">
        <f>'SER_se-appl'!Y15</f>
        <v>62.543394309437069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1.0806005984494771E-2</v>
      </c>
      <c r="C6" s="201">
        <f>'SER_se-appl'!C71</f>
        <v>1.2815979397999614E-2</v>
      </c>
      <c r="D6" s="201">
        <f>'SER_se-appl'!D71</f>
        <v>1.4530761858862401E-2</v>
      </c>
      <c r="E6" s="201">
        <f>'SER_se-appl'!E71</f>
        <v>1.6124191220172224E-2</v>
      </c>
      <c r="F6" s="201">
        <f>'SER_se-appl'!F71</f>
        <v>1.8086323984671138E-2</v>
      </c>
      <c r="G6" s="201">
        <f>'SER_se-appl'!G71</f>
        <v>1.9863831098483237E-2</v>
      </c>
      <c r="H6" s="201">
        <f>'SER_se-appl'!H71</f>
        <v>2.1624688764664755E-2</v>
      </c>
      <c r="I6" s="201">
        <f>'SER_se-appl'!I71</f>
        <v>2.3092629948771492E-2</v>
      </c>
      <c r="J6" s="201">
        <f>'SER_se-appl'!J71</f>
        <v>2.4311388773016505E-2</v>
      </c>
      <c r="K6" s="201">
        <f>'SER_se-appl'!K71</f>
        <v>2.5136761943663558E-2</v>
      </c>
      <c r="L6" s="201">
        <f>'SER_se-appl'!L71</f>
        <v>2.5967192917104601E-2</v>
      </c>
      <c r="M6" s="201">
        <f>'SER_se-appl'!M71</f>
        <v>2.6624565058131218E-2</v>
      </c>
      <c r="N6" s="201">
        <f>'SER_se-appl'!N71</f>
        <v>2.7450274336412998E-2</v>
      </c>
      <c r="O6" s="201">
        <f>'SER_se-appl'!O71</f>
        <v>2.8425592533578684E-2</v>
      </c>
      <c r="P6" s="201">
        <f>'SER_se-appl'!P71</f>
        <v>2.9696865455870476E-2</v>
      </c>
      <c r="Q6" s="201">
        <f>'SER_se-appl'!Q71</f>
        <v>3.1037377314079333E-2</v>
      </c>
      <c r="R6" s="201">
        <f>'SER_se-appl'!R71</f>
        <v>3.1855235512540374E-2</v>
      </c>
      <c r="S6" s="201">
        <f>'SER_se-appl'!S71</f>
        <v>3.2700461778465376E-2</v>
      </c>
      <c r="T6" s="201">
        <f>'SER_se-appl'!T71</f>
        <v>3.3726069739302318E-2</v>
      </c>
      <c r="U6" s="201">
        <f>'SER_se-appl'!U71</f>
        <v>3.4610702693271947E-2</v>
      </c>
      <c r="V6" s="201">
        <f>'SER_se-appl'!V71</f>
        <v>3.5380898709954318E-2</v>
      </c>
      <c r="W6" s="201">
        <f>'SER_se-appl'!W71</f>
        <v>3.6144594643216607E-2</v>
      </c>
      <c r="X6" s="201">
        <f>'SER_se-appl'!X71</f>
        <v>3.668896896691156E-2</v>
      </c>
      <c r="Y6" s="201">
        <f>'SER_se-appl'!Y71</f>
        <v>3.7074901986129012E-2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48.602551326671588</v>
      </c>
      <c r="C8" s="34">
        <f>'SER_se-appl'!C23</f>
        <v>55.049834802043932</v>
      </c>
      <c r="D8" s="34">
        <f>'SER_se-appl'!D23</f>
        <v>62.562107998760915</v>
      </c>
      <c r="E8" s="34">
        <f>'SER_se-appl'!E23</f>
        <v>69.420834892269966</v>
      </c>
      <c r="F8" s="34">
        <f>'SER_se-appl'!F23</f>
        <v>77.874737338898129</v>
      </c>
      <c r="G8" s="34">
        <f>'SER_se-appl'!G23</f>
        <v>85.630214793038562</v>
      </c>
      <c r="H8" s="34">
        <f>'SER_se-appl'!H23</f>
        <v>93.256189176662815</v>
      </c>
      <c r="I8" s="34">
        <f>'SER_se-appl'!I23</f>
        <v>99.610752062924291</v>
      </c>
      <c r="J8" s="34">
        <f>'SER_se-appl'!J23</f>
        <v>104.82990611341766</v>
      </c>
      <c r="K8" s="34">
        <f>'SER_se-appl'!K23</f>
        <v>108.33431607775343</v>
      </c>
      <c r="L8" s="34">
        <f>'SER_se-appl'!L23</f>
        <v>111.73285814178477</v>
      </c>
      <c r="M8" s="34">
        <f>'SER_se-appl'!M23</f>
        <v>114.2155767865796</v>
      </c>
      <c r="N8" s="34">
        <f>'SER_se-appl'!N23</f>
        <v>117.37693385811259</v>
      </c>
      <c r="O8" s="34">
        <f>'SER_se-appl'!O23</f>
        <v>120.74631724091314</v>
      </c>
      <c r="P8" s="34">
        <f>'SER_se-appl'!P23</f>
        <v>125.25045004637391</v>
      </c>
      <c r="Q8" s="34">
        <f>'SER_se-appl'!Q23</f>
        <v>129.76463637309399</v>
      </c>
      <c r="R8" s="34">
        <f>'SER_se-appl'!R23</f>
        <v>131.59764125438824</v>
      </c>
      <c r="S8" s="34">
        <f>'SER_se-appl'!S23</f>
        <v>133.37762978768944</v>
      </c>
      <c r="T8" s="34">
        <f>'SER_se-appl'!T23</f>
        <v>135.38794452334062</v>
      </c>
      <c r="U8" s="34">
        <f>'SER_se-appl'!U23</f>
        <v>137.35866512192374</v>
      </c>
      <c r="V8" s="34">
        <f>'SER_se-appl'!V23</f>
        <v>139.17115426549111</v>
      </c>
      <c r="W8" s="34">
        <f>'SER_se-appl'!W23</f>
        <v>140.71184670550298</v>
      </c>
      <c r="X8" s="34">
        <f>'SER_se-appl'!X23</f>
        <v>141.70398828574736</v>
      </c>
      <c r="Y8" s="34">
        <f>'SER_se-appl'!Y23</f>
        <v>142.77151760897229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10.864434123559782</v>
      </c>
      <c r="D9" s="36">
        <f>'SER_se-appl'!D31</f>
        <v>12.022467524186524</v>
      </c>
      <c r="E9" s="36">
        <f>'SER_se-appl'!E31</f>
        <v>11.463924789552209</v>
      </c>
      <c r="F9" s="36">
        <f>'SER_se-appl'!F31</f>
        <v>13.156105084007436</v>
      </c>
      <c r="G9" s="36">
        <f>'SER_se-appl'!G31</f>
        <v>12.556728158691996</v>
      </c>
      <c r="H9" s="36">
        <f>'SER_se-appl'!H31</f>
        <v>12.528359522178107</v>
      </c>
      <c r="I9" s="36">
        <f>'SER_se-appl'!I31</f>
        <v>11.360212773264905</v>
      </c>
      <c r="J9" s="36">
        <f>'SER_se-appl'!J31</f>
        <v>10.330243873731703</v>
      </c>
      <c r="K9" s="36">
        <f>'SER_se-appl'!K31</f>
        <v>8.7231607301526708</v>
      </c>
      <c r="L9" s="36">
        <f>'SER_se-appl'!L31</f>
        <v>8.7272215624594338</v>
      </c>
      <c r="M9" s="36">
        <f>'SER_se-appl'!M31</f>
        <v>13.347152768354604</v>
      </c>
      <c r="N9" s="36">
        <f>'SER_se-appl'!N31</f>
        <v>15.183824595719514</v>
      </c>
      <c r="O9" s="36">
        <f>'SER_se-appl'!O31</f>
        <v>14.833308172352758</v>
      </c>
      <c r="P9" s="36">
        <f>'SER_se-appl'!P31</f>
        <v>17.660237889468206</v>
      </c>
      <c r="Q9" s="36">
        <f>'SER_se-appl'!Q31</f>
        <v>17.070914485412075</v>
      </c>
      <c r="R9" s="36">
        <f>'SER_se-appl'!R31</f>
        <v>14.361364403472351</v>
      </c>
      <c r="S9" s="36">
        <f>'SER_se-appl'!S31</f>
        <v>13.140201306566112</v>
      </c>
      <c r="T9" s="36">
        <f>'SER_se-appl'!T31</f>
        <v>12.340558609382882</v>
      </c>
      <c r="U9" s="36">
        <f>'SER_se-appl'!U31</f>
        <v>10.693881328735785</v>
      </c>
      <c r="V9" s="36">
        <f>'SER_se-appl'!V31</f>
        <v>10.539710706026824</v>
      </c>
      <c r="W9" s="36">
        <f>'SER_se-appl'!W31</f>
        <v>14.887845208366471</v>
      </c>
      <c r="X9" s="36">
        <f>'SER_se-appl'!X31</f>
        <v>16.175966175963893</v>
      </c>
      <c r="Y9" s="36">
        <f>'SER_se-appl'!Y31</f>
        <v>15.90083749557769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4.4171506481874374</v>
      </c>
      <c r="D10" s="38">
        <f>'SER_se-appl'!D39</f>
        <v>4.5101943274695415</v>
      </c>
      <c r="E10" s="38">
        <f>'SER_se-appl'!E39</f>
        <v>4.6051978960431654</v>
      </c>
      <c r="F10" s="38">
        <f>'SER_se-appl'!F39</f>
        <v>4.7022026373792727</v>
      </c>
      <c r="G10" s="38">
        <f>'SER_se-appl'!G39</f>
        <v>4.8012507045515633</v>
      </c>
      <c r="H10" s="38">
        <f>'SER_se-appl'!H39</f>
        <v>4.9023851385538535</v>
      </c>
      <c r="I10" s="38">
        <f>'SER_se-appl'!I39</f>
        <v>5.0056498870034289</v>
      </c>
      <c r="J10" s="38">
        <f>'SER_se-appl'!J39</f>
        <v>5.1110898232383306</v>
      </c>
      <c r="K10" s="38">
        <f>'SER_se-appl'!K39</f>
        <v>5.2187507658169068</v>
      </c>
      <c r="L10" s="38">
        <f>'SER_se-appl'!L39</f>
        <v>5.3286794984280874</v>
      </c>
      <c r="M10" s="38">
        <f>'SER_se-appl'!M39</f>
        <v>10.864434123559775</v>
      </c>
      <c r="N10" s="38">
        <f>'SER_se-appl'!N39</f>
        <v>12.022467524186524</v>
      </c>
      <c r="O10" s="38">
        <f>'SER_se-appl'!O39</f>
        <v>11.463924789552195</v>
      </c>
      <c r="P10" s="38">
        <f>'SER_se-appl'!P39</f>
        <v>13.156105084007436</v>
      </c>
      <c r="Q10" s="38">
        <f>'SER_se-appl'!Q39</f>
        <v>12.55672815869201</v>
      </c>
      <c r="R10" s="38">
        <f>'SER_se-appl'!R39</f>
        <v>12.528359522178107</v>
      </c>
      <c r="S10" s="38">
        <f>'SER_se-appl'!S39</f>
        <v>11.360212773264891</v>
      </c>
      <c r="T10" s="38">
        <f>'SER_se-appl'!T39</f>
        <v>10.330243873731689</v>
      </c>
      <c r="U10" s="38">
        <f>'SER_se-appl'!U39</f>
        <v>8.7231607301526708</v>
      </c>
      <c r="V10" s="38">
        <f>'SER_se-appl'!V39</f>
        <v>8.727221562459448</v>
      </c>
      <c r="W10" s="38">
        <f>'SER_se-appl'!W39</f>
        <v>13.34715276835459</v>
      </c>
      <c r="X10" s="38">
        <f>'SER_se-appl'!X39</f>
        <v>15.1838245957195</v>
      </c>
      <c r="Y10" s="38">
        <f>'SER_se-appl'!Y39</f>
        <v>14.833308172352758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8759.9999999999982</v>
      </c>
      <c r="C12" s="204">
        <f>'SER_se-appl'!C47</f>
        <v>8759.9999999999982</v>
      </c>
      <c r="D12" s="204">
        <f>'SER_se-appl'!D47</f>
        <v>8760.0000000000018</v>
      </c>
      <c r="E12" s="204">
        <f>'SER_se-appl'!E47</f>
        <v>8760</v>
      </c>
      <c r="F12" s="204">
        <f>'SER_se-appl'!F47</f>
        <v>8760.0000000000036</v>
      </c>
      <c r="G12" s="204">
        <f>'SER_se-appl'!G47</f>
        <v>8760</v>
      </c>
      <c r="H12" s="204">
        <f>'SER_se-appl'!H47</f>
        <v>8759.9999999999982</v>
      </c>
      <c r="I12" s="204">
        <f>'SER_se-appl'!I47</f>
        <v>8759.9999999999964</v>
      </c>
      <c r="J12" s="204">
        <f>'SER_se-appl'!J47</f>
        <v>8760.0000000000036</v>
      </c>
      <c r="K12" s="204">
        <f>'SER_se-appl'!K47</f>
        <v>8760.0000000000018</v>
      </c>
      <c r="L12" s="204">
        <f>'SER_se-appl'!L47</f>
        <v>8759.9999999999982</v>
      </c>
      <c r="M12" s="204">
        <f>'SER_se-appl'!M47</f>
        <v>8760.0000000000018</v>
      </c>
      <c r="N12" s="204">
        <f>'SER_se-appl'!N47</f>
        <v>8760.0000000000018</v>
      </c>
      <c r="O12" s="204">
        <f>'SER_se-appl'!O47</f>
        <v>8759.9999999999982</v>
      </c>
      <c r="P12" s="204">
        <f>'SER_se-appl'!P47</f>
        <v>8759.9999999999982</v>
      </c>
      <c r="Q12" s="204">
        <f>'SER_se-appl'!Q47</f>
        <v>8759.9999999999964</v>
      </c>
      <c r="R12" s="204">
        <f>'SER_se-appl'!R47</f>
        <v>8759.9999999999982</v>
      </c>
      <c r="S12" s="204">
        <f>'SER_se-appl'!S47</f>
        <v>8759.9999999999964</v>
      </c>
      <c r="T12" s="204">
        <f>'SER_se-appl'!T47</f>
        <v>8759.9999999999982</v>
      </c>
      <c r="U12" s="204">
        <f>'SER_se-appl'!U47</f>
        <v>8759.9999999999982</v>
      </c>
      <c r="V12" s="204">
        <f>'SER_se-appl'!V47</f>
        <v>8759.9999999999982</v>
      </c>
      <c r="W12" s="204">
        <f>'SER_se-appl'!W47</f>
        <v>8760</v>
      </c>
      <c r="X12" s="204">
        <f>'SER_se-appl'!X47</f>
        <v>8760</v>
      </c>
      <c r="Y12" s="204">
        <f>'SER_se-appl'!Y47</f>
        <v>8760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715.80719734692366</v>
      </c>
      <c r="C14" s="59">
        <f>'SER_se-appl'!C55</f>
        <v>702.22106969493416</v>
      </c>
      <c r="D14" s="59">
        <f>'SER_se-appl'!D55</f>
        <v>687.60808614075961</v>
      </c>
      <c r="E14" s="59">
        <f>'SER_se-appl'!E55</f>
        <v>674.19898774994908</v>
      </c>
      <c r="F14" s="59">
        <f>'SER_se-appl'!F55</f>
        <v>660.29136441065771</v>
      </c>
      <c r="G14" s="59">
        <f>'SER_se-appl'!G55</f>
        <v>647.39482961928752</v>
      </c>
      <c r="H14" s="59">
        <f>'SER_se-appl'!H55</f>
        <v>634.99691014069936</v>
      </c>
      <c r="I14" s="59">
        <f>'SER_se-appl'!I55</f>
        <v>623.05881804168712</v>
      </c>
      <c r="J14" s="59">
        <f>'SER_se-appl'!J55</f>
        <v>611.31133101744888</v>
      </c>
      <c r="K14" s="59">
        <f>'SER_se-appl'!K55</f>
        <v>599.8010300983035</v>
      </c>
      <c r="L14" s="59">
        <f>'SER_se-appl'!L55</f>
        <v>587.55172142160916</v>
      </c>
      <c r="M14" s="59">
        <f>'SER_se-appl'!M55</f>
        <v>571.40011095640216</v>
      </c>
      <c r="N14" s="59">
        <f>'SER_se-appl'!N55</f>
        <v>554.30076394266575</v>
      </c>
      <c r="O14" s="59">
        <f>'SER_se-appl'!O55</f>
        <v>538.70807393476468</v>
      </c>
      <c r="P14" s="59">
        <f>'SER_se-appl'!P55</f>
        <v>521.20673834361844</v>
      </c>
      <c r="Q14" s="59">
        <f>'SER_se-appl'!Q55</f>
        <v>506.33062152162586</v>
      </c>
      <c r="R14" s="59">
        <f>'SER_se-appl'!R55</f>
        <v>494.00840252420505</v>
      </c>
      <c r="S14" s="59">
        <f>'SER_se-appl'!S55</f>
        <v>483.67568032549678</v>
      </c>
      <c r="T14" s="59">
        <f>'SER_se-appl'!T55</f>
        <v>474.95965694581275</v>
      </c>
      <c r="U14" s="59">
        <f>'SER_se-appl'!U55</f>
        <v>468.34117058444963</v>
      </c>
      <c r="V14" s="59">
        <f>'SER_se-appl'!V55</f>
        <v>462.4293805140274</v>
      </c>
      <c r="W14" s="59">
        <f>'SER_se-appl'!W55</f>
        <v>454.52765554973041</v>
      </c>
      <c r="X14" s="59">
        <f>'SER_se-appl'!X55</f>
        <v>446.0978402616397</v>
      </c>
      <c r="Y14" s="59">
        <f>'SER_se-appl'!Y55</f>
        <v>438.06632693177039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646.96660479184266</v>
      </c>
      <c r="D15" s="63">
        <f>'SER_se-appl'!D63</f>
        <v>631.27531935573211</v>
      </c>
      <c r="E15" s="63">
        <f>'SER_se-appl'!E63</f>
        <v>617.73600196800328</v>
      </c>
      <c r="F15" s="63">
        <f>'SER_se-appl'!F63</f>
        <v>606.74723998830643</v>
      </c>
      <c r="G15" s="63">
        <f>'SER_se-appl'!G63</f>
        <v>593.57114862801564</v>
      </c>
      <c r="H15" s="63">
        <f>'SER_se-appl'!H63</f>
        <v>581.87955222019957</v>
      </c>
      <c r="I15" s="63">
        <f>'SER_se-appl'!I63</f>
        <v>565.92652010336485</v>
      </c>
      <c r="J15" s="63">
        <f>'SER_se-appl'!J63</f>
        <v>549.73599299622026</v>
      </c>
      <c r="K15" s="63">
        <f>'SER_se-appl'!K63</f>
        <v>530.8791668974111</v>
      </c>
      <c r="L15" s="63">
        <f>'SER_se-appl'!L63</f>
        <v>513.80681324155</v>
      </c>
      <c r="M15" s="63">
        <f>'SER_se-appl'!M63</f>
        <v>497.7006168606228</v>
      </c>
      <c r="N15" s="63">
        <f>'SER_se-appl'!N63</f>
        <v>486.62429134331893</v>
      </c>
      <c r="O15" s="63">
        <f>'SER_se-appl'!O63</f>
        <v>476.39885000837614</v>
      </c>
      <c r="P15" s="63">
        <f>'SER_se-appl'!P63</f>
        <v>465.27079925634786</v>
      </c>
      <c r="Q15" s="63">
        <f>'SER_se-appl'!Q63</f>
        <v>461.35442857911067</v>
      </c>
      <c r="R15" s="63">
        <f>'SER_se-appl'!R63</f>
        <v>459.32458708039115</v>
      </c>
      <c r="S15" s="63">
        <f>'SER_se-appl'!S63</f>
        <v>451.30366268996704</v>
      </c>
      <c r="T15" s="63">
        <f>'SER_se-appl'!T63</f>
        <v>443.35130237141482</v>
      </c>
      <c r="U15" s="63">
        <f>'SER_se-appl'!U63</f>
        <v>435.56221409845119</v>
      </c>
      <c r="V15" s="63">
        <f>'SER_se-appl'!V63</f>
        <v>427.92621776375796</v>
      </c>
      <c r="W15" s="63">
        <f>'SER_se-appl'!W63</f>
        <v>419.36769340848281</v>
      </c>
      <c r="X15" s="63">
        <f>'SER_se-appl'!X63</f>
        <v>410.80916905320765</v>
      </c>
      <c r="Y15" s="63">
        <f>'SER_se-appl'!Y63</f>
        <v>402.25064469793244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7.9416091829753093</v>
      </c>
      <c r="C3" s="198">
        <f>'SER_se-appl'!C8</f>
        <v>9.3667190055608174</v>
      </c>
      <c r="D3" s="198">
        <f>'SER_se-appl'!D8</f>
        <v>10.991898118793026</v>
      </c>
      <c r="E3" s="198">
        <f>'SER_se-appl'!E8</f>
        <v>13.283600077571426</v>
      </c>
      <c r="F3" s="198">
        <f>'SER_se-appl'!F8</f>
        <v>15.567386045193862</v>
      </c>
      <c r="G3" s="198">
        <f>'SER_se-appl'!G8</f>
        <v>18.180300798840435</v>
      </c>
      <c r="H3" s="198">
        <f>'SER_se-appl'!H8</f>
        <v>20.79636511842002</v>
      </c>
      <c r="I3" s="198">
        <f>'SER_se-appl'!I8</f>
        <v>23.19166333899982</v>
      </c>
      <c r="J3" s="198">
        <f>'SER_se-appl'!J8</f>
        <v>24.426569591537611</v>
      </c>
      <c r="K3" s="198">
        <f>'SER_se-appl'!K8</f>
        <v>25.273622170678429</v>
      </c>
      <c r="L3" s="198">
        <f>'SER_se-appl'!L8</f>
        <v>25.811935892747329</v>
      </c>
      <c r="M3" s="198">
        <f>'SER_se-appl'!M8</f>
        <v>26.305532852122852</v>
      </c>
      <c r="N3" s="198">
        <f>'SER_se-appl'!N8</f>
        <v>26.247851276117789</v>
      </c>
      <c r="O3" s="198">
        <f>'SER_se-appl'!O8</f>
        <v>26.222646937233943</v>
      </c>
      <c r="P3" s="198">
        <f>'SER_se-appl'!P8</f>
        <v>26.877445479359316</v>
      </c>
      <c r="Q3" s="198">
        <f>'SER_se-appl'!Q8</f>
        <v>27.521972477604599</v>
      </c>
      <c r="R3" s="198">
        <f>'SER_se-appl'!R8</f>
        <v>28.08591980988027</v>
      </c>
      <c r="S3" s="198">
        <f>'SER_se-appl'!S8</f>
        <v>28.09708688996378</v>
      </c>
      <c r="T3" s="198">
        <f>'SER_se-appl'!T8</f>
        <v>27.763067186770897</v>
      </c>
      <c r="U3" s="198">
        <f>'SER_se-appl'!U8</f>
        <v>27.826803423249409</v>
      </c>
      <c r="V3" s="198">
        <f>'SER_se-appl'!V8</f>
        <v>24.253152225748185</v>
      </c>
      <c r="W3" s="198">
        <f>'SER_se-appl'!W8</f>
        <v>26.739529925877843</v>
      </c>
      <c r="X3" s="198">
        <f>'SER_se-appl'!X8</f>
        <v>27.570630849406765</v>
      </c>
      <c r="Y3" s="198">
        <f>'SER_se-appl'!Y8</f>
        <v>28.165012378923585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100.30427732567888</v>
      </c>
      <c r="C5" s="59">
        <f>'SER_se-appl'!C16</f>
        <v>117.74129274775196</v>
      </c>
      <c r="D5" s="59">
        <f>'SER_se-appl'!D16</f>
        <v>137.57026512920481</v>
      </c>
      <c r="E5" s="59">
        <f>'SER_se-appl'!E16</f>
        <v>165.58826916044754</v>
      </c>
      <c r="F5" s="59">
        <f>'SER_se-appl'!F16</f>
        <v>193.33934179413907</v>
      </c>
      <c r="G5" s="59">
        <f>'SER_se-appl'!G16</f>
        <v>225.01291387818759</v>
      </c>
      <c r="H5" s="59">
        <f>'SER_se-appl'!H16</f>
        <v>256.56202617532284</v>
      </c>
      <c r="I5" s="59">
        <f>'SER_se-appl'!I16</f>
        <v>285.24654585358905</v>
      </c>
      <c r="J5" s="59">
        <f>'SER_se-appl'!J16</f>
        <v>299.57791712706529</v>
      </c>
      <c r="K5" s="59">
        <f>'SER_se-appl'!K16</f>
        <v>309.12971311643855</v>
      </c>
      <c r="L5" s="59">
        <f>'SER_se-appl'!L16</f>
        <v>314.90533636807305</v>
      </c>
      <c r="M5" s="59">
        <f>'SER_se-appl'!M16</f>
        <v>320.4057016999011</v>
      </c>
      <c r="N5" s="59">
        <f>'SER_se-appl'!N16</f>
        <v>319.20776167089252</v>
      </c>
      <c r="O5" s="59">
        <f>'SER_se-appl'!O16</f>
        <v>318.42907018994254</v>
      </c>
      <c r="P5" s="59">
        <f>'SER_se-appl'!P16</f>
        <v>325.91778275085375</v>
      </c>
      <c r="Q5" s="59">
        <f>'SER_se-appl'!Q16</f>
        <v>333.27954896719837</v>
      </c>
      <c r="R5" s="59">
        <f>'SER_se-appl'!R16</f>
        <v>338.46502705141017</v>
      </c>
      <c r="S5" s="59">
        <f>'SER_se-appl'!S16</f>
        <v>342.62447093530341</v>
      </c>
      <c r="T5" s="59">
        <f>'SER_se-appl'!T16</f>
        <v>344.91634309893368</v>
      </c>
      <c r="U5" s="59">
        <f>'SER_se-appl'!U16</f>
        <v>346.94806280292295</v>
      </c>
      <c r="V5" s="59">
        <f>'SER_se-appl'!V16</f>
        <v>347.3053795863824</v>
      </c>
      <c r="W5" s="59">
        <f>'SER_se-appl'!W16</f>
        <v>347.08388424116623</v>
      </c>
      <c r="X5" s="59">
        <f>'SER_se-appl'!X16</f>
        <v>346.4224360331163</v>
      </c>
      <c r="Y5" s="59">
        <f>'SER_se-appl'!Y16</f>
        <v>348.31895124496231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62.503808979266609</v>
      </c>
      <c r="C6" s="201">
        <f>'SER_se-appl'!C72</f>
        <v>71.408987973183102</v>
      </c>
      <c r="D6" s="201">
        <f>'SER_se-appl'!D72</f>
        <v>81.091436243701366</v>
      </c>
      <c r="E6" s="201">
        <f>'SER_se-appl'!E72</f>
        <v>93.792569925381358</v>
      </c>
      <c r="F6" s="201">
        <f>'SER_se-appl'!F72</f>
        <v>106.78694512330014</v>
      </c>
      <c r="G6" s="201">
        <f>'SER_se-appl'!G72</f>
        <v>121.37664616027151</v>
      </c>
      <c r="H6" s="201">
        <f>'SER_se-appl'!H72</f>
        <v>133.12409736330758</v>
      </c>
      <c r="I6" s="201">
        <f>'SER_se-appl'!I72</f>
        <v>142.35434417241694</v>
      </c>
      <c r="J6" s="201">
        <f>'SER_se-appl'!J72</f>
        <v>147.57315804945671</v>
      </c>
      <c r="K6" s="201">
        <f>'SER_se-appl'!K72</f>
        <v>151.28378315498492</v>
      </c>
      <c r="L6" s="201">
        <f>'SER_se-appl'!L72</f>
        <v>154.52381150580473</v>
      </c>
      <c r="M6" s="201">
        <f>'SER_se-appl'!M72</f>
        <v>156.81149142366172</v>
      </c>
      <c r="N6" s="201">
        <f>'SER_se-appl'!N72</f>
        <v>158.99046796444782</v>
      </c>
      <c r="O6" s="201">
        <f>'SER_se-appl'!O72</f>
        <v>160.21353271168434</v>
      </c>
      <c r="P6" s="201">
        <f>'SER_se-appl'!P72</f>
        <v>162.15372089568521</v>
      </c>
      <c r="Q6" s="201">
        <f>'SER_se-appl'!Q72</f>
        <v>163.89074676871897</v>
      </c>
      <c r="R6" s="201">
        <f>'SER_se-appl'!R72</f>
        <v>168.9424728377783</v>
      </c>
      <c r="S6" s="201">
        <f>'SER_se-appl'!S72</f>
        <v>174.0150161415973</v>
      </c>
      <c r="T6" s="201">
        <f>'SER_se-appl'!T72</f>
        <v>178.99828002027209</v>
      </c>
      <c r="U6" s="201">
        <f>'SER_se-appl'!U72</f>
        <v>183.82548932571106</v>
      </c>
      <c r="V6" s="201">
        <f>'SER_se-appl'!V72</f>
        <v>188.37235157842866</v>
      </c>
      <c r="W6" s="201">
        <f>'SER_se-appl'!W72</f>
        <v>192.5570471903838</v>
      </c>
      <c r="X6" s="201">
        <f>'SER_se-appl'!X72</f>
        <v>195.97163863620784</v>
      </c>
      <c r="Y6" s="201">
        <f>'SER_se-appl'!Y72</f>
        <v>198.74685692022396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1.9053634940194211</v>
      </c>
      <c r="C8" s="34">
        <f>'SER_se-appl'!C24</f>
        <v>2.2636437596458032</v>
      </c>
      <c r="D8" s="34">
        <f>'SER_se-appl'!D24</f>
        <v>2.6780705058283352</v>
      </c>
      <c r="E8" s="34">
        <f>'SER_se-appl'!E24</f>
        <v>3.2714212745835898</v>
      </c>
      <c r="F8" s="34">
        <f>'SER_se-appl'!F24</f>
        <v>3.8687280730084099</v>
      </c>
      <c r="G8" s="34">
        <f>'SER_se-appl'!G24</f>
        <v>4.5601983333762144</v>
      </c>
      <c r="H8" s="34">
        <f>'SER_se-appl'!H24</f>
        <v>5.2631441095899074</v>
      </c>
      <c r="I8" s="34">
        <f>'SER_se-appl'!I24</f>
        <v>5.9214261676624957</v>
      </c>
      <c r="J8" s="34">
        <f>'SER_se-appl'!J24</f>
        <v>6.2701127992409367</v>
      </c>
      <c r="K8" s="34">
        <f>'SER_se-appl'!K24</f>
        <v>6.5195172998463651</v>
      </c>
      <c r="L8" s="34">
        <f>'SER_se-appl'!L24</f>
        <v>6.6931819446999281</v>
      </c>
      <c r="M8" s="34">
        <f>'SER_se-appl'!M24</f>
        <v>6.8752266804879909</v>
      </c>
      <c r="N8" s="34">
        <f>'SER_se-appl'!N24</f>
        <v>6.9043453268760926</v>
      </c>
      <c r="O8" s="34">
        <f>'SER_se-appl'!O24</f>
        <v>6.9579098195658009</v>
      </c>
      <c r="P8" s="34">
        <f>'SER_se-appl'!P24</f>
        <v>7.2509515885250577</v>
      </c>
      <c r="Q8" s="34">
        <f>'SER_se-appl'!Q24</f>
        <v>7.5696890491921076</v>
      </c>
      <c r="R8" s="34">
        <f>'SER_se-appl'!R24</f>
        <v>7.8770649174240734</v>
      </c>
      <c r="S8" s="34">
        <f>'SER_se-appl'!S24</f>
        <v>8.1814010177105541</v>
      </c>
      <c r="T8" s="34">
        <f>'SER_se-appl'!T24</f>
        <v>8.5060090682010543</v>
      </c>
      <c r="U8" s="34">
        <f>'SER_se-appl'!U24</f>
        <v>8.8299868996237603</v>
      </c>
      <c r="V8" s="34">
        <f>'SER_se-appl'!V24</f>
        <v>9.1468172058550472</v>
      </c>
      <c r="W8" s="34">
        <f>'SER_se-appl'!W24</f>
        <v>9.4474589465658525</v>
      </c>
      <c r="X8" s="34">
        <f>'SER_se-appl'!X24</f>
        <v>9.7092153267307673</v>
      </c>
      <c r="Y8" s="34">
        <f>'SER_se-appl'!Y24</f>
        <v>9.9338367034428625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0.4125496947365086</v>
      </c>
      <c r="D9" s="36">
        <f>'SER_se-appl'!D32</f>
        <v>0.4748031942573343</v>
      </c>
      <c r="E9" s="36">
        <f>'SER_se-appl'!E32</f>
        <v>0.66052146765337749</v>
      </c>
      <c r="F9" s="36">
        <f>'SER_se-appl'!F32</f>
        <v>0.67203631522038165</v>
      </c>
      <c r="G9" s="36">
        <f>'SER_se-appl'!G32</f>
        <v>0.77460919999634736</v>
      </c>
      <c r="H9" s="36">
        <f>'SER_se-appl'!H32</f>
        <v>0.79544046343973296</v>
      </c>
      <c r="I9" s="36">
        <f>'SER_se-appl'!I32</f>
        <v>0.76118530898325698</v>
      </c>
      <c r="J9" s="36">
        <f>'SER_se-appl'!J32</f>
        <v>0.46316973720921428</v>
      </c>
      <c r="K9" s="36">
        <f>'SER_se-appl'!K32</f>
        <v>0.37677055910094293</v>
      </c>
      <c r="L9" s="36">
        <f>'SER_se-appl'!L32</f>
        <v>0.31536339391616952</v>
      </c>
      <c r="M9" s="36">
        <f>'SER_se-appl'!M32</f>
        <v>0.33968905424370988</v>
      </c>
      <c r="N9" s="36">
        <f>'SER_se-appl'!N32</f>
        <v>0.20450291269778731</v>
      </c>
      <c r="O9" s="36">
        <f>'SER_se-appl'!O32</f>
        <v>0.24868500937132243</v>
      </c>
      <c r="P9" s="36">
        <f>'SER_se-appl'!P32</f>
        <v>0.51011948539976171</v>
      </c>
      <c r="Q9" s="36">
        <f>'SER_se-appl'!Q32</f>
        <v>0.56024325296625932</v>
      </c>
      <c r="R9" s="36">
        <f>'SER_se-appl'!R32</f>
        <v>0.71992556296847443</v>
      </c>
      <c r="S9" s="36">
        <f>'SER_se-appl'!S32</f>
        <v>0.77913929454381492</v>
      </c>
      <c r="T9" s="36">
        <f>'SER_se-appl'!T32</f>
        <v>0.98512951814387772</v>
      </c>
      <c r="U9" s="36">
        <f>'SER_se-appl'!U32</f>
        <v>0.99601414664308763</v>
      </c>
      <c r="V9" s="36">
        <f>'SER_se-appl'!V32</f>
        <v>1.0914395062276334</v>
      </c>
      <c r="W9" s="36">
        <f>'SER_se-appl'!W32</f>
        <v>1.0960822041505374</v>
      </c>
      <c r="X9" s="36">
        <f>'SER_se-appl'!X32</f>
        <v>1.0229416891481726</v>
      </c>
      <c r="Y9" s="36">
        <f>'SER_se-appl'!Y32</f>
        <v>0.68779111392130865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5.4269429110126666E-2</v>
      </c>
      <c r="D10" s="38">
        <f>'SER_se-appl'!D40</f>
        <v>6.0376448074802358E-2</v>
      </c>
      <c r="E10" s="38">
        <f>'SER_se-appl'!E40</f>
        <v>6.7170698898122883E-2</v>
      </c>
      <c r="F10" s="38">
        <f>'SER_se-appl'!F40</f>
        <v>7.4729516795561501E-2</v>
      </c>
      <c r="G10" s="38">
        <f>'SER_se-appl'!G40</f>
        <v>8.3138939628542907E-2</v>
      </c>
      <c r="H10" s="38">
        <f>'SER_se-appl'!H40</f>
        <v>9.2494687226039929E-2</v>
      </c>
      <c r="I10" s="38">
        <f>'SER_se-appl'!I40</f>
        <v>0.10290325091066865</v>
      </c>
      <c r="J10" s="38">
        <f>'SER_se-appl'!J40</f>
        <v>0.11448310563077335</v>
      </c>
      <c r="K10" s="38">
        <f>'SER_se-appl'!K40</f>
        <v>0.12736605849551452</v>
      </c>
      <c r="L10" s="38">
        <f>'SER_se-appl'!L40</f>
        <v>0.14169874906260649</v>
      </c>
      <c r="M10" s="38">
        <f>'SER_se-appl'!M40</f>
        <v>0.15764431845564708</v>
      </c>
      <c r="N10" s="38">
        <f>'SER_se-appl'!N40</f>
        <v>0.17538426630968562</v>
      </c>
      <c r="O10" s="38">
        <f>'SER_se-appl'!O40</f>
        <v>0.19512051668161412</v>
      </c>
      <c r="P10" s="38">
        <f>'SER_se-appl'!P40</f>
        <v>0.21707771644050489</v>
      </c>
      <c r="Q10" s="38">
        <f>'SER_se-appl'!Q40</f>
        <v>0.24150579229920943</v>
      </c>
      <c r="R10" s="38">
        <f>'SER_se-appl'!R40</f>
        <v>0.4125496947365086</v>
      </c>
      <c r="S10" s="38">
        <f>'SER_se-appl'!S40</f>
        <v>0.47480319425733519</v>
      </c>
      <c r="T10" s="38">
        <f>'SER_se-appl'!T40</f>
        <v>0.6605214676533766</v>
      </c>
      <c r="U10" s="38">
        <f>'SER_se-appl'!U40</f>
        <v>0.67203631522038165</v>
      </c>
      <c r="V10" s="38">
        <f>'SER_se-appl'!V40</f>
        <v>0.77460919999634648</v>
      </c>
      <c r="W10" s="38">
        <f>'SER_se-appl'!W40</f>
        <v>0.79544046343973207</v>
      </c>
      <c r="X10" s="38">
        <f>'SER_se-appl'!X40</f>
        <v>0.76118530898325787</v>
      </c>
      <c r="Y10" s="38">
        <f>'SER_se-appl'!Y40</f>
        <v>0.46316973720921339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920.80734003112696</v>
      </c>
      <c r="C12" s="204">
        <f>'SER_se-appl'!C48</f>
        <v>925.20592811948893</v>
      </c>
      <c r="D12" s="204">
        <f>'SER_se-appl'!D48</f>
        <v>929.239868815406</v>
      </c>
      <c r="E12" s="204">
        <f>'SER_se-appl'!E48</f>
        <v>932.96626437023474</v>
      </c>
      <c r="F12" s="204">
        <f>'SER_se-appl'!F48</f>
        <v>936.42968898890172</v>
      </c>
      <c r="G12" s="204">
        <f>'SER_se-appl'!G48</f>
        <v>939.66561583650787</v>
      </c>
      <c r="H12" s="204">
        <f>'SER_se-appl'!H48</f>
        <v>942.70274495707133</v>
      </c>
      <c r="I12" s="204">
        <f>'SER_se-appl'!I48</f>
        <v>945.56463015334441</v>
      </c>
      <c r="J12" s="204">
        <f>'SER_se-appl'!J48</f>
        <v>948.27084410594296</v>
      </c>
      <c r="K12" s="204">
        <f>'SER_se-appl'!K48</f>
        <v>950.83783076612872</v>
      </c>
      <c r="L12" s="204">
        <f>'SER_se-appl'!L48</f>
        <v>953.27954074990635</v>
      </c>
      <c r="M12" s="204">
        <f>'SER_se-appl'!M48</f>
        <v>954.83115764504271</v>
      </c>
      <c r="N12" s="204">
        <f>'SER_se-appl'!N48</f>
        <v>956.31293156329832</v>
      </c>
      <c r="O12" s="204">
        <f>'SER_se-appl'!O48</f>
        <v>957.73097505864314</v>
      </c>
      <c r="P12" s="204">
        <f>'SER_se-appl'!P48</f>
        <v>959.09062796951673</v>
      </c>
      <c r="Q12" s="204">
        <f>'SER_se-appl'!Q48</f>
        <v>960.39658270794177</v>
      </c>
      <c r="R12" s="204">
        <f>'SER_se-appl'!R48</f>
        <v>965.06055657943534</v>
      </c>
      <c r="S12" s="204">
        <f>'SER_se-appl'!S48</f>
        <v>953.72382374865879</v>
      </c>
      <c r="T12" s="204">
        <f>'SER_se-appl'!T48</f>
        <v>936.12401338005407</v>
      </c>
      <c r="U12" s="204">
        <f>'SER_se-appl'!U48</f>
        <v>932.77858708270094</v>
      </c>
      <c r="V12" s="204">
        <f>'SER_se-appl'!V48</f>
        <v>812.15027743414475</v>
      </c>
      <c r="W12" s="204">
        <f>'SER_se-appl'!W48</f>
        <v>895.98148216492484</v>
      </c>
      <c r="X12" s="204">
        <f>'SER_se-appl'!X48</f>
        <v>925.59373593212786</v>
      </c>
      <c r="Y12" s="204">
        <f>'SER_se-appl'!Y48</f>
        <v>940.39986281572931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52.64311909014485</v>
      </c>
      <c r="C14" s="59">
        <f>'SER_se-appl'!C56</f>
        <v>52.014055765636535</v>
      </c>
      <c r="D14" s="59">
        <f>'SER_se-appl'!D56</f>
        <v>51.369172256595952</v>
      </c>
      <c r="E14" s="59">
        <f>'SER_se-appl'!E56</f>
        <v>50.616614389268719</v>
      </c>
      <c r="F14" s="59">
        <f>'SER_se-appl'!F56</f>
        <v>49.974911171204148</v>
      </c>
      <c r="G14" s="59">
        <f>'SER_se-appl'!G56</f>
        <v>49.342791130664651</v>
      </c>
      <c r="H14" s="59">
        <f>'SER_se-appl'!H56</f>
        <v>48.746912650148509</v>
      </c>
      <c r="I14" s="59">
        <f>'SER_se-appl'!I56</f>
        <v>48.17193320949422</v>
      </c>
      <c r="J14" s="59">
        <f>'SER_se-appl'!J56</f>
        <v>47.778712555750573</v>
      </c>
      <c r="K14" s="59">
        <f>'SER_se-appl'!K56</f>
        <v>47.416043074802992</v>
      </c>
      <c r="L14" s="59">
        <f>'SER_se-appl'!L56</f>
        <v>47.048674153768438</v>
      </c>
      <c r="M14" s="59">
        <f>'SER_se-appl'!M56</f>
        <v>46.602929123663351</v>
      </c>
      <c r="N14" s="59">
        <f>'SER_se-appl'!N56</f>
        <v>46.232878941951732</v>
      </c>
      <c r="O14" s="59">
        <f>'SER_se-appl'!O56</f>
        <v>45.765047039631462</v>
      </c>
      <c r="P14" s="59">
        <f>'SER_se-appl'!P56</f>
        <v>44.94827730840634</v>
      </c>
      <c r="Q14" s="59">
        <f>'SER_se-appl'!Q56</f>
        <v>44.028169030637841</v>
      </c>
      <c r="R14" s="59">
        <f>'SER_se-appl'!R56</f>
        <v>42.968419150986719</v>
      </c>
      <c r="S14" s="59">
        <f>'SER_se-appl'!S56</f>
        <v>41.878459470891684</v>
      </c>
      <c r="T14" s="59">
        <f>'SER_se-appl'!T56</f>
        <v>40.549726708894802</v>
      </c>
      <c r="U14" s="59">
        <f>'SER_se-appl'!U56</f>
        <v>39.292024636832267</v>
      </c>
      <c r="V14" s="59">
        <f>'SER_se-appl'!V56</f>
        <v>37.97007983980108</v>
      </c>
      <c r="W14" s="59">
        <f>'SER_se-appl'!W56</f>
        <v>36.738332095883948</v>
      </c>
      <c r="X14" s="59">
        <f>'SER_se-appl'!X56</f>
        <v>35.679756229050668</v>
      </c>
      <c r="Y14" s="59">
        <f>'SER_se-appl'!Y56</f>
        <v>35.063889375616789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49.191473659029484</v>
      </c>
      <c r="D15" s="63">
        <f>'SER_se-appl'!D64</f>
        <v>48.456659950828133</v>
      </c>
      <c r="E15" s="63">
        <f>'SER_se-appl'!E64</f>
        <v>47.771466451811868</v>
      </c>
      <c r="F15" s="63">
        <f>'SER_se-appl'!F64</f>
        <v>47.14785015080431</v>
      </c>
      <c r="G15" s="63">
        <f>'SER_se-appl'!G64</f>
        <v>46.539939345042981</v>
      </c>
      <c r="H15" s="63">
        <f>'SER_se-appl'!H64</f>
        <v>45.783842796351124</v>
      </c>
      <c r="I15" s="63">
        <f>'SER_se-appl'!I64</f>
        <v>44.800743482911415</v>
      </c>
      <c r="J15" s="63">
        <f>'SER_se-appl'!J64</f>
        <v>43.953905882695658</v>
      </c>
      <c r="K15" s="63">
        <f>'SER_se-appl'!K64</f>
        <v>43.147592565584688</v>
      </c>
      <c r="L15" s="63">
        <f>'SER_se-appl'!L64</f>
        <v>41.967735091600233</v>
      </c>
      <c r="M15" s="63">
        <f>'SER_se-appl'!M64</f>
        <v>40.623192857645357</v>
      </c>
      <c r="N15" s="63">
        <f>'SER_se-appl'!N64</f>
        <v>39.289586064447541</v>
      </c>
      <c r="O15" s="63">
        <f>'SER_se-appl'!O64</f>
        <v>38.173033186235472</v>
      </c>
      <c r="P15" s="63">
        <f>'SER_se-appl'!P64</f>
        <v>37.082215403870272</v>
      </c>
      <c r="Q15" s="63">
        <f>'SER_se-appl'!Q64</f>
        <v>35.83333542174892</v>
      </c>
      <c r="R15" s="63">
        <f>'SER_se-appl'!R64</f>
        <v>35.391722195311402</v>
      </c>
      <c r="S15" s="63">
        <f>'SER_se-appl'!S64</f>
        <v>34.86773289684232</v>
      </c>
      <c r="T15" s="63">
        <f>'SER_se-appl'!T64</f>
        <v>34.356854274456886</v>
      </c>
      <c r="U15" s="63">
        <f>'SER_se-appl'!U64</f>
        <v>33.851715162415815</v>
      </c>
      <c r="V15" s="63">
        <f>'SER_se-appl'!V64</f>
        <v>33.357397968154942</v>
      </c>
      <c r="W15" s="63">
        <f>'SER_se-appl'!W64</f>
        <v>33.023823988473389</v>
      </c>
      <c r="X15" s="63">
        <f>'SER_se-appl'!X64</f>
        <v>32.690250008791843</v>
      </c>
      <c r="Y15" s="63">
        <f>'SER_se-appl'!Y64</f>
        <v>32.35667602911029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19.187010492277004</v>
      </c>
      <c r="C3" s="198">
        <f>'SER_se-appl'!C9</f>
        <v>21.341670787451733</v>
      </c>
      <c r="D3" s="198">
        <f>'SER_se-appl'!D9</f>
        <v>23.974863215931837</v>
      </c>
      <c r="E3" s="198">
        <f>'SER_se-appl'!E9</f>
        <v>27.026185753494161</v>
      </c>
      <c r="F3" s="198">
        <f>'SER_se-appl'!F9</f>
        <v>30.005026074449944</v>
      </c>
      <c r="G3" s="198">
        <f>'SER_se-appl'!G9</f>
        <v>33.146116401853646</v>
      </c>
      <c r="H3" s="198">
        <f>'SER_se-appl'!H9</f>
        <v>35.304658112887452</v>
      </c>
      <c r="I3" s="198">
        <f>'SER_se-appl'!I9</f>
        <v>37.08247960155061</v>
      </c>
      <c r="J3" s="198">
        <f>'SER_se-appl'!J9</f>
        <v>38.306697302583082</v>
      </c>
      <c r="K3" s="198">
        <f>'SER_se-appl'!K9</f>
        <v>39.128439677305266</v>
      </c>
      <c r="L3" s="198">
        <f>'SER_se-appl'!L9</f>
        <v>40.166064678183425</v>
      </c>
      <c r="M3" s="198">
        <f>'SER_se-appl'!M9</f>
        <v>40.920944167406276</v>
      </c>
      <c r="N3" s="198">
        <f>'SER_se-appl'!N9</f>
        <v>41.958976366773634</v>
      </c>
      <c r="O3" s="198">
        <f>'SER_se-appl'!O9</f>
        <v>43.410117007839041</v>
      </c>
      <c r="P3" s="198">
        <f>'SER_se-appl'!P9</f>
        <v>45.07733640128113</v>
      </c>
      <c r="Q3" s="198">
        <f>'SER_se-appl'!Q9</f>
        <v>48.335117665605829</v>
      </c>
      <c r="R3" s="198">
        <f>'SER_se-appl'!R9</f>
        <v>49.51361708016065</v>
      </c>
      <c r="S3" s="198">
        <f>'SER_se-appl'!S9</f>
        <v>50.965809930119299</v>
      </c>
      <c r="T3" s="198">
        <f>'SER_se-appl'!T9</f>
        <v>51.924293232384876</v>
      </c>
      <c r="U3" s="198">
        <f>'SER_se-appl'!U9</f>
        <v>53.266065338488445</v>
      </c>
      <c r="V3" s="198">
        <f>'SER_se-appl'!V9</f>
        <v>51.124670237467534</v>
      </c>
      <c r="W3" s="198">
        <f>'SER_se-appl'!W9</f>
        <v>53.637380620456177</v>
      </c>
      <c r="X3" s="198">
        <f>'SER_se-appl'!X9</f>
        <v>54.391105407549937</v>
      </c>
      <c r="Y3" s="198">
        <f>'SER_se-appl'!Y9</f>
        <v>54.766901556118967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105.18461409886245</v>
      </c>
      <c r="C5" s="59">
        <f>'SER_se-appl'!C17</f>
        <v>112.48369254349177</v>
      </c>
      <c r="D5" s="59">
        <f>'SER_se-appl'!D17</f>
        <v>122.40636929589692</v>
      </c>
      <c r="E5" s="59">
        <f>'SER_se-appl'!E17</f>
        <v>135.23876907652689</v>
      </c>
      <c r="F5" s="59">
        <f>'SER_se-appl'!F17</f>
        <v>147.47379992835403</v>
      </c>
      <c r="G5" s="59">
        <f>'SER_se-appl'!G17</f>
        <v>161.07079250919759</v>
      </c>
      <c r="H5" s="59">
        <f>'SER_se-appl'!H17</f>
        <v>168.56954261607416</v>
      </c>
      <c r="I5" s="59">
        <f>'SER_se-appl'!I17</f>
        <v>174.37670815995017</v>
      </c>
      <c r="J5" s="59">
        <f>'SER_se-appl'!J17</f>
        <v>176.92687531449562</v>
      </c>
      <c r="K5" s="59">
        <f>'SER_se-appl'!K17</f>
        <v>177.62991687427007</v>
      </c>
      <c r="L5" s="59">
        <f>'SER_se-appl'!L17</f>
        <v>178.89588378387319</v>
      </c>
      <c r="M5" s="59">
        <f>'SER_se-appl'!M17</f>
        <v>179.77627244955681</v>
      </c>
      <c r="N5" s="59">
        <f>'SER_se-appl'!N17</f>
        <v>182.28037118704012</v>
      </c>
      <c r="O5" s="59">
        <f>'SER_se-appl'!O17</f>
        <v>188.30091212913194</v>
      </c>
      <c r="P5" s="59">
        <f>'SER_se-appl'!P17</f>
        <v>195.58933518550791</v>
      </c>
      <c r="Q5" s="59">
        <f>'SER_se-appl'!Q17</f>
        <v>212.55487387762579</v>
      </c>
      <c r="R5" s="59">
        <f>'SER_se-appl'!R17</f>
        <v>217.80770055158482</v>
      </c>
      <c r="S5" s="59">
        <f>'SER_se-appl'!S17</f>
        <v>222.70457656849331</v>
      </c>
      <c r="T5" s="59">
        <f>'SER_se-appl'!T17</f>
        <v>227.00010877120124</v>
      </c>
      <c r="U5" s="59">
        <f>'SER_se-appl'!U17</f>
        <v>230.8862391793956</v>
      </c>
      <c r="V5" s="59">
        <f>'SER_se-appl'!V17</f>
        <v>232.45285497599463</v>
      </c>
      <c r="W5" s="59">
        <f>'SER_se-appl'!W17</f>
        <v>235.31212610844139</v>
      </c>
      <c r="X5" s="59">
        <f>'SER_se-appl'!X17</f>
        <v>236.61285292388845</v>
      </c>
      <c r="Y5" s="59">
        <f>'SER_se-appl'!Y17</f>
        <v>237.04542200475046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5.9881815357943589E-2</v>
      </c>
      <c r="C6" s="201">
        <f>'SER_se-appl'!C73</f>
        <v>6.8810240008781151E-2</v>
      </c>
      <c r="D6" s="201">
        <f>'SER_se-appl'!D73</f>
        <v>7.7412621374911506E-2</v>
      </c>
      <c r="E6" s="201">
        <f>'SER_se-appl'!E73</f>
        <v>8.9230035742086558E-2</v>
      </c>
      <c r="F6" s="201">
        <f>'SER_se-appl'!F73</f>
        <v>0.10179829111882599</v>
      </c>
      <c r="G6" s="201">
        <f>'SER_se-appl'!G73</f>
        <v>0.11639608785621756</v>
      </c>
      <c r="H6" s="201">
        <f>'SER_se-appl'!H73</f>
        <v>0.12748129555160206</v>
      </c>
      <c r="I6" s="201">
        <f>'SER_se-appl'!I73</f>
        <v>0.13852987833175484</v>
      </c>
      <c r="J6" s="201">
        <f>'SER_se-appl'!J73</f>
        <v>0.14827166430953215</v>
      </c>
      <c r="K6" s="201">
        <f>'SER_se-appl'!K73</f>
        <v>0.15721142134525104</v>
      </c>
      <c r="L6" s="201">
        <f>'SER_se-appl'!L73</f>
        <v>0.16903788653050977</v>
      </c>
      <c r="M6" s="201">
        <f>'SER_se-appl'!M73</f>
        <v>0.18115281176920658</v>
      </c>
      <c r="N6" s="201">
        <f>'SER_se-appl'!N73</f>
        <v>0.19508782794931662</v>
      </c>
      <c r="O6" s="201">
        <f>'SER_se-appl'!O73</f>
        <v>0.21262318089809876</v>
      </c>
      <c r="P6" s="201">
        <f>'SER_se-appl'!P73</f>
        <v>0.23005538676488696</v>
      </c>
      <c r="Q6" s="201">
        <f>'SER_se-appl'!Q73</f>
        <v>0.2580703474966678</v>
      </c>
      <c r="R6" s="201">
        <f>'SER_se-appl'!R73</f>
        <v>0.27230112359642478</v>
      </c>
      <c r="S6" s="201">
        <f>'SER_se-appl'!S73</f>
        <v>0.28688437359115848</v>
      </c>
      <c r="T6" s="201">
        <f>'SER_se-appl'!T73</f>
        <v>0.30320933010578022</v>
      </c>
      <c r="U6" s="201">
        <f>'SER_se-appl'!U73</f>
        <v>0.31856916912053129</v>
      </c>
      <c r="V6" s="201">
        <f>'SER_se-appl'!V73</f>
        <v>0.33328245747333729</v>
      </c>
      <c r="W6" s="201">
        <f>'SER_se-appl'!W73</f>
        <v>0.34872504261441384</v>
      </c>
      <c r="X6" s="201">
        <f>'SER_se-appl'!X73</f>
        <v>0.36126865617905857</v>
      </c>
      <c r="Y6" s="201">
        <f>'SER_se-appl'!Y73</f>
        <v>0.37086164760530538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269.3325367989604</v>
      </c>
      <c r="C8" s="34">
        <f>'SER_se-appl'!C25</f>
        <v>295.56791779515862</v>
      </c>
      <c r="D8" s="34">
        <f>'SER_se-appl'!D25</f>
        <v>333.29957685395323</v>
      </c>
      <c r="E8" s="34">
        <f>'SER_se-appl'!E25</f>
        <v>384.16956820340755</v>
      </c>
      <c r="F8" s="34">
        <f>'SER_se-appl'!F25</f>
        <v>438.31544702760698</v>
      </c>
      <c r="G8" s="34">
        <f>'SER_se-appl'!G25</f>
        <v>501.76735569194193</v>
      </c>
      <c r="H8" s="34">
        <f>'SER_se-appl'!H25</f>
        <v>549.76142980944167</v>
      </c>
      <c r="I8" s="34">
        <f>'SER_se-appl'!I25</f>
        <v>597.55278608037452</v>
      </c>
      <c r="J8" s="34">
        <f>'SER_se-appl'!J25</f>
        <v>639.34252353778038</v>
      </c>
      <c r="K8" s="34">
        <f>'SER_se-appl'!K25</f>
        <v>677.54915486807761</v>
      </c>
      <c r="L8" s="34">
        <f>'SER_se-appl'!L25</f>
        <v>727.34416294414439</v>
      </c>
      <c r="M8" s="34">
        <f>'SER_se-appl'!M25</f>
        <v>777.11965763781325</v>
      </c>
      <c r="N8" s="34">
        <f>'SER_se-appl'!N25</f>
        <v>834.19243090603072</v>
      </c>
      <c r="O8" s="34">
        <f>'SER_se-appl'!O25</f>
        <v>903.18138568848667</v>
      </c>
      <c r="P8" s="34">
        <f>'SER_se-appl'!P25</f>
        <v>970.28896099196379</v>
      </c>
      <c r="Q8" s="34">
        <f>'SER_se-appl'!Q25</f>
        <v>1078.9701869040309</v>
      </c>
      <c r="R8" s="34">
        <f>'SER_se-appl'!R25</f>
        <v>1124.9072562060442</v>
      </c>
      <c r="S8" s="34">
        <f>'SER_se-appl'!S25</f>
        <v>1170.1350895880357</v>
      </c>
      <c r="T8" s="34">
        <f>'SER_se-appl'!T25</f>
        <v>1217.1856454261679</v>
      </c>
      <c r="U8" s="34">
        <f>'SER_se-appl'!U25</f>
        <v>1264.2978158285937</v>
      </c>
      <c r="V8" s="34">
        <f>'SER_se-appl'!V25</f>
        <v>1310.9702125784045</v>
      </c>
      <c r="W8" s="34">
        <f>'SER_se-appl'!W25</f>
        <v>1357.595657749021</v>
      </c>
      <c r="X8" s="34">
        <f>'SER_se-appl'!X25</f>
        <v>1395.3297371036588</v>
      </c>
      <c r="Y8" s="34">
        <f>'SER_se-appl'!Y25</f>
        <v>1428.1488935933849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80.101888355990297</v>
      </c>
      <c r="D9" s="36">
        <f>'SER_se-appl'!D33</f>
        <v>91.598166418586686</v>
      </c>
      <c r="E9" s="36">
        <f>'SER_se-appl'!E33</f>
        <v>104.7364987092464</v>
      </c>
      <c r="F9" s="36">
        <f>'SER_se-appl'!F33</f>
        <v>108.01238618399151</v>
      </c>
      <c r="G9" s="36">
        <f>'SER_se-appl'!G33</f>
        <v>117.31841602412703</v>
      </c>
      <c r="H9" s="36">
        <f>'SER_se-appl'!H33</f>
        <v>128.09596247349003</v>
      </c>
      <c r="I9" s="36">
        <f>'SER_se-appl'!I33</f>
        <v>139.38952268951954</v>
      </c>
      <c r="J9" s="36">
        <f>'SER_se-appl'!J33</f>
        <v>146.52623616665227</v>
      </c>
      <c r="K9" s="36">
        <f>'SER_se-appl'!K33</f>
        <v>146.21901751428879</v>
      </c>
      <c r="L9" s="36">
        <f>'SER_se-appl'!L33</f>
        <v>167.11342410019381</v>
      </c>
      <c r="M9" s="36">
        <f>'SER_se-appl'!M33</f>
        <v>177.87145716715884</v>
      </c>
      <c r="N9" s="36">
        <f>'SER_se-appl'!N33</f>
        <v>196.46229595773707</v>
      </c>
      <c r="O9" s="36">
        <f>'SER_se-appl'!O33</f>
        <v>215.51519094910827</v>
      </c>
      <c r="P9" s="36">
        <f>'SER_se-appl'!P33</f>
        <v>213.32659281776591</v>
      </c>
      <c r="Q9" s="36">
        <f>'SER_se-appl'!Q33</f>
        <v>275.79465001226095</v>
      </c>
      <c r="R9" s="36">
        <f>'SER_se-appl'!R33</f>
        <v>223.80852646917208</v>
      </c>
      <c r="S9" s="36">
        <f>'SER_se-appl'!S33</f>
        <v>241.69012933972863</v>
      </c>
      <c r="T9" s="36">
        <f>'SER_se-appl'!T33</f>
        <v>262.56574678724041</v>
      </c>
      <c r="U9" s="36">
        <f>'SER_se-appl'!U33</f>
        <v>260.43876322019173</v>
      </c>
      <c r="V9" s="36">
        <f>'SER_se-appl'!V33</f>
        <v>322.46704676207173</v>
      </c>
      <c r="W9" s="36">
        <f>'SER_se-appl'!W33</f>
        <v>270.43397163978852</v>
      </c>
      <c r="X9" s="36">
        <f>'SER_se-appl'!X33</f>
        <v>279.42420869436637</v>
      </c>
      <c r="Y9" s="36">
        <f>'SER_se-appl'!Y33</f>
        <v>295.3849032769665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53.866507359792081</v>
      </c>
      <c r="D10" s="38">
        <f>'SER_se-appl'!D41</f>
        <v>53.866507359792081</v>
      </c>
      <c r="E10" s="38">
        <f>'SER_se-appl'!E41</f>
        <v>53.866507359792081</v>
      </c>
      <c r="F10" s="38">
        <f>'SER_se-appl'!F41</f>
        <v>53.866507359792081</v>
      </c>
      <c r="G10" s="38">
        <f>'SER_se-appl'!G41</f>
        <v>53.866507359792081</v>
      </c>
      <c r="H10" s="38">
        <f>'SER_se-appl'!H41</f>
        <v>80.101888355990354</v>
      </c>
      <c r="I10" s="38">
        <f>'SER_se-appl'!I41</f>
        <v>91.598166418586743</v>
      </c>
      <c r="J10" s="38">
        <f>'SER_se-appl'!J41</f>
        <v>104.73649870924646</v>
      </c>
      <c r="K10" s="38">
        <f>'SER_se-appl'!K41</f>
        <v>108.01238618399157</v>
      </c>
      <c r="L10" s="38">
        <f>'SER_se-appl'!L41</f>
        <v>117.31841602412703</v>
      </c>
      <c r="M10" s="38">
        <f>'SER_se-appl'!M41</f>
        <v>128.09596247348998</v>
      </c>
      <c r="N10" s="38">
        <f>'SER_se-appl'!N41</f>
        <v>139.38952268951959</v>
      </c>
      <c r="O10" s="38">
        <f>'SER_se-appl'!O41</f>
        <v>146.52623616665232</v>
      </c>
      <c r="P10" s="38">
        <f>'SER_se-appl'!P41</f>
        <v>146.21901751428879</v>
      </c>
      <c r="Q10" s="38">
        <f>'SER_se-appl'!Q41</f>
        <v>167.1134241001937</v>
      </c>
      <c r="R10" s="38">
        <f>'SER_se-appl'!R41</f>
        <v>177.87145716715895</v>
      </c>
      <c r="S10" s="38">
        <f>'SER_se-appl'!S41</f>
        <v>196.46229595773707</v>
      </c>
      <c r="T10" s="38">
        <f>'SER_se-appl'!T41</f>
        <v>215.51519094910827</v>
      </c>
      <c r="U10" s="38">
        <f>'SER_se-appl'!U41</f>
        <v>213.32659281776591</v>
      </c>
      <c r="V10" s="38">
        <f>'SER_se-appl'!V41</f>
        <v>275.79465001226095</v>
      </c>
      <c r="W10" s="38">
        <f>'SER_se-appl'!W41</f>
        <v>223.80852646917197</v>
      </c>
      <c r="X10" s="38">
        <f>'SER_se-appl'!X41</f>
        <v>241.69012933972863</v>
      </c>
      <c r="Y10" s="38">
        <f>'SER_se-appl'!Y41</f>
        <v>262.56574678724041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2121.4598155529557</v>
      </c>
      <c r="C12" s="204">
        <f>'SER_se-appl'!C49</f>
        <v>2206.5743544300508</v>
      </c>
      <c r="D12" s="204">
        <f>'SER_se-appl'!D49</f>
        <v>2277.8852179437495</v>
      </c>
      <c r="E12" s="204">
        <f>'SER_se-appl'!E49</f>
        <v>2324.1452318696979</v>
      </c>
      <c r="F12" s="204">
        <f>'SER_se-appl'!F49</f>
        <v>2366.2403316072714</v>
      </c>
      <c r="G12" s="204">
        <f>'SER_se-appl'!G49</f>
        <v>2393.2913456767487</v>
      </c>
      <c r="H12" s="204">
        <f>'SER_se-appl'!H49</f>
        <v>2435.7494686215541</v>
      </c>
      <c r="I12" s="204">
        <f>'SER_se-appl'!I49</f>
        <v>2473.2043764150203</v>
      </c>
      <c r="J12" s="204">
        <f>'SER_se-appl'!J49</f>
        <v>2518.028359666288</v>
      </c>
      <c r="K12" s="204">
        <f>'SER_se-appl'!K49</f>
        <v>2561.8643607718586</v>
      </c>
      <c r="L12" s="204">
        <f>'SER_se-appl'!L49</f>
        <v>2611.1910588821688</v>
      </c>
      <c r="M12" s="204">
        <f>'SER_se-appl'!M49</f>
        <v>2647.2380041168676</v>
      </c>
      <c r="N12" s="204">
        <f>'SER_se-appl'!N49</f>
        <v>2677.1006223421182</v>
      </c>
      <c r="O12" s="204">
        <f>'SER_se-appl'!O49</f>
        <v>2681.1323168469212</v>
      </c>
      <c r="P12" s="204">
        <f>'SER_se-appl'!P49</f>
        <v>2680.3579134295433</v>
      </c>
      <c r="Q12" s="204">
        <f>'SER_se-appl'!Q49</f>
        <v>2644.6696243466763</v>
      </c>
      <c r="R12" s="204">
        <f>'SER_se-appl'!R49</f>
        <v>2643.8154628324892</v>
      </c>
      <c r="S12" s="204">
        <f>'SER_se-appl'!S49</f>
        <v>2661.5185849357313</v>
      </c>
      <c r="T12" s="204">
        <f>'SER_se-appl'!T49</f>
        <v>2660.2609732724864</v>
      </c>
      <c r="U12" s="204">
        <f>'SER_se-appl'!U49</f>
        <v>2683.071724362444</v>
      </c>
      <c r="V12" s="204">
        <f>'SER_se-appl'!V49</f>
        <v>2557.8516337136389</v>
      </c>
      <c r="W12" s="204">
        <f>'SER_se-appl'!W49</f>
        <v>2650.958736943423</v>
      </c>
      <c r="X12" s="204">
        <f>'SER_se-appl'!X49</f>
        <v>2673.4327745639621</v>
      </c>
      <c r="Y12" s="204">
        <f>'SER_se-appl'!Y49</f>
        <v>2686.9916310170256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390.53808852428426</v>
      </c>
      <c r="C14" s="59">
        <f>'SER_se-appl'!C57</f>
        <v>380.56800407359447</v>
      </c>
      <c r="D14" s="59">
        <f>'SER_se-appl'!D57</f>
        <v>367.25629972681759</v>
      </c>
      <c r="E14" s="59">
        <f>'SER_se-appl'!E57</f>
        <v>352.02884421319277</v>
      </c>
      <c r="F14" s="59">
        <f>'SER_se-appl'!F57</f>
        <v>336.45585828296277</v>
      </c>
      <c r="G14" s="59">
        <f>'SER_se-appl'!G57</f>
        <v>321.00691821029176</v>
      </c>
      <c r="H14" s="59">
        <f>'SER_se-appl'!H57</f>
        <v>306.62307953197757</v>
      </c>
      <c r="I14" s="59">
        <f>'SER_se-appl'!I57</f>
        <v>291.81808238861669</v>
      </c>
      <c r="J14" s="59">
        <f>'SER_se-appl'!J57</f>
        <v>276.73253193839929</v>
      </c>
      <c r="K14" s="59">
        <f>'SER_se-appl'!K57</f>
        <v>262.16535818549659</v>
      </c>
      <c r="L14" s="59">
        <f>'SER_se-appl'!L57</f>
        <v>245.95768124368837</v>
      </c>
      <c r="M14" s="59">
        <f>'SER_se-appl'!M57</f>
        <v>231.33666827579324</v>
      </c>
      <c r="N14" s="59">
        <f>'SER_se-appl'!N57</f>
        <v>218.51117851676295</v>
      </c>
      <c r="O14" s="59">
        <f>'SER_se-appl'!O57</f>
        <v>208.48626323890844</v>
      </c>
      <c r="P14" s="59">
        <f>'SER_se-appl'!P57</f>
        <v>201.57844008196216</v>
      </c>
      <c r="Q14" s="59">
        <f>'SER_se-appl'!Q57</f>
        <v>196.99791195114042</v>
      </c>
      <c r="R14" s="59">
        <f>'SER_se-appl'!R57</f>
        <v>193.62280699137918</v>
      </c>
      <c r="S14" s="59">
        <f>'SER_se-appl'!S57</f>
        <v>190.32381692518931</v>
      </c>
      <c r="T14" s="59">
        <f>'SER_se-appl'!T57</f>
        <v>186.49588057844923</v>
      </c>
      <c r="U14" s="59">
        <f>'SER_se-appl'!U57</f>
        <v>182.62013608564033</v>
      </c>
      <c r="V14" s="59">
        <f>'SER_se-appl'!V57</f>
        <v>177.31360540893482</v>
      </c>
      <c r="W14" s="59">
        <f>'SER_se-appl'!W57</f>
        <v>173.33005211478334</v>
      </c>
      <c r="X14" s="59">
        <f>'SER_se-appl'!X57</f>
        <v>169.5748658055802</v>
      </c>
      <c r="Y14" s="59">
        <f>'SER_se-appl'!Y57</f>
        <v>165.98088831502523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353.74947889456018</v>
      </c>
      <c r="D15" s="63">
        <f>'SER_se-appl'!D65</f>
        <v>337.9936606012177</v>
      </c>
      <c r="E15" s="63">
        <f>'SER_se-appl'!E65</f>
        <v>323.37650215351687</v>
      </c>
      <c r="F15" s="63">
        <f>'SER_se-appl'!F65</f>
        <v>308.03831715117525</v>
      </c>
      <c r="G15" s="63">
        <f>'SER_se-appl'!G65</f>
        <v>295.2129475861102</v>
      </c>
      <c r="H15" s="63">
        <f>'SER_se-appl'!H65</f>
        <v>279.74926515497719</v>
      </c>
      <c r="I15" s="63">
        <f>'SER_se-appl'!I65</f>
        <v>263.76993339699635</v>
      </c>
      <c r="J15" s="63">
        <f>'SER_se-appl'!J65</f>
        <v>248.55268727114529</v>
      </c>
      <c r="K15" s="63">
        <f>'SER_se-appl'!K65</f>
        <v>232.35688359110966</v>
      </c>
      <c r="L15" s="63">
        <f>'SER_se-appl'!L65</f>
        <v>214.82345002215519</v>
      </c>
      <c r="M15" s="63">
        <f>'SER_se-appl'!M65</f>
        <v>206.41389361564671</v>
      </c>
      <c r="N15" s="63">
        <f>'SER_se-appl'!N65</f>
        <v>199.89007896957952</v>
      </c>
      <c r="O15" s="63">
        <f>'SER_se-appl'!O65</f>
        <v>196.92361596478582</v>
      </c>
      <c r="P15" s="63">
        <f>'SER_se-appl'!P65</f>
        <v>193.42838481932378</v>
      </c>
      <c r="Q15" s="63">
        <f>'SER_se-appl'!Q65</f>
        <v>191.68399749591541</v>
      </c>
      <c r="R15" s="63">
        <f>'SER_se-appl'!R65</f>
        <v>187.5172826210524</v>
      </c>
      <c r="S15" s="63">
        <f>'SER_se-appl'!S65</f>
        <v>182.74531935212642</v>
      </c>
      <c r="T15" s="63">
        <f>'SER_se-appl'!T65</f>
        <v>177.99565812222238</v>
      </c>
      <c r="U15" s="63">
        <f>'SER_se-appl'!U65</f>
        <v>173.35955730127623</v>
      </c>
      <c r="V15" s="63">
        <f>'SER_se-appl'!V65</f>
        <v>168.79875740946059</v>
      </c>
      <c r="W15" s="63">
        <f>'SER_se-appl'!W65</f>
        <v>165.7603797760903</v>
      </c>
      <c r="X15" s="63">
        <f>'SER_se-appl'!X65</f>
        <v>162.72200214272002</v>
      </c>
      <c r="Y15" s="63">
        <f>'SER_se-appl'!Y65</f>
        <v>159.6836245093497</v>
      </c>
      <c r="DA15" s="105" t="s">
        <v>957</v>
      </c>
    </row>
    <row r="17" spans="1:105" ht="12" customHeight="1" x14ac:dyDescent="0.25">
      <c r="A17" s="197" t="s">
        <v>184</v>
      </c>
      <c r="B17" s="198">
        <v>6.201878438702547</v>
      </c>
      <c r="C17" s="198">
        <v>7.4969892375227936</v>
      </c>
      <c r="D17" s="198">
        <v>8.7994320582963077</v>
      </c>
      <c r="E17" s="198">
        <v>10.070429842653899</v>
      </c>
      <c r="F17" s="198">
        <v>11.286463767979109</v>
      </c>
      <c r="G17" s="198">
        <v>12.403756877405092</v>
      </c>
      <c r="H17" s="198">
        <v>13.358908480775725</v>
      </c>
      <c r="I17" s="198">
        <v>14.21607472735317</v>
      </c>
      <c r="J17" s="198">
        <v>15.015514831654563</v>
      </c>
      <c r="K17" s="198">
        <v>15.779770982114695</v>
      </c>
      <c r="L17" s="198">
        <v>16.538342503206792</v>
      </c>
      <c r="M17" s="198">
        <v>17.000584791517955</v>
      </c>
      <c r="N17" s="198">
        <v>17.535556273982507</v>
      </c>
      <c r="O17" s="198">
        <v>17.842356044911472</v>
      </c>
      <c r="P17" s="198">
        <v>18.149155815840412</v>
      </c>
      <c r="Q17" s="198">
        <v>18.455955586769363</v>
      </c>
      <c r="R17" s="198">
        <v>18.762755357698339</v>
      </c>
      <c r="S17" s="198">
        <v>19.069555128627311</v>
      </c>
      <c r="T17" s="198">
        <v>19.376354899556279</v>
      </c>
      <c r="U17" s="198">
        <v>19.683154670485195</v>
      </c>
      <c r="V17" s="198">
        <v>19.989954441414181</v>
      </c>
      <c r="W17" s="198">
        <v>20.296754212343124</v>
      </c>
      <c r="X17" s="198">
        <v>20.603553983272093</v>
      </c>
      <c r="Y17" s="198">
        <v>20.80958952310484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2343.3255408581408</v>
      </c>
      <c r="C3" s="219">
        <v>2415.6923713209262</v>
      </c>
      <c r="D3" s="219">
        <v>2486.911999838278</v>
      </c>
      <c r="E3" s="219">
        <v>2124.104149595546</v>
      </c>
      <c r="F3" s="219">
        <v>2466.046273400304</v>
      </c>
      <c r="G3" s="219">
        <v>2247.398658981017</v>
      </c>
      <c r="H3" s="219">
        <v>2428.8302006647232</v>
      </c>
      <c r="I3" s="219">
        <v>2353.1200030332252</v>
      </c>
      <c r="J3" s="219">
        <v>2522.7895286212301</v>
      </c>
      <c r="K3" s="219">
        <v>2415.9452191433761</v>
      </c>
      <c r="L3" s="219">
        <v>2183.2177180218268</v>
      </c>
      <c r="M3" s="219">
        <v>2164.1490285286609</v>
      </c>
      <c r="N3" s="219">
        <v>1922.34775835754</v>
      </c>
      <c r="O3" s="219">
        <v>2022.5155845185591</v>
      </c>
      <c r="P3" s="219">
        <v>1722.005320190156</v>
      </c>
      <c r="Q3" s="219">
        <v>1786.3515179999999</v>
      </c>
      <c r="R3" s="219">
        <v>1910.1827628894559</v>
      </c>
      <c r="S3" s="219">
        <v>1860.224371317162</v>
      </c>
      <c r="T3" s="219">
        <v>1960.489127351801</v>
      </c>
      <c r="U3" s="219">
        <v>1962.9664013390361</v>
      </c>
      <c r="V3" s="219">
        <v>1965.204916531135</v>
      </c>
      <c r="W3" s="219">
        <v>2379.303592710231</v>
      </c>
      <c r="X3" s="219">
        <v>2564.1830888369618</v>
      </c>
      <c r="Y3" s="219">
        <v>2620.3000000000002</v>
      </c>
      <c r="DA3" s="210" t="s">
        <v>974</v>
      </c>
    </row>
    <row r="5" spans="1:105" x14ac:dyDescent="0.25">
      <c r="A5" s="218" t="s">
        <v>120</v>
      </c>
      <c r="B5" s="219">
        <v>2614.4691944289339</v>
      </c>
      <c r="C5" s="219">
        <v>2532.14785507345</v>
      </c>
      <c r="D5" s="219">
        <v>2272.995070147178</v>
      </c>
      <c r="E5" s="219">
        <v>2183.9990178501362</v>
      </c>
      <c r="F5" s="219">
        <v>2071.74287915581</v>
      </c>
      <c r="G5" s="219">
        <v>1847.559742264948</v>
      </c>
      <c r="H5" s="219">
        <v>1928.6952406891071</v>
      </c>
      <c r="I5" s="219">
        <v>2084.6120963842181</v>
      </c>
      <c r="J5" s="219">
        <v>2109.688716473524</v>
      </c>
      <c r="K5" s="219">
        <v>1859.2670298057101</v>
      </c>
      <c r="L5" s="219">
        <v>1958.473640159154</v>
      </c>
      <c r="M5" s="219">
        <v>2215.0569081713702</v>
      </c>
      <c r="N5" s="219">
        <v>2002.563980705344</v>
      </c>
      <c r="O5" s="219">
        <v>1982.548037806672</v>
      </c>
      <c r="P5" s="219">
        <v>2109.65176297261</v>
      </c>
      <c r="Q5" s="219">
        <v>2034.978488781886</v>
      </c>
      <c r="R5" s="219">
        <v>2030.5207686367071</v>
      </c>
      <c r="S5" s="219">
        <v>2173.4288233048192</v>
      </c>
      <c r="T5" s="219">
        <v>2106.4919997055249</v>
      </c>
      <c r="U5" s="219">
        <v>2141.173051214862</v>
      </c>
      <c r="V5" s="219">
        <v>2128.9781406760139</v>
      </c>
      <c r="W5" s="219">
        <v>2235.411482180446</v>
      </c>
      <c r="X5" s="219">
        <v>2633.3790509075379</v>
      </c>
      <c r="Y5" s="219">
        <v>2530.7030648033901</v>
      </c>
      <c r="DA5" s="210" t="s">
        <v>975</v>
      </c>
    </row>
    <row r="6" spans="1:105" x14ac:dyDescent="0.25">
      <c r="A6" s="220" t="s">
        <v>119</v>
      </c>
      <c r="B6" s="221">
        <v>3268.0864930361672</v>
      </c>
      <c r="C6" s="221">
        <v>3104.6821683843591</v>
      </c>
      <c r="D6" s="221">
        <v>2941.277843732551</v>
      </c>
      <c r="E6" s="221">
        <v>2941.277843732551</v>
      </c>
      <c r="F6" s="221">
        <v>2777.873519080742</v>
      </c>
      <c r="G6" s="221">
        <v>2614.469194428933</v>
      </c>
      <c r="H6" s="221">
        <v>2614.469194428933</v>
      </c>
      <c r="I6" s="221">
        <v>2451.0648697771248</v>
      </c>
      <c r="J6" s="221">
        <v>2287.6605451253158</v>
      </c>
      <c r="K6" s="221">
        <v>2287.6605451253158</v>
      </c>
      <c r="L6" s="221">
        <v>2124.2562204735082</v>
      </c>
      <c r="M6" s="221">
        <v>2451.0648697771239</v>
      </c>
      <c r="N6" s="221">
        <v>2451.0648697771239</v>
      </c>
      <c r="O6" s="221">
        <v>2287.6605451253158</v>
      </c>
      <c r="P6" s="221">
        <v>2287.6605451253158</v>
      </c>
      <c r="Q6" s="221">
        <v>2287.6605451253158</v>
      </c>
      <c r="R6" s="221">
        <v>2287.6605451253158</v>
      </c>
      <c r="S6" s="221">
        <v>2451.0648697771248</v>
      </c>
      <c r="T6" s="221">
        <v>2451.0648697771248</v>
      </c>
      <c r="U6" s="221">
        <v>2287.6605451253158</v>
      </c>
      <c r="V6" s="221">
        <v>2287.6605451253158</v>
      </c>
      <c r="W6" s="221">
        <v>2451.0648697771248</v>
      </c>
      <c r="X6" s="221">
        <v>2777.873519080742</v>
      </c>
      <c r="Y6" s="221">
        <v>2777.873519080742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0</v>
      </c>
      <c r="J7" s="225">
        <v>0</v>
      </c>
      <c r="K7" s="225">
        <v>0</v>
      </c>
      <c r="L7" s="225">
        <v>0</v>
      </c>
      <c r="M7" s="225">
        <v>490.21297395542501</v>
      </c>
      <c r="N7" s="225">
        <v>0</v>
      </c>
      <c r="O7" s="225">
        <v>0</v>
      </c>
      <c r="P7" s="225">
        <v>163.40432465180831</v>
      </c>
      <c r="Q7" s="225">
        <v>0</v>
      </c>
      <c r="R7" s="225">
        <v>163.40432465180831</v>
      </c>
      <c r="S7" s="225">
        <v>326.80864930361668</v>
      </c>
      <c r="T7" s="225">
        <v>0</v>
      </c>
      <c r="U7" s="225">
        <v>0</v>
      </c>
      <c r="V7" s="225">
        <v>163.40432465180831</v>
      </c>
      <c r="W7" s="225">
        <v>163.40432465180902</v>
      </c>
      <c r="X7" s="225">
        <v>490.21297395542501</v>
      </c>
      <c r="Y7" s="225">
        <v>163.40432465180831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163.40432465180811</v>
      </c>
      <c r="D8" s="227">
        <f t="shared" ref="D8" si="1">IF(C6=0,0,C6+D7-D6)</f>
        <v>163.40432465180811</v>
      </c>
      <c r="E8" s="227">
        <f t="shared" ref="E8" si="2">IF(D6=0,0,D6+E7-E6)</f>
        <v>0</v>
      </c>
      <c r="F8" s="227">
        <f t="shared" ref="F8" si="3">IF(E6=0,0,E6+F7-F6)</f>
        <v>163.40432465180902</v>
      </c>
      <c r="G8" s="227">
        <f t="shared" ref="G8" si="4">IF(F6=0,0,F6+G7-G6)</f>
        <v>163.40432465180902</v>
      </c>
      <c r="H8" s="227">
        <f t="shared" ref="H8" si="5">IF(G6=0,0,G6+H7-H6)</f>
        <v>0</v>
      </c>
      <c r="I8" s="227">
        <f t="shared" ref="I8" si="6">IF(H6=0,0,H6+I7-I6)</f>
        <v>163.40432465180811</v>
      </c>
      <c r="J8" s="227">
        <f t="shared" ref="J8" si="7">IF(I6=0,0,I6+J7-J6)</f>
        <v>163.40432465180902</v>
      </c>
      <c r="K8" s="227">
        <f t="shared" ref="K8" si="8">IF(J6=0,0,J6+K7-K6)</f>
        <v>0</v>
      </c>
      <c r="L8" s="227">
        <f t="shared" ref="L8" si="9">IF(K6=0,0,K6+L7-L6)</f>
        <v>163.40432465180766</v>
      </c>
      <c r="M8" s="227">
        <f t="shared" ref="M8" si="10">IF(L6=0,0,L6+M7-M6)</f>
        <v>163.40432465180947</v>
      </c>
      <c r="N8" s="227">
        <f t="shared" ref="N8" si="11">IF(M6=0,0,M6+N7-N6)</f>
        <v>0</v>
      </c>
      <c r="O8" s="227">
        <f t="shared" ref="O8" si="12">IF(N6=0,0,N6+O7-O6)</f>
        <v>163.40432465180811</v>
      </c>
      <c r="P8" s="227">
        <f t="shared" ref="P8" si="13">IF(O6=0,0,O6+P7-P6)</f>
        <v>163.40432465180811</v>
      </c>
      <c r="Q8" s="227">
        <f t="shared" ref="Q8" si="14">IF(P6=0,0,P6+Q7-Q6)</f>
        <v>0</v>
      </c>
      <c r="R8" s="227">
        <f t="shared" ref="R8" si="15">IF(Q6=0,0,Q6+R7-R6)</f>
        <v>163.40432465180811</v>
      </c>
      <c r="S8" s="227">
        <f t="shared" ref="S8" si="16">IF(R6=0,0,R6+S7-S6)</f>
        <v>163.40432465180766</v>
      </c>
      <c r="T8" s="227">
        <f t="shared" ref="T8" si="17">IF(S6=0,0,S6+T7-T6)</f>
        <v>0</v>
      </c>
      <c r="U8" s="227">
        <f t="shared" ref="U8" si="18">IF(T6=0,0,T6+U7-U6)</f>
        <v>163.40432465180902</v>
      </c>
      <c r="V8" s="227">
        <f t="shared" ref="V8" si="19">IF(U6=0,0,U6+V7-V6)</f>
        <v>163.40432465180811</v>
      </c>
      <c r="W8" s="227">
        <f t="shared" ref="W8" si="20">IF(V6=0,0,V6+W7-W6)</f>
        <v>0</v>
      </c>
      <c r="X8" s="227">
        <f t="shared" ref="X8" si="21">IF(W6=0,0,W6+X7-X6)</f>
        <v>163.40432465180766</v>
      </c>
      <c r="Y8" s="227">
        <f t="shared" ref="Y8" si="22">IF(X6=0,0,X6+Y7-Y6)</f>
        <v>163.40432465180811</v>
      </c>
      <c r="DA8" s="213" t="s">
        <v>978</v>
      </c>
    </row>
    <row r="9" spans="1:105" x14ac:dyDescent="0.25">
      <c r="A9" s="222" t="s">
        <v>116</v>
      </c>
      <c r="B9" s="223">
        <f>B6-B5</f>
        <v>653.61729860723335</v>
      </c>
      <c r="C9" s="223">
        <f t="shared" ref="C9:W9" si="23">C6-C5</f>
        <v>572.53431331090906</v>
      </c>
      <c r="D9" s="223">
        <f t="shared" si="23"/>
        <v>668.28277358537298</v>
      </c>
      <c r="E9" s="223">
        <f t="shared" si="23"/>
        <v>757.27882588241482</v>
      </c>
      <c r="F9" s="223">
        <f t="shared" si="23"/>
        <v>706.13063992493198</v>
      </c>
      <c r="G9" s="223">
        <f t="shared" si="23"/>
        <v>766.90945216398495</v>
      </c>
      <c r="H9" s="223">
        <f t="shared" si="23"/>
        <v>685.77395373982586</v>
      </c>
      <c r="I9" s="223">
        <f t="shared" si="23"/>
        <v>366.45277339290669</v>
      </c>
      <c r="J9" s="223">
        <f t="shared" si="23"/>
        <v>177.97182865179184</v>
      </c>
      <c r="K9" s="223">
        <f t="shared" si="23"/>
        <v>428.39351531960574</v>
      </c>
      <c r="L9" s="223">
        <f t="shared" si="23"/>
        <v>165.78258031435416</v>
      </c>
      <c r="M9" s="223">
        <f t="shared" si="23"/>
        <v>236.00796160575374</v>
      </c>
      <c r="N9" s="223">
        <f t="shared" si="23"/>
        <v>448.50088907177997</v>
      </c>
      <c r="O9" s="223">
        <f t="shared" si="23"/>
        <v>305.11250731864379</v>
      </c>
      <c r="P9" s="223">
        <f t="shared" si="23"/>
        <v>178.00878215270586</v>
      </c>
      <c r="Q9" s="223">
        <f t="shared" si="23"/>
        <v>252.68205634342985</v>
      </c>
      <c r="R9" s="223">
        <f t="shared" si="23"/>
        <v>257.13977648860873</v>
      </c>
      <c r="S9" s="223">
        <f t="shared" si="23"/>
        <v>277.63604647230568</v>
      </c>
      <c r="T9" s="223">
        <f t="shared" si="23"/>
        <v>344.57287007159994</v>
      </c>
      <c r="U9" s="223">
        <f t="shared" si="23"/>
        <v>146.48749391045385</v>
      </c>
      <c r="V9" s="223">
        <f t="shared" si="23"/>
        <v>158.68240444930188</v>
      </c>
      <c r="W9" s="223">
        <f t="shared" si="23"/>
        <v>215.65338759667884</v>
      </c>
      <c r="X9" s="223">
        <f t="shared" ref="X9:Y9" si="24">X6-X5</f>
        <v>144.49446817320404</v>
      </c>
      <c r="Y9" s="223">
        <f t="shared" si="24"/>
        <v>247.17045427735184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294.05382631126395</v>
      </c>
      <c r="C12" s="229">
        <f t="shared" ref="C12:W12" si="25">SUM(C13,C14,C18,C19,C26,C27)</f>
        <v>278.07901977644013</v>
      </c>
      <c r="D12" s="229">
        <f t="shared" si="25"/>
        <v>258.68744625967327</v>
      </c>
      <c r="E12" s="229">
        <f t="shared" si="25"/>
        <v>261.0705932932072</v>
      </c>
      <c r="F12" s="229">
        <f t="shared" si="25"/>
        <v>243.02820292347374</v>
      </c>
      <c r="G12" s="229">
        <f t="shared" si="25"/>
        <v>248.11625107480651</v>
      </c>
      <c r="H12" s="229">
        <f t="shared" si="25"/>
        <v>250.84075666380051</v>
      </c>
      <c r="I12" s="229">
        <f t="shared" si="25"/>
        <v>245.59793637145313</v>
      </c>
      <c r="J12" s="229">
        <f t="shared" si="25"/>
        <v>260.53852106620809</v>
      </c>
      <c r="K12" s="229">
        <f t="shared" si="25"/>
        <v>256.26947549441098</v>
      </c>
      <c r="L12" s="229">
        <f t="shared" si="25"/>
        <v>251.61719690455718</v>
      </c>
      <c r="M12" s="229">
        <f t="shared" si="25"/>
        <v>256.99380911435935</v>
      </c>
      <c r="N12" s="229">
        <f t="shared" si="25"/>
        <v>236.92768701633705</v>
      </c>
      <c r="O12" s="229">
        <f t="shared" si="25"/>
        <v>233.73215821152198</v>
      </c>
      <c r="P12" s="229">
        <f t="shared" si="25"/>
        <v>240.94892519346521</v>
      </c>
      <c r="Q12" s="229">
        <f t="shared" si="25"/>
        <v>237.43576956147893</v>
      </c>
      <c r="R12" s="229">
        <f t="shared" si="25"/>
        <v>240.4390369733448</v>
      </c>
      <c r="S12" s="229">
        <f t="shared" si="25"/>
        <v>237.46852966466028</v>
      </c>
      <c r="T12" s="229">
        <f t="shared" si="25"/>
        <v>242.32983662940674</v>
      </c>
      <c r="U12" s="229">
        <f t="shared" si="25"/>
        <v>244.75864144453996</v>
      </c>
      <c r="V12" s="229">
        <f t="shared" si="25"/>
        <v>257.65485812553732</v>
      </c>
      <c r="W12" s="229">
        <f t="shared" si="25"/>
        <v>258.4424763542562</v>
      </c>
      <c r="X12" s="229">
        <f t="shared" ref="X12:Y12" si="26">SUM(X13,X14,X18,X19,X26,X27)</f>
        <v>260.51100601891659</v>
      </c>
      <c r="Y12" s="229">
        <f t="shared" si="26"/>
        <v>256.5599312123818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270.92957867583834</v>
      </c>
      <c r="C14" s="55">
        <f t="shared" ref="C14:W14" si="27">SUM(C15:C17)</f>
        <v>247.38443680137567</v>
      </c>
      <c r="D14" s="55">
        <f t="shared" si="27"/>
        <v>227.41960447119519</v>
      </c>
      <c r="E14" s="55">
        <f t="shared" si="27"/>
        <v>233.98830610490108</v>
      </c>
      <c r="F14" s="55">
        <f t="shared" si="27"/>
        <v>215.87953568357693</v>
      </c>
      <c r="G14" s="55">
        <f t="shared" si="27"/>
        <v>217.37695614789337</v>
      </c>
      <c r="H14" s="55">
        <f t="shared" si="27"/>
        <v>223.30472914875321</v>
      </c>
      <c r="I14" s="55">
        <f t="shared" si="27"/>
        <v>218.74178847807394</v>
      </c>
      <c r="J14" s="55">
        <f t="shared" si="27"/>
        <v>231.07480653482372</v>
      </c>
      <c r="K14" s="55">
        <f t="shared" si="27"/>
        <v>227.48159931212379</v>
      </c>
      <c r="L14" s="55">
        <f t="shared" si="27"/>
        <v>219.76190885640585</v>
      </c>
      <c r="M14" s="55">
        <f t="shared" si="27"/>
        <v>225.725279449699</v>
      </c>
      <c r="N14" s="55">
        <f t="shared" si="27"/>
        <v>205.78641444539983</v>
      </c>
      <c r="O14" s="55">
        <f t="shared" si="27"/>
        <v>200.3349097162511</v>
      </c>
      <c r="P14" s="55">
        <f t="shared" si="27"/>
        <v>201.45511607910581</v>
      </c>
      <c r="Q14" s="55">
        <f t="shared" si="27"/>
        <v>199.3701633705933</v>
      </c>
      <c r="R14" s="55">
        <f t="shared" si="27"/>
        <v>196.32012037833192</v>
      </c>
      <c r="S14" s="55">
        <f t="shared" si="27"/>
        <v>195.99105760963019</v>
      </c>
      <c r="T14" s="55">
        <f t="shared" si="27"/>
        <v>200.64453998280314</v>
      </c>
      <c r="U14" s="55">
        <f t="shared" si="27"/>
        <v>200.13903697334479</v>
      </c>
      <c r="V14" s="55">
        <f t="shared" si="27"/>
        <v>208.40739466895954</v>
      </c>
      <c r="W14" s="55">
        <f t="shared" si="27"/>
        <v>207.19234737747203</v>
      </c>
      <c r="X14" s="55">
        <f t="shared" ref="X14:Y14" si="28">SUM(X15:X17)</f>
        <v>212.44350816852966</v>
      </c>
      <c r="Y14" s="55">
        <f t="shared" si="28"/>
        <v>213.38950988822015</v>
      </c>
      <c r="DA14" s="10"/>
    </row>
    <row r="15" spans="1:105" x14ac:dyDescent="0.25">
      <c r="A15" s="61" t="s">
        <v>52</v>
      </c>
      <c r="B15" s="55">
        <v>2.2398968185726571</v>
      </c>
      <c r="C15" s="55">
        <v>3.359845227858985</v>
      </c>
      <c r="D15" s="55">
        <v>2.9118658641444539</v>
      </c>
      <c r="E15" s="55">
        <v>3.359845227858985</v>
      </c>
      <c r="F15" s="55">
        <v>3.0239036973344802</v>
      </c>
      <c r="G15" s="55">
        <v>3.359845227858985</v>
      </c>
      <c r="H15" s="55">
        <v>3.359845227858985</v>
      </c>
      <c r="I15" s="55">
        <v>3.359845227858985</v>
      </c>
      <c r="J15" s="55">
        <v>3.359845227858985</v>
      </c>
      <c r="K15" s="55">
        <v>3.359845227858985</v>
      </c>
      <c r="L15" s="55">
        <v>3.359845227858985</v>
      </c>
      <c r="M15" s="55">
        <v>3.359845227858985</v>
      </c>
      <c r="N15" s="55">
        <v>3.359845227858985</v>
      </c>
      <c r="O15" s="55">
        <v>3.359845227858985</v>
      </c>
      <c r="P15" s="55">
        <v>3.359845227858985</v>
      </c>
      <c r="Q15" s="55">
        <v>2.2398968185726571</v>
      </c>
      <c r="R15" s="55">
        <v>2.2398968185726571</v>
      </c>
      <c r="S15" s="55">
        <v>2.799914015477214</v>
      </c>
      <c r="T15" s="55">
        <v>2.9118658641444539</v>
      </c>
      <c r="U15" s="55">
        <v>2.9118658641444539</v>
      </c>
      <c r="V15" s="55">
        <v>3.0239036973344802</v>
      </c>
      <c r="W15" s="55">
        <v>3.0239036973344802</v>
      </c>
      <c r="X15" s="55">
        <v>2.5759243336199482</v>
      </c>
      <c r="Y15" s="55">
        <v>2.6878761822871882</v>
      </c>
      <c r="DA15" s="10" t="s">
        <v>982</v>
      </c>
    </row>
    <row r="16" spans="1:105" x14ac:dyDescent="0.25">
      <c r="A16" s="61" t="s">
        <v>165</v>
      </c>
      <c r="B16" s="55">
        <v>242.78641444539983</v>
      </c>
      <c r="C16" s="55">
        <v>227.48478073946683</v>
      </c>
      <c r="D16" s="55">
        <v>211.16294067067926</v>
      </c>
      <c r="E16" s="55">
        <v>217.28366294067064</v>
      </c>
      <c r="F16" s="55">
        <v>200.96182287188304</v>
      </c>
      <c r="G16" s="55">
        <v>200.96182287188304</v>
      </c>
      <c r="H16" s="55">
        <v>207.08254514187445</v>
      </c>
      <c r="I16" s="55">
        <v>203.00206362854686</v>
      </c>
      <c r="J16" s="55">
        <v>213.30515907136714</v>
      </c>
      <c r="K16" s="55">
        <v>211.16294067067926</v>
      </c>
      <c r="L16" s="55">
        <v>204.02218400687877</v>
      </c>
      <c r="M16" s="55">
        <v>209.02063628546856</v>
      </c>
      <c r="N16" s="55">
        <v>190.04668959587275</v>
      </c>
      <c r="O16" s="55">
        <v>185.66018916595016</v>
      </c>
      <c r="P16" s="55">
        <v>186.68030954428207</v>
      </c>
      <c r="Q16" s="55">
        <v>186.68030954428204</v>
      </c>
      <c r="R16" s="55">
        <v>185.66018916595016</v>
      </c>
      <c r="S16" s="55">
        <v>184.53809114359407</v>
      </c>
      <c r="T16" s="55">
        <v>189.63860705073091</v>
      </c>
      <c r="U16" s="55">
        <v>189.02656921754084</v>
      </c>
      <c r="V16" s="55">
        <v>197.2894239036973</v>
      </c>
      <c r="W16" s="55">
        <v>195.86130696474632</v>
      </c>
      <c r="X16" s="55">
        <v>201.87996560619089</v>
      </c>
      <c r="Y16" s="55">
        <v>202.28804815133279</v>
      </c>
      <c r="DA16" s="10" t="s">
        <v>983</v>
      </c>
    </row>
    <row r="17" spans="1:105" x14ac:dyDescent="0.25">
      <c r="A17" s="61" t="s">
        <v>113</v>
      </c>
      <c r="B17" s="55">
        <v>25.903267411865869</v>
      </c>
      <c r="C17" s="55">
        <v>16.539810834049874</v>
      </c>
      <c r="D17" s="55">
        <v>13.344797936371453</v>
      </c>
      <c r="E17" s="55">
        <v>13.344797936371453</v>
      </c>
      <c r="F17" s="55">
        <v>11.893809114359414</v>
      </c>
      <c r="G17" s="55">
        <v>13.055288048151333</v>
      </c>
      <c r="H17" s="55">
        <v>12.862338779019776</v>
      </c>
      <c r="I17" s="55">
        <v>12.379879621668099</v>
      </c>
      <c r="J17" s="55">
        <v>14.409802235597592</v>
      </c>
      <c r="K17" s="55">
        <v>12.958813413585553</v>
      </c>
      <c r="L17" s="55">
        <v>12.379879621668099</v>
      </c>
      <c r="M17" s="55">
        <v>13.344797936371453</v>
      </c>
      <c r="N17" s="55">
        <v>12.379879621668099</v>
      </c>
      <c r="O17" s="55">
        <v>11.31487532244196</v>
      </c>
      <c r="P17" s="55">
        <v>11.414961306964745</v>
      </c>
      <c r="Q17" s="55">
        <v>10.449957007738607</v>
      </c>
      <c r="R17" s="55">
        <v>8.4200343938091127</v>
      </c>
      <c r="S17" s="55">
        <v>8.6530524505588993</v>
      </c>
      <c r="T17" s="55">
        <v>8.0940670679277726</v>
      </c>
      <c r="U17" s="55">
        <v>8.2006018916595007</v>
      </c>
      <c r="V17" s="55">
        <v>8.0940670679277726</v>
      </c>
      <c r="W17" s="55">
        <v>8.3071367153912288</v>
      </c>
      <c r="X17" s="55">
        <v>7.98761822871883</v>
      </c>
      <c r="Y17" s="55">
        <v>8.4135855546001714</v>
      </c>
      <c r="DA17" s="10" t="s">
        <v>984</v>
      </c>
    </row>
    <row r="18" spans="1:105" x14ac:dyDescent="0.25">
      <c r="A18" s="60" t="s">
        <v>149</v>
      </c>
      <c r="B18" s="55">
        <v>11.844368013757521</v>
      </c>
      <c r="C18" s="55">
        <v>19.27773000859845</v>
      </c>
      <c r="D18" s="55">
        <v>19.88392089423904</v>
      </c>
      <c r="E18" s="55">
        <v>16.25107480653482</v>
      </c>
      <c r="F18" s="55">
        <v>15.842648323301811</v>
      </c>
      <c r="G18" s="55">
        <v>18.95047291487532</v>
      </c>
      <c r="H18" s="55">
        <v>15.43422184006879</v>
      </c>
      <c r="I18" s="55">
        <v>14.61736887360275</v>
      </c>
      <c r="J18" s="55">
        <v>16.723989681857269</v>
      </c>
      <c r="K18" s="55">
        <v>15.90713671539123</v>
      </c>
      <c r="L18" s="55">
        <v>18.03525365434222</v>
      </c>
      <c r="M18" s="55">
        <v>17.454858125537399</v>
      </c>
      <c r="N18" s="55">
        <v>16.809974204643161</v>
      </c>
      <c r="O18" s="55">
        <v>17.04643164230438</v>
      </c>
      <c r="P18" s="55">
        <v>17.92777300085984</v>
      </c>
      <c r="Q18" s="55">
        <v>17.691315563198621</v>
      </c>
      <c r="R18" s="55">
        <v>23.118142734307821</v>
      </c>
      <c r="S18" s="55">
        <v>19.89105760963027</v>
      </c>
      <c r="T18" s="55">
        <v>19.442992261392948</v>
      </c>
      <c r="U18" s="55">
        <v>22.09054170249355</v>
      </c>
      <c r="V18" s="55">
        <v>25.163198624247631</v>
      </c>
      <c r="W18" s="55">
        <v>30.345399828030949</v>
      </c>
      <c r="X18" s="55">
        <v>25.546689595872738</v>
      </c>
      <c r="Y18" s="55">
        <v>22.0932932072227</v>
      </c>
      <c r="DA18" s="10" t="s">
        <v>985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9">SUM(C20:C25)</f>
        <v>0</v>
      </c>
      <c r="D19" s="55">
        <f t="shared" si="29"/>
        <v>0</v>
      </c>
      <c r="E19" s="55">
        <f t="shared" si="29"/>
        <v>0</v>
      </c>
      <c r="F19" s="55">
        <f t="shared" si="29"/>
        <v>0</v>
      </c>
      <c r="G19" s="55">
        <f t="shared" si="29"/>
        <v>0</v>
      </c>
      <c r="H19" s="55">
        <f t="shared" si="29"/>
        <v>0</v>
      </c>
      <c r="I19" s="55">
        <f t="shared" si="29"/>
        <v>0</v>
      </c>
      <c r="J19" s="55">
        <f t="shared" si="29"/>
        <v>0</v>
      </c>
      <c r="K19" s="55">
        <f t="shared" si="29"/>
        <v>0</v>
      </c>
      <c r="L19" s="55">
        <f t="shared" si="29"/>
        <v>0</v>
      </c>
      <c r="M19" s="55">
        <f t="shared" si="29"/>
        <v>0</v>
      </c>
      <c r="N19" s="55">
        <f t="shared" si="29"/>
        <v>8.8907996560619082E-2</v>
      </c>
      <c r="O19" s="55">
        <f t="shared" si="29"/>
        <v>0</v>
      </c>
      <c r="P19" s="55">
        <f t="shared" si="29"/>
        <v>4.0364574376612206</v>
      </c>
      <c r="Q19" s="55">
        <f t="shared" si="29"/>
        <v>4.0364574376612206</v>
      </c>
      <c r="R19" s="55">
        <f t="shared" si="29"/>
        <v>4.0603611349957003</v>
      </c>
      <c r="S19" s="55">
        <f t="shared" si="29"/>
        <v>3.7833190025795349</v>
      </c>
      <c r="T19" s="55">
        <f t="shared" si="29"/>
        <v>3.5444539982803089</v>
      </c>
      <c r="U19" s="55">
        <f t="shared" si="29"/>
        <v>3.298452278589854</v>
      </c>
      <c r="V19" s="55">
        <f t="shared" si="29"/>
        <v>3.4680137575236452</v>
      </c>
      <c r="W19" s="55">
        <f t="shared" si="29"/>
        <v>1.667153912295787</v>
      </c>
      <c r="X19" s="55">
        <f t="shared" ref="X19:Y19" si="30">SUM(X20:X25)</f>
        <v>2.1496130696474629</v>
      </c>
      <c r="Y19" s="55">
        <f t="shared" si="30"/>
        <v>2.049269131556319</v>
      </c>
      <c r="DA19" s="10"/>
    </row>
    <row r="20" spans="1:105" x14ac:dyDescent="0.25">
      <c r="A20" s="61" t="s">
        <v>164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0</v>
      </c>
      <c r="O20" s="55">
        <v>0</v>
      </c>
      <c r="P20" s="55">
        <v>0</v>
      </c>
      <c r="Q20" s="55">
        <v>0</v>
      </c>
      <c r="R20" s="55">
        <v>0</v>
      </c>
      <c r="S20" s="55">
        <v>0</v>
      </c>
      <c r="T20" s="55">
        <v>0</v>
      </c>
      <c r="U20" s="55">
        <v>0</v>
      </c>
      <c r="V20" s="55">
        <v>0</v>
      </c>
      <c r="W20" s="55">
        <v>0</v>
      </c>
      <c r="X20" s="55">
        <v>0</v>
      </c>
      <c r="Y20" s="55">
        <v>0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8.8907996560619082E-2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" t="s">
        <v>989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4.0364574376612206</v>
      </c>
      <c r="Q24" s="55">
        <v>4.0364574376612206</v>
      </c>
      <c r="R24" s="55">
        <v>4.0603611349957003</v>
      </c>
      <c r="S24" s="55">
        <v>3.7833190025795349</v>
      </c>
      <c r="T24" s="55">
        <v>3.5444539982803089</v>
      </c>
      <c r="U24" s="55">
        <v>3.298452278589854</v>
      </c>
      <c r="V24" s="55">
        <v>3.4680137575236452</v>
      </c>
      <c r="W24" s="55">
        <v>1.667153912295787</v>
      </c>
      <c r="X24" s="55">
        <v>2.1496130696474629</v>
      </c>
      <c r="Y24" s="55">
        <v>2.049269131556319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1.1703353396388649</v>
      </c>
      <c r="M26" s="55">
        <v>1.026999140154772</v>
      </c>
      <c r="N26" s="55">
        <v>2.2690455717970761</v>
      </c>
      <c r="O26" s="55">
        <v>4.4425623387790196</v>
      </c>
      <c r="P26" s="55">
        <v>5.3024075666380046</v>
      </c>
      <c r="Q26" s="55">
        <v>4.1797936371453126</v>
      </c>
      <c r="R26" s="55">
        <v>4.6575236457437663</v>
      </c>
      <c r="S26" s="55">
        <v>5.6104901117798791</v>
      </c>
      <c r="T26" s="55">
        <v>5.8947549441100593</v>
      </c>
      <c r="U26" s="55">
        <v>6.4225279449699064</v>
      </c>
      <c r="V26" s="55">
        <v>7.6239896818572657</v>
      </c>
      <c r="W26" s="55">
        <v>6.4774720550300939</v>
      </c>
      <c r="X26" s="55">
        <v>7.6024935511607907</v>
      </c>
      <c r="Y26" s="55">
        <v>6.2505588993981078</v>
      </c>
      <c r="DA26" s="10" t="s">
        <v>992</v>
      </c>
    </row>
    <row r="27" spans="1:105" x14ac:dyDescent="0.25">
      <c r="A27" s="62" t="s">
        <v>24</v>
      </c>
      <c r="B27" s="63">
        <v>11.279879621668099</v>
      </c>
      <c r="C27" s="63">
        <v>11.416852966466029</v>
      </c>
      <c r="D27" s="63">
        <v>11.38392089423904</v>
      </c>
      <c r="E27" s="63">
        <v>10.83121238177128</v>
      </c>
      <c r="F27" s="63">
        <v>11.30601891659501</v>
      </c>
      <c r="G27" s="63">
        <v>11.78882201203783</v>
      </c>
      <c r="H27" s="63">
        <v>12.1018056749785</v>
      </c>
      <c r="I27" s="63">
        <v>12.238779019776439</v>
      </c>
      <c r="J27" s="63">
        <v>12.739724849527089</v>
      </c>
      <c r="K27" s="63">
        <v>12.88073946689596</v>
      </c>
      <c r="L27" s="63">
        <v>12.649699054170251</v>
      </c>
      <c r="M27" s="63">
        <v>12.786672398968189</v>
      </c>
      <c r="N27" s="63">
        <v>11.97334479793637</v>
      </c>
      <c r="O27" s="63">
        <v>11.908254514187449</v>
      </c>
      <c r="P27" s="63">
        <v>12.22717110920034</v>
      </c>
      <c r="Q27" s="63">
        <v>12.15803955288048</v>
      </c>
      <c r="R27" s="63">
        <v>12.282889079965599</v>
      </c>
      <c r="S27" s="63">
        <v>12.19260533104041</v>
      </c>
      <c r="T27" s="63">
        <v>12.80309544282029</v>
      </c>
      <c r="U27" s="63">
        <v>12.80808254514187</v>
      </c>
      <c r="V27" s="63">
        <v>12.992261392949271</v>
      </c>
      <c r="W27" s="63">
        <v>12.76010318142734</v>
      </c>
      <c r="X27" s="63">
        <v>12.76870163370593</v>
      </c>
      <c r="Y27" s="63">
        <v>12.777300085984519</v>
      </c>
      <c r="DA27" s="11" t="s">
        <v>993</v>
      </c>
    </row>
    <row r="29" spans="1:105" x14ac:dyDescent="0.25">
      <c r="A29" s="218" t="s">
        <v>84</v>
      </c>
      <c r="B29" s="219">
        <v>866.57019948000004</v>
      </c>
      <c r="C29" s="219">
        <v>809.53444007999997</v>
      </c>
      <c r="D29" s="219">
        <v>749.84633315999997</v>
      </c>
      <c r="E29" s="219">
        <v>761.50713059999998</v>
      </c>
      <c r="F29" s="219">
        <v>704.68224875999988</v>
      </c>
      <c r="G29" s="219">
        <v>716.27209847999995</v>
      </c>
      <c r="H29" s="219">
        <v>726.37692192000009</v>
      </c>
      <c r="I29" s="219">
        <v>710.23549032000005</v>
      </c>
      <c r="J29" s="219">
        <v>753.36498468000002</v>
      </c>
      <c r="K29" s="219">
        <v>740.45943179999995</v>
      </c>
      <c r="L29" s="219">
        <v>721.42824096000015</v>
      </c>
      <c r="M29" s="219">
        <v>738.69920135999985</v>
      </c>
      <c r="N29" s="219">
        <v>675.19247436000001</v>
      </c>
      <c r="O29" s="219">
        <v>659.04904368000018</v>
      </c>
      <c r="P29" s="219">
        <v>664.24713552000003</v>
      </c>
      <c r="Q29" s="219">
        <v>657.60580979999997</v>
      </c>
      <c r="R29" s="219">
        <v>660.97051524000005</v>
      </c>
      <c r="S29" s="219">
        <v>651.9996853199998</v>
      </c>
      <c r="T29" s="219">
        <v>665.18330256000013</v>
      </c>
      <c r="U29" s="219">
        <v>669.81216096000003</v>
      </c>
      <c r="V29" s="219">
        <v>702.65092103999984</v>
      </c>
      <c r="W29" s="219">
        <v>711.01044287999991</v>
      </c>
      <c r="X29" s="219">
        <v>716.30108568000014</v>
      </c>
      <c r="Y29" s="219">
        <v>710.98749540000006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125.4856916737141</v>
      </c>
      <c r="C31" s="59">
        <f t="shared" si="31"/>
        <v>115.11358941138005</v>
      </c>
      <c r="D31" s="59">
        <f t="shared" si="31"/>
        <v>104.01954161486032</v>
      </c>
      <c r="E31" s="59">
        <f t="shared" si="31"/>
        <v>122.90856516754042</v>
      </c>
      <c r="F31" s="59">
        <f t="shared" si="31"/>
        <v>98.549733451828004</v>
      </c>
      <c r="G31" s="59">
        <f t="shared" si="31"/>
        <v>110.40153026846772</v>
      </c>
      <c r="H31" s="59">
        <f t="shared" si="31"/>
        <v>103.27636596216166</v>
      </c>
      <c r="I31" s="59">
        <f t="shared" si="31"/>
        <v>104.37119061283394</v>
      </c>
      <c r="J31" s="59">
        <f t="shared" si="31"/>
        <v>103.27398227651561</v>
      </c>
      <c r="K31" s="59">
        <f t="shared" si="31"/>
        <v>106.07420791820631</v>
      </c>
      <c r="L31" s="59">
        <f t="shared" si="31"/>
        <v>115.25062059891253</v>
      </c>
      <c r="M31" s="59">
        <f t="shared" si="31"/>
        <v>118.75051381700901</v>
      </c>
      <c r="N31" s="59">
        <f t="shared" si="31"/>
        <v>123.24912908513951</v>
      </c>
      <c r="O31" s="59">
        <f t="shared" si="31"/>
        <v>115.56507153795788</v>
      </c>
      <c r="P31" s="59">
        <f t="shared" si="31"/>
        <v>139.92344992688984</v>
      </c>
      <c r="Q31" s="59">
        <f t="shared" si="31"/>
        <v>132.9165996552079</v>
      </c>
      <c r="R31" s="59">
        <f t="shared" si="31"/>
        <v>125.87226816435221</v>
      </c>
      <c r="S31" s="59">
        <f t="shared" si="31"/>
        <v>127.6558534154226</v>
      </c>
      <c r="T31" s="59">
        <f t="shared" si="31"/>
        <v>123.60682507673083</v>
      </c>
      <c r="U31" s="59">
        <f t="shared" si="31"/>
        <v>124.68814610254053</v>
      </c>
      <c r="V31" s="59">
        <f t="shared" si="31"/>
        <v>131.10839279820988</v>
      </c>
      <c r="W31" s="59">
        <f t="shared" si="31"/>
        <v>108.62105918138343</v>
      </c>
      <c r="X31" s="59">
        <f t="shared" si="31"/>
        <v>101.59610175772461</v>
      </c>
      <c r="Y31" s="59">
        <f t="shared" si="31"/>
        <v>97.91242652077311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112.47171201628663</v>
      </c>
      <c r="C32" s="55">
        <f t="shared" si="32"/>
        <v>109.8194243354616</v>
      </c>
      <c r="D32" s="55">
        <f t="shared" si="32"/>
        <v>113.80906613357638</v>
      </c>
      <c r="E32" s="55">
        <f t="shared" si="32"/>
        <v>119.53787119840253</v>
      </c>
      <c r="F32" s="55">
        <f t="shared" si="32"/>
        <v>117.3061606093235</v>
      </c>
      <c r="G32" s="55">
        <f t="shared" si="32"/>
        <v>134.29403412451362</v>
      </c>
      <c r="H32" s="55">
        <f t="shared" si="32"/>
        <v>130.05722800154635</v>
      </c>
      <c r="I32" s="55">
        <f t="shared" si="32"/>
        <v>117.81469406104156</v>
      </c>
      <c r="J32" s="55">
        <f t="shared" si="32"/>
        <v>123.49619118298857</v>
      </c>
      <c r="K32" s="55">
        <f t="shared" si="32"/>
        <v>137.83360398812141</v>
      </c>
      <c r="L32" s="55">
        <f t="shared" si="32"/>
        <v>128.47617233393535</v>
      </c>
      <c r="M32" s="55">
        <f t="shared" si="32"/>
        <v>116.02131221383354</v>
      </c>
      <c r="N32" s="55">
        <f t="shared" si="32"/>
        <v>118.31216844961241</v>
      </c>
      <c r="O32" s="55">
        <f t="shared" si="32"/>
        <v>117.89482713876835</v>
      </c>
      <c r="P32" s="55">
        <f t="shared" si="32"/>
        <v>114.21265320772919</v>
      </c>
      <c r="Q32" s="55">
        <f t="shared" si="32"/>
        <v>116.67728719019786</v>
      </c>
      <c r="R32" s="55">
        <f t="shared" si="32"/>
        <v>118.41249825520165</v>
      </c>
      <c r="S32" s="55">
        <f t="shared" si="32"/>
        <v>109.25986032686187</v>
      </c>
      <c r="T32" s="55">
        <f t="shared" si="32"/>
        <v>115.03952384499111</v>
      </c>
      <c r="U32" s="55">
        <f t="shared" si="32"/>
        <v>114.31053707016741</v>
      </c>
      <c r="V32" s="55">
        <f t="shared" si="32"/>
        <v>121.02278233994654</v>
      </c>
      <c r="W32" s="55">
        <f t="shared" si="32"/>
        <v>115.61293230102247</v>
      </c>
      <c r="X32" s="55">
        <f t="shared" si="32"/>
        <v>98.926512660278448</v>
      </c>
      <c r="Y32" s="55">
        <f t="shared" si="32"/>
        <v>101.37891512464498</v>
      </c>
      <c r="DA32" s="216"/>
    </row>
    <row r="33" spans="1:105" x14ac:dyDescent="0.25">
      <c r="A33" s="35" t="s">
        <v>111</v>
      </c>
      <c r="B33" s="55">
        <f>IF(AGR_ued!B$5=0,"",AGR_ued!B$5/B$5*1000)</f>
        <v>42.679470149648488</v>
      </c>
      <c r="C33" s="55">
        <f>IF(AGR_ued!C$5=0,"",AGR_ued!C$5/C$5*1000)</f>
        <v>42.016559378559585</v>
      </c>
      <c r="D33" s="55">
        <f>IF(AGR_ued!D$5=0,"",AGR_ued!D$5/D$5*1000)</f>
        <v>43.674127989906864</v>
      </c>
      <c r="E33" s="55">
        <f>IF(AGR_ued!E$5=0,"",AGR_ued!E$5/E$5*1000)</f>
        <v>45.750370507509558</v>
      </c>
      <c r="F33" s="55">
        <f>IF(AGR_ued!F$5=0,"",AGR_ued!F$5/F$5*1000)</f>
        <v>45.003958241618037</v>
      </c>
      <c r="G33" s="55">
        <f>IF(AGR_ued!G$5=0,"",AGR_ued!G$5/G$5*1000)</f>
        <v>51.582292882318463</v>
      </c>
      <c r="H33" s="55">
        <f>IF(AGR_ued!H$5=0,"",AGR_ued!H$5/H$5*1000)</f>
        <v>49.886028638033061</v>
      </c>
      <c r="I33" s="55">
        <f>IF(AGR_ued!I$5=0,"",AGR_ued!I$5/I$5*1000)</f>
        <v>45.208775873246552</v>
      </c>
      <c r="J33" s="55">
        <f>IF(AGR_ued!J$5=0,"",AGR_ued!J$5/J$5*1000)</f>
        <v>47.371672193172195</v>
      </c>
      <c r="K33" s="55">
        <f>IF(AGR_ued!K$5=0,"",AGR_ued!K$5/K$5*1000)</f>
        <v>52.91539381730761</v>
      </c>
      <c r="L33" s="55">
        <f>IF(AGR_ued!L$5=0,"",AGR_ued!L$5/L$5*1000)</f>
        <v>49.497242512716127</v>
      </c>
      <c r="M33" s="55">
        <f>IF(AGR_ued!M$5=0,"",AGR_ued!M$5/M$5*1000)</f>
        <v>44.641260891914513</v>
      </c>
      <c r="N33" s="55">
        <f>IF(AGR_ued!N$5=0,"",AGR_ued!N$5/N$5*1000)</f>
        <v>45.667934258711902</v>
      </c>
      <c r="O33" s="55">
        <f>IF(AGR_ued!O$5=0,"",AGR_ued!O$5/O$5*1000)</f>
        <v>45.751590921135026</v>
      </c>
      <c r="P33" s="55">
        <f>IF(AGR_ued!P$5=0,"",AGR_ued!P$5/P$5*1000)</f>
        <v>44.419314490716559</v>
      </c>
      <c r="Q33" s="55">
        <f>IF(AGR_ued!Q$5=0,"",AGR_ued!Q$5/Q$5*1000)</f>
        <v>45.318402877432938</v>
      </c>
      <c r="R33" s="55">
        <f>IF(AGR_ued!R$5=0,"",AGR_ued!R$5/R$5*1000)</f>
        <v>46.197078759903533</v>
      </c>
      <c r="S33" s="55">
        <f>IF(AGR_ued!S$5=0,"",AGR_ued!S$5/S$5*1000)</f>
        <v>42.64080829648379</v>
      </c>
      <c r="T33" s="55">
        <f>IF(AGR_ued!T$5=0,"",AGR_ued!T$5/T$5*1000)</f>
        <v>44.930371095454667</v>
      </c>
      <c r="U33" s="55">
        <f>IF(AGR_ued!U$5=0,"",AGR_ued!U$5/U$5*1000)</f>
        <v>44.729698435379774</v>
      </c>
      <c r="V33" s="55">
        <f>IF(AGR_ued!V$5=0,"",AGR_ued!V$5/V$5*1000)</f>
        <v>47.453665374995509</v>
      </c>
      <c r="W33" s="55">
        <f>IF(AGR_ued!W$5=0,"",AGR_ued!W$5/W$5*1000)</f>
        <v>45.313709769650018</v>
      </c>
      <c r="X33" s="55">
        <f>IF(AGR_ued!X$5=0,"",AGR_ued!X$5/X$5*1000)</f>
        <v>38.767055097526104</v>
      </c>
      <c r="Y33" s="55">
        <f>IF(AGR_ued!Y$5=0,"",AGR_ued!Y$5/Y$5*1000)</f>
        <v>39.580771592092688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2.946978144615986</v>
      </c>
      <c r="C34" s="217">
        <f t="shared" si="33"/>
        <v>2.9111669076322984</v>
      </c>
      <c r="D34" s="217">
        <f t="shared" si="33"/>
        <v>2.8986576040002192</v>
      </c>
      <c r="E34" s="217">
        <f t="shared" si="33"/>
        <v>2.9168629105031174</v>
      </c>
      <c r="F34" s="217">
        <f t="shared" si="33"/>
        <v>2.8995904190671018</v>
      </c>
      <c r="G34" s="217">
        <f t="shared" si="33"/>
        <v>2.8868407263821081</v>
      </c>
      <c r="H34" s="217">
        <f t="shared" si="33"/>
        <v>2.8957691388786402</v>
      </c>
      <c r="I34" s="217">
        <f t="shared" si="33"/>
        <v>2.8918626142110928</v>
      </c>
      <c r="J34" s="217">
        <f t="shared" si="33"/>
        <v>2.891568515845512</v>
      </c>
      <c r="K34" s="217">
        <f t="shared" si="33"/>
        <v>2.8893781843173465</v>
      </c>
      <c r="L34" s="217">
        <f t="shared" si="33"/>
        <v>2.8671658767172841</v>
      </c>
      <c r="M34" s="217">
        <f t="shared" si="33"/>
        <v>2.8743851998056771</v>
      </c>
      <c r="N34" s="217">
        <f t="shared" si="33"/>
        <v>2.8497829141996518</v>
      </c>
      <c r="O34" s="217">
        <f t="shared" si="33"/>
        <v>2.8196763711203858</v>
      </c>
      <c r="P34" s="217">
        <f t="shared" si="33"/>
        <v>2.7567964247470944</v>
      </c>
      <c r="Q34" s="217">
        <f t="shared" si="33"/>
        <v>2.7696155933646169</v>
      </c>
      <c r="R34" s="217">
        <f t="shared" si="33"/>
        <v>2.7490149834249902</v>
      </c>
      <c r="S34" s="217">
        <f t="shared" si="33"/>
        <v>2.7456256466518623</v>
      </c>
      <c r="T34" s="217">
        <f t="shared" si="33"/>
        <v>2.7449500722325832</v>
      </c>
      <c r="U34" s="217">
        <f t="shared" si="33"/>
        <v>2.736623136191795</v>
      </c>
      <c r="V34" s="217">
        <f t="shared" si="33"/>
        <v>2.7271013873048995</v>
      </c>
      <c r="W34" s="217">
        <f t="shared" si="33"/>
        <v>2.7511361634895994</v>
      </c>
      <c r="X34" s="217">
        <f t="shared" si="33"/>
        <v>2.7496000903239652</v>
      </c>
      <c r="Y34" s="217">
        <f t="shared" si="33"/>
        <v>2.7712335750957169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294.05382631126395</v>
      </c>
      <c r="C5" s="80">
        <f t="shared" ref="C5:W5" si="1">SUM(C6:C9,C16:C17,C25:C27)</f>
        <v>278.07901977644025</v>
      </c>
      <c r="D5" s="80">
        <f t="shared" si="1"/>
        <v>258.68744625967321</v>
      </c>
      <c r="E5" s="80">
        <f t="shared" si="1"/>
        <v>261.07059329320714</v>
      </c>
      <c r="F5" s="80">
        <f t="shared" si="1"/>
        <v>243.0282029234738</v>
      </c>
      <c r="G5" s="80">
        <f t="shared" si="1"/>
        <v>248.11625107480643</v>
      </c>
      <c r="H5" s="80">
        <f t="shared" si="1"/>
        <v>250.84075666380048</v>
      </c>
      <c r="I5" s="80">
        <f t="shared" si="1"/>
        <v>245.59793637145316</v>
      </c>
      <c r="J5" s="80">
        <f t="shared" si="1"/>
        <v>260.53852106620815</v>
      </c>
      <c r="K5" s="80">
        <f t="shared" si="1"/>
        <v>256.26947549441104</v>
      </c>
      <c r="L5" s="80">
        <f t="shared" si="1"/>
        <v>251.61719690455715</v>
      </c>
      <c r="M5" s="80">
        <f t="shared" si="1"/>
        <v>256.99380911435935</v>
      </c>
      <c r="N5" s="80">
        <f t="shared" si="1"/>
        <v>236.92768701633705</v>
      </c>
      <c r="O5" s="80">
        <f t="shared" si="1"/>
        <v>233.73215821152198</v>
      </c>
      <c r="P5" s="80">
        <f t="shared" si="1"/>
        <v>240.94892519346519</v>
      </c>
      <c r="Q5" s="80">
        <f t="shared" si="1"/>
        <v>237.43576956147891</v>
      </c>
      <c r="R5" s="80">
        <f t="shared" si="1"/>
        <v>240.43903697334477</v>
      </c>
      <c r="S5" s="80">
        <f t="shared" si="1"/>
        <v>237.46852966466028</v>
      </c>
      <c r="T5" s="80">
        <f t="shared" si="1"/>
        <v>242.32983662940666</v>
      </c>
      <c r="U5" s="80">
        <f t="shared" si="1"/>
        <v>244.75864144453999</v>
      </c>
      <c r="V5" s="80">
        <f t="shared" si="1"/>
        <v>257.65485812553743</v>
      </c>
      <c r="W5" s="80">
        <f t="shared" si="1"/>
        <v>258.44247635425626</v>
      </c>
      <c r="X5" s="80">
        <f t="shared" ref="X5:Y5" si="2">SUM(X6:X9,X16:X17,X25:X27)</f>
        <v>260.51100601891659</v>
      </c>
      <c r="Y5" s="80">
        <f t="shared" si="2"/>
        <v>256.55993121238185</v>
      </c>
      <c r="DA5" s="103"/>
    </row>
    <row r="6" spans="1:105" x14ac:dyDescent="0.25">
      <c r="A6" s="238" t="s">
        <v>125</v>
      </c>
      <c r="B6" s="239">
        <v>2.225697116576411</v>
      </c>
      <c r="C6" s="239">
        <v>2.2496051768449998</v>
      </c>
      <c r="D6" s="239">
        <v>2.2386269059965178</v>
      </c>
      <c r="E6" s="239">
        <v>2.1338431801466471</v>
      </c>
      <c r="F6" s="239">
        <v>2.2188932098085501</v>
      </c>
      <c r="G6" s="239">
        <v>2.311533090713223</v>
      </c>
      <c r="H6" s="239">
        <v>2.3714377189919671</v>
      </c>
      <c r="I6" s="239">
        <v>2.395030331095616</v>
      </c>
      <c r="J6" s="239">
        <v>2.4948157127409818</v>
      </c>
      <c r="K6" s="239">
        <v>2.519758126912496</v>
      </c>
      <c r="L6" s="239">
        <v>2.4750484238550681</v>
      </c>
      <c r="M6" s="239">
        <v>2.5027150079357612</v>
      </c>
      <c r="N6" s="239">
        <v>2.3422489901933621</v>
      </c>
      <c r="O6" s="239">
        <v>2.329639444511852</v>
      </c>
      <c r="P6" s="239">
        <v>2.3929179066292172</v>
      </c>
      <c r="Q6" s="239">
        <v>2.3786819270357822</v>
      </c>
      <c r="R6" s="239">
        <v>2.4042896086592349</v>
      </c>
      <c r="S6" s="239">
        <v>2.386038570748064</v>
      </c>
      <c r="T6" s="239">
        <v>2.5025392236782422</v>
      </c>
      <c r="U6" s="239">
        <v>2.5048320653693881</v>
      </c>
      <c r="V6" s="239">
        <v>2.5453899397744579</v>
      </c>
      <c r="W6" s="239">
        <v>2.5017663326563402</v>
      </c>
      <c r="X6" s="239">
        <v>2.504544455136998</v>
      </c>
      <c r="Y6" s="239">
        <v>2.5040274454034441</v>
      </c>
      <c r="DA6" s="267" t="s">
        <v>995</v>
      </c>
    </row>
    <row r="7" spans="1:105" x14ac:dyDescent="0.25">
      <c r="A7" s="240" t="s">
        <v>124</v>
      </c>
      <c r="B7" s="241">
        <v>1.446703125774667</v>
      </c>
      <c r="C7" s="241">
        <v>1.4622433649492499</v>
      </c>
      <c r="D7" s="241">
        <v>1.455107488897736</v>
      </c>
      <c r="E7" s="241">
        <v>1.3869980670953199</v>
      </c>
      <c r="F7" s="241">
        <v>1.442280586375557</v>
      </c>
      <c r="G7" s="241">
        <v>1.5024965089635951</v>
      </c>
      <c r="H7" s="241">
        <v>1.5414345173447781</v>
      </c>
      <c r="I7" s="241">
        <v>1.55676971521215</v>
      </c>
      <c r="J7" s="241">
        <v>1.621630213281638</v>
      </c>
      <c r="K7" s="241">
        <v>1.6378427824931221</v>
      </c>
      <c r="L7" s="241">
        <v>1.6087814755057941</v>
      </c>
      <c r="M7" s="241">
        <v>1.6267647551582449</v>
      </c>
      <c r="N7" s="241">
        <v>1.522461843625684</v>
      </c>
      <c r="O7" s="241">
        <v>1.5142656389327029</v>
      </c>
      <c r="P7" s="241">
        <v>1.5553966393089911</v>
      </c>
      <c r="Q7" s="241">
        <v>1.5461432525732579</v>
      </c>
      <c r="R7" s="241">
        <v>1.562788245628502</v>
      </c>
      <c r="S7" s="241">
        <v>1.550925070986241</v>
      </c>
      <c r="T7" s="241">
        <v>1.626650495390856</v>
      </c>
      <c r="U7" s="241">
        <v>1.6281408424901009</v>
      </c>
      <c r="V7" s="241">
        <v>1.6545034608533979</v>
      </c>
      <c r="W7" s="241">
        <v>1.6261481162266209</v>
      </c>
      <c r="X7" s="241">
        <v>1.627953895839048</v>
      </c>
      <c r="Y7" s="241">
        <v>1.6276178395122389</v>
      </c>
      <c r="DA7" s="268" t="s">
        <v>996</v>
      </c>
    </row>
    <row r="8" spans="1:105" x14ac:dyDescent="0.25">
      <c r="A8" s="240" t="s">
        <v>123</v>
      </c>
      <c r="B8" s="241">
        <v>2.0031274049187702</v>
      </c>
      <c r="C8" s="241">
        <v>2.024644659160499</v>
      </c>
      <c r="D8" s="241">
        <v>2.0147642153968661</v>
      </c>
      <c r="E8" s="241">
        <v>1.920458862131982</v>
      </c>
      <c r="F8" s="241">
        <v>1.9970038888276951</v>
      </c>
      <c r="G8" s="241">
        <v>2.0803797816419012</v>
      </c>
      <c r="H8" s="241">
        <v>2.13429394709277</v>
      </c>
      <c r="I8" s="241">
        <v>2.1555272979860538</v>
      </c>
      <c r="J8" s="241">
        <v>2.2453341414668828</v>
      </c>
      <c r="K8" s="241">
        <v>2.2677823142212472</v>
      </c>
      <c r="L8" s="241">
        <v>2.2275435814695599</v>
      </c>
      <c r="M8" s="241">
        <v>2.2524435071421842</v>
      </c>
      <c r="N8" s="241">
        <v>2.108024091174026</v>
      </c>
      <c r="O8" s="241">
        <v>2.0966755000606661</v>
      </c>
      <c r="P8" s="241">
        <v>2.1536261159662948</v>
      </c>
      <c r="Q8" s="241">
        <v>2.140813734332204</v>
      </c>
      <c r="R8" s="241">
        <v>2.163860647793312</v>
      </c>
      <c r="S8" s="241">
        <v>2.147434713673257</v>
      </c>
      <c r="T8" s="241">
        <v>2.2522853013104172</v>
      </c>
      <c r="U8" s="241">
        <v>2.254348858832449</v>
      </c>
      <c r="V8" s="241">
        <v>2.290850945797013</v>
      </c>
      <c r="W8" s="241">
        <v>2.2515896993907059</v>
      </c>
      <c r="X8" s="241">
        <v>2.2540900096232979</v>
      </c>
      <c r="Y8" s="241">
        <v>2.2536247008630999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62.198525525943779</v>
      </c>
      <c r="C9" s="243">
        <f t="shared" ref="C9:W9" si="4">SUM(C10:C15)</f>
        <v>59.399583192100572</v>
      </c>
      <c r="D9" s="243">
        <f t="shared" si="4"/>
        <v>55.272389248276788</v>
      </c>
      <c r="E9" s="243">
        <f t="shared" si="4"/>
        <v>55.826939913316515</v>
      </c>
      <c r="F9" s="243">
        <f t="shared" si="4"/>
        <v>51.689979734212642</v>
      </c>
      <c r="G9" s="243">
        <f t="shared" si="4"/>
        <v>52.701662787997961</v>
      </c>
      <c r="H9" s="243">
        <f t="shared" si="4"/>
        <v>53.138890397484857</v>
      </c>
      <c r="I9" s="243">
        <f t="shared" si="4"/>
        <v>51.915572111050778</v>
      </c>
      <c r="J9" s="243">
        <f t="shared" si="4"/>
        <v>55.097039578810161</v>
      </c>
      <c r="K9" s="243">
        <f t="shared" si="4"/>
        <v>54.16939667195885</v>
      </c>
      <c r="L9" s="243">
        <f t="shared" si="4"/>
        <v>53.638292800963491</v>
      </c>
      <c r="M9" s="243">
        <f t="shared" si="4"/>
        <v>54.691101450188008</v>
      </c>
      <c r="N9" s="243">
        <f t="shared" si="4"/>
        <v>50.774000323218893</v>
      </c>
      <c r="O9" s="243">
        <f t="shared" si="4"/>
        <v>50.837773039859471</v>
      </c>
      <c r="P9" s="243">
        <f t="shared" si="4"/>
        <v>52.827791857286883</v>
      </c>
      <c r="Q9" s="243">
        <f t="shared" si="4"/>
        <v>51.831475732972265</v>
      </c>
      <c r="R9" s="243">
        <f t="shared" si="4"/>
        <v>52.96363979530436</v>
      </c>
      <c r="S9" s="243">
        <f t="shared" si="4"/>
        <v>52.446515058262705</v>
      </c>
      <c r="T9" s="243">
        <f t="shared" si="4"/>
        <v>53.487054406375385</v>
      </c>
      <c r="U9" s="243">
        <f t="shared" si="4"/>
        <v>54.283934778024829</v>
      </c>
      <c r="V9" s="243">
        <f t="shared" si="4"/>
        <v>57.669093027789991</v>
      </c>
      <c r="W9" s="243">
        <f t="shared" si="4"/>
        <v>57.636764301358902</v>
      </c>
      <c r="X9" s="243">
        <f t="shared" ref="X9:Y9" si="5">SUM(X10:X15)</f>
        <v>58.377414573743664</v>
      </c>
      <c r="Y9" s="243">
        <f t="shared" si="5"/>
        <v>56.874687439950591</v>
      </c>
      <c r="DA9" s="269"/>
    </row>
    <row r="10" spans="1:105" x14ac:dyDescent="0.25">
      <c r="A10" s="253" t="s">
        <v>166</v>
      </c>
      <c r="B10" s="254">
        <v>57.327399566207653</v>
      </c>
      <c r="C10" s="254">
        <v>51.779473559148506</v>
      </c>
      <c r="D10" s="254">
        <v>47.484014403664588</v>
      </c>
      <c r="E10" s="254">
        <v>49.440897225608133</v>
      </c>
      <c r="F10" s="254">
        <v>45.44044503168314</v>
      </c>
      <c r="G10" s="254">
        <v>45.20973432544983</v>
      </c>
      <c r="H10" s="254">
        <v>46.992196119150023</v>
      </c>
      <c r="I10" s="254">
        <v>46.06934306818043</v>
      </c>
      <c r="J10" s="254">
        <v>48.410468036985833</v>
      </c>
      <c r="K10" s="254">
        <v>47.816349850491562</v>
      </c>
      <c r="L10" s="254">
        <v>45.376683345079257</v>
      </c>
      <c r="M10" s="254">
        <v>46.764781584443973</v>
      </c>
      <c r="N10" s="254">
        <v>41.916247301736462</v>
      </c>
      <c r="O10" s="254">
        <v>39.859061823124023</v>
      </c>
      <c r="P10" s="254">
        <v>39.235534901646467</v>
      </c>
      <c r="Q10" s="254">
        <v>39.458515729533588</v>
      </c>
      <c r="R10" s="254">
        <v>38.267842744398521</v>
      </c>
      <c r="S10" s="254">
        <v>38.086697927405837</v>
      </c>
      <c r="T10" s="254">
        <v>39.105973168680833</v>
      </c>
      <c r="U10" s="254">
        <v>38.556449748482429</v>
      </c>
      <c r="V10" s="254">
        <v>39.69043512673106</v>
      </c>
      <c r="W10" s="254">
        <v>39.513396971492682</v>
      </c>
      <c r="X10" s="254">
        <v>40.785568258809882</v>
      </c>
      <c r="Y10" s="254">
        <v>41.769941220025508</v>
      </c>
      <c r="DA10" s="270" t="s">
        <v>998</v>
      </c>
    </row>
    <row r="11" spans="1:105" x14ac:dyDescent="0.25">
      <c r="A11" s="253" t="s">
        <v>169</v>
      </c>
      <c r="B11" s="255">
        <v>4.7197319199537091</v>
      </c>
      <c r="C11" s="255">
        <v>7.4512825498013404</v>
      </c>
      <c r="D11" s="255">
        <v>7.5975884795578121</v>
      </c>
      <c r="E11" s="255">
        <v>6.2240462058198442</v>
      </c>
      <c r="F11" s="255">
        <v>6.0379818342729186</v>
      </c>
      <c r="G11" s="255">
        <v>7.2607719033784539</v>
      </c>
      <c r="H11" s="255">
        <v>5.9020771976245783</v>
      </c>
      <c r="I11" s="255">
        <v>5.5826016779246768</v>
      </c>
      <c r="J11" s="255">
        <v>6.420925255299184</v>
      </c>
      <c r="K11" s="255">
        <v>6.0710979884664509</v>
      </c>
      <c r="L11" s="255">
        <v>6.8168171806941107</v>
      </c>
      <c r="M11" s="255">
        <v>6.6262233656211604</v>
      </c>
      <c r="N11" s="255">
        <v>6.3266076021050246</v>
      </c>
      <c r="O11" s="255">
        <v>6.27609158573068</v>
      </c>
      <c r="P11" s="255">
        <v>6.5520636181318253</v>
      </c>
      <c r="Q11" s="255">
        <v>6.4556197383887666</v>
      </c>
      <c r="R11" s="255">
        <v>8.3162122262742155</v>
      </c>
      <c r="S11" s="255">
        <v>7.1306505270042413</v>
      </c>
      <c r="T11" s="255">
        <v>6.9321899798920299</v>
      </c>
      <c r="U11" s="255">
        <v>7.849052508661166</v>
      </c>
      <c r="V11" s="255">
        <v>8.8672627211901318</v>
      </c>
      <c r="W11" s="255">
        <v>10.801213066914331</v>
      </c>
      <c r="X11" s="255">
        <v>8.9871539534019469</v>
      </c>
      <c r="Y11" s="255">
        <v>7.8672917753446816</v>
      </c>
      <c r="DA11" s="271" t="s">
        <v>999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1.475204194194631</v>
      </c>
      <c r="Q12" s="255">
        <v>1.4729167095937901</v>
      </c>
      <c r="R12" s="255">
        <v>1.460620141592482</v>
      </c>
      <c r="S12" s="255">
        <v>1.35626401416221</v>
      </c>
      <c r="T12" s="255">
        <v>1.263736988665894</v>
      </c>
      <c r="U12" s="255">
        <v>1.1719823570031529</v>
      </c>
      <c r="V12" s="255">
        <v>1.2220938032508739</v>
      </c>
      <c r="W12" s="255">
        <v>0.59341068906967376</v>
      </c>
      <c r="X12" s="255">
        <v>0.75621945163054716</v>
      </c>
      <c r="Y12" s="255">
        <v>0.72973268552332082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1.17033533963591</v>
      </c>
      <c r="M14" s="254">
        <v>1.0269991401521461</v>
      </c>
      <c r="N14" s="254">
        <v>2.2690455717913989</v>
      </c>
      <c r="O14" s="254">
        <v>4.4425623387679032</v>
      </c>
      <c r="P14" s="254">
        <v>5.3024075666245603</v>
      </c>
      <c r="Q14" s="254">
        <v>4.1797936371348108</v>
      </c>
      <c r="R14" s="254">
        <v>4.6575236457318416</v>
      </c>
      <c r="S14" s="254">
        <v>5.6104901117656647</v>
      </c>
      <c r="T14" s="254">
        <v>5.8947549440957774</v>
      </c>
      <c r="U14" s="254">
        <v>6.4225279449540444</v>
      </c>
      <c r="V14" s="254">
        <v>7.6239896818371378</v>
      </c>
      <c r="W14" s="254">
        <v>6.4774720550124991</v>
      </c>
      <c r="X14" s="254">
        <v>7.6024935511398182</v>
      </c>
      <c r="Y14" s="254">
        <v>6.250558899381403</v>
      </c>
      <c r="DA14" s="270" t="s">
        <v>1002</v>
      </c>
    </row>
    <row r="15" spans="1:105" x14ac:dyDescent="0.25">
      <c r="A15" s="253" t="s">
        <v>24</v>
      </c>
      <c r="B15" s="255">
        <v>0.15139403978241731</v>
      </c>
      <c r="C15" s="255">
        <v>0.1688270831507204</v>
      </c>
      <c r="D15" s="255">
        <v>0.19078636505438251</v>
      </c>
      <c r="E15" s="255">
        <v>0.1619964818885353</v>
      </c>
      <c r="F15" s="255">
        <v>0.2115528682565789</v>
      </c>
      <c r="G15" s="255">
        <v>0.23115655916967909</v>
      </c>
      <c r="H15" s="255">
        <v>0.24461708071025701</v>
      </c>
      <c r="I15" s="255">
        <v>0.26362736494567057</v>
      </c>
      <c r="J15" s="255">
        <v>0.26564628652514871</v>
      </c>
      <c r="K15" s="255">
        <v>0.28194883300084189</v>
      </c>
      <c r="L15" s="255">
        <v>0.27445693555421169</v>
      </c>
      <c r="M15" s="255">
        <v>0.27309735997072671</v>
      </c>
      <c r="N15" s="255">
        <v>0.26209984758600358</v>
      </c>
      <c r="O15" s="255">
        <v>0.26005729223686552</v>
      </c>
      <c r="P15" s="255">
        <v>0.2625815766894018</v>
      </c>
      <c r="Q15" s="255">
        <v>0.26462991832130811</v>
      </c>
      <c r="R15" s="255">
        <v>0.26144103730729901</v>
      </c>
      <c r="S15" s="255">
        <v>0.26241247792475442</v>
      </c>
      <c r="T15" s="255">
        <v>0.29039932504084581</v>
      </c>
      <c r="U15" s="255">
        <v>0.28392221892403152</v>
      </c>
      <c r="V15" s="255">
        <v>0.26531169478079258</v>
      </c>
      <c r="W15" s="255">
        <v>0.25127151886971971</v>
      </c>
      <c r="X15" s="255">
        <v>0.24597935876146779</v>
      </c>
      <c r="Y15" s="255">
        <v>0.25716285967567731</v>
      </c>
      <c r="DA15" s="271" t="s">
        <v>1003</v>
      </c>
    </row>
    <row r="16" spans="1:105" x14ac:dyDescent="0.25">
      <c r="A16" s="256" t="s">
        <v>168</v>
      </c>
      <c r="B16" s="257">
        <v>82.97628253838252</v>
      </c>
      <c r="C16" s="257">
        <v>78.448063405846995</v>
      </c>
      <c r="D16" s="257">
        <v>72.885306944373042</v>
      </c>
      <c r="E16" s="257">
        <v>73.9773917405155</v>
      </c>
      <c r="F16" s="257">
        <v>68.559468192826472</v>
      </c>
      <c r="G16" s="257">
        <v>69.592516841419226</v>
      </c>
      <c r="H16" s="257">
        <v>70.624548088767625</v>
      </c>
      <c r="I16" s="257">
        <v>69.097405431287498</v>
      </c>
      <c r="J16" s="257">
        <v>73.157139831670833</v>
      </c>
      <c r="K16" s="257">
        <v>72.03517211763527</v>
      </c>
      <c r="L16" s="257">
        <v>70.434511574830637</v>
      </c>
      <c r="M16" s="257">
        <v>71.997501484403458</v>
      </c>
      <c r="N16" s="257">
        <v>66.067524967219697</v>
      </c>
      <c r="O16" s="257">
        <v>64.923739361836454</v>
      </c>
      <c r="P16" s="257">
        <v>66.538091227026484</v>
      </c>
      <c r="Q16" s="257">
        <v>65.885664501374634</v>
      </c>
      <c r="R16" s="257">
        <v>66.501110586169887</v>
      </c>
      <c r="S16" s="257">
        <v>65.67472490242136</v>
      </c>
      <c r="T16" s="257">
        <v>67.068700359352349</v>
      </c>
      <c r="U16" s="257">
        <v>67.535047928186415</v>
      </c>
      <c r="V16" s="257">
        <v>71.011823618132667</v>
      </c>
      <c r="W16" s="257">
        <v>71.173971625902666</v>
      </c>
      <c r="X16" s="257">
        <v>72.090919727315878</v>
      </c>
      <c r="Y16" s="257">
        <v>71.288990619666322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121.80594847276795</v>
      </c>
      <c r="C17" s="257">
        <f t="shared" ref="C17:W17" si="7">SUM(C18:C24)</f>
        <v>113.90889814623063</v>
      </c>
      <c r="D17" s="257">
        <f t="shared" si="7"/>
        <v>105.33109640155971</v>
      </c>
      <c r="E17" s="257">
        <f t="shared" si="7"/>
        <v>106.38167340844747</v>
      </c>
      <c r="F17" s="257">
        <f t="shared" si="7"/>
        <v>98.510015778371994</v>
      </c>
      <c r="G17" s="257">
        <f t="shared" si="7"/>
        <v>100.89162391583254</v>
      </c>
      <c r="H17" s="257">
        <f t="shared" si="7"/>
        <v>101.64903410175474</v>
      </c>
      <c r="I17" s="257">
        <f t="shared" si="7"/>
        <v>99.332164881225395</v>
      </c>
      <c r="J17" s="257">
        <f t="shared" si="7"/>
        <v>105.75250900186627</v>
      </c>
      <c r="K17" s="257">
        <f t="shared" si="7"/>
        <v>103.62395742652102</v>
      </c>
      <c r="L17" s="257">
        <f t="shared" si="7"/>
        <v>101.63457202851933</v>
      </c>
      <c r="M17" s="257">
        <f t="shared" si="7"/>
        <v>103.9567112224679</v>
      </c>
      <c r="N17" s="257">
        <f t="shared" si="7"/>
        <v>95.679491263882127</v>
      </c>
      <c r="O17" s="257">
        <f t="shared" si="7"/>
        <v>93.84681101228658</v>
      </c>
      <c r="P17" s="257">
        <f t="shared" si="7"/>
        <v>96.832603836564459</v>
      </c>
      <c r="Q17" s="257">
        <f t="shared" si="7"/>
        <v>95.164740184990833</v>
      </c>
      <c r="R17" s="257">
        <f t="shared" si="7"/>
        <v>96.174095947460131</v>
      </c>
      <c r="S17" s="257">
        <f t="shared" si="7"/>
        <v>94.797151145125156</v>
      </c>
      <c r="T17" s="257">
        <f t="shared" si="7"/>
        <v>96.373576039119328</v>
      </c>
      <c r="U17" s="257">
        <f t="shared" si="7"/>
        <v>97.438076133549458</v>
      </c>
      <c r="V17" s="257">
        <f t="shared" si="7"/>
        <v>102.60147807949367</v>
      </c>
      <c r="W17" s="257">
        <f t="shared" si="7"/>
        <v>103.44623697147428</v>
      </c>
      <c r="X17" s="257">
        <f t="shared" ref="X17:Y17" si="8">SUM(X18:X24)</f>
        <v>103.66707843065326</v>
      </c>
      <c r="Y17" s="257">
        <f t="shared" si="8"/>
        <v>102.17734227532065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2.239896818564636</v>
      </c>
      <c r="C19" s="55">
        <v>3.3598452278473281</v>
      </c>
      <c r="D19" s="55">
        <v>2.9118658641348789</v>
      </c>
      <c r="E19" s="55">
        <v>3.3598452278473712</v>
      </c>
      <c r="F19" s="55">
        <v>3.0239036973250908</v>
      </c>
      <c r="G19" s="55">
        <v>3.359845227848838</v>
      </c>
      <c r="H19" s="55">
        <v>3.3598452278490241</v>
      </c>
      <c r="I19" s="55">
        <v>3.3598452278494331</v>
      </c>
      <c r="J19" s="55">
        <v>3.3598452278492221</v>
      </c>
      <c r="K19" s="55">
        <v>3.3598452278495379</v>
      </c>
      <c r="L19" s="55">
        <v>3.3598452278494801</v>
      </c>
      <c r="M19" s="55">
        <v>3.3598452278493758</v>
      </c>
      <c r="N19" s="55">
        <v>3.3598452278495361</v>
      </c>
      <c r="O19" s="55">
        <v>3.3598452278495179</v>
      </c>
      <c r="P19" s="55">
        <v>3.3598452278494091</v>
      </c>
      <c r="Q19" s="55">
        <v>2.2398968185663342</v>
      </c>
      <c r="R19" s="55">
        <v>2.2398968185662378</v>
      </c>
      <c r="S19" s="55">
        <v>2.7999140154692479</v>
      </c>
      <c r="T19" s="55">
        <v>2.9118658641364781</v>
      </c>
      <c r="U19" s="55">
        <v>2.9118658641363431</v>
      </c>
      <c r="V19" s="55">
        <v>3.0239036973255651</v>
      </c>
      <c r="W19" s="55">
        <v>3.0239036973253599</v>
      </c>
      <c r="X19" s="55">
        <v>2.5759243336120692</v>
      </c>
      <c r="Y19" s="55">
        <v>2.6878761822791888</v>
      </c>
      <c r="DA19" s="101" t="s">
        <v>1006</v>
      </c>
    </row>
    <row r="20" spans="1:105" x14ac:dyDescent="0.25">
      <c r="A20" s="61" t="s">
        <v>166</v>
      </c>
      <c r="B20" s="55">
        <v>86.538148148667673</v>
      </c>
      <c r="C20" s="55">
        <v>82.182794625658701</v>
      </c>
      <c r="D20" s="55">
        <v>76.788100186479383</v>
      </c>
      <c r="E20" s="55">
        <v>79.650001643614402</v>
      </c>
      <c r="F20" s="55">
        <v>73.787636477742979</v>
      </c>
      <c r="G20" s="55">
        <v>72.786789628430057</v>
      </c>
      <c r="H20" s="55">
        <v>75.89470545252388</v>
      </c>
      <c r="I20" s="55">
        <v>74.557672836104871</v>
      </c>
      <c r="J20" s="55">
        <v>77.679797111949952</v>
      </c>
      <c r="K20" s="55">
        <v>77.469260058240479</v>
      </c>
      <c r="L20" s="55">
        <v>74.676410705437632</v>
      </c>
      <c r="M20" s="55">
        <v>76.42343329841691</v>
      </c>
      <c r="N20" s="55">
        <v>69.456399811906493</v>
      </c>
      <c r="O20" s="55">
        <v>68.401750405499342</v>
      </c>
      <c r="P20" s="55">
        <v>68.120834675648311</v>
      </c>
      <c r="Q20" s="55">
        <v>68.675649805896967</v>
      </c>
      <c r="R20" s="55">
        <v>68.112493233746989</v>
      </c>
      <c r="S20" s="55">
        <v>68.156722608142999</v>
      </c>
      <c r="T20" s="55">
        <v>70.576123816022275</v>
      </c>
      <c r="U20" s="55">
        <v>69.957649262425235</v>
      </c>
      <c r="V20" s="55">
        <v>72.94165145701524</v>
      </c>
      <c r="W20" s="55">
        <v>71.497266574533143</v>
      </c>
      <c r="X20" s="55">
        <v>75.150606607940901</v>
      </c>
      <c r="Y20" s="55">
        <v>75.530342660624555</v>
      </c>
      <c r="DA20" s="101" t="s">
        <v>1007</v>
      </c>
    </row>
    <row r="21" spans="1:105" x14ac:dyDescent="0.25">
      <c r="A21" s="61" t="s">
        <v>129</v>
      </c>
      <c r="B21" s="55">
        <v>25.903267411773111</v>
      </c>
      <c r="C21" s="55">
        <v>16.53981083399249</v>
      </c>
      <c r="D21" s="55">
        <v>13.34479793632757</v>
      </c>
      <c r="E21" s="55">
        <v>13.344797936325319</v>
      </c>
      <c r="F21" s="55">
        <v>11.89380911432249</v>
      </c>
      <c r="G21" s="55">
        <v>13.055288048111899</v>
      </c>
      <c r="H21" s="55">
        <v>12.862338778981639</v>
      </c>
      <c r="I21" s="55">
        <v>12.379879621632901</v>
      </c>
      <c r="J21" s="55">
        <v>14.409802235555709</v>
      </c>
      <c r="K21" s="55">
        <v>12.958813413549111</v>
      </c>
      <c r="L21" s="55">
        <v>12.379879621633069</v>
      </c>
      <c r="M21" s="55">
        <v>13.34479793633329</v>
      </c>
      <c r="N21" s="55">
        <v>12.379879621633281</v>
      </c>
      <c r="O21" s="55">
        <v>11.31487532241008</v>
      </c>
      <c r="P21" s="55">
        <v>11.414961306932209</v>
      </c>
      <c r="Q21" s="55">
        <v>10.449957007709109</v>
      </c>
      <c r="R21" s="55">
        <v>8.4200343937849844</v>
      </c>
      <c r="S21" s="55">
        <v>8.653052450534279</v>
      </c>
      <c r="T21" s="55">
        <v>8.0940670679056055</v>
      </c>
      <c r="U21" s="55">
        <v>8.2006018916366603</v>
      </c>
      <c r="V21" s="55">
        <v>8.0940670679039091</v>
      </c>
      <c r="W21" s="55">
        <v>8.307136715366175</v>
      </c>
      <c r="X21" s="55">
        <v>7.9876182286943962</v>
      </c>
      <c r="Y21" s="55">
        <v>8.4135855545751337</v>
      </c>
      <c r="DA21" s="101" t="s">
        <v>1008</v>
      </c>
    </row>
    <row r="22" spans="1:105" x14ac:dyDescent="0.25">
      <c r="A22" s="61" t="s">
        <v>169</v>
      </c>
      <c r="B22" s="55">
        <v>7.1246360937625388</v>
      </c>
      <c r="C22" s="55">
        <v>11.826447458732099</v>
      </c>
      <c r="D22" s="55">
        <v>12.286332414617879</v>
      </c>
      <c r="E22" s="55">
        <v>10.027028600660371</v>
      </c>
      <c r="F22" s="55">
        <v>9.8046664889814217</v>
      </c>
      <c r="G22" s="55">
        <v>11.689701011441739</v>
      </c>
      <c r="H22" s="55">
        <v>9.5321446424001923</v>
      </c>
      <c r="I22" s="55">
        <v>9.0347671956381941</v>
      </c>
      <c r="J22" s="55">
        <v>10.3030644265114</v>
      </c>
      <c r="K22" s="55">
        <v>9.8360387268818954</v>
      </c>
      <c r="L22" s="55">
        <v>11.21843647359916</v>
      </c>
      <c r="M22" s="55">
        <v>10.828634759868329</v>
      </c>
      <c r="N22" s="55">
        <v>10.48336660249282</v>
      </c>
      <c r="O22" s="55">
        <v>10.770340056527649</v>
      </c>
      <c r="P22" s="55">
        <v>11.375709382678981</v>
      </c>
      <c r="Q22" s="55">
        <v>11.235695824761921</v>
      </c>
      <c r="R22" s="55">
        <v>14.801930507969891</v>
      </c>
      <c r="S22" s="55">
        <v>12.76040708257166</v>
      </c>
      <c r="T22" s="55">
        <v>12.510802281449861</v>
      </c>
      <c r="U22" s="55">
        <v>14.241489193773329</v>
      </c>
      <c r="V22" s="55">
        <v>16.295935902986049</v>
      </c>
      <c r="W22" s="55">
        <v>19.544186761028339</v>
      </c>
      <c r="X22" s="55">
        <v>16.559535642395339</v>
      </c>
      <c r="Y22" s="55">
        <v>14.226001431814661</v>
      </c>
      <c r="DA22" s="101" t="s">
        <v>1009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1010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2.5612532434555479</v>
      </c>
      <c r="Q24" s="55">
        <v>2.563540728056493</v>
      </c>
      <c r="R24" s="55">
        <v>2.5997409933920288</v>
      </c>
      <c r="S24" s="55">
        <v>2.427054988406983</v>
      </c>
      <c r="T24" s="55">
        <v>2.280717009605107</v>
      </c>
      <c r="U24" s="55">
        <v>2.1264699215778831</v>
      </c>
      <c r="V24" s="55">
        <v>2.2459199542629231</v>
      </c>
      <c r="W24" s="55">
        <v>1.0737432232212629</v>
      </c>
      <c r="X24" s="55">
        <v>1.393393618010567</v>
      </c>
      <c r="Y24" s="55">
        <v>1.3195364460271211</v>
      </c>
      <c r="DA24" s="101" t="s">
        <v>1011</v>
      </c>
    </row>
    <row r="25" spans="1:105" x14ac:dyDescent="0.25">
      <c r="A25" s="256" t="s">
        <v>167</v>
      </c>
      <c r="B25" s="257">
        <v>15.944584191287669</v>
      </c>
      <c r="C25" s="257">
        <v>15.07444914803704</v>
      </c>
      <c r="D25" s="257">
        <v>14.00551913548107</v>
      </c>
      <c r="E25" s="257">
        <v>14.21537233019443</v>
      </c>
      <c r="F25" s="257">
        <v>13.174273169019949</v>
      </c>
      <c r="G25" s="257">
        <v>13.3727820759906</v>
      </c>
      <c r="H25" s="257">
        <v>13.571095480833421</v>
      </c>
      <c r="I25" s="257">
        <v>13.277642292411359</v>
      </c>
      <c r="J25" s="257">
        <v>14.057754090155919</v>
      </c>
      <c r="K25" s="257">
        <v>13.84215864373337</v>
      </c>
      <c r="L25" s="257">
        <v>13.53457838096835</v>
      </c>
      <c r="M25" s="257">
        <v>13.834919917621169</v>
      </c>
      <c r="N25" s="257">
        <v>12.695425511049519</v>
      </c>
      <c r="O25" s="257">
        <v>12.47563757498021</v>
      </c>
      <c r="P25" s="257">
        <v>12.785848739441301</v>
      </c>
      <c r="Q25" s="257">
        <v>12.66047950696225</v>
      </c>
      <c r="R25" s="257">
        <v>12.7787426011142</v>
      </c>
      <c r="S25" s="257">
        <v>12.61994570511072</v>
      </c>
      <c r="T25" s="257">
        <v>12.88780970616842</v>
      </c>
      <c r="U25" s="257">
        <v>12.977422277932369</v>
      </c>
      <c r="V25" s="257">
        <v>13.64551370124876</v>
      </c>
      <c r="W25" s="257">
        <v>13.6766717922387</v>
      </c>
      <c r="X25" s="257">
        <v>13.85287101151876</v>
      </c>
      <c r="Y25" s="257">
        <v>13.69877365042708</v>
      </c>
      <c r="DA25" s="272" t="s">
        <v>1012</v>
      </c>
    </row>
    <row r="26" spans="1:105" x14ac:dyDescent="0.25">
      <c r="A26" s="256" t="s">
        <v>170</v>
      </c>
      <c r="B26" s="257">
        <v>2.225697116576411</v>
      </c>
      <c r="C26" s="257">
        <v>2.2496051768449998</v>
      </c>
      <c r="D26" s="257">
        <v>2.2386269059965178</v>
      </c>
      <c r="E26" s="257">
        <v>2.1338431801466471</v>
      </c>
      <c r="F26" s="257">
        <v>2.2188932098085501</v>
      </c>
      <c r="G26" s="257">
        <v>2.311533090713223</v>
      </c>
      <c r="H26" s="257">
        <v>2.3714377189919671</v>
      </c>
      <c r="I26" s="257">
        <v>2.395030331095616</v>
      </c>
      <c r="J26" s="257">
        <v>2.4948157127409818</v>
      </c>
      <c r="K26" s="257">
        <v>2.519758126912496</v>
      </c>
      <c r="L26" s="257">
        <v>2.4750484238550681</v>
      </c>
      <c r="M26" s="257">
        <v>2.5027150079357612</v>
      </c>
      <c r="N26" s="257">
        <v>2.3422489901933621</v>
      </c>
      <c r="O26" s="257">
        <v>2.329639444511852</v>
      </c>
      <c r="P26" s="257">
        <v>2.3929179066292172</v>
      </c>
      <c r="Q26" s="257">
        <v>2.3786819270357822</v>
      </c>
      <c r="R26" s="257">
        <v>2.4042896086592349</v>
      </c>
      <c r="S26" s="257">
        <v>2.386038570748064</v>
      </c>
      <c r="T26" s="257">
        <v>2.5025392236782422</v>
      </c>
      <c r="U26" s="257">
        <v>2.5048320653693881</v>
      </c>
      <c r="V26" s="257">
        <v>2.5453899397744579</v>
      </c>
      <c r="W26" s="257">
        <v>2.5017663326563402</v>
      </c>
      <c r="X26" s="257">
        <v>2.504544455136998</v>
      </c>
      <c r="Y26" s="257">
        <v>2.5040274454034441</v>
      </c>
      <c r="DA26" s="272" t="s">
        <v>1013</v>
      </c>
    </row>
    <row r="27" spans="1:105" x14ac:dyDescent="0.25">
      <c r="A27" s="128" t="s">
        <v>33</v>
      </c>
      <c r="B27" s="258">
        <v>3.227260819035795</v>
      </c>
      <c r="C27" s="258">
        <v>3.2619275064252489</v>
      </c>
      <c r="D27" s="258">
        <v>3.2460090136949509</v>
      </c>
      <c r="E27" s="258">
        <v>3.0940726112126362</v>
      </c>
      <c r="F27" s="258">
        <v>3.2173951542223969</v>
      </c>
      <c r="G27" s="258">
        <v>3.3517229815341731</v>
      </c>
      <c r="H27" s="258">
        <v>3.438584692538353</v>
      </c>
      <c r="I27" s="258">
        <v>3.472793980088642</v>
      </c>
      <c r="J27" s="258">
        <v>3.617482783474423</v>
      </c>
      <c r="K27" s="258">
        <v>3.6536492840231198</v>
      </c>
      <c r="L27" s="258">
        <v>3.5888202145898478</v>
      </c>
      <c r="M27" s="258">
        <v>3.628936761506854</v>
      </c>
      <c r="N27" s="258">
        <v>3.3962610357803751</v>
      </c>
      <c r="O27" s="258">
        <v>3.377977194542185</v>
      </c>
      <c r="P27" s="258">
        <v>3.4697309646123649</v>
      </c>
      <c r="Q27" s="258">
        <v>3.4490887942018849</v>
      </c>
      <c r="R27" s="258">
        <v>3.4862199325558909</v>
      </c>
      <c r="S27" s="258">
        <v>3.459755927584693</v>
      </c>
      <c r="T27" s="258">
        <v>3.6286818743334499</v>
      </c>
      <c r="U27" s="258">
        <v>3.632006494785613</v>
      </c>
      <c r="V27" s="258">
        <v>3.6908154126729649</v>
      </c>
      <c r="W27" s="258">
        <v>3.6275611823516929</v>
      </c>
      <c r="X27" s="258">
        <v>3.631589459948648</v>
      </c>
      <c r="Y27" s="258">
        <v>3.6308397958349938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1</v>
      </c>
      <c r="D31" s="235">
        <f t="shared" si="9"/>
        <v>1</v>
      </c>
      <c r="E31" s="235">
        <f t="shared" si="9"/>
        <v>1</v>
      </c>
      <c r="F31" s="235">
        <f t="shared" si="9"/>
        <v>1</v>
      </c>
      <c r="G31" s="235">
        <f t="shared" si="9"/>
        <v>1.0000000000000002</v>
      </c>
      <c r="H31" s="235">
        <f t="shared" si="9"/>
        <v>0.99999999999999989</v>
      </c>
      <c r="I31" s="235">
        <f t="shared" si="9"/>
        <v>0.99999999999999978</v>
      </c>
      <c r="J31" s="235">
        <f t="shared" si="9"/>
        <v>0.99999999999999989</v>
      </c>
      <c r="K31" s="235">
        <f t="shared" si="9"/>
        <v>0.99999999999999967</v>
      </c>
      <c r="L31" s="235">
        <f t="shared" si="9"/>
        <v>1</v>
      </c>
      <c r="M31" s="235">
        <f t="shared" si="9"/>
        <v>1</v>
      </c>
      <c r="N31" s="235">
        <f t="shared" si="9"/>
        <v>0.99999999999999989</v>
      </c>
      <c r="O31" s="235">
        <f t="shared" si="9"/>
        <v>0.99999999999999989</v>
      </c>
      <c r="P31" s="235">
        <f t="shared" si="9"/>
        <v>1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0.99999999999999989</v>
      </c>
      <c r="T31" s="235">
        <f t="shared" si="10"/>
        <v>1</v>
      </c>
      <c r="U31" s="235">
        <f t="shared" si="10"/>
        <v>1</v>
      </c>
      <c r="V31" s="235">
        <f t="shared" si="10"/>
        <v>0.99999999999999989</v>
      </c>
      <c r="W31" s="235">
        <f t="shared" si="10"/>
        <v>0.99999999999999989</v>
      </c>
      <c r="X31" s="235">
        <f t="shared" ref="X31:Y31" si="11">SUM(X32:X40)</f>
        <v>1</v>
      </c>
      <c r="Y31" s="235">
        <f t="shared" si="11"/>
        <v>0.99999999999999989</v>
      </c>
      <c r="DA31" s="274"/>
    </row>
    <row r="32" spans="1:105" x14ac:dyDescent="0.25">
      <c r="A32" s="238" t="s">
        <v>125</v>
      </c>
      <c r="B32" s="244">
        <f t="shared" ref="B32:Y32" si="12">IF(B$6=0,0,B$6/B$5)</f>
        <v>7.5690126005041342E-3</v>
      </c>
      <c r="C32" s="244">
        <f t="shared" si="12"/>
        <v>8.0898054756290312E-3</v>
      </c>
      <c r="D32" s="244">
        <f t="shared" si="12"/>
        <v>8.6537902722552702E-3</v>
      </c>
      <c r="E32" s="244">
        <f t="shared" si="12"/>
        <v>8.1734336802542062E-3</v>
      </c>
      <c r="F32" s="244">
        <f t="shared" si="12"/>
        <v>9.1301881144520858E-3</v>
      </c>
      <c r="G32" s="244">
        <f t="shared" si="12"/>
        <v>9.3163308759501677E-3</v>
      </c>
      <c r="H32" s="244">
        <f t="shared" si="12"/>
        <v>9.4539569666917522E-3</v>
      </c>
      <c r="I32" s="244">
        <f t="shared" si="12"/>
        <v>9.7518341012168223E-3</v>
      </c>
      <c r="J32" s="244">
        <f t="shared" si="12"/>
        <v>9.5756117081320126E-3</v>
      </c>
      <c r="K32" s="244">
        <f t="shared" si="12"/>
        <v>9.8324551609247322E-3</v>
      </c>
      <c r="L32" s="244">
        <f t="shared" si="12"/>
        <v>9.8365630581040836E-3</v>
      </c>
      <c r="M32" s="244">
        <f t="shared" si="12"/>
        <v>9.7384252817626481E-3</v>
      </c>
      <c r="N32" s="244">
        <f t="shared" si="12"/>
        <v>9.8859235055625029E-3</v>
      </c>
      <c r="O32" s="244">
        <f t="shared" si="12"/>
        <v>9.9671327314899659E-3</v>
      </c>
      <c r="P32" s="244">
        <f t="shared" si="12"/>
        <v>9.9312246556313589E-3</v>
      </c>
      <c r="Q32" s="244">
        <f t="shared" si="12"/>
        <v>1.0018212215577204E-2</v>
      </c>
      <c r="R32" s="244">
        <f t="shared" si="12"/>
        <v>9.9995809288063991E-3</v>
      </c>
      <c r="S32" s="244">
        <f t="shared" si="12"/>
        <v>1.0047809594464975E-2</v>
      </c>
      <c r="T32" s="244">
        <f t="shared" si="12"/>
        <v>1.032699587672053E-2</v>
      </c>
      <c r="U32" s="244">
        <f t="shared" si="12"/>
        <v>1.0233886127926395E-2</v>
      </c>
      <c r="V32" s="244">
        <f t="shared" si="12"/>
        <v>9.8790682942770866E-3</v>
      </c>
      <c r="W32" s="244">
        <f t="shared" si="12"/>
        <v>9.6801670063982846E-3</v>
      </c>
      <c r="X32" s="244">
        <f t="shared" si="12"/>
        <v>9.6139679217819088E-3</v>
      </c>
      <c r="Y32" s="244">
        <f t="shared" si="12"/>
        <v>9.7600098096791085E-3</v>
      </c>
      <c r="DA32" s="275"/>
    </row>
    <row r="33" spans="1:105" x14ac:dyDescent="0.25">
      <c r="A33" s="240" t="s">
        <v>124</v>
      </c>
      <c r="B33" s="245">
        <f t="shared" ref="B33:Y33" si="13">IF(B$7=0,0,B$7/B$5)</f>
        <v>4.9198581903276868E-3</v>
      </c>
      <c r="C33" s="245">
        <f t="shared" si="13"/>
        <v>5.2583735591588696E-3</v>
      </c>
      <c r="D33" s="245">
        <f t="shared" si="13"/>
        <v>5.6249636769659227E-3</v>
      </c>
      <c r="E33" s="245">
        <f t="shared" si="13"/>
        <v>5.3127318921652317E-3</v>
      </c>
      <c r="F33" s="245">
        <f t="shared" si="13"/>
        <v>5.9346222743938536E-3</v>
      </c>
      <c r="G33" s="245">
        <f t="shared" si="13"/>
        <v>6.0556150693676092E-3</v>
      </c>
      <c r="H33" s="245">
        <f t="shared" si="13"/>
        <v>6.1450720283496366E-3</v>
      </c>
      <c r="I33" s="245">
        <f t="shared" si="13"/>
        <v>6.3386921657909321E-3</v>
      </c>
      <c r="J33" s="245">
        <f t="shared" si="13"/>
        <v>6.2241476102858082E-3</v>
      </c>
      <c r="K33" s="245">
        <f t="shared" si="13"/>
        <v>6.3910958546010751E-3</v>
      </c>
      <c r="L33" s="245">
        <f t="shared" si="13"/>
        <v>6.3937659877676542E-3</v>
      </c>
      <c r="M33" s="245">
        <f t="shared" si="13"/>
        <v>6.3299764331457217E-3</v>
      </c>
      <c r="N33" s="245">
        <f t="shared" si="13"/>
        <v>6.4258502786156213E-3</v>
      </c>
      <c r="O33" s="245">
        <f t="shared" si="13"/>
        <v>6.4786362754684747E-3</v>
      </c>
      <c r="P33" s="245">
        <f t="shared" si="13"/>
        <v>6.4552960261603821E-3</v>
      </c>
      <c r="Q33" s="245">
        <f t="shared" si="13"/>
        <v>6.5118379401251812E-3</v>
      </c>
      <c r="R33" s="245">
        <f t="shared" si="13"/>
        <v>6.499727603724156E-3</v>
      </c>
      <c r="S33" s="245">
        <f t="shared" si="13"/>
        <v>6.5310762364022305E-3</v>
      </c>
      <c r="T33" s="245">
        <f t="shared" si="13"/>
        <v>6.7125473198683385E-3</v>
      </c>
      <c r="U33" s="245">
        <f t="shared" si="13"/>
        <v>6.6520259831521506E-3</v>
      </c>
      <c r="V33" s="245">
        <f t="shared" si="13"/>
        <v>6.4213943912801077E-3</v>
      </c>
      <c r="W33" s="245">
        <f t="shared" si="13"/>
        <v>6.292108554158884E-3</v>
      </c>
      <c r="X33" s="245">
        <f t="shared" si="13"/>
        <v>6.2490791491582381E-3</v>
      </c>
      <c r="Y33" s="245">
        <f t="shared" si="13"/>
        <v>6.3440063762914209E-3</v>
      </c>
      <c r="DA33" s="276"/>
    </row>
    <row r="34" spans="1:105" x14ac:dyDescent="0.25">
      <c r="A34" s="240" t="s">
        <v>123</v>
      </c>
      <c r="B34" s="245">
        <f t="shared" ref="B34:Y34" si="14">IF(B$8=0,0,B$8/B$5)</f>
        <v>6.8121113404537217E-3</v>
      </c>
      <c r="C34" s="245">
        <f t="shared" si="14"/>
        <v>7.2808249280661248E-3</v>
      </c>
      <c r="D34" s="245">
        <f t="shared" si="14"/>
        <v>7.7884112450297433E-3</v>
      </c>
      <c r="E34" s="245">
        <f t="shared" si="14"/>
        <v>7.3560903122287845E-3</v>
      </c>
      <c r="F34" s="245">
        <f t="shared" si="14"/>
        <v>8.2171693030068764E-3</v>
      </c>
      <c r="G34" s="245">
        <f t="shared" si="14"/>
        <v>8.384697788355152E-3</v>
      </c>
      <c r="H34" s="245">
        <f t="shared" si="14"/>
        <v>8.508561270022575E-3</v>
      </c>
      <c r="I34" s="245">
        <f t="shared" si="14"/>
        <v>8.7766506910951364E-3</v>
      </c>
      <c r="J34" s="245">
        <f t="shared" si="14"/>
        <v>8.6180505373188079E-3</v>
      </c>
      <c r="K34" s="245">
        <f t="shared" si="14"/>
        <v>8.8492096448322625E-3</v>
      </c>
      <c r="L34" s="245">
        <f t="shared" si="14"/>
        <v>8.8529067522936707E-3</v>
      </c>
      <c r="M34" s="245">
        <f t="shared" si="14"/>
        <v>8.7645827535863807E-3</v>
      </c>
      <c r="N34" s="245">
        <f t="shared" si="14"/>
        <v>8.8973311550062523E-3</v>
      </c>
      <c r="O34" s="245">
        <f t="shared" si="14"/>
        <v>8.9704194583409662E-3</v>
      </c>
      <c r="P34" s="245">
        <f t="shared" si="14"/>
        <v>8.9381021900682197E-3</v>
      </c>
      <c r="Q34" s="245">
        <f t="shared" si="14"/>
        <v>9.0163909940194839E-3</v>
      </c>
      <c r="R34" s="245">
        <f t="shared" si="14"/>
        <v>8.9996228359257614E-3</v>
      </c>
      <c r="S34" s="245">
        <f t="shared" si="14"/>
        <v>9.0430286350184751E-3</v>
      </c>
      <c r="T34" s="245">
        <f t="shared" si="14"/>
        <v>9.2942962890484732E-3</v>
      </c>
      <c r="U34" s="245">
        <f t="shared" si="14"/>
        <v>9.2104975151337531E-3</v>
      </c>
      <c r="V34" s="245">
        <f t="shared" si="14"/>
        <v>8.8911614648493811E-3</v>
      </c>
      <c r="W34" s="245">
        <f t="shared" si="14"/>
        <v>8.7121503057584551E-3</v>
      </c>
      <c r="X34" s="245">
        <f t="shared" si="14"/>
        <v>8.6525711296037179E-3</v>
      </c>
      <c r="Y34" s="245">
        <f t="shared" si="14"/>
        <v>8.784008828711198E-3</v>
      </c>
      <c r="DA34" s="276"/>
    </row>
    <row r="35" spans="1:105" x14ac:dyDescent="0.25">
      <c r="A35" s="242" t="s">
        <v>122</v>
      </c>
      <c r="B35" s="246">
        <f t="shared" ref="B35:Y35" si="15">IF(B$9=0,0,B$9/B$5)</f>
        <v>0.21152088481958725</v>
      </c>
      <c r="C35" s="246">
        <f t="shared" si="15"/>
        <v>0.21360684901670923</v>
      </c>
      <c r="D35" s="246">
        <f t="shared" si="15"/>
        <v>0.21366475276420555</v>
      </c>
      <c r="E35" s="246">
        <f t="shared" si="15"/>
        <v>0.21383848410156844</v>
      </c>
      <c r="F35" s="246">
        <f t="shared" si="15"/>
        <v>0.21269128073373894</v>
      </c>
      <c r="G35" s="246">
        <f t="shared" si="15"/>
        <v>0.21240713802381506</v>
      </c>
      <c r="H35" s="246">
        <f t="shared" si="15"/>
        <v>0.21184312750541737</v>
      </c>
      <c r="I35" s="246">
        <f t="shared" si="15"/>
        <v>0.21138439873750151</v>
      </c>
      <c r="J35" s="246">
        <f t="shared" si="15"/>
        <v>0.21147367902963141</v>
      </c>
      <c r="K35" s="246">
        <f t="shared" si="15"/>
        <v>0.21137670246310791</v>
      </c>
      <c r="L35" s="246">
        <f t="shared" si="15"/>
        <v>0.21317419262606857</v>
      </c>
      <c r="M35" s="246">
        <f t="shared" si="15"/>
        <v>0.21281096863252097</v>
      </c>
      <c r="N35" s="246">
        <f t="shared" si="15"/>
        <v>0.21430167559825053</v>
      </c>
      <c r="O35" s="246">
        <f t="shared" si="15"/>
        <v>0.21750440088715781</v>
      </c>
      <c r="P35" s="246">
        <f t="shared" si="15"/>
        <v>0.21924892096891427</v>
      </c>
      <c r="Q35" s="246">
        <f t="shared" si="15"/>
        <v>0.21829682961712141</v>
      </c>
      <c r="R35" s="246">
        <f t="shared" si="15"/>
        <v>0.22027887177561747</v>
      </c>
      <c r="S35" s="246">
        <f t="shared" si="15"/>
        <v>0.22085669681083522</v>
      </c>
      <c r="T35" s="246">
        <f t="shared" si="15"/>
        <v>0.22072005309099749</v>
      </c>
      <c r="U35" s="246">
        <f t="shared" si="15"/>
        <v>0.22178556988895962</v>
      </c>
      <c r="V35" s="246">
        <f t="shared" si="15"/>
        <v>0.22382303771540696</v>
      </c>
      <c r="W35" s="246">
        <f t="shared" si="15"/>
        <v>0.22301583359832131</v>
      </c>
      <c r="X35" s="246">
        <f t="shared" si="15"/>
        <v>0.22408809311305905</v>
      </c>
      <c r="Y35" s="246">
        <f t="shared" si="15"/>
        <v>0.22168187826987443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0.28218059114983213</v>
      </c>
      <c r="C36" s="259">
        <f t="shared" si="16"/>
        <v>0.2821070912466348</v>
      </c>
      <c r="D36" s="259">
        <f t="shared" si="16"/>
        <v>0.28175045986271013</v>
      </c>
      <c r="E36" s="259">
        <f t="shared" si="16"/>
        <v>0.28336164103105954</v>
      </c>
      <c r="F36" s="259">
        <f t="shared" si="16"/>
        <v>0.28210498768496794</v>
      </c>
      <c r="G36" s="259">
        <f t="shared" si="16"/>
        <v>0.28048350940316785</v>
      </c>
      <c r="H36" s="259">
        <f t="shared" si="16"/>
        <v>0.2815513277350899</v>
      </c>
      <c r="I36" s="259">
        <f t="shared" si="16"/>
        <v>0.28134359128645742</v>
      </c>
      <c r="J36" s="259">
        <f t="shared" si="16"/>
        <v>0.28079202849654661</v>
      </c>
      <c r="K36" s="259">
        <f t="shared" si="16"/>
        <v>0.28109150330393634</v>
      </c>
      <c r="L36" s="259">
        <f t="shared" si="16"/>
        <v>0.2799272563295731</v>
      </c>
      <c r="M36" s="259">
        <f t="shared" si="16"/>
        <v>0.28015266878419387</v>
      </c>
      <c r="N36" s="259">
        <f t="shared" si="16"/>
        <v>0.27885101061516754</v>
      </c>
      <c r="O36" s="259">
        <f t="shared" si="16"/>
        <v>0.27776981934630507</v>
      </c>
      <c r="P36" s="259">
        <f t="shared" si="16"/>
        <v>0.2761501889813413</v>
      </c>
      <c r="Q36" s="259">
        <f t="shared" si="16"/>
        <v>0.2774883692674408</v>
      </c>
      <c r="R36" s="259">
        <f t="shared" si="16"/>
        <v>0.27658200358514262</v>
      </c>
      <c r="S36" s="259">
        <f t="shared" si="16"/>
        <v>0.27656180376896056</v>
      </c>
      <c r="T36" s="259">
        <f t="shared" si="16"/>
        <v>0.27676616834401635</v>
      </c>
      <c r="U36" s="259">
        <f t="shared" si="16"/>
        <v>0.27592508084536504</v>
      </c>
      <c r="V36" s="259">
        <f t="shared" si="16"/>
        <v>0.27560832399881824</v>
      </c>
      <c r="W36" s="259">
        <f t="shared" si="16"/>
        <v>0.27539579650344315</v>
      </c>
      <c r="X36" s="259">
        <f t="shared" si="16"/>
        <v>0.2767288830863488</v>
      </c>
      <c r="Y36" s="259">
        <f t="shared" si="16"/>
        <v>0.27786486487889206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0.41423010882311406</v>
      </c>
      <c r="C37" s="259">
        <f t="shared" si="17"/>
        <v>0.40962780377249214</v>
      </c>
      <c r="D37" s="259">
        <f t="shared" si="17"/>
        <v>0.40717513711827835</v>
      </c>
      <c r="E37" s="259">
        <f t="shared" si="17"/>
        <v>0.40748240568393207</v>
      </c>
      <c r="F37" s="259">
        <f t="shared" si="17"/>
        <v>0.40534396663991884</v>
      </c>
      <c r="G37" s="259">
        <f t="shared" si="17"/>
        <v>0.40663045438895484</v>
      </c>
      <c r="H37" s="259">
        <f t="shared" si="17"/>
        <v>0.40523332593033912</v>
      </c>
      <c r="I37" s="259">
        <f t="shared" si="17"/>
        <v>0.40445032376408507</v>
      </c>
      <c r="J37" s="259">
        <f t="shared" si="17"/>
        <v>0.40589970561394417</v>
      </c>
      <c r="K37" s="259">
        <f t="shared" si="17"/>
        <v>0.40435544352913361</v>
      </c>
      <c r="L37" s="259">
        <f t="shared" si="17"/>
        <v>0.40392538061327787</v>
      </c>
      <c r="M37" s="259">
        <f t="shared" si="17"/>
        <v>0.40451056615223108</v>
      </c>
      <c r="N37" s="259">
        <f t="shared" si="17"/>
        <v>0.40383415070136852</v>
      </c>
      <c r="O37" s="259">
        <f t="shared" si="17"/>
        <v>0.4015143304643492</v>
      </c>
      <c r="P37" s="259">
        <f t="shared" si="17"/>
        <v>0.40188020659903184</v>
      </c>
      <c r="Q37" s="259">
        <f t="shared" si="17"/>
        <v>0.40080203737099501</v>
      </c>
      <c r="R37" s="259">
        <f t="shared" si="17"/>
        <v>0.39999368304790728</v>
      </c>
      <c r="S37" s="259">
        <f t="shared" si="17"/>
        <v>0.39919879606359787</v>
      </c>
      <c r="T37" s="259">
        <f t="shared" si="17"/>
        <v>0.39769587344088697</v>
      </c>
      <c r="U37" s="259">
        <f t="shared" si="17"/>
        <v>0.39809861485780479</v>
      </c>
      <c r="V37" s="259">
        <f t="shared" si="17"/>
        <v>0.39821286051397897</v>
      </c>
      <c r="W37" s="259">
        <f t="shared" si="17"/>
        <v>0.400267937495216</v>
      </c>
      <c r="X37" s="259">
        <f t="shared" si="17"/>
        <v>0.39793742312417174</v>
      </c>
      <c r="Y37" s="259">
        <f t="shared" si="17"/>
        <v>0.39825915836692999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5.4223352204945958E-2</v>
      </c>
      <c r="C38" s="259">
        <f t="shared" si="18"/>
        <v>5.4209228586018614E-2</v>
      </c>
      <c r="D38" s="259">
        <f t="shared" si="18"/>
        <v>5.4140698893529529E-2</v>
      </c>
      <c r="E38" s="259">
        <f t="shared" si="18"/>
        <v>5.4450300782168955E-2</v>
      </c>
      <c r="F38" s="259">
        <f t="shared" si="18"/>
        <v>5.4208824369113839E-2</v>
      </c>
      <c r="G38" s="259">
        <f t="shared" si="18"/>
        <v>5.3897243804311469E-2</v>
      </c>
      <c r="H38" s="259">
        <f t="shared" si="18"/>
        <v>5.4102433995694858E-2</v>
      </c>
      <c r="I38" s="259">
        <f t="shared" si="18"/>
        <v>5.4062515705871679E-2</v>
      </c>
      <c r="J38" s="259">
        <f t="shared" si="18"/>
        <v>5.3956528319217552E-2</v>
      </c>
      <c r="K38" s="259">
        <f t="shared" si="18"/>
        <v>5.401407489919826E-2</v>
      </c>
      <c r="L38" s="259">
        <f t="shared" si="18"/>
        <v>5.3790355140560027E-2</v>
      </c>
      <c r="M38" s="259">
        <f t="shared" si="18"/>
        <v>5.3833670022240834E-2</v>
      </c>
      <c r="N38" s="259">
        <f t="shared" si="18"/>
        <v>5.3583545557400906E-2</v>
      </c>
      <c r="O38" s="259">
        <f t="shared" si="18"/>
        <v>5.3375785644738105E-2</v>
      </c>
      <c r="P38" s="259">
        <f t="shared" si="18"/>
        <v>5.306456017255589E-2</v>
      </c>
      <c r="Q38" s="259">
        <f t="shared" si="18"/>
        <v>5.332170266655669E-2</v>
      </c>
      <c r="R38" s="259">
        <f t="shared" si="18"/>
        <v>5.3147536947300532E-2</v>
      </c>
      <c r="S38" s="259">
        <f t="shared" si="18"/>
        <v>5.3143655384281438E-2</v>
      </c>
      <c r="T38" s="259">
        <f t="shared" si="18"/>
        <v>5.3182925740496656E-2</v>
      </c>
      <c r="U38" s="259">
        <f t="shared" si="18"/>
        <v>5.3021303768238687E-2</v>
      </c>
      <c r="V38" s="259">
        <f t="shared" si="18"/>
        <v>5.2960436300410231E-2</v>
      </c>
      <c r="W38" s="259">
        <f t="shared" si="18"/>
        <v>5.2919597371028138E-2</v>
      </c>
      <c r="X38" s="259">
        <f t="shared" si="18"/>
        <v>5.3175761067510735E-2</v>
      </c>
      <c r="Y38" s="259">
        <f t="shared" si="18"/>
        <v>5.3394049435908031E-2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7.5690126005041342E-3</v>
      </c>
      <c r="C39" s="259">
        <f t="shared" si="19"/>
        <v>8.0898054756290312E-3</v>
      </c>
      <c r="D39" s="259">
        <f t="shared" si="19"/>
        <v>8.6537902722552702E-3</v>
      </c>
      <c r="E39" s="259">
        <f t="shared" si="19"/>
        <v>8.1734336802542062E-3</v>
      </c>
      <c r="F39" s="259">
        <f t="shared" si="19"/>
        <v>9.1301881144520858E-3</v>
      </c>
      <c r="G39" s="259">
        <f t="shared" si="19"/>
        <v>9.3163308759501677E-3</v>
      </c>
      <c r="H39" s="259">
        <f t="shared" si="19"/>
        <v>9.4539569666917522E-3</v>
      </c>
      <c r="I39" s="259">
        <f t="shared" si="19"/>
        <v>9.7518341012168223E-3</v>
      </c>
      <c r="J39" s="259">
        <f t="shared" si="19"/>
        <v>9.5756117081320126E-3</v>
      </c>
      <c r="K39" s="259">
        <f t="shared" si="19"/>
        <v>9.8324551609247322E-3</v>
      </c>
      <c r="L39" s="259">
        <f t="shared" si="19"/>
        <v>9.8365630581040836E-3</v>
      </c>
      <c r="M39" s="259">
        <f t="shared" si="19"/>
        <v>9.7384252817626481E-3</v>
      </c>
      <c r="N39" s="259">
        <f t="shared" si="19"/>
        <v>9.8859235055625029E-3</v>
      </c>
      <c r="O39" s="259">
        <f t="shared" si="19"/>
        <v>9.9671327314899659E-3</v>
      </c>
      <c r="P39" s="259">
        <f t="shared" si="19"/>
        <v>9.9312246556313589E-3</v>
      </c>
      <c r="Q39" s="259">
        <f t="shared" si="19"/>
        <v>1.0018212215577204E-2</v>
      </c>
      <c r="R39" s="259">
        <f t="shared" si="19"/>
        <v>9.9995809288063991E-3</v>
      </c>
      <c r="S39" s="259">
        <f t="shared" si="19"/>
        <v>1.0047809594464975E-2</v>
      </c>
      <c r="T39" s="259">
        <f t="shared" si="19"/>
        <v>1.032699587672053E-2</v>
      </c>
      <c r="U39" s="259">
        <f t="shared" si="19"/>
        <v>1.0233886127926395E-2</v>
      </c>
      <c r="V39" s="259">
        <f t="shared" si="19"/>
        <v>9.8790682942770866E-3</v>
      </c>
      <c r="W39" s="259">
        <f t="shared" si="19"/>
        <v>9.6801670063982846E-3</v>
      </c>
      <c r="X39" s="259">
        <f t="shared" si="19"/>
        <v>9.6139679217819088E-3</v>
      </c>
      <c r="Y39" s="259">
        <f t="shared" si="19"/>
        <v>9.7600098096791085E-3</v>
      </c>
      <c r="DA39" s="278"/>
    </row>
    <row r="40" spans="1:105" x14ac:dyDescent="0.25">
      <c r="A40" s="260" t="s">
        <v>33</v>
      </c>
      <c r="B40" s="261">
        <f t="shared" ref="B40:Y40" si="20">IF(B$27=0,0,B$27/B$5)</f>
        <v>1.0975068270730992E-2</v>
      </c>
      <c r="C40" s="261">
        <f t="shared" si="20"/>
        <v>1.1730217939662091E-2</v>
      </c>
      <c r="D40" s="261">
        <f t="shared" si="20"/>
        <v>1.2547995894770141E-2</v>
      </c>
      <c r="E40" s="261">
        <f t="shared" si="20"/>
        <v>1.1851478836368591E-2</v>
      </c>
      <c r="F40" s="261">
        <f t="shared" si="20"/>
        <v>1.3238772765955521E-2</v>
      </c>
      <c r="G40" s="261">
        <f t="shared" si="20"/>
        <v>1.3508679770127742E-2</v>
      </c>
      <c r="H40" s="261">
        <f t="shared" si="20"/>
        <v>1.3708237601703043E-2</v>
      </c>
      <c r="I40" s="261">
        <f t="shared" si="20"/>
        <v>1.4140159446764387E-2</v>
      </c>
      <c r="J40" s="261">
        <f t="shared" si="20"/>
        <v>1.3884636976791416E-2</v>
      </c>
      <c r="K40" s="261">
        <f t="shared" si="20"/>
        <v>1.4257059983340864E-2</v>
      </c>
      <c r="L40" s="261">
        <f t="shared" si="20"/>
        <v>1.4263016434250918E-2</v>
      </c>
      <c r="M40" s="261">
        <f t="shared" si="20"/>
        <v>1.412071665855584E-2</v>
      </c>
      <c r="N40" s="261">
        <f t="shared" si="20"/>
        <v>1.4334589083065629E-2</v>
      </c>
      <c r="O40" s="261">
        <f t="shared" si="20"/>
        <v>1.4452342460660449E-2</v>
      </c>
      <c r="P40" s="261">
        <f t="shared" si="20"/>
        <v>1.440027575066547E-2</v>
      </c>
      <c r="Q40" s="261">
        <f t="shared" si="20"/>
        <v>1.4526407712586949E-2</v>
      </c>
      <c r="R40" s="261">
        <f t="shared" si="20"/>
        <v>1.449939234676928E-2</v>
      </c>
      <c r="S40" s="261">
        <f t="shared" si="20"/>
        <v>1.4569323911974214E-2</v>
      </c>
      <c r="T40" s="261">
        <f t="shared" si="20"/>
        <v>1.4974144021244763E-2</v>
      </c>
      <c r="U40" s="261">
        <f t="shared" si="20"/>
        <v>1.4839134885493273E-2</v>
      </c>
      <c r="V40" s="261">
        <f t="shared" si="20"/>
        <v>1.432464902670178E-2</v>
      </c>
      <c r="W40" s="261">
        <f t="shared" si="20"/>
        <v>1.403624215927751E-2</v>
      </c>
      <c r="X40" s="261">
        <f t="shared" si="20"/>
        <v>1.3940253486583771E-2</v>
      </c>
      <c r="Y40" s="261">
        <f t="shared" si="20"/>
        <v>1.4152014224034707E-2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112.47171201628666</v>
      </c>
      <c r="C44" s="236">
        <f t="shared" si="21"/>
        <v>109.81942433546163</v>
      </c>
      <c r="D44" s="236">
        <f t="shared" si="21"/>
        <v>113.80906613357635</v>
      </c>
      <c r="E44" s="236">
        <f t="shared" si="21"/>
        <v>119.53787119840251</v>
      </c>
      <c r="F44" s="236">
        <f t="shared" si="21"/>
        <v>117.30616060932353</v>
      </c>
      <c r="G44" s="236">
        <f t="shared" si="21"/>
        <v>134.29403412451356</v>
      </c>
      <c r="H44" s="236">
        <f t="shared" si="21"/>
        <v>130.05722800154635</v>
      </c>
      <c r="I44" s="236">
        <f t="shared" si="21"/>
        <v>117.81469406104155</v>
      </c>
      <c r="J44" s="236">
        <f t="shared" si="21"/>
        <v>123.49619118298857</v>
      </c>
      <c r="K44" s="236">
        <f t="shared" si="21"/>
        <v>137.83360398812144</v>
      </c>
      <c r="L44" s="236">
        <f t="shared" si="21"/>
        <v>128.47617233393532</v>
      </c>
      <c r="M44" s="236">
        <f t="shared" si="21"/>
        <v>116.02131221383355</v>
      </c>
      <c r="N44" s="236">
        <f t="shared" si="21"/>
        <v>118.31216844961241</v>
      </c>
      <c r="O44" s="236">
        <f t="shared" si="21"/>
        <v>117.89482713876836</v>
      </c>
      <c r="P44" s="236">
        <f t="shared" si="21"/>
        <v>114.21265320772918</v>
      </c>
      <c r="Q44" s="236">
        <f t="shared" si="21"/>
        <v>116.67728719019784</v>
      </c>
      <c r="R44" s="236">
        <f t="shared" si="21"/>
        <v>118.41249825520163</v>
      </c>
      <c r="S44" s="236">
        <f t="shared" si="21"/>
        <v>109.25986032686185</v>
      </c>
      <c r="T44" s="236">
        <f t="shared" si="21"/>
        <v>115.03952384499109</v>
      </c>
      <c r="U44" s="236">
        <f t="shared" si="21"/>
        <v>114.31053707016744</v>
      </c>
      <c r="V44" s="236">
        <f t="shared" si="21"/>
        <v>121.02278233994656</v>
      </c>
      <c r="W44" s="236">
        <f t="shared" si="21"/>
        <v>115.6129323010225</v>
      </c>
      <c r="X44" s="236">
        <f t="shared" si="21"/>
        <v>98.926512660278419</v>
      </c>
      <c r="Y44" s="236">
        <f t="shared" si="21"/>
        <v>101.378915124645</v>
      </c>
      <c r="DA44" s="280"/>
    </row>
    <row r="45" spans="1:105" x14ac:dyDescent="0.25">
      <c r="A45" s="238" t="s">
        <v>125</v>
      </c>
      <c r="B45" s="247">
        <f>IF(B$6=0,0,B$6/AGR!B$5*1000)</f>
        <v>0.85129980545154571</v>
      </c>
      <c r="C45" s="247">
        <f>IF(C$6=0,0,C$6/AGR!C$5*1000)</f>
        <v>0.88841778031944563</v>
      </c>
      <c r="D45" s="247">
        <f>IF(D$6=0,0,D$6/AGR!D$5*1000)</f>
        <v>0.98487978940119969</v>
      </c>
      <c r="E45" s="247">
        <f>IF(E$6=0,0,E$6/AGR!E$5*1000)</f>
        <v>0.97703486251891225</v>
      </c>
      <c r="F45" s="247">
        <f>IF(F$6=0,0,F$6/AGR!F$5*1000)</f>
        <v>1.071027313347253</v>
      </c>
      <c r="G45" s="247">
        <f>IF(G$6=0,0,G$6/AGR!G$5*1000)</f>
        <v>1.251127656570111</v>
      </c>
      <c r="H45" s="247">
        <f>IF(H$6=0,0,H$6/AGR!H$5*1000)</f>
        <v>1.2295554367338366</v>
      </c>
      <c r="I45" s="247">
        <f>IF(I$6=0,0,I$6/AGR!I$5*1000)</f>
        <v>1.1489093511688921</v>
      </c>
      <c r="J45" s="247">
        <f>IF(J$6=0,0,J$6/AGR!J$5*1000)</f>
        <v>1.1825515742015351</v>
      </c>
      <c r="K45" s="247">
        <f>IF(K$6=0,0,K$6/AGR!K$5*1000)</f>
        <v>1.3552427308818604</v>
      </c>
      <c r="L45" s="247">
        <f>IF(L$6=0,0,L$6/AGR!L$5*1000)</f>
        <v>1.2637639706266024</v>
      </c>
      <c r="M45" s="247">
        <f>IF(M$6=0,0,M$6/AGR!M$5*1000)</f>
        <v>1.1298648800864741</v>
      </c>
      <c r="N45" s="247">
        <f>IF(N$6=0,0,N$6/AGR!N$5*1000)</f>
        <v>1.1696250470700935</v>
      </c>
      <c r="O45" s="247">
        <f>IF(O$6=0,0,O$6/AGR!O$5*1000)</f>
        <v>1.1750733904481696</v>
      </c>
      <c r="P45" s="247">
        <f>IF(P$6=0,0,P$6/AGR!P$5*1000)</f>
        <v>1.134271517521674</v>
      </c>
      <c r="Q45" s="247">
        <f>IF(Q$6=0,0,Q$6/AGR!Q$5*1000)</f>
        <v>1.1688978238092498</v>
      </c>
      <c r="R45" s="247">
        <f>IF(R$6=0,0,R$6/AGR!R$5*1000)</f>
        <v>1.1840753592850353</v>
      </c>
      <c r="S45" s="247">
        <f>IF(S$6=0,0,S$6/AGR!S$5*1000)</f>
        <v>1.0978222728821456</v>
      </c>
      <c r="T45" s="247">
        <f>IF(T$6=0,0,T$6/AGR!T$5*1000)</f>
        <v>1.1880126884071158</v>
      </c>
      <c r="U45" s="247">
        <f>IF(U$6=0,0,U$6/AGR!U$5*1000)</f>
        <v>1.1698410195982025</v>
      </c>
      <c r="V45" s="247">
        <f>IF(V$6=0,0,V$6/AGR!V$5*1000)</f>
        <v>1.1955923318997634</v>
      </c>
      <c r="W45" s="247">
        <f>IF(W$6=0,0,W$6/AGR!W$5*1000)</f>
        <v>1.1191524927733165</v>
      </c>
      <c r="X45" s="247">
        <f>IF(X$6=0,0,X$6/AGR!X$5*1000)</f>
        <v>0.95107631932966885</v>
      </c>
      <c r="Y45" s="247">
        <f>IF(Y$6=0,0,Y$6/AGR!Y$5*1000)</f>
        <v>0.98945920611116089</v>
      </c>
      <c r="DA45" s="281"/>
    </row>
    <row r="46" spans="1:105" x14ac:dyDescent="0.25">
      <c r="A46" s="240" t="s">
        <v>124</v>
      </c>
      <c r="B46" s="248">
        <f>IF(B$7=0,0,B$7/AGR!B$5*1000)</f>
        <v>0.5533448735435047</v>
      </c>
      <c r="C46" s="248">
        <f>IF(C$7=0,0,C$7/AGR!C$5*1000)</f>
        <v>0.57747155720763965</v>
      </c>
      <c r="D46" s="248">
        <f>IF(D$7=0,0,D$7/AGR!D$5*1000)</f>
        <v>0.64017186311077945</v>
      </c>
      <c r="E46" s="248">
        <f>IF(E$7=0,0,E$7/AGR!E$5*1000)</f>
        <v>0.63507266063729262</v>
      </c>
      <c r="F46" s="248">
        <f>IF(F$7=0,0,F$7/AGR!F$5*1000)</f>
        <v>0.69616775367571426</v>
      </c>
      <c r="G46" s="248">
        <f>IF(G$7=0,0,G$7/AGR!G$5*1000)</f>
        <v>0.81323297677057238</v>
      </c>
      <c r="H46" s="248">
        <f>IF(H$7=0,0,H$7/AGR!H$5*1000)</f>
        <v>0.79921103387699355</v>
      </c>
      <c r="I46" s="248">
        <f>IF(I$7=0,0,I$7/AGR!I$5*1000)</f>
        <v>0.74679107825977964</v>
      </c>
      <c r="J46" s="248">
        <f>IF(J$7=0,0,J$7/AGR!J$5*1000)</f>
        <v>0.76865852323099781</v>
      </c>
      <c r="K46" s="248">
        <f>IF(K$7=0,0,K$7/AGR!K$5*1000)</f>
        <v>0.88090777507320916</v>
      </c>
      <c r="L46" s="248">
        <f>IF(L$7=0,0,L$7/AGR!L$5*1000)</f>
        <v>0.82144658090729139</v>
      </c>
      <c r="M46" s="248">
        <f>IF(M$7=0,0,M$7/AGR!M$5*1000)</f>
        <v>0.73441217205620823</v>
      </c>
      <c r="N46" s="248">
        <f>IF(N$7=0,0,N$7/AGR!N$5*1000)</f>
        <v>0.76025628059556016</v>
      </c>
      <c r="O46" s="248">
        <f>IF(O$7=0,0,O$7/AGR!O$5*1000)</f>
        <v>0.76379770379130985</v>
      </c>
      <c r="P46" s="248">
        <f>IF(P$7=0,0,P$7/AGR!P$5*1000)</f>
        <v>0.73727648638908805</v>
      </c>
      <c r="Q46" s="248">
        <f>IF(Q$7=0,0,Q$7/AGR!Q$5*1000)</f>
        <v>0.7597835854760121</v>
      </c>
      <c r="R46" s="248">
        <f>IF(R$7=0,0,R$7/AGR!R$5*1000)</f>
        <v>0.76964898353527256</v>
      </c>
      <c r="S46" s="248">
        <f>IF(S$7=0,0,S$7/AGR!S$5*1000)</f>
        <v>0.71358447737339448</v>
      </c>
      <c r="T46" s="248">
        <f>IF(T$7=0,0,T$7/AGR!T$5*1000)</f>
        <v>0.77220824746462469</v>
      </c>
      <c r="U46" s="248">
        <f>IF(U$7=0,0,U$7/AGR!U$5*1000)</f>
        <v>0.76039666273883089</v>
      </c>
      <c r="V46" s="248">
        <f>IF(V$7=0,0,V$7/AGR!V$5*1000)</f>
        <v>0.77713501573484634</v>
      </c>
      <c r="W46" s="248">
        <f>IF(W$7=0,0,W$7/AGR!W$5*1000)</f>
        <v>0.72744912030265552</v>
      </c>
      <c r="X46" s="248">
        <f>IF(X$7=0,0,X$7/AGR!X$5*1000)</f>
        <v>0.61819960756428449</v>
      </c>
      <c r="Y46" s="248">
        <f>IF(Y$7=0,0,Y$7/AGR!Y$5*1000)</f>
        <v>0.64314848397225466</v>
      </c>
      <c r="DA46" s="282"/>
    </row>
    <row r="47" spans="1:105" x14ac:dyDescent="0.25">
      <c r="A47" s="240" t="s">
        <v>123</v>
      </c>
      <c r="B47" s="248">
        <f>IF(B$8=0,0,B$8/AGR!B$5*1000)</f>
        <v>0.76616982490639129</v>
      </c>
      <c r="C47" s="248">
        <f>IF(C$8=0,0,C$8/AGR!C$5*1000)</f>
        <v>0.7995760022875007</v>
      </c>
      <c r="D47" s="248">
        <f>IF(D$8=0,0,D$8/AGR!D$5*1000)</f>
        <v>0.88639181046107984</v>
      </c>
      <c r="E47" s="248">
        <f>IF(E$8=0,0,E$8/AGR!E$5*1000)</f>
        <v>0.87933137626702085</v>
      </c>
      <c r="F47" s="248">
        <f>IF(F$8=0,0,F$8/AGR!F$5*1000)</f>
        <v>0.96392458201252784</v>
      </c>
      <c r="G47" s="248">
        <f>IF(G$8=0,0,G$8/AGR!G$5*1000)</f>
        <v>1.1260148909131003</v>
      </c>
      <c r="H47" s="248">
        <f>IF(H$8=0,0,H$8/AGR!H$5*1000)</f>
        <v>1.1065998930604526</v>
      </c>
      <c r="I47" s="248">
        <f>IF(I$8=0,0,I$8/AGR!I$5*1000)</f>
        <v>1.0340184160520025</v>
      </c>
      <c r="J47" s="248">
        <f>IF(J$8=0,0,J$8/AGR!J$5*1000)</f>
        <v>1.0642964167813813</v>
      </c>
      <c r="K47" s="248">
        <f>IF(K$8=0,0,K$8/AGR!K$5*1000)</f>
        <v>1.2197184577936748</v>
      </c>
      <c r="L47" s="248">
        <f>IF(L$8=0,0,L$8/AGR!L$5*1000)</f>
        <v>1.1373875735639414</v>
      </c>
      <c r="M47" s="248">
        <f>IF(M$8=0,0,M$8/AGR!M$5*1000)</f>
        <v>1.0168783920778264</v>
      </c>
      <c r="N47" s="248">
        <f>IF(N$8=0,0,N$8/AGR!N$5*1000)</f>
        <v>1.0526625423630844</v>
      </c>
      <c r="O47" s="248">
        <f>IF(O$8=0,0,O$8/AGR!O$5*1000)</f>
        <v>1.0575660514033522</v>
      </c>
      <c r="P47" s="248">
        <f>IF(P$8=0,0,P$8/AGR!P$5*1000)</f>
        <v>1.0208443657695063</v>
      </c>
      <c r="Q47" s="248">
        <f>IF(Q$8=0,0,Q$8/AGR!Q$5*1000)</f>
        <v>1.0520080414283248</v>
      </c>
      <c r="R47" s="248">
        <f>IF(R$8=0,0,R$8/AGR!R$5*1000)</f>
        <v>1.065667823356532</v>
      </c>
      <c r="S47" s="248">
        <f>IF(S$8=0,0,S$8/AGR!S$5*1000)</f>
        <v>0.98804004559393088</v>
      </c>
      <c r="T47" s="248">
        <f>IF(T$8=0,0,T$8/AGR!T$5*1000)</f>
        <v>1.069211419566404</v>
      </c>
      <c r="U47" s="248">
        <f>IF(U$8=0,0,U$8/AGR!U$5*1000)</f>
        <v>1.052856917638382</v>
      </c>
      <c r="V47" s="248">
        <f>IF(V$8=0,0,V$8/AGR!V$5*1000)</f>
        <v>1.0760330987097875</v>
      </c>
      <c r="W47" s="248">
        <f>IF(W$8=0,0,W$8/AGR!W$5*1000)</f>
        <v>1.0072372434959846</v>
      </c>
      <c r="X47" s="248">
        <f>IF(X$8=0,0,X$8/AGR!X$5*1000)</f>
        <v>0.85596868739670184</v>
      </c>
      <c r="Y47" s="248">
        <f>IF(Y$8=0,0,Y$8/AGR!Y$5*1000)</f>
        <v>0.89051328550004483</v>
      </c>
      <c r="DA47" s="282"/>
    </row>
    <row r="48" spans="1:105" x14ac:dyDescent="0.25">
      <c r="A48" s="242" t="s">
        <v>122</v>
      </c>
      <c r="B48" s="249">
        <f>IF(B$9=0,0,B$9/AGR!B$5*1000)</f>
        <v>23.790116042858752</v>
      </c>
      <c r="C48" s="249">
        <f>IF(C$9=0,0,C$9/AGR!C$5*1000)</f>
        <v>23.45818119312688</v>
      </c>
      <c r="D48" s="249">
        <f>IF(D$9=0,0,D$9/AGR!D$5*1000)</f>
        <v>24.316985977755714</v>
      </c>
      <c r="E48" s="249">
        <f>IF(E$9=0,0,E$9/AGR!E$5*1000)</f>
        <v>25.561797169794929</v>
      </c>
      <c r="F48" s="249">
        <f>IF(F$9=0,0,F$9/AGR!F$5*1000)</f>
        <v>24.949997537954701</v>
      </c>
      <c r="G48" s="249">
        <f>IF(G$9=0,0,G$9/AGR!G$5*1000)</f>
        <v>28.525011442060485</v>
      </c>
      <c r="H48" s="249">
        <f>IF(H$9=0,0,H$9/AGR!H$5*1000)</f>
        <v>27.55172993453272</v>
      </c>
      <c r="I48" s="249">
        <f>IF(I$9=0,0,I$9/AGR!I$5*1000)</f>
        <v>24.904188266535961</v>
      </c>
      <c r="J48" s="249">
        <f>IF(J$9=0,0,J$9/AGR!J$5*1000)</f>
        <v>26.116193895613325</v>
      </c>
      <c r="K48" s="249">
        <f>IF(K$9=0,0,K$9/AGR!K$5*1000)</f>
        <v>29.134812699614994</v>
      </c>
      <c r="L48" s="249">
        <f>IF(L$9=0,0,L$9/AGR!L$5*1000)</f>
        <v>27.387804308974317</v>
      </c>
      <c r="M48" s="249">
        <f>IF(M$9=0,0,M$9/AGR!M$5*1000)</f>
        <v>24.690607834242051</v>
      </c>
      <c r="N48" s="249">
        <f>IF(N$9=0,0,N$9/AGR!N$5*1000)</f>
        <v>25.354495942414413</v>
      </c>
      <c r="O48" s="249">
        <f>IF(O$9=0,0,O$9/AGR!O$5*1000)</f>
        <v>25.642643744512842</v>
      </c>
      <c r="P48" s="249">
        <f>IF(P$9=0,0,P$9/AGR!P$5*1000)</f>
        <v>25.041000976791427</v>
      </c>
      <c r="Q48" s="249">
        <f>IF(Q$9=0,0,Q$9/AGR!Q$5*1000)</f>
        <v>25.470281881946562</v>
      </c>
      <c r="R48" s="249">
        <f>IF(R$9=0,0,R$9/AGR!R$5*1000)</f>
        <v>26.08377151978809</v>
      </c>
      <c r="S48" s="249">
        <f>IF(S$9=0,0,S$9/AGR!S$5*1000)</f>
        <v>24.130771845803935</v>
      </c>
      <c r="T48" s="249">
        <f>IF(T$9=0,0,T$9/AGR!T$5*1000)</f>
        <v>25.3915298106295</v>
      </c>
      <c r="U48" s="249">
        <f>IF(U$9=0,0,U$9/AGR!U$5*1000)</f>
        <v>25.352427608420125</v>
      </c>
      <c r="V48" s="249">
        <f>IF(V$9=0,0,V$9/AGR!V$5*1000)</f>
        <v>27.087686776097353</v>
      </c>
      <c r="W48" s="249">
        <f>IF(W$9=0,0,W$9/AGR!W$5*1000)</f>
        <v>25.783514471858819</v>
      </c>
      <c r="X48" s="249">
        <f>IF(X$9=0,0,X$9/AGR!X$5*1000)</f>
        <v>22.168253580366692</v>
      </c>
      <c r="Y48" s="249">
        <f>IF(Y$9=0,0,Y$9/AGR!Y$5*1000)</f>
        <v>22.473868321793486</v>
      </c>
      <c r="DA48" s="283"/>
    </row>
    <row r="49" spans="1:105" x14ac:dyDescent="0.25">
      <c r="A49" s="127" t="s">
        <v>168</v>
      </c>
      <c r="B49" s="262">
        <f>IF(B$16=0,0,B$16/AGR!B$5*1000)</f>
        <v>31.737334184389439</v>
      </c>
      <c r="C49" s="262">
        <f>IF(C$16=0,0,C$16/AGR!C$5*1000)</f>
        <v>30.980838361656986</v>
      </c>
      <c r="D49" s="262">
        <f>IF(D$16=0,0,D$16/AGR!D$5*1000)</f>
        <v>32.065756719680728</v>
      </c>
      <c r="E49" s="262">
        <f>IF(E$16=0,0,E$16/AGR!E$5*1000)</f>
        <v>33.872447348138763</v>
      </c>
      <c r="F49" s="262">
        <f>IF(F$16=0,0,F$16/AGR!F$5*1000)</f>
        <v>33.092652994064089</v>
      </c>
      <c r="G49" s="262">
        <f>IF(G$16=0,0,G$16/AGR!G$5*1000)</f>
        <v>37.667261983152343</v>
      </c>
      <c r="H49" s="262">
        <f>IF(H$16=0,0,H$16/AGR!H$5*1000)</f>
        <v>36.617785225380679</v>
      </c>
      <c r="I49" s="262">
        <f>IF(I$16=0,0,I$16/AGR!I$5*1000)</f>
        <v>33.146409133448707</v>
      </c>
      <c r="J49" s="262">
        <f>IF(J$16=0,0,J$16/AGR!J$5*1000)</f>
        <v>34.67674603386871</v>
      </c>
      <c r="K49" s="262">
        <f>IF(K$16=0,0,K$16/AGR!K$5*1000)</f>
        <v>38.743854950820491</v>
      </c>
      <c r="L49" s="262">
        <f>IF(L$16=0,0,L$16/AGR!L$5*1000)</f>
        <v>35.963982425163927</v>
      </c>
      <c r="M49" s="262">
        <f>IF(M$16=0,0,M$16/AGR!M$5*1000)</f>
        <v>32.503680252549657</v>
      </c>
      <c r="N49" s="262">
        <f>IF(N$16=0,0,N$16/AGR!N$5*1000)</f>
        <v>32.991467740246364</v>
      </c>
      <c r="O49" s="262">
        <f>IF(O$16=0,0,O$16/AGR!O$5*1000)</f>
        <v>32.747624836199549</v>
      </c>
      <c r="P49" s="262">
        <f>IF(P$16=0,0,P$16/AGR!P$5*1000)</f>
        <v>31.539845767374814</v>
      </c>
      <c r="Q49" s="262">
        <f>IF(Q$16=0,0,Q$16/AGR!Q$5*1000)</f>
        <v>32.376590152956858</v>
      </c>
      <c r="R49" s="262">
        <f>IF(R$16=0,0,R$16/AGR!R$5*1000)</f>
        <v>32.750766016945875</v>
      </c>
      <c r="S49" s="262">
        <f>IF(S$16=0,0,S$16/AGR!S$5*1000)</f>
        <v>30.217104051541611</v>
      </c>
      <c r="T49" s="262">
        <f>IF(T$16=0,0,T$16/AGR!T$5*1000)</f>
        <v>31.839048222698285</v>
      </c>
      <c r="U49" s="262">
        <f>IF(U$16=0,0,U$16/AGR!U$5*1000)</f>
        <v>31.541144182563048</v>
      </c>
      <c r="V49" s="262">
        <f>IF(V$16=0,0,V$16/AGR!V$5*1000)</f>
        <v>33.354886206386453</v>
      </c>
      <c r="W49" s="262">
        <f>IF(W$16=0,0,W$16/AGR!W$5*1000)</f>
        <v>31.839315577138741</v>
      </c>
      <c r="X49" s="262">
        <f>IF(X$16=0,0,X$16/AGR!X$5*1000)</f>
        <v>27.375823356106398</v>
      </c>
      <c r="Y49" s="262">
        <f>IF(Y$16=0,0,Y$16/AGR!Y$5*1000)</f>
        <v>28.169638552678148</v>
      </c>
      <c r="DA49" s="284"/>
    </row>
    <row r="50" spans="1:105" x14ac:dyDescent="0.25">
      <c r="A50" s="127" t="s">
        <v>121</v>
      </c>
      <c r="B50" s="262">
        <f>IF(B$17=0,0,B$17/AGR!B$5*1000)</f>
        <v>46.589169508028355</v>
      </c>
      <c r="C50" s="262">
        <f>IF(C$17=0,0,C$17/AGR!C$5*1000)</f>
        <v>44.985089602094533</v>
      </c>
      <c r="D50" s="262">
        <f>IF(D$17=0,0,D$17/AGR!D$5*1000)</f>
        <v>46.340222108242166</v>
      </c>
      <c r="E50" s="262">
        <f>IF(E$17=0,0,E$17/AGR!E$5*1000)</f>
        <v>48.709579326261071</v>
      </c>
      <c r="F50" s="262">
        <f>IF(F$17=0,0,F$17/AGR!F$5*1000)</f>
        <v>47.549344452682597</v>
      </c>
      <c r="G50" s="262">
        <f>IF(G$17=0,0,G$17/AGR!G$5*1000)</f>
        <v>54.608044117776764</v>
      </c>
      <c r="H50" s="262">
        <f>IF(H$17=0,0,H$17/AGR!H$5*1000)</f>
        <v>52.703523064347053</v>
      </c>
      <c r="I50" s="262">
        <f>IF(I$17=0,0,I$17/AGR!I$5*1000)</f>
        <v>47.650191157154893</v>
      </c>
      <c r="J50" s="262">
        <f>IF(J$17=0,0,J$17/AGR!J$5*1000)</f>
        <v>50.127067645618439</v>
      </c>
      <c r="K50" s="262">
        <f>IF(K$17=0,0,K$17/AGR!K$5*1000)</f>
        <v>55.733768073835812</v>
      </c>
      <c r="L50" s="262">
        <f>IF(L$17=0,0,L$17/AGR!L$5*1000)</f>
        <v>51.894786809721914</v>
      </c>
      <c r="M50" s="262">
        <f>IF(M$17=0,0,M$17/AGR!M$5*1000)</f>
        <v>46.931846689342571</v>
      </c>
      <c r="N50" s="262">
        <f>IF(N$17=0,0,N$17/AGR!N$5*1000)</f>
        <v>47.778494063486477</v>
      </c>
      <c r="O50" s="262">
        <f>IF(O$17=0,0,O$17/AGR!O$5*1000)</f>
        <v>47.336462583832756</v>
      </c>
      <c r="P50" s="262">
        <f>IF(P$17=0,0,P$17/AGR!P$5*1000)</f>
        <v>45.899804667345776</v>
      </c>
      <c r="Q50" s="262">
        <f>IF(Q$17=0,0,Q$17/AGR!Q$5*1000)</f>
        <v>46.764494420751994</v>
      </c>
      <c r="R50" s="262">
        <f>IF(R$17=0,0,R$17/AGR!R$5*1000)</f>
        <v>47.364251296001996</v>
      </c>
      <c r="S50" s="262">
        <f>IF(S$17=0,0,S$17/AGR!S$5*1000)</f>
        <v>43.616404700560118</v>
      </c>
      <c r="T50" s="262">
        <f>IF(T$17=0,0,T$17/AGR!T$5*1000)</f>
        <v>45.750743915757468</v>
      </c>
      <c r="U50" s="262">
        <f>IF(U$17=0,0,U$17/AGR!U$5*1000)</f>
        <v>45.506866471285399</v>
      </c>
      <c r="V50" s="262">
        <f>IF(V$17=0,0,V$17/AGR!V$5*1000)</f>
        <v>48.192828342950783</v>
      </c>
      <c r="W50" s="262">
        <f>IF(W$17=0,0,W$17/AGR!W$5*1000)</f>
        <v>46.276149959904309</v>
      </c>
      <c r="X50" s="262">
        <f>IF(X$17=0,0,X$17/AGR!X$5*1000)</f>
        <v>39.366561526691953</v>
      </c>
      <c r="Y50" s="262">
        <f>IF(Y$17=0,0,Y$17/AGR!Y$5*1000)</f>
        <v>40.375081413693543</v>
      </c>
      <c r="DA50" s="284"/>
    </row>
    <row r="51" spans="1:105" x14ac:dyDescent="0.25">
      <c r="A51" s="127" t="s">
        <v>167</v>
      </c>
      <c r="B51" s="262">
        <f>IF(B$25=0,0,B$25/AGR!B$5*1000)</f>
        <v>6.0985932537523624</v>
      </c>
      <c r="C51" s="262">
        <f>IF(C$25=0,0,C$25/AGR!C$5*1000)</f>
        <v>5.9532262769860154</v>
      </c>
      <c r="D51" s="262">
        <f>IF(D$25=0,0,D$25/AGR!D$5*1000)</f>
        <v>6.1617023808917466</v>
      </c>
      <c r="E51" s="262">
        <f>IF(E$25=0,0,E$25/AGR!E$5*1000)</f>
        <v>6.5088730416131879</v>
      </c>
      <c r="F51" s="262">
        <f>IF(F$25=0,0,F$25/AGR!F$5*1000)</f>
        <v>6.3590290578858797</v>
      </c>
      <c r="G51" s="262">
        <f>IF(G$25=0,0,G$25/AGR!G$5*1000)</f>
        <v>7.2380782986734316</v>
      </c>
      <c r="H51" s="262">
        <f>IF(H$25=0,0,H$25/AGR!H$5*1000)</f>
        <v>7.0364125936166975</v>
      </c>
      <c r="I51" s="262">
        <f>IF(I$25=0,0,I$25/AGR!I$5*1000)</f>
        <v>6.3693587480575271</v>
      </c>
      <c r="J51" s="262">
        <f>IF(J$25=0,0,J$25/AGR!J$5*1000)</f>
        <v>6.6634257368804297</v>
      </c>
      <c r="K51" s="262">
        <f>IF(K$25=0,0,K$25/AGR!K$5*1000)</f>
        <v>7.4449546094408232</v>
      </c>
      <c r="L51" s="262">
        <f>IF(L$25=0,0,L$25/AGR!L$5*1000)</f>
        <v>6.910778936942175</v>
      </c>
      <c r="M51" s="262">
        <f>IF(M$25=0,0,M$25/AGR!M$5*1000)</f>
        <v>6.2458530372668948</v>
      </c>
      <c r="N51" s="262">
        <f>IF(N$25=0,0,N$25/AGR!N$5*1000)</f>
        <v>6.3395854681146968</v>
      </c>
      <c r="O51" s="262">
        <f>IF(O$25=0,0,O$25/AGR!O$5*1000)</f>
        <v>6.2927290219823524</v>
      </c>
      <c r="P51" s="262">
        <f>IF(P$25=0,0,P$25/AGR!P$5*1000)</f>
        <v>6.060644208608803</v>
      </c>
      <c r="Q51" s="262">
        <f>IF(Q$25=0,0,Q$25/AGR!Q$5*1000)</f>
        <v>6.2214316154961731</v>
      </c>
      <c r="R51" s="262">
        <f>IF(R$25=0,0,R$25/AGR!R$5*1000)</f>
        <v>6.2933326260404892</v>
      </c>
      <c r="S51" s="262">
        <f>IF(S$25=0,0,S$25/AGR!S$5*1000)</f>
        <v>5.8064683645454709</v>
      </c>
      <c r="T51" s="262">
        <f>IF(T$25=0,0,T$25/AGR!T$5*1000)</f>
        <v>6.1181384538702543</v>
      </c>
      <c r="U51" s="262">
        <f>IF(U$25=0,0,U$25/AGR!U$5*1000)</f>
        <v>6.060893709907857</v>
      </c>
      <c r="V51" s="262">
        <f>IF(V$25=0,0,V$25/AGR!V$5*1000)</f>
        <v>6.4094193550131529</v>
      </c>
      <c r="W51" s="262">
        <f>IF(W$25=0,0,W$25/AGR!W$5*1000)</f>
        <v>6.1181898282540441</v>
      </c>
      <c r="X51" s="262">
        <f>IF(X$25=0,0,X$25/AGR!X$5*1000)</f>
        <v>5.2604926004650423</v>
      </c>
      <c r="Y51" s="262">
        <f>IF(Y$25=0,0,Y$25/AGR!Y$5*1000)</f>
        <v>5.4130308059240191</v>
      </c>
      <c r="DA51" s="284"/>
    </row>
    <row r="52" spans="1:105" x14ac:dyDescent="0.25">
      <c r="A52" s="127" t="s">
        <v>170</v>
      </c>
      <c r="B52" s="262">
        <f>IF(B$26=0,0,B$26/AGR!B$5*1000)</f>
        <v>0.85129980545154571</v>
      </c>
      <c r="C52" s="262">
        <f>IF(C$26=0,0,C$26/AGR!C$5*1000)</f>
        <v>0.88841778031944563</v>
      </c>
      <c r="D52" s="262">
        <f>IF(D$26=0,0,D$26/AGR!D$5*1000)</f>
        <v>0.98487978940119969</v>
      </c>
      <c r="E52" s="262">
        <f>IF(E$26=0,0,E$26/AGR!E$5*1000)</f>
        <v>0.97703486251891225</v>
      </c>
      <c r="F52" s="262">
        <f>IF(F$26=0,0,F$26/AGR!F$5*1000)</f>
        <v>1.071027313347253</v>
      </c>
      <c r="G52" s="262">
        <f>IF(G$26=0,0,G$26/AGR!G$5*1000)</f>
        <v>1.251127656570111</v>
      </c>
      <c r="H52" s="262">
        <f>IF(H$26=0,0,H$26/AGR!H$5*1000)</f>
        <v>1.2295554367338366</v>
      </c>
      <c r="I52" s="262">
        <f>IF(I$26=0,0,I$26/AGR!I$5*1000)</f>
        <v>1.1489093511688921</v>
      </c>
      <c r="J52" s="262">
        <f>IF(J$26=0,0,J$26/AGR!J$5*1000)</f>
        <v>1.1825515742015351</v>
      </c>
      <c r="K52" s="262">
        <f>IF(K$26=0,0,K$26/AGR!K$5*1000)</f>
        <v>1.3552427308818604</v>
      </c>
      <c r="L52" s="262">
        <f>IF(L$26=0,0,L$26/AGR!L$5*1000)</f>
        <v>1.2637639706266024</v>
      </c>
      <c r="M52" s="262">
        <f>IF(M$26=0,0,M$26/AGR!M$5*1000)</f>
        <v>1.1298648800864741</v>
      </c>
      <c r="N52" s="262">
        <f>IF(N$26=0,0,N$26/AGR!N$5*1000)</f>
        <v>1.1696250470700935</v>
      </c>
      <c r="O52" s="262">
        <f>IF(O$26=0,0,O$26/AGR!O$5*1000)</f>
        <v>1.1750733904481696</v>
      </c>
      <c r="P52" s="262">
        <f>IF(P$26=0,0,P$26/AGR!P$5*1000)</f>
        <v>1.134271517521674</v>
      </c>
      <c r="Q52" s="262">
        <f>IF(Q$26=0,0,Q$26/AGR!Q$5*1000)</f>
        <v>1.1688978238092498</v>
      </c>
      <c r="R52" s="262">
        <f>IF(R$26=0,0,R$26/AGR!R$5*1000)</f>
        <v>1.1840753592850353</v>
      </c>
      <c r="S52" s="262">
        <f>IF(S$26=0,0,S$26/AGR!S$5*1000)</f>
        <v>1.0978222728821456</v>
      </c>
      <c r="T52" s="262">
        <f>IF(T$26=0,0,T$26/AGR!T$5*1000)</f>
        <v>1.1880126884071158</v>
      </c>
      <c r="U52" s="262">
        <f>IF(U$26=0,0,U$26/AGR!U$5*1000)</f>
        <v>1.1698410195982025</v>
      </c>
      <c r="V52" s="262">
        <f>IF(V$26=0,0,V$26/AGR!V$5*1000)</f>
        <v>1.1955923318997634</v>
      </c>
      <c r="W52" s="262">
        <f>IF(W$26=0,0,W$26/AGR!W$5*1000)</f>
        <v>1.1191524927733165</v>
      </c>
      <c r="X52" s="262">
        <f>IF(X$26=0,0,X$26/AGR!X$5*1000)</f>
        <v>0.95107631932966885</v>
      </c>
      <c r="Y52" s="262">
        <f>IF(Y$26=0,0,Y$26/AGR!Y$5*1000)</f>
        <v>0.98945920611116089</v>
      </c>
      <c r="DA52" s="284"/>
    </row>
    <row r="53" spans="1:105" x14ac:dyDescent="0.25">
      <c r="A53" s="260" t="s">
        <v>33</v>
      </c>
      <c r="B53" s="263">
        <f>IF(B$27=0,0,B$27/AGR!B$5*1000)</f>
        <v>1.2343847179047409</v>
      </c>
      <c r="C53" s="263">
        <f>IF(C$27=0,0,C$27/AGR!C$5*1000)</f>
        <v>1.2882057814631958</v>
      </c>
      <c r="D53" s="263">
        <f>IF(D$27=0,0,D$27/AGR!D$5*1000)</f>
        <v>1.4280756946317394</v>
      </c>
      <c r="E53" s="263">
        <f>IF(E$27=0,0,E$27/AGR!E$5*1000)</f>
        <v>1.4167005506524217</v>
      </c>
      <c r="F53" s="263">
        <f>IF(F$27=0,0,F$27/AGR!F$5*1000)</f>
        <v>1.5529896043535167</v>
      </c>
      <c r="G53" s="263">
        <f>IF(G$27=0,0,G$27/AGR!G$5*1000)</f>
        <v>1.8141351020266612</v>
      </c>
      <c r="H53" s="263">
        <f>IF(H$27=0,0,H$27/AGR!H$5*1000)</f>
        <v>1.7828553832640635</v>
      </c>
      <c r="I53" s="263">
        <f>IF(I$27=0,0,I$27/AGR!I$5*1000)</f>
        <v>1.6659185591948931</v>
      </c>
      <c r="J53" s="263">
        <f>IF(J$27=0,0,J$27/AGR!J$5*1000)</f>
        <v>1.7146997825922254</v>
      </c>
      <c r="K53" s="263">
        <f>IF(K$27=0,0,K$27/AGR!K$5*1000)</f>
        <v>1.9651019597786978</v>
      </c>
      <c r="L53" s="263">
        <f>IF(L$27=0,0,L$27/AGR!L$5*1000)</f>
        <v>1.832457757408573</v>
      </c>
      <c r="M53" s="263">
        <f>IF(M$27=0,0,M$27/AGR!M$5*1000)</f>
        <v>1.6383040761253875</v>
      </c>
      <c r="N53" s="263">
        <f>IF(N$27=0,0,N$27/AGR!N$5*1000)</f>
        <v>1.6959563182516357</v>
      </c>
      <c r="O53" s="263">
        <f>IF(O$27=0,0,O$27/AGR!O$5*1000)</f>
        <v>1.7038564161498457</v>
      </c>
      <c r="P53" s="263">
        <f>IF(P$27=0,0,P$27/AGR!P$5*1000)</f>
        <v>1.6446937004064273</v>
      </c>
      <c r="Q53" s="263">
        <f>IF(Q$27=0,0,Q$27/AGR!Q$5*1000)</f>
        <v>1.6949018445234123</v>
      </c>
      <c r="R53" s="263">
        <f>IF(R$27=0,0,R$27/AGR!R$5*1000)</f>
        <v>1.7169092709633011</v>
      </c>
      <c r="S53" s="263">
        <f>IF(S$27=0,0,S$27/AGR!S$5*1000)</f>
        <v>1.5918422956791114</v>
      </c>
      <c r="T53" s="263">
        <f>IF(T$27=0,0,T$27/AGR!T$5*1000)</f>
        <v>1.7226183981903176</v>
      </c>
      <c r="U53" s="263">
        <f>IF(U$27=0,0,U$27/AGR!U$5*1000)</f>
        <v>1.6962694784173937</v>
      </c>
      <c r="V53" s="263">
        <f>IF(V$27=0,0,V$27/AGR!V$5*1000)</f>
        <v>1.7336088812546573</v>
      </c>
      <c r="W53" s="263">
        <f>IF(W$27=0,0,W$27/AGR!W$5*1000)</f>
        <v>1.6227711145213088</v>
      </c>
      <c r="X53" s="263">
        <f>IF(X$27=0,0,X$27/AGR!X$5*1000)</f>
        <v>1.3790606630280202</v>
      </c>
      <c r="Y53" s="263">
        <f>IF(Y$27=0,0,Y$27/AGR!Y$5*1000)</f>
        <v>1.4347158488611833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111.58415994080521</v>
      </c>
      <c r="C5" s="80">
        <f t="shared" ref="C5:W5" si="1">SUM(C6:C9,C16:C17,C25:C27)</f>
        <v>106.39214070798589</v>
      </c>
      <c r="D5" s="80">
        <f t="shared" si="1"/>
        <v>99.271077614035192</v>
      </c>
      <c r="E5" s="80">
        <f t="shared" si="1"/>
        <v>99.91876425468071</v>
      </c>
      <c r="F5" s="80">
        <f t="shared" si="1"/>
        <v>93.236630020897593</v>
      </c>
      <c r="G5" s="80">
        <f t="shared" si="1"/>
        <v>95.301367743091362</v>
      </c>
      <c r="H5" s="80">
        <f t="shared" si="1"/>
        <v>96.214946011054863</v>
      </c>
      <c r="I5" s="80">
        <f t="shared" si="1"/>
        <v>94.24276104809276</v>
      </c>
      <c r="J5" s="80">
        <f t="shared" si="1"/>
        <v>99.939482306417986</v>
      </c>
      <c r="K5" s="80">
        <f t="shared" si="1"/>
        <v>98.383847093704958</v>
      </c>
      <c r="L5" s="80">
        <f t="shared" si="1"/>
        <v>96.939044721719597</v>
      </c>
      <c r="M5" s="80">
        <f t="shared" si="1"/>
        <v>98.882933328115655</v>
      </c>
      <c r="N5" s="80">
        <f t="shared" si="1"/>
        <v>91.452960219716047</v>
      </c>
      <c r="O5" s="80">
        <f t="shared" si="1"/>
        <v>90.70472680722979</v>
      </c>
      <c r="P5" s="80">
        <f t="shared" si="1"/>
        <v>93.70928512537499</v>
      </c>
      <c r="Q5" s="80">
        <f t="shared" si="1"/>
        <v>92.221975001527156</v>
      </c>
      <c r="R5" s="80">
        <f t="shared" si="1"/>
        <v>93.804127872329815</v>
      </c>
      <c r="S5" s="80">
        <f t="shared" si="1"/>
        <v>92.676761800593141</v>
      </c>
      <c r="T5" s="80">
        <f t="shared" si="1"/>
        <v>94.645467256375625</v>
      </c>
      <c r="U5" s="80">
        <f t="shared" si="1"/>
        <v>95.774024878802749</v>
      </c>
      <c r="V5" s="80">
        <f t="shared" si="1"/>
        <v>101.02781627831969</v>
      </c>
      <c r="W5" s="80">
        <f t="shared" si="1"/>
        <v>101.29478711926791</v>
      </c>
      <c r="X5" s="80">
        <f t="shared" ref="X5:Y5" si="2">SUM(X6:X9,X16:X17,X25:X27)</f>
        <v>102.08835075920354</v>
      </c>
      <c r="Y5" s="80">
        <f t="shared" si="2"/>
        <v>100.16717997539193</v>
      </c>
      <c r="DA5" s="103"/>
    </row>
    <row r="6" spans="1:105" x14ac:dyDescent="0.25">
      <c r="A6" s="238" t="s">
        <v>125</v>
      </c>
      <c r="B6" s="239">
        <v>1.079908356482435</v>
      </c>
      <c r="C6" s="239">
        <v>1.0915085485656459</v>
      </c>
      <c r="D6" s="239">
        <v>1.086181890980161</v>
      </c>
      <c r="E6" s="239">
        <v>1.035340821759251</v>
      </c>
      <c r="F6" s="239">
        <v>1.076607100565528</v>
      </c>
      <c r="G6" s="239">
        <v>1.1215559755887301</v>
      </c>
      <c r="H6" s="239">
        <v>1.150621704338785</v>
      </c>
      <c r="I6" s="239">
        <v>1.1620688409559949</v>
      </c>
      <c r="J6" s="239">
        <v>1.210484713309451</v>
      </c>
      <c r="K6" s="239">
        <v>1.2225867739600469</v>
      </c>
      <c r="L6" s="239">
        <v>1.200893623716031</v>
      </c>
      <c r="M6" s="239">
        <v>1.214317451747952</v>
      </c>
      <c r="N6" s="239">
        <v>1.1364593316107301</v>
      </c>
      <c r="O6" s="239">
        <v>1.130341179391593</v>
      </c>
      <c r="P6" s="239">
        <v>1.161043892495258</v>
      </c>
      <c r="Q6" s="239">
        <v>1.1541365944576381</v>
      </c>
      <c r="R6" s="239">
        <v>1.1665614429104441</v>
      </c>
      <c r="S6" s="239">
        <v>1.157706038368667</v>
      </c>
      <c r="T6" s="239">
        <v>1.214232161217081</v>
      </c>
      <c r="U6" s="239">
        <v>1.2153446481246291</v>
      </c>
      <c r="V6" s="239">
        <v>1.2350233308910299</v>
      </c>
      <c r="W6" s="239">
        <v>1.213857154453138</v>
      </c>
      <c r="X6" s="239">
        <v>1.2152050996249459</v>
      </c>
      <c r="Y6" s="239">
        <v>1.2149542464753911</v>
      </c>
      <c r="DA6" s="267" t="s">
        <v>1016</v>
      </c>
    </row>
    <row r="7" spans="1:105" x14ac:dyDescent="0.25">
      <c r="A7" s="240" t="s">
        <v>124</v>
      </c>
      <c r="B7" s="241">
        <v>0.69606372588955234</v>
      </c>
      <c r="C7" s="241">
        <v>0.70354072416816105</v>
      </c>
      <c r="D7" s="241">
        <v>0.70010738364140779</v>
      </c>
      <c r="E7" s="241">
        <v>0.66733735842798536</v>
      </c>
      <c r="F7" s="241">
        <v>0.69393587450304917</v>
      </c>
      <c r="G7" s="241">
        <v>0.72290803796060921</v>
      </c>
      <c r="H7" s="241">
        <v>0.74164259013627554</v>
      </c>
      <c r="I7" s="241">
        <v>0.74902093526779689</v>
      </c>
      <c r="J7" s="241">
        <v>0.78022778008962235</v>
      </c>
      <c r="K7" s="241">
        <v>0.78802826184053132</v>
      </c>
      <c r="L7" s="241">
        <v>0.77404576518283719</v>
      </c>
      <c r="M7" s="241">
        <v>0.78269820286378589</v>
      </c>
      <c r="N7" s="241">
        <v>0.73251411745676331</v>
      </c>
      <c r="O7" s="241">
        <v>0.7285706126179976</v>
      </c>
      <c r="P7" s="241">
        <v>0.74836029639030099</v>
      </c>
      <c r="Q7" s="241">
        <v>0.74390814118746884</v>
      </c>
      <c r="R7" s="241">
        <v>0.75191667844505916</v>
      </c>
      <c r="S7" s="241">
        <v>0.74620885532969183</v>
      </c>
      <c r="T7" s="241">
        <v>0.78264322815751008</v>
      </c>
      <c r="U7" s="241">
        <v>0.78336029065380741</v>
      </c>
      <c r="V7" s="241">
        <v>0.79604434589308415</v>
      </c>
      <c r="W7" s="241">
        <v>0.7824015144937756</v>
      </c>
      <c r="X7" s="241">
        <v>0.78327034353186087</v>
      </c>
      <c r="Y7" s="241">
        <v>0.78310865409138031</v>
      </c>
      <c r="DA7" s="268" t="s">
        <v>1017</v>
      </c>
    </row>
    <row r="8" spans="1:105" x14ac:dyDescent="0.25">
      <c r="A8" s="240" t="s">
        <v>123</v>
      </c>
      <c r="B8" s="241">
        <v>1.3832402719164141</v>
      </c>
      <c r="C8" s="241">
        <v>1.3980988038975251</v>
      </c>
      <c r="D8" s="241">
        <v>1.391275958937837</v>
      </c>
      <c r="E8" s="241">
        <v>1.326154308576021</v>
      </c>
      <c r="F8" s="241">
        <v>1.379011737055325</v>
      </c>
      <c r="G8" s="241">
        <v>1.4365861541215581</v>
      </c>
      <c r="H8" s="241">
        <v>1.473816060065275</v>
      </c>
      <c r="I8" s="241">
        <v>1.488478545332663</v>
      </c>
      <c r="J8" s="241">
        <v>1.550493793235187</v>
      </c>
      <c r="K8" s="241">
        <v>1.565995161999113</v>
      </c>
      <c r="L8" s="241">
        <v>1.53820869395103</v>
      </c>
      <c r="M8" s="241">
        <v>1.555403096999745</v>
      </c>
      <c r="N8" s="241">
        <v>1.455675664923648</v>
      </c>
      <c r="O8" s="241">
        <v>1.4478390049992891</v>
      </c>
      <c r="P8" s="241">
        <v>1.487165702461303</v>
      </c>
      <c r="Q8" s="241">
        <v>1.4783182361384331</v>
      </c>
      <c r="R8" s="241">
        <v>1.494233059511372</v>
      </c>
      <c r="S8" s="241">
        <v>1.4828902894394771</v>
      </c>
      <c r="T8" s="241">
        <v>1.5552938494914661</v>
      </c>
      <c r="U8" s="241">
        <v>1.5567188191967789</v>
      </c>
      <c r="V8" s="241">
        <v>1.5819249826062529</v>
      </c>
      <c r="W8" s="241">
        <v>1.5548135083078729</v>
      </c>
      <c r="X8" s="241">
        <v>1.5565400733768311</v>
      </c>
      <c r="Y8" s="241">
        <v>1.5562187589090639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39.03674945443354</v>
      </c>
      <c r="C9" s="243">
        <f t="shared" ref="C9:W9" si="4">SUM(C10:C15)</f>
        <v>37.486172787153649</v>
      </c>
      <c r="D9" s="243">
        <f t="shared" si="4"/>
        <v>34.934757606437394</v>
      </c>
      <c r="E9" s="243">
        <f t="shared" si="4"/>
        <v>35.179311057344336</v>
      </c>
      <c r="F9" s="243">
        <f t="shared" si="4"/>
        <v>32.605768515002374</v>
      </c>
      <c r="G9" s="243">
        <f t="shared" si="4"/>
        <v>33.322771990992244</v>
      </c>
      <c r="H9" s="243">
        <f t="shared" si="4"/>
        <v>33.505421618866762</v>
      </c>
      <c r="I9" s="243">
        <f t="shared" si="4"/>
        <v>32.727454341909265</v>
      </c>
      <c r="J9" s="243">
        <f t="shared" si="4"/>
        <v>34.763446996808334</v>
      </c>
      <c r="K9" s="243">
        <f t="shared" si="4"/>
        <v>34.16664326486648</v>
      </c>
      <c r="L9" s="243">
        <f t="shared" si="4"/>
        <v>33.986997845155074</v>
      </c>
      <c r="M9" s="243">
        <f t="shared" si="4"/>
        <v>34.615966984833911</v>
      </c>
      <c r="N9" s="243">
        <f t="shared" si="4"/>
        <v>32.26492784893653</v>
      </c>
      <c r="O9" s="243">
        <f t="shared" si="4"/>
        <v>32.489488859002613</v>
      </c>
      <c r="P9" s="243">
        <f t="shared" si="4"/>
        <v>34.069045536274899</v>
      </c>
      <c r="Q9" s="243">
        <f t="shared" si="4"/>
        <v>33.345475595274237</v>
      </c>
      <c r="R9" s="243">
        <f t="shared" si="4"/>
        <v>34.214818569226516</v>
      </c>
      <c r="S9" s="243">
        <f t="shared" si="4"/>
        <v>33.878043296141811</v>
      </c>
      <c r="T9" s="243">
        <f t="shared" si="4"/>
        <v>34.527421913633901</v>
      </c>
      <c r="U9" s="243">
        <f t="shared" si="4"/>
        <v>35.114256769462727</v>
      </c>
      <c r="V9" s="243">
        <f t="shared" si="4"/>
        <v>37.397054310734404</v>
      </c>
      <c r="W9" s="243">
        <f t="shared" si="4"/>
        <v>37.299937614554935</v>
      </c>
      <c r="X9" s="243">
        <f t="shared" ref="X9:Y9" si="5">SUM(X10:X15)</f>
        <v>37.760934283692002</v>
      </c>
      <c r="Y9" s="243">
        <f t="shared" si="5"/>
        <v>36.630985858941621</v>
      </c>
      <c r="DA9" s="269"/>
    </row>
    <row r="10" spans="1:105" x14ac:dyDescent="0.25">
      <c r="A10" s="253" t="s">
        <v>166</v>
      </c>
      <c r="B10" s="254">
        <v>35.650379337731337</v>
      </c>
      <c r="C10" s="254">
        <v>32.200272265267692</v>
      </c>
      <c r="D10" s="254">
        <v>29.52904089106455</v>
      </c>
      <c r="E10" s="254">
        <v>30.74597407571402</v>
      </c>
      <c r="F10" s="254">
        <v>28.25819965519149</v>
      </c>
      <c r="G10" s="254">
        <v>28.114726826199931</v>
      </c>
      <c r="H10" s="254">
        <v>29.22319222985103</v>
      </c>
      <c r="I10" s="254">
        <v>28.64929455458579</v>
      </c>
      <c r="J10" s="254">
        <v>30.105177672370619</v>
      </c>
      <c r="K10" s="254">
        <v>29.735711433185902</v>
      </c>
      <c r="L10" s="254">
        <v>28.218547964519271</v>
      </c>
      <c r="M10" s="254">
        <v>29.081769201935369</v>
      </c>
      <c r="N10" s="254">
        <v>26.066595171393651</v>
      </c>
      <c r="O10" s="254">
        <v>24.78728644231192</v>
      </c>
      <c r="P10" s="254">
        <v>24.399531695957339</v>
      </c>
      <c r="Q10" s="254">
        <v>24.53819751996766</v>
      </c>
      <c r="R10" s="254">
        <v>23.797749777553829</v>
      </c>
      <c r="S10" s="254">
        <v>23.685100651835249</v>
      </c>
      <c r="T10" s="254">
        <v>24.31896071309696</v>
      </c>
      <c r="U10" s="254">
        <v>23.977226768538479</v>
      </c>
      <c r="V10" s="254">
        <v>24.682422001601768</v>
      </c>
      <c r="W10" s="254">
        <v>24.572326699193869</v>
      </c>
      <c r="X10" s="254">
        <v>25.363456059998889</v>
      </c>
      <c r="Y10" s="254">
        <v>25.975611325067451</v>
      </c>
      <c r="DA10" s="270" t="s">
        <v>1019</v>
      </c>
    </row>
    <row r="11" spans="1:105" x14ac:dyDescent="0.25">
      <c r="A11" s="253" t="s">
        <v>169</v>
      </c>
      <c r="B11" s="255">
        <v>3.25622493699055</v>
      </c>
      <c r="C11" s="255">
        <v>5.1407691078063644</v>
      </c>
      <c r="D11" s="255">
        <v>5.2417081070932738</v>
      </c>
      <c r="E11" s="255">
        <v>4.2940774620459301</v>
      </c>
      <c r="F11" s="255">
        <v>4.1657084239751176</v>
      </c>
      <c r="G11" s="255">
        <v>5.0093325075575779</v>
      </c>
      <c r="H11" s="255">
        <v>4.0719454572616796</v>
      </c>
      <c r="I11" s="255">
        <v>3.8515337534513838</v>
      </c>
      <c r="J11" s="255">
        <v>4.4299077340525468</v>
      </c>
      <c r="K11" s="255">
        <v>4.1885558333049371</v>
      </c>
      <c r="L11" s="255">
        <v>4.703040441945161</v>
      </c>
      <c r="M11" s="255">
        <v>4.571546462201753</v>
      </c>
      <c r="N11" s="255">
        <v>4.36483634874127</v>
      </c>
      <c r="O11" s="255">
        <v>4.3299844726124279</v>
      </c>
      <c r="P11" s="255">
        <v>4.5203823657676363</v>
      </c>
      <c r="Q11" s="255">
        <v>4.4538440598711144</v>
      </c>
      <c r="R11" s="255">
        <v>5.7374990977804066</v>
      </c>
      <c r="S11" s="255">
        <v>4.919559512444458</v>
      </c>
      <c r="T11" s="255">
        <v>4.7826381377825884</v>
      </c>
      <c r="U11" s="255">
        <v>5.4151975035695239</v>
      </c>
      <c r="V11" s="255">
        <v>6.1176783947231428</v>
      </c>
      <c r="W11" s="255">
        <v>7.4519442914841578</v>
      </c>
      <c r="X11" s="255">
        <v>6.2003934358898176</v>
      </c>
      <c r="Y11" s="255">
        <v>5.4277810900982821</v>
      </c>
      <c r="DA11" s="271" t="s">
        <v>1020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1.165329232851702</v>
      </c>
      <c r="Q12" s="255">
        <v>1.1635222472929929</v>
      </c>
      <c r="R12" s="255">
        <v>1.153808642754675</v>
      </c>
      <c r="S12" s="255">
        <v>1.071373108473888</v>
      </c>
      <c r="T12" s="255">
        <v>0.99828190654808435</v>
      </c>
      <c r="U12" s="255">
        <v>0.92580085277470769</v>
      </c>
      <c r="V12" s="255">
        <v>0.96538610710272033</v>
      </c>
      <c r="W12" s="255">
        <v>0.46876142691357309</v>
      </c>
      <c r="X12" s="255">
        <v>0.5973712906349653</v>
      </c>
      <c r="Y12" s="255">
        <v>0.57644821913752609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0.82947381498875938</v>
      </c>
      <c r="M14" s="254">
        <v>0.72788444979982525</v>
      </c>
      <c r="N14" s="254">
        <v>1.608183418098514</v>
      </c>
      <c r="O14" s="254">
        <v>3.148660906548026</v>
      </c>
      <c r="P14" s="254">
        <v>3.758075214819725</v>
      </c>
      <c r="Q14" s="254">
        <v>2.9624238939401271</v>
      </c>
      <c r="R14" s="254">
        <v>3.3010144836157909</v>
      </c>
      <c r="S14" s="254">
        <v>3.976428361473519</v>
      </c>
      <c r="T14" s="254">
        <v>4.1779007317886396</v>
      </c>
      <c r="U14" s="254">
        <v>4.5519592342057011</v>
      </c>
      <c r="V14" s="254">
        <v>5.4034938471530269</v>
      </c>
      <c r="W14" s="254">
        <v>4.5909008085031404</v>
      </c>
      <c r="X14" s="254">
        <v>5.3882584894455938</v>
      </c>
      <c r="Y14" s="254">
        <v>4.4300763725504337</v>
      </c>
      <c r="DA14" s="270" t="s">
        <v>1023</v>
      </c>
    </row>
    <row r="15" spans="1:105" x14ac:dyDescent="0.25">
      <c r="A15" s="253" t="s">
        <v>24</v>
      </c>
      <c r="B15" s="255">
        <v>0.1301451797116524</v>
      </c>
      <c r="C15" s="255">
        <v>0.1451314140795944</v>
      </c>
      <c r="D15" s="255">
        <v>0.1640086082795662</v>
      </c>
      <c r="E15" s="255">
        <v>0.1392595195843862</v>
      </c>
      <c r="F15" s="255">
        <v>0.181860435835768</v>
      </c>
      <c r="G15" s="255">
        <v>0.19871265723473361</v>
      </c>
      <c r="H15" s="255">
        <v>0.2102839317540528</v>
      </c>
      <c r="I15" s="255">
        <v>0.2266260338720969</v>
      </c>
      <c r="J15" s="255">
        <v>0.22836159038517059</v>
      </c>
      <c r="K15" s="255">
        <v>0.2423759983756433</v>
      </c>
      <c r="L15" s="255">
        <v>0.23593562370188301</v>
      </c>
      <c r="M15" s="255">
        <v>0.23476687089696049</v>
      </c>
      <c r="N15" s="255">
        <v>0.2253129107030987</v>
      </c>
      <c r="O15" s="255">
        <v>0.22355703753024039</v>
      </c>
      <c r="P15" s="255">
        <v>0.2257270268785056</v>
      </c>
      <c r="Q15" s="255">
        <v>0.22748787420233971</v>
      </c>
      <c r="R15" s="255">
        <v>0.2247465675218141</v>
      </c>
      <c r="S15" s="255">
        <v>0.22558166191469531</v>
      </c>
      <c r="T15" s="255">
        <v>0.2496404244176382</v>
      </c>
      <c r="U15" s="255">
        <v>0.2440724103743129</v>
      </c>
      <c r="V15" s="255">
        <v>0.22807396015374379</v>
      </c>
      <c r="W15" s="255">
        <v>0.2160043884601954</v>
      </c>
      <c r="X15" s="255">
        <v>0.21145500772274259</v>
      </c>
      <c r="Y15" s="255">
        <v>0.22106885208793059</v>
      </c>
      <c r="DA15" s="271" t="s">
        <v>1024</v>
      </c>
    </row>
    <row r="16" spans="1:105" x14ac:dyDescent="0.25">
      <c r="A16" s="256" t="s">
        <v>168</v>
      </c>
      <c r="B16" s="257">
        <v>28.8093082513642</v>
      </c>
      <c r="C16" s="257">
        <v>27.237113681685859</v>
      </c>
      <c r="D16" s="257">
        <v>25.305728462641611</v>
      </c>
      <c r="E16" s="257">
        <v>25.684899553057029</v>
      </c>
      <c r="F16" s="257">
        <v>23.80380022210668</v>
      </c>
      <c r="G16" s="257">
        <v>24.162474002680032</v>
      </c>
      <c r="H16" s="257">
        <v>24.5207945422408</v>
      </c>
      <c r="I16" s="257">
        <v>23.99057166147001</v>
      </c>
      <c r="J16" s="257">
        <v>25.400108654227051</v>
      </c>
      <c r="K16" s="257">
        <v>25.010562235263571</v>
      </c>
      <c r="L16" s="257">
        <v>24.454813995251449</v>
      </c>
      <c r="M16" s="257">
        <v>24.997483017303939</v>
      </c>
      <c r="N16" s="257">
        <v>22.938599247380012</v>
      </c>
      <c r="O16" s="257">
        <v>22.541477671540349</v>
      </c>
      <c r="P16" s="257">
        <v>23.10197952927194</v>
      </c>
      <c r="Q16" s="257">
        <v>22.875457418667171</v>
      </c>
      <c r="R16" s="257">
        <v>23.089139876190622</v>
      </c>
      <c r="S16" s="257">
        <v>22.802219334930971</v>
      </c>
      <c r="T16" s="257">
        <v>23.286206655223189</v>
      </c>
      <c r="U16" s="257">
        <v>23.44812221050973</v>
      </c>
      <c r="V16" s="257">
        <v>24.655256339785499</v>
      </c>
      <c r="W16" s="257">
        <v>24.711554016606939</v>
      </c>
      <c r="X16" s="257">
        <v>25.02991776701835</v>
      </c>
      <c r="Y16" s="257">
        <v>24.751488532166441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34.000787484065405</v>
      </c>
      <c r="C17" s="257">
        <f t="shared" ref="C17:W17" si="7">SUM(C18:C24)</f>
        <v>32.080046463745205</v>
      </c>
      <c r="D17" s="257">
        <f t="shared" si="7"/>
        <v>29.730491115832478</v>
      </c>
      <c r="E17" s="257">
        <f t="shared" si="7"/>
        <v>29.979435133500886</v>
      </c>
      <c r="F17" s="257">
        <f t="shared" si="7"/>
        <v>27.780962055232838</v>
      </c>
      <c r="G17" s="257">
        <f t="shared" si="7"/>
        <v>28.477777530755702</v>
      </c>
      <c r="H17" s="257">
        <f t="shared" si="7"/>
        <v>28.644407876513878</v>
      </c>
      <c r="I17" s="257">
        <f t="shared" si="7"/>
        <v>27.989594409263255</v>
      </c>
      <c r="J17" s="257">
        <f t="shared" si="7"/>
        <v>29.788368371375782</v>
      </c>
      <c r="K17" s="257">
        <f t="shared" si="7"/>
        <v>29.205786964239799</v>
      </c>
      <c r="L17" s="257">
        <f t="shared" si="7"/>
        <v>28.688891028907005</v>
      </c>
      <c r="M17" s="257">
        <f t="shared" si="7"/>
        <v>29.315276999296877</v>
      </c>
      <c r="N17" s="257">
        <f t="shared" si="7"/>
        <v>26.994812269477901</v>
      </c>
      <c r="O17" s="257">
        <f t="shared" si="7"/>
        <v>26.505768219417735</v>
      </c>
      <c r="P17" s="257">
        <f t="shared" si="7"/>
        <v>27.128208500414708</v>
      </c>
      <c r="Q17" s="257">
        <f t="shared" si="7"/>
        <v>26.65895553028296</v>
      </c>
      <c r="R17" s="257">
        <f t="shared" si="7"/>
        <v>27.061893591069474</v>
      </c>
      <c r="S17" s="257">
        <f t="shared" si="7"/>
        <v>26.644887737384778</v>
      </c>
      <c r="T17" s="257">
        <f t="shared" si="7"/>
        <v>27.108280560069051</v>
      </c>
      <c r="U17" s="257">
        <f t="shared" si="7"/>
        <v>27.460269375695372</v>
      </c>
      <c r="V17" s="257">
        <f t="shared" si="7"/>
        <v>28.95493315955504</v>
      </c>
      <c r="W17" s="257">
        <f t="shared" si="7"/>
        <v>29.370048377335152</v>
      </c>
      <c r="X17" s="257">
        <f t="shared" ref="X17:Y17" si="8">SUM(X18:X24)</f>
        <v>29.334111068450447</v>
      </c>
      <c r="Y17" s="257">
        <f t="shared" si="8"/>
        <v>28.860131418421044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0.65983305472278142</v>
      </c>
      <c r="C19" s="55">
        <v>0.98974958208428254</v>
      </c>
      <c r="D19" s="55">
        <v>0.85778297113986712</v>
      </c>
      <c r="E19" s="55">
        <v>0.98974958208429498</v>
      </c>
      <c r="F19" s="55">
        <v>0.89078728861811252</v>
      </c>
      <c r="G19" s="55">
        <v>0.9897495820847273</v>
      </c>
      <c r="H19" s="55">
        <v>0.98974958208478214</v>
      </c>
      <c r="I19" s="55">
        <v>0.98974958208490249</v>
      </c>
      <c r="J19" s="55">
        <v>0.98974958208484043</v>
      </c>
      <c r="K19" s="55">
        <v>0.98974958208493358</v>
      </c>
      <c r="L19" s="55">
        <v>0.98974958208491648</v>
      </c>
      <c r="M19" s="55">
        <v>0.98974958208488584</v>
      </c>
      <c r="N19" s="55">
        <v>0.98974958208493291</v>
      </c>
      <c r="O19" s="55">
        <v>0.98974958208492758</v>
      </c>
      <c r="P19" s="55">
        <v>0.98974958208489516</v>
      </c>
      <c r="Q19" s="55">
        <v>0.6598330547232818</v>
      </c>
      <c r="R19" s="55">
        <v>0.65983305472325338</v>
      </c>
      <c r="S19" s="55">
        <v>0.82480398314601711</v>
      </c>
      <c r="T19" s="55">
        <v>0.85778297114033797</v>
      </c>
      <c r="U19" s="55">
        <v>0.85778297114029833</v>
      </c>
      <c r="V19" s="55">
        <v>0.89078728861825207</v>
      </c>
      <c r="W19" s="55">
        <v>0.89078728861819179</v>
      </c>
      <c r="X19" s="55">
        <v>0.75882067767352801</v>
      </c>
      <c r="Y19" s="55">
        <v>0.7917996656678169</v>
      </c>
      <c r="DA19" s="101" t="s">
        <v>1027</v>
      </c>
    </row>
    <row r="20" spans="1:105" x14ac:dyDescent="0.25">
      <c r="A20" s="61" t="s">
        <v>166</v>
      </c>
      <c r="B20" s="55">
        <v>24.36882402772504</v>
      </c>
      <c r="C20" s="55">
        <v>23.142372504884449</v>
      </c>
      <c r="D20" s="55">
        <v>21.623246405191829</v>
      </c>
      <c r="E20" s="55">
        <v>22.42914732271322</v>
      </c>
      <c r="F20" s="55">
        <v>20.778326867577501</v>
      </c>
      <c r="G20" s="55">
        <v>20.49649207828076</v>
      </c>
      <c r="H20" s="55">
        <v>21.371669736118019</v>
      </c>
      <c r="I20" s="55">
        <v>20.995166272086529</v>
      </c>
      <c r="J20" s="55">
        <v>21.874344977644821</v>
      </c>
      <c r="K20" s="55">
        <v>21.815058518170929</v>
      </c>
      <c r="L20" s="55">
        <v>21.02860241909335</v>
      </c>
      <c r="M20" s="55">
        <v>21.520557551616331</v>
      </c>
      <c r="N20" s="55">
        <v>19.55866656295813</v>
      </c>
      <c r="O20" s="55">
        <v>19.26168117159607</v>
      </c>
      <c r="P20" s="55">
        <v>19.182576335939089</v>
      </c>
      <c r="Q20" s="55">
        <v>19.33881023470154</v>
      </c>
      <c r="R20" s="55">
        <v>19.180227416599131</v>
      </c>
      <c r="S20" s="55">
        <v>19.19268224564933</v>
      </c>
      <c r="T20" s="55">
        <v>19.87397672153746</v>
      </c>
      <c r="U20" s="55">
        <v>19.69981656344925</v>
      </c>
      <c r="V20" s="55">
        <v>20.540100599264139</v>
      </c>
      <c r="W20" s="55">
        <v>20.133367132203521</v>
      </c>
      <c r="X20" s="55">
        <v>21.162134240029921</v>
      </c>
      <c r="Y20" s="55">
        <v>21.269066514902889</v>
      </c>
      <c r="DA20" s="101" t="s">
        <v>1028</v>
      </c>
    </row>
    <row r="21" spans="1:105" x14ac:dyDescent="0.25">
      <c r="A21" s="61" t="s">
        <v>129</v>
      </c>
      <c r="B21" s="55">
        <v>6.7996340421009966</v>
      </c>
      <c r="C21" s="55">
        <v>4.3417171667544432</v>
      </c>
      <c r="D21" s="55">
        <v>3.5030230314331172</v>
      </c>
      <c r="E21" s="55">
        <v>3.503023031432527</v>
      </c>
      <c r="F21" s="55">
        <v>3.1221369898393991</v>
      </c>
      <c r="G21" s="55">
        <v>3.4270263913126739</v>
      </c>
      <c r="H21" s="55">
        <v>3.3763770119150638</v>
      </c>
      <c r="I21" s="55">
        <v>3.2497309923962732</v>
      </c>
      <c r="J21" s="55">
        <v>3.782587743208599</v>
      </c>
      <c r="K21" s="55">
        <v>3.401701701614483</v>
      </c>
      <c r="L21" s="55">
        <v>3.2497309923963189</v>
      </c>
      <c r="M21" s="55">
        <v>3.5030230314346169</v>
      </c>
      <c r="N21" s="55">
        <v>3.249730992396374</v>
      </c>
      <c r="O21" s="55">
        <v>2.970166280622188</v>
      </c>
      <c r="P21" s="55">
        <v>2.9964389533578522</v>
      </c>
      <c r="Q21" s="55">
        <v>2.74312434329484</v>
      </c>
      <c r="R21" s="55">
        <v>2.21026759248217</v>
      </c>
      <c r="S21" s="55">
        <v>2.2714350693842</v>
      </c>
      <c r="T21" s="55">
        <v>2.1247008378937262</v>
      </c>
      <c r="U21" s="55">
        <v>2.1526663374809192</v>
      </c>
      <c r="V21" s="55">
        <v>2.1247008378932799</v>
      </c>
      <c r="W21" s="55">
        <v>2.1806318370677089</v>
      </c>
      <c r="X21" s="55">
        <v>2.0967579093304471</v>
      </c>
      <c r="Y21" s="55">
        <v>2.208574765630396</v>
      </c>
      <c r="DA21" s="101" t="s">
        <v>1029</v>
      </c>
    </row>
    <row r="22" spans="1:105" x14ac:dyDescent="0.25">
      <c r="A22" s="61" t="s">
        <v>169</v>
      </c>
      <c r="B22" s="55">
        <v>2.1724963595165878</v>
      </c>
      <c r="C22" s="55">
        <v>3.6062072100220348</v>
      </c>
      <c r="D22" s="55">
        <v>3.7464387080676689</v>
      </c>
      <c r="E22" s="55">
        <v>3.0575151972708459</v>
      </c>
      <c r="F22" s="55">
        <v>2.9897109091978229</v>
      </c>
      <c r="G22" s="55">
        <v>3.5645094790775431</v>
      </c>
      <c r="H22" s="55">
        <v>2.9066115463960109</v>
      </c>
      <c r="I22" s="55">
        <v>2.7549475626955529</v>
      </c>
      <c r="J22" s="55">
        <v>3.1416860684375219</v>
      </c>
      <c r="K22" s="55">
        <v>2.9992771623694541</v>
      </c>
      <c r="L22" s="55">
        <v>3.4208080353324219</v>
      </c>
      <c r="M22" s="55">
        <v>3.3019468341610452</v>
      </c>
      <c r="N22" s="55">
        <v>3.1966651320384649</v>
      </c>
      <c r="O22" s="55">
        <v>3.2841711851145479</v>
      </c>
      <c r="P22" s="55">
        <v>3.4687648457477089</v>
      </c>
      <c r="Q22" s="55">
        <v>3.4260708834379612</v>
      </c>
      <c r="R22" s="55">
        <v>4.5135133527079354</v>
      </c>
      <c r="S22" s="55">
        <v>3.8909970373232889</v>
      </c>
      <c r="T22" s="55">
        <v>3.8148857083208561</v>
      </c>
      <c r="U22" s="55">
        <v>4.3426194714217488</v>
      </c>
      <c r="V22" s="55">
        <v>4.9690764494129427</v>
      </c>
      <c r="W22" s="55">
        <v>5.9595569555080674</v>
      </c>
      <c r="X22" s="55">
        <v>5.049455217773839</v>
      </c>
      <c r="Y22" s="55">
        <v>4.3378968293064926</v>
      </c>
      <c r="DA22" s="101" t="s">
        <v>1030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1031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0.49067878328516062</v>
      </c>
      <c r="Q24" s="55">
        <v>0.49111701412533348</v>
      </c>
      <c r="R24" s="55">
        <v>0.49805217455698081</v>
      </c>
      <c r="S24" s="55">
        <v>0.46496940188194508</v>
      </c>
      <c r="T24" s="55">
        <v>0.43693432117667358</v>
      </c>
      <c r="U24" s="55">
        <v>0.40738403220315361</v>
      </c>
      <c r="V24" s="55">
        <v>0.43026798436642782</v>
      </c>
      <c r="W24" s="55">
        <v>0.2057051639376635</v>
      </c>
      <c r="X24" s="55">
        <v>0.26694302364271422</v>
      </c>
      <c r="Y24" s="55">
        <v>0.25279364291344819</v>
      </c>
      <c r="DA24" s="101" t="s">
        <v>1032</v>
      </c>
    </row>
    <row r="25" spans="1:105" x14ac:dyDescent="0.25">
      <c r="A25" s="256" t="s">
        <v>167</v>
      </c>
      <c r="B25" s="257">
        <v>3.875164068550625</v>
      </c>
      <c r="C25" s="257">
        <v>3.6636868663897761</v>
      </c>
      <c r="D25" s="257">
        <v>3.403894630558649</v>
      </c>
      <c r="E25" s="257">
        <v>3.454897250010347</v>
      </c>
      <c r="F25" s="257">
        <v>3.2018690109054329</v>
      </c>
      <c r="G25" s="257">
        <v>3.2501145201235588</v>
      </c>
      <c r="H25" s="257">
        <v>3.2983125145986198</v>
      </c>
      <c r="I25" s="257">
        <v>3.2269917929082932</v>
      </c>
      <c r="J25" s="257">
        <v>3.4165897888048562</v>
      </c>
      <c r="K25" s="257">
        <v>3.364191575261207</v>
      </c>
      <c r="L25" s="257">
        <v>3.2894374162211939</v>
      </c>
      <c r="M25" s="257">
        <v>3.3624322787505192</v>
      </c>
      <c r="N25" s="257">
        <v>3.0854901065567999</v>
      </c>
      <c r="O25" s="257">
        <v>3.0320729523470269</v>
      </c>
      <c r="P25" s="257">
        <v>3.1074665244691362</v>
      </c>
      <c r="Q25" s="257">
        <v>3.076996846541125</v>
      </c>
      <c r="R25" s="257">
        <v>3.1057394520299328</v>
      </c>
      <c r="S25" s="257">
        <v>3.0671455308459432</v>
      </c>
      <c r="T25" s="257">
        <v>3.1322470687539781</v>
      </c>
      <c r="U25" s="257">
        <v>3.1540264650696148</v>
      </c>
      <c r="V25" s="257">
        <v>3.3163990830747401</v>
      </c>
      <c r="W25" s="257">
        <v>3.3239717305141649</v>
      </c>
      <c r="X25" s="257">
        <v>3.3667951039724611</v>
      </c>
      <c r="Y25" s="257">
        <v>3.3293433554917922</v>
      </c>
      <c r="DA25" s="272" t="s">
        <v>1033</v>
      </c>
    </row>
    <row r="26" spans="1:105" x14ac:dyDescent="0.25">
      <c r="A26" s="256" t="s">
        <v>170</v>
      </c>
      <c r="B26" s="257">
        <v>1.070867270599311</v>
      </c>
      <c r="C26" s="257">
        <v>1.082370344874094</v>
      </c>
      <c r="D26" s="257">
        <v>1.077088282525243</v>
      </c>
      <c r="E26" s="257">
        <v>1.0266728591199781</v>
      </c>
      <c r="F26" s="257">
        <v>1.067593653081615</v>
      </c>
      <c r="G26" s="257">
        <v>1.112166212247091</v>
      </c>
      <c r="H26" s="257">
        <v>1.140988600209655</v>
      </c>
      <c r="I26" s="257">
        <v>1.1523399004119961</v>
      </c>
      <c r="J26" s="257">
        <v>1.200350430907112</v>
      </c>
      <c r="K26" s="257">
        <v>1.2123511720623561</v>
      </c>
      <c r="L26" s="257">
        <v>1.1908396387428271</v>
      </c>
      <c r="M26" s="257">
        <v>1.2041510813289009</v>
      </c>
      <c r="N26" s="257">
        <v>1.1269447960873289</v>
      </c>
      <c r="O26" s="257">
        <v>1.12087786556615</v>
      </c>
      <c r="P26" s="257">
        <v>1.151323532908155</v>
      </c>
      <c r="Q26" s="257">
        <v>1.144474063365337</v>
      </c>
      <c r="R26" s="257">
        <v>1.1567948899154761</v>
      </c>
      <c r="S26" s="257">
        <v>1.1480136235841421</v>
      </c>
      <c r="T26" s="257">
        <v>1.2040665048577079</v>
      </c>
      <c r="U26" s="257">
        <v>1.2051696779289349</v>
      </c>
      <c r="V26" s="257">
        <v>1.2246836090662829</v>
      </c>
      <c r="W26" s="257">
        <v>1.203694637682732</v>
      </c>
      <c r="X26" s="257">
        <v>1.2050312977413249</v>
      </c>
      <c r="Y26" s="257">
        <v>1.2047825447559699</v>
      </c>
      <c r="DA26" s="272" t="s">
        <v>1034</v>
      </c>
    </row>
    <row r="27" spans="1:105" x14ac:dyDescent="0.25">
      <c r="A27" s="128" t="s">
        <v>33</v>
      </c>
      <c r="B27" s="258">
        <v>1.6320710575037389</v>
      </c>
      <c r="C27" s="258">
        <v>1.6496024875059669</v>
      </c>
      <c r="D27" s="258">
        <v>1.6415522824804041</v>
      </c>
      <c r="E27" s="258">
        <v>1.5647159128848691</v>
      </c>
      <c r="F27" s="258">
        <v>1.627081852444759</v>
      </c>
      <c r="G27" s="258">
        <v>1.6950133186218279</v>
      </c>
      <c r="H27" s="258">
        <v>1.7389405040848021</v>
      </c>
      <c r="I27" s="258">
        <v>1.756240620573476</v>
      </c>
      <c r="J27" s="258">
        <v>1.829411777660598</v>
      </c>
      <c r="K27" s="258">
        <v>1.8477016842118621</v>
      </c>
      <c r="L27" s="258">
        <v>1.8149167145921601</v>
      </c>
      <c r="M27" s="258">
        <v>1.8352042149900349</v>
      </c>
      <c r="N27" s="258">
        <v>1.7175368372863269</v>
      </c>
      <c r="O27" s="258">
        <v>1.7082904423470551</v>
      </c>
      <c r="P27" s="258">
        <v>1.7546916106892949</v>
      </c>
      <c r="Q27" s="258">
        <v>1.7442525756127709</v>
      </c>
      <c r="R27" s="258">
        <v>1.7630303130309219</v>
      </c>
      <c r="S27" s="258">
        <v>1.7496470945676461</v>
      </c>
      <c r="T27" s="258">
        <v>1.8350753149717329</v>
      </c>
      <c r="U27" s="258">
        <v>1.8367566221611471</v>
      </c>
      <c r="V27" s="258">
        <v>1.8664971167133471</v>
      </c>
      <c r="W27" s="258">
        <v>1.8345085653192059</v>
      </c>
      <c r="X27" s="258">
        <v>1.8365457217953109</v>
      </c>
      <c r="Y27" s="258">
        <v>1.836166606139233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1.0000000000000002</v>
      </c>
      <c r="C31" s="235">
        <f t="shared" si="9"/>
        <v>1</v>
      </c>
      <c r="D31" s="235">
        <f t="shared" si="9"/>
        <v>0.99999999999999989</v>
      </c>
      <c r="E31" s="235">
        <f t="shared" si="9"/>
        <v>0.99999999999999989</v>
      </c>
      <c r="F31" s="235">
        <f t="shared" si="9"/>
        <v>1</v>
      </c>
      <c r="G31" s="235">
        <f t="shared" si="9"/>
        <v>0.99999999999999978</v>
      </c>
      <c r="H31" s="235">
        <f t="shared" si="9"/>
        <v>1</v>
      </c>
      <c r="I31" s="235">
        <f t="shared" si="9"/>
        <v>0.99999999999999989</v>
      </c>
      <c r="J31" s="235">
        <f t="shared" si="9"/>
        <v>1</v>
      </c>
      <c r="K31" s="235">
        <f t="shared" si="9"/>
        <v>1</v>
      </c>
      <c r="L31" s="235">
        <f t="shared" si="9"/>
        <v>1</v>
      </c>
      <c r="M31" s="235">
        <f t="shared" si="9"/>
        <v>1</v>
      </c>
      <c r="N31" s="235">
        <f t="shared" si="9"/>
        <v>0.99999999999999978</v>
      </c>
      <c r="O31" s="235">
        <f t="shared" si="9"/>
        <v>1.0000000000000002</v>
      </c>
      <c r="P31" s="235">
        <f t="shared" si="9"/>
        <v>1.0000000000000002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0.99999999999999978</v>
      </c>
      <c r="T31" s="235">
        <f t="shared" si="10"/>
        <v>0.99999999999999989</v>
      </c>
      <c r="U31" s="235">
        <f t="shared" si="10"/>
        <v>1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0.99999999999999989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9.6779718291137434E-3</v>
      </c>
      <c r="C32" s="244">
        <f t="shared" si="12"/>
        <v>1.0259296798637648E-2</v>
      </c>
      <c r="D32" s="244">
        <f t="shared" si="12"/>
        <v>1.0941574495677621E-2</v>
      </c>
      <c r="E32" s="244">
        <f t="shared" si="12"/>
        <v>1.0361825723948045E-2</v>
      </c>
      <c r="F32" s="244">
        <f t="shared" si="12"/>
        <v>1.154704004557246E-2</v>
      </c>
      <c r="G32" s="244">
        <f t="shared" si="12"/>
        <v>1.1768519194941297E-2</v>
      </c>
      <c r="H32" s="244">
        <f t="shared" si="12"/>
        <v>1.195886660068989E-2</v>
      </c>
      <c r="I32" s="244">
        <f t="shared" si="12"/>
        <v>1.2330589936377E-2</v>
      </c>
      <c r="J32" s="244">
        <f t="shared" si="12"/>
        <v>1.2112177143344229E-2</v>
      </c>
      <c r="K32" s="244">
        <f t="shared" si="12"/>
        <v>1.2426702249156849E-2</v>
      </c>
      <c r="L32" s="244">
        <f t="shared" si="12"/>
        <v>1.2388131399101417E-2</v>
      </c>
      <c r="M32" s="244">
        <f t="shared" si="12"/>
        <v>1.2280354262131116E-2</v>
      </c>
      <c r="N32" s="244">
        <f t="shared" si="12"/>
        <v>1.2426709084980767E-2</v>
      </c>
      <c r="O32" s="244">
        <f t="shared" si="12"/>
        <v>1.246176708953493E-2</v>
      </c>
      <c r="P32" s="244">
        <f t="shared" si="12"/>
        <v>1.2389848998867943E-2</v>
      </c>
      <c r="Q32" s="244">
        <f t="shared" si="12"/>
        <v>1.2514767705186601E-2</v>
      </c>
      <c r="R32" s="244">
        <f t="shared" si="12"/>
        <v>1.2436141877446679E-2</v>
      </c>
      <c r="S32" s="244">
        <f t="shared" si="12"/>
        <v>1.2491869761911099E-2</v>
      </c>
      <c r="T32" s="244">
        <f t="shared" si="12"/>
        <v>1.2829269022762275E-2</v>
      </c>
      <c r="U32" s="244">
        <f t="shared" si="12"/>
        <v>1.2689710489483835E-2</v>
      </c>
      <c r="V32" s="244">
        <f t="shared" si="12"/>
        <v>1.2224587013626886E-2</v>
      </c>
      <c r="W32" s="244">
        <f t="shared" si="12"/>
        <v>1.198341187117459E-2</v>
      </c>
      <c r="X32" s="244">
        <f t="shared" si="12"/>
        <v>1.1903464896707541E-2</v>
      </c>
      <c r="Y32" s="244">
        <f t="shared" si="12"/>
        <v>1.2129264762908059E-2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6.2380155593662256E-3</v>
      </c>
      <c r="C33" s="245">
        <f t="shared" si="13"/>
        <v>6.6127133027538811E-3</v>
      </c>
      <c r="D33" s="245">
        <f t="shared" si="13"/>
        <v>7.0524809488158998E-3</v>
      </c>
      <c r="E33" s="245">
        <f t="shared" si="13"/>
        <v>6.6787991565530579E-3</v>
      </c>
      <c r="F33" s="245">
        <f t="shared" si="13"/>
        <v>7.4427386998813004E-3</v>
      </c>
      <c r="G33" s="245">
        <f t="shared" si="13"/>
        <v>7.5854948893219285E-3</v>
      </c>
      <c r="H33" s="245">
        <f t="shared" si="13"/>
        <v>7.7081848598767868E-3</v>
      </c>
      <c r="I33" s="245">
        <f t="shared" si="13"/>
        <v>7.9477821631898718E-3</v>
      </c>
      <c r="J33" s="245">
        <f t="shared" si="13"/>
        <v>7.8070024186979118E-3</v>
      </c>
      <c r="K33" s="245">
        <f t="shared" si="13"/>
        <v>8.009732137125922E-3</v>
      </c>
      <c r="L33" s="245">
        <f t="shared" si="13"/>
        <v>7.9848709816036489E-3</v>
      </c>
      <c r="M33" s="245">
        <f t="shared" si="13"/>
        <v>7.915402350237917E-3</v>
      </c>
      <c r="N33" s="245">
        <f t="shared" si="13"/>
        <v>8.0097365432118938E-3</v>
      </c>
      <c r="O33" s="245">
        <f t="shared" si="13"/>
        <v>8.0323334655578883E-3</v>
      </c>
      <c r="P33" s="245">
        <f t="shared" si="13"/>
        <v>7.9859780745212081E-3</v>
      </c>
      <c r="Q33" s="245">
        <f t="shared" si="13"/>
        <v>8.0664954440104984E-3</v>
      </c>
      <c r="R33" s="245">
        <f t="shared" si="13"/>
        <v>8.0158165264159805E-3</v>
      </c>
      <c r="S33" s="245">
        <f t="shared" si="13"/>
        <v>8.0517363881925791E-3</v>
      </c>
      <c r="T33" s="245">
        <f t="shared" si="13"/>
        <v>8.2692098295366456E-3</v>
      </c>
      <c r="U33" s="245">
        <f t="shared" si="13"/>
        <v>8.1792562403544267E-3</v>
      </c>
      <c r="V33" s="245">
        <f t="shared" si="13"/>
        <v>7.8794571160488713E-3</v>
      </c>
      <c r="W33" s="245">
        <f t="shared" si="13"/>
        <v>7.7240057138631387E-3</v>
      </c>
      <c r="X33" s="245">
        <f t="shared" si="13"/>
        <v>7.6724752403862983E-3</v>
      </c>
      <c r="Y33" s="245">
        <f t="shared" si="13"/>
        <v>7.8180163830484858E-3</v>
      </c>
      <c r="DA33" s="276"/>
    </row>
    <row r="34" spans="1:105" x14ac:dyDescent="0.25">
      <c r="A34" s="240" t="s">
        <v>123</v>
      </c>
      <c r="B34" s="245">
        <f t="shared" ref="B34:Y34" si="14">IF(B$8=0,0,B$8/B$5)</f>
        <v>1.2396385586002669E-2</v>
      </c>
      <c r="C34" s="245">
        <f t="shared" si="14"/>
        <v>1.3140997019083219E-2</v>
      </c>
      <c r="D34" s="245">
        <f t="shared" si="14"/>
        <v>1.4014917460119672E-2</v>
      </c>
      <c r="E34" s="245">
        <f t="shared" si="14"/>
        <v>1.3272324957860926E-2</v>
      </c>
      <c r="F34" s="245">
        <f t="shared" si="14"/>
        <v>1.4790450241994376E-2</v>
      </c>
      <c r="G34" s="245">
        <f t="shared" si="14"/>
        <v>1.5074139943030355E-2</v>
      </c>
      <c r="H34" s="245">
        <f t="shared" si="14"/>
        <v>1.5317953407113455E-2</v>
      </c>
      <c r="I34" s="245">
        <f t="shared" si="14"/>
        <v>1.5794088891061688E-2</v>
      </c>
      <c r="J34" s="245">
        <f t="shared" si="14"/>
        <v>1.5514326845133319E-2</v>
      </c>
      <c r="K34" s="245">
        <f t="shared" si="14"/>
        <v>1.5917197876065901E-2</v>
      </c>
      <c r="L34" s="245">
        <f t="shared" si="14"/>
        <v>1.5867792986476458E-2</v>
      </c>
      <c r="M34" s="245">
        <f t="shared" si="14"/>
        <v>1.5729742683083341E-2</v>
      </c>
      <c r="N34" s="245">
        <f t="shared" si="14"/>
        <v>1.5917206631981973E-2</v>
      </c>
      <c r="O34" s="245">
        <f t="shared" si="14"/>
        <v>1.5962111964421752E-2</v>
      </c>
      <c r="P34" s="245">
        <f t="shared" si="14"/>
        <v>1.5869993037206535E-2</v>
      </c>
      <c r="Q34" s="245">
        <f t="shared" si="14"/>
        <v>1.6029999749126524E-2</v>
      </c>
      <c r="R34" s="245">
        <f t="shared" si="14"/>
        <v>1.5929288970577792E-2</v>
      </c>
      <c r="S34" s="245">
        <f t="shared" si="14"/>
        <v>1.600067007768485E-2</v>
      </c>
      <c r="T34" s="245">
        <f t="shared" si="14"/>
        <v>1.6432840310022311E-2</v>
      </c>
      <c r="U34" s="245">
        <f t="shared" si="14"/>
        <v>1.6254081638176206E-2</v>
      </c>
      <c r="V34" s="245">
        <f t="shared" si="14"/>
        <v>1.5658311155100458E-2</v>
      </c>
      <c r="W34" s="245">
        <f t="shared" si="14"/>
        <v>1.5349393118099778E-2</v>
      </c>
      <c r="X34" s="245">
        <f t="shared" si="14"/>
        <v>1.5246990100253969E-2</v>
      </c>
      <c r="Y34" s="245">
        <f t="shared" si="14"/>
        <v>1.5536214150097668E-2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0.34984131686022751</v>
      </c>
      <c r="C35" s="246">
        <f t="shared" si="15"/>
        <v>0.35233967977053687</v>
      </c>
      <c r="D35" s="246">
        <f t="shared" si="15"/>
        <v>0.35191274685526563</v>
      </c>
      <c r="E35" s="246">
        <f t="shared" si="15"/>
        <v>0.35207912467448632</v>
      </c>
      <c r="F35" s="246">
        <f t="shared" si="15"/>
        <v>0.34970985660565251</v>
      </c>
      <c r="G35" s="246">
        <f t="shared" si="15"/>
        <v>0.34965680745340505</v>
      </c>
      <c r="H35" s="246">
        <f t="shared" si="15"/>
        <v>0.34823510283960529</v>
      </c>
      <c r="I35" s="246">
        <f t="shared" si="15"/>
        <v>0.3472675670570412</v>
      </c>
      <c r="J35" s="246">
        <f t="shared" si="15"/>
        <v>0.34784497772584388</v>
      </c>
      <c r="K35" s="246">
        <f t="shared" si="15"/>
        <v>0.34727899217363106</v>
      </c>
      <c r="L35" s="246">
        <f t="shared" si="15"/>
        <v>0.35060174094680496</v>
      </c>
      <c r="M35" s="246">
        <f t="shared" si="15"/>
        <v>0.35007018723817995</v>
      </c>
      <c r="N35" s="246">
        <f t="shared" si="15"/>
        <v>0.35280353715636903</v>
      </c>
      <c r="O35" s="246">
        <f t="shared" si="15"/>
        <v>0.35818958948028029</v>
      </c>
      <c r="P35" s="246">
        <f t="shared" si="15"/>
        <v>0.3635610440384156</v>
      </c>
      <c r="Q35" s="246">
        <f t="shared" si="15"/>
        <v>0.36157841549936498</v>
      </c>
      <c r="R35" s="246">
        <f t="shared" si="15"/>
        <v>0.36474747268898328</v>
      </c>
      <c r="S35" s="246">
        <f t="shared" si="15"/>
        <v>0.36555057209524761</v>
      </c>
      <c r="T35" s="246">
        <f t="shared" si="15"/>
        <v>0.3648079819829726</v>
      </c>
      <c r="U35" s="246">
        <f t="shared" si="15"/>
        <v>0.36663653651288092</v>
      </c>
      <c r="V35" s="246">
        <f t="shared" si="15"/>
        <v>0.37016591754997397</v>
      </c>
      <c r="W35" s="246">
        <f t="shared" si="15"/>
        <v>0.36823156132049251</v>
      </c>
      <c r="X35" s="246">
        <f t="shared" si="15"/>
        <v>0.36988484976859864</v>
      </c>
      <c r="Y35" s="246">
        <f t="shared" si="15"/>
        <v>0.36569848395393334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0.25818456908800841</v>
      </c>
      <c r="C36" s="259">
        <f t="shared" si="16"/>
        <v>0.25600682062073987</v>
      </c>
      <c r="D36" s="259">
        <f t="shared" si="16"/>
        <v>0.25491542018945329</v>
      </c>
      <c r="E36" s="259">
        <f t="shared" si="16"/>
        <v>0.25705781836522079</v>
      </c>
      <c r="F36" s="259">
        <f t="shared" si="16"/>
        <v>0.25530524019123618</v>
      </c>
      <c r="G36" s="259">
        <f t="shared" si="16"/>
        <v>0.25353753650016875</v>
      </c>
      <c r="H36" s="259">
        <f t="shared" si="16"/>
        <v>0.25485431898931193</v>
      </c>
      <c r="I36" s="259">
        <f t="shared" si="16"/>
        <v>0.25456142620044259</v>
      </c>
      <c r="J36" s="259">
        <f t="shared" si="16"/>
        <v>0.25415489522298523</v>
      </c>
      <c r="K36" s="259">
        <f t="shared" si="16"/>
        <v>0.25421411109734759</v>
      </c>
      <c r="L36" s="259">
        <f t="shared" si="16"/>
        <v>0.25227001220667328</v>
      </c>
      <c r="M36" s="259">
        <f t="shared" si="16"/>
        <v>0.25279876087774122</v>
      </c>
      <c r="N36" s="259">
        <f t="shared" si="16"/>
        <v>0.25082402135775539</v>
      </c>
      <c r="O36" s="259">
        <f t="shared" si="16"/>
        <v>0.24851491719330815</v>
      </c>
      <c r="P36" s="259">
        <f t="shared" si="16"/>
        <v>0.24652818019434758</v>
      </c>
      <c r="Q36" s="259">
        <f t="shared" si="16"/>
        <v>0.24804779357944096</v>
      </c>
      <c r="R36" s="259">
        <f t="shared" si="16"/>
        <v>0.24614204513063245</v>
      </c>
      <c r="S36" s="259">
        <f t="shared" si="16"/>
        <v>0.2460403114212503</v>
      </c>
      <c r="T36" s="259">
        <f t="shared" si="16"/>
        <v>0.24603615292157116</v>
      </c>
      <c r="U36" s="259">
        <f t="shared" si="16"/>
        <v>0.24482757449300224</v>
      </c>
      <c r="V36" s="259">
        <f t="shared" si="16"/>
        <v>0.24404423700363059</v>
      </c>
      <c r="W36" s="259">
        <f t="shared" si="16"/>
        <v>0.24395681870095368</v>
      </c>
      <c r="X36" s="259">
        <f t="shared" si="16"/>
        <v>0.24517898056808246</v>
      </c>
      <c r="Y36" s="259">
        <f t="shared" si="16"/>
        <v>0.24710178062562146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0.30470980381178331</v>
      </c>
      <c r="C37" s="259">
        <f t="shared" si="17"/>
        <v>0.3015264684991647</v>
      </c>
      <c r="D37" s="259">
        <f t="shared" si="17"/>
        <v>0.29948794583881005</v>
      </c>
      <c r="E37" s="259">
        <f t="shared" si="17"/>
        <v>0.30003808951326671</v>
      </c>
      <c r="F37" s="259">
        <f t="shared" si="17"/>
        <v>0.29796188524838524</v>
      </c>
      <c r="G37" s="259">
        <f t="shared" si="17"/>
        <v>0.2988181408636722</v>
      </c>
      <c r="H37" s="259">
        <f t="shared" si="17"/>
        <v>0.29771266382275685</v>
      </c>
      <c r="I37" s="259">
        <f t="shared" si="17"/>
        <v>0.29699463489805827</v>
      </c>
      <c r="J37" s="259">
        <f t="shared" si="17"/>
        <v>0.29806406521142054</v>
      </c>
      <c r="K37" s="259">
        <f t="shared" si="17"/>
        <v>0.29685550857167609</v>
      </c>
      <c r="L37" s="259">
        <f t="shared" si="17"/>
        <v>0.2959477382025319</v>
      </c>
      <c r="M37" s="259">
        <f t="shared" si="17"/>
        <v>0.29646447584662805</v>
      </c>
      <c r="N37" s="259">
        <f t="shared" si="17"/>
        <v>0.2951770200179718</v>
      </c>
      <c r="O37" s="259">
        <f t="shared" si="17"/>
        <v>0.29222036328656958</v>
      </c>
      <c r="P37" s="259">
        <f t="shared" si="17"/>
        <v>0.28949328195300489</v>
      </c>
      <c r="Q37" s="259">
        <f t="shared" si="17"/>
        <v>0.28907378669608302</v>
      </c>
      <c r="R37" s="259">
        <f t="shared" si="17"/>
        <v>0.28849363247533744</v>
      </c>
      <c r="S37" s="259">
        <f t="shared" si="17"/>
        <v>0.28750343904672604</v>
      </c>
      <c r="T37" s="259">
        <f t="shared" si="17"/>
        <v>0.28641921632272305</v>
      </c>
      <c r="U37" s="259">
        <f t="shared" si="17"/>
        <v>0.28671938357446053</v>
      </c>
      <c r="V37" s="259">
        <f t="shared" si="17"/>
        <v>0.28660357341375786</v>
      </c>
      <c r="W37" s="259">
        <f t="shared" si="17"/>
        <v>0.28994629647381426</v>
      </c>
      <c r="X37" s="259">
        <f t="shared" si="17"/>
        <v>0.28734043453832464</v>
      </c>
      <c r="Y37" s="259">
        <f t="shared" si="17"/>
        <v>0.28811963584790062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3.4728621612658807E-2</v>
      </c>
      <c r="C38" s="259">
        <f t="shared" si="18"/>
        <v>3.4435690850938734E-2</v>
      </c>
      <c r="D38" s="259">
        <f t="shared" si="18"/>
        <v>3.4288885669126634E-2</v>
      </c>
      <c r="E38" s="259">
        <f t="shared" si="18"/>
        <v>3.4577061433668621E-2</v>
      </c>
      <c r="F38" s="259">
        <f t="shared" si="18"/>
        <v>3.43413206825234E-2</v>
      </c>
      <c r="G38" s="259">
        <f t="shared" si="18"/>
        <v>3.4103545385466602E-2</v>
      </c>
      <c r="H38" s="259">
        <f t="shared" si="18"/>
        <v>3.4280666895761203E-2</v>
      </c>
      <c r="I38" s="259">
        <f t="shared" si="18"/>
        <v>3.4241269642572715E-2</v>
      </c>
      <c r="J38" s="259">
        <f t="shared" si="18"/>
        <v>3.4186586821907596E-2</v>
      </c>
      <c r="K38" s="259">
        <f t="shared" si="18"/>
        <v>3.4194551998530893E-2</v>
      </c>
      <c r="L38" s="259">
        <f t="shared" si="18"/>
        <v>3.3933049636130586E-2</v>
      </c>
      <c r="M38" s="259">
        <f t="shared" si="18"/>
        <v>3.4004172060644863E-2</v>
      </c>
      <c r="N38" s="259">
        <f t="shared" si="18"/>
        <v>3.3738548201653611E-2</v>
      </c>
      <c r="O38" s="259">
        <f t="shared" si="18"/>
        <v>3.3427948675606944E-2</v>
      </c>
      <c r="P38" s="259">
        <f t="shared" si="18"/>
        <v>3.3160711025717597E-2</v>
      </c>
      <c r="Q38" s="259">
        <f t="shared" si="18"/>
        <v>3.3365115488907839E-2</v>
      </c>
      <c r="R38" s="259">
        <f t="shared" si="18"/>
        <v>3.3108771676412109E-2</v>
      </c>
      <c r="S38" s="259">
        <f t="shared" si="18"/>
        <v>3.3095087390357152E-2</v>
      </c>
      <c r="T38" s="259">
        <f t="shared" si="18"/>
        <v>3.3094528027098731E-2</v>
      </c>
      <c r="U38" s="259">
        <f t="shared" si="18"/>
        <v>3.2931961135191694E-2</v>
      </c>
      <c r="V38" s="259">
        <f t="shared" si="18"/>
        <v>3.2826593756500218E-2</v>
      </c>
      <c r="W38" s="259">
        <f t="shared" si="18"/>
        <v>3.2814835047734574E-2</v>
      </c>
      <c r="X38" s="259">
        <f t="shared" si="18"/>
        <v>3.2979229059285547E-2</v>
      </c>
      <c r="Y38" s="259">
        <f t="shared" si="18"/>
        <v>3.3237866497885953E-2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9.596947014409574E-3</v>
      </c>
      <c r="C39" s="259">
        <f t="shared" si="19"/>
        <v>1.0173405081159818E-2</v>
      </c>
      <c r="D39" s="259">
        <f t="shared" si="19"/>
        <v>1.0849970690486004E-2</v>
      </c>
      <c r="E39" s="259">
        <f t="shared" si="19"/>
        <v>1.027507562546625E-2</v>
      </c>
      <c r="F39" s="259">
        <f t="shared" si="19"/>
        <v>1.1450367230586626E-2</v>
      </c>
      <c r="G39" s="259">
        <f t="shared" si="19"/>
        <v>1.166999213741835E-2</v>
      </c>
      <c r="H39" s="259">
        <f t="shared" si="19"/>
        <v>1.1858745938271983E-2</v>
      </c>
      <c r="I39" s="259">
        <f t="shared" si="19"/>
        <v>1.2227357174138274E-2</v>
      </c>
      <c r="J39" s="259">
        <f t="shared" si="19"/>
        <v>1.2010772951842948E-2</v>
      </c>
      <c r="K39" s="259">
        <f t="shared" si="19"/>
        <v>1.2322664826347574E-2</v>
      </c>
      <c r="L39" s="259">
        <f t="shared" si="19"/>
        <v>1.2284416894774851E-2</v>
      </c>
      <c r="M39" s="259">
        <f t="shared" si="19"/>
        <v>1.2177542077289098E-2</v>
      </c>
      <c r="N39" s="259">
        <f t="shared" si="19"/>
        <v>1.2322671604941384E-2</v>
      </c>
      <c r="O39" s="259">
        <f t="shared" si="19"/>
        <v>1.2357436100858288E-2</v>
      </c>
      <c r="P39" s="259">
        <f t="shared" si="19"/>
        <v>1.2286120114648007E-2</v>
      </c>
      <c r="Q39" s="259">
        <f t="shared" si="19"/>
        <v>1.2409992990785384E-2</v>
      </c>
      <c r="R39" s="259">
        <f t="shared" si="19"/>
        <v>1.2332025425255359E-2</v>
      </c>
      <c r="S39" s="259">
        <f t="shared" si="19"/>
        <v>1.2387286751065514E-2</v>
      </c>
      <c r="T39" s="259">
        <f t="shared" si="19"/>
        <v>1.2721861276210226E-2</v>
      </c>
      <c r="U39" s="259">
        <f t="shared" si="19"/>
        <v>1.2583471139006814E-2</v>
      </c>
      <c r="V39" s="259">
        <f t="shared" si="19"/>
        <v>1.212224171699826E-2</v>
      </c>
      <c r="W39" s="259">
        <f t="shared" si="19"/>
        <v>1.1883085713635602E-2</v>
      </c>
      <c r="X39" s="259">
        <f t="shared" si="19"/>
        <v>1.1803808062132772E-2</v>
      </c>
      <c r="Y39" s="259">
        <f t="shared" si="19"/>
        <v>1.2027717512382288E-2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1.4626368638429896E-2</v>
      </c>
      <c r="C40" s="261">
        <f t="shared" si="20"/>
        <v>1.5504928056985194E-2</v>
      </c>
      <c r="D40" s="261">
        <f t="shared" si="20"/>
        <v>1.6536057852245146E-2</v>
      </c>
      <c r="E40" s="261">
        <f t="shared" si="20"/>
        <v>1.5659880549529211E-2</v>
      </c>
      <c r="F40" s="261">
        <f t="shared" si="20"/>
        <v>1.7451101054168014E-2</v>
      </c>
      <c r="G40" s="261">
        <f t="shared" si="20"/>
        <v>1.7785823632575345E-2</v>
      </c>
      <c r="H40" s="261">
        <f t="shared" si="20"/>
        <v>1.8073496646612491E-2</v>
      </c>
      <c r="I40" s="261">
        <f t="shared" si="20"/>
        <v>1.8635284037118286E-2</v>
      </c>
      <c r="J40" s="261">
        <f t="shared" si="20"/>
        <v>1.8305195658824377E-2</v>
      </c>
      <c r="K40" s="261">
        <f t="shared" si="20"/>
        <v>1.8780539070118212E-2</v>
      </c>
      <c r="L40" s="261">
        <f t="shared" si="20"/>
        <v>1.8722246745903001E-2</v>
      </c>
      <c r="M40" s="261">
        <f t="shared" si="20"/>
        <v>1.855936260406452E-2</v>
      </c>
      <c r="N40" s="261">
        <f t="shared" si="20"/>
        <v>1.8780549401134078E-2</v>
      </c>
      <c r="O40" s="261">
        <f t="shared" si="20"/>
        <v>1.8833532743862392E-2</v>
      </c>
      <c r="P40" s="261">
        <f t="shared" si="20"/>
        <v>1.8724842563270738E-2</v>
      </c>
      <c r="Q40" s="261">
        <f t="shared" si="20"/>
        <v>1.8913632847094054E-2</v>
      </c>
      <c r="R40" s="261">
        <f t="shared" si="20"/>
        <v>1.8794805228938945E-2</v>
      </c>
      <c r="S40" s="261">
        <f t="shared" si="20"/>
        <v>1.8879027067564721E-2</v>
      </c>
      <c r="T40" s="261">
        <f t="shared" si="20"/>
        <v>1.9388940307102941E-2</v>
      </c>
      <c r="U40" s="261">
        <f t="shared" si="20"/>
        <v>1.9178024777443268E-2</v>
      </c>
      <c r="V40" s="261">
        <f t="shared" si="20"/>
        <v>1.8475081274362776E-2</v>
      </c>
      <c r="W40" s="261">
        <f t="shared" si="20"/>
        <v>1.8110592040231976E-2</v>
      </c>
      <c r="X40" s="261">
        <f t="shared" si="20"/>
        <v>1.798976776622813E-2</v>
      </c>
      <c r="Y40" s="261">
        <f t="shared" si="20"/>
        <v>1.8331020266222169E-2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0.3794684848708289</v>
      </c>
      <c r="C44" s="237">
        <f>IF(C$5=0,0,C$5/AGR_fec!C$5)</f>
        <v>0.38259679134916086</v>
      </c>
      <c r="D44" s="237">
        <f>IF(D$5=0,0,D$5/AGR_fec!D$5)</f>
        <v>0.38374911132867973</v>
      </c>
      <c r="E44" s="237">
        <f>IF(E$5=0,0,E$5/AGR_fec!E$5)</f>
        <v>0.38272699730092702</v>
      </c>
      <c r="F44" s="237">
        <f>IF(F$5=0,0,F$5/AGR_fec!F$5)</f>
        <v>0.38364530906010325</v>
      </c>
      <c r="G44" s="237">
        <f>IF(G$5=0,0,G$5/AGR_fec!G$5)</f>
        <v>0.38409966026110171</v>
      </c>
      <c r="H44" s="237">
        <f>IF(H$5=0,0,H$5/AGR_fec!H$5)</f>
        <v>0.38356982848688681</v>
      </c>
      <c r="I44" s="237">
        <f>IF(I$5=0,0,I$5/AGR_fec!I$5)</f>
        <v>0.38372782133460537</v>
      </c>
      <c r="J44" s="237">
        <f>IF(J$5=0,0,J$5/AGR_fec!J$5)</f>
        <v>0.3835881231590369</v>
      </c>
      <c r="K44" s="237">
        <f>IF(K$5=0,0,K$5/AGR_fec!K$5)</f>
        <v>0.38390778653562507</v>
      </c>
      <c r="L44" s="237">
        <f>IF(L$5=0,0,L$5/AGR_fec!L$5)</f>
        <v>0.38526398797173744</v>
      </c>
      <c r="M44" s="237">
        <f>IF(M$5=0,0,M$5/AGR_fec!M$5)</f>
        <v>0.38476776412973379</v>
      </c>
      <c r="N44" s="237">
        <f>IF(N$5=0,0,N$5/AGR_fec!N$5)</f>
        <v>0.3859952434069473</v>
      </c>
      <c r="O44" s="237">
        <f>IF(O$5=0,0,O$5/AGR_fec!O$5)</f>
        <v>0.3880712329073015</v>
      </c>
      <c r="P44" s="237">
        <f>IF(P$5=0,0,P$5/AGR_fec!P$5)</f>
        <v>0.38891763078060204</v>
      </c>
      <c r="Q44" s="237">
        <f>IF(Q$5=0,0,Q$5/AGR_fec!Q$5)</f>
        <v>0.38840809525815045</v>
      </c>
      <c r="R44" s="237">
        <f>IF(R$5=0,0,R$5/AGR_fec!R$5)</f>
        <v>0.39013684738193743</v>
      </c>
      <c r="S44" s="237">
        <f>IF(S$5=0,0,S$5/AGR_fec!S$5)</f>
        <v>0.39026965775829775</v>
      </c>
      <c r="T44" s="237">
        <f>IF(T$5=0,0,T$5/AGR_fec!T$5)</f>
        <v>0.39056464764228055</v>
      </c>
      <c r="U44" s="237">
        <f>IF(U$5=0,0,U$5/AGR_fec!U$5)</f>
        <v>0.39129987122642307</v>
      </c>
      <c r="V44" s="237">
        <f>IF(V$5=0,0,V$5/AGR_fec!V$5)</f>
        <v>0.39210522562355804</v>
      </c>
      <c r="W44" s="237">
        <f>IF(W$5=0,0,W$5/AGR_fec!W$5)</f>
        <v>0.39194326160386866</v>
      </c>
      <c r="X44" s="237">
        <f>IF(X$5=0,0,X$5/AGR_fec!X$5)</f>
        <v>0.39187730422334077</v>
      </c>
      <c r="Y44" s="237">
        <f>IF(Y$5=0,0,Y$5/AGR_fec!Y$5)</f>
        <v>0.39042409896997105</v>
      </c>
      <c r="DA44" s="286"/>
    </row>
    <row r="45" spans="1:105" x14ac:dyDescent="0.25">
      <c r="A45" s="238" t="s">
        <v>125</v>
      </c>
      <c r="B45" s="250">
        <f>IF(B$6=0,0,B$6/AGR_fec!B$6)</f>
        <v>0.48520005190264187</v>
      </c>
      <c r="C45" s="250">
        <f>IF(C$6=0,0,C$6/AGR_fec!C$6)</f>
        <v>0.48520005190264193</v>
      </c>
      <c r="D45" s="250">
        <f>IF(D$6=0,0,D$6/AGR_fec!D$6)</f>
        <v>0.48520005190264187</v>
      </c>
      <c r="E45" s="250">
        <f>IF(E$6=0,0,E$6/AGR_fec!E$6)</f>
        <v>0.48520005190264159</v>
      </c>
      <c r="F45" s="250">
        <f>IF(F$6=0,0,F$6/AGR_fec!F$6)</f>
        <v>0.48520005190264182</v>
      </c>
      <c r="G45" s="250">
        <f>IF(G$6=0,0,G$6/AGR_fec!G$6)</f>
        <v>0.48520005190264193</v>
      </c>
      <c r="H45" s="250">
        <f>IF(H$6=0,0,H$6/AGR_fec!H$6)</f>
        <v>0.48520005190264182</v>
      </c>
      <c r="I45" s="250">
        <f>IF(I$6=0,0,I$6/AGR_fec!I$6)</f>
        <v>0.48520005190264209</v>
      </c>
      <c r="J45" s="250">
        <f>IF(J$6=0,0,J$6/AGR_fec!J$6)</f>
        <v>0.48520005190264193</v>
      </c>
      <c r="K45" s="250">
        <f>IF(K$6=0,0,K$6/AGR_fec!K$6)</f>
        <v>0.48520005190264193</v>
      </c>
      <c r="L45" s="250">
        <f>IF(L$6=0,0,L$6/AGR_fec!L$6)</f>
        <v>0.48520005190264187</v>
      </c>
      <c r="M45" s="250">
        <f>IF(M$6=0,0,M$6/AGR_fec!M$6)</f>
        <v>0.48520005190264187</v>
      </c>
      <c r="N45" s="250">
        <f>IF(N$6=0,0,N$6/AGR_fec!N$6)</f>
        <v>0.48520005190264198</v>
      </c>
      <c r="O45" s="250">
        <f>IF(O$6=0,0,O$6/AGR_fec!O$6)</f>
        <v>0.48520005190264209</v>
      </c>
      <c r="P45" s="250">
        <f>IF(P$6=0,0,P$6/AGR_fec!P$6)</f>
        <v>0.48520005190264215</v>
      </c>
      <c r="Q45" s="250">
        <f>IF(Q$6=0,0,Q$6/AGR_fec!Q$6)</f>
        <v>0.48520005190264204</v>
      </c>
      <c r="R45" s="250">
        <f>IF(R$6=0,0,R$6/AGR_fec!R$6)</f>
        <v>0.4852000519026422</v>
      </c>
      <c r="S45" s="250">
        <f>IF(S$6=0,0,S$6/AGR_fec!S$6)</f>
        <v>0.48520005190264226</v>
      </c>
      <c r="T45" s="250">
        <f>IF(T$6=0,0,T$6/AGR_fec!T$6)</f>
        <v>0.4852000519026422</v>
      </c>
      <c r="U45" s="250">
        <f>IF(U$6=0,0,U$6/AGR_fec!U$6)</f>
        <v>0.48520005190264198</v>
      </c>
      <c r="V45" s="250">
        <f>IF(V$6=0,0,V$6/AGR_fec!V$6)</f>
        <v>0.48520005190264204</v>
      </c>
      <c r="W45" s="250">
        <f>IF(W$6=0,0,W$6/AGR_fec!W$6)</f>
        <v>0.48520005190264176</v>
      </c>
      <c r="X45" s="250">
        <f>IF(X$6=0,0,X$6/AGR_fec!X$6)</f>
        <v>0.48520005190264209</v>
      </c>
      <c r="Y45" s="250">
        <f>IF(Y$6=0,0,Y$6/AGR_fec!Y$6)</f>
        <v>0.48520005190264198</v>
      </c>
      <c r="DA45" s="287"/>
    </row>
    <row r="46" spans="1:105" x14ac:dyDescent="0.25">
      <c r="A46" s="240" t="s">
        <v>124</v>
      </c>
      <c r="B46" s="251">
        <f>IF(B$7=0,0,B$7/AGR_fec!B$7)</f>
        <v>0.48113791522834426</v>
      </c>
      <c r="C46" s="251">
        <f>IF(C$7=0,0,C$7/AGR_fec!C$7)</f>
        <v>0.48113791522834426</v>
      </c>
      <c r="D46" s="251">
        <f>IF(D$7=0,0,D$7/AGR_fec!D$7)</f>
        <v>0.48113791522834426</v>
      </c>
      <c r="E46" s="251">
        <f>IF(E$7=0,0,E$7/AGR_fec!E$7)</f>
        <v>0.48113791522834426</v>
      </c>
      <c r="F46" s="251">
        <f>IF(F$7=0,0,F$7/AGR_fec!F$7)</f>
        <v>0.48113791522834409</v>
      </c>
      <c r="G46" s="251">
        <f>IF(G$7=0,0,G$7/AGR_fec!G$7)</f>
        <v>0.48113791522834415</v>
      </c>
      <c r="H46" s="251">
        <f>IF(H$7=0,0,H$7/AGR_fec!H$7)</f>
        <v>0.4811379152283442</v>
      </c>
      <c r="I46" s="251">
        <f>IF(I$7=0,0,I$7/AGR_fec!I$7)</f>
        <v>0.48113791522834415</v>
      </c>
      <c r="J46" s="251">
        <f>IF(J$7=0,0,J$7/AGR_fec!J$7)</f>
        <v>0.48113791522834409</v>
      </c>
      <c r="K46" s="251">
        <f>IF(K$7=0,0,K$7/AGR_fec!K$7)</f>
        <v>0.48113791522834432</v>
      </c>
      <c r="L46" s="251">
        <f>IF(L$7=0,0,L$7/AGR_fec!L$7)</f>
        <v>0.48113791522834415</v>
      </c>
      <c r="M46" s="251">
        <f>IF(M$7=0,0,M$7/AGR_fec!M$7)</f>
        <v>0.48113791522834426</v>
      </c>
      <c r="N46" s="251">
        <f>IF(N$7=0,0,N$7/AGR_fec!N$7)</f>
        <v>0.48113791522834443</v>
      </c>
      <c r="O46" s="251">
        <f>IF(O$7=0,0,O$7/AGR_fec!O$7)</f>
        <v>0.48113791522834443</v>
      </c>
      <c r="P46" s="251">
        <f>IF(P$7=0,0,P$7/AGR_fec!P$7)</f>
        <v>0.48113791522834432</v>
      </c>
      <c r="Q46" s="251">
        <f>IF(Q$7=0,0,Q$7/AGR_fec!Q$7)</f>
        <v>0.48113791522834437</v>
      </c>
      <c r="R46" s="251">
        <f>IF(R$7=0,0,R$7/AGR_fec!R$7)</f>
        <v>0.48113791522834432</v>
      </c>
      <c r="S46" s="251">
        <f>IF(S$7=0,0,S$7/AGR_fec!S$7)</f>
        <v>0.48113791522834426</v>
      </c>
      <c r="T46" s="251">
        <f>IF(T$7=0,0,T$7/AGR_fec!T$7)</f>
        <v>0.48113791522834437</v>
      </c>
      <c r="U46" s="251">
        <f>IF(U$7=0,0,U$7/AGR_fec!U$7)</f>
        <v>0.48113791522834437</v>
      </c>
      <c r="V46" s="251">
        <f>IF(V$7=0,0,V$7/AGR_fec!V$7)</f>
        <v>0.48113791522834415</v>
      </c>
      <c r="W46" s="251">
        <f>IF(W$7=0,0,W$7/AGR_fec!W$7)</f>
        <v>0.4811379152283442</v>
      </c>
      <c r="X46" s="251">
        <f>IF(X$7=0,0,X$7/AGR_fec!X$7)</f>
        <v>0.48113791522834437</v>
      </c>
      <c r="Y46" s="251">
        <f>IF(Y$7=0,0,Y$7/AGR_fec!Y$7)</f>
        <v>0.48113791522834415</v>
      </c>
      <c r="DA46" s="288"/>
    </row>
    <row r="47" spans="1:105" x14ac:dyDescent="0.25">
      <c r="A47" s="240" t="s">
        <v>123</v>
      </c>
      <c r="B47" s="251">
        <f>IF(B$8=0,0,B$8/AGR_fec!B$8)</f>
        <v>0.69054033633597389</v>
      </c>
      <c r="C47" s="251">
        <f>IF(C$8=0,0,C$8/AGR_fec!C$8)</f>
        <v>0.69054033633597434</v>
      </c>
      <c r="D47" s="251">
        <f>IF(D$8=0,0,D$8/AGR_fec!D$8)</f>
        <v>0.69054033633597411</v>
      </c>
      <c r="E47" s="251">
        <f>IF(E$8=0,0,E$8/AGR_fec!E$8)</f>
        <v>0.69054033633597411</v>
      </c>
      <c r="F47" s="251">
        <f>IF(F$8=0,0,F$8/AGR_fec!F$8)</f>
        <v>0.69054033633597423</v>
      </c>
      <c r="G47" s="251">
        <f>IF(G$8=0,0,G$8/AGR_fec!G$8)</f>
        <v>0.69054033633597378</v>
      </c>
      <c r="H47" s="251">
        <f>IF(H$8=0,0,H$8/AGR_fec!H$8)</f>
        <v>0.690540336335974</v>
      </c>
      <c r="I47" s="251">
        <f>IF(I$8=0,0,I$8/AGR_fec!I$8)</f>
        <v>0.69054033633597411</v>
      </c>
      <c r="J47" s="251">
        <f>IF(J$8=0,0,J$8/AGR_fec!J$8)</f>
        <v>0.69054033633597411</v>
      </c>
      <c r="K47" s="251">
        <f>IF(K$8=0,0,K$8/AGR_fec!K$8)</f>
        <v>0.69054033633597378</v>
      </c>
      <c r="L47" s="251">
        <f>IF(L$8=0,0,L$8/AGR_fec!L$8)</f>
        <v>0.690540336335974</v>
      </c>
      <c r="M47" s="251">
        <f>IF(M$8=0,0,M$8/AGR_fec!M$8)</f>
        <v>0.69054033633597411</v>
      </c>
      <c r="N47" s="251">
        <f>IF(N$8=0,0,N$8/AGR_fec!N$8)</f>
        <v>0.69054033633597411</v>
      </c>
      <c r="O47" s="251">
        <f>IF(O$8=0,0,O$8/AGR_fec!O$8)</f>
        <v>0.69054033633597411</v>
      </c>
      <c r="P47" s="251">
        <f>IF(P$8=0,0,P$8/AGR_fec!P$8)</f>
        <v>0.69054033633597423</v>
      </c>
      <c r="Q47" s="251">
        <f>IF(Q$8=0,0,Q$8/AGR_fec!Q$8)</f>
        <v>0.69054033633597423</v>
      </c>
      <c r="R47" s="251">
        <f>IF(R$8=0,0,R$8/AGR_fec!R$8)</f>
        <v>0.69054033633597389</v>
      </c>
      <c r="S47" s="251">
        <f>IF(S$8=0,0,S$8/AGR_fec!S$8)</f>
        <v>0.69054033633597411</v>
      </c>
      <c r="T47" s="251">
        <f>IF(T$8=0,0,T$8/AGR_fec!T$8)</f>
        <v>0.690540336335974</v>
      </c>
      <c r="U47" s="251">
        <f>IF(U$8=0,0,U$8/AGR_fec!U$8)</f>
        <v>0.69054033633597423</v>
      </c>
      <c r="V47" s="251">
        <f>IF(V$8=0,0,V$8/AGR_fec!V$8)</f>
        <v>0.69054033633597378</v>
      </c>
      <c r="W47" s="251">
        <f>IF(W$8=0,0,W$8/AGR_fec!W$8)</f>
        <v>0.69054033633597411</v>
      </c>
      <c r="X47" s="251">
        <f>IF(X$8=0,0,X$8/AGR_fec!X$8)</f>
        <v>0.690540336335974</v>
      </c>
      <c r="Y47" s="251">
        <f>IF(Y$8=0,0,Y$8/AGR_fec!Y$8)</f>
        <v>0.69054033633597411</v>
      </c>
      <c r="DA47" s="288"/>
    </row>
    <row r="48" spans="1:105" x14ac:dyDescent="0.25">
      <c r="A48" s="242" t="s">
        <v>122</v>
      </c>
      <c r="B48" s="252">
        <f>IF(B$9=0,0,B$9/AGR_fec!B$9)</f>
        <v>0.62761535139849622</v>
      </c>
      <c r="C48" s="252">
        <f>IF(C$9=0,0,C$9/AGR_fec!C$9)</f>
        <v>0.6310847782537784</v>
      </c>
      <c r="D48" s="252">
        <f>IF(D$9=0,0,D$9/AGR_fec!D$9)</f>
        <v>0.63204717728981741</v>
      </c>
      <c r="E48" s="252">
        <f>IF(E$9=0,0,E$9/AGR_fec!E$9)</f>
        <v>0.63014937075125166</v>
      </c>
      <c r="F48" s="252">
        <f>IF(F$9=0,0,F$9/AGR_fec!F$9)</f>
        <v>0.63079476298229653</v>
      </c>
      <c r="G48" s="252">
        <f>IF(G$9=0,0,G$9/AGR_fec!G$9)</f>
        <v>0.63229071395790992</v>
      </c>
      <c r="H48" s="252">
        <f>IF(H$9=0,0,H$9/AGR_fec!H$9)</f>
        <v>0.63052542814203405</v>
      </c>
      <c r="I48" s="252">
        <f>IF(I$9=0,0,I$9/AGR_fec!I$9)</f>
        <v>0.63039764392662601</v>
      </c>
      <c r="J48" s="252">
        <f>IF(J$9=0,0,J$9/AGR_fec!J$9)</f>
        <v>0.63094945322939</v>
      </c>
      <c r="K48" s="252">
        <f>IF(K$9=0,0,K$9/AGR_fec!K$9)</f>
        <v>0.63073700952909206</v>
      </c>
      <c r="L48" s="252">
        <f>IF(L$9=0,0,L$9/AGR_fec!L$9)</f>
        <v>0.63363310184519095</v>
      </c>
      <c r="M48" s="252">
        <f>IF(M$9=0,0,M$9/AGR_fec!M$9)</f>
        <v>0.63293599995168714</v>
      </c>
      <c r="N48" s="252">
        <f>IF(N$9=0,0,N$9/AGR_fec!N$9)</f>
        <v>0.63546160719154154</v>
      </c>
      <c r="O48" s="252">
        <f>IF(O$9=0,0,O$9/AGR_fec!O$9)</f>
        <v>0.63908166932349997</v>
      </c>
      <c r="P48" s="252">
        <f>IF(P$9=0,0,P$9/AGR_fec!P$9)</f>
        <v>0.64490762037360327</v>
      </c>
      <c r="Q48" s="252">
        <f>IF(Q$9=0,0,Q$9/AGR_fec!Q$9)</f>
        <v>0.64334412871176894</v>
      </c>
      <c r="R48" s="252">
        <f>IF(R$9=0,0,R$9/AGR_fec!R$9)</f>
        <v>0.64600580136601427</v>
      </c>
      <c r="S48" s="252">
        <f>IF(S$9=0,0,S$9/AGR_fec!S$9)</f>
        <v>0.64595413553229941</v>
      </c>
      <c r="T48" s="252">
        <f>IF(T$9=0,0,T$9/AGR_fec!T$9)</f>
        <v>0.64552857316289991</v>
      </c>
      <c r="U48" s="252">
        <f>IF(U$9=0,0,U$9/AGR_fec!U$9)</f>
        <v>0.64686277649271751</v>
      </c>
      <c r="V48" s="252">
        <f>IF(V$9=0,0,V$9/AGR_fec!V$9)</f>
        <v>0.64847654692112544</v>
      </c>
      <c r="W48" s="252">
        <f>IF(W$9=0,0,W$9/AGR_fec!W$9)</f>
        <v>0.64715530211808769</v>
      </c>
      <c r="X48" s="252">
        <f>IF(X$9=0,0,X$9/AGR_fec!X$9)</f>
        <v>0.64684149785344702</v>
      </c>
      <c r="Y48" s="252">
        <f>IF(Y$9=0,0,Y$9/AGR_fec!Y$9)</f>
        <v>0.64406482932530107</v>
      </c>
      <c r="DA48" s="289"/>
    </row>
    <row r="49" spans="1:105" x14ac:dyDescent="0.25">
      <c r="A49" s="127" t="s">
        <v>168</v>
      </c>
      <c r="B49" s="264">
        <f>IF(B$16=0,0,B$16/AGR_fec!B$16)</f>
        <v>0.3471993125027964</v>
      </c>
      <c r="C49" s="264">
        <f>IF(C$16=0,0,C$16/AGR_fec!C$16)</f>
        <v>0.3471993125027964</v>
      </c>
      <c r="D49" s="264">
        <f>IF(D$16=0,0,D$16/AGR_fec!D$16)</f>
        <v>0.3471993125027964</v>
      </c>
      <c r="E49" s="264">
        <f>IF(E$16=0,0,E$16/AGR_fec!E$16)</f>
        <v>0.3471993125027964</v>
      </c>
      <c r="F49" s="264">
        <f>IF(F$16=0,0,F$16/AGR_fec!F$16)</f>
        <v>0.34719931250279629</v>
      </c>
      <c r="G49" s="264">
        <f>IF(G$16=0,0,G$16/AGR_fec!G$16)</f>
        <v>0.34719931250279634</v>
      </c>
      <c r="H49" s="264">
        <f>IF(H$16=0,0,H$16/AGR_fec!H$16)</f>
        <v>0.34719931250279634</v>
      </c>
      <c r="I49" s="264">
        <f>IF(I$16=0,0,I$16/AGR_fec!I$16)</f>
        <v>0.3471993125027964</v>
      </c>
      <c r="J49" s="264">
        <f>IF(J$16=0,0,J$16/AGR_fec!J$16)</f>
        <v>0.34719931250279634</v>
      </c>
      <c r="K49" s="264">
        <f>IF(K$16=0,0,K$16/AGR_fec!K$16)</f>
        <v>0.34719931250279634</v>
      </c>
      <c r="L49" s="264">
        <f>IF(L$16=0,0,L$16/AGR_fec!L$16)</f>
        <v>0.34719931250279634</v>
      </c>
      <c r="M49" s="264">
        <f>IF(M$16=0,0,M$16/AGR_fec!M$16)</f>
        <v>0.34719931250279634</v>
      </c>
      <c r="N49" s="264">
        <f>IF(N$16=0,0,N$16/AGR_fec!N$16)</f>
        <v>0.34719931250279634</v>
      </c>
      <c r="O49" s="264">
        <f>IF(O$16=0,0,O$16/AGR_fec!O$16)</f>
        <v>0.34719931250279629</v>
      </c>
      <c r="P49" s="264">
        <f>IF(P$16=0,0,P$16/AGR_fec!P$16)</f>
        <v>0.34719931250279634</v>
      </c>
      <c r="Q49" s="264">
        <f>IF(Q$16=0,0,Q$16/AGR_fec!Q$16)</f>
        <v>0.3471993125027964</v>
      </c>
      <c r="R49" s="264">
        <f>IF(R$16=0,0,R$16/AGR_fec!R$16)</f>
        <v>0.3471993125027964</v>
      </c>
      <c r="S49" s="264">
        <f>IF(S$16=0,0,S$16/AGR_fec!S$16)</f>
        <v>0.34719931250279629</v>
      </c>
      <c r="T49" s="264">
        <f>IF(T$16=0,0,T$16/AGR_fec!T$16)</f>
        <v>0.3471993125027964</v>
      </c>
      <c r="U49" s="264">
        <f>IF(U$16=0,0,U$16/AGR_fec!U$16)</f>
        <v>0.34719931250279645</v>
      </c>
      <c r="V49" s="264">
        <f>IF(V$16=0,0,V$16/AGR_fec!V$16)</f>
        <v>0.34719931250279634</v>
      </c>
      <c r="W49" s="264">
        <f>IF(W$16=0,0,W$16/AGR_fec!W$16)</f>
        <v>0.34719931250279634</v>
      </c>
      <c r="X49" s="264">
        <f>IF(X$16=0,0,X$16/AGR_fec!X$16)</f>
        <v>0.34719931250279634</v>
      </c>
      <c r="Y49" s="264">
        <f>IF(Y$16=0,0,Y$16/AGR_fec!Y$16)</f>
        <v>0.34719931250279629</v>
      </c>
      <c r="DA49" s="290"/>
    </row>
    <row r="50" spans="1:105" x14ac:dyDescent="0.25">
      <c r="A50" s="127" t="s">
        <v>121</v>
      </c>
      <c r="B50" s="264">
        <f>IF(B$17=0,0,B$17/AGR_fec!B$17)</f>
        <v>0.27913897400229948</v>
      </c>
      <c r="C50" s="264">
        <f>IF(C$17=0,0,C$17/AGR_fec!C$17)</f>
        <v>0.28162897706694012</v>
      </c>
      <c r="D50" s="264">
        <f>IF(D$17=0,0,D$17/AGR_fec!D$17)</f>
        <v>0.28225749215112356</v>
      </c>
      <c r="E50" s="264">
        <f>IF(E$17=0,0,E$17/AGR_fec!E$17)</f>
        <v>0.28181014805431986</v>
      </c>
      <c r="F50" s="264">
        <f>IF(F$17=0,0,F$17/AGR_fec!F$17)</f>
        <v>0.28201154812252283</v>
      </c>
      <c r="G50" s="264">
        <f>IF(G$17=0,0,G$17/AGR_fec!G$17)</f>
        <v>0.28226106811912255</v>
      </c>
      <c r="H50" s="264">
        <f>IF(H$17=0,0,H$17/AGR_fec!H$17)</f>
        <v>0.28179714770176451</v>
      </c>
      <c r="I50" s="264">
        <f>IF(I$17=0,0,I$17/AGR_fec!I$17)</f>
        <v>0.28177775489672752</v>
      </c>
      <c r="J50" s="264">
        <f>IF(J$17=0,0,J$17/AGR_fec!J$17)</f>
        <v>0.28168001546752985</v>
      </c>
      <c r="K50" s="264">
        <f>IF(K$17=0,0,K$17/AGR_fec!K$17)</f>
        <v>0.28184396436460563</v>
      </c>
      <c r="L50" s="264">
        <f>IF(L$17=0,0,L$17/AGR_fec!L$17)</f>
        <v>0.28227492334849125</v>
      </c>
      <c r="M50" s="264">
        <f>IF(M$17=0,0,M$17/AGR_fec!M$17)</f>
        <v>0.28199504057570685</v>
      </c>
      <c r="N50" s="264">
        <f>IF(N$17=0,0,N$17/AGR_fec!N$17)</f>
        <v>0.28213791600361615</v>
      </c>
      <c r="O50" s="264">
        <f>IF(O$17=0,0,O$17/AGR_fec!O$17)</f>
        <v>0.2824365360262221</v>
      </c>
      <c r="P50" s="264">
        <f>IF(P$17=0,0,P$17/AGR_fec!P$17)</f>
        <v>0.28015572674470379</v>
      </c>
      <c r="Q50" s="264">
        <f>IF(Q$17=0,0,Q$17/AGR_fec!Q$17)</f>
        <v>0.28013480075141894</v>
      </c>
      <c r="R50" s="264">
        <f>IF(R$17=0,0,R$17/AGR_fec!R$17)</f>
        <v>0.28138443438920785</v>
      </c>
      <c r="S50" s="264">
        <f>IF(S$17=0,0,S$17/AGR_fec!S$17)</f>
        <v>0.28107266321320207</v>
      </c>
      <c r="T50" s="264">
        <f>IF(T$17=0,0,T$17/AGR_fec!T$17)</f>
        <v>0.2812833317409062</v>
      </c>
      <c r="U50" s="264">
        <f>IF(U$17=0,0,U$17/AGR_fec!U$17)</f>
        <v>0.28182277878781281</v>
      </c>
      <c r="V50" s="264">
        <f>IF(V$17=0,0,V$17/AGR_fec!V$17)</f>
        <v>0.28220775861651143</v>
      </c>
      <c r="W50" s="264">
        <f>IF(W$17=0,0,W$17/AGR_fec!W$17)</f>
        <v>0.28391606342755671</v>
      </c>
      <c r="X50" s="264">
        <f>IF(X$17=0,0,X$17/AGR_fec!X$17)</f>
        <v>0.28296457768965794</v>
      </c>
      <c r="Y50" s="264">
        <f>IF(Y$17=0,0,Y$17/AGR_fec!Y$17)</f>
        <v>0.28245138086148636</v>
      </c>
      <c r="DA50" s="290"/>
    </row>
    <row r="51" spans="1:105" x14ac:dyDescent="0.25">
      <c r="A51" s="127" t="s">
        <v>167</v>
      </c>
      <c r="B51" s="264">
        <f>IF(B$25=0,0,B$25/AGR_fec!B$25)</f>
        <v>0.24303951875195753</v>
      </c>
      <c r="C51" s="264">
        <f>IF(C$25=0,0,C$25/AGR_fec!C$25)</f>
        <v>0.2430395187519574</v>
      </c>
      <c r="D51" s="264">
        <f>IF(D$25=0,0,D$25/AGR_fec!D$25)</f>
        <v>0.24303951875195737</v>
      </c>
      <c r="E51" s="264">
        <f>IF(E$25=0,0,E$25/AGR_fec!E$25)</f>
        <v>0.24303951875195751</v>
      </c>
      <c r="F51" s="264">
        <f>IF(F$25=0,0,F$25/AGR_fec!F$25)</f>
        <v>0.24303951875195737</v>
      </c>
      <c r="G51" s="264">
        <f>IF(G$25=0,0,G$25/AGR_fec!G$25)</f>
        <v>0.24303951875195753</v>
      </c>
      <c r="H51" s="264">
        <f>IF(H$25=0,0,H$25/AGR_fec!H$25)</f>
        <v>0.24303951875195751</v>
      </c>
      <c r="I51" s="264">
        <f>IF(I$25=0,0,I$25/AGR_fec!I$25)</f>
        <v>0.2430395187519574</v>
      </c>
      <c r="J51" s="264">
        <f>IF(J$25=0,0,J$25/AGR_fec!J$25)</f>
        <v>0.24303951875195745</v>
      </c>
      <c r="K51" s="264">
        <f>IF(K$25=0,0,K$25/AGR_fec!K$25)</f>
        <v>0.24303951875195751</v>
      </c>
      <c r="L51" s="264">
        <f>IF(L$25=0,0,L$25/AGR_fec!L$25)</f>
        <v>0.24303951875195737</v>
      </c>
      <c r="M51" s="264">
        <f>IF(M$25=0,0,M$25/AGR_fec!M$25)</f>
        <v>0.2430395187519574</v>
      </c>
      <c r="N51" s="264">
        <f>IF(N$25=0,0,N$25/AGR_fec!N$25)</f>
        <v>0.24303951875195756</v>
      </c>
      <c r="O51" s="264">
        <f>IF(O$25=0,0,O$25/AGR_fec!O$25)</f>
        <v>0.2430395187519574</v>
      </c>
      <c r="P51" s="264">
        <f>IF(P$25=0,0,P$25/AGR_fec!P$25)</f>
        <v>0.24303951875195751</v>
      </c>
      <c r="Q51" s="264">
        <f>IF(Q$25=0,0,Q$25/AGR_fec!Q$25)</f>
        <v>0.24303951875195745</v>
      </c>
      <c r="R51" s="264">
        <f>IF(R$25=0,0,R$25/AGR_fec!R$25)</f>
        <v>0.24303951875195751</v>
      </c>
      <c r="S51" s="264">
        <f>IF(S$25=0,0,S$25/AGR_fec!S$25)</f>
        <v>0.24303951875195759</v>
      </c>
      <c r="T51" s="264">
        <f>IF(T$25=0,0,T$25/AGR_fec!T$25)</f>
        <v>0.24303951875195737</v>
      </c>
      <c r="U51" s="264">
        <f>IF(U$25=0,0,U$25/AGR_fec!U$25)</f>
        <v>0.24303951875195748</v>
      </c>
      <c r="V51" s="264">
        <f>IF(V$25=0,0,V$25/AGR_fec!V$25)</f>
        <v>0.24303951875195745</v>
      </c>
      <c r="W51" s="264">
        <f>IF(W$25=0,0,W$25/AGR_fec!W$25)</f>
        <v>0.24303951875195745</v>
      </c>
      <c r="X51" s="264">
        <f>IF(X$25=0,0,X$25/AGR_fec!X$25)</f>
        <v>0.24303951875195742</v>
      </c>
      <c r="Y51" s="264">
        <f>IF(Y$25=0,0,Y$25/AGR_fec!Y$25)</f>
        <v>0.2430395187519574</v>
      </c>
      <c r="DA51" s="290"/>
    </row>
    <row r="52" spans="1:105" x14ac:dyDescent="0.25">
      <c r="A52" s="127" t="s">
        <v>170</v>
      </c>
      <c r="B52" s="264">
        <f>IF(B$26=0,0,B$26/AGR_fec!B$26)</f>
        <v>0.48113791522834404</v>
      </c>
      <c r="C52" s="264">
        <f>IF(C$26=0,0,C$26/AGR_fec!C$26)</f>
        <v>0.48113791522834432</v>
      </c>
      <c r="D52" s="264">
        <f>IF(D$26=0,0,D$26/AGR_fec!D$26)</f>
        <v>0.4811379152283442</v>
      </c>
      <c r="E52" s="264">
        <f>IF(E$26=0,0,E$26/AGR_fec!E$26)</f>
        <v>0.48113791522834432</v>
      </c>
      <c r="F52" s="264">
        <f>IF(F$26=0,0,F$26/AGR_fec!F$26)</f>
        <v>0.48113791522834432</v>
      </c>
      <c r="G52" s="264">
        <f>IF(G$26=0,0,G$26/AGR_fec!G$26)</f>
        <v>0.48113791522834415</v>
      </c>
      <c r="H52" s="264">
        <f>IF(H$26=0,0,H$26/AGR_fec!H$26)</f>
        <v>0.4811379152283442</v>
      </c>
      <c r="I52" s="264">
        <f>IF(I$26=0,0,I$26/AGR_fec!I$26)</f>
        <v>0.48113791522834437</v>
      </c>
      <c r="J52" s="264">
        <f>IF(J$26=0,0,J$26/AGR_fec!J$26)</f>
        <v>0.48113791522834437</v>
      </c>
      <c r="K52" s="264">
        <f>IF(K$26=0,0,K$26/AGR_fec!K$26)</f>
        <v>0.48113791522834432</v>
      </c>
      <c r="L52" s="264">
        <f>IF(L$26=0,0,L$26/AGR_fec!L$26)</f>
        <v>0.48113791522834437</v>
      </c>
      <c r="M52" s="264">
        <f>IF(M$26=0,0,M$26/AGR_fec!M$26)</f>
        <v>0.48113791522834415</v>
      </c>
      <c r="N52" s="264">
        <f>IF(N$26=0,0,N$26/AGR_fec!N$26)</f>
        <v>0.48113791522834432</v>
      </c>
      <c r="O52" s="264">
        <f>IF(O$26=0,0,O$26/AGR_fec!O$26)</f>
        <v>0.48113791522834404</v>
      </c>
      <c r="P52" s="264">
        <f>IF(P$26=0,0,P$26/AGR_fec!P$26)</f>
        <v>0.48113791522834415</v>
      </c>
      <c r="Q52" s="264">
        <f>IF(Q$26=0,0,Q$26/AGR_fec!Q$26)</f>
        <v>0.48113791522834437</v>
      </c>
      <c r="R52" s="264">
        <f>IF(R$26=0,0,R$26/AGR_fec!R$26)</f>
        <v>0.48113791522834432</v>
      </c>
      <c r="S52" s="264">
        <f>IF(S$26=0,0,S$26/AGR_fec!S$26)</f>
        <v>0.48113791522834437</v>
      </c>
      <c r="T52" s="264">
        <f>IF(T$26=0,0,T$26/AGR_fec!T$26)</f>
        <v>0.48113791522834404</v>
      </c>
      <c r="U52" s="264">
        <f>IF(U$26=0,0,U$26/AGR_fec!U$26)</f>
        <v>0.4811379152283442</v>
      </c>
      <c r="V52" s="264">
        <f>IF(V$26=0,0,V$26/AGR_fec!V$26)</f>
        <v>0.48113791522834404</v>
      </c>
      <c r="W52" s="264">
        <f>IF(W$26=0,0,W$26/AGR_fec!W$26)</f>
        <v>0.48113791522834432</v>
      </c>
      <c r="X52" s="264">
        <f>IF(X$26=0,0,X$26/AGR_fec!X$26)</f>
        <v>0.48113791522834437</v>
      </c>
      <c r="Y52" s="264">
        <f>IF(Y$26=0,0,Y$26/AGR_fec!Y$26)</f>
        <v>0.48113791522834432</v>
      </c>
      <c r="DA52" s="290"/>
    </row>
    <row r="53" spans="1:105" x14ac:dyDescent="0.25">
      <c r="A53" s="260" t="s">
        <v>33</v>
      </c>
      <c r="B53" s="265">
        <f>IF(B$27=0,0,B$27/AGR_fec!B$27)</f>
        <v>0.50571402468529048</v>
      </c>
      <c r="C53" s="265">
        <f>IF(C$27=0,0,C$27/AGR_fec!C$27)</f>
        <v>0.5057140246852907</v>
      </c>
      <c r="D53" s="265">
        <f>IF(D$27=0,0,D$27/AGR_fec!D$27)</f>
        <v>0.50571402468529059</v>
      </c>
      <c r="E53" s="265">
        <f>IF(E$27=0,0,E$27/AGR_fec!E$27)</f>
        <v>0.5057140246852907</v>
      </c>
      <c r="F53" s="265">
        <f>IF(F$27=0,0,F$27/AGR_fec!F$27)</f>
        <v>0.50571402468529048</v>
      </c>
      <c r="G53" s="265">
        <f>IF(G$27=0,0,G$27/AGR_fec!G$27)</f>
        <v>0.50571402468529036</v>
      </c>
      <c r="H53" s="265">
        <f>IF(H$27=0,0,H$27/AGR_fec!H$27)</f>
        <v>0.50571402468529036</v>
      </c>
      <c r="I53" s="265">
        <f>IF(I$27=0,0,I$27/AGR_fec!I$27)</f>
        <v>0.50571402468529059</v>
      </c>
      <c r="J53" s="265">
        <f>IF(J$27=0,0,J$27/AGR_fec!J$27)</f>
        <v>0.50571402468529059</v>
      </c>
      <c r="K53" s="265">
        <f>IF(K$27=0,0,K$27/AGR_fec!K$27)</f>
        <v>0.50571402468529048</v>
      </c>
      <c r="L53" s="265">
        <f>IF(L$27=0,0,L$27/AGR_fec!L$27)</f>
        <v>0.50571402468529059</v>
      </c>
      <c r="M53" s="265">
        <f>IF(M$27=0,0,M$27/AGR_fec!M$27)</f>
        <v>0.50571402468529036</v>
      </c>
      <c r="N53" s="265">
        <f>IF(N$27=0,0,N$27/AGR_fec!N$27)</f>
        <v>0.50571402468529048</v>
      </c>
      <c r="O53" s="265">
        <f>IF(O$27=0,0,O$27/AGR_fec!O$27)</f>
        <v>0.50571402468529059</v>
      </c>
      <c r="P53" s="265">
        <f>IF(P$27=0,0,P$27/AGR_fec!P$27)</f>
        <v>0.5057140246852907</v>
      </c>
      <c r="Q53" s="265">
        <f>IF(Q$27=0,0,Q$27/AGR_fec!Q$27)</f>
        <v>0.50571402468529048</v>
      </c>
      <c r="R53" s="265">
        <f>IF(R$27=0,0,R$27/AGR_fec!R$27)</f>
        <v>0.50571402468529059</v>
      </c>
      <c r="S53" s="265">
        <f>IF(S$27=0,0,S$27/AGR_fec!S$27)</f>
        <v>0.5057140246852907</v>
      </c>
      <c r="T53" s="265">
        <f>IF(T$27=0,0,T$27/AGR_fec!T$27)</f>
        <v>0.50571402468529059</v>
      </c>
      <c r="U53" s="265">
        <f>IF(U$27=0,0,U$27/AGR_fec!U$27)</f>
        <v>0.50571402468529059</v>
      </c>
      <c r="V53" s="265">
        <f>IF(V$27=0,0,V$27/AGR_fec!V$27)</f>
        <v>0.5057140246852907</v>
      </c>
      <c r="W53" s="265">
        <f>IF(W$27=0,0,W$27/AGR_fec!W$27)</f>
        <v>0.50571402468529059</v>
      </c>
      <c r="X53" s="265">
        <f>IF(X$27=0,0,X$27/AGR_fec!X$27)</f>
        <v>0.50571402468529036</v>
      </c>
      <c r="Y53" s="265">
        <f>IF(Y$27=0,0,Y$27/AGR_fec!Y$27)</f>
        <v>0.50571402468529048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866.57019947694653</v>
      </c>
      <c r="C5" s="80">
        <f t="shared" ref="C5:W5" si="0">SUM(C6:C9,C16:C17,C25:C27)</f>
        <v>809.53444007723806</v>
      </c>
      <c r="D5" s="80">
        <f t="shared" si="0"/>
        <v>749.84633315758003</v>
      </c>
      <c r="E5" s="80">
        <f t="shared" si="0"/>
        <v>761.50713059741156</v>
      </c>
      <c r="F5" s="80">
        <f t="shared" si="0"/>
        <v>704.68224875785779</v>
      </c>
      <c r="G5" s="80">
        <f t="shared" si="0"/>
        <v>716.27209847788379</v>
      </c>
      <c r="H5" s="80">
        <f t="shared" si="0"/>
        <v>726.37692191789552</v>
      </c>
      <c r="I5" s="80">
        <f t="shared" si="0"/>
        <v>710.23549031802952</v>
      </c>
      <c r="J5" s="80">
        <f t="shared" si="0"/>
        <v>753.36498467786282</v>
      </c>
      <c r="K5" s="80">
        <f t="shared" si="0"/>
        <v>740.45943179796939</v>
      </c>
      <c r="L5" s="80">
        <f t="shared" si="0"/>
        <v>721.42824095800847</v>
      </c>
      <c r="M5" s="80">
        <f t="shared" si="0"/>
        <v>738.69920135793768</v>
      </c>
      <c r="N5" s="80">
        <f t="shared" si="0"/>
        <v>675.19247435814793</v>
      </c>
      <c r="O5" s="80">
        <f t="shared" si="0"/>
        <v>659.0490436781879</v>
      </c>
      <c r="P5" s="80">
        <f t="shared" si="0"/>
        <v>664.24713551815069</v>
      </c>
      <c r="Q5" s="80">
        <f t="shared" si="0"/>
        <v>657.60580979818678</v>
      </c>
      <c r="R5" s="80">
        <f t="shared" si="0"/>
        <v>660.97051523814764</v>
      </c>
      <c r="S5" s="80">
        <f t="shared" si="0"/>
        <v>651.99968531818683</v>
      </c>
      <c r="T5" s="80">
        <f t="shared" si="0"/>
        <v>665.18330255822195</v>
      </c>
      <c r="U5" s="80">
        <f t="shared" si="0"/>
        <v>669.81216095817786</v>
      </c>
      <c r="V5" s="80">
        <f t="shared" si="0"/>
        <v>702.65092103797213</v>
      </c>
      <c r="W5" s="80">
        <f t="shared" si="0"/>
        <v>711.01044287789921</v>
      </c>
      <c r="X5" s="80">
        <f t="shared" ref="X5:Y5" si="1">SUM(X6:X9,X16:X17,X25:X27)</f>
        <v>716.30108567785271</v>
      </c>
      <c r="Y5" s="80">
        <f t="shared" si="1"/>
        <v>710.98749539792925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188.9392839602958</v>
      </c>
      <c r="C9" s="243">
        <f t="shared" ref="C9:W9" si="2">SUM(C10:C15)</f>
        <v>178.14314593030946</v>
      </c>
      <c r="D9" s="243">
        <f t="shared" si="2"/>
        <v>165.15242833383169</v>
      </c>
      <c r="E9" s="243">
        <f t="shared" si="2"/>
        <v>168.00537640478387</v>
      </c>
      <c r="F9" s="243">
        <f t="shared" si="2"/>
        <v>155.1572712814951</v>
      </c>
      <c r="G9" s="243">
        <f t="shared" si="2"/>
        <v>157.3135930049223</v>
      </c>
      <c r="H9" s="243">
        <f t="shared" si="2"/>
        <v>159.65224092431728</v>
      </c>
      <c r="I9" s="243">
        <f t="shared" si="2"/>
        <v>156.03878182995334</v>
      </c>
      <c r="J9" s="243">
        <f t="shared" si="2"/>
        <v>165.27098200557938</v>
      </c>
      <c r="K9" s="243">
        <f t="shared" si="2"/>
        <v>162.60610610914264</v>
      </c>
      <c r="L9" s="243">
        <f t="shared" si="2"/>
        <v>156.7887802379858</v>
      </c>
      <c r="M9" s="243">
        <f t="shared" si="2"/>
        <v>160.64757655028228</v>
      </c>
      <c r="N9" s="243">
        <f t="shared" si="2"/>
        <v>144.84084876351625</v>
      </c>
      <c r="O9" s="243">
        <f t="shared" si="2"/>
        <v>138.40075403131019</v>
      </c>
      <c r="P9" s="243">
        <f t="shared" si="2"/>
        <v>137.11451406246141</v>
      </c>
      <c r="Q9" s="243">
        <f t="shared" si="2"/>
        <v>137.57976709170561</v>
      </c>
      <c r="R9" s="243">
        <f t="shared" si="2"/>
        <v>138.2559507984349</v>
      </c>
      <c r="S9" s="243">
        <f t="shared" si="2"/>
        <v>134.90932255834971</v>
      </c>
      <c r="T9" s="243">
        <f t="shared" si="2"/>
        <v>137.60539812819351</v>
      </c>
      <c r="U9" s="243">
        <f t="shared" si="2"/>
        <v>138.0540682782175</v>
      </c>
      <c r="V9" s="243">
        <f t="shared" si="2"/>
        <v>143.96373268711602</v>
      </c>
      <c r="W9" s="243">
        <f t="shared" si="2"/>
        <v>147.95693870148244</v>
      </c>
      <c r="X9" s="243">
        <f t="shared" ref="X9:Y9" si="3">SUM(X10:X15)</f>
        <v>147.64289420736495</v>
      </c>
      <c r="Y9" s="243">
        <f t="shared" si="3"/>
        <v>148.06650492791445</v>
      </c>
      <c r="DA9" s="269"/>
    </row>
    <row r="10" spans="1:105" x14ac:dyDescent="0.25">
      <c r="A10" s="253" t="s">
        <v>166</v>
      </c>
      <c r="B10" s="254">
        <v>177.85360216931451</v>
      </c>
      <c r="C10" s="254">
        <v>160.64161222400531</v>
      </c>
      <c r="D10" s="254">
        <v>147.31529898539981</v>
      </c>
      <c r="E10" s="254">
        <v>153.38636904159449</v>
      </c>
      <c r="F10" s="254">
        <v>140.97529094666041</v>
      </c>
      <c r="G10" s="254">
        <v>140.25952971428089</v>
      </c>
      <c r="H10" s="254">
        <v>145.7894726933381</v>
      </c>
      <c r="I10" s="254">
        <v>142.92639603837259</v>
      </c>
      <c r="J10" s="254">
        <v>150.18954615474399</v>
      </c>
      <c r="K10" s="254">
        <v>148.34634272354219</v>
      </c>
      <c r="L10" s="254">
        <v>140.7774754914208</v>
      </c>
      <c r="M10" s="254">
        <v>145.08393756547281</v>
      </c>
      <c r="N10" s="254">
        <v>129.98094572605149</v>
      </c>
      <c r="O10" s="254">
        <v>123.65950275042221</v>
      </c>
      <c r="P10" s="254">
        <v>121.7250611069242</v>
      </c>
      <c r="Q10" s="254">
        <v>122.41684101940071</v>
      </c>
      <c r="R10" s="254">
        <v>118.72287476566559</v>
      </c>
      <c r="S10" s="254">
        <v>118.1608876799049</v>
      </c>
      <c r="T10" s="254">
        <v>121.323106350811</v>
      </c>
      <c r="U10" s="254">
        <v>119.61825456094719</v>
      </c>
      <c r="V10" s="254">
        <v>123.1363521173508</v>
      </c>
      <c r="W10" s="254">
        <v>122.587105616222</v>
      </c>
      <c r="X10" s="254">
        <v>126.533913734815</v>
      </c>
      <c r="Y10" s="254">
        <v>129.5878509159021</v>
      </c>
      <c r="DA10" s="270" t="s">
        <v>1040</v>
      </c>
    </row>
    <row r="11" spans="1:105" x14ac:dyDescent="0.25">
      <c r="A11" s="253" t="s">
        <v>169</v>
      </c>
      <c r="B11" s="255">
        <v>11.08568179098129</v>
      </c>
      <c r="C11" s="255">
        <v>17.50153370630413</v>
      </c>
      <c r="D11" s="255">
        <v>17.83712934843188</v>
      </c>
      <c r="E11" s="255">
        <v>14.619007363189381</v>
      </c>
      <c r="F11" s="255">
        <v>14.1819803348347</v>
      </c>
      <c r="G11" s="255">
        <v>17.05406329064142</v>
      </c>
      <c r="H11" s="255">
        <v>13.86276823097918</v>
      </c>
      <c r="I11" s="255">
        <v>13.11238579158076</v>
      </c>
      <c r="J11" s="255">
        <v>15.081435850835399</v>
      </c>
      <c r="K11" s="255">
        <v>14.25976338560046</v>
      </c>
      <c r="L11" s="255">
        <v>16.011304746564988</v>
      </c>
      <c r="M11" s="255">
        <v>15.563638984809479</v>
      </c>
      <c r="N11" s="255">
        <v>14.85990303746475</v>
      </c>
      <c r="O11" s="255">
        <v>14.74125128088798</v>
      </c>
      <c r="P11" s="255">
        <v>15.389452955537219</v>
      </c>
      <c r="Q11" s="255">
        <v>15.1629260723049</v>
      </c>
      <c r="R11" s="255">
        <v>19.533076032769301</v>
      </c>
      <c r="S11" s="255">
        <v>16.748434878444819</v>
      </c>
      <c r="T11" s="255">
        <v>16.282291777382511</v>
      </c>
      <c r="U11" s="255">
        <v>18.4358137172703</v>
      </c>
      <c r="V11" s="255">
        <v>20.827380569765239</v>
      </c>
      <c r="W11" s="255">
        <v>25.369833085260431</v>
      </c>
      <c r="X11" s="255">
        <v>21.108980472549941</v>
      </c>
      <c r="Y11" s="255">
        <v>18.47865401201236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257.42717890118968</v>
      </c>
      <c r="C16" s="257">
        <v>243.3787467338918</v>
      </c>
      <c r="D16" s="257">
        <v>226.12074650799349</v>
      </c>
      <c r="E16" s="257">
        <v>229.50885091074011</v>
      </c>
      <c r="F16" s="257">
        <v>212.70018303942689</v>
      </c>
      <c r="G16" s="257">
        <v>215.90513258813559</v>
      </c>
      <c r="H16" s="257">
        <v>219.10692573209681</v>
      </c>
      <c r="I16" s="257">
        <v>214.36908964124851</v>
      </c>
      <c r="J16" s="257">
        <v>226.9640859680045</v>
      </c>
      <c r="K16" s="257">
        <v>223.4832722389875</v>
      </c>
      <c r="L16" s="257">
        <v>218.51735287857221</v>
      </c>
      <c r="M16" s="257">
        <v>223.36640215824119</v>
      </c>
      <c r="N16" s="257">
        <v>204.87328732462601</v>
      </c>
      <c r="O16" s="257">
        <v>201.42062956246139</v>
      </c>
      <c r="P16" s="257">
        <v>206.42902513884201</v>
      </c>
      <c r="Q16" s="257">
        <v>204.40492419955731</v>
      </c>
      <c r="R16" s="257">
        <v>206.31429570341251</v>
      </c>
      <c r="S16" s="257">
        <v>203.75050122210021</v>
      </c>
      <c r="T16" s="257">
        <v>208.07519688642151</v>
      </c>
      <c r="U16" s="257">
        <v>209.52200235130661</v>
      </c>
      <c r="V16" s="257">
        <v>220.3084166151788</v>
      </c>
      <c r="W16" s="257">
        <v>220.811467642867</v>
      </c>
      <c r="X16" s="257">
        <v>223.6562246713157</v>
      </c>
      <c r="Y16" s="257">
        <v>221.1683047314765</v>
      </c>
      <c r="DA16" s="272" t="s">
        <v>1046</v>
      </c>
    </row>
    <row r="17" spans="1:105" x14ac:dyDescent="0.25">
      <c r="A17" s="256" t="s">
        <v>121</v>
      </c>
      <c r="B17" s="257">
        <f>SUM(B18:B24)</f>
        <v>370.73695886222731</v>
      </c>
      <c r="C17" s="257">
        <f t="shared" ref="C17:W17" si="4">SUM(C18:C24)</f>
        <v>341.24529297652276</v>
      </c>
      <c r="D17" s="257">
        <f t="shared" si="4"/>
        <v>315.12217244607865</v>
      </c>
      <c r="E17" s="257">
        <f t="shared" si="4"/>
        <v>319.89086491569248</v>
      </c>
      <c r="F17" s="257">
        <f t="shared" si="4"/>
        <v>295.9526816810328</v>
      </c>
      <c r="G17" s="257">
        <f t="shared" si="4"/>
        <v>301.56540236396961</v>
      </c>
      <c r="H17" s="257">
        <f t="shared" si="4"/>
        <v>305.51453350514873</v>
      </c>
      <c r="I17" s="257">
        <f t="shared" si="4"/>
        <v>298.63481177917561</v>
      </c>
      <c r="J17" s="257">
        <f t="shared" si="4"/>
        <v>317.51687612920222</v>
      </c>
      <c r="K17" s="257">
        <f t="shared" si="4"/>
        <v>311.42588024093828</v>
      </c>
      <c r="L17" s="257">
        <f t="shared" si="4"/>
        <v>304.13217742226061</v>
      </c>
      <c r="M17" s="257">
        <f t="shared" si="4"/>
        <v>311.76350700049181</v>
      </c>
      <c r="N17" s="257">
        <f t="shared" si="4"/>
        <v>286.11022875289973</v>
      </c>
      <c r="O17" s="257">
        <f t="shared" si="4"/>
        <v>280.52300752981142</v>
      </c>
      <c r="P17" s="257">
        <f t="shared" si="4"/>
        <v>281.03653881364829</v>
      </c>
      <c r="Q17" s="257">
        <f t="shared" si="4"/>
        <v>276.34300886750947</v>
      </c>
      <c r="R17" s="257">
        <f t="shared" si="4"/>
        <v>276.75525745024254</v>
      </c>
      <c r="S17" s="257">
        <f t="shared" si="4"/>
        <v>274.18750472722218</v>
      </c>
      <c r="T17" s="257">
        <f t="shared" si="4"/>
        <v>279.51932442036747</v>
      </c>
      <c r="U17" s="257">
        <f t="shared" si="4"/>
        <v>281.97469147805748</v>
      </c>
      <c r="V17" s="257">
        <f t="shared" si="4"/>
        <v>296.04467349326558</v>
      </c>
      <c r="W17" s="257">
        <f t="shared" si="4"/>
        <v>299.81127284387873</v>
      </c>
      <c r="X17" s="257">
        <f t="shared" ref="X17:Y17" si="5">SUM(X18:X24)</f>
        <v>302.02455933906128</v>
      </c>
      <c r="Y17" s="257">
        <f t="shared" si="5"/>
        <v>299.25335282850875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5.917517999978811</v>
      </c>
      <c r="C19" s="55">
        <v>8.8762769999692051</v>
      </c>
      <c r="D19" s="55">
        <v>7.6927733999747074</v>
      </c>
      <c r="E19" s="55">
        <v>8.8762769999693187</v>
      </c>
      <c r="F19" s="55">
        <v>7.988762879975198</v>
      </c>
      <c r="G19" s="55">
        <v>8.876276999973193</v>
      </c>
      <c r="H19" s="55">
        <v>8.876276999973685</v>
      </c>
      <c r="I19" s="55">
        <v>8.876276999974765</v>
      </c>
      <c r="J19" s="55">
        <v>8.8762769999742073</v>
      </c>
      <c r="K19" s="55">
        <v>8.8762769999750439</v>
      </c>
      <c r="L19" s="55">
        <v>8.8762769999748894</v>
      </c>
      <c r="M19" s="55">
        <v>8.8762769999746158</v>
      </c>
      <c r="N19" s="55">
        <v>8.8762769999750368</v>
      </c>
      <c r="O19" s="55">
        <v>8.8762769999749889</v>
      </c>
      <c r="P19" s="55">
        <v>8.8762769999747011</v>
      </c>
      <c r="Q19" s="55">
        <v>5.9175179999832972</v>
      </c>
      <c r="R19" s="55">
        <v>5.9175179999830423</v>
      </c>
      <c r="S19" s="55">
        <v>7.397011079978955</v>
      </c>
      <c r="T19" s="55">
        <v>7.6927733999789298</v>
      </c>
      <c r="U19" s="55">
        <v>7.6927733999785728</v>
      </c>
      <c r="V19" s="55">
        <v>7.9887628799764494</v>
      </c>
      <c r="W19" s="55">
        <v>7.9887628799759094</v>
      </c>
      <c r="X19" s="55">
        <v>6.8052592799791842</v>
      </c>
      <c r="Y19" s="55">
        <v>7.1010215999788686</v>
      </c>
      <c r="DA19" s="101" t="s">
        <v>1048</v>
      </c>
    </row>
    <row r="20" spans="1:105" x14ac:dyDescent="0.25">
      <c r="A20" s="61" t="s">
        <v>166</v>
      </c>
      <c r="B20" s="55">
        <v>268.47757773361178</v>
      </c>
      <c r="C20" s="55">
        <v>254.9654470831826</v>
      </c>
      <c r="D20" s="55">
        <v>238.22884563481719</v>
      </c>
      <c r="E20" s="55">
        <v>247.10766251918031</v>
      </c>
      <c r="F20" s="55">
        <v>228.92015061611559</v>
      </c>
      <c r="G20" s="55">
        <v>225.81510453488639</v>
      </c>
      <c r="H20" s="55">
        <v>235.45716101637259</v>
      </c>
      <c r="I20" s="55">
        <v>231.30912589098111</v>
      </c>
      <c r="J20" s="55">
        <v>240.99526294029931</v>
      </c>
      <c r="K20" s="55">
        <v>240.34208882677439</v>
      </c>
      <c r="L20" s="55">
        <v>231.67750048907101</v>
      </c>
      <c r="M20" s="55">
        <v>237.09749622555461</v>
      </c>
      <c r="N20" s="55">
        <v>215.38208011060061</v>
      </c>
      <c r="O20" s="55">
        <v>212.21087641092879</v>
      </c>
      <c r="P20" s="55">
        <v>211.33935816942321</v>
      </c>
      <c r="Q20" s="55">
        <v>213.06062706003109</v>
      </c>
      <c r="R20" s="55">
        <v>211.31347952324941</v>
      </c>
      <c r="S20" s="55">
        <v>211.45069756588791</v>
      </c>
      <c r="T20" s="55">
        <v>218.95669335795529</v>
      </c>
      <c r="U20" s="55">
        <v>217.03792627555421</v>
      </c>
      <c r="V20" s="55">
        <v>226.29555078329139</v>
      </c>
      <c r="W20" s="55">
        <v>221.8144639694433</v>
      </c>
      <c r="X20" s="55">
        <v>233.1486547718801</v>
      </c>
      <c r="Y20" s="55">
        <v>234.32675504076369</v>
      </c>
      <c r="DA20" s="101" t="s">
        <v>1049</v>
      </c>
    </row>
    <row r="21" spans="1:105" x14ac:dyDescent="0.25">
      <c r="A21" s="61" t="s">
        <v>129</v>
      </c>
      <c r="B21" s="55">
        <v>79.607554919714943</v>
      </c>
      <c r="C21" s="55">
        <v>49.625670599827828</v>
      </c>
      <c r="D21" s="55">
        <v>40.35549275986731</v>
      </c>
      <c r="E21" s="55">
        <v>40.355492759860503</v>
      </c>
      <c r="F21" s="55">
        <v>36.014618519888181</v>
      </c>
      <c r="G21" s="55">
        <v>39.417311879880948</v>
      </c>
      <c r="H21" s="55">
        <v>38.792043719884987</v>
      </c>
      <c r="I21" s="55">
        <v>37.228594679894151</v>
      </c>
      <c r="J21" s="55">
        <v>43.445552039873732</v>
      </c>
      <c r="K21" s="55">
        <v>39.104677799890041</v>
      </c>
      <c r="L21" s="55">
        <v>37.228594679894677</v>
      </c>
      <c r="M21" s="55">
        <v>40.355492759884598</v>
      </c>
      <c r="N21" s="55">
        <v>37.228594679895288</v>
      </c>
      <c r="O21" s="55">
        <v>34.138535399903809</v>
      </c>
      <c r="P21" s="55">
        <v>34.101696599902802</v>
      </c>
      <c r="Q21" s="55">
        <v>30.97451987991257</v>
      </c>
      <c r="R21" s="55">
        <v>24.757562519929049</v>
      </c>
      <c r="S21" s="55">
        <v>25.36821827992782</v>
      </c>
      <c r="T21" s="55">
        <v>23.484550319935678</v>
      </c>
      <c r="U21" s="55">
        <v>23.79365603993373</v>
      </c>
      <c r="V21" s="55">
        <v>23.484550319930761</v>
      </c>
      <c r="W21" s="55">
        <v>24.102761759927311</v>
      </c>
      <c r="X21" s="55">
        <v>23.175694079929109</v>
      </c>
      <c r="Y21" s="55">
        <v>24.411617999927351</v>
      </c>
      <c r="DA21" s="101" t="s">
        <v>1050</v>
      </c>
    </row>
    <row r="22" spans="1:105" x14ac:dyDescent="0.25">
      <c r="A22" s="61" t="s">
        <v>169</v>
      </c>
      <c r="B22" s="55">
        <v>16.734308208921771</v>
      </c>
      <c r="C22" s="55">
        <v>27.777898293543171</v>
      </c>
      <c r="D22" s="55">
        <v>28.84506065141942</v>
      </c>
      <c r="E22" s="55">
        <v>23.55143263668235</v>
      </c>
      <c r="F22" s="55">
        <v>23.029149665053819</v>
      </c>
      <c r="G22" s="55">
        <v>27.4567089492291</v>
      </c>
      <c r="H22" s="55">
        <v>22.38905176891743</v>
      </c>
      <c r="I22" s="55">
        <v>21.220814208325571</v>
      </c>
      <c r="J22" s="55">
        <v>24.19978414905497</v>
      </c>
      <c r="K22" s="55">
        <v>23.10283661429882</v>
      </c>
      <c r="L22" s="55">
        <v>26.349805253320049</v>
      </c>
      <c r="M22" s="55">
        <v>25.43424101507798</v>
      </c>
      <c r="N22" s="55">
        <v>24.6232769624288</v>
      </c>
      <c r="O22" s="55">
        <v>25.29731871900384</v>
      </c>
      <c r="P22" s="55">
        <v>26.719207044347591</v>
      </c>
      <c r="Q22" s="55">
        <v>26.39034392758251</v>
      </c>
      <c r="R22" s="55">
        <v>34.766697407081047</v>
      </c>
      <c r="S22" s="55">
        <v>29.971577801427479</v>
      </c>
      <c r="T22" s="55">
        <v>29.385307342497569</v>
      </c>
      <c r="U22" s="55">
        <v>33.450335762590989</v>
      </c>
      <c r="V22" s="55">
        <v>38.275809510066942</v>
      </c>
      <c r="W22" s="55">
        <v>45.905284234532203</v>
      </c>
      <c r="X22" s="55">
        <v>38.894951207272847</v>
      </c>
      <c r="Y22" s="55">
        <v>33.41395818783883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49.466777753233679</v>
      </c>
      <c r="C25" s="257">
        <v>46.767254436514087</v>
      </c>
      <c r="D25" s="257">
        <v>43.450985869676209</v>
      </c>
      <c r="E25" s="257">
        <v>44.102038366195018</v>
      </c>
      <c r="F25" s="257">
        <v>40.872112755903053</v>
      </c>
      <c r="G25" s="257">
        <v>41.48797052085628</v>
      </c>
      <c r="H25" s="257">
        <v>42.103221756332658</v>
      </c>
      <c r="I25" s="257">
        <v>41.19280706765209</v>
      </c>
      <c r="J25" s="257">
        <v>43.613040575076617</v>
      </c>
      <c r="K25" s="257">
        <v>42.944173208900921</v>
      </c>
      <c r="L25" s="257">
        <v>41.989930419189768</v>
      </c>
      <c r="M25" s="257">
        <v>42.921715648922358</v>
      </c>
      <c r="N25" s="257">
        <v>39.368109517105943</v>
      </c>
      <c r="O25" s="257">
        <v>38.704652554604998</v>
      </c>
      <c r="P25" s="257">
        <v>39.667057503198997</v>
      </c>
      <c r="Q25" s="257">
        <v>39.27810963941441</v>
      </c>
      <c r="R25" s="257">
        <v>39.64501128605761</v>
      </c>
      <c r="S25" s="257">
        <v>39.152356810514767</v>
      </c>
      <c r="T25" s="257">
        <v>39.983383123239371</v>
      </c>
      <c r="U25" s="257">
        <v>40.261398850596223</v>
      </c>
      <c r="V25" s="257">
        <v>42.334098242411727</v>
      </c>
      <c r="W25" s="257">
        <v>42.430763689671053</v>
      </c>
      <c r="X25" s="257">
        <v>42.977407460110797</v>
      </c>
      <c r="Y25" s="257">
        <v>42.499332910029587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1</v>
      </c>
      <c r="D31" s="235">
        <f t="shared" si="6"/>
        <v>1</v>
      </c>
      <c r="E31" s="235">
        <f t="shared" si="6"/>
        <v>0.99999999999999989</v>
      </c>
      <c r="F31" s="235">
        <f t="shared" si="6"/>
        <v>1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0.99999999999999989</v>
      </c>
      <c r="K31" s="235">
        <f t="shared" si="6"/>
        <v>0.99999999999999989</v>
      </c>
      <c r="L31" s="235">
        <f t="shared" si="6"/>
        <v>1</v>
      </c>
      <c r="M31" s="235">
        <f t="shared" si="6"/>
        <v>0.99999999999999989</v>
      </c>
      <c r="N31" s="235">
        <f t="shared" si="6"/>
        <v>1</v>
      </c>
      <c r="O31" s="235">
        <f t="shared" si="6"/>
        <v>1.0000000000000002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0.99999999999999989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0.99999999999999989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1.0000000000000002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0.2180311347820843</v>
      </c>
      <c r="C35" s="246">
        <f t="shared" si="12"/>
        <v>0.22005629051842776</v>
      </c>
      <c r="D35" s="246">
        <f t="shared" si="12"/>
        <v>0.22024836427269018</v>
      </c>
      <c r="E35" s="246">
        <f t="shared" si="12"/>
        <v>0.22062219729049895</v>
      </c>
      <c r="F35" s="246">
        <f t="shared" si="12"/>
        <v>0.22018047361770579</v>
      </c>
      <c r="G35" s="246">
        <f t="shared" si="12"/>
        <v>0.21962825766803151</v>
      </c>
      <c r="H35" s="246">
        <f t="shared" si="12"/>
        <v>0.21979255687636404</v>
      </c>
      <c r="I35" s="246">
        <f t="shared" si="12"/>
        <v>0.21970006280604512</v>
      </c>
      <c r="J35" s="246">
        <f t="shared" si="12"/>
        <v>0.21937704216004794</v>
      </c>
      <c r="K35" s="246">
        <f t="shared" si="12"/>
        <v>0.21960164071960786</v>
      </c>
      <c r="L35" s="246">
        <f t="shared" si="12"/>
        <v>0.21733108206268831</v>
      </c>
      <c r="M35" s="246">
        <f t="shared" si="12"/>
        <v>0.21747360259083356</v>
      </c>
      <c r="N35" s="246">
        <f t="shared" si="12"/>
        <v>0.21451786603694745</v>
      </c>
      <c r="O35" s="246">
        <f t="shared" si="12"/>
        <v>0.2100006901745706</v>
      </c>
      <c r="P35" s="246">
        <f t="shared" si="12"/>
        <v>0.20642093391265326</v>
      </c>
      <c r="Q35" s="246">
        <f t="shared" si="12"/>
        <v>0.2092131259210249</v>
      </c>
      <c r="R35" s="246">
        <f t="shared" si="12"/>
        <v>0.20917113185997607</v>
      </c>
      <c r="S35" s="246">
        <f t="shared" si="12"/>
        <v>0.20691623875939708</v>
      </c>
      <c r="T35" s="246">
        <f t="shared" si="12"/>
        <v>0.20686838890720538</v>
      </c>
      <c r="U35" s="246">
        <f t="shared" si="12"/>
        <v>0.20610863212863853</v>
      </c>
      <c r="V35" s="246">
        <f t="shared" si="12"/>
        <v>0.20488656369289246</v>
      </c>
      <c r="W35" s="246">
        <f t="shared" si="12"/>
        <v>0.2080939038006378</v>
      </c>
      <c r="X35" s="246">
        <f t="shared" si="12"/>
        <v>0.20611848447450973</v>
      </c>
      <c r="Y35" s="246">
        <f t="shared" si="12"/>
        <v>0.20825472443090409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0.29706442600561417</v>
      </c>
      <c r="C36" s="259">
        <f t="shared" si="13"/>
        <v>0.30064038623319217</v>
      </c>
      <c r="D36" s="259">
        <f t="shared" si="13"/>
        <v>0.30155611424517598</v>
      </c>
      <c r="E36" s="259">
        <f t="shared" si="13"/>
        <v>0.30138765835414782</v>
      </c>
      <c r="F36" s="259">
        <f t="shared" si="13"/>
        <v>0.30183842918471854</v>
      </c>
      <c r="G36" s="259">
        <f t="shared" si="13"/>
        <v>0.30142893049575076</v>
      </c>
      <c r="H36" s="259">
        <f t="shared" si="13"/>
        <v>0.30164356702519673</v>
      </c>
      <c r="I36" s="259">
        <f t="shared" si="13"/>
        <v>0.30182818595175837</v>
      </c>
      <c r="J36" s="259">
        <f t="shared" si="13"/>
        <v>0.30126710237940491</v>
      </c>
      <c r="K36" s="259">
        <f t="shared" si="13"/>
        <v>0.30181703769554219</v>
      </c>
      <c r="L36" s="259">
        <f t="shared" si="13"/>
        <v>0.30289547937352129</v>
      </c>
      <c r="M36" s="259">
        <f t="shared" si="13"/>
        <v>0.30237802037369294</v>
      </c>
      <c r="N36" s="259">
        <f t="shared" si="13"/>
        <v>0.30342945916182318</v>
      </c>
      <c r="O36" s="259">
        <f t="shared" si="13"/>
        <v>0.30562312698053867</v>
      </c>
      <c r="P36" s="259">
        <f t="shared" si="13"/>
        <v>0.31077141940223135</v>
      </c>
      <c r="Q36" s="259">
        <f t="shared" si="13"/>
        <v>0.31083199259186489</v>
      </c>
      <c r="R36" s="259">
        <f t="shared" si="13"/>
        <v>0.31213842515967216</v>
      </c>
      <c r="S36" s="259">
        <f t="shared" si="13"/>
        <v>0.31250091957125181</v>
      </c>
      <c r="T36" s="259">
        <f t="shared" si="13"/>
        <v>0.31280880937057071</v>
      </c>
      <c r="U36" s="259">
        <f t="shared" si="13"/>
        <v>0.31280710408658718</v>
      </c>
      <c r="V36" s="259">
        <f t="shared" si="13"/>
        <v>0.31353892810634065</v>
      </c>
      <c r="W36" s="259">
        <f t="shared" si="13"/>
        <v>0.31056009071977392</v>
      </c>
      <c r="X36" s="259">
        <f t="shared" si="13"/>
        <v>0.31223772955706819</v>
      </c>
      <c r="Y36" s="259">
        <f t="shared" si="13"/>
        <v>0.31107200360491832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0.42782103410202726</v>
      </c>
      <c r="C37" s="259">
        <f t="shared" si="14"/>
        <v>0.42153276757930691</v>
      </c>
      <c r="D37" s="259">
        <f t="shared" si="14"/>
        <v>0.42024900104413232</v>
      </c>
      <c r="E37" s="259">
        <f t="shared" si="14"/>
        <v>0.42007599412067781</v>
      </c>
      <c r="F37" s="259">
        <f t="shared" si="14"/>
        <v>0.41998032759120596</v>
      </c>
      <c r="G37" s="259">
        <f t="shared" si="14"/>
        <v>0.42102073081558267</v>
      </c>
      <c r="H37" s="259">
        <f t="shared" si="14"/>
        <v>0.42060055087994924</v>
      </c>
      <c r="I37" s="259">
        <f t="shared" si="14"/>
        <v>0.42047294995840434</v>
      </c>
      <c r="J37" s="259">
        <f t="shared" si="14"/>
        <v>0.42146487106109892</v>
      </c>
      <c r="K37" s="259">
        <f t="shared" si="14"/>
        <v>0.42058466253139615</v>
      </c>
      <c r="L37" s="259">
        <f t="shared" si="14"/>
        <v>0.42156954795447626</v>
      </c>
      <c r="M37" s="259">
        <f t="shared" si="14"/>
        <v>0.42204392048533756</v>
      </c>
      <c r="N37" s="259">
        <f t="shared" si="14"/>
        <v>0.42374617552555233</v>
      </c>
      <c r="O37" s="259">
        <f t="shared" si="14"/>
        <v>0.42564815201642286</v>
      </c>
      <c r="P37" s="259">
        <f t="shared" si="14"/>
        <v>0.42309032856336481</v>
      </c>
      <c r="Q37" s="259">
        <f t="shared" si="14"/>
        <v>0.42022592372217121</v>
      </c>
      <c r="R37" s="259">
        <f t="shared" si="14"/>
        <v>0.41871044331005847</v>
      </c>
      <c r="S37" s="259">
        <f t="shared" si="14"/>
        <v>0.42053318567694409</v>
      </c>
      <c r="T37" s="259">
        <f t="shared" si="14"/>
        <v>0.42021398213900868</v>
      </c>
      <c r="U37" s="259">
        <f t="shared" si="14"/>
        <v>0.42097577188608792</v>
      </c>
      <c r="V37" s="259">
        <f t="shared" si="14"/>
        <v>0.42132539021786458</v>
      </c>
      <c r="W37" s="259">
        <f t="shared" si="14"/>
        <v>0.42166929592532704</v>
      </c>
      <c r="X37" s="259">
        <f t="shared" si="14"/>
        <v>0.42164470413059374</v>
      </c>
      <c r="Y37" s="259">
        <f t="shared" si="14"/>
        <v>0.42089819408289458</v>
      </c>
      <c r="DA37" s="278"/>
    </row>
    <row r="38" spans="1:105" x14ac:dyDescent="0.25">
      <c r="A38" s="127" t="s">
        <v>167</v>
      </c>
      <c r="B38" s="259">
        <f t="shared" ref="B38:Y38" si="15">IF(B$25=0,0,B$25/B$5)</f>
        <v>5.7083405110274217E-2</v>
      </c>
      <c r="C38" s="259">
        <f t="shared" si="15"/>
        <v>5.7770555669073201E-2</v>
      </c>
      <c r="D38" s="259">
        <f t="shared" si="15"/>
        <v>5.7946520438001518E-2</v>
      </c>
      <c r="E38" s="259">
        <f t="shared" si="15"/>
        <v>5.7914150234675325E-2</v>
      </c>
      <c r="F38" s="259">
        <f t="shared" si="15"/>
        <v>5.8000769606369761E-2</v>
      </c>
      <c r="G38" s="259">
        <f t="shared" si="15"/>
        <v>5.7922081020635063E-2</v>
      </c>
      <c r="H38" s="259">
        <f t="shared" si="15"/>
        <v>5.7963325218489951E-2</v>
      </c>
      <c r="I38" s="259">
        <f t="shared" si="15"/>
        <v>5.7998801283792166E-2</v>
      </c>
      <c r="J38" s="259">
        <f t="shared" si="15"/>
        <v>5.7890984399448106E-2</v>
      </c>
      <c r="K38" s="259">
        <f t="shared" si="15"/>
        <v>5.7996659053453747E-2</v>
      </c>
      <c r="L38" s="259">
        <f t="shared" si="15"/>
        <v>5.8203890609314031E-2</v>
      </c>
      <c r="M38" s="259">
        <f t="shared" si="15"/>
        <v>5.8104456550135873E-2</v>
      </c>
      <c r="N38" s="259">
        <f t="shared" si="15"/>
        <v>5.8306499275677041E-2</v>
      </c>
      <c r="O38" s="259">
        <f t="shared" si="15"/>
        <v>5.8728030828468038E-2</v>
      </c>
      <c r="P38" s="259">
        <f t="shared" si="15"/>
        <v>5.9717318121750615E-2</v>
      </c>
      <c r="Q38" s="259">
        <f t="shared" si="15"/>
        <v>5.9728957764939007E-2</v>
      </c>
      <c r="R38" s="259">
        <f t="shared" si="15"/>
        <v>5.9979999670293181E-2</v>
      </c>
      <c r="S38" s="259">
        <f t="shared" si="15"/>
        <v>6.0049655992407046E-2</v>
      </c>
      <c r="T38" s="259">
        <f t="shared" si="15"/>
        <v>6.0108819583215137E-2</v>
      </c>
      <c r="U38" s="259">
        <f t="shared" si="15"/>
        <v>6.0108491898686341E-2</v>
      </c>
      <c r="V38" s="259">
        <f t="shared" si="15"/>
        <v>6.0249117982902264E-2</v>
      </c>
      <c r="W38" s="259">
        <f t="shared" si="15"/>
        <v>5.9676709554261256E-2</v>
      </c>
      <c r="X38" s="259">
        <f t="shared" si="15"/>
        <v>5.9999081837828372E-2</v>
      </c>
      <c r="Y38" s="259">
        <f t="shared" si="15"/>
        <v>5.9775077881283036E-2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2.9469781446056018</v>
      </c>
      <c r="C44" s="237">
        <f>IF(C$5=0,0,C$5/AGR_fec!C$5)</f>
        <v>2.911166907622365</v>
      </c>
      <c r="D44" s="237">
        <f>IF(D$5=0,0,D$5/AGR_fec!D$5)</f>
        <v>2.8986576039908654</v>
      </c>
      <c r="E44" s="237">
        <f>IF(E$5=0,0,E$5/AGR_fec!E$5)</f>
        <v>2.9168629104932036</v>
      </c>
      <c r="F44" s="237">
        <f>IF(F$5=0,0,F$5/AGR_fec!F$5)</f>
        <v>2.8995904190582871</v>
      </c>
      <c r="G44" s="237">
        <f>IF(G$5=0,0,G$5/AGR_fec!G$5)</f>
        <v>2.8868407263735802</v>
      </c>
      <c r="H44" s="237">
        <f>IF(H$5=0,0,H$5/AGR_fec!H$5)</f>
        <v>2.8957691388702504</v>
      </c>
      <c r="I44" s="237">
        <f>IF(I$5=0,0,I$5/AGR_fec!I$5)</f>
        <v>2.891862614203069</v>
      </c>
      <c r="J44" s="237">
        <f>IF(J$5=0,0,J$5/AGR_fec!J$5)</f>
        <v>2.8915685158373083</v>
      </c>
      <c r="K44" s="237">
        <f>IF(K$5=0,0,K$5/AGR_fec!K$5)</f>
        <v>2.8893781843094222</v>
      </c>
      <c r="L44" s="237">
        <f>IF(L$5=0,0,L$5/AGR_fec!L$5)</f>
        <v>2.8671658767093686</v>
      </c>
      <c r="M44" s="237">
        <f>IF(M$5=0,0,M$5/AGR_fec!M$5)</f>
        <v>2.8743851997976528</v>
      </c>
      <c r="N44" s="237">
        <f>IF(N$5=0,0,N$5/AGR_fec!N$5)</f>
        <v>2.8497829141918349</v>
      </c>
      <c r="O44" s="237">
        <f>IF(O$5=0,0,O$5/AGR_fec!O$5)</f>
        <v>2.819676371112632</v>
      </c>
      <c r="P44" s="237">
        <f>IF(P$5=0,0,P$5/AGR_fec!P$5)</f>
        <v>2.7567964247394197</v>
      </c>
      <c r="Q44" s="237">
        <f>IF(Q$5=0,0,Q$5/AGR_fec!Q$5)</f>
        <v>2.7696155933569808</v>
      </c>
      <c r="R44" s="237">
        <f>IF(R$5=0,0,R$5/AGR_fec!R$5)</f>
        <v>2.7490149834172861</v>
      </c>
      <c r="S44" s="237">
        <f>IF(S$5=0,0,S$5/AGR_fec!S$5)</f>
        <v>2.7456256466442275</v>
      </c>
      <c r="T44" s="237">
        <f>IF(T$5=0,0,T$5/AGR_fec!T$5)</f>
        <v>2.7449500722252465</v>
      </c>
      <c r="U44" s="237">
        <f>IF(U$5=0,0,U$5/AGR_fec!U$5)</f>
        <v>2.7366231361843498</v>
      </c>
      <c r="V44" s="237">
        <f>IF(V$5=0,0,V$5/AGR_fec!V$5)</f>
        <v>2.7271013872970284</v>
      </c>
      <c r="W44" s="237">
        <f>IF(W$5=0,0,W$5/AGR_fec!W$5)</f>
        <v>2.7511361634814704</v>
      </c>
      <c r="X44" s="237">
        <f>IF(X$5=0,0,X$5/AGR_fec!X$5)</f>
        <v>2.7496000903157221</v>
      </c>
      <c r="Y44" s="237">
        <f>IF(Y$5=0,0,Y$5/AGR_fec!Y$5)</f>
        <v>2.7712335750876451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3.0376810762417006</v>
      </c>
      <c r="C48" s="252">
        <f>IF(C$9=0,0,C$9/AGR_fec!C$9)</f>
        <v>2.9990639051150842</v>
      </c>
      <c r="D48" s="252">
        <f>IF(D$9=0,0,D$9/AGR_fec!D$9)</f>
        <v>2.9879733910540263</v>
      </c>
      <c r="E48" s="252">
        <f>IF(E$9=0,0,E$9/AGR_fec!E$9)</f>
        <v>3.009396120683828</v>
      </c>
      <c r="F48" s="252">
        <f>IF(F$9=0,0,F$9/AGR_fec!F$9)</f>
        <v>3.0016895359469329</v>
      </c>
      <c r="G48" s="252">
        <f>IF(G$9=0,0,G$9/AGR_fec!G$9)</f>
        <v>2.9849834840647227</v>
      </c>
      <c r="H48" s="252">
        <f>IF(H$9=0,0,H$9/AGR_fec!H$9)</f>
        <v>3.0044330946713531</v>
      </c>
      <c r="I48" s="252">
        <f>IF(I$9=0,0,I$9/AGR_fec!I$9)</f>
        <v>3.0056257782573645</v>
      </c>
      <c r="J48" s="252">
        <f>IF(J$9=0,0,J$9/AGR_fec!J$9)</f>
        <v>2.9996345224533836</v>
      </c>
      <c r="K48" s="252">
        <f>IF(K$9=0,0,K$9/AGR_fec!K$9)</f>
        <v>3.0018075906190917</v>
      </c>
      <c r="L48" s="252">
        <f>IF(L$9=0,0,L$9/AGR_fec!L$9)</f>
        <v>2.923075512857662</v>
      </c>
      <c r="M48" s="252">
        <f>IF(M$9=0,0,M$9/AGR_fec!M$9)</f>
        <v>2.9373622452383437</v>
      </c>
      <c r="N48" s="252">
        <f>IF(N$9=0,0,N$9/AGR_fec!N$9)</f>
        <v>2.8526578138709446</v>
      </c>
      <c r="O48" s="252">
        <f>IF(O$9=0,0,O$9/AGR_fec!O$9)</f>
        <v>2.7224000139187208</v>
      </c>
      <c r="P48" s="252">
        <f>IF(P$9=0,0,P$9/AGR_fec!P$9)</f>
        <v>2.595499627031038</v>
      </c>
      <c r="Q48" s="252">
        <f>IF(Q$9=0,0,Q$9/AGR_fec!Q$9)</f>
        <v>2.654367160998758</v>
      </c>
      <c r="R48" s="252">
        <f>IF(R$9=0,0,R$9/AGR_fec!R$9)</f>
        <v>2.6103936839078865</v>
      </c>
      <c r="S48" s="252">
        <f>IF(S$9=0,0,S$9/AGR_fec!S$9)</f>
        <v>2.5723219628316443</v>
      </c>
      <c r="T48" s="252">
        <f>IF(T$9=0,0,T$9/AGR_fec!T$9)</f>
        <v>2.5726860388070212</v>
      </c>
      <c r="U48" s="252">
        <f>IF(U$9=0,0,U$9/AGR_fec!U$9)</f>
        <v>2.5431846243781213</v>
      </c>
      <c r="V48" s="252">
        <f>IF(V$9=0,0,V$9/AGR_fec!V$9)</f>
        <v>2.496375877070613</v>
      </c>
      <c r="W48" s="252">
        <f>IF(W$9=0,0,W$9/AGR_fec!W$9)</f>
        <v>2.5670583783620562</v>
      </c>
      <c r="X48" s="252">
        <f>IF(X$9=0,0,X$9/AGR_fec!X$9)</f>
        <v>2.5291098498522766</v>
      </c>
      <c r="Y48" s="252">
        <f>IF(Y$9=0,0,Y$9/AGR_fec!Y$9)</f>
        <v>2.6033814266539217</v>
      </c>
      <c r="DA48" s="289"/>
    </row>
    <row r="49" spans="1:105" x14ac:dyDescent="0.25">
      <c r="A49" s="127" t="s">
        <v>168</v>
      </c>
      <c r="B49" s="264">
        <f>IF(B$16=0,0,B$16/AGR_fec!B$16)</f>
        <v>3.1024188000000001</v>
      </c>
      <c r="C49" s="264">
        <f>IF(C$16=0,0,C$16/AGR_fec!C$16)</f>
        <v>3.1024188000000006</v>
      </c>
      <c r="D49" s="264">
        <f>IF(D$16=0,0,D$16/AGR_fec!D$16)</f>
        <v>3.1024188000000001</v>
      </c>
      <c r="E49" s="264">
        <f>IF(E$16=0,0,E$16/AGR_fec!E$16)</f>
        <v>3.1024188000000015</v>
      </c>
      <c r="F49" s="264">
        <f>IF(F$16=0,0,F$16/AGR_fec!F$16)</f>
        <v>3.1024188000000001</v>
      </c>
      <c r="G49" s="264">
        <f>IF(G$16=0,0,G$16/AGR_fec!G$16)</f>
        <v>3.1024187999999993</v>
      </c>
      <c r="H49" s="264">
        <f>IF(H$16=0,0,H$16/AGR_fec!H$16)</f>
        <v>3.102418800000001</v>
      </c>
      <c r="I49" s="264">
        <f>IF(I$16=0,0,I$16/AGR_fec!I$16)</f>
        <v>3.102418800000001</v>
      </c>
      <c r="J49" s="264">
        <f>IF(J$16=0,0,J$16/AGR_fec!J$16)</f>
        <v>3.102418800000001</v>
      </c>
      <c r="K49" s="264">
        <f>IF(K$16=0,0,K$16/AGR_fec!K$16)</f>
        <v>3.1024188000000001</v>
      </c>
      <c r="L49" s="264">
        <f>IF(L$16=0,0,L$16/AGR_fec!L$16)</f>
        <v>3.1024188000000006</v>
      </c>
      <c r="M49" s="264">
        <f>IF(M$16=0,0,M$16/AGR_fec!M$16)</f>
        <v>3.1024187999999997</v>
      </c>
      <c r="N49" s="264">
        <f>IF(N$16=0,0,N$16/AGR_fec!N$16)</f>
        <v>3.1009680993237856</v>
      </c>
      <c r="O49" s="264">
        <f>IF(O$16=0,0,O$16/AGR_fec!O$16)</f>
        <v>3.1024187999999997</v>
      </c>
      <c r="P49" s="264">
        <f>IF(P$16=0,0,P$16/AGR_fec!P$16)</f>
        <v>3.1024187999999997</v>
      </c>
      <c r="Q49" s="264">
        <f>IF(Q$16=0,0,Q$16/AGR_fec!Q$16)</f>
        <v>3.1024188000000001</v>
      </c>
      <c r="R49" s="264">
        <f>IF(R$16=0,0,R$16/AGR_fec!R$16)</f>
        <v>3.1024188000000006</v>
      </c>
      <c r="S49" s="264">
        <f>IF(S$16=0,0,S$16/AGR_fec!S$16)</f>
        <v>3.1024188000000001</v>
      </c>
      <c r="T49" s="264">
        <f>IF(T$16=0,0,T$16/AGR_fec!T$16)</f>
        <v>3.1024188000000006</v>
      </c>
      <c r="U49" s="264">
        <f>IF(U$16=0,0,U$16/AGR_fec!U$16)</f>
        <v>3.1024188000000006</v>
      </c>
      <c r="V49" s="264">
        <f>IF(V$16=0,0,V$16/AGR_fec!V$16)</f>
        <v>3.1024187999999997</v>
      </c>
      <c r="W49" s="264">
        <f>IF(W$16=0,0,W$16/AGR_fec!W$16)</f>
        <v>3.1024188000000001</v>
      </c>
      <c r="X49" s="264">
        <f>IF(X$16=0,0,X$16/AGR_fec!X$16)</f>
        <v>3.1024188000000006</v>
      </c>
      <c r="Y49" s="264">
        <f>IF(Y$16=0,0,Y$16/AGR_fec!Y$16)</f>
        <v>3.1024188000000006</v>
      </c>
      <c r="DA49" s="290"/>
    </row>
    <row r="50" spans="1:105" x14ac:dyDescent="0.25">
      <c r="A50" s="127" t="s">
        <v>121</v>
      </c>
      <c r="B50" s="264">
        <f>IF(B$17=0,0,B$17/AGR_fec!B$17)</f>
        <v>3.0436687494380674</v>
      </c>
      <c r="C50" s="264">
        <f>IF(C$17=0,0,C$17/AGR_fec!C$17)</f>
        <v>2.9957738028371486</v>
      </c>
      <c r="D50" s="264">
        <f>IF(D$17=0,0,D$17/AGR_fec!D$17)</f>
        <v>2.9917297285572775</v>
      </c>
      <c r="E50" s="264">
        <f>IF(E$17=0,0,E$17/AGR_fec!E$17)</f>
        <v>3.0070110261143048</v>
      </c>
      <c r="F50" s="264">
        <f>IF(F$17=0,0,F$17/AGR_fec!F$17)</f>
        <v>3.0042902677720371</v>
      </c>
      <c r="G50" s="264">
        <f>IF(G$17=0,0,G$17/AGR_fec!G$17)</f>
        <v>2.9890033548825263</v>
      </c>
      <c r="H50" s="264">
        <f>IF(H$17=0,0,H$17/AGR_fec!H$17)</f>
        <v>3.0055822586500578</v>
      </c>
      <c r="I50" s="264">
        <f>IF(I$17=0,0,I$17/AGR_fec!I$17)</f>
        <v>3.0064260870208828</v>
      </c>
      <c r="J50" s="264">
        <f>IF(J$17=0,0,J$17/AGR_fec!J$17)</f>
        <v>3.0024524157965731</v>
      </c>
      <c r="K50" s="264">
        <f>IF(K$17=0,0,K$17/AGR_fec!K$17)</f>
        <v>3.0053463308595223</v>
      </c>
      <c r="L50" s="264">
        <f>IF(L$17=0,0,L$17/AGR_fec!L$17)</f>
        <v>2.9924086986554057</v>
      </c>
      <c r="M50" s="264">
        <f>IF(M$17=0,0,M$17/AGR_fec!M$17)</f>
        <v>2.9989743166587512</v>
      </c>
      <c r="N50" s="264">
        <f>IF(N$17=0,0,N$17/AGR_fec!N$17)</f>
        <v>2.9902983907367715</v>
      </c>
      <c r="O50" s="264">
        <f>IF(O$17=0,0,O$17/AGR_fec!O$17)</f>
        <v>2.9891586565800821</v>
      </c>
      <c r="P50" s="264">
        <f>IF(P$17=0,0,P$17/AGR_fec!P$17)</f>
        <v>2.902292489087519</v>
      </c>
      <c r="Q50" s="264">
        <f>IF(Q$17=0,0,Q$17/AGR_fec!Q$17)</f>
        <v>2.9038382107735075</v>
      </c>
      <c r="R50" s="264">
        <f>IF(R$17=0,0,R$17/AGR_fec!R$17)</f>
        <v>2.8776486508532799</v>
      </c>
      <c r="S50" s="264">
        <f>IF(S$17=0,0,S$17/AGR_fec!S$17)</f>
        <v>2.8923601755443888</v>
      </c>
      <c r="T50" s="264">
        <f>IF(T$17=0,0,T$17/AGR_fec!T$17)</f>
        <v>2.90037306810019</v>
      </c>
      <c r="U50" s="264">
        <f>IF(U$17=0,0,U$17/AGR_fec!U$17)</f>
        <v>2.8938860727461466</v>
      </c>
      <c r="V50" s="264">
        <f>IF(V$17=0,0,V$17/AGR_fec!V$17)</f>
        <v>2.885384100060389</v>
      </c>
      <c r="W50" s="264">
        <f>IF(W$17=0,0,W$17/AGR_fec!W$17)</f>
        <v>2.8982327595594697</v>
      </c>
      <c r="X50" s="264">
        <f>IF(X$17=0,0,X$17/AGR_fec!X$17)</f>
        <v>2.9134086144917903</v>
      </c>
      <c r="Y50" s="264">
        <f>IF(Y$17=0,0,Y$17/AGR_fec!Y$17)</f>
        <v>2.9287643049293592</v>
      </c>
      <c r="DA50" s="290"/>
    </row>
    <row r="51" spans="1:105" x14ac:dyDescent="0.25">
      <c r="A51" s="127" t="s">
        <v>167</v>
      </c>
      <c r="B51" s="264">
        <f>IF(B$25=0,0,B$25/AGR_fec!B$25)</f>
        <v>3.102418800000001</v>
      </c>
      <c r="C51" s="264">
        <f>IF(C$25=0,0,C$25/AGR_fec!C$25)</f>
        <v>3.1024187999999993</v>
      </c>
      <c r="D51" s="264">
        <f>IF(D$25=0,0,D$25/AGR_fec!D$25)</f>
        <v>3.1024187999999993</v>
      </c>
      <c r="E51" s="264">
        <f>IF(E$25=0,0,E$25/AGR_fec!E$25)</f>
        <v>3.1024188000000006</v>
      </c>
      <c r="F51" s="264">
        <f>IF(F$25=0,0,F$25/AGR_fec!F$25)</f>
        <v>3.1024187999999988</v>
      </c>
      <c r="G51" s="264">
        <f>IF(G$25=0,0,G$25/AGR_fec!G$25)</f>
        <v>3.102418800000001</v>
      </c>
      <c r="H51" s="264">
        <f>IF(H$25=0,0,H$25/AGR_fec!H$25)</f>
        <v>3.102418800000001</v>
      </c>
      <c r="I51" s="264">
        <f>IF(I$25=0,0,I$25/AGR_fec!I$25)</f>
        <v>3.1024187999999993</v>
      </c>
      <c r="J51" s="264">
        <f>IF(J$25=0,0,J$25/AGR_fec!J$25)</f>
        <v>3.1024187999999997</v>
      </c>
      <c r="K51" s="264">
        <f>IF(K$25=0,0,K$25/AGR_fec!K$25)</f>
        <v>3.1024188000000006</v>
      </c>
      <c r="L51" s="264">
        <f>IF(L$25=0,0,L$25/AGR_fec!L$25)</f>
        <v>3.1024187999999997</v>
      </c>
      <c r="M51" s="264">
        <f>IF(M$25=0,0,M$25/AGR_fec!M$25)</f>
        <v>3.1024187999999993</v>
      </c>
      <c r="N51" s="264">
        <f>IF(N$25=0,0,N$25/AGR_fec!N$25)</f>
        <v>3.1009680993237869</v>
      </c>
      <c r="O51" s="264">
        <f>IF(O$25=0,0,O$25/AGR_fec!O$25)</f>
        <v>3.1024187999999988</v>
      </c>
      <c r="P51" s="264">
        <f>IF(P$25=0,0,P$25/AGR_fec!P$25)</f>
        <v>3.1024188000000001</v>
      </c>
      <c r="Q51" s="264">
        <f>IF(Q$25=0,0,Q$25/AGR_fec!Q$25)</f>
        <v>3.1024187999999993</v>
      </c>
      <c r="R51" s="264">
        <f>IF(R$25=0,0,R$25/AGR_fec!R$25)</f>
        <v>3.1024188000000015</v>
      </c>
      <c r="S51" s="264">
        <f>IF(S$25=0,0,S$25/AGR_fec!S$25)</f>
        <v>3.102418800000001</v>
      </c>
      <c r="T51" s="264">
        <f>IF(T$25=0,0,T$25/AGR_fec!T$25)</f>
        <v>3.1024187999999988</v>
      </c>
      <c r="U51" s="264">
        <f>IF(U$25=0,0,U$25/AGR_fec!U$25)</f>
        <v>3.102418800000001</v>
      </c>
      <c r="V51" s="264">
        <f>IF(V$25=0,0,V$25/AGR_fec!V$25)</f>
        <v>3.1024187999999993</v>
      </c>
      <c r="W51" s="264">
        <f>IF(W$25=0,0,W$25/AGR_fec!W$25)</f>
        <v>3.102418800000001</v>
      </c>
      <c r="X51" s="264">
        <f>IF(X$25=0,0,X$25/AGR_fec!X$25)</f>
        <v>3.1024187999999984</v>
      </c>
      <c r="Y51" s="264">
        <f>IF(Y$25=0,0,Y$25/AGR_fec!Y$25)</f>
        <v>3.1024187999999988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2025-11-06T10:24:54Z</dcterms:created>
  <dcterms:modified xsi:type="dcterms:W3CDTF">2025-11-06T10:24:54Z</dcterms:modified>
</cp:coreProperties>
</file>