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HR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X32" i="8"/>
  <c r="X88" i="8"/>
  <c r="X87" i="8"/>
  <c r="X86" i="8"/>
  <c r="X84" i="8"/>
  <c r="Y12" i="3"/>
  <c r="X12" i="3"/>
  <c r="X17" i="9"/>
  <c r="X51" i="3" s="1"/>
  <c r="Y49" i="9"/>
  <c r="Y40" i="3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67" i="11"/>
  <c r="X101" i="11"/>
  <c r="X25" i="3"/>
  <c r="Y24" i="3"/>
  <c r="X24" i="3"/>
  <c r="Y23" i="3"/>
  <c r="X8" i="11"/>
  <c r="X16" i="3"/>
  <c r="X15" i="3"/>
  <c r="Y14" i="3"/>
  <c r="Y25" i="12"/>
  <c r="Y75" i="12" s="1"/>
  <c r="X35" i="12"/>
  <c r="X54" i="3"/>
  <c r="Y53" i="3"/>
  <c r="X4" i="12"/>
  <c r="X46" i="3"/>
  <c r="Y45" i="3"/>
  <c r="X45" i="3"/>
  <c r="X48" i="13"/>
  <c r="Y76" i="3"/>
  <c r="X76" i="3"/>
  <c r="Y24" i="1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Y90" i="3"/>
  <c r="X90" i="3"/>
  <c r="Y85" i="3"/>
  <c r="X85" i="3"/>
  <c r="X83" i="3"/>
  <c r="Y44" i="3"/>
  <c r="X44" i="3"/>
  <c r="Y42" i="3"/>
  <c r="Y31" i="3"/>
  <c r="Y30" i="3"/>
  <c r="Y25" i="3"/>
  <c r="Y10" i="3"/>
  <c r="Y32" i="8" l="1"/>
  <c r="Y67" i="8" s="1"/>
  <c r="X27" i="9"/>
  <c r="Y44" i="12"/>
  <c r="X41" i="12"/>
  <c r="X29" i="9"/>
  <c r="Y57" i="8"/>
  <c r="Y79" i="8" s="1"/>
  <c r="Y41" i="12"/>
  <c r="Y29" i="9"/>
  <c r="X91" i="8"/>
  <c r="X53" i="3"/>
  <c r="Y91" i="8"/>
  <c r="Y18" i="11"/>
  <c r="Y122" i="11" s="1"/>
  <c r="X31" i="9"/>
  <c r="Y53" i="9"/>
  <c r="Y15" i="14"/>
  <c r="Y21" i="14" s="1"/>
  <c r="X55" i="3"/>
  <c r="X207" i="3" s="1"/>
  <c r="Y55" i="3"/>
  <c r="Y207" i="3" s="1"/>
  <c r="X84" i="3"/>
  <c r="X236" i="3" s="1"/>
  <c r="Y44" i="11"/>
  <c r="X28" i="8"/>
  <c r="X26" i="8" s="1"/>
  <c r="X90" i="8"/>
  <c r="Y75" i="3"/>
  <c r="Y43" i="9"/>
  <c r="X75" i="3"/>
  <c r="X227" i="3" s="1"/>
  <c r="Y54" i="3"/>
  <c r="Y206" i="3" s="1"/>
  <c r="X19" i="12"/>
  <c r="X69" i="12" s="1"/>
  <c r="X25" i="9"/>
  <c r="Y69" i="11"/>
  <c r="X3" i="20"/>
  <c r="X21" i="20" s="1"/>
  <c r="Y7" i="18"/>
  <c r="Y22" i="18" s="1"/>
  <c r="Y39" i="12"/>
  <c r="X240" i="3"/>
  <c r="X98" i="11"/>
  <c r="X43" i="8"/>
  <c r="X88" i="11"/>
  <c r="Y88" i="11"/>
  <c r="Y25" i="9"/>
  <c r="Y31" i="9"/>
  <c r="Y42" i="9"/>
  <c r="Y48" i="1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1" i="15" s="1"/>
  <c r="X13" i="14"/>
  <c r="X19" i="14" s="1"/>
  <c r="Y15" i="3"/>
  <c r="Y197" i="3" s="1"/>
  <c r="X23" i="3"/>
  <c r="X235" i="3" s="1"/>
  <c r="X14" i="20"/>
  <c r="Y15" i="18"/>
  <c r="Y29" i="13"/>
  <c r="X18" i="11"/>
  <c r="X120" i="11" s="1"/>
  <c r="X237" i="3"/>
  <c r="Y194" i="3"/>
  <c r="Y196" i="3"/>
  <c r="Y65" i="10"/>
  <c r="X46" i="10"/>
  <c r="X36" i="9"/>
  <c r="X47" i="9"/>
  <c r="X10" i="8"/>
  <c r="X21" i="3" s="1"/>
  <c r="X203" i="3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11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3" i="19" s="1"/>
  <c r="Y10" i="19"/>
  <c r="Y11" i="20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X43" i="11" s="1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14" i="14"/>
  <c r="X20" i="14" s="1"/>
  <c r="X4" i="14"/>
  <c r="X43" i="3"/>
  <c r="X198" i="3"/>
  <c r="Y91" i="3"/>
  <c r="Y243" i="3" s="1"/>
  <c r="Y19" i="20"/>
  <c r="Y3" i="20"/>
  <c r="Y23" i="20" s="1"/>
  <c r="Y15" i="20"/>
  <c r="Y28" i="11"/>
  <c r="Y101" i="11"/>
  <c r="X4" i="10"/>
  <c r="X23" i="10"/>
  <c r="X7" i="18"/>
  <c r="X110" i="11"/>
  <c r="X111" i="11"/>
  <c r="Y28" i="3"/>
  <c r="Y84" i="3"/>
  <c r="Y192" i="3"/>
  <c r="Y237" i="3"/>
  <c r="Y242" i="3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Y205" i="3"/>
  <c r="Y18" i="20"/>
  <c r="Y14" i="18"/>
  <c r="Y15" i="15"/>
  <c r="X45" i="13"/>
  <c r="X35" i="13"/>
  <c r="X25" i="13"/>
  <c r="Y43" i="12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" i="8"/>
  <c r="X108" i="8" s="1"/>
  <c r="X41" i="10"/>
  <c r="X19" i="20"/>
  <c r="X11" i="20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" i="10"/>
  <c r="X34" i="10"/>
  <c r="X45" i="10"/>
  <c r="X56" i="10"/>
  <c r="Y28" i="9"/>
  <c r="Y39" i="9"/>
  <c r="Y13" i="9"/>
  <c r="Y50" i="9"/>
  <c r="Y30" i="12"/>
  <c r="Y20" i="12"/>
  <c r="Y70" i="12" s="1"/>
  <c r="Y5" i="12"/>
  <c r="Y3" i="12" s="1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9" i="10"/>
  <c r="X39" i="10"/>
  <c r="Y52" i="10"/>
  <c r="Y6" i="8"/>
  <c r="Y10" i="8"/>
  <c r="Y84" i="8"/>
  <c r="Y21" i="8"/>
  <c r="Y124" i="8" s="1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23" i="20" l="1"/>
  <c r="X22" i="20"/>
  <c r="Y198" i="3"/>
  <c r="Y121" i="11"/>
  <c r="X41" i="3"/>
  <c r="X39" i="3" s="1"/>
  <c r="Y123" i="11"/>
  <c r="Y96" i="11"/>
  <c r="Y120" i="11"/>
  <c r="Y3" i="16"/>
  <c r="Y28" i="16" s="1"/>
  <c r="X11" i="17"/>
  <c r="Y80" i="11"/>
  <c r="X76" i="11"/>
  <c r="X118" i="11"/>
  <c r="X122" i="11"/>
  <c r="Y20" i="16"/>
  <c r="Y13" i="18"/>
  <c r="X13" i="20"/>
  <c r="Y227" i="3"/>
  <c r="X22" i="3"/>
  <c r="Y57" i="3"/>
  <c r="Y209" i="3" s="1"/>
  <c r="Y21" i="18"/>
  <c r="X3" i="16"/>
  <c r="X28" i="16" s="1"/>
  <c r="Y23" i="18"/>
  <c r="Y10" i="17"/>
  <c r="X89" i="3"/>
  <c r="X181" i="3" s="1"/>
  <c r="X23" i="15"/>
  <c r="Y25" i="14"/>
  <c r="X36" i="8"/>
  <c r="X22" i="15"/>
  <c r="Y3" i="19"/>
  <c r="Y28" i="19" s="1"/>
  <c r="X60" i="3"/>
  <c r="X212" i="3" s="1"/>
  <c r="X10" i="20"/>
  <c r="Y25" i="19"/>
  <c r="X24" i="19"/>
  <c r="X86" i="3"/>
  <c r="X238" i="3" s="1"/>
  <c r="Y13" i="15"/>
  <c r="Y18" i="15"/>
  <c r="Y17" i="15"/>
  <c r="Y27" i="14"/>
  <c r="X25" i="14"/>
  <c r="Y73" i="3"/>
  <c r="X82" i="3"/>
  <c r="X205" i="3"/>
  <c r="X52" i="3"/>
  <c r="Y52" i="3"/>
  <c r="Y204" i="3" s="1"/>
  <c r="X117" i="11"/>
  <c r="X116" i="11"/>
  <c r="Y13" i="3"/>
  <c r="X22" i="10"/>
  <c r="X100" i="8"/>
  <c r="X111" i="8"/>
  <c r="Y36" i="8"/>
  <c r="X233" i="3"/>
  <c r="X112" i="8"/>
  <c r="X41" i="9"/>
  <c r="X44" i="10"/>
  <c r="X113" i="8"/>
  <c r="X25" i="8"/>
  <c r="X61" i="8"/>
  <c r="X29" i="19"/>
  <c r="X9" i="20"/>
  <c r="X63" i="8"/>
  <c r="Y22" i="13"/>
  <c r="X22" i="17"/>
  <c r="Y43" i="11"/>
  <c r="X20" i="19"/>
  <c r="X48" i="9"/>
  <c r="X96" i="8"/>
  <c r="X13" i="11"/>
  <c r="Y20" i="14"/>
  <c r="X80" i="11"/>
  <c r="X192" i="3"/>
  <c r="X224" i="3"/>
  <c r="Y111" i="11"/>
  <c r="Y42" i="13"/>
  <c r="Y12" i="14"/>
  <c r="Y18" i="14" s="1"/>
  <c r="X13" i="3"/>
  <c r="X195" i="3" s="1"/>
  <c r="X37" i="9"/>
  <c r="X3" i="12"/>
  <c r="X49" i="12" s="1"/>
  <c r="Y23" i="10"/>
  <c r="Y22" i="10"/>
  <c r="Y117" i="11"/>
  <c r="X121" i="11"/>
  <c r="Y119" i="11"/>
  <c r="X29" i="16"/>
  <c r="Y118" i="11"/>
  <c r="X53" i="11"/>
  <c r="Y76" i="11"/>
  <c r="X21" i="16"/>
  <c r="X10" i="17"/>
  <c r="X123" i="11"/>
  <c r="Y112" i="11"/>
  <c r="X21" i="14"/>
  <c r="Y13" i="11"/>
  <c r="Y17" i="12" s="1"/>
  <c r="Y67" i="12" s="1"/>
  <c r="X25" i="16"/>
  <c r="X57" i="3"/>
  <c r="X56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Y50" i="12"/>
  <c r="Y54" i="12"/>
  <c r="X70" i="11"/>
  <c r="X100" i="11"/>
  <c r="Y19" i="13"/>
  <c r="X85" i="8"/>
  <c r="X15" i="8"/>
  <c r="X24" i="9" s="1"/>
  <c r="X49" i="10"/>
  <c r="X38" i="10"/>
  <c r="X8" i="10"/>
  <c r="X60" i="10" s="1"/>
  <c r="Y44" i="10"/>
  <c r="Y55" i="10"/>
  <c r="Y33" i="10"/>
  <c r="Y81" i="3"/>
  <c r="X105" i="8"/>
  <c r="X94" i="8"/>
  <c r="X106" i="8"/>
  <c r="X110" i="8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52" i="12"/>
  <c r="Y32" i="12"/>
  <c r="Y22" i="12"/>
  <c r="Y72" i="12" s="1"/>
  <c r="Y42" i="12"/>
  <c r="Y41" i="9"/>
  <c r="Y30" i="9"/>
  <c r="Y52" i="9"/>
  <c r="Y51" i="3"/>
  <c r="X18" i="15"/>
  <c r="X107" i="8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X213" i="3"/>
  <c r="X73" i="3"/>
  <c r="X226" i="3"/>
  <c r="X13" i="18"/>
  <c r="X17" i="18"/>
  <c r="X19" i="18"/>
  <c r="X109" i="8"/>
  <c r="Y112" i="8"/>
  <c r="Y100" i="8"/>
  <c r="Y56" i="8"/>
  <c r="Y78" i="8" s="1"/>
  <c r="Y111" i="8"/>
  <c r="Y21" i="3"/>
  <c r="Y48" i="12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X95" i="11" s="1"/>
  <c r="Y21" i="16"/>
  <c r="Y11" i="17"/>
  <c r="Y25" i="16"/>
  <c r="Y58" i="3"/>
  <c r="Y21" i="20"/>
  <c r="Y13" i="20"/>
  <c r="Y17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X46" i="9"/>
  <c r="X35" i="9"/>
  <c r="X10" i="9"/>
  <c r="X57" i="9" s="1"/>
  <c r="Y22" i="17"/>
  <c r="Y53" i="12"/>
  <c r="Y47" i="12"/>
  <c r="Y55" i="12"/>
  <c r="Y51" i="12"/>
  <c r="Y49" i="12"/>
  <c r="X23" i="18"/>
  <c r="X28" i="19"/>
  <c r="X59" i="3" l="1"/>
  <c r="X153" i="3" s="1"/>
  <c r="X51" i="12"/>
  <c r="Y23" i="16"/>
  <c r="Y27" i="16"/>
  <c r="X193" i="3"/>
  <c r="Y9" i="17"/>
  <c r="Y29" i="16"/>
  <c r="Y19" i="16"/>
  <c r="Y56" i="3"/>
  <c r="X23" i="16"/>
  <c r="X27" i="16"/>
  <c r="Y195" i="3"/>
  <c r="X19" i="16"/>
  <c r="X204" i="3"/>
  <c r="X234" i="3"/>
  <c r="Y225" i="3"/>
  <c r="X9" i="17"/>
  <c r="Y9" i="20"/>
  <c r="Y95" i="11"/>
  <c r="Y23" i="19"/>
  <c r="X74" i="8"/>
  <c r="X182" i="3"/>
  <c r="Y19" i="19"/>
  <c r="X183" i="3"/>
  <c r="Y27" i="19"/>
  <c r="Y29" i="19"/>
  <c r="Y24" i="14"/>
  <c r="Y37" i="12"/>
  <c r="X209" i="3"/>
  <c r="X62" i="10"/>
  <c r="X225" i="3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08" i="3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208" i="3"/>
  <c r="X191" i="3"/>
  <c r="X211" i="3"/>
  <c r="X151" i="3"/>
  <c r="X60" i="9"/>
  <c r="X64" i="9"/>
  <c r="X56" i="9"/>
  <c r="X62" i="9"/>
  <c r="X45" i="9"/>
  <c r="X58" i="9"/>
  <c r="X61" i="9"/>
  <c r="X63" i="9"/>
  <c r="X59" i="9"/>
  <c r="X65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Y153" i="3" l="1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6" i="1"/>
  <c r="B25" i="1"/>
  <c r="B24" i="1"/>
  <c r="S242" i="3" l="1"/>
  <c r="C242" i="3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F24" i="19"/>
  <c r="F20" i="19"/>
  <c r="L10" i="20"/>
  <c r="Q14" i="20"/>
  <c r="Q3" i="20"/>
  <c r="Q22" i="20" s="1"/>
  <c r="C19" i="20"/>
  <c r="E14" i="18"/>
  <c r="M14" i="18"/>
  <c r="E19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E13" i="18" l="1"/>
  <c r="W23" i="20"/>
  <c r="R25" i="19"/>
  <c r="U18" i="18"/>
  <c r="M22" i="20"/>
  <c r="E18" i="18"/>
  <c r="Q21" i="19"/>
  <c r="E22" i="18"/>
  <c r="E13" i="20"/>
  <c r="U19" i="18"/>
  <c r="Q25" i="19"/>
  <c r="L20" i="19"/>
  <c r="N13" i="20"/>
  <c r="F22" i="20"/>
  <c r="J11" i="20"/>
  <c r="G18" i="18"/>
  <c r="M23" i="20"/>
  <c r="P10" i="20"/>
  <c r="R21" i="19"/>
  <c r="W24" i="19"/>
  <c r="E23" i="18"/>
  <c r="H25" i="19"/>
  <c r="H20" i="19"/>
  <c r="K23" i="18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1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19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F182" i="3" l="1"/>
  <c r="U122" i="3"/>
  <c r="F183" i="3"/>
  <c r="H23" i="19"/>
  <c r="Q9" i="20"/>
  <c r="N19" i="19"/>
  <c r="N27" i="19"/>
  <c r="E27" i="19"/>
  <c r="E23" i="19"/>
  <c r="N9" i="20"/>
  <c r="U123" i="3"/>
  <c r="W9" i="20"/>
  <c r="M9" i="20"/>
  <c r="N29" i="19"/>
  <c r="M29" i="19"/>
  <c r="M28" i="19"/>
  <c r="W29" i="19"/>
  <c r="M27" i="19"/>
  <c r="M23" i="19"/>
  <c r="H27" i="19"/>
  <c r="Q23" i="19"/>
  <c r="H19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9" i="3" s="1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58" i="9" s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62" i="9"/>
  <c r="W193" i="3"/>
  <c r="W57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65" i="9" l="1"/>
  <c r="W59" i="9"/>
  <c r="W61" i="9"/>
  <c r="W64" i="9"/>
  <c r="W63" i="9"/>
  <c r="W52" i="12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G26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O14" i="8" l="1"/>
  <c r="O26" i="10" s="1"/>
  <c r="E36" i="8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V77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20" i="1"/>
  <c r="B22" i="1"/>
  <c r="B21" i="1"/>
  <c r="B16" i="1"/>
  <c r="B6" i="1"/>
  <c r="B15" i="1"/>
  <c r="B17" i="1"/>
  <c r="B4" i="1"/>
  <c r="B9" i="1"/>
  <c r="B12" i="1"/>
  <c r="B11" i="1"/>
  <c r="B7" i="1"/>
  <c r="B13" i="1"/>
  <c r="B8" i="1"/>
  <c r="B18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18" i="15" s="1"/>
  <c r="H27" i="3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X58" i="4" s="1"/>
  <c r="W4" i="7"/>
  <c r="T47" i="7"/>
  <c r="T6" i="7"/>
  <c r="T58" i="4"/>
  <c r="U34" i="7"/>
  <c r="U114" i="4"/>
  <c r="T31" i="7"/>
  <c r="Y6" i="7"/>
  <c r="W36" i="7"/>
  <c r="X44" i="7"/>
  <c r="V35" i="7"/>
  <c r="X13" i="7" l="1"/>
  <c r="V42" i="7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K16" i="4"/>
  <c r="K14" i="4"/>
  <c r="L13" i="4" l="1"/>
  <c r="L150" i="4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 s="1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243" i="4" s="1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J253" i="4" s="1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 s="1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C226" i="4"/>
  <c r="U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 s="1"/>
  <c r="X268" i="4" s="1"/>
  <c r="X187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X265" i="4" l="1"/>
  <c r="X184" i="4"/>
  <c r="D131" i="5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/>
  <c r="Y184" i="4"/>
  <c r="Y265" i="4"/>
  <c r="G127" i="6"/>
  <c r="G73" i="6"/>
  <c r="G215" i="7" s="1"/>
  <c r="G100" i="6"/>
  <c r="G34" i="6"/>
  <c r="Y186" i="4"/>
  <c r="Y267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F70" i="6" l="1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 s="1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 s="1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<sst xmlns="http://schemas.openxmlformats.org/spreadsheetml/2006/main" count="2657" uniqueCount="1169">
  <si>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</si>
  <si>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</si>
  <si>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</si>
  <si>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</si>
  <si>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</si>
  <si>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</si>
  <si>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</si>
  <si>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</si>
  <si>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</si>
  <si>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</si>
  <si>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</si>
  <si>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</si>
  <si>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</si>
  <si>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</si>
  <si>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</si>
  <si>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</si>
  <si>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</si>
  <si>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</si>
  <si>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</si>
  <si>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</si>
  <si>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</si>
  <si>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</si>
  <si>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</si>
  <si>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</si>
  <si>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</si>
  <si>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</si>
  <si>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</si>
  <si>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</si>
  <si>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</si>
  <si>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</si>
  <si>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</si>
  <si>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</si>
  <si>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</si>
  <si>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</si>
  <si>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</si>
  <si>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</si>
  <si>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</si>
  <si>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</si>
  <si>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</si>
  <si>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</si>
  <si>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</si>
  <si>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</si>
  <si>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</si>
  <si>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</si>
  <si>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</si>
  <si>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</si>
  <si>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</si>
  <si>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</si>
  <si>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</si>
  <si>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</si>
  <si>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</si>
  <si>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</si>
  <si>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</si>
  <si>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</si>
  <si>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</si>
  <si>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</si>
  <si>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</si>
  <si>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</si>
  <si>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</si>
  <si>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</si>
  <si>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</si>
  <si>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</si>
  <si>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</si>
  <si>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</si>
  <si>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</si>
  <si>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</si>
  <si>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</si>
  <si>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</si>
  <si>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</si>
  <si>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</si>
  <si>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</si>
  <si>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</si>
  <si>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</si>
  <si>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</si>
  <si>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</si>
  <si>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</si>
  <si>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</si>
  <si>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</si>
  <si>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</si>
  <si>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</si>
  <si>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</si>
  <si>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</si>
  <si>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</si>
  <si>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</si>
  <si>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</si>
  <si>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</si>
  <si>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</si>
  <si>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</si>
  <si>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</si>
  <si>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</si>
  <si>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</si>
  <si>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</si>
  <si>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</si>
  <si>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</si>
  <si>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</si>
  <si>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</si>
  <si>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</si>
  <si>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</si>
  <si>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</si>
  <si>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</si>
  <si>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</si>
  <si>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</si>
  <si>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</si>
  <si>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</si>
  <si>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</si>
  <si>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</si>
  <si>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</si>
  <si>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</si>
  <si>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</si>
  <si>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</si>
  <si>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</si>
  <si>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</si>
  <si>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</si>
  <si>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</si>
  <si>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</si>
  <si>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</si>
  <si>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</si>
  <si>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</si>
  <si>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</si>
  <si>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</si>
  <si>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</si>
  <si>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</si>
  <si>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</si>
  <si>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</si>
  <si>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</si>
  <si>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</si>
  <si>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</si>
  <si>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</si>
  <si>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</si>
  <si>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</si>
  <si>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</si>
  <si>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</si>
  <si>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</si>
  <si>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</si>
  <si>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</si>
  <si>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</si>
  <si>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</si>
  <si>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</si>
  <si>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</si>
  <si>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</si>
  <si>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</si>
  <si>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</si>
  <si>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</si>
  <si>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</si>
  <si>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</si>
  <si>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</si>
  <si>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</si>
  <si>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</si>
  <si>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</si>
  <si>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</si>
  <si>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</si>
  <si>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</si>
  <si>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</si>
  <si>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</si>
  <si>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</si>
  <si>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</si>
  <si>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</si>
  <si>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</si>
  <si>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</si>
  <si>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</si>
  <si>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</si>
  <si>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</si>
  <si>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</si>
  <si>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</si>
  <si>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</si>
  <si>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</si>
  <si>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</si>
  <si>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</si>
  <si>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</si>
  <si>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</si>
  <si>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</si>
  <si>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</si>
  <si>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</si>
  <si>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</si>
  <si>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</si>
  <si>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</si>
  <si>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</si>
  <si>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</si>
  <si>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</si>
  <si>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</si>
  <si>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</si>
  <si>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</si>
  <si>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</si>
  <si>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</si>
  <si>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</si>
  <si>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</si>
  <si>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</si>
  <si>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HR</t>
  </si>
  <si>
    <t>Croatia</t>
  </si>
  <si>
    <t>Aviation - HR - Croatia</t>
  </si>
  <si>
    <t>Activity.Mpkm.HR.Tr.Avia.Passenger</t>
  </si>
  <si>
    <t>Activity.Mpkm.HR.Tr.Avia.Passenger.Domestic</t>
  </si>
  <si>
    <t>Activity.Mpkm.HR.Tr.Avia.Passenger.IntraEEAwCHUK</t>
  </si>
  <si>
    <t>Activity.Mpkm.HR.Tr.Avia.Passenger.ExtraEEAwCHUK</t>
  </si>
  <si>
    <t>Activity.Mtkm.HR.Tr.Avia.Freight</t>
  </si>
  <si>
    <t>Activity.Mtkm.HR.Tr.Avia.Freight.Domestic</t>
  </si>
  <si>
    <t>Activity.Mtkm.HR.Tr.Avia.Freight.IntraEEAwCHUK</t>
  </si>
  <si>
    <t>Activity.Mtkm.HR.Tr.Avia.Freight.ExtraEEAwCHUK</t>
  </si>
  <si>
    <t>VehicleKm.Mkm.HR.Tr.Avia</t>
  </si>
  <si>
    <t>VehicleKm.Mkm.HR.Tr.Avia.Passenger</t>
  </si>
  <si>
    <t>VehicleKm.Mkm.HR.Tr.Avia.Passenger.Domestic</t>
  </si>
  <si>
    <t>VehicleKm.Mkm.HR.Tr.Avia.Passenger.IntraEEAwCHUK</t>
  </si>
  <si>
    <t>VehicleKm.Mkm.HR.Tr.Avia.Passenger.ExtraEEAwCHUK</t>
  </si>
  <si>
    <t>VehicleKm.Mkm.HR.Tr.Avia.Freight</t>
  </si>
  <si>
    <t>VehicleKm.Mkm.HR.Tr.Avia.Freight.Domestic</t>
  </si>
  <si>
    <t>VehicleKm.Mkm.HR.Tr.Avia.Freight.IntraEEAwCHUK</t>
  </si>
  <si>
    <t>VehicleKm.Mkm.HR.Tr.Avia.Freight.ExtraEEAwCHUK</t>
  </si>
  <si>
    <t>Flights.number.HR.Tr.Avia</t>
  </si>
  <si>
    <t>Flights.number.HR.Tr.Avia.Passenger</t>
  </si>
  <si>
    <t>Flights.number.HR.Tr.Avia.Passenger.Domestic</t>
  </si>
  <si>
    <t>Flights.number.HR.Tr.Avia.Passenger.IntraEEAwCHUK</t>
  </si>
  <si>
    <t>Flights.number.HR.Tr.Avia.Passenger.ExtraEEAwCHUK</t>
  </si>
  <si>
    <t>Flights.number.HR.Tr.Avia.Freight</t>
  </si>
  <si>
    <t>Flights.number.HR.Tr.Avia.Freight.Domestic</t>
  </si>
  <si>
    <t>Flights.number.HR.Tr.Avia.Freight.IntraEEAwCHUK</t>
  </si>
  <si>
    <t>Flights.number.HR.Tr.Avia.Freight.ExtraEEAwCHUK</t>
  </si>
  <si>
    <t>VolCarried.passenger.HR.Tr.Avia.Passenger</t>
  </si>
  <si>
    <t>VolCarried.passenger.HR.Tr.Avia.Passenger.Domestic</t>
  </si>
  <si>
    <t>VolCarried.passenger.HR.Tr.Avia.Passenger.IntraEEAwCHUK</t>
  </si>
  <si>
    <t>VolCarried.passenger.HR.Tr.Avia.Passenger.ExtraEEAwCHUK</t>
  </si>
  <si>
    <t>VolCarried.t.HR.Tr.Avia.Freight</t>
  </si>
  <si>
    <t>VolCarried.t.HR.Tr.Avia.Freight.Domestic</t>
  </si>
  <si>
    <t>VolCarried.t.HR.Tr.Avia.Freight.IntraEEAwCHUK</t>
  </si>
  <si>
    <t>VolCarried.t.HR.Tr.Avia.Freight.ExtraEEAwCHUK</t>
  </si>
  <si>
    <t>Stock.number.HR.Tr.Avia</t>
  </si>
  <si>
    <t>Stock.number.HR.Tr.Avia.Passenger</t>
  </si>
  <si>
    <t>Stock.number.HR.Tr.Avia.Passenger.Domestic</t>
  </si>
  <si>
    <t>Stock.number.HR.Tr.Avia.Passenger.IntraEEAwCHUK</t>
  </si>
  <si>
    <t>Stock.number.HR.Tr.Avia.Passenger.ExtraEEAwCHUK</t>
  </si>
  <si>
    <t>Stock.number.HR.Tr.Avia.Freight</t>
  </si>
  <si>
    <t>Stock.number.HR.Tr.Avia.Freight.Domestic</t>
  </si>
  <si>
    <t>Stock.number.HR.Tr.Avia.Freight.IntraEEAwCHUK</t>
  </si>
  <si>
    <t>Stock.number.HR.Tr.Avia.Freight.ExtraEEAwCHUK</t>
  </si>
  <si>
    <t>StockNew.number.HR.Tr.Avia</t>
  </si>
  <si>
    <t>StockNew.number.HR.Tr.Avia.Passenger</t>
  </si>
  <si>
    <t>StockNew.number.HR.Tr.Avia.Passenger.Domestic</t>
  </si>
  <si>
    <t>StockNew.number.HR.Tr.Avia.Passenger.IntraEEAwCHUK</t>
  </si>
  <si>
    <t>StockNew.number.HR.Tr.Avia.Passenger.ExtraEEAwCHUK</t>
  </si>
  <si>
    <t>StockNew.number.HR.Tr.Avia.Freight</t>
  </si>
  <si>
    <t>StockNew.number.HR.Tr.Avia.Freight.Domestic</t>
  </si>
  <si>
    <t>StockNew.number.HR.Tr.Avia.Freight.IntraEEAwCHUK</t>
  </si>
  <si>
    <t>StockNew.number.HR.Tr.Avia.Freight.ExtraEEAwCHUK</t>
  </si>
  <si>
    <t>Load.passenger_per_movement.HR.Tr.Avia.Passenger</t>
  </si>
  <si>
    <t>Load.passenger_per_movement.HR.Tr.Avia.Passenger.Domestic</t>
  </si>
  <si>
    <t>Load.passenger_per_movement.HR.Tr.Avia.Passenger.IntraEEAwCHUK</t>
  </si>
  <si>
    <t>Load.passenger_per_movement.HR.Tr.Avia.Passenger.ExtraEEAwCHUK</t>
  </si>
  <si>
    <t>Load.t_per_movement.HR.Tr.Avia.Freight</t>
  </si>
  <si>
    <t>Load.t_per_movement.HR.Tr.Avia.Freight.Domestic</t>
  </si>
  <si>
    <t>Load.t_per_movement.HR.Tr.Avia.Freight.IntraEEAwCHUK</t>
  </si>
  <si>
    <t>Load.t_per_movement.HR.Tr.Avia.Freight.ExtraEEAwCHUK</t>
  </si>
  <si>
    <t>VehicleKm_per_flight.km.HR.Tr.Avia</t>
  </si>
  <si>
    <t>VehicleKm_per_flight.km.HR.Tr.Avia.Passenger</t>
  </si>
  <si>
    <t>VehicleKm_per_flight.km.HR.Tr.Avia.Passenger.Domestic</t>
  </si>
  <si>
    <t>VehicleKm_per_flight.km.HR.Tr.Avia.Passenger.IntraEEAwCHUK</t>
  </si>
  <si>
    <t>VehicleKm_per_flight.km.HR.Tr.Avia.Passenger.ExtraEEAwCHUK</t>
  </si>
  <si>
    <t>VehicleKm_per_flight.km.HR.Tr.Avia.Freight</t>
  </si>
  <si>
    <t>VehicleKm_per_flight.km.HR.Tr.Avia.Freight.Domestic</t>
  </si>
  <si>
    <t>VehicleKm_per_flight.km.HR.Tr.Avia.Freight.IntraEEAwCHUK</t>
  </si>
  <si>
    <t>VehicleKm_per_flight.km.HR.Tr.Avia.Freight.ExtraEEAwCHUK</t>
  </si>
  <si>
    <t>Activity_per_flight.pkm.HR.Tr.Avia.Passenger</t>
  </si>
  <si>
    <t>Activity_per_flight.pkm.HR.Tr.Avia.Passenger.Domestic</t>
  </si>
  <si>
    <t>Activity_per_flight.pkm.HR.Tr.Avia.Passenger.IntraEEAwCHUK</t>
  </si>
  <si>
    <t>Activity_per_flight.pkm.HR.Tr.Avia.Passenger.ExtraEEAwCHUK</t>
  </si>
  <si>
    <t>Activity_per_flight.tkm.HR.Tr.Avia.Freight</t>
  </si>
  <si>
    <t>Activity_per_flight.tkm.HR.Tr.Avia.Freight.Domestic</t>
  </si>
  <si>
    <t>Activity_per_flight.tkm.HR.Tr.Avia.Freight.IntraEEAwCHUK</t>
  </si>
  <si>
    <t>Activity_per_flight.tkm.HR.Tr.Avia.Freight.ExtraEEAwCHUK</t>
  </si>
  <si>
    <t>Flights_per_vehicle.number.HR.Tr.Avia</t>
  </si>
  <si>
    <t>Flights_per_vehicle.number.HR.Tr.Avia.Passenger</t>
  </si>
  <si>
    <t>Flights_per_vehicle.number.HR.Tr.Avia.Passenger.Domestic</t>
  </si>
  <si>
    <t>Flights_per_vehicle.number.HR.Tr.Avia.Passenger.IntraEEAwCHUK</t>
  </si>
  <si>
    <t>Flights_per_vehicle.number.HR.Tr.Avia.Passenger.ExtraEEAwCHUK</t>
  </si>
  <si>
    <t>Flights_per_vehicle.number.HR.Tr.Avia.Freight</t>
  </si>
  <si>
    <t>Flights_per_vehicle.number.HR.Tr.Avia.Freight.Domestic</t>
  </si>
  <si>
    <t>Flights_per_vehicle.number.HR.Tr.Avia.Freight.IntraEEAwCHUK</t>
  </si>
  <si>
    <t>Flights_per_vehicle.number.HR.Tr.Avia.Freight.ExtraEEAwCHUK</t>
  </si>
  <si>
    <t>Aviation / energy consumption - HR - Croatia</t>
  </si>
  <si>
    <t>FEC.ktoe.HR.Tr.Avia</t>
  </si>
  <si>
    <t>FEC.ktoe.HR.Tr.Avia.Domestic</t>
  </si>
  <si>
    <t>FEC.ktoe.HR.Tr.Avia.International</t>
  </si>
  <si>
    <t>FEC.ktoe.HR.Tr.Avia.Passenger</t>
  </si>
  <si>
    <t>FEC.ktoe.HR.Tr.Avia.Passenger.Domestic</t>
  </si>
  <si>
    <t>FEC.ktoe.HR.Tr.Avia.Passenger.IntraEEAwCHUK</t>
  </si>
  <si>
    <t>FEC.ktoe.HR.Tr.Avia.Passenger.ExtraEEAwCHUK</t>
  </si>
  <si>
    <t>FEC.ktoe.HR.Tr.Avia.Freight</t>
  </si>
  <si>
    <t>FEC.ktoe.HR.Tr.Avia.Freight.Domestic</t>
  </si>
  <si>
    <t>FEC.ktoe.HR.Tr.Avia.Freight.IntraEEAwCHUK</t>
  </si>
  <si>
    <t>FEC.ktoe.HR.Tr.Avia.Freight.ExtraEEAwCHUK</t>
  </si>
  <si>
    <t>Eff.kgoe_per_100km.HR.Tr.Avia</t>
  </si>
  <si>
    <t>Eff.kgoe_per_100km.HR.Tr.Avia.Passenger</t>
  </si>
  <si>
    <t>Eff.kgoe_per_100km.HR.Tr.Avia.Passenger.Domestic</t>
  </si>
  <si>
    <t>Eff.kgoe_per_100km.HR.Tr.Avia.Passenger.IntraEEAwCHUK</t>
  </si>
  <si>
    <t>Eff.kgoe_per_100km.HR.Tr.Avia.Passenger.ExtraEEAwCHUK</t>
  </si>
  <si>
    <t>Eff.kgoe_per_100km.HR.Tr.Avia.Freight</t>
  </si>
  <si>
    <t>Eff.kgoe_per_100km.HR.Tr.Avia.Freight.Domestic</t>
  </si>
  <si>
    <t>Eff.kgoe_per_100km.HR.Tr.Avia.Freight.IntraEEAwCHUK</t>
  </si>
  <si>
    <t>Eff.kgoe_per_100km.HR.Tr.Avia.Freight.ExtraEEAwCHUK</t>
  </si>
  <si>
    <t>Eff.kgoe_per_kpkm.HR.Tr.Avia.Passenger</t>
  </si>
  <si>
    <t>Eff.kgoe_per_kpkm.HR.Tr.Avia.Passenger.Domestic</t>
  </si>
  <si>
    <t>Eff.kgoe_per_kpkm.HR.Tr.Avia.Passenger.IntraEEAwCHUK</t>
  </si>
  <si>
    <t>Eff.kgoe_per_kpkm.HR.Tr.Avia.Passenger.ExtraEEAwCHUK</t>
  </si>
  <si>
    <t>Eff.kgoe_per_ktkm.HR.Tr.Avia.Freight</t>
  </si>
  <si>
    <t>Eff.kgoe_per_ktkm.HR.Tr.Avia.Freight.Domestic</t>
  </si>
  <si>
    <t>Eff.kgoe_per_ktkm.HR.Tr.Avia.Freight.IntraEEAwCHUK</t>
  </si>
  <si>
    <t>Eff.kgoe_per_ktkm.HR.Tr.Avia.Freight.ExtraEEAwCHUK</t>
  </si>
  <si>
    <t>FEC_per_flight.kgoe.HR.Tr.Avia</t>
  </si>
  <si>
    <t>FEC_per_flight.kgoe.HR.Tr.Avia.Passenger</t>
  </si>
  <si>
    <t>FEC_per_flight.kgoe.HR.Tr.Avia.Passenger.Domestic</t>
  </si>
  <si>
    <t>FEC_per_flight.kgoe.HR.Tr.Avia.Passenger.IntraEEAwCHUK</t>
  </si>
  <si>
    <t>FEC_per_flight.kgoe.HR.Tr.Avia.Passenger.ExtraEEAwCHUK</t>
  </si>
  <si>
    <t>FEC_per_flight.kgoe.HR.Tr.Avia.Freight</t>
  </si>
  <si>
    <t>FEC_per_flight.kgoe.HR.Tr.Avia.Freight.Domestic</t>
  </si>
  <si>
    <t>FEC_per_flight.kgoe.HR.Tr.Avia.Freight.IntraEEAwCHUK</t>
  </si>
  <si>
    <t>FEC_per_flight.kgoe.HR.Tr.Avia.Freight.ExtraEEAwCHUK</t>
  </si>
  <si>
    <t>Eff_theor.kgoe_per_100km.HR.Tr.Avia</t>
  </si>
  <si>
    <t>Eff_theor.kgoe_per_100km.HR.Tr.Avia.Passenger</t>
  </si>
  <si>
    <t>Eff_theor.kgoe_per_100km.HR.Tr.Avia.Passenger.Domestic</t>
  </si>
  <si>
    <t>Eff_theor.kgoe_per_100km.HR.Tr.Avia.Passenger.IntraEEAwCHUK</t>
  </si>
  <si>
    <t>Eff_theor.kgoe_per_100km.HR.Tr.Avia.Passenger.ExtraEEAwCHUK</t>
  </si>
  <si>
    <t>Eff_theor.kgoe_per_100km.HR.Tr.Avia.Freight</t>
  </si>
  <si>
    <t>Eff_theor.kgoe_per_100km.HR.Tr.Avia.Freight.Domestic</t>
  </si>
  <si>
    <t>Eff_theor.kgoe_per_100km.HR.Tr.Avia.Freight.IntraEEAwCHUK</t>
  </si>
  <si>
    <t>Eff_theor.kgoe_per_100km.HR.Tr.Avia.Freight.ExtraEEAwCHUK</t>
  </si>
  <si>
    <t>Aviation / CO2 emissions - HR - Croatia</t>
  </si>
  <si>
    <t>EMI.ktCO2.HR.Tr.Avia</t>
  </si>
  <si>
    <t>EMI.ktCO2.HR.Tr.Avia.Domestic</t>
  </si>
  <si>
    <t>EMI.ktCO2.HR.Tr.Avia.International</t>
  </si>
  <si>
    <t>EMI.ktCO2.HR.Tr.Avia.Passenger</t>
  </si>
  <si>
    <t>EMI.ktCO2.HR.Tr.Avia.Passenger.Domestic</t>
  </si>
  <si>
    <t>EMI.ktCO2.HR.Tr.Avia.Passenger.IntraEEAwCHUK</t>
  </si>
  <si>
    <t>EMI.ktCO2.HR.Tr.Avia.Passenger.ExtraEEAwCHUK</t>
  </si>
  <si>
    <t>EMI.ktCO2.HR.Tr.Avia.Freight</t>
  </si>
  <si>
    <t>EMI.ktCO2.HR.Tr.Avia.Freight.Domestic</t>
  </si>
  <si>
    <t>EMI.ktCO2.HR.Tr.Avia.Freight.IntraEEAwCHUK</t>
  </si>
  <si>
    <t>EMI.ktCO2.HR.Tr.Avia.Freight.ExtraEEAwCHUK</t>
  </si>
  <si>
    <t>EMIint.gCO2_per_km.HR.Tr.Avia</t>
  </si>
  <si>
    <t>EMIint.gCO2_per_km.HR.Tr.Avia.Passenger</t>
  </si>
  <si>
    <t>EMIint.gCO2_per_km.HR.Tr.Avia.Passenger.Domestic</t>
  </si>
  <si>
    <t>EMIint.gCO2_per_km.HR.Tr.Avia.Passenger.IntraEEAwCHUK</t>
  </si>
  <si>
    <t>EMIint.gCO2_per_km.HR.Tr.Avia.Passenger.ExtraEEAwCHUK</t>
  </si>
  <si>
    <t>EMIint.gCO2_per_km.HR.Tr.Avia.Freight</t>
  </si>
  <si>
    <t>EMIint.gCO2_per_km.HR.Tr.Avia.Freight.Domestic</t>
  </si>
  <si>
    <t>EMIint.gCO2_per_km.HR.Tr.Avia.Freight.IntraEEAwCHUK</t>
  </si>
  <si>
    <t>EMIint.gCO2_per_km.HR.Tr.Avia.Freight.ExtraEEAwCHUK</t>
  </si>
  <si>
    <t>EMIint.gCO2_per_pkm.HR.Tr.Avia.Passenger</t>
  </si>
  <si>
    <t>EMIint.gCO2_per_pkm.HR.Tr.Avia.Passenger.Domestic</t>
  </si>
  <si>
    <t>EMIint.gCO2_per_pkm.HR.Tr.Avia.Passenger.IntraEEAwCHUK</t>
  </si>
  <si>
    <t>EMIint.gCO2_per_pkm.HR.Tr.Avia.Passenger.ExtraEEAwCHUK</t>
  </si>
  <si>
    <t>EMIint.gCO2_per_tkm.HR.Tr.Avia.Freight</t>
  </si>
  <si>
    <t>EMIint.gCO2_per_tkm.HR.Tr.Avia.Freight.Domestic</t>
  </si>
  <si>
    <t>EMIint.gCO2_per_tkm.HR.Tr.Avia.Freight.IntraEEAwCHUK</t>
  </si>
  <si>
    <t>EMIint.gCO2_per_tkm.HR.Tr.Avia.Freight.ExtraEEAwCHUK</t>
  </si>
  <si>
    <t>EMI_per_flight.kgCO2.HR.Tr.Avia</t>
  </si>
  <si>
    <t>EMI_per_flight.kgCO2.HR.Tr.Avia.Passenger</t>
  </si>
  <si>
    <t>EMI_per_flight.kgCO2.HR.Tr.Avia.Passenger.Domestic</t>
  </si>
  <si>
    <t>EMI_per_flight.kgCO2.HR.Tr.Avia.Passenger.IntraEEAwCHUK</t>
  </si>
  <si>
    <t>EMI_per_flight.kgCO2.HR.Tr.Avia.Passenger.ExtraEEAwCHUK</t>
  </si>
  <si>
    <t>EMI_per_flight.kgCO2.HR.Tr.Avia.Freight</t>
  </si>
  <si>
    <t>EMI_per_flight.kgCO2.HR.Tr.Avia.Freight.Domestic</t>
  </si>
  <si>
    <t>EMI_per_flight.kgCO2.HR.Tr.Avia.Freight.IntraEEAwCHUK</t>
  </si>
  <si>
    <t>EMI_per_flight.kgCO2.HR.Tr.Avia.Freight.ExtraEEAwCHUK</t>
  </si>
  <si>
    <t>Aviation / passenger transport specific data - HR - Croatia</t>
  </si>
  <si>
    <t>TrCap.seats.HR.Tr.Avia.Passenger</t>
  </si>
  <si>
    <t>TrCap.seats.HR.Tr.Avia.Passenger.Domestic</t>
  </si>
  <si>
    <t>TrCap.seats.HR.Tr.Avia.Passenger.IntraEEAwCHUK</t>
  </si>
  <si>
    <t>TrCap.seats.HR.Tr.Avia.Passenger.ExtraEEAwCHUK</t>
  </si>
  <si>
    <t>TrCap_per_flight.seats.HR.Tr.Avia.Passenger</t>
  </si>
  <si>
    <t>TrCap_per_flight.seats.HR.Tr.Avia.Passenger.Domestic</t>
  </si>
  <si>
    <t>TrCap_per_flight.seats.HR.Tr.Avia.Passenger.IntraEEAwCHUK</t>
  </si>
  <si>
    <t>TrCap_per_flight.seats.HR.Tr.Avia.Passenger.ExtraEEAwCHUK</t>
  </si>
  <si>
    <t>Transport overview - HR - Croatia</t>
  </si>
  <si>
    <t>Activity.Mpkm.HR.Tr</t>
  </si>
  <si>
    <t>Activity.Mpkm.HR.Tr.Road.Passenger</t>
  </si>
  <si>
    <t>Activity.Mpkm.HR.Tr.Road.Passenger.P2W</t>
  </si>
  <si>
    <t>Activity.Mpkm.HR.Tr.Road.Passenger.Car</t>
  </si>
  <si>
    <t>Activity.Mpkm.HR.Tr.Road.Passenger.Bus</t>
  </si>
  <si>
    <t>Activity.Mpkm.HR.Tr.Rail.Passenger</t>
  </si>
  <si>
    <t>Activity.Mpkm.HR.Tr.Rail.Passenger.MTU</t>
  </si>
  <si>
    <t>Activity.Mpkm.HR.Tr.Rail.Passenger.CPT</t>
  </si>
  <si>
    <t>Activity.Mpkm.HR.Tr.Rail.Passenger.HST</t>
  </si>
  <si>
    <t>Activity.Mtkm.HR.Tr</t>
  </si>
  <si>
    <t>Activity.Mtkm.HR.Tr.Road.Freight</t>
  </si>
  <si>
    <t>Activity.Mtkm.HR.Tr.Road.Freight.LCV</t>
  </si>
  <si>
    <t>Activity.Mtkm.HR.Tr.Road.Freight.HGV_All</t>
  </si>
  <si>
    <t>Activity.Mtkm.HR.Tr.Rail.Freight</t>
  </si>
  <si>
    <t>Activity.Mtkm.HR.Tr.DNavi.Freight</t>
  </si>
  <si>
    <t>Activity.Mtkm.HR.Tr.DNavi.Freight.DCS</t>
  </si>
  <si>
    <t>Activity.Mtkm.HR.Tr.DNavi.Freight.IWW</t>
  </si>
  <si>
    <t>Activity.Mtkm.HR.MBunk.Freight</t>
  </si>
  <si>
    <t>Activity.Mtkm.HR.MBunk.Freight.IntraEEA</t>
  </si>
  <si>
    <t>Activity.Mtkm.HR.MBunk.Freight.ExtraEEA</t>
  </si>
  <si>
    <t>FEC.ktoe.HR.Tr.Road.Passenger</t>
  </si>
  <si>
    <t>FEC.ktoe.HR.Tr.Road.Passenger.P2W</t>
  </si>
  <si>
    <t>FEC.ktoe.HR.Tr.Road.Passenger.Car</t>
  </si>
  <si>
    <t>FEC.ktoe.HR.Tr.Road.Passenger.Bus</t>
  </si>
  <si>
    <t>FEC.ktoe.HR.Tr.Rail.Passenger</t>
  </si>
  <si>
    <t>FEC.ktoe.HR.Tr.Rail.Passenger.MTU</t>
  </si>
  <si>
    <t>FEC.ktoe.HR.Tr.Rail.Passenger.CPT</t>
  </si>
  <si>
    <t>FEC.ktoe.HR.Tr.Rail.Passenger.HST</t>
  </si>
  <si>
    <t>FEC.ktoe.HR.Tr.Road.Freight</t>
  </si>
  <si>
    <t>FEC.ktoe.HR.Tr.Road.Freight.LCV</t>
  </si>
  <si>
    <t>FEC.ktoe.HR.Tr.Road.Freight.HGV_All</t>
  </si>
  <si>
    <t>FEC.ktoe.HR.Tr.Rail.Freight</t>
  </si>
  <si>
    <t>EMI.ktCO2.HR.Tr.Road.Passenger</t>
  </si>
  <si>
    <t>EMI.ktCO2.HR.Tr.Road.Passenger.P2W</t>
  </si>
  <si>
    <t>EMI.ktCO2.HR.Tr.Road.Passenger.Car</t>
  </si>
  <si>
    <t>EMI.ktCO2.HR.Tr.Road.Passenger.Bus</t>
  </si>
  <si>
    <t>EMI.ktCO2.HR.Tr.Rail.Passenger</t>
  </si>
  <si>
    <t>EMI.ktCO2.HR.Tr.Rail.Passenger.MTU</t>
  </si>
  <si>
    <t>EMI.ktCO2.HR.Tr.Rail.Passenger.CPT</t>
  </si>
  <si>
    <t>EMI.ktCO2.HR.Tr.Rail.Passenger.HST</t>
  </si>
  <si>
    <t>EMI.ktCO2.HR.Tr.Road.Freight</t>
  </si>
  <si>
    <t>EMI.ktCO2.HR.Tr.Road.Freight.LCV</t>
  </si>
  <si>
    <t>EMI.ktCO2.HR.Tr.Road.Freight.HGV_All</t>
  </si>
  <si>
    <t>EMI.ktCO2.HR.Tr.Rail.Freight</t>
  </si>
  <si>
    <t>Eff.kgoe_per_kpkm.HR.Tr</t>
  </si>
  <si>
    <t>Eff.kgoe_per_kpkm.HR.Tr.Road.Passenger</t>
  </si>
  <si>
    <t>Eff.kgoe_per_kpkm.HR.Tr.Road.Passenger.P2W</t>
  </si>
  <si>
    <t>Eff.kgoe_per_kpkm.HR.Tr.Road.Passenger.Car</t>
  </si>
  <si>
    <t>Eff.kgoe_per_kpkm.HR.Tr.Road.Passenger.Bus</t>
  </si>
  <si>
    <t>Eff.kgoe_per_kpkm.HR.Tr.Rail.Passenger</t>
  </si>
  <si>
    <t>Eff.kgoe_per_kpkm.HR.Tr.Rail.Passenger.MTU</t>
  </si>
  <si>
    <t>Eff.kgoe_per_kpkm.HR.Tr.Rail.Passenger.CPT</t>
  </si>
  <si>
    <t>Eff.kgoe_per_kpkm.HR.Tr.Rail.Passenger.HST</t>
  </si>
  <si>
    <t>Eff.kgoe_per_ktkm.HR.Tr</t>
  </si>
  <si>
    <t>Eff.kgoe_per_ktkm.HR.Tr.Road.Freight</t>
  </si>
  <si>
    <t>Eff.kgoe_per_ktkm.HR.Tr.Road.Freight.LCV</t>
  </si>
  <si>
    <t>Eff.kgoe_per_ktkm.HR.Tr.Road.Freight.HGV_All</t>
  </si>
  <si>
    <t>Eff.kgoe_per_ktkm.HR.Tr.Rail.Freight</t>
  </si>
  <si>
    <t>Eff.kgoe_per_ktkm.HR.Tr.DNavi.Freight</t>
  </si>
  <si>
    <t>Eff.kgoe_per_ktkm.HR.Tr.DNavi.Freight.DCS</t>
  </si>
  <si>
    <t>Eff.kgoe_per_ktkm.HR.Tr.DNavi.Freight.IWW</t>
  </si>
  <si>
    <t>Eff.kgoe_per_ktkm.HR.MBunk.Freight</t>
  </si>
  <si>
    <t>Eff.kgoe_per_ktkm.HR.MBunk.Freight.IntraEEA</t>
  </si>
  <si>
    <t>Eff.kgoe_per_ktkm.HR.MBunk.Freight.ExtraEEA</t>
  </si>
  <si>
    <t>EMIint.gCO2_per_pkm.HR.Tr</t>
  </si>
  <si>
    <t>EMIint.gCO2_per_pkm.HR.Tr.Road.Passenger</t>
  </si>
  <si>
    <t>EMIint.gCO2_per_pkm.HR.Tr.Road.Passenger.P2W</t>
  </si>
  <si>
    <t>EMIint.gCO2_per_pkm.HR.Tr.Road.Passenger.Car</t>
  </si>
  <si>
    <t>EMIint.gCO2_per_pkm.HR.Tr.Road.Passenger.Bus</t>
  </si>
  <si>
    <t>EMIint.gCO2_per_pkm.HR.Tr.Rail.Passenger</t>
  </si>
  <si>
    <t>EMIint.gCO2_per_pkm.HR.Tr.Rail.Passenger.MTU</t>
  </si>
  <si>
    <t>EMIint.gCO2_per_pkm.HR.Tr.Rail.Passenger.CPT</t>
  </si>
  <si>
    <t>EMIint.gCO2_per_pkm.HR.Tr.Rail.Passenger.HST</t>
  </si>
  <si>
    <t>EMIint.gCO2_per_tkm.HR.Tr</t>
  </si>
  <si>
    <t>EMIint.gCO2_per_tkm.HR.Tr.Road.Freight</t>
  </si>
  <si>
    <t>EMIint.gCO2_per_tkm.HR.Tr.Road.Freight.LCV</t>
  </si>
  <si>
    <t>EMIint.gCO2_per_tkm.HR.Tr.Road.Freight.HGV_All</t>
  </si>
  <si>
    <t>EMIint.gCO2_per_tkm.HR.Tr.Rail.Freight</t>
  </si>
  <si>
    <t>EMIint.gCO2_per_tkm.HR.Tr.DNavi.Freight</t>
  </si>
  <si>
    <t>EMIint.gCO2_per_tkm.HR.Tr.DNavi.Freight.DCS</t>
  </si>
  <si>
    <t>EMIint.gCO2_per_tkm.HR.Tr.DNavi.Freight.IWW</t>
  </si>
  <si>
    <t>EMIint.gCO2_per_tkm.HR.MBunk.Freight</t>
  </si>
  <si>
    <t>EMIint.gCO2_per_tkm.HR.MBunk.Freight.IntraEEA</t>
  </si>
  <si>
    <t>EMIint.gCO2_per_tkm.HR.MBunk.Freight.ExtraEEA</t>
  </si>
  <si>
    <t>Road transport - HR - Croatia</t>
  </si>
  <si>
    <t>Activity.Mpkm.HR.Tr.Road.Passenger.Car.ICE.Gasoline</t>
  </si>
  <si>
    <t>Activity.Mpkm.HR.Tr.Road.Passenger.Car.ICE.Diesel</t>
  </si>
  <si>
    <t>Activity.Mpkm.HR.Tr.Road.Passenger.Car.ICE.LPG</t>
  </si>
  <si>
    <t>Activity.Mpkm.HR.Tr.Road.Passenger.Car.ICE.NGas</t>
  </si>
  <si>
    <t>Activity.Mpkm.HR.Tr.Road.Passenger.Car.PHEV.Gasoline</t>
  </si>
  <si>
    <t>Activity.Mpkm.HR.Tr.Road.Passenger.Car.BEV</t>
  </si>
  <si>
    <t>Activity.Mpkm.HR.Tr.Road.Passenger.Bus.ICE.Gasoline</t>
  </si>
  <si>
    <t>Activity.Mpkm.HR.Tr.Road.Passenger.Bus.ICE.Diesel</t>
  </si>
  <si>
    <t>Activity.Mpkm.HR.Tr.Road.Passenger.Bus.ICE.LPG</t>
  </si>
  <si>
    <t>Activity.Mpkm.HR.Tr.Road.Passenger.Bus.ICE.NGas</t>
  </si>
  <si>
    <t>Activity.Mpkm.HR.Tr.Road.Passenger.Bus.BEV</t>
  </si>
  <si>
    <t>Activity.Mtkm.HR.Tr.Road.Freight.LCV.ICE.Gasoline</t>
  </si>
  <si>
    <t>Activity.Mtkm.HR.Tr.Road.Freight.LCV.ICE.Diesel</t>
  </si>
  <si>
    <t>Activity.Mtkm.HR.Tr.Road.Freight.LCV.ICE.LPG</t>
  </si>
  <si>
    <t>Activity.Mtkm.HR.Tr.Road.Freight.LCV.ICE.NGas</t>
  </si>
  <si>
    <t>Activity.Mtkm.HR.Tr.Road.Freight.LCV.BEV</t>
  </si>
  <si>
    <t>Activity.Mtkm.HR.Tr.Road.Freight.HGV_Domestic</t>
  </si>
  <si>
    <t>Activity.Mtkm.HR.Tr.Road.Freight.HGV_International</t>
  </si>
  <si>
    <t>VehicleKm.Mkm.HR.Tr.Road</t>
  </si>
  <si>
    <t>VehicleKm.Mkm.HR.Tr.Road.Passenger</t>
  </si>
  <si>
    <t>VehicleKm.Mkm.HR.Tr.Road.Passenger.P2W</t>
  </si>
  <si>
    <t>VehicleKm.Mkm.HR.Tr.Road.Passenger.Car</t>
  </si>
  <si>
    <t>VehicleKm.Mkm.HR.Tr.Road.Passenger.Car.ICE.Gasoline</t>
  </si>
  <si>
    <t>VehicleKm.Mkm.HR.Tr.Road.Passenger.Car.ICE.Diesel</t>
  </si>
  <si>
    <t>VehicleKm.Mkm.HR.Tr.Road.Passenger.Car.ICE.LPG</t>
  </si>
  <si>
    <t>VehicleKm.Mkm.HR.Tr.Road.Passenger.Car.ICE.NGas</t>
  </si>
  <si>
    <t>VehicleKm.Mkm.HR.Tr.Road.Passenger.Car.PHEV.Gasoline</t>
  </si>
  <si>
    <t>VehicleKm.Mkm.HR.Tr.Road.Passenger.Car.BEV</t>
  </si>
  <si>
    <t>VehicleKm.Mkm.HR.Tr.Road.Passenger.Bus</t>
  </si>
  <si>
    <t>VehicleKm.Mkm.HR.Tr.Road.Passenger.Bus.ICE.Gasoline</t>
  </si>
  <si>
    <t>VehicleKm.Mkm.HR.Tr.Road.Passenger.Bus.ICE.Diesel</t>
  </si>
  <si>
    <t>VehicleKm.Mkm.HR.Tr.Road.Passenger.Bus.ICE.LPG</t>
  </si>
  <si>
    <t>VehicleKm.Mkm.HR.Tr.Road.Passenger.Bus.ICE.NGas</t>
  </si>
  <si>
    <t>VehicleKm.Mkm.HR.Tr.Road.Passenger.Bus.BEV</t>
  </si>
  <si>
    <t>VehicleKm.Mkm.HR.Tr.Road.Freight</t>
  </si>
  <si>
    <t>VehicleKm.Mkm.HR.Tr.Road.Freight.LCV</t>
  </si>
  <si>
    <t>VehicleKm.Mkm.HR.Tr.Road.Freight.LCV.ICE.Gasoline</t>
  </si>
  <si>
    <t>VehicleKm.Mkm.HR.Tr.Road.Freight.LCV.ICE.Diesel</t>
  </si>
  <si>
    <t>VehicleKm.Mkm.HR.Tr.Road.Freight.LCV.ICE.LPG</t>
  </si>
  <si>
    <t>VehicleKm.Mkm.HR.Tr.Road.Freight.LCV.ICE.NGas</t>
  </si>
  <si>
    <t>VehicleKm.Mkm.HR.Tr.Road.Freight.LCV.BEV</t>
  </si>
  <si>
    <t>VehicleKm.Mkm.HR.Tr.Road.Freight.HGV_All</t>
  </si>
  <si>
    <t>VehicleKm.Mkm.HR.Tr.Road.Freight.HGV_Domestic</t>
  </si>
  <si>
    <t>VehicleKm.Mkm.HR.Tr.Road.Freight.HGV_International</t>
  </si>
  <si>
    <t>Stock.number.HR.Tr.Road</t>
  </si>
  <si>
    <t>Stock.number.HR.Tr.Road.Passenger</t>
  </si>
  <si>
    <t>Stock.number.HR.Tr.Road.Passenger.P2W</t>
  </si>
  <si>
    <t>Stock.number.HR.Tr.Road.Passenger.Car</t>
  </si>
  <si>
    <t>Stock.number.HR.Tr.Road.Passenger.Car.ICE.Gasoline</t>
  </si>
  <si>
    <t>Stock.number.HR.Tr.Road.Passenger.Car.ICE.Diesel</t>
  </si>
  <si>
    <t>Stock.number.HR.Tr.Road.Passenger.Car.ICE.LPG</t>
  </si>
  <si>
    <t>Stock.number.HR.Tr.Road.Passenger.Car.ICE.NGas</t>
  </si>
  <si>
    <t>Stock.number.HR.Tr.Road.Passenger.Car.PHEV.Gasoline</t>
  </si>
  <si>
    <t>Stock.number.HR.Tr.Road.Passenger.Car.BEV</t>
  </si>
  <si>
    <t>Stock.number.HR.Tr.Road.Passenger.Bus</t>
  </si>
  <si>
    <t>Stock.number.HR.Tr.Road.Passenger.Bus.ICE.Gasoline</t>
  </si>
  <si>
    <t>Stock.number.HR.Tr.Road.Passenger.Bus.ICE.Diesel</t>
  </si>
  <si>
    <t>Stock.number.HR.Tr.Road.Passenger.Bus.ICE.LPG</t>
  </si>
  <si>
    <t>Stock.number.HR.Tr.Road.Passenger.Bus.ICE.NGas</t>
  </si>
  <si>
    <t>Stock.number.HR.Tr.Road.Passenger.Bus.BEV</t>
  </si>
  <si>
    <t>Stock.number.HR.Tr.Road.Freight</t>
  </si>
  <si>
    <t>Stock.number.HR.Tr.Road.Freight.LCV</t>
  </si>
  <si>
    <t>Stock.number.HR.Tr.Road.Freight.LCV.ICE.Gasoline</t>
  </si>
  <si>
    <t>Stock.number.HR.Tr.Road.Freight.LCV.ICE.Diesel</t>
  </si>
  <si>
    <t>Stock.number.HR.Tr.Road.Freight.LCV.ICE.LPG</t>
  </si>
  <si>
    <t>Stock.number.HR.Tr.Road.Freight.LCV.ICE.NGas</t>
  </si>
  <si>
    <t>Stock.number.HR.Tr.Road.Freight.LCV.BEV</t>
  </si>
  <si>
    <t>Stock.number.HR.Tr.Road.Freight.HGV_All</t>
  </si>
  <si>
    <t>Stock.number.HR.Tr.Road.Freight.HGV_Domestic</t>
  </si>
  <si>
    <t>Stock.number.HR.Tr.Road.Freight.HGV_International</t>
  </si>
  <si>
    <t>StockNew.number.HR.Tr.Road</t>
  </si>
  <si>
    <t>StockNew.number.HR.Tr.Road.Passenger</t>
  </si>
  <si>
    <t>StockNew.number.HR.Tr.Road.Passenger.P2W</t>
  </si>
  <si>
    <t>StockNew.number.HR.Tr.Road.Passenger.Car</t>
  </si>
  <si>
    <t>StockNew.number.HR.Tr.Road.Passenger.Car.ICE.Gasoline</t>
  </si>
  <si>
    <t>StockNew.number.HR.Tr.Road.Passenger.Car.ICE.Diesel</t>
  </si>
  <si>
    <t>StockNew.number.HR.Tr.Road.Passenger.Car.ICE.LPG</t>
  </si>
  <si>
    <t>StockNew.number.HR.Tr.Road.Passenger.Car.ICE.NGas</t>
  </si>
  <si>
    <t>StockNew.number.HR.Tr.Road.Passenger.Car.PHEV.Gasoline</t>
  </si>
  <si>
    <t>StockNew.number.HR.Tr.Road.Passenger.Car.BEV</t>
  </si>
  <si>
    <t>StockNew.number.HR.Tr.Road.Passenger.Bus</t>
  </si>
  <si>
    <t>StockNew.number.HR.Tr.Road.Passenger.Bus.ICE.Gasoline</t>
  </si>
  <si>
    <t>StockNew.number.HR.Tr.Road.Passenger.Bus.ICE.Diesel</t>
  </si>
  <si>
    <t>StockNew.number.HR.Tr.Road.Passenger.Bus.ICE.LPG</t>
  </si>
  <si>
    <t>StockNew.number.HR.Tr.Road.Passenger.Bus.ICE.NGas</t>
  </si>
  <si>
    <t>StockNew.number.HR.Tr.Road.Passenger.Bus.BEV</t>
  </si>
  <si>
    <t>StockNew.number.HR.Tr.Road.Freight</t>
  </si>
  <si>
    <t>StockNew.number.HR.Tr.Road.Freight.LCV</t>
  </si>
  <si>
    <t>StockNew.number.HR.Tr.Road.Freight.LCV.ICE.Gasoline</t>
  </si>
  <si>
    <t>StockNew.number.HR.Tr.Road.Freight.LCV.ICE.Diesel</t>
  </si>
  <si>
    <t>StockNew.number.HR.Tr.Road.Freight.LCV.ICE.LPG</t>
  </si>
  <si>
    <t>StockNew.number.HR.Tr.Road.Freight.LCV.ICE.NGas</t>
  </si>
  <si>
    <t>StockNew.number.HR.Tr.Road.Freight.LCV.BEV</t>
  </si>
  <si>
    <t>StockNew.number.HR.Tr.Road.Freight.HGV_All</t>
  </si>
  <si>
    <t>StockNew.number.HR.Tr.Road.Freight.HGV_Domestic</t>
  </si>
  <si>
    <t>StockNew.number.HR.Tr.Road.Freight.HGV_International</t>
  </si>
  <si>
    <t>Load.passenger_per_movement.HR.Tr.Road.Passenger</t>
  </si>
  <si>
    <t>Load.passenger_per_movement.HR.Tr.Road.Passenger.P2W</t>
  </si>
  <si>
    <t>Load.passenger_per_movement.HR.Tr.Road.Passenger.Car</t>
  </si>
  <si>
    <t>Load.passenger_per_movement.HR.Tr.Road.Passenger.Car.ICE.Gasoline</t>
  </si>
  <si>
    <t>Load.passenger_per_movement.HR.Tr.Road.Passenger.Car.ICE.Diesel</t>
  </si>
  <si>
    <t>Load.passenger_per_movement.HR.Tr.Road.Passenger.Car.ICE.LPG</t>
  </si>
  <si>
    <t>Load.passenger_per_movement.HR.Tr.Road.Passenger.Car.ICE.NGas</t>
  </si>
  <si>
    <t>Load.passenger_per_movement.HR.Tr.Road.Passenger.Car.PHEV.Gasoline</t>
  </si>
  <si>
    <t>Load.passenger_per_movement.HR.Tr.Road.Passenger.Car.BEV</t>
  </si>
  <si>
    <t>Load.passenger_per_movement.HR.Tr.Road.Passenger.Bus</t>
  </si>
  <si>
    <t>Load.passenger_per_movement.HR.Tr.Road.Passenger.Bus.ICE.Gasoline</t>
  </si>
  <si>
    <t>Load.passenger_per_movement.HR.Tr.Road.Passenger.Bus.ICE.Diesel</t>
  </si>
  <si>
    <t>Load.passenger_per_movement.HR.Tr.Road.Passenger.Bus.ICE.LPG</t>
  </si>
  <si>
    <t>Load.passenger_per_movement.HR.Tr.Road.Passenger.Bus.ICE.NGas</t>
  </si>
  <si>
    <t>Load.passenger_per_movement.HR.Tr.Road.Passenger.Bus.BEV</t>
  </si>
  <si>
    <t>Load.t_per_movement.HR.Tr.Road.Freight</t>
  </si>
  <si>
    <t>Load.t_per_movement.HR.Tr.Road.Freight.LCV</t>
  </si>
  <si>
    <t>Load.t_per_movement.HR.Tr.Road.Freight.LCV.ICE.Gasoline</t>
  </si>
  <si>
    <t>Load.t_per_movement.HR.Tr.Road.Freight.LCV.ICE.Diesel</t>
  </si>
  <si>
    <t>Load.t_per_movement.HR.Tr.Road.Freight.LCV.ICE.LPG</t>
  </si>
  <si>
    <t>Load.t_per_movement.HR.Tr.Road.Freight.LCV.ICE.NGas</t>
  </si>
  <si>
    <t>Load.t_per_movement.HR.Tr.Road.Freight.LCV.BEV</t>
  </si>
  <si>
    <t>Load.t_per_movement.HR.Tr.Road.Freight.HGV_All</t>
  </si>
  <si>
    <t>Load.t_per_movement.HR.Tr.Road.Freight.HGV_Domestic</t>
  </si>
  <si>
    <t>Load.t_per_movement.HR.Tr.Road.Freight.HGV_International</t>
  </si>
  <si>
    <t>VehicleKm_per_vehicle.km.HR.Tr.Road</t>
  </si>
  <si>
    <t>VehicleKm_per_vehicle.km.HR.Tr.Road.Passenger</t>
  </si>
  <si>
    <t>VehicleKm_per_vehicle.km.HR.Tr.Road.Passenger.P2W</t>
  </si>
  <si>
    <t>VehicleKm_per_vehicle.km.HR.Tr.Road.Passenger.Car</t>
  </si>
  <si>
    <t>VehicleKm_per_vehicle.km.HR.Tr.Road.Passenger.Car.ICE.Gasoline</t>
  </si>
  <si>
    <t>VehicleKm_per_vehicle.km.HR.Tr.Road.Passenger.Car.ICE.Diesel</t>
  </si>
  <si>
    <t>VehicleKm_per_vehicle.km.HR.Tr.Road.Passenger.Car.ICE.LPG</t>
  </si>
  <si>
    <t>VehicleKm_per_vehicle.km.HR.Tr.Road.Passenger.Car.ICE.NGas</t>
  </si>
  <si>
    <t>VehicleKm_per_vehicle.km.HR.Tr.Road.Passenger.Car.PHEV.Gasoline</t>
  </si>
  <si>
    <t>VehicleKm_per_vehicle.km.HR.Tr.Road.Passenger.Car.BEV</t>
  </si>
  <si>
    <t>VehicleKm_per_vehicle.km.HR.Tr.Road.Passenger.Bus</t>
  </si>
  <si>
    <t>VehicleKm_per_vehicle.km.HR.Tr.Road.Passenger.Bus.ICE.Gasoline</t>
  </si>
  <si>
    <t>VehicleKm_per_vehicle.km.HR.Tr.Road.Passenger.Bus.ICE.Diesel</t>
  </si>
  <si>
    <t>VehicleKm_per_vehicle.km.HR.Tr.Road.Passenger.Bus.ICE.LPG</t>
  </si>
  <si>
    <t>VehicleKm_per_vehicle.km.HR.Tr.Road.Passenger.Bus.ICE.NGas</t>
  </si>
  <si>
    <t>VehicleKm_per_vehicle.km.HR.Tr.Road.Passenger.Bus.BEV</t>
  </si>
  <si>
    <t>VehicleKm_per_vehicle.km.HR.Tr.Road.Freight</t>
  </si>
  <si>
    <t>VehicleKm_per_vehicle.km.HR.Tr.Road.Freight.LCV</t>
  </si>
  <si>
    <t>VehicleKm_per_vehicle.km.HR.Tr.Road.Freight.LCV.ICE.Gasoline</t>
  </si>
  <si>
    <t>VehicleKm_per_vehicle.km.HR.Tr.Road.Freight.LCV.ICE.Diesel</t>
  </si>
  <si>
    <t>VehicleKm_per_vehicle.km.HR.Tr.Road.Freight.LCV.ICE.LPG</t>
  </si>
  <si>
    <t>VehicleKm_per_vehicle.km.HR.Tr.Road.Freight.LCV.ICE.NGas</t>
  </si>
  <si>
    <t>VehicleKm_per_vehicle.km.HR.Tr.Road.Freight.LCV.BEV</t>
  </si>
  <si>
    <t>VehicleKm_per_vehicle.km.HR.Tr.Road.Freight.HGV_All</t>
  </si>
  <si>
    <t>VehicleKm_per_vehicle.km.HR.Tr.Road.Freight.HGV_Domestic</t>
  </si>
  <si>
    <t>VehicleKm_per_vehicle.km.HR.Tr.Road.Freight.HGV_International</t>
  </si>
  <si>
    <t>Activity_per_vehicle.pkm.HR.Tr.Road.Passenger</t>
  </si>
  <si>
    <t>Activity_per_vehicle.pkm.HR.Tr.Road.Passenger.P2W</t>
  </si>
  <si>
    <t>Activity_per_vehicle.pkm.HR.Tr.Road.Passenger.Car</t>
  </si>
  <si>
    <t>Activity_per_vehicle.pkm.HR.Tr.Road.Passenger.Car.ICE.Gasoline</t>
  </si>
  <si>
    <t>Activity_per_vehicle.pkm.HR.Tr.Road.Passenger.Car.ICE.Diesel</t>
  </si>
  <si>
    <t>Activity_per_vehicle.pkm.HR.Tr.Road.Passenger.Car.ICE.LPG</t>
  </si>
  <si>
    <t>Activity_per_vehicle.pkm.HR.Tr.Road.Passenger.Car.ICE.NGas</t>
  </si>
  <si>
    <t>Activity_per_vehicle.pkm.HR.Tr.Road.Passenger.Car.PHEV.Gasoline</t>
  </si>
  <si>
    <t>Activity_per_vehicle.pkm.HR.Tr.Road.Passenger.Car.BEV</t>
  </si>
  <si>
    <t>Activity_per_vehicle.pkm.HR.Tr.Road.Passenger.Bus</t>
  </si>
  <si>
    <t>Activity_per_vehicle.pkm.HR.Tr.Road.Passenger.Bus.ICE.Gasoline</t>
  </si>
  <si>
    <t>Activity_per_vehicle.pkm.HR.Tr.Road.Passenger.Bus.ICE.Diesel</t>
  </si>
  <si>
    <t>Activity_per_vehicle.pkm.HR.Tr.Road.Passenger.Bus.ICE.LPG</t>
  </si>
  <si>
    <t>Activity_per_vehicle.pkm.HR.Tr.Road.Passenger.Bus.ICE.NGas</t>
  </si>
  <si>
    <t>Activity_per_vehicle.pkm.HR.Tr.Road.Passenger.Bus.BEV</t>
  </si>
  <si>
    <t>Activity_per_vehicle.tkm.HR.Tr.Road.Freight</t>
  </si>
  <si>
    <t>Activity_per_vehicle.tkm.HR.Tr.Road.Freight.LCV</t>
  </si>
  <si>
    <t>Activity_per_vehicle.tkm.HR.Tr.Road.Freight.LCV.ICE.Gasoline</t>
  </si>
  <si>
    <t>Activity_per_vehicle.tkm.HR.Tr.Road.Freight.LCV.ICE.Diesel</t>
  </si>
  <si>
    <t>Activity_per_vehicle.tkm.HR.Tr.Road.Freight.LCV.ICE.LPG</t>
  </si>
  <si>
    <t>Activity_per_vehicle.tkm.HR.Tr.Road.Freight.LCV.ICE.NGas</t>
  </si>
  <si>
    <t>Activity_per_vehicle.tkm.HR.Tr.Road.Freight.LCV.BEV</t>
  </si>
  <si>
    <t>Activity_per_vehicle.tkm.HR.Tr.Road.Freight.HGV_All</t>
  </si>
  <si>
    <t>Activity_per_vehicle.tkm.HR.Tr.Road.Freight.HGV_Domestic</t>
  </si>
  <si>
    <t>Activity_per_vehicle.tkm.HR.Tr.Road.Freight.HGV_International</t>
  </si>
  <si>
    <t>Road transport / energy consumption - HR - Croatia</t>
  </si>
  <si>
    <t>FEC.ktoe.HR.ES.Tr.Road</t>
  </si>
  <si>
    <t>FEC.ktoe.HR.ES.Tr.Road.LPG</t>
  </si>
  <si>
    <t>FEC.ktoe.HR.ES.Tr.Road.Gasoline</t>
  </si>
  <si>
    <t>FEC.ktoe.HR.ES.Tr.Road.Diesel</t>
  </si>
  <si>
    <t>FEC.ktoe.HR.ES.Tr.Road.NG</t>
  </si>
  <si>
    <t>FEC.ktoe.HR.ES.Tr.Road.Biogas</t>
  </si>
  <si>
    <t>FEC.ktoe.HR.ES.Tr.Road.Biogasoline</t>
  </si>
  <si>
    <t>FEC.ktoe.HR.ES.Tr.Road.Biodiesel</t>
  </si>
  <si>
    <t>FEC.ktoe.HR.ES.Tr.Road.OthLiqBio</t>
  </si>
  <si>
    <t>FEC.ktoe.HR.ES.Tr.Road.Elec</t>
  </si>
  <si>
    <t>FEC.ktoe.HR.Tr.Road</t>
  </si>
  <si>
    <t>FEC.ktoe.HR.Tr.Road.Passenger.P2W.Total.Total.Biogasoline</t>
  </si>
  <si>
    <t>FEC.ktoe.HR.Tr.Road.Passenger.Car.ICE.Gasoline</t>
  </si>
  <si>
    <t>FEC.ktoe.HR.Tr.Road.Passenger.Car.ICE.Gasoline.Biogasoline</t>
  </si>
  <si>
    <t>FEC.ktoe.HR.Tr.Road.Passenger.Car.ICE.Diesel</t>
  </si>
  <si>
    <t>FEC.ktoe.HR.Tr.Road.Passenger.Car.ICE.Diesel.BioDiesel_OthLiqBio</t>
  </si>
  <si>
    <t>FEC.ktoe.HR.Tr.Road.Passenger.Car.ICE.LPG</t>
  </si>
  <si>
    <t>FEC.ktoe.HR.Tr.Road.Passenger.Car.ICE.NGas</t>
  </si>
  <si>
    <t>FEC.ktoe.HR.Tr.Road.Passenger.Car.ICE.NGas.Biogas</t>
  </si>
  <si>
    <t>FEC.ktoe.HR.Tr.Road.Passenger.Car.PHEV.Gasoline</t>
  </si>
  <si>
    <t>FEC.ktoe.HR.Tr.Road.Passenger.Car.PHEV.Gasoline.Biogasoline</t>
  </si>
  <si>
    <t>FEC.ktoe.HR.Tr.Road.Passenger.Car.PHEV.Gasoline.Elec</t>
  </si>
  <si>
    <t>FEC.ktoe.HR.Tr.Road.Passenger.Car.BEV</t>
  </si>
  <si>
    <t>FEC.ktoe.HR.Tr.Road.Passenger.Bus.ICE.Gasoline</t>
  </si>
  <si>
    <t>FEC.ktoe.HR.Tr.Road.Passenger.Bus.ICE.Gasoline.Biogasoline</t>
  </si>
  <si>
    <t>FEC.ktoe.HR.Tr.Road.Passenger.Bus.ICE.Diesel</t>
  </si>
  <si>
    <t>FEC.ktoe.HR.Tr.Road.Passenger.Bus.ICE.Diesel.BioDiesel_OthLiqBio</t>
  </si>
  <si>
    <t>FEC.ktoe.HR.Tr.Road.Passenger.Bus.ICE.LPG</t>
  </si>
  <si>
    <t>FEC.ktoe.HR.Tr.Road.Passenger.Bus.ICE.NGas</t>
  </si>
  <si>
    <t>FEC.ktoe.HR.Tr.Road.Passenger.Bus.ICE.NGas.Biogas</t>
  </si>
  <si>
    <t>FEC.ktoe.HR.Tr.Road.Passenger.Bus.BEV</t>
  </si>
  <si>
    <t>FEC.ktoe.HR.Tr.Road.Freight.LCV.ICE.Gasoline</t>
  </si>
  <si>
    <t>FEC.ktoe.HR.Tr.Road.Freight.LCV.ICE.Gasoline.Biogasoline</t>
  </si>
  <si>
    <t>FEC.ktoe.HR.Tr.Road.Freight.LCV.ICE.Diesel</t>
  </si>
  <si>
    <t>FEC.ktoe.HR.Tr.Road.Freight.LCV.ICE.Diesel.BioDiesel_OthLiqBio</t>
  </si>
  <si>
    <t>FEC.ktoe.HR.Tr.Road.Freight.LCV.ICE.LPG</t>
  </si>
  <si>
    <t>FEC.ktoe.HR.Tr.Road.Freight.LCV.ICE.NGas</t>
  </si>
  <si>
    <t>FEC.ktoe.HR.Tr.Road.Freight.LCV.ICE.NGas.Biogas</t>
  </si>
  <si>
    <t>FEC.ktoe.HR.Tr.Road.Freight.LCV.BEV</t>
  </si>
  <si>
    <t>FEC.ktoe.HR.Tr.Road.Freight.HGV_Domestic</t>
  </si>
  <si>
    <t>FEC.ktoe.HR.Tr.Road.Freight.HGV_Domestic.Total.Total.BioDiesel_OthLiqBio</t>
  </si>
  <si>
    <t>FEC.ktoe.HR.Tr.Road.Freight.HGV_International</t>
  </si>
  <si>
    <t>FEC.ktoe.HR.Tr.Road.Freight.HGV_International.Total.Total.BioDiesel_OthLiqBio</t>
  </si>
  <si>
    <t>Eff.kgoe_per_100km.HR.Tr.Road</t>
  </si>
  <si>
    <t>Eff.kgoe_per_100km.HR.Tr.Road.Passenger</t>
  </si>
  <si>
    <t>Eff.kgoe_per_100km.HR.Tr.Road.Passenger.P2W</t>
  </si>
  <si>
    <t>Eff.kgoe_per_100km.HR.Tr.Road.Passenger.Car</t>
  </si>
  <si>
    <t>Eff.kgoe_per_100km.HR.Tr.Road.Passenger.Car.ICE.Gasoline</t>
  </si>
  <si>
    <t>Eff.kgoe_per_100km.HR.Tr.Road.Passenger.Car.ICE.Diesel</t>
  </si>
  <si>
    <t>Eff.kgoe_per_100km.HR.Tr.Road.Passenger.Car.ICE.LPG</t>
  </si>
  <si>
    <t>Eff.kgoe_per_100km.HR.Tr.Road.Passenger.Car.ICE.NGas</t>
  </si>
  <si>
    <t>Eff.kgoe_per_100km.HR.Tr.Road.Passenger.Car.PHEV.Gasoline</t>
  </si>
  <si>
    <t>Eff.kgoe_per_100km.HR.Tr.Road.Passenger.Car.BEV</t>
  </si>
  <si>
    <t>Eff.kgoe_per_100km.HR.Tr.Road.Passenger.Bus</t>
  </si>
  <si>
    <t>Eff.kgoe_per_100km.HR.Tr.Road.Passenger.Bus.ICE.Gasoline</t>
  </si>
  <si>
    <t>Eff.kgoe_per_100km.HR.Tr.Road.Passenger.Bus.ICE.Diesel</t>
  </si>
  <si>
    <t>Eff.kgoe_per_100km.HR.Tr.Road.Passenger.Bus.ICE.LPG</t>
  </si>
  <si>
    <t>Eff.kgoe_per_100km.HR.Tr.Road.Passenger.Bus.ICE.NGas</t>
  </si>
  <si>
    <t>Eff.kgoe_per_100km.HR.Tr.Road.Passenger.Bus.BEV</t>
  </si>
  <si>
    <t>Eff.kgoe_per_100km.HR.Tr.Road.Freight</t>
  </si>
  <si>
    <t>Eff.kgoe_per_100km.HR.Tr.Road.Freight.LCV</t>
  </si>
  <si>
    <t>Eff.kgoe_per_100km.HR.Tr.Road.Freight.LCV.ICE.Gasoline</t>
  </si>
  <si>
    <t>Eff.kgoe_per_100km.HR.Tr.Road.Freight.LCV.ICE.Diesel</t>
  </si>
  <si>
    <t>Eff.kgoe_per_100km.HR.Tr.Road.Freight.LCV.ICE.LPG</t>
  </si>
  <si>
    <t>Eff.kgoe_per_100km.HR.Tr.Road.Freight.LCV.ICE.NGas</t>
  </si>
  <si>
    <t>Eff.kgoe_per_100km.HR.Tr.Road.Freight.LCV.BEV</t>
  </si>
  <si>
    <t>Eff.kgoe_per_100km.HR.Tr.Road.Freight.HGV_All</t>
  </si>
  <si>
    <t>Eff.kgoe_per_100km.HR.Tr.Road.Freight.HGV_Domestic</t>
  </si>
  <si>
    <t>Eff.kgoe_per_100km.HR.Tr.Road.Freight.HGV_International</t>
  </si>
  <si>
    <t>Eff.kgoe_per_kpkm.HR.Tr.Road.Passenger.Car.ICE.Gasoline</t>
  </si>
  <si>
    <t>Eff.kgoe_per_kpkm.HR.Tr.Road.Passenger.Car.ICE.Diesel</t>
  </si>
  <si>
    <t>Eff.kgoe_per_kpkm.HR.Tr.Road.Passenger.Car.ICE.LPG</t>
  </si>
  <si>
    <t>Eff.kgoe_per_kpkm.HR.Tr.Road.Passenger.Car.ICE.NGas</t>
  </si>
  <si>
    <t>Eff.kgoe_per_kpkm.HR.Tr.Road.Passenger.Car.PHEV.Gasoline</t>
  </si>
  <si>
    <t>Eff.kgoe_per_kpkm.HR.Tr.Road.Passenger.Car.BEV</t>
  </si>
  <si>
    <t>Eff.kgoe_per_kpkm.HR.Tr.Road.Passenger.Bus.ICE.Gasoline</t>
  </si>
  <si>
    <t>Eff.kgoe_per_kpkm.HR.Tr.Road.Passenger.Bus.ICE.Diesel</t>
  </si>
  <si>
    <t>Eff.kgoe_per_kpkm.HR.Tr.Road.Passenger.Bus.ICE.LPG</t>
  </si>
  <si>
    <t>Eff.kgoe_per_kpkm.HR.Tr.Road.Passenger.Bus.ICE.NGas</t>
  </si>
  <si>
    <t>Eff.kgoe_per_kpkm.HR.Tr.Road.Passenger.Bus.BEV</t>
  </si>
  <si>
    <t>Eff.kgoe_per_ktkm.HR.Tr.Road.Freight.LCV.ICE.Gasoline</t>
  </si>
  <si>
    <t>Eff.kgoe_per_ktkm.HR.Tr.Road.Freight.LCV.ICE.Diesel</t>
  </si>
  <si>
    <t>Eff.kgoe_per_ktkm.HR.Tr.Road.Freight.LCV.ICE.LPG</t>
  </si>
  <si>
    <t>Eff.kgoe_per_ktkm.HR.Tr.Road.Freight.LCV.ICE.NGas</t>
  </si>
  <si>
    <t>Eff.kgoe_per_ktkm.HR.Tr.Road.Freight.LCV.BEV</t>
  </si>
  <si>
    <t>Eff.kgoe_per_ktkm.HR.Tr.Road.Freight.HGV_Domestic</t>
  </si>
  <si>
    <t>Eff.kgoe_per_ktkm.HR.Tr.Road.Freight.HGV_International</t>
  </si>
  <si>
    <t>FEC_per_vehicle.kgoe.HR.Tr.Road.Passenger.P2W</t>
  </si>
  <si>
    <t>FEC_per_vehicle.kgoe.HR.Tr.Road.Passenger.Car</t>
  </si>
  <si>
    <t>FEC_per_vehicle.kgoe.HR.Tr.Road.Passenger.Car.ICE.Gasoline</t>
  </si>
  <si>
    <t>FEC_per_vehicle.kgoe.HR.Tr.Road.Passenger.Car.ICE.Diesel</t>
  </si>
  <si>
    <t>FEC_per_vehicle.kgoe.HR.Tr.Road.Passenger.Car.ICE.LPG</t>
  </si>
  <si>
    <t>FEC_per_vehicle.kgoe.HR.Tr.Road.Passenger.Car.ICE.NGas</t>
  </si>
  <si>
    <t>FEC_per_vehicle.kgoe.HR.Tr.Road.Passenger.Car.PHEV.Gasoline</t>
  </si>
  <si>
    <t>FEC_per_vehicle.kgoe.HR.Tr.Road.Passenger.Car.BEV</t>
  </si>
  <si>
    <t>FEC_per_vehicle.kgoe.HR.Tr.Road.Passenger.Bus</t>
  </si>
  <si>
    <t>FEC_per_vehicle.kgoe.HR.Tr.Road.Passenger.Bus.ICE.Gasoline</t>
  </si>
  <si>
    <t>FEC_per_vehicle.kgoe.HR.Tr.Road.Passenger.Bus.ICE.Diesel</t>
  </si>
  <si>
    <t>FEC_per_vehicle.kgoe.HR.Tr.Road.Passenger.Bus.ICE.LPG</t>
  </si>
  <si>
    <t>FEC_per_vehicle.kgoe.HR.Tr.Road.Passenger.Bus.ICE.NGas</t>
  </si>
  <si>
    <t>FEC_per_vehicle.kgoe.HR.Tr.Road.Passenger.Bus.BEV</t>
  </si>
  <si>
    <t>FEC_per_vehicle.kgoe.HR.Tr.Road.Freight.LCV</t>
  </si>
  <si>
    <t>FEC_per_vehicle.kgoe.HR.Tr.Road.Freight.LCV.ICE.Gasoline</t>
  </si>
  <si>
    <t>FEC_per_vehicle.kgoe.HR.Tr.Road.Freight.LCV.ICE.Diesel</t>
  </si>
  <si>
    <t>FEC_per_vehicle.kgoe.HR.Tr.Road.Freight.LCV.ICE.LPG</t>
  </si>
  <si>
    <t>FEC_per_vehicle.kgoe.HR.Tr.Road.Freight.LCV.ICE.NGas</t>
  </si>
  <si>
    <t>FEC_per_vehicle.kgoe.HR.Tr.Road.Freight.LCV.BEV</t>
  </si>
  <si>
    <t>FEC_per_vehicle.kgoe.HR.Tr.Road.Freight.HGV_All</t>
  </si>
  <si>
    <t>FEC_per_vehicle.kgoe.HR.Tr.Road.Freight.HGV_Domestic</t>
  </si>
  <si>
    <t>FEC_per_vehicle.kgoe.HR.Tr.Road.Freight.HGV_International</t>
  </si>
  <si>
    <t>Road transport / CO2 emissions - HR - Croatia</t>
  </si>
  <si>
    <t>EMI.ktCO2.HR.ES.Tr.Road</t>
  </si>
  <si>
    <t>EMI.ktCO2.HR.ES.Tr.Road.LPG</t>
  </si>
  <si>
    <t>EMI.ktCO2.HR.ES.Tr.Road.Gasoline</t>
  </si>
  <si>
    <t>EMI.ktCO2.HR.ES.Tr.Road.Diesel</t>
  </si>
  <si>
    <t>EMI.ktCO2.HR.ES.Tr.Road.NG</t>
  </si>
  <si>
    <t>EMI.ktCO2.HR.ES.Tr.Road.Biogas</t>
  </si>
  <si>
    <t>EMI.ktCO2.HR.ES.Tr.Road.Biogasoline</t>
  </si>
  <si>
    <t>EMI.ktCO2.HR.ES.Tr.Road.Biodiesel</t>
  </si>
  <si>
    <t>EMI.ktCO2.HR.ES.Tr.Road.OthLiqBio</t>
  </si>
  <si>
    <t>EMI.ktCO2.HR.ES.Tr.Road.Elec</t>
  </si>
  <si>
    <t>EMI.ktCO2.HR.Tr.Road</t>
  </si>
  <si>
    <t>EMI.ktCO2.HR.Tr.Road.Passenger.Car.ICE.Gasoline</t>
  </si>
  <si>
    <t>EMI.ktCO2.HR.Tr.Road.Passenger.Car.ICE.Diesel</t>
  </si>
  <si>
    <t>EMI.ktCO2.HR.Tr.Road.Passenger.Car.ICE.LPG</t>
  </si>
  <si>
    <t>EMI.ktCO2.HR.Tr.Road.Passenger.Car.ICE.NGas</t>
  </si>
  <si>
    <t>EMI.ktCO2.HR.Tr.Road.Passenger.Car.PHEV.Gasoline</t>
  </si>
  <si>
    <t>EMI.ktCO2.HR.Tr.Road.Passenger.Car.BEV</t>
  </si>
  <si>
    <t>EMI.ktCO2.HR.Tr.Road.Passenger.Bus.ICE.Gasoline</t>
  </si>
  <si>
    <t>EMI.ktCO2.HR.Tr.Road.Passenger.Bus.ICE.Diesel</t>
  </si>
  <si>
    <t>EMI.ktCO2.HR.Tr.Road.Passenger.Bus.ICE.LPG</t>
  </si>
  <si>
    <t>EMI.ktCO2.HR.Tr.Road.Passenger.Bus.ICE.NGas</t>
  </si>
  <si>
    <t>EMI.ktCO2.HR.Tr.Road.Passenger.Bus.BEV</t>
  </si>
  <si>
    <t>EMI.ktCO2.HR.Tr.Road.Freight.LCV.ICE.Gasoline</t>
  </si>
  <si>
    <t>EMI.ktCO2.HR.Tr.Road.Freight.LCV.ICE.Diesel</t>
  </si>
  <si>
    <t>EMI.ktCO2.HR.Tr.Road.Freight.LCV.ICE.LPG</t>
  </si>
  <si>
    <t>EMI.ktCO2.HR.Tr.Road.Freight.LCV.ICE.NGas</t>
  </si>
  <si>
    <t>EMI.ktCO2.HR.Tr.Road.Freight.LCV.BEV</t>
  </si>
  <si>
    <t>EMI.ktCO2.HR.Tr.Road.Freight.HGV_Domestic</t>
  </si>
  <si>
    <t>EMI.ktCO2.HR.Tr.Road.Freight.HGV_International</t>
  </si>
  <si>
    <t>EMIint.gCO2_per_km.HR.Tr.Road</t>
  </si>
  <si>
    <t>EMIint.gCO2_per_km.HR.Tr.Road.Passenger</t>
  </si>
  <si>
    <t>EMIint.gCO2_per_km.HR.Tr.Road.Passenger.P2W</t>
  </si>
  <si>
    <t>EMIint.gCO2_per_km.HR.Tr.Road.Passenger.Car</t>
  </si>
  <si>
    <t>EMIint.gCO2_per_km.HR.Tr.Road.Passenger.Car.ICE.Gasoline</t>
  </si>
  <si>
    <t>EMIint.gCO2_per_km.HR.Tr.Road.Passenger.Car.ICE.Diesel</t>
  </si>
  <si>
    <t>EMIint.gCO2_per_km.HR.Tr.Road.Passenger.Car.ICE.LPG</t>
  </si>
  <si>
    <t>EMIint.gCO2_per_km.HR.Tr.Road.Passenger.Car.ICE.NGas</t>
  </si>
  <si>
    <t>EMIint.gCO2_per_km.HR.Tr.Road.Passenger.Car.PHEV.Gasoline</t>
  </si>
  <si>
    <t>EMIint.gCO2_per_km.HR.Tr.Road.Passenger.Car.BEV</t>
  </si>
  <si>
    <t>EMIint.gCO2_per_km.HR.Tr.Road.Passenger.Bus</t>
  </si>
  <si>
    <t>EMIint.gCO2_per_km.HR.Tr.Road.Passenger.Bus.ICE.Gasoline</t>
  </si>
  <si>
    <t>EMIint.gCO2_per_km.HR.Tr.Road.Passenger.Bus.ICE.Diesel</t>
  </si>
  <si>
    <t>EMIint.gCO2_per_km.HR.Tr.Road.Passenger.Bus.ICE.LPG</t>
  </si>
  <si>
    <t>EMIint.gCO2_per_km.HR.Tr.Road.Passenger.Bus.ICE.NGas</t>
  </si>
  <si>
    <t>EMIint.gCO2_per_km.HR.Tr.Road.Passenger.Bus.BEV</t>
  </si>
  <si>
    <t>EMIint.gCO2_per_km.HR.Tr.Road.Freight</t>
  </si>
  <si>
    <t>EMIint.gCO2_per_km.HR.Tr.Road.Freight.LCV</t>
  </si>
  <si>
    <t>EMIint.gCO2_per_km.HR.Tr.Road.Freight.LCV.ICE.Gasoline</t>
  </si>
  <si>
    <t>EMIint.gCO2_per_km.HR.Tr.Road.Freight.LCV.ICE.Diesel</t>
  </si>
  <si>
    <t>EMIint.gCO2_per_km.HR.Tr.Road.Freight.LCV.ICE.LPG</t>
  </si>
  <si>
    <t>EMIint.gCO2_per_km.HR.Tr.Road.Freight.LCV.ICE.NGas</t>
  </si>
  <si>
    <t>EMIint.gCO2_per_km.HR.Tr.Road.Freight.LCV.BEV</t>
  </si>
  <si>
    <t>EMIint.gCO2_per_km.HR.Tr.Road.Freight.HGV_All</t>
  </si>
  <si>
    <t>EMIint.gCO2_per_km.HR.Tr.Road.Freight.HGV_Domestic</t>
  </si>
  <si>
    <t>EMIint.gCO2_per_km.HR.Tr.Road.Freight.HGV_International</t>
  </si>
  <si>
    <t>EMIint.gCO2_per_pkm.HR.Tr.Road.Passenger.Car.ICE.Gasoline</t>
  </si>
  <si>
    <t>EMIint.gCO2_per_pkm.HR.Tr.Road.Passenger.Car.ICE.Diesel</t>
  </si>
  <si>
    <t>EMIint.gCO2_per_pkm.HR.Tr.Road.Passenger.Car.ICE.LPG</t>
  </si>
  <si>
    <t>EMIint.gCO2_per_pkm.HR.Tr.Road.Passenger.Car.ICE.NGas</t>
  </si>
  <si>
    <t>EMIint.gCO2_per_pkm.HR.Tr.Road.Passenger.Car.PHEV.Gasoline</t>
  </si>
  <si>
    <t>EMIint.gCO2_per_pkm.HR.Tr.Road.Passenger.Car.BEV</t>
  </si>
  <si>
    <t>EMIint.gCO2_per_pkm.HR.Tr.Road.Passenger.Bus.ICE.Gasoline</t>
  </si>
  <si>
    <t>EMIint.gCO2_per_pkm.HR.Tr.Road.Passenger.Bus.ICE.Diesel</t>
  </si>
  <si>
    <t>EMIint.gCO2_per_pkm.HR.Tr.Road.Passenger.Bus.ICE.LPG</t>
  </si>
  <si>
    <t>EMIint.gCO2_per_pkm.HR.Tr.Road.Passenger.Bus.ICE.NGas</t>
  </si>
  <si>
    <t>EMIint.gCO2_per_pkm.HR.Tr.Road.Passenger.Bus.BEV</t>
  </si>
  <si>
    <t>EMIint.gCO2_per_tkm.HR.Tr.Road.Freight.LCV.ICE.Gasoline</t>
  </si>
  <si>
    <t>EMIint.gCO2_per_tkm.HR.Tr.Road.Freight.LCV.ICE.Diesel</t>
  </si>
  <si>
    <t>EMIint.gCO2_per_tkm.HR.Tr.Road.Freight.LCV.ICE.LPG</t>
  </si>
  <si>
    <t>EMIint.gCO2_per_tkm.HR.Tr.Road.Freight.LCV.ICE.NGas</t>
  </si>
  <si>
    <t>EMIint.gCO2_per_tkm.HR.Tr.Road.Freight.LCV.BEV</t>
  </si>
  <si>
    <t>EMIint.gCO2_per_tkm.HR.Tr.Road.Freight.HGV_Domestic</t>
  </si>
  <si>
    <t>EMIint.gCO2_per_tkm.HR.Tr.Road.Freight.HGV_International</t>
  </si>
  <si>
    <t>EMI_per_vehicle.kgCO2.HR.Tr.Road.Passenger.P2W</t>
  </si>
  <si>
    <t>EMI_per_vehicle.kgCO2.HR.Tr.Road.Passenger.Car</t>
  </si>
  <si>
    <t>EMI_per_vehicle.kgCO2.HR.Tr.Road.Passenger.Car.ICE.Gasoline</t>
  </si>
  <si>
    <t>EMI_per_vehicle.kgCO2.HR.Tr.Road.Passenger.Car.ICE.Diesel</t>
  </si>
  <si>
    <t>EMI_per_vehicle.kgCO2.HR.Tr.Road.Passenger.Car.ICE.LPG</t>
  </si>
  <si>
    <t>EMI_per_vehicle.kgCO2.HR.Tr.Road.Passenger.Car.ICE.NGas</t>
  </si>
  <si>
    <t>EMI_per_vehicle.kgCO2.HR.Tr.Road.Passenger.Car.PHEV.Gasoline</t>
  </si>
  <si>
    <t>EMI_per_vehicle.kgCO2.HR.Tr.Road.Passenger.Car.BEV</t>
  </si>
  <si>
    <t>EMI_per_vehicle.kgCO2.HR.Tr.Road.Passenger.Bus</t>
  </si>
  <si>
    <t>EMI_per_vehicle.kgCO2.HR.Tr.Road.Passenger.Bus.ICE.Gasoline</t>
  </si>
  <si>
    <t>EMI_per_vehicle.kgCO2.HR.Tr.Road.Passenger.Bus.ICE.Diesel</t>
  </si>
  <si>
    <t>EMI_per_vehicle.kgCO2.HR.Tr.Road.Passenger.Bus.ICE.LPG</t>
  </si>
  <si>
    <t>EMI_per_vehicle.kgCO2.HR.Tr.Road.Passenger.Bus.ICE.NGas</t>
  </si>
  <si>
    <t>EMI_per_vehicle.kgCO2.HR.Tr.Road.Passenger.Bus.BEV</t>
  </si>
  <si>
    <t>EMI_per_vehicle.kgCO2.HR.Tr.Road.Freight.LCV</t>
  </si>
  <si>
    <t>EMI_per_vehicle.kgCO2.HR.Tr.Road.Freight.LCV.ICE.Gasoline</t>
  </si>
  <si>
    <t>EMI_per_vehicle.kgCO2.HR.Tr.Road.Freight.LCV.ICE.Diesel</t>
  </si>
  <si>
    <t>EMI_per_vehicle.kgCO2.HR.Tr.Road.Freight.LCV.ICE.LPG</t>
  </si>
  <si>
    <t>EMI_per_vehicle.kgCO2.HR.Tr.Road.Freight.LCV.ICE.NGas</t>
  </si>
  <si>
    <t>EMI_per_vehicle.kgCO2.HR.Tr.Road.Freight.LCV.BEV</t>
  </si>
  <si>
    <t>EMI_per_vehicle.kgCO2.HR.Tr.Road.Freight.HGV_All</t>
  </si>
  <si>
    <t>EMI_per_vehicle.kgCO2.HR.Tr.Road.Freight.HGV_Domestic</t>
  </si>
  <si>
    <t>EMI_per_vehicle.kgCO2.HR.Tr.Road.Freight.HGV_International</t>
  </si>
  <si>
    <t>Road transport / technologies - HR - Croatia</t>
  </si>
  <si>
    <t>Stock.number.HR.Tr.Road.Freight.HGV_all</t>
  </si>
  <si>
    <t>StockVin.number.HR.Tr.Road</t>
  </si>
  <si>
    <t>StockVin.number.HR.Tr.Road.Passenger</t>
  </si>
  <si>
    <t>StockVin.number.HR.Tr.Road.Passenger.P2W</t>
  </si>
  <si>
    <t>StockVin.number.HR.Tr.Road.Passenger.Car</t>
  </si>
  <si>
    <t>StockVin.number.HR.Tr.Road.Passenger.Car.ICE.Gasoline</t>
  </si>
  <si>
    <t>StockVin.number.HR.Tr.Road.Passenger.Car.ICE.Diesel</t>
  </si>
  <si>
    <t>StockVin.number.HR.Tr.Road.Passenger.Car.ICE.LPG</t>
  </si>
  <si>
    <t>StockVin.number.HR.Tr.Road.Passenger.Car.ICE.NGas</t>
  </si>
  <si>
    <t>StockVin.number.HR.Tr.Road.Passenger.Car.PHEV.Gasoline</t>
  </si>
  <si>
    <t>StockVin.number.HR.Tr.Road.Passenger.Car.BEV</t>
  </si>
  <si>
    <t>StockVin.number.HR.Tr.Road.Passenger.Bus</t>
  </si>
  <si>
    <t>StockVin.number.HR.Tr.Road.Passenger.Bus.ICE.Gasoline</t>
  </si>
  <si>
    <t>StockVin.number.HR.Tr.Road.Passenger.Bus.ICE.Diesel</t>
  </si>
  <si>
    <t>StockVin.number.HR.Tr.Road.Passenger.Bus.ICE.LPG</t>
  </si>
  <si>
    <t>StockVin.number.HR.Tr.Road.Passenger.Bus.ICE.NGas</t>
  </si>
  <si>
    <t>StockVin.number.HR.Tr.Road.Passenger.Bus.BEV</t>
  </si>
  <si>
    <t>StockVin.number.HR.Tr.Road.Freight</t>
  </si>
  <si>
    <t>StockVin.number.HR.Tr.Road.Freight.LCV</t>
  </si>
  <si>
    <t>StockVin.number.HR.Tr.Road.Freight.LCV.ICE.Gasoline</t>
  </si>
  <si>
    <t>StockVin.number.HR.Tr.Road.Freight.LCV.ICE.Diesel</t>
  </si>
  <si>
    <t>StockVin.number.HR.Tr.Road.Freight.LCV.ICE.LPG</t>
  </si>
  <si>
    <t>StockVin.number.HR.Tr.Road.Freight.LCV.ICE.NGas</t>
  </si>
  <si>
    <t>StockVin.number.HR.Tr.Road.Freight.LCV.BEV</t>
  </si>
  <si>
    <t>StockVin.number.HR.Tr.Road.Freight.HGV_All</t>
  </si>
  <si>
    <t>StockVin.number.HR.Tr.Road.Freight.HGV_Domestic</t>
  </si>
  <si>
    <t>StockVin.number.HR.Tr.Road.Freight.HGV_International</t>
  </si>
  <si>
    <t>Eff_test_stock.kgoe_per_100km.HR.Tr.Road.Passenger.P2W</t>
  </si>
  <si>
    <t>Eff_test_stock.kgoe_per_100km.HR.Tr.Road.Passenger.Car</t>
  </si>
  <si>
    <t>Eff_test_stock.kgoe_per_100km.HR.Tr.Road.Passenger.Car.ICE.Gasoline</t>
  </si>
  <si>
    <t>Eff_test_stock.kgoe_per_100km.HR.Tr.Road.Passenger.Car.ICE.Diesel</t>
  </si>
  <si>
    <t>Eff_test_stock.kgoe_per_100km.HR.Tr.Road.Passenger.Car.ICE.LPG</t>
  </si>
  <si>
    <t>Eff_test_stock.kgoe_per_100km.HR.Tr.Road.Passenger.Car.ICE.NGas</t>
  </si>
  <si>
    <t>Eff_test_stock.kgoe_per_100km.HR.Tr.Road.Passenger.Car.PHEV.Gasoline</t>
  </si>
  <si>
    <t>Eff_test_stock.kgoe_per_100km.HR.Tr.Road.Passenger.Car.BEV</t>
  </si>
  <si>
    <t>Eff_test_stock.kgoe_per_100km.HR.Tr.Road.Passenger.Bus</t>
  </si>
  <si>
    <t>Eff_test_stock.kgoe_per_100km.HR.Tr.Road.Passenger.Bus.ICE.Gasoline</t>
  </si>
  <si>
    <t>Eff_test_stock.kgoe_per_100km.HR.Tr.Road.Passenger.Bus.ICE.Diesel</t>
  </si>
  <si>
    <t>Eff_test_stock.kgoe_per_100km.HR.Tr.Road.Passenger.Bus.ICE.LPG</t>
  </si>
  <si>
    <t>Eff_test_stock.kgoe_per_100km.HR.Tr.Road.Passenger.Bus.ICE.NGas</t>
  </si>
  <si>
    <t>Eff_test_stock.kgoe_per_100km.HR.Tr.Road.Passenger.Bus.BEV</t>
  </si>
  <si>
    <t>Eff_test_stock.kgoe_per_100km.HR.Tr.Road.Freight.LCV</t>
  </si>
  <si>
    <t>Eff_test_stock.kgoe_per_100km.HR.Tr.Road.Freight.LCV.ICE.Gasoline</t>
  </si>
  <si>
    <t>Eff_test_stock.kgoe_per_100km.HR.Tr.Road.Freight.LCV.ICE.Diesel</t>
  </si>
  <si>
    <t>Eff_test_stock.kgoe_per_100km.HR.Tr.Road.Freight.LCV.ICE.LPG</t>
  </si>
  <si>
    <t>Eff_test_stock.kgoe_per_100km.HR.Tr.Road.Freight.LCV.ICE.NGas</t>
  </si>
  <si>
    <t>Eff_test_stock.kgoe_per_100km.HR.Tr.Road.Freight.LCV.BEV</t>
  </si>
  <si>
    <t>Eff_test_stock.kgoe_per_100km.HR.Tr.Road.Freight.HGV_All</t>
  </si>
  <si>
    <t>Eff_test_stock.kgoe_per_100km.HR.Tr.Road.Freight.HGV_Domestic</t>
  </si>
  <si>
    <t>Eff_test_stock.kgoe_per_100km.HR.Tr.Road.Freight.HGV_International</t>
  </si>
  <si>
    <t>Eff_test_new.kgoe_per_100km.HR.Tr.Road.Passenger.P2W</t>
  </si>
  <si>
    <t>Eff_test_new.kgoe_per_100km.HR.Tr.Road.Passenger.Car</t>
  </si>
  <si>
    <t>Eff_test_new.kgoe_per_100km.HR.Tr.Road.Passenger.Car.ICE.Gasoline</t>
  </si>
  <si>
    <t>Eff_test_new.kgoe_per_100km.HR.Tr.Road.Passenger.Car.ICE.Diesel</t>
  </si>
  <si>
    <t>Eff_test_new.kgoe_per_100km.HR.Tr.Road.Passenger.Car.ICE.LPG</t>
  </si>
  <si>
    <t>Eff_test_new.kgoe_per_100km.HR.Tr.Road.Passenger.Car.ICE.NGas</t>
  </si>
  <si>
    <t>Eff_test_new.kgoe_per_100km.HR.Tr.Road.Passenger.Car.PHEV.Gasoline</t>
  </si>
  <si>
    <t>Eff_test_new.kgoe_per_100km.HR.Tr.Road.Passenger.Car.BEV</t>
  </si>
  <si>
    <t>Eff_test_new.kgoe_per_100km.HR.Tr.Road.Passenger.Bus</t>
  </si>
  <si>
    <t>Eff_test_new.kgoe_per_100km.HR.Tr.Road.Passenger.Bus.ICE.Gasoline</t>
  </si>
  <si>
    <t>Eff_test_new.kgoe_per_100km.HR.Tr.Road.Passenger.Bus.ICE.Diesel</t>
  </si>
  <si>
    <t>Eff_test_new.kgoe_per_100km.HR.Tr.Road.Passenger.Bus.ICE.LPG</t>
  </si>
  <si>
    <t>Eff_test_new.kgoe_per_100km.HR.Tr.Road.Passenger.Bus.ICE.NGas</t>
  </si>
  <si>
    <t>Eff_test_new.kgoe_per_100km.HR.Tr.Road.Passenger.Bus.BEV</t>
  </si>
  <si>
    <t>Eff_test_new.kgoe_per_100km.HR.Tr.Road.Freight.LCV</t>
  </si>
  <si>
    <t>Eff_test_new.kgoe_per_100km.HR.Tr.Road.Freight.LCV.ICE.Gasoline</t>
  </si>
  <si>
    <t>Eff_test_new.kgoe_per_100km.HR.Tr.Road.Freight.LCV.ICE.Diesel</t>
  </si>
  <si>
    <t>Eff_test_new.kgoe_per_100km.HR.Tr.Road.Freight.LCV.ICE.LPG</t>
  </si>
  <si>
    <t>Eff_test_new.kgoe_per_100km.HR.Tr.Road.Freight.LCV.ICE.NGas</t>
  </si>
  <si>
    <t>Eff_test_new.kgoe_per_100km.HR.Tr.Road.Freight.LCV.BEV</t>
  </si>
  <si>
    <t>Eff_test_new.kgoe_per_100km.HR.Tr.Road.Freight.HGV_All</t>
  </si>
  <si>
    <t>Eff_test_new.kgoe_per_100km.HR.Tr.Road.Freight.HGV_Domestic</t>
  </si>
  <si>
    <t>Eff_test_new.kgoe_per_100km.HR.Tr.Road.Freight.HGV_International</t>
  </si>
  <si>
    <t>EMIint_test_stock.gCO2_per_km.HR.Tr.Road.Passenger.P2W</t>
  </si>
  <si>
    <t>EMIint_test_stock.gCO2_per_km.HR.Tr.Road.Passenger.Car</t>
  </si>
  <si>
    <t>EMIint_test_stock.gCO2_per_km.HR.Tr.Road.Passenger.Car.ICE.Gasoline</t>
  </si>
  <si>
    <t>EMIint_test_stock.gCO2_per_km.HR.Tr.Road.Passenger.Car.ICE.Diesel</t>
  </si>
  <si>
    <t>EMIint_test_stock.gCO2_per_km.HR.Tr.Road.Passenger.Car.ICE.LPG</t>
  </si>
  <si>
    <t>EMIint_test_stock.gCO2_per_km.HR.Tr.Road.Passenger.Car.ICE.NGas</t>
  </si>
  <si>
    <t>EMIint_test_stock.gCO2_per_km.HR.Tr.Road.Passenger.Car.PHEV.Gasoline</t>
  </si>
  <si>
    <t>EMIint_test_stock.gCO2_per_km.HR.Tr.Road.Passenger.Car.BEV</t>
  </si>
  <si>
    <t>EMIint_test_stock.gCO2_per_km.HR.Tr.Road.Passenger.Bus</t>
  </si>
  <si>
    <t>EMIint_test_stock.gCO2_per_km.HR.Tr.Road.Passenger.Bus.ICE.Gasoline</t>
  </si>
  <si>
    <t>EMIint_test_stock.gCO2_per_km.HR.Tr.Road.Passenger.Bus.ICE.Diesel</t>
  </si>
  <si>
    <t>EMIint_test_stock.gCO2_per_km.HR.Tr.Road.Passenger.Bus.ICE.LPG</t>
  </si>
  <si>
    <t>EMIint_test_stock.gCO2_per_km.HR.Tr.Road.Passenger.Bus.ICE.NGas</t>
  </si>
  <si>
    <t>EMIint_test_stock.gCO2_per_km.HR.Tr.Road.Passenger.Bus.BEV</t>
  </si>
  <si>
    <t>EMIint_test_stock.gCO2_per_km.HR.Tr.Road.Freight.LCV</t>
  </si>
  <si>
    <t>EMIint_test_stock.gCO2_per_km.HR.Tr.Road.Freight.LCV.ICE.Gasoline</t>
  </si>
  <si>
    <t>EMIint_test_stock.gCO2_per_km.HR.Tr.Road.Freight.LCV.ICE.Diesel</t>
  </si>
  <si>
    <t>EMIint_test_stock.gCO2_per_km.HR.Tr.Road.Freight.LCV.ICE.LPG</t>
  </si>
  <si>
    <t>EMIint_test_stock.gCO2_per_km.HR.Tr.Road.Freight.LCV.ICE.NGas</t>
  </si>
  <si>
    <t>EMIint_test_stock.gCO2_per_km.HR.Tr.Road.Freight.LCV.BEV</t>
  </si>
  <si>
    <t>EMIint_test_stock.gCO2_per_km.HR.Tr.Road.Freight.HGV_All</t>
  </si>
  <si>
    <t>EMIint_test_stock.gCO2_per_km.HR.Tr.Road.Freight.HGV_Domestic</t>
  </si>
  <si>
    <t>EMIint_test_stock.gCO2_per_km.HR.Tr.Road.Freight.HGV_International</t>
  </si>
  <si>
    <t>EMIint_test_new.gCO2_per_km.HR.Tr.Road.Passenger.P2W</t>
  </si>
  <si>
    <t>EMIint_test_new.gCO2_per_km.HR.Tr.Road.Passenger.Car</t>
  </si>
  <si>
    <t>EMIint_test_new.gCO2_per_km.HR.Tr.Road.Passenger.Car.ICE.Gasoline</t>
  </si>
  <si>
    <t>EMIint_test_new.gCO2_per_km.HR.Tr.Road.Passenger.Car.ICE.Diesel</t>
  </si>
  <si>
    <t>EMIint_test_new.gCO2_per_km.HR.Tr.Road.Passenger.Car.ICE.LPG</t>
  </si>
  <si>
    <t>EMIint_test_new.gCO2_per_km.HR.Tr.Road.Passenger.Car.ICE.NGas</t>
  </si>
  <si>
    <t>EMIint_test_new.gCO2_per_km.HR.Tr.Road.Passenger.Car.PHEV.Gasoline</t>
  </si>
  <si>
    <t>EMIint_test_new.gCO2_per_km.HR.Tr.Road.Passenger.Car.BEV</t>
  </si>
  <si>
    <t>EMIint_test_new.gCO2_per_km.HR.Tr.Road.Passenger.Bus</t>
  </si>
  <si>
    <t>EMIint_test_new.gCO2_per_km.HR.Tr.Road.Passenger.Bus.ICE.Gasoline</t>
  </si>
  <si>
    <t>EMIint_test_new.gCO2_per_km.HR.Tr.Road.Passenger.Bus.ICE.Diesel</t>
  </si>
  <si>
    <t>EMIint_test_new.gCO2_per_km.HR.Tr.Road.Passenger.Bus.ICE.LPG</t>
  </si>
  <si>
    <t>EMIint_test_new.gCO2_per_km.HR.Tr.Road.Passenger.Bus.ICE.NGas</t>
  </si>
  <si>
    <t>EMIint_test_new.gCO2_per_km.HR.Tr.Road.Passenger.Bus.BEV</t>
  </si>
  <si>
    <t>EMIint_test_new.gCO2_per_km.HR.Tr.Road.Freight.LCV</t>
  </si>
  <si>
    <t>EMIint_test_new.gCO2_per_km.HR.Tr.Road.Freight.LCV.ICE.Gasoline</t>
  </si>
  <si>
    <t>EMIint_test_new.gCO2_per_km.HR.Tr.Road.Freight.LCV.ICE.Diesel</t>
  </si>
  <si>
    <t>EMIint_test_new.gCO2_per_km.HR.Tr.Road.Freight.LCV.ICE.LPG</t>
  </si>
  <si>
    <t>EMIint_test_new.gCO2_per_km.HR.Tr.Road.Freight.LCV.ICE.NGas</t>
  </si>
  <si>
    <t>EMIint_test_new.gCO2_per_km.HR.Tr.Road.Freight.LCV.BEV</t>
  </si>
  <si>
    <t>EMIint_test_new.gCO2_per_km.HR.Tr.Road.Freight.HGV_All</t>
  </si>
  <si>
    <t>EMIint_test_new.gCO2_per_km.HR.Tr.Road.Freight.HGV_Domestic</t>
  </si>
  <si>
    <t>EMIint_test_new.gCO2_per_km.HR.Tr.Road.Freight.HGV_International</t>
  </si>
  <si>
    <t>FEC.ktoe.HR.MBunk</t>
  </si>
  <si>
    <t>FEC.ktoe.HR.MBunk.IntraEEA</t>
  </si>
  <si>
    <t>FEC.ktoe.HR.MBunk.ExtraEEA</t>
  </si>
  <si>
    <t>EMI.ktCO2.HR.MBunk</t>
  </si>
  <si>
    <t>EMI.ktCO2.HR.MBunk.IntraEEA</t>
  </si>
  <si>
    <t>EMI.ktCO2.HR.MBunk.ExtraEEA</t>
  </si>
  <si>
    <t>International maritime bunkers - HR - Croatia</t>
  </si>
  <si>
    <t>VehicleKm.Mkm.HR.MBunk.Freight</t>
  </si>
  <si>
    <t>VehicleKm.Mkm.HR.MBunk.Freight.IntraEEA</t>
  </si>
  <si>
    <t>VehicleKm.Mkm.HR.MBunk.Freight.ExtraEEA</t>
  </si>
  <si>
    <t>Load.t_per_movement.HR.MBunk.Freight</t>
  </si>
  <si>
    <t>Load.t_per_movement.HR.MBunk.Freight.IntraEEA</t>
  </si>
  <si>
    <t>Load.t_per_movement.HR.MBunk.Freight.ExtraEEA</t>
  </si>
  <si>
    <t>International maritime bunkers / energy consumption - HR - Croatia</t>
  </si>
  <si>
    <t>FEC.ktoe.HR.ES.MBunk</t>
  </si>
  <si>
    <t>FEC.ktoe.HR.ES.MBunk.IntraEEA</t>
  </si>
  <si>
    <t>FEC.ktoe.HR.ES.MBunk.IntraEEA.Diesel</t>
  </si>
  <si>
    <t>FEC.ktoe.HR.ES.MBunk.IntraEEA.RFO_Other</t>
  </si>
  <si>
    <t>FEC.ktoe.HR.ES.MBunk.IntraEEA.LiqBio</t>
  </si>
  <si>
    <t>FEC.ktoe.HR.ES.MBunk.IntraEEA.NG</t>
  </si>
  <si>
    <t>FEC.ktoe.HR.ES.MBunk.IntraEEA.Biogas</t>
  </si>
  <si>
    <t>FEC.ktoe.HR.ES.MBunk.ExtraEEA</t>
  </si>
  <si>
    <t>FEC.ktoe.HR.ES.MBunk.ExtraEEA.Diesel</t>
  </si>
  <si>
    <t>FEC.ktoe.HR.ES.MBunk.ExtraEEA.RFO_Other</t>
  </si>
  <si>
    <t>FEC.ktoe.HR.ES.MBunk.ExtraEEA.LiqBio</t>
  </si>
  <si>
    <t>FEC.ktoe.HR.ES.MBunk.ExtraEEA.NG</t>
  </si>
  <si>
    <t>FEC.ktoe.HR.ES.MBunk.ExtraEEA.Biogas</t>
  </si>
  <si>
    <t>Eff.kgoe_per_100km.HR.MBunk.Freight</t>
  </si>
  <si>
    <t>Eff.kgoe_per_100km.HR.MBunk.Freight.IntraEEA</t>
  </si>
  <si>
    <t>Eff.kgoe_per_100km.HR.MBunk.Freight.ExtraEEA</t>
  </si>
  <si>
    <t>International maritime bunkers / CO2 emissions - HR - Croatia</t>
  </si>
  <si>
    <t>EMI.ktCO2.HR.ES.MBunk</t>
  </si>
  <si>
    <t>EMI.ktCO2.HR.ES.MBunk.IntraEEA</t>
  </si>
  <si>
    <t>EMI.ktCO2.HR.ES.MBunk.ExtraEEA</t>
  </si>
  <si>
    <t>EMIint.gCO2_per_km.HR.MBunk.Freight</t>
  </si>
  <si>
    <t>EMIint.gCO2_per_km.HR.MBunk.Freight.IntraEEA</t>
  </si>
  <si>
    <t>EMIint.gCO2_per_km.HR.MBunk.Freight.ExtraEEA</t>
  </si>
  <si>
    <t>FEC.ktoe.HR.Tr.DNavi</t>
  </si>
  <si>
    <t>FEC.ktoe.HR.Tr.Dnavi.DCS</t>
  </si>
  <si>
    <t>FEC.ktoe.HR.Tr.Dnavi.IWW</t>
  </si>
  <si>
    <t>EMI.ktCO2.HR.Tr.DNavi</t>
  </si>
  <si>
    <t>EMI.ktCO2.HR.Tr.Dnavi.DCS</t>
  </si>
  <si>
    <t>EMI.ktCO2.HR.Tr.Dnavi.IWW</t>
  </si>
  <si>
    <t>Domestic navigation - HR - Croatia</t>
  </si>
  <si>
    <t>VehicleKm.Mkm.HR.Tr.DNavi.Freight</t>
  </si>
  <si>
    <t>VehicleKm.Mkm.HR.Tr.DNavi.Freight.DCS</t>
  </si>
  <si>
    <t>VehicleKm.Mkm.HR.Tr.DNavi.Freight.IWW</t>
  </si>
  <si>
    <t>Load.t_per_movement.HR.Tr.DNavi.Freight</t>
  </si>
  <si>
    <t>Load.t_per_movement.HR.Tr.DNavi.Freight.DCS</t>
  </si>
  <si>
    <t>Load.t_per_movement.HR.Tr.DNavi.Freight.IWW</t>
  </si>
  <si>
    <t>Domestic navigation / energy consumption - HR - Croatia</t>
  </si>
  <si>
    <t>FEC.ktoe.HR.ES.Tr.DNavi</t>
  </si>
  <si>
    <t>FEC.ktoe.HR.ES.Tr.DNavi.DCS</t>
  </si>
  <si>
    <t>FEC.ktoe.HR.ES.Tr.DNavi.DCS.Diesel</t>
  </si>
  <si>
    <t>FEC.ktoe.HR.ES.Tr.DNavi.DCS.RFO_Other</t>
  </si>
  <si>
    <t>FEC.ktoe.HR.ES.Tr.DNavi.DCS.LiqBio</t>
  </si>
  <si>
    <t>FEC.ktoe.HR.ES.Tr.DNavi.DCS.NG</t>
  </si>
  <si>
    <t>FEC.ktoe.HR.ES.Tr.DNavi.DCS.Biogas</t>
  </si>
  <si>
    <t>FEC.ktoe.HR.ES.Tr.DNavi.IWW</t>
  </si>
  <si>
    <t>FEC.ktoe.HR.ES.Tr.DNavi.IWW.Diesel</t>
  </si>
  <si>
    <t>FEC.ktoe.HR.ES.Tr.DNavi.IWW.RFO_Other</t>
  </si>
  <si>
    <t>FEC.ktoe.HR.ES.Tr.DNavi.IWW.LiqBio</t>
  </si>
  <si>
    <t>FEC.ktoe.HR.ES.Tr.DNavi.IWW.NG</t>
  </si>
  <si>
    <t>FEC.ktoe.HR.ES.Tr.DNavi.IWW.Biogas</t>
  </si>
  <si>
    <t>Eff.kgoe_per_100km.HR.Tr.DNavi.Freight</t>
  </si>
  <si>
    <t>Eff.kgoe_per_100km.HR.Tr.DNavi.Freight.DCS</t>
  </si>
  <si>
    <t>Eff.kgoe_per_100km.HR.Tr.DNavi.Freight.IWW</t>
  </si>
  <si>
    <t>Domestic navigation / CO2 emissions - HR - Croatia</t>
  </si>
  <si>
    <t>EMI.ktCO2.HR.ES.Tr.DNavi</t>
  </si>
  <si>
    <t>EMI.ktCO2.HR.ES.Tr.DNavi.DCS</t>
  </si>
  <si>
    <t>EMI.ktCO2.HR.ES.Tr.DNavi.IWW</t>
  </si>
  <si>
    <t>EMIint.gCO2_per_km.HR.Tr.DNavi.Freight</t>
  </si>
  <si>
    <t>EMIint.gCO2_per_km.HR.Tr.DNavi.Freight.DCS</t>
  </si>
  <si>
    <t>EMIint.gCO2_per_km.HR.Tr.DNavi.Freight.IWW</t>
  </si>
  <si>
    <t>Rail, metro and tram - HR - Croatia</t>
  </si>
  <si>
    <t>Activity.Mpkm.HR.Tr.Rail.Passenger.CPT.Diesel</t>
  </si>
  <si>
    <t>Activity.Mpkm.HR.Tr.Rail.Passenger.CPT.Elc</t>
  </si>
  <si>
    <t>Activity.Mtkm.HR.Tr.Rail.Freight.Diesel</t>
  </si>
  <si>
    <t>Activity.Mtkm.HR.Tr.Rail.Freight.Elc</t>
  </si>
  <si>
    <t>VehicleKm.Mkm.HR.Tr.Rail</t>
  </si>
  <si>
    <t>VehicleKm.Mkm.HR.Tr.Rail.Passenger</t>
  </si>
  <si>
    <t>VehicleKm.Mkm.HR.Tr.Rail.Passenger.MTU</t>
  </si>
  <si>
    <t>VehicleKm.Mkm.HR.Tr.Rail.Passenger.CPT</t>
  </si>
  <si>
    <t>VehicleKm.Mkm.HR.Tr.Rail.Passenger.CPT.Diesel</t>
  </si>
  <si>
    <t>VehicleKm.Mkm.HR.Tr.Rail.Passenger.CPT.Elc</t>
  </si>
  <si>
    <t>VehicleKm.Mkm.HR.Tr.Rail.Passenger.HST</t>
  </si>
  <si>
    <t>VehicleKm.Mkm.HR.Tr.Rail.Freight</t>
  </si>
  <si>
    <t>VehicleKm.Mkm.HR.Tr.Rail.Freight.Diesel</t>
  </si>
  <si>
    <t>VehicleKm.Mkm.HR.Tr.Rail.Freight.Elc</t>
  </si>
  <si>
    <t>Stock.number.HR.Tr.Rail</t>
  </si>
  <si>
    <t>Stock.number.HR.Tr.Rail.Passenger</t>
  </si>
  <si>
    <t>Stock.number.HR.Tr.Rail.Passenger.MTU</t>
  </si>
  <si>
    <t>Stock.number.HR.Tr.Rail.Passenger.CPT</t>
  </si>
  <si>
    <t>Stock.number.HR.Tr.Rail.Passenger.CPT.Diesel</t>
  </si>
  <si>
    <t>Stock.number.HR.Tr.Rail.Passenger.CPT.Elc</t>
  </si>
  <si>
    <t>Stock.number.HR.Tr.Rail.Passenger.HST</t>
  </si>
  <si>
    <t>Stock.number.HR.Tr.Rail.Freight</t>
  </si>
  <si>
    <t>Stock.number.HR.Tr.Rail.Freight.Diesel</t>
  </si>
  <si>
    <t>Stock.number.HR.Tr.Rail.Freight.Elc</t>
  </si>
  <si>
    <t>StockNew.number.HR.Tr.Rail</t>
  </si>
  <si>
    <t>StockNew.number.HR.Tr.Rail.Passenger</t>
  </si>
  <si>
    <t>StockNew.number.HR.Tr.Rail.Passenger.MTU</t>
  </si>
  <si>
    <t>StockNew.number.HR.Tr.Rail.Passenger.CPT</t>
  </si>
  <si>
    <t>StockNew.number.HR.Tr.Rail.Passenger.CPT.Diesel</t>
  </si>
  <si>
    <t>StockNew.number.HR.Tr.Rail.Passenger.CPT.Elc</t>
  </si>
  <si>
    <t>StockNew.number.HR.Tr.Rail.Passenger.HST</t>
  </si>
  <si>
    <t>StockNew.number.HR.Tr.Rail.Freight</t>
  </si>
  <si>
    <t>StockNew.number.HR.Tr.Rail.Freight.Diesel</t>
  </si>
  <si>
    <t>StockNew.number.HR.Tr.Rail.Freight.Elc</t>
  </si>
  <si>
    <t>Load.passenger_per_movement.HR.Tr.Rail.Passenger</t>
  </si>
  <si>
    <t>Load.passenger_per_movement.HR.Tr.Rail.Passenger.MTU</t>
  </si>
  <si>
    <t>Load.passenger_per_movement.HR.Tr.Rail.Passenger.CPT</t>
  </si>
  <si>
    <t>Load.passenger_per_movement.HR.Tr.Rail.Passenger.CPT.Diesel</t>
  </si>
  <si>
    <t>Load.passenger_per_movement.HR.Tr.Rail.Passenger.CPT.Elc</t>
  </si>
  <si>
    <t>Load.passenger_per_movement.HR.Tr.Rail.Passenger.HST</t>
  </si>
  <si>
    <t>Load.t_per_movement.HR.Tr.Rail.Freight</t>
  </si>
  <si>
    <t>Load.t_per_movement.HR.Tr.Rail.Freight.Diesel</t>
  </si>
  <si>
    <t>Load.t_per_movement.HR.Tr.Rail.Freight.Elc</t>
  </si>
  <si>
    <t>TrCap.seats.HR.Tr.Rail.Passenger</t>
  </si>
  <si>
    <t>TrCap.seats.HR.Tr.Rail.Passenger.MTU</t>
  </si>
  <si>
    <t>TrCap.seats.HR.Tr.Rail.Passenger.CPT</t>
  </si>
  <si>
    <t>TrCap.seats.HR.Tr.Rail.Passenger.CPT.Diesel</t>
  </si>
  <si>
    <t>TrCap.seats.HR.Tr.Rail.Passenger.CPT.Elc</t>
  </si>
  <si>
    <t>TrCap.seats.HR.Tr.Rail.Passenger.HST</t>
  </si>
  <si>
    <t>TrCap.t.HR.Tr.Rail.Freight</t>
  </si>
  <si>
    <t>TrCap.t.HR.Tr.Rail.Freight.Diesel</t>
  </si>
  <si>
    <t>TrCap.t.HR.Tr.Rail.Freight.Elc</t>
  </si>
  <si>
    <t>VehicleKm_per_vehicle.km.HR.Tr.Rail</t>
  </si>
  <si>
    <t>VehicleKm_per_vehicle.km.HR.Tr.Rail.Passenger</t>
  </si>
  <si>
    <t>VehicleKm_per_vehicle.km.HR.Tr.Rail.Passenger.MTU</t>
  </si>
  <si>
    <t>VehicleKm_per_vehicle.km.HR.Tr.Rail.Passenger.CPT</t>
  </si>
  <si>
    <t>VehicleKm_per_vehicle.km.HR.Tr.Rail.Passenger.CPT.Diesel</t>
  </si>
  <si>
    <t>VehicleKm_per_vehicle.km.HR.Tr.Rail.Passenger.CPT.Elc</t>
  </si>
  <si>
    <t>VehicleKm_per_vehicle.km.HR.Tr.Rail.Passenger.HST</t>
  </si>
  <si>
    <t>VehicleKm_per_vehicle.km.HR.Tr.Rail.Freight</t>
  </si>
  <si>
    <t>VehicleKm_per_vehicle.km.HR.Tr.Rail.Freight.Diesel</t>
  </si>
  <si>
    <t>VehicleKm_per_vehicle.km.HR.Tr.Rail.Freight.Elc</t>
  </si>
  <si>
    <t>Activity_per_vehicle.pkm.HR.Tr.Rail.Passenger</t>
  </si>
  <si>
    <t>Activity_per_vehicle.pkm.HR.Tr.Rail.Passenger.MTU</t>
  </si>
  <si>
    <t>Activity_per_vehicle.pkm.HR.Tr.Rail.Passenger.CPT</t>
  </si>
  <si>
    <t>Activity_per_vehicle.pkm.HR.Tr.Rail.Passenger.CPT.Diesel</t>
  </si>
  <si>
    <t>Activity_per_vehicle.pkm.HR.Tr.Rail.Passenger.CPT.Elc</t>
  </si>
  <si>
    <t>Activity_per_vehicle.pkm.HR.Tr.Rail.Passenger.HST</t>
  </si>
  <si>
    <t>Activity_per_vehicle.tkm.HR.Tr.Rail.Freight</t>
  </si>
  <si>
    <t>Activity_per_vehicle.tkm.HR.Tr.Rail.Freight.Diesel</t>
  </si>
  <si>
    <t>Activity_per_vehicle.tkm.HR.Tr.Rail.Freight.Elc</t>
  </si>
  <si>
    <t>Rail, metro and tram / energy consumption - HR - Croatia</t>
  </si>
  <si>
    <t>FEC.ktoe.HR.ES.Tr.Rail</t>
  </si>
  <si>
    <t>FEC.ktoe.HR.ES.Tr.Rail.Diesel</t>
  </si>
  <si>
    <t>FEC.ktoe.HR.ES.Tr.Rail.LiqBio</t>
  </si>
  <si>
    <t>FEC.ktoe.HR.ES.Tr.Rail.Elec</t>
  </si>
  <si>
    <t>FEC.ktoe.HR.Tr.Rail</t>
  </si>
  <si>
    <t>FEC.ktoe.HR.Tr.Rail.Passenger.CPT.Diesel</t>
  </si>
  <si>
    <t>FEC.ktoe.HR.Tr.Rail.Passenger.CPT.Elc</t>
  </si>
  <si>
    <t>FEC.ktoe.HR.Tr.Rail.Freight.Diesel</t>
  </si>
  <si>
    <t>FEC.ktoe.HR.Tr.Rail.Freight.Elc</t>
  </si>
  <si>
    <t>Eff.kgoe_per_100km.HR.Tr.Rail</t>
  </si>
  <si>
    <t>Eff.kgoe_per_100km.HR.Tr.Rail.Passenger</t>
  </si>
  <si>
    <t>Eff.kgoe_per_100km.HR.Tr.Rail.Passenger.MTU</t>
  </si>
  <si>
    <t>Eff.kgoe_per_100km.HR.Tr.Rail.Passenger.CPT</t>
  </si>
  <si>
    <t>Eff.kgoe_per_100km.HR.Tr.Rail.Passenger.CPT.Diesel</t>
  </si>
  <si>
    <t>Eff.kgoe_per_100km.HR.Tr.Rail.Passenger.CPT.Elc</t>
  </si>
  <si>
    <t>Eff.kgoe_per_100km.HR.Tr.Rail.Passenger.HST</t>
  </si>
  <si>
    <t>Eff.kgoe_per_100km.HR.Tr.Rail.Freight</t>
  </si>
  <si>
    <t>Eff.kgoe_per_100km.HR.Tr.Rail.Freight.Diesel</t>
  </si>
  <si>
    <t>Eff.kgoe_per_100km.HR.Tr.Rail.Freight.Elc</t>
  </si>
  <si>
    <t>Eff.kgoe_per_kpkm.HR.Tr.Rail.Passenger.CPT.Diesel</t>
  </si>
  <si>
    <t>Eff.kgoe_per_kpkm.HR.Tr.Rail.Passenger.CPT.Elc</t>
  </si>
  <si>
    <t>Eff.kgoe_per_ktkm.HR.Tr.Rail.Freight.Diesel</t>
  </si>
  <si>
    <t>Eff.kgoe_per_ktkm.HR.Tr.Rail.Freight.Elc</t>
  </si>
  <si>
    <t>FEC_per_vehicle.kgoe.HR.Tr.Rail</t>
  </si>
  <si>
    <t>FEC_per_vehicle.kgoe.HR.Tr.Rail.Passenger</t>
  </si>
  <si>
    <t>FEC_per_vehicle.kgoe.HR.Tr.Rail.Passenger.MTU</t>
  </si>
  <si>
    <t>FEC_per_vehicle.kgoe.HR.Tr.Rail.Passenger.CPT</t>
  </si>
  <si>
    <t>FEC_per_vehicle.kgoe.HR.Tr.Rail.Passenger.CPT.Diesel</t>
  </si>
  <si>
    <t>FEC_per_vehicle.kgoe.HR.Tr.Rail.Passenger.CPT.Elc</t>
  </si>
  <si>
    <t>FEC_per_vehicle.kgoe.HR.Tr.Rail.Passenger.HST</t>
  </si>
  <si>
    <t>FEC_per_vehicle.kgoe.HR.Tr.Rail.Freight</t>
  </si>
  <si>
    <t>FEC_per_vehicle.kgoe.HR.Tr.Rail.Freight.Diesel</t>
  </si>
  <si>
    <t>FEC_per_vehicle.kgoe.HR.Tr.Rail.Freight.Elc</t>
  </si>
  <si>
    <t>Rail, metro and tram / CO2 emissions - HR - Croatia</t>
  </si>
  <si>
    <t>EMI.ktCO2.HR.ES.Tr.Rail</t>
  </si>
  <si>
    <t>EMI.ktCO2.HR.ES.Tr.Rail.Diesel</t>
  </si>
  <si>
    <t>EMI.ktCO2.HR.ES.Tr.Rail.Elec</t>
  </si>
  <si>
    <t>EMI.ktCO2.HR.Tr.Rail</t>
  </si>
  <si>
    <t>EMI.ktCO2.HR.Tr.Rail.Passenger.CPT.Diesel</t>
  </si>
  <si>
    <t>EMI.ktCO2.HR.Tr.Rail.Passenger.CPT.Elc</t>
  </si>
  <si>
    <t>EMI.ktCO2.HR.Tr.Rail.Freight.Diesel</t>
  </si>
  <si>
    <t>EMI.ktCO2.HR.Tr.Rail.Freight.Elc</t>
  </si>
  <si>
    <t>EMIint.gCO2_per_km.HR.Tr.Rail</t>
  </si>
  <si>
    <t>EMIint.gCO2_per_km.HR.Tr.Rail.Passenger</t>
  </si>
  <si>
    <t>EMIint.gCO2_per_km.HR.Tr.Rail.Passenger.MTU</t>
  </si>
  <si>
    <t>EMIint.gCO2_per_km.HR.Tr.Rail.Passenger.CPT</t>
  </si>
  <si>
    <t>EMIint.gCO2_per_km.HR.Tr.Rail.Passenger.CPT.Diesel</t>
  </si>
  <si>
    <t>EMIint.gCO2_per_km.HR.Tr.Rail.Passenger.CPT.Elc</t>
  </si>
  <si>
    <t>EMIint.gCO2_per_km.HR.Tr.Rail.Passenger.HST</t>
  </si>
  <si>
    <t>EMIint.gCO2_per_km.HR.Tr.Rail.Freight</t>
  </si>
  <si>
    <t>EMIint.gCO2_per_km.HR.Tr.Rail.Freight.Diesel</t>
  </si>
  <si>
    <t>EMIint.gCO2_per_km.HR.Tr.Rail.Freight.Elc</t>
  </si>
  <si>
    <t>EMIint.gCO2_per_pkm.HR.Tr.Rail.Passenger.CPT.Diesel</t>
  </si>
  <si>
    <t>EMIint.gCO2_per_pkm.HR.Tr.Rail.Passenger.CPT.Elc</t>
  </si>
  <si>
    <t>EMIint.gCO2_per_tkm.HR.Tr.Rail.Freight.Diesel</t>
  </si>
  <si>
    <t>EMIint.gCO2_per_tkm.HR.Tr.Rail.Freight.Elc</t>
  </si>
  <si>
    <t>EMI_per_vehicle.tCO2.HR.Tr.Rail</t>
  </si>
  <si>
    <t>EMI_per_vehicle.tCO2.HR.Tr.Rail.Passenger</t>
  </si>
  <si>
    <t>EMI_per_vehicle.tCO2.HR.Tr.Rail.Passenger.MTU</t>
  </si>
  <si>
    <t>EMI_per_vehicle.tCO2.HR.Tr.Rail.Passenger.CPT</t>
  </si>
  <si>
    <t>EMI_per_vehicle.tCO2.HR.Tr.Rail.Passenger.CPT.Diesel</t>
  </si>
  <si>
    <t>EMI_per_vehicle.tCO2.HR.Tr.Rail.Passenger.CPT.Elc</t>
  </si>
  <si>
    <t>EMI_per_vehicle.tCO2.HR.Tr.Rail.Passenger.HST</t>
  </si>
  <si>
    <t>EMI_per_vehicle.tCO2.HR.Tr.Rail.Freight</t>
  </si>
  <si>
    <t>EMI_per_vehicle.tCO2.HR.Tr.Rail.Freight.Diesel</t>
  </si>
  <si>
    <t>EMI_per_vehicle.tCO2.HR.Tr.Rail.Freight.Elc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</si>
</sst>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45967.475648148145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26986.419118666003</v>
      </c>
      <c r="C4" s="28">
        <f t="shared" si="0"/>
        <v>28162.129748977681</v>
      </c>
      <c r="D4" s="28">
        <f t="shared" si="0"/>
        <v>29132.952209478473</v>
      </c>
      <c r="E4" s="28">
        <f t="shared" si="0"/>
        <v>29758.105822231464</v>
      </c>
      <c r="F4" s="28">
        <f t="shared" si="0"/>
        <v>30671.017109357123</v>
      </c>
      <c r="G4" s="28">
        <f t="shared" si="0"/>
        <v>31720.651307443077</v>
      </c>
      <c r="H4" s="28">
        <f t="shared" si="0"/>
        <v>33241.176835354658</v>
      </c>
      <c r="I4" s="28">
        <f t="shared" si="0"/>
        <v>34938.462635606673</v>
      </c>
      <c r="J4" s="28">
        <f t="shared" si="0"/>
        <v>36405.468356181431</v>
      </c>
      <c r="K4" s="28">
        <f t="shared" si="0"/>
        <v>35455.492054180126</v>
      </c>
      <c r="L4" s="28">
        <f t="shared" si="0"/>
        <v>34367.273318581807</v>
      </c>
      <c r="M4" s="28">
        <f t="shared" si="0"/>
        <v>33672.700780002757</v>
      </c>
      <c r="N4" s="28">
        <f t="shared" si="0"/>
        <v>34616.571799718418</v>
      </c>
      <c r="O4" s="28">
        <f t="shared" si="0"/>
        <v>34933.060784949113</v>
      </c>
      <c r="P4" s="28">
        <f t="shared" si="0"/>
        <v>35241.472984749707</v>
      </c>
      <c r="Q4" s="28">
        <f t="shared" si="0"/>
        <v>35657.21491365297</v>
      </c>
      <c r="R4" s="28">
        <f t="shared" ref="R4:V4" si="1">R5+R9+R13</f>
        <v>36475.720944931738</v>
      </c>
      <c r="S4" s="28">
        <f t="shared" si="1"/>
        <v>37864.635760494886</v>
      </c>
      <c r="T4" s="28">
        <f t="shared" si="1"/>
        <v>37801.396344598077</v>
      </c>
      <c r="U4" s="28">
        <f t="shared" si="1"/>
        <v>38264.795149296835</v>
      </c>
      <c r="V4" s="28">
        <f t="shared" si="1"/>
        <v>24540.657303769371</v>
      </c>
      <c r="W4" s="28">
        <f t="shared" ref="W4:Y4" si="2">W5+W9+W13</f>
        <v>29493.022203299217</v>
      </c>
      <c r="X4" s="28">
        <f t="shared" si="2"/>
        <v>34457.134360459895</v>
      </c>
      <c r="Y4" s="28">
        <f t="shared" si="2"/>
        <v>36085.618377969819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23501.081609917575</v>
      </c>
      <c r="C5" s="137">
        <f t="shared" si="3"/>
        <v>24647.012815445887</v>
      </c>
      <c r="D5" s="137">
        <f t="shared" si="3"/>
        <v>25733.691790285466</v>
      </c>
      <c r="E5" s="137">
        <f t="shared" si="3"/>
        <v>26415.578273724561</v>
      </c>
      <c r="F5" s="137">
        <f t="shared" si="3"/>
        <v>27110.802406046045</v>
      </c>
      <c r="G5" s="137">
        <f t="shared" si="3"/>
        <v>27647.665291553261</v>
      </c>
      <c r="H5" s="137">
        <f t="shared" si="3"/>
        <v>28804.051846309863</v>
      </c>
      <c r="I5" s="137">
        <f t="shared" si="3"/>
        <v>30077.641921675873</v>
      </c>
      <c r="J5" s="137">
        <f t="shared" si="3"/>
        <v>31365.359974832121</v>
      </c>
      <c r="K5" s="137">
        <f t="shared" si="3"/>
        <v>30510.55834900212</v>
      </c>
      <c r="L5" s="137">
        <f t="shared" si="3"/>
        <v>29220.411854659906</v>
      </c>
      <c r="M5" s="137">
        <f t="shared" si="3"/>
        <v>28658.634604481904</v>
      </c>
      <c r="N5" s="137">
        <f t="shared" si="3"/>
        <v>29666.243161415408</v>
      </c>
      <c r="O5" s="137">
        <f t="shared" si="3"/>
        <v>29921.26539453943</v>
      </c>
      <c r="P5" s="137">
        <f t="shared" si="3"/>
        <v>29974.244457828558</v>
      </c>
      <c r="Q5" s="137">
        <f t="shared" si="3"/>
        <v>30039.08094106528</v>
      </c>
      <c r="R5" s="137">
        <f t="shared" ref="R5:V5" si="4">R6+R7+R8</f>
        <v>30264.791718271365</v>
      </c>
      <c r="S5" s="137">
        <f t="shared" si="4"/>
        <v>30631.963934555803</v>
      </c>
      <c r="T5" s="137">
        <f t="shared" si="4"/>
        <v>29735.398704841893</v>
      </c>
      <c r="U5" s="137">
        <f t="shared" si="4"/>
        <v>29704.529112347598</v>
      </c>
      <c r="V5" s="137">
        <f t="shared" si="4"/>
        <v>22563.459383934467</v>
      </c>
      <c r="W5" s="137">
        <f t="shared" ref="W5:Y5" si="5">W6+W7+W8</f>
        <v>25858.581513043609</v>
      </c>
      <c r="X5" s="137">
        <f t="shared" si="5"/>
        <v>27398.316178669273</v>
      </c>
      <c r="Y5" s="137">
        <f t="shared" si="5"/>
        <v>27891.784820978748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169.9346099175757</v>
      </c>
      <c r="C6" s="102">
        <f>TrRoad_act!C$5</f>
        <v>169.25581544588616</v>
      </c>
      <c r="D6" s="102">
        <f>TrRoad_act!D$5</f>
        <v>175.99879028546826</v>
      </c>
      <c r="E6" s="102">
        <f>TrRoad_act!E$5</f>
        <v>198.72827372456155</v>
      </c>
      <c r="F6" s="102">
        <f>TrRoad_act!F$5</f>
        <v>220.5494060460428</v>
      </c>
      <c r="G6" s="102">
        <f>TrRoad_act!G$5</f>
        <v>244.19629155326044</v>
      </c>
      <c r="H6" s="102">
        <f>TrRoad_act!H$5</f>
        <v>266.99584630986294</v>
      </c>
      <c r="I6" s="102">
        <f>TrRoad_act!I$5</f>
        <v>269.66192167587189</v>
      </c>
      <c r="J6" s="102">
        <f>TrRoad_act!J$5</f>
        <v>271.87097483212125</v>
      </c>
      <c r="K6" s="102">
        <f>TrRoad_act!K$5</f>
        <v>272.56234900211803</v>
      </c>
      <c r="L6" s="102">
        <f>TrRoad_act!L$5</f>
        <v>271.99385465990503</v>
      </c>
      <c r="M6" s="102">
        <f>TrRoad_act!M$5</f>
        <v>271.61360448190248</v>
      </c>
      <c r="N6" s="102">
        <f>TrRoad_act!N$5</f>
        <v>270.16516141540416</v>
      </c>
      <c r="O6" s="102">
        <f>TrRoad_act!O$5</f>
        <v>269.26539453942951</v>
      </c>
      <c r="P6" s="102">
        <f>TrRoad_act!P$5</f>
        <v>269.24445782855332</v>
      </c>
      <c r="Q6" s="102">
        <f>TrRoad_act!Q$5</f>
        <v>269.08094106528029</v>
      </c>
      <c r="R6" s="102">
        <f>TrRoad_act!R$5</f>
        <v>281.79171827135997</v>
      </c>
      <c r="S6" s="102">
        <f>TrRoad_act!S$5</f>
        <v>292.9639345557984</v>
      </c>
      <c r="T6" s="102">
        <f>TrRoad_act!T$5</f>
        <v>298.39870484189225</v>
      </c>
      <c r="U6" s="102">
        <f>TrRoad_act!U$5</f>
        <v>310.52911234759546</v>
      </c>
      <c r="V6" s="102">
        <f>TrRoad_act!V$5</f>
        <v>272.4593839344617</v>
      </c>
      <c r="W6" s="102">
        <f>TrRoad_act!W$5</f>
        <v>333.58151304360922</v>
      </c>
      <c r="X6" s="102">
        <f>TrRoad_act!X$5</f>
        <v>354.31617866927729</v>
      </c>
      <c r="Y6" s="102">
        <f>TrRoad_act!Y$5</f>
        <v>378.78482097875309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20000</v>
      </c>
      <c r="C7" s="102">
        <f>TrRoad_act!C$6</f>
        <v>21000</v>
      </c>
      <c r="D7" s="102">
        <f>TrRoad_act!D$6</f>
        <v>21999.999999999996</v>
      </c>
      <c r="E7" s="102">
        <f>TrRoad_act!E$6</f>
        <v>22500</v>
      </c>
      <c r="F7" s="102">
        <f>TrRoad_act!F$6</f>
        <v>23500</v>
      </c>
      <c r="G7" s="102">
        <f>TrRoad_act!G$6</f>
        <v>24000</v>
      </c>
      <c r="H7" s="102">
        <f>TrRoad_act!H$6</f>
        <v>25000</v>
      </c>
      <c r="I7" s="102">
        <f>TrRoad_act!I$6</f>
        <v>26000</v>
      </c>
      <c r="J7" s="102">
        <f>TrRoad_act!J$6</f>
        <v>27000</v>
      </c>
      <c r="K7" s="102">
        <f>TrRoad_act!K$6</f>
        <v>26800.000000000004</v>
      </c>
      <c r="L7" s="102">
        <f>TrRoad_act!L$6</f>
        <v>25700</v>
      </c>
      <c r="M7" s="102">
        <f>TrRoad_act!M$6</f>
        <v>25242</v>
      </c>
      <c r="N7" s="102">
        <f>TrRoad_act!N$6</f>
        <v>26147.000000000004</v>
      </c>
      <c r="O7" s="102">
        <f>TrRoad_act!O$6</f>
        <v>26145</v>
      </c>
      <c r="P7" s="102">
        <f>TrRoad_act!P$6</f>
        <v>26057.000000000004</v>
      </c>
      <c r="Q7" s="102">
        <f>TrRoad_act!Q$6</f>
        <v>26393</v>
      </c>
      <c r="R7" s="102">
        <f>TrRoad_act!R$6</f>
        <v>26181.000000000004</v>
      </c>
      <c r="S7" s="102">
        <f>TrRoad_act!S$6</f>
        <v>26189.000000000004</v>
      </c>
      <c r="T7" s="102">
        <f>TrRoad_act!T$6</f>
        <v>25594</v>
      </c>
      <c r="U7" s="102">
        <f>TrRoad_act!U$6</f>
        <v>25372.000000000004</v>
      </c>
      <c r="V7" s="102">
        <f>TrRoad_act!V$6</f>
        <v>20215.000000000004</v>
      </c>
      <c r="W7" s="102">
        <f>TrRoad_act!W$6</f>
        <v>23135</v>
      </c>
      <c r="X7" s="102">
        <f>TrRoad_act!X$6</f>
        <v>23819.999999999996</v>
      </c>
      <c r="Y7" s="102">
        <f>TrRoad_act!Y$6</f>
        <v>24032.999999999996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3331.1469999999999</v>
      </c>
      <c r="C8" s="102">
        <f>TrRoad_act!C$13</f>
        <v>3477.7570000000005</v>
      </c>
      <c r="D8" s="102">
        <f>TrRoad_act!D$13</f>
        <v>3557.6930000000002</v>
      </c>
      <c r="E8" s="102">
        <f>TrRoad_act!E$13</f>
        <v>3716.8500000000004</v>
      </c>
      <c r="F8" s="102">
        <f>TrRoad_act!F$13</f>
        <v>3390.2530000000002</v>
      </c>
      <c r="G8" s="102">
        <f>TrRoad_act!G$13</f>
        <v>3403.4690000000001</v>
      </c>
      <c r="H8" s="102">
        <f>TrRoad_act!H$13</f>
        <v>3537.056</v>
      </c>
      <c r="I8" s="102">
        <f>TrRoad_act!I$13</f>
        <v>3807.98</v>
      </c>
      <c r="J8" s="102">
        <f>TrRoad_act!J$13</f>
        <v>4093.4889999999996</v>
      </c>
      <c r="K8" s="102">
        <f>TrRoad_act!K$13</f>
        <v>3437.9960000000005</v>
      </c>
      <c r="L8" s="102">
        <f>TrRoad_act!L$13</f>
        <v>3248.4180000000006</v>
      </c>
      <c r="M8" s="102">
        <f>TrRoad_act!M$13</f>
        <v>3145.0209999999997</v>
      </c>
      <c r="N8" s="102">
        <f>TrRoad_act!N$13</f>
        <v>3249.078</v>
      </c>
      <c r="O8" s="102">
        <f>TrRoad_act!O$13</f>
        <v>3506.9999999999995</v>
      </c>
      <c r="P8" s="102">
        <f>TrRoad_act!P$13</f>
        <v>3648</v>
      </c>
      <c r="Q8" s="102">
        <f>TrRoad_act!Q$13</f>
        <v>3377</v>
      </c>
      <c r="R8" s="102">
        <f>TrRoad_act!R$13</f>
        <v>3802.0000000000009</v>
      </c>
      <c r="S8" s="102">
        <f>TrRoad_act!S$13</f>
        <v>4150</v>
      </c>
      <c r="T8" s="102">
        <f>TrRoad_act!T$13</f>
        <v>3843.0000000000005</v>
      </c>
      <c r="U8" s="102">
        <f>TrRoad_act!U$13</f>
        <v>4022</v>
      </c>
      <c r="V8" s="102">
        <f>TrRoad_act!V$13</f>
        <v>2076.0000000000005</v>
      </c>
      <c r="W8" s="102">
        <f>TrRoad_act!W$13</f>
        <v>2389.9999999999995</v>
      </c>
      <c r="X8" s="102">
        <f>TrRoad_act!X$13</f>
        <v>3224.0000000000005</v>
      </c>
      <c r="Y8" s="102">
        <f>TrRoad_act!Y$13</f>
        <v>3480.0000000000005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1756.171</v>
      </c>
      <c r="C9" s="110">
        <f t="shared" si="6"/>
        <v>1772.7440000000001</v>
      </c>
      <c r="D9" s="110">
        <f t="shared" si="6"/>
        <v>1729.7379999999998</v>
      </c>
      <c r="E9" s="110">
        <f t="shared" si="6"/>
        <v>1713.308</v>
      </c>
      <c r="F9" s="110">
        <f t="shared" si="6"/>
        <v>1698.0830000000001</v>
      </c>
      <c r="G9" s="110">
        <f t="shared" si="6"/>
        <v>1760.1660000000002</v>
      </c>
      <c r="H9" s="110">
        <f t="shared" si="6"/>
        <v>1881.7730000000001</v>
      </c>
      <c r="I9" s="110">
        <f t="shared" si="6"/>
        <v>2233.96</v>
      </c>
      <c r="J9" s="110">
        <f t="shared" si="6"/>
        <v>2392.6040000000003</v>
      </c>
      <c r="K9" s="110">
        <f t="shared" si="6"/>
        <v>2380.8200000000002</v>
      </c>
      <c r="L9" s="110">
        <f t="shared" si="6"/>
        <v>2260.357</v>
      </c>
      <c r="M9" s="110">
        <f t="shared" si="6"/>
        <v>1976.5309999999999</v>
      </c>
      <c r="N9" s="110">
        <f t="shared" si="6"/>
        <v>1602.4169999999999</v>
      </c>
      <c r="O9" s="110">
        <f t="shared" si="6"/>
        <v>1467.788</v>
      </c>
      <c r="P9" s="110">
        <f t="shared" si="6"/>
        <v>1492.6969999999999</v>
      </c>
      <c r="Q9" s="110">
        <f t="shared" si="6"/>
        <v>1538.9659999999999</v>
      </c>
      <c r="R9" s="110">
        <f t="shared" ref="R9:V9" si="7">R10+R11+R12</f>
        <v>1435.9850000000001</v>
      </c>
      <c r="S9" s="110">
        <f t="shared" si="7"/>
        <v>1343.9830000000002</v>
      </c>
      <c r="T9" s="110">
        <f t="shared" si="7"/>
        <v>1323.165</v>
      </c>
      <c r="U9" s="110">
        <f t="shared" si="7"/>
        <v>1274.3800000000001</v>
      </c>
      <c r="V9" s="110">
        <f t="shared" si="7"/>
        <v>842.28400000000011</v>
      </c>
      <c r="W9" s="110">
        <f t="shared" ref="W9:Y9" si="8">W10+W11+W12</f>
        <v>897.01300000000003</v>
      </c>
      <c r="X9" s="110">
        <f t="shared" si="8"/>
        <v>1171.2049999999999</v>
      </c>
      <c r="Y9" s="110">
        <f t="shared" si="8"/>
        <v>1472.33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504.17100000000005</v>
      </c>
      <c r="C10" s="102">
        <f>TrRail_act!C$5</f>
        <v>531.74400000000003</v>
      </c>
      <c r="D10" s="102">
        <f>TrRail_act!D$5</f>
        <v>534.73799999999994</v>
      </c>
      <c r="E10" s="102">
        <f>TrRail_act!E$5</f>
        <v>550.30799999999999</v>
      </c>
      <c r="F10" s="102">
        <f>TrRail_act!F$5</f>
        <v>529.08299999999997</v>
      </c>
      <c r="G10" s="102">
        <f>TrRail_act!G$5</f>
        <v>533.16600000000005</v>
      </c>
      <c r="H10" s="102">
        <f>TrRail_act!H$5</f>
        <v>559.77300000000002</v>
      </c>
      <c r="I10" s="102">
        <f>TrRail_act!I$5</f>
        <v>660.96</v>
      </c>
      <c r="J10" s="102">
        <f>TrRail_act!J$5</f>
        <v>623.60400000000004</v>
      </c>
      <c r="K10" s="102">
        <f>TrRail_act!K$5</f>
        <v>578.82000000000005</v>
      </c>
      <c r="L10" s="102">
        <f>TrRail_act!L$5</f>
        <v>549.35699999999997</v>
      </c>
      <c r="M10" s="102">
        <f>TrRail_act!M$5</f>
        <v>519.53099999999995</v>
      </c>
      <c r="N10" s="102">
        <f>TrRail_act!N$5</f>
        <v>522.41699999999992</v>
      </c>
      <c r="O10" s="102">
        <f>TrRail_act!O$5</f>
        <v>532.78800000000001</v>
      </c>
      <c r="P10" s="102">
        <f>TrRail_act!P$5</f>
        <v>575.69699999999989</v>
      </c>
      <c r="Q10" s="102">
        <f>TrRail_act!Q$5</f>
        <v>597.96600000000001</v>
      </c>
      <c r="R10" s="102">
        <f>TrRail_act!R$5</f>
        <v>608.98500000000001</v>
      </c>
      <c r="S10" s="102">
        <f>TrRail_act!S$5</f>
        <v>607.98300000000006</v>
      </c>
      <c r="T10" s="102">
        <f>TrRail_act!T$5</f>
        <v>576.16500000000008</v>
      </c>
      <c r="U10" s="102">
        <f>TrRail_act!U$5</f>
        <v>550.38</v>
      </c>
      <c r="V10" s="102">
        <f>TrRail_act!V$5</f>
        <v>394.28400000000005</v>
      </c>
      <c r="W10" s="102">
        <f>TrRail_act!W$5</f>
        <v>359.01300000000003</v>
      </c>
      <c r="X10" s="102">
        <f>TrRail_act!X$5</f>
        <v>359.20499999999998</v>
      </c>
      <c r="Y10" s="102">
        <f>TrRail_act!Y$5</f>
        <v>330.33000000000004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1252</v>
      </c>
      <c r="C11" s="102">
        <f>TrRail_act!C$6</f>
        <v>1241</v>
      </c>
      <c r="D11" s="102">
        <f>TrRail_act!D$6</f>
        <v>1195</v>
      </c>
      <c r="E11" s="102">
        <f>TrRail_act!E$6</f>
        <v>1163</v>
      </c>
      <c r="F11" s="102">
        <f>TrRail_act!F$6</f>
        <v>1169</v>
      </c>
      <c r="G11" s="102">
        <f>TrRail_act!G$6</f>
        <v>1227</v>
      </c>
      <c r="H11" s="102">
        <f>TrRail_act!H$6</f>
        <v>1322</v>
      </c>
      <c r="I11" s="102">
        <f>TrRail_act!I$6</f>
        <v>1573</v>
      </c>
      <c r="J11" s="102">
        <f>TrRail_act!J$6</f>
        <v>1769</v>
      </c>
      <c r="K11" s="102">
        <f>TrRail_act!K$6</f>
        <v>1802</v>
      </c>
      <c r="L11" s="102">
        <f>TrRail_act!L$6</f>
        <v>1711</v>
      </c>
      <c r="M11" s="102">
        <f>TrRail_act!M$6</f>
        <v>1457</v>
      </c>
      <c r="N11" s="102">
        <f>TrRail_act!N$6</f>
        <v>1080</v>
      </c>
      <c r="O11" s="102">
        <f>TrRail_act!O$6</f>
        <v>935</v>
      </c>
      <c r="P11" s="102">
        <f>TrRail_act!P$6</f>
        <v>917</v>
      </c>
      <c r="Q11" s="102">
        <f>TrRail_act!Q$6</f>
        <v>941</v>
      </c>
      <c r="R11" s="102">
        <f>TrRail_act!R$6</f>
        <v>827</v>
      </c>
      <c r="S11" s="102">
        <f>TrRail_act!S$6</f>
        <v>736</v>
      </c>
      <c r="T11" s="102">
        <f>TrRail_act!T$6</f>
        <v>747</v>
      </c>
      <c r="U11" s="102">
        <f>TrRail_act!U$6</f>
        <v>724</v>
      </c>
      <c r="V11" s="102">
        <f>TrRail_act!V$6</f>
        <v>448</v>
      </c>
      <c r="W11" s="102">
        <f>TrRail_act!W$6</f>
        <v>538</v>
      </c>
      <c r="X11" s="102">
        <f>TrRail_act!X$6</f>
        <v>812</v>
      </c>
      <c r="Y11" s="102">
        <f>TrRail_act!Y$6</f>
        <v>1142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X12" s="102">
        <f>TrRail_act!X$9</f>
        <v>0</v>
      </c>
      <c r="Y12" s="102">
        <f>TrRail_act!Y$9</f>
        <v>0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1729.166508748428</v>
      </c>
      <c r="C13" s="110">
        <f t="shared" ref="C13:V13" si="10">C14+C15+C16</f>
        <v>1742.3729335317958</v>
      </c>
      <c r="D13" s="110">
        <f t="shared" si="10"/>
        <v>1669.5224191930072</v>
      </c>
      <c r="E13" s="110">
        <f t="shared" si="10"/>
        <v>1629.219548506901</v>
      </c>
      <c r="F13" s="110">
        <f t="shared" si="10"/>
        <v>1862.1317033110797</v>
      </c>
      <c r="G13" s="110">
        <f t="shared" si="10"/>
        <v>2312.8200158898139</v>
      </c>
      <c r="H13" s="110">
        <f t="shared" si="10"/>
        <v>2555.3519890447947</v>
      </c>
      <c r="I13" s="110">
        <f t="shared" si="10"/>
        <v>2626.8607139308037</v>
      </c>
      <c r="J13" s="110">
        <f t="shared" si="10"/>
        <v>2647.5043813493085</v>
      </c>
      <c r="K13" s="110">
        <f t="shared" si="10"/>
        <v>2564.1137051780006</v>
      </c>
      <c r="L13" s="110">
        <f t="shared" si="10"/>
        <v>2886.5044639219041</v>
      </c>
      <c r="M13" s="110">
        <f t="shared" si="10"/>
        <v>3037.5351755208558</v>
      </c>
      <c r="N13" s="110">
        <f t="shared" si="10"/>
        <v>3347.9116383030114</v>
      </c>
      <c r="O13" s="110">
        <f t="shared" si="10"/>
        <v>3544.0073904096826</v>
      </c>
      <c r="P13" s="110">
        <f t="shared" si="10"/>
        <v>3774.5315269211515</v>
      </c>
      <c r="Q13" s="110">
        <f t="shared" si="10"/>
        <v>4079.1679725876911</v>
      </c>
      <c r="R13" s="110">
        <f t="shared" si="10"/>
        <v>4774.9442266603737</v>
      </c>
      <c r="S13" s="110">
        <f t="shared" si="10"/>
        <v>5888.6888259390862</v>
      </c>
      <c r="T13" s="110">
        <f t="shared" si="10"/>
        <v>6742.8326397561868</v>
      </c>
      <c r="U13" s="110">
        <f t="shared" si="10"/>
        <v>7285.8860369492377</v>
      </c>
      <c r="V13" s="110">
        <f t="shared" si="10"/>
        <v>1134.9139198349028</v>
      </c>
      <c r="W13" s="110">
        <f t="shared" ref="W13:Y13" si="11">W14+W15+W16</f>
        <v>2737.427690255608</v>
      </c>
      <c r="X13" s="110">
        <f t="shared" si="11"/>
        <v>5887.6131817906198</v>
      </c>
      <c r="Y13" s="110">
        <f t="shared" si="11"/>
        <v>6721.5035569910715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133.08350078286014</v>
      </c>
      <c r="C14" s="102">
        <f>TrAvia_act!C$5</f>
        <v>132.38897354473085</v>
      </c>
      <c r="D14" s="102">
        <f>TrAvia_act!D$5</f>
        <v>156.98094520218447</v>
      </c>
      <c r="E14" s="102">
        <f>TrAvia_act!E$5</f>
        <v>173.73224543495138</v>
      </c>
      <c r="F14" s="102">
        <f>TrAvia_act!F$5</f>
        <v>190.45982648776081</v>
      </c>
      <c r="G14" s="102">
        <f>TrAvia_act!G$5</f>
        <v>193.89219005565789</v>
      </c>
      <c r="H14" s="102">
        <f>TrAvia_act!H$5</f>
        <v>180.95634442824687</v>
      </c>
      <c r="I14" s="102">
        <f>TrAvia_act!I$5</f>
        <v>188.54976275813473</v>
      </c>
      <c r="J14" s="102">
        <f>TrAvia_act!J$5</f>
        <v>205.43643377730743</v>
      </c>
      <c r="K14" s="102">
        <f>TrAvia_act!K$5</f>
        <v>187.6237415848361</v>
      </c>
      <c r="L14" s="102">
        <f>TrAvia_act!L$5</f>
        <v>172.65617975120355</v>
      </c>
      <c r="M14" s="102">
        <f>TrAvia_act!M$5</f>
        <v>188.48798858763766</v>
      </c>
      <c r="N14" s="102">
        <f>TrAvia_act!N$5</f>
        <v>181.21329219382292</v>
      </c>
      <c r="O14" s="102">
        <f>TrAvia_act!O$5</f>
        <v>175.64250284280794</v>
      </c>
      <c r="P14" s="102">
        <f>TrAvia_act!P$5</f>
        <v>174.97774556159493</v>
      </c>
      <c r="Q14" s="102">
        <f>TrAvia_act!Q$5</f>
        <v>174.68251251389609</v>
      </c>
      <c r="R14" s="102">
        <f>TrAvia_act!R$5</f>
        <v>187.63411404640573</v>
      </c>
      <c r="S14" s="102">
        <f>TrAvia_act!S$5</f>
        <v>199.98861485836321</v>
      </c>
      <c r="T14" s="102">
        <f>TrAvia_act!T$5</f>
        <v>199.1459370143655</v>
      </c>
      <c r="U14" s="102">
        <f>TrAvia_act!U$5</f>
        <v>193.68869103997761</v>
      </c>
      <c r="V14" s="102">
        <f>TrAvia_act!V$5</f>
        <v>64.023109379835375</v>
      </c>
      <c r="W14" s="102">
        <f>TrAvia_act!W$5</f>
        <v>86.527743796431821</v>
      </c>
      <c r="X14" s="102">
        <f>TrAvia_act!X$5</f>
        <v>132.24699836031834</v>
      </c>
      <c r="Y14" s="102">
        <f>TrAvia_act!Y$5</f>
        <v>155.87257931493428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1307.370363465742</v>
      </c>
      <c r="C15" s="102">
        <f>TrAvia_act!C$6</f>
        <v>1320.0543644464885</v>
      </c>
      <c r="D15" s="102">
        <f>TrAvia_act!D$6</f>
        <v>1238.8183353117513</v>
      </c>
      <c r="E15" s="102">
        <f>TrAvia_act!E$6</f>
        <v>1188.7668375667154</v>
      </c>
      <c r="F15" s="102">
        <f>TrAvia_act!F$6</f>
        <v>1362.8823790726644</v>
      </c>
      <c r="G15" s="102">
        <f>TrAvia_act!G$6</f>
        <v>1815.0290377485182</v>
      </c>
      <c r="H15" s="102">
        <f>TrAvia_act!H$6</f>
        <v>2071.6849448460166</v>
      </c>
      <c r="I15" s="102">
        <f>TrAvia_act!I$6</f>
        <v>2089.8696603306726</v>
      </c>
      <c r="J15" s="102">
        <f>TrAvia_act!J$6</f>
        <v>2002.0084274797266</v>
      </c>
      <c r="K15" s="102">
        <f>TrAvia_act!K$6</f>
        <v>2004.2962802652455</v>
      </c>
      <c r="L15" s="102">
        <f>TrAvia_act!L$6</f>
        <v>2190.1556461074429</v>
      </c>
      <c r="M15" s="102">
        <f>TrAvia_act!M$6</f>
        <v>2257.3308894577713</v>
      </c>
      <c r="N15" s="102">
        <f>TrAvia_act!N$6</f>
        <v>2527.2107827719992</v>
      </c>
      <c r="O15" s="102">
        <f>TrAvia_act!O$6</f>
        <v>2890.2542552831155</v>
      </c>
      <c r="P15" s="102">
        <f>TrAvia_act!P$6</f>
        <v>3132.5535682113536</v>
      </c>
      <c r="Q15" s="102">
        <f>TrAvia_act!Q$6</f>
        <v>3313.4716391076317</v>
      </c>
      <c r="R15" s="102">
        <f>TrAvia_act!R$6</f>
        <v>3885.0464410272807</v>
      </c>
      <c r="S15" s="102">
        <f>TrAvia_act!S$6</f>
        <v>4706.1706613339074</v>
      </c>
      <c r="T15" s="102">
        <f>TrAvia_act!T$6</f>
        <v>5156.6864309252924</v>
      </c>
      <c r="U15" s="102">
        <f>TrAvia_act!U$6</f>
        <v>5625.7160022123544</v>
      </c>
      <c r="V15" s="102">
        <f>TrAvia_act!V$6</f>
        <v>894.64428676166176</v>
      </c>
      <c r="W15" s="102">
        <f>TrAvia_act!W$6</f>
        <v>2165.5415669961412</v>
      </c>
      <c r="X15" s="102">
        <f>TrAvia_act!X$6</f>
        <v>5135.1012983309229</v>
      </c>
      <c r="Y15" s="102">
        <f>TrAvia_act!Y$6</f>
        <v>5793.2445062412198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288.71264449982579</v>
      </c>
      <c r="C16" s="102">
        <f>TrAvia_act!C$7</f>
        <v>289.92959554057643</v>
      </c>
      <c r="D16" s="102">
        <f>TrAvia_act!D$7</f>
        <v>273.72313867907138</v>
      </c>
      <c r="E16" s="102">
        <f>TrAvia_act!E$7</f>
        <v>266.72046550523413</v>
      </c>
      <c r="F16" s="102">
        <f>TrAvia_act!F$7</f>
        <v>308.78949775065439</v>
      </c>
      <c r="G16" s="102">
        <f>TrAvia_act!G$7</f>
        <v>303.89878808563759</v>
      </c>
      <c r="H16" s="102">
        <f>TrAvia_act!H$7</f>
        <v>302.71069977053133</v>
      </c>
      <c r="I16" s="102">
        <f>TrAvia_act!I$7</f>
        <v>348.44129084199614</v>
      </c>
      <c r="J16" s="102">
        <f>TrAvia_act!J$7</f>
        <v>440.05952009227462</v>
      </c>
      <c r="K16" s="102">
        <f>TrAvia_act!K$7</f>
        <v>372.19368332791913</v>
      </c>
      <c r="L16" s="102">
        <f>TrAvia_act!L$7</f>
        <v>523.69263806325773</v>
      </c>
      <c r="M16" s="102">
        <f>TrAvia_act!M$7</f>
        <v>591.71629747544671</v>
      </c>
      <c r="N16" s="102">
        <f>TrAvia_act!N$7</f>
        <v>639.48756333718916</v>
      </c>
      <c r="O16" s="102">
        <f>TrAvia_act!O$7</f>
        <v>478.11063228375889</v>
      </c>
      <c r="P16" s="102">
        <f>TrAvia_act!P$7</f>
        <v>467.00021314820293</v>
      </c>
      <c r="Q16" s="102">
        <f>TrAvia_act!Q$7</f>
        <v>591.01382096616339</v>
      </c>
      <c r="R16" s="102">
        <f>TrAvia_act!R$7</f>
        <v>702.26367158668711</v>
      </c>
      <c r="S16" s="102">
        <f>TrAvia_act!S$7</f>
        <v>982.52954974681597</v>
      </c>
      <c r="T16" s="102">
        <f>TrAvia_act!T$7</f>
        <v>1387.0002718165288</v>
      </c>
      <c r="U16" s="102">
        <f>TrAvia_act!U$7</f>
        <v>1466.4813436969057</v>
      </c>
      <c r="V16" s="102">
        <f>TrAvia_act!V$7</f>
        <v>176.24652369340566</v>
      </c>
      <c r="W16" s="102">
        <f>TrAvia_act!W$7</f>
        <v>485.35837946303479</v>
      </c>
      <c r="X16" s="102">
        <f>TrAvia_act!X$7</f>
        <v>620.2648850993786</v>
      </c>
      <c r="Y16" s="102">
        <f>TrAvia_act!Y$7</f>
        <v>772.38647143491755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8399.4604419730204</v>
      </c>
      <c r="C17" s="28">
        <f t="shared" si="12"/>
        <v>10359.208562781829</v>
      </c>
      <c r="D17" s="28">
        <f t="shared" si="12"/>
        <v>11265.184994666657</v>
      </c>
      <c r="E17" s="28">
        <f t="shared" si="12"/>
        <v>12122.658664751712</v>
      </c>
      <c r="F17" s="28">
        <f t="shared" si="12"/>
        <v>13274.915573956023</v>
      </c>
      <c r="G17" s="28">
        <f t="shared" si="12"/>
        <v>13809.226178848448</v>
      </c>
      <c r="H17" s="28">
        <f t="shared" si="12"/>
        <v>14734.220394906999</v>
      </c>
      <c r="I17" s="28">
        <f t="shared" si="12"/>
        <v>15117.961139326897</v>
      </c>
      <c r="J17" s="28">
        <f t="shared" si="12"/>
        <v>14929.282259737129</v>
      </c>
      <c r="K17" s="28">
        <f t="shared" si="12"/>
        <v>12231.362516568488</v>
      </c>
      <c r="L17" s="28">
        <f t="shared" si="12"/>
        <v>11828.988613510055</v>
      </c>
      <c r="M17" s="28">
        <f t="shared" si="12"/>
        <v>11205.536553930169</v>
      </c>
      <c r="N17" s="28">
        <f t="shared" si="12"/>
        <v>10841.244774787338</v>
      </c>
      <c r="O17" s="28">
        <f t="shared" si="12"/>
        <v>10879.481585056577</v>
      </c>
      <c r="P17" s="28">
        <f t="shared" si="12"/>
        <v>10726.354430001216</v>
      </c>
      <c r="Q17" s="28">
        <f t="shared" si="12"/>
        <v>11667.038618325261</v>
      </c>
      <c r="R17" s="28">
        <f t="shared" ref="R17:V17" si="13">R18+R21+R22+R26</f>
        <v>11611.355422444678</v>
      </c>
      <c r="S17" s="28">
        <f t="shared" si="13"/>
        <v>13279.11987514839</v>
      </c>
      <c r="T17" s="28">
        <f t="shared" si="13"/>
        <v>13414.644621502699</v>
      </c>
      <c r="U17" s="28">
        <f t="shared" si="13"/>
        <v>13261.857034394754</v>
      </c>
      <c r="V17" s="28">
        <f t="shared" si="13"/>
        <v>13936.958874754981</v>
      </c>
      <c r="W17" s="28">
        <f t="shared" ref="W17:Y17" si="14">W18+W21+W22+W26</f>
        <v>13842.587611405374</v>
      </c>
      <c r="X17" s="28">
        <f t="shared" si="14"/>
        <v>14219.239278979187</v>
      </c>
      <c r="Y17" s="28">
        <f t="shared" si="14"/>
        <v>14412.748012610256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6455.6512775334922</v>
      </c>
      <c r="C18" s="137">
        <f t="shared" si="15"/>
        <v>8113.5857477005338</v>
      </c>
      <c r="D18" s="137">
        <f t="shared" si="15"/>
        <v>8861.2433097903377</v>
      </c>
      <c r="E18" s="137">
        <f t="shared" si="15"/>
        <v>9425.0722239900078</v>
      </c>
      <c r="F18" s="137">
        <f t="shared" si="15"/>
        <v>10509.129870837956</v>
      </c>
      <c r="G18" s="137">
        <f t="shared" si="15"/>
        <v>10753.526726430129</v>
      </c>
      <c r="H18" s="137">
        <f t="shared" si="15"/>
        <v>11202.568821687733</v>
      </c>
      <c r="I18" s="137">
        <f t="shared" si="15"/>
        <v>11320.939526729808</v>
      </c>
      <c r="J18" s="137">
        <f t="shared" si="15"/>
        <v>10675.092144609343</v>
      </c>
      <c r="K18" s="137">
        <f t="shared" si="15"/>
        <v>8788.1904267495665</v>
      </c>
      <c r="L18" s="137">
        <f t="shared" si="15"/>
        <v>8199.3415456840776</v>
      </c>
      <c r="M18" s="137">
        <f t="shared" si="15"/>
        <v>8005.4443635870948</v>
      </c>
      <c r="N18" s="137">
        <f t="shared" si="15"/>
        <v>7671.0234497110005</v>
      </c>
      <c r="O18" s="137">
        <f t="shared" si="15"/>
        <v>7954.3882670911307</v>
      </c>
      <c r="P18" s="137">
        <f t="shared" si="15"/>
        <v>7823.9289409292032</v>
      </c>
      <c r="Q18" s="137">
        <f t="shared" si="15"/>
        <v>8519.5868602154587</v>
      </c>
      <c r="R18" s="137">
        <f t="shared" ref="R18:V18" si="16">R19+R20</f>
        <v>8570.6309148425244</v>
      </c>
      <c r="S18" s="137">
        <f t="shared" si="16"/>
        <v>9823.9601779653676</v>
      </c>
      <c r="T18" s="137">
        <f t="shared" si="16"/>
        <v>9914.7854636770753</v>
      </c>
      <c r="U18" s="137">
        <f t="shared" si="16"/>
        <v>9456.0120851845295</v>
      </c>
      <c r="V18" s="137">
        <f t="shared" si="16"/>
        <v>9718.2722200547487</v>
      </c>
      <c r="W18" s="137">
        <f t="shared" ref="W18:Y18" si="17">W19+W20</f>
        <v>9787.7709254803558</v>
      </c>
      <c r="X18" s="137">
        <f t="shared" si="17"/>
        <v>10052.655249215333</v>
      </c>
      <c r="Y18" s="137">
        <f t="shared" si="17"/>
        <v>10744.418481079259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150.70745667761406</v>
      </c>
      <c r="C19" s="102">
        <f>TrRoad_act!C$20</f>
        <v>188.20678183075682</v>
      </c>
      <c r="D19" s="102">
        <f>TrRoad_act!D$20</f>
        <v>207.95864753211225</v>
      </c>
      <c r="E19" s="102">
        <f>TrRoad_act!E$20</f>
        <v>230.39262613118865</v>
      </c>
      <c r="F19" s="102">
        <f>TrRoad_act!F$20</f>
        <v>250.47544675178938</v>
      </c>
      <c r="G19" s="102">
        <f>TrRoad_act!G$20</f>
        <v>270.47065580250143</v>
      </c>
      <c r="H19" s="102">
        <f>TrRoad_act!H$20</f>
        <v>292.62805070639178</v>
      </c>
      <c r="I19" s="102">
        <f>TrRoad_act!I$20</f>
        <v>287.95974698971827</v>
      </c>
      <c r="J19" s="102">
        <f>TrRoad_act!J$20</f>
        <v>300.04608604208823</v>
      </c>
      <c r="K19" s="102">
        <f>TrRoad_act!K$20</f>
        <v>291.6546954530358</v>
      </c>
      <c r="L19" s="102">
        <f>TrRoad_act!L$20</f>
        <v>273.21744777479074</v>
      </c>
      <c r="M19" s="102">
        <f>TrRoad_act!M$20</f>
        <v>272.6790271931863</v>
      </c>
      <c r="N19" s="102">
        <f>TrRoad_act!N$20</f>
        <v>257.65894637943097</v>
      </c>
      <c r="O19" s="102">
        <f>TrRoad_act!O$20</f>
        <v>257.83230600328289</v>
      </c>
      <c r="P19" s="102">
        <f>TrRoad_act!P$20</f>
        <v>257.7333248740818</v>
      </c>
      <c r="Q19" s="102">
        <f>TrRoad_act!Q$20</f>
        <v>300.14466824404417</v>
      </c>
      <c r="R19" s="102">
        <f>TrRoad_act!R$20</f>
        <v>320.42370603793375</v>
      </c>
      <c r="S19" s="102">
        <f>TrRoad_act!S$20</f>
        <v>354.1166049241412</v>
      </c>
      <c r="T19" s="102">
        <f>TrRoad_act!T$20</f>
        <v>393.78546367707446</v>
      </c>
      <c r="U19" s="102">
        <f>TrRoad_act!U$20</f>
        <v>422.01208518452893</v>
      </c>
      <c r="V19" s="102">
        <f>TrRoad_act!V$20</f>
        <v>437.27222005474863</v>
      </c>
      <c r="W19" s="102">
        <f>TrRoad_act!W$20</f>
        <v>472.77092548035552</v>
      </c>
      <c r="X19" s="102">
        <f>TrRoad_act!X$20</f>
        <v>504.6552492153337</v>
      </c>
      <c r="Y19" s="102">
        <f>TrRoad_act!Y$20</f>
        <v>547.41848107925978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6304.9438208558786</v>
      </c>
      <c r="C20" s="102">
        <f>TrRoad_act!C$26</f>
        <v>7925.3789658697769</v>
      </c>
      <c r="D20" s="102">
        <f>TrRoad_act!D$26</f>
        <v>8653.2846622582256</v>
      </c>
      <c r="E20" s="102">
        <f>TrRoad_act!E$26</f>
        <v>9194.6795978588198</v>
      </c>
      <c r="F20" s="102">
        <f>TrRoad_act!F$26</f>
        <v>10258.654424086168</v>
      </c>
      <c r="G20" s="102">
        <f>TrRoad_act!G$26</f>
        <v>10483.056070627628</v>
      </c>
      <c r="H20" s="102">
        <f>TrRoad_act!H$26</f>
        <v>10909.940770981342</v>
      </c>
      <c r="I20" s="102">
        <f>TrRoad_act!I$26</f>
        <v>11032.97977974009</v>
      </c>
      <c r="J20" s="102">
        <f>TrRoad_act!J$26</f>
        <v>10375.046058567255</v>
      </c>
      <c r="K20" s="102">
        <f>TrRoad_act!K$26</f>
        <v>8496.5357312965316</v>
      </c>
      <c r="L20" s="102">
        <f>TrRoad_act!L$26</f>
        <v>7926.1240979092863</v>
      </c>
      <c r="M20" s="102">
        <f>TrRoad_act!M$26</f>
        <v>7732.7653363939089</v>
      </c>
      <c r="N20" s="102">
        <f>TrRoad_act!N$26</f>
        <v>7413.3645033315697</v>
      </c>
      <c r="O20" s="102">
        <f>TrRoad_act!O$26</f>
        <v>7696.5559610878481</v>
      </c>
      <c r="P20" s="102">
        <f>TrRoad_act!P$26</f>
        <v>7566.1956160551217</v>
      </c>
      <c r="Q20" s="102">
        <f>TrRoad_act!Q$26</f>
        <v>8219.442191971415</v>
      </c>
      <c r="R20" s="102">
        <f>TrRoad_act!R$26</f>
        <v>8250.2072088045898</v>
      </c>
      <c r="S20" s="102">
        <f>TrRoad_act!S$26</f>
        <v>9469.8435730412257</v>
      </c>
      <c r="T20" s="102">
        <f>TrRoad_act!T$26</f>
        <v>9521</v>
      </c>
      <c r="U20" s="102">
        <f>TrRoad_act!U$26</f>
        <v>9034</v>
      </c>
      <c r="V20" s="102">
        <f>TrRoad_act!V$26</f>
        <v>9281</v>
      </c>
      <c r="W20" s="102">
        <f>TrRoad_act!W$26</f>
        <v>9315</v>
      </c>
      <c r="X20" s="102">
        <f>TrRoad_act!X$26</f>
        <v>9548</v>
      </c>
      <c r="Y20" s="102">
        <f>TrRoad_act!Y$26</f>
        <v>10197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1788</v>
      </c>
      <c r="C21" s="110">
        <f>TrRail_act!C$10</f>
        <v>2074</v>
      </c>
      <c r="D21" s="110">
        <f>TrRail_act!D$10</f>
        <v>2206</v>
      </c>
      <c r="E21" s="110">
        <f>TrRail_act!E$10</f>
        <v>2487</v>
      </c>
      <c r="F21" s="110">
        <f>TrRail_act!F$10</f>
        <v>2493</v>
      </c>
      <c r="G21" s="110">
        <f>TrRail_act!G$10</f>
        <v>2835</v>
      </c>
      <c r="H21" s="110">
        <f>TrRail_act!H$10</f>
        <v>3305</v>
      </c>
      <c r="I21" s="110">
        <f>TrRail_act!I$10</f>
        <v>3574</v>
      </c>
      <c r="J21" s="110">
        <f>TrRail_act!J$10</f>
        <v>3312</v>
      </c>
      <c r="K21" s="110">
        <f>TrRail_act!K$10</f>
        <v>2641</v>
      </c>
      <c r="L21" s="110">
        <f>TrRail_act!L$10</f>
        <v>2618</v>
      </c>
      <c r="M21" s="110">
        <f>TrRail_act!M$10</f>
        <v>2438</v>
      </c>
      <c r="N21" s="110">
        <f>TrRail_act!N$10</f>
        <v>2332</v>
      </c>
      <c r="O21" s="110">
        <f>TrRail_act!O$10</f>
        <v>2086</v>
      </c>
      <c r="P21" s="110">
        <f>TrRail_act!P$10</f>
        <v>2119</v>
      </c>
      <c r="Q21" s="110">
        <f>TrRail_act!Q$10</f>
        <v>2184</v>
      </c>
      <c r="R21" s="110">
        <f>TrRail_act!R$10</f>
        <v>2160</v>
      </c>
      <c r="S21" s="110">
        <f>TrRail_act!S$10</f>
        <v>2592</v>
      </c>
      <c r="T21" s="110">
        <f>TrRail_act!T$10</f>
        <v>2743</v>
      </c>
      <c r="U21" s="110">
        <f>TrRail_act!U$10</f>
        <v>2911</v>
      </c>
      <c r="V21" s="110">
        <f>TrRail_act!V$10</f>
        <v>3279</v>
      </c>
      <c r="W21" s="110">
        <f>TrRail_act!W$10</f>
        <v>3172</v>
      </c>
      <c r="X21" s="110">
        <f>TrRail_act!X$10</f>
        <v>3529</v>
      </c>
      <c r="Y21" s="110">
        <f>TrRail_act!Y$10</f>
        <v>3145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3.2191644395272219</v>
      </c>
      <c r="C22" s="110">
        <f t="shared" ref="C22:V22" si="19">C23+C24+C25</f>
        <v>3.9078150812952375</v>
      </c>
      <c r="D22" s="110">
        <f t="shared" si="19"/>
        <v>3.7576848763205968</v>
      </c>
      <c r="E22" s="110">
        <f t="shared" si="19"/>
        <v>3.6404407617055288</v>
      </c>
      <c r="F22" s="110">
        <f t="shared" si="19"/>
        <v>3.4487031180673</v>
      </c>
      <c r="G22" s="110">
        <f t="shared" si="19"/>
        <v>4.0364524183191275</v>
      </c>
      <c r="H22" s="110">
        <f t="shared" si="19"/>
        <v>3.63157321926538</v>
      </c>
      <c r="I22" s="110">
        <f t="shared" si="19"/>
        <v>4.1236125970901343</v>
      </c>
      <c r="J22" s="110">
        <f t="shared" si="19"/>
        <v>3.9051151277848302</v>
      </c>
      <c r="K22" s="110">
        <f t="shared" si="19"/>
        <v>4.4440898189224978</v>
      </c>
      <c r="L22" s="110">
        <f t="shared" si="19"/>
        <v>3.5300678259769205</v>
      </c>
      <c r="M22" s="110">
        <f t="shared" si="19"/>
        <v>4.8651903430721788</v>
      </c>
      <c r="N22" s="110">
        <f t="shared" si="19"/>
        <v>3.8833250763391023</v>
      </c>
      <c r="O22" s="110">
        <f t="shared" si="19"/>
        <v>5.4773179654470754</v>
      </c>
      <c r="P22" s="110">
        <f t="shared" si="19"/>
        <v>6.253489072011936</v>
      </c>
      <c r="Q22" s="110">
        <f t="shared" si="19"/>
        <v>7.1677581098027794</v>
      </c>
      <c r="R22" s="110">
        <f t="shared" si="19"/>
        <v>8.6665076021520733</v>
      </c>
      <c r="S22" s="110">
        <f t="shared" si="19"/>
        <v>9.8786971830213197</v>
      </c>
      <c r="T22" s="110">
        <f t="shared" si="19"/>
        <v>40.134157825622523</v>
      </c>
      <c r="U22" s="110">
        <f t="shared" si="19"/>
        <v>25.897949210224617</v>
      </c>
      <c r="V22" s="110">
        <f t="shared" si="19"/>
        <v>3.4616547002321378</v>
      </c>
      <c r="W22" s="110">
        <f t="shared" ref="W22:Y22" si="20">W23+W24+W25</f>
        <v>5.5916859250165825</v>
      </c>
      <c r="X22" s="110">
        <f t="shared" si="20"/>
        <v>4.1920297638535517</v>
      </c>
      <c r="Y22" s="110">
        <f t="shared" si="20"/>
        <v>4.4935315309970587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0.18552441428390354</v>
      </c>
      <c r="C23" s="102">
        <f>TrAvia_act!C$9</f>
        <v>0.22297713077092071</v>
      </c>
      <c r="D23" s="102">
        <f>TrAvia_act!D$9</f>
        <v>0.22929363125744195</v>
      </c>
      <c r="E23" s="102">
        <f>TrAvia_act!E$9</f>
        <v>0.22152206763212912</v>
      </c>
      <c r="F23" s="102">
        <f>TrAvia_act!F$9</f>
        <v>0.21281105295553282</v>
      </c>
      <c r="G23" s="102">
        <f>TrAvia_act!G$9</f>
        <v>0.26390519390499123</v>
      </c>
      <c r="H23" s="102">
        <f>TrAvia_act!H$9</f>
        <v>0.31700707829110292</v>
      </c>
      <c r="I23" s="102">
        <f>TrAvia_act!I$9</f>
        <v>0.44369133444189129</v>
      </c>
      <c r="J23" s="102">
        <f>TrAvia_act!J$9</f>
        <v>0.47784196046362526</v>
      </c>
      <c r="K23" s="102">
        <f>TrAvia_act!K$9</f>
        <v>0.38259972489608307</v>
      </c>
      <c r="L23" s="102">
        <f>TrAvia_act!L$9</f>
        <v>0.36830053084786946</v>
      </c>
      <c r="M23" s="102">
        <f>TrAvia_act!M$9</f>
        <v>0.26686996908947797</v>
      </c>
      <c r="N23" s="102">
        <f>TrAvia_act!N$9</f>
        <v>0.13613733207185619</v>
      </c>
      <c r="O23" s="102">
        <f>TrAvia_act!O$9</f>
        <v>0.12322902467282092</v>
      </c>
      <c r="P23" s="102">
        <f>TrAvia_act!P$9</f>
        <v>0.12553463353569477</v>
      </c>
      <c r="Q23" s="102">
        <f>TrAvia_act!Q$9</f>
        <v>0.12137014265832773</v>
      </c>
      <c r="R23" s="102">
        <f>TrAvia_act!R$9</f>
        <v>0.11592765996263554</v>
      </c>
      <c r="S23" s="102">
        <f>TrAvia_act!S$9</f>
        <v>0.1111364580961092</v>
      </c>
      <c r="T23" s="102">
        <f>TrAvia_act!T$9</f>
        <v>9.7613165686700809E-2</v>
      </c>
      <c r="U23" s="102">
        <f>TrAvia_act!U$9</f>
        <v>0.11179102946520407</v>
      </c>
      <c r="V23" s="102">
        <f>TrAvia_act!V$9</f>
        <v>2.2203875873784515E-2</v>
      </c>
      <c r="W23" s="102">
        <f>TrAvia_act!W$9</f>
        <v>1.7592323072581323E-2</v>
      </c>
      <c r="X23" s="102">
        <f>TrAvia_act!X$9</f>
        <v>2.2580482181332608E-2</v>
      </c>
      <c r="Y23" s="102">
        <f>TrAvia_act!Y$9</f>
        <v>2.1186627635291909E-2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2.0018462095814011</v>
      </c>
      <c r="C24" s="102">
        <f>TrAvia_act!C$10</f>
        <v>2.4491374178595655</v>
      </c>
      <c r="D24" s="102">
        <f>TrAvia_act!D$10</f>
        <v>2.3616690359016737</v>
      </c>
      <c r="E24" s="102">
        <f>TrAvia_act!E$10</f>
        <v>2.2262889027893333</v>
      </c>
      <c r="F24" s="102">
        <f>TrAvia_act!F$10</f>
        <v>2.0783522076389698</v>
      </c>
      <c r="G24" s="102">
        <f>TrAvia_act!G$10</f>
        <v>2.6393253467145756</v>
      </c>
      <c r="H24" s="102">
        <f>TrAvia_act!H$10</f>
        <v>2.3683487410955673</v>
      </c>
      <c r="I24" s="102">
        <f>TrAvia_act!I$10</f>
        <v>2.6262174465811801</v>
      </c>
      <c r="J24" s="102">
        <f>TrAvia_act!J$10</f>
        <v>2.3508324323273184</v>
      </c>
      <c r="K24" s="102">
        <f>TrAvia_act!K$10</f>
        <v>3.2120143500929843</v>
      </c>
      <c r="L24" s="102">
        <f>TrAvia_act!L$10</f>
        <v>2.1157658628544844</v>
      </c>
      <c r="M24" s="102">
        <f>TrAvia_act!M$10</f>
        <v>1.3961268325956369</v>
      </c>
      <c r="N24" s="102">
        <f>TrAvia_act!N$10</f>
        <v>1.6439736338931454</v>
      </c>
      <c r="O24" s="102">
        <f>TrAvia_act!O$10</f>
        <v>1.8082324386691855</v>
      </c>
      <c r="P24" s="102">
        <f>TrAvia_act!P$10</f>
        <v>1.9386708998398072</v>
      </c>
      <c r="Q24" s="102">
        <f>TrAvia_act!Q$10</f>
        <v>1.9712318045206532</v>
      </c>
      <c r="R24" s="102">
        <f>TrAvia_act!R$10</f>
        <v>2.2294596167293408</v>
      </c>
      <c r="S24" s="102">
        <f>TrAvia_act!S$10</f>
        <v>1.92985989011041</v>
      </c>
      <c r="T24" s="102">
        <f>TrAvia_act!T$10</f>
        <v>2.2756895855592081</v>
      </c>
      <c r="U24" s="102">
        <f>TrAvia_act!U$10</f>
        <v>2.8064632231846085</v>
      </c>
      <c r="V24" s="102">
        <f>TrAvia_act!V$10</f>
        <v>2.1678632847162844</v>
      </c>
      <c r="W24" s="102">
        <f>TrAvia_act!W$10</f>
        <v>2.7641773815604771</v>
      </c>
      <c r="X24" s="102">
        <f>TrAvia_act!X$10</f>
        <v>3.1165749859067557</v>
      </c>
      <c r="Y24" s="102">
        <f>TrAvia_act!Y$10</f>
        <v>3.514543110573134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1.0317938156619171</v>
      </c>
      <c r="C25" s="102">
        <f>TrAvia_act!C$11</f>
        <v>1.2357005326647517</v>
      </c>
      <c r="D25" s="102">
        <f>TrAvia_act!D$11</f>
        <v>1.1667222091614811</v>
      </c>
      <c r="E25" s="102">
        <f>TrAvia_act!E$11</f>
        <v>1.1926297912840664</v>
      </c>
      <c r="F25" s="102">
        <f>TrAvia_act!F$11</f>
        <v>1.1575398574727978</v>
      </c>
      <c r="G25" s="102">
        <f>TrAvia_act!G$11</f>
        <v>1.1332218776995613</v>
      </c>
      <c r="H25" s="102">
        <f>TrAvia_act!H$11</f>
        <v>0.94621739987871001</v>
      </c>
      <c r="I25" s="102">
        <f>TrAvia_act!I$11</f>
        <v>1.0537038160670626</v>
      </c>
      <c r="J25" s="102">
        <f>TrAvia_act!J$11</f>
        <v>1.0764407349938865</v>
      </c>
      <c r="K25" s="102">
        <f>TrAvia_act!K$11</f>
        <v>0.84947574393343039</v>
      </c>
      <c r="L25" s="102">
        <f>TrAvia_act!L$11</f>
        <v>1.0460014322745665</v>
      </c>
      <c r="M25" s="102">
        <f>TrAvia_act!M$11</f>
        <v>3.2021935413870644</v>
      </c>
      <c r="N25" s="102">
        <f>TrAvia_act!N$11</f>
        <v>2.1032141103741009</v>
      </c>
      <c r="O25" s="102">
        <f>TrAvia_act!O$11</f>
        <v>3.5458565021050692</v>
      </c>
      <c r="P25" s="102">
        <f>TrAvia_act!P$11</f>
        <v>4.1892835386364347</v>
      </c>
      <c r="Q25" s="102">
        <f>TrAvia_act!Q$11</f>
        <v>5.0751561626237987</v>
      </c>
      <c r="R25" s="102">
        <f>TrAvia_act!R$11</f>
        <v>6.3211203254600976</v>
      </c>
      <c r="S25" s="102">
        <f>TrAvia_act!S$11</f>
        <v>7.8377008348147994</v>
      </c>
      <c r="T25" s="102">
        <f>TrAvia_act!T$11</f>
        <v>37.760855074376614</v>
      </c>
      <c r="U25" s="102">
        <f>TrAvia_act!U$11</f>
        <v>22.979694957574804</v>
      </c>
      <c r="V25" s="102">
        <f>TrAvia_act!V$11</f>
        <v>1.2715875396420691</v>
      </c>
      <c r="W25" s="102">
        <f>TrAvia_act!W$11</f>
        <v>2.8099162203835242</v>
      </c>
      <c r="X25" s="102">
        <f>TrAvia_act!X$11</f>
        <v>1.0528742957654631</v>
      </c>
      <c r="Y25" s="102">
        <f>TrAvia_act!Y$11</f>
        <v>0.95780179278863242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152.59</v>
      </c>
      <c r="C26" s="110">
        <f t="shared" si="21"/>
        <v>167.71499999999997</v>
      </c>
      <c r="D26" s="110">
        <f t="shared" si="21"/>
        <v>194.184</v>
      </c>
      <c r="E26" s="110">
        <f t="shared" si="21"/>
        <v>206.946</v>
      </c>
      <c r="F26" s="110">
        <f t="shared" si="21"/>
        <v>269.33699999999999</v>
      </c>
      <c r="G26" s="110">
        <f t="shared" si="21"/>
        <v>216.66300000000001</v>
      </c>
      <c r="H26" s="110">
        <f t="shared" si="21"/>
        <v>223.02</v>
      </c>
      <c r="I26" s="110">
        <f t="shared" si="21"/>
        <v>218.898</v>
      </c>
      <c r="J26" s="110">
        <f t="shared" si="21"/>
        <v>938.28499999999997</v>
      </c>
      <c r="K26" s="110">
        <f t="shared" si="21"/>
        <v>797.72799999999995</v>
      </c>
      <c r="L26" s="110">
        <f t="shared" si="21"/>
        <v>1008.117</v>
      </c>
      <c r="M26" s="110">
        <f t="shared" si="21"/>
        <v>757.22699999999998</v>
      </c>
      <c r="N26" s="110">
        <f t="shared" si="21"/>
        <v>834.33799999999997</v>
      </c>
      <c r="O26" s="110">
        <f t="shared" si="21"/>
        <v>833.61599999999999</v>
      </c>
      <c r="P26" s="110">
        <f t="shared" si="21"/>
        <v>777.17200000000003</v>
      </c>
      <c r="Q26" s="110">
        <f t="shared" si="21"/>
        <v>956.28399999999999</v>
      </c>
      <c r="R26" s="110">
        <f t="shared" ref="R26:V26" si="22">R27+R28</f>
        <v>872.05799999999999</v>
      </c>
      <c r="S26" s="110">
        <f t="shared" si="22"/>
        <v>853.28099999999995</v>
      </c>
      <c r="T26" s="110">
        <f t="shared" si="22"/>
        <v>716.72500000000002</v>
      </c>
      <c r="U26" s="110">
        <f t="shared" si="22"/>
        <v>868.947</v>
      </c>
      <c r="V26" s="110">
        <f t="shared" si="22"/>
        <v>936.22500000000002</v>
      </c>
      <c r="W26" s="110">
        <f t="shared" ref="W26:Y26" si="23">W27+W28</f>
        <v>877.22500000000002</v>
      </c>
      <c r="X26" s="110">
        <f t="shared" si="23"/>
        <v>633.39200000000005</v>
      </c>
      <c r="Y26" s="110">
        <f t="shared" si="23"/>
        <v>518.83600000000001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89.054000000000002</v>
      </c>
      <c r="C27" s="102">
        <f>TrNavi_act!C4</f>
        <v>90.230999999999995</v>
      </c>
      <c r="D27" s="102">
        <f>TrNavi_act!D4</f>
        <v>104.43899999999999</v>
      </c>
      <c r="E27" s="102">
        <f>TrNavi_act!E4</f>
        <v>106.846</v>
      </c>
      <c r="F27" s="102">
        <f>TrNavi_act!F4</f>
        <v>90.637</v>
      </c>
      <c r="G27" s="102">
        <f>TrNavi_act!G4</f>
        <v>98.063000000000002</v>
      </c>
      <c r="H27" s="102">
        <f>TrNavi_act!H4</f>
        <v>106.62</v>
      </c>
      <c r="I27" s="102">
        <f>TrNavi_act!I4</f>
        <v>109.898</v>
      </c>
      <c r="J27" s="102">
        <f>TrNavi_act!J4</f>
        <v>96.284999999999997</v>
      </c>
      <c r="K27" s="102">
        <f>TrNavi_act!K4</f>
        <v>70.727999999999994</v>
      </c>
      <c r="L27" s="102">
        <f>TrNavi_act!L4</f>
        <v>68.117000000000004</v>
      </c>
      <c r="M27" s="102">
        <f>TrNavi_act!M4</f>
        <v>65.227000000000004</v>
      </c>
      <c r="N27" s="102">
        <f>TrNavi_act!N4</f>
        <v>62.338000000000001</v>
      </c>
      <c r="O27" s="102">
        <f>TrNavi_act!O4</f>
        <v>62.616</v>
      </c>
      <c r="P27" s="102">
        <f>TrNavi_act!P4</f>
        <v>61.171999999999997</v>
      </c>
      <c r="Q27" s="102">
        <f>TrNavi_act!Q4</f>
        <v>77.284000000000006</v>
      </c>
      <c r="R27" s="102">
        <f>TrNavi_act!R4</f>
        <v>36.058</v>
      </c>
      <c r="S27" s="102">
        <f>TrNavi_act!S4</f>
        <v>40.280999999999999</v>
      </c>
      <c r="T27" s="102">
        <f>TrNavi_act!T4</f>
        <v>38.725000000000001</v>
      </c>
      <c r="U27" s="102">
        <f>TrNavi_act!U4</f>
        <v>33.947000000000003</v>
      </c>
      <c r="V27" s="102">
        <f>TrNavi_act!V4</f>
        <v>33.225000000000001</v>
      </c>
      <c r="W27" s="102">
        <f>TrNavi_act!W4</f>
        <v>36.225000000000001</v>
      </c>
      <c r="X27" s="102">
        <f>TrNavi_act!X4</f>
        <v>38.392000000000003</v>
      </c>
      <c r="Y27" s="102">
        <f>TrNavi_act!Y4</f>
        <v>32.835999999999999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63.535999999999994</v>
      </c>
      <c r="C28" s="169">
        <f>TrNavi_act!C5</f>
        <v>77.483999999999995</v>
      </c>
      <c r="D28" s="169">
        <f>TrNavi_act!D5</f>
        <v>89.745000000000005</v>
      </c>
      <c r="E28" s="169">
        <f>TrNavi_act!E5</f>
        <v>100.1</v>
      </c>
      <c r="F28" s="169">
        <f>TrNavi_act!F5</f>
        <v>178.7</v>
      </c>
      <c r="G28" s="169">
        <f>TrNavi_act!G5</f>
        <v>118.6</v>
      </c>
      <c r="H28" s="169">
        <f>TrNavi_act!H5</f>
        <v>116.4</v>
      </c>
      <c r="I28" s="169">
        <f>TrNavi_act!I5</f>
        <v>109</v>
      </c>
      <c r="J28" s="169">
        <f>TrNavi_act!J5</f>
        <v>842</v>
      </c>
      <c r="K28" s="169">
        <f>TrNavi_act!K5</f>
        <v>727</v>
      </c>
      <c r="L28" s="169">
        <f>TrNavi_act!L5</f>
        <v>940</v>
      </c>
      <c r="M28" s="169">
        <f>TrNavi_act!M5</f>
        <v>692</v>
      </c>
      <c r="N28" s="169">
        <f>TrNavi_act!N5</f>
        <v>772</v>
      </c>
      <c r="O28" s="169">
        <f>TrNavi_act!O5</f>
        <v>771</v>
      </c>
      <c r="P28" s="169">
        <f>TrNavi_act!P5</f>
        <v>716</v>
      </c>
      <c r="Q28" s="169">
        <f>TrNavi_act!Q5</f>
        <v>879</v>
      </c>
      <c r="R28" s="169">
        <f>TrNavi_act!R5</f>
        <v>836</v>
      </c>
      <c r="S28" s="169">
        <f>TrNavi_act!S5</f>
        <v>813</v>
      </c>
      <c r="T28" s="169">
        <f>TrNavi_act!T5</f>
        <v>678</v>
      </c>
      <c r="U28" s="169">
        <f>TrNavi_act!U5</f>
        <v>835</v>
      </c>
      <c r="V28" s="169">
        <f>TrNavi_act!V5</f>
        <v>903</v>
      </c>
      <c r="W28" s="169">
        <f>TrNavi_act!W5</f>
        <v>841</v>
      </c>
      <c r="X28" s="169">
        <f>TrNavi_act!X5</f>
        <v>595</v>
      </c>
      <c r="Y28" s="169">
        <f>TrNavi_act!Y5</f>
        <v>486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30443.353301999996</v>
      </c>
      <c r="C29" s="28">
        <f t="shared" si="24"/>
        <v>48086.130715999992</v>
      </c>
      <c r="D29" s="28">
        <f t="shared" si="24"/>
        <v>39555.051325</v>
      </c>
      <c r="E29" s="28">
        <f t="shared" si="24"/>
        <v>36201.768375</v>
      </c>
      <c r="F29" s="28">
        <f t="shared" si="24"/>
        <v>39289.136744000003</v>
      </c>
      <c r="G29" s="28">
        <f t="shared" si="24"/>
        <v>41672.733864000002</v>
      </c>
      <c r="H29" s="28">
        <f t="shared" si="24"/>
        <v>35869.758231</v>
      </c>
      <c r="I29" s="28">
        <f t="shared" si="24"/>
        <v>49002.275716000004</v>
      </c>
      <c r="J29" s="28">
        <f t="shared" si="24"/>
        <v>55084.013793999999</v>
      </c>
      <c r="K29" s="28">
        <f t="shared" si="24"/>
        <v>33653.408637</v>
      </c>
      <c r="L29" s="28">
        <f t="shared" si="24"/>
        <v>38161.072994000002</v>
      </c>
      <c r="M29" s="28">
        <f t="shared" si="24"/>
        <v>34307.733602</v>
      </c>
      <c r="N29" s="28">
        <f t="shared" si="24"/>
        <v>28886.016502999999</v>
      </c>
      <c r="O29" s="28">
        <f t="shared" si="24"/>
        <v>27776.679847000003</v>
      </c>
      <c r="P29" s="28">
        <f t="shared" si="24"/>
        <v>31194.009788000003</v>
      </c>
      <c r="Q29" s="28">
        <f t="shared" si="24"/>
        <v>32097.277504000001</v>
      </c>
      <c r="R29" s="28">
        <f t="shared" si="24"/>
        <v>32570.103737000001</v>
      </c>
      <c r="S29" s="28">
        <f t="shared" si="24"/>
        <v>37509.201671000003</v>
      </c>
      <c r="T29" s="28">
        <f t="shared" si="24"/>
        <v>46504.240420999995</v>
      </c>
      <c r="U29" s="28">
        <f t="shared" si="24"/>
        <v>44292.311919</v>
      </c>
      <c r="V29" s="28">
        <f t="shared" si="24"/>
        <v>40210.557296999999</v>
      </c>
      <c r="W29" s="28">
        <f t="shared" si="24"/>
        <v>43425.810471000004</v>
      </c>
      <c r="X29" s="28">
        <f t="shared" ref="X29:Y29" si="25">X30+X31</f>
        <v>47974.309840000002</v>
      </c>
      <c r="Y29" s="28">
        <f t="shared" si="25"/>
        <v>53329.720272999999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6519.8503760000003</v>
      </c>
      <c r="C30" s="102">
        <f>MBunk_act!C$4</f>
        <v>10118.975708</v>
      </c>
      <c r="D30" s="102">
        <f>MBunk_act!D$4</f>
        <v>8334.367142000001</v>
      </c>
      <c r="E30" s="102">
        <f>MBunk_act!E$4</f>
        <v>7645.5680300000004</v>
      </c>
      <c r="F30" s="102">
        <f>MBunk_act!F$4</f>
        <v>8293.1759840000013</v>
      </c>
      <c r="G30" s="102">
        <f>MBunk_act!G$4</f>
        <v>8615.3819249999997</v>
      </c>
      <c r="H30" s="102">
        <f>MBunk_act!H$4</f>
        <v>7979.4047680000003</v>
      </c>
      <c r="I30" s="102">
        <f>MBunk_act!I$4</f>
        <v>9125.6897050000007</v>
      </c>
      <c r="J30" s="102">
        <f>MBunk_act!J$4</f>
        <v>8488.7227490000005</v>
      </c>
      <c r="K30" s="102">
        <f>MBunk_act!K$4</f>
        <v>7841.2533410000005</v>
      </c>
      <c r="L30" s="102">
        <f>MBunk_act!L$4</f>
        <v>7287.9327510000003</v>
      </c>
      <c r="M30" s="102">
        <f>MBunk_act!M$4</f>
        <v>7065.6916160000001</v>
      </c>
      <c r="N30" s="102">
        <f>MBunk_act!N$4</f>
        <v>5468.9826190000003</v>
      </c>
      <c r="O30" s="102">
        <f>MBunk_act!O$4</f>
        <v>4021.4422070000001</v>
      </c>
      <c r="P30" s="102">
        <f>MBunk_act!P$4</f>
        <v>4067.1539540000003</v>
      </c>
      <c r="Q30" s="102">
        <f>MBunk_act!Q$4</f>
        <v>3556.866395</v>
      </c>
      <c r="R30" s="102">
        <f>MBunk_act!R$4</f>
        <v>3471.7742370000001</v>
      </c>
      <c r="S30" s="102">
        <f>MBunk_act!S$4</f>
        <v>4225.0713340000002</v>
      </c>
      <c r="T30" s="102">
        <f>MBunk_act!T$4</f>
        <v>4588.9469280000003</v>
      </c>
      <c r="U30" s="102">
        <f>MBunk_act!U$4</f>
        <v>4676.4820959999997</v>
      </c>
      <c r="V30" s="102">
        <f>MBunk_act!V$4</f>
        <v>6071.6849199999997</v>
      </c>
      <c r="W30" s="102">
        <f>MBunk_act!W$4</f>
        <v>7190.26692</v>
      </c>
      <c r="X30" s="102">
        <f>MBunk_act!X$4</f>
        <v>7829.3721519999999</v>
      </c>
      <c r="Y30" s="102">
        <f>MBunk_act!Y$4</f>
        <v>9419.010816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23923.502925999997</v>
      </c>
      <c r="C31" s="86">
        <f>MBunk_act!C$5</f>
        <v>37967.155007999994</v>
      </c>
      <c r="D31" s="86">
        <f>MBunk_act!D$5</f>
        <v>31220.684182999998</v>
      </c>
      <c r="E31" s="86">
        <f>MBunk_act!E$5</f>
        <v>28556.200345000001</v>
      </c>
      <c r="F31" s="86">
        <f>MBunk_act!F$5</f>
        <v>30995.960759999998</v>
      </c>
      <c r="G31" s="86">
        <f>MBunk_act!G$5</f>
        <v>33057.351939</v>
      </c>
      <c r="H31" s="86">
        <f>MBunk_act!H$5</f>
        <v>27890.353462999999</v>
      </c>
      <c r="I31" s="86">
        <f>MBunk_act!I$5</f>
        <v>39876.586010999999</v>
      </c>
      <c r="J31" s="86">
        <f>MBunk_act!J$5</f>
        <v>46595.291044999998</v>
      </c>
      <c r="K31" s="86">
        <f>MBunk_act!K$5</f>
        <v>25812.155295999997</v>
      </c>
      <c r="L31" s="86">
        <f>MBunk_act!L$5</f>
        <v>30873.140243000002</v>
      </c>
      <c r="M31" s="86">
        <f>MBunk_act!M$5</f>
        <v>27242.041986</v>
      </c>
      <c r="N31" s="86">
        <f>MBunk_act!N$5</f>
        <v>23417.033884</v>
      </c>
      <c r="O31" s="86">
        <f>MBunk_act!O$5</f>
        <v>23755.237640000003</v>
      </c>
      <c r="P31" s="86">
        <f>MBunk_act!P$5</f>
        <v>27126.855834000002</v>
      </c>
      <c r="Q31" s="86">
        <f>MBunk_act!Q$5</f>
        <v>28540.411109000001</v>
      </c>
      <c r="R31" s="86">
        <f>MBunk_act!R$5</f>
        <v>29098.3295</v>
      </c>
      <c r="S31" s="86">
        <f>MBunk_act!S$5</f>
        <v>33284.130337000002</v>
      </c>
      <c r="T31" s="86">
        <f>MBunk_act!T$5</f>
        <v>41915.293492999997</v>
      </c>
      <c r="U31" s="86">
        <f>MBunk_act!U$5</f>
        <v>39615.829823</v>
      </c>
      <c r="V31" s="86">
        <f>MBunk_act!V$5</f>
        <v>34138.872377</v>
      </c>
      <c r="W31" s="86">
        <f>MBunk_act!W$5</f>
        <v>36235.543551000002</v>
      </c>
      <c r="X31" s="86">
        <f>MBunk_act!X$5</f>
        <v>40144.937687999998</v>
      </c>
      <c r="Y31" s="86">
        <f>MBunk_act!Y$5</f>
        <v>43910.709456999997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1276.6896216970515</v>
      </c>
      <c r="C34" s="28">
        <f t="shared" si="26"/>
        <v>1271.9321819199545</v>
      </c>
      <c r="D34" s="28">
        <f t="shared" si="26"/>
        <v>1286.0717633719967</v>
      </c>
      <c r="E34" s="28">
        <f t="shared" si="26"/>
        <v>1368.4235583094903</v>
      </c>
      <c r="F34" s="28">
        <f t="shared" si="26"/>
        <v>1389.9896069243191</v>
      </c>
      <c r="G34" s="28">
        <f t="shared" si="26"/>
        <v>1453.9903316960135</v>
      </c>
      <c r="H34" s="28">
        <f t="shared" si="26"/>
        <v>1542.7567491589884</v>
      </c>
      <c r="I34" s="28">
        <f t="shared" si="26"/>
        <v>1679.2829737019924</v>
      </c>
      <c r="J34" s="28">
        <f t="shared" si="26"/>
        <v>1668.6080075546922</v>
      </c>
      <c r="K34" s="28">
        <f t="shared" si="26"/>
        <v>1677.4070948503934</v>
      </c>
      <c r="L34" s="28">
        <f t="shared" si="26"/>
        <v>1616.0751434507954</v>
      </c>
      <c r="M34" s="28">
        <f t="shared" si="26"/>
        <v>1599.3315706556091</v>
      </c>
      <c r="N34" s="28">
        <f t="shared" si="26"/>
        <v>1599.7746317987817</v>
      </c>
      <c r="O34" s="28">
        <f t="shared" si="26"/>
        <v>1581.9526706509093</v>
      </c>
      <c r="P34" s="28">
        <f t="shared" si="26"/>
        <v>1594.5618388174489</v>
      </c>
      <c r="Q34" s="28">
        <f t="shared" si="26"/>
        <v>1667.0959377443551</v>
      </c>
      <c r="R34" s="28">
        <f t="shared" ref="R34:V34" si="27">R35+R39+R43</f>
        <v>1735.5086615956079</v>
      </c>
      <c r="S34" s="28">
        <f t="shared" si="27"/>
        <v>1809.4843840762167</v>
      </c>
      <c r="T34" s="28">
        <f t="shared" si="27"/>
        <v>1813.9727153371421</v>
      </c>
      <c r="U34" s="28">
        <f t="shared" si="27"/>
        <v>1850.7987371371566</v>
      </c>
      <c r="V34" s="28">
        <f t="shared" si="27"/>
        <v>1452.3384230411204</v>
      </c>
      <c r="W34" s="28">
        <f t="shared" ref="W34:Y34" si="28">W35+W39+W43</f>
        <v>1655.9791040037121</v>
      </c>
      <c r="X34" s="28">
        <f t="shared" si="28"/>
        <v>1811.680497518762</v>
      </c>
      <c r="Y34" s="28">
        <f t="shared" si="28"/>
        <v>2007.3600244179217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1168.7882759450777</v>
      </c>
      <c r="C35" s="137">
        <f t="shared" si="29"/>
        <v>1165.0056320653177</v>
      </c>
      <c r="D35" s="137">
        <f t="shared" si="29"/>
        <v>1181.8071126086043</v>
      </c>
      <c r="E35" s="137">
        <f t="shared" si="29"/>
        <v>1266.8406828361422</v>
      </c>
      <c r="F35" s="137">
        <f t="shared" si="29"/>
        <v>1277.0245292856716</v>
      </c>
      <c r="G35" s="137">
        <f t="shared" si="29"/>
        <v>1325.3189978639737</v>
      </c>
      <c r="H35" s="137">
        <f t="shared" si="29"/>
        <v>1410.1077033693837</v>
      </c>
      <c r="I35" s="137">
        <f t="shared" si="29"/>
        <v>1542.0856323066816</v>
      </c>
      <c r="J35" s="137">
        <f t="shared" si="29"/>
        <v>1516.3005927939278</v>
      </c>
      <c r="K35" s="137">
        <f t="shared" si="29"/>
        <v>1543.4943722896569</v>
      </c>
      <c r="L35" s="137">
        <f t="shared" si="29"/>
        <v>1476.6430467374623</v>
      </c>
      <c r="M35" s="137">
        <f t="shared" si="29"/>
        <v>1454.0515348328622</v>
      </c>
      <c r="N35" s="137">
        <f t="shared" si="29"/>
        <v>1450.3494701502796</v>
      </c>
      <c r="O35" s="137">
        <f t="shared" si="29"/>
        <v>1424.7095675782132</v>
      </c>
      <c r="P35" s="137">
        <f t="shared" si="29"/>
        <v>1440.193361860235</v>
      </c>
      <c r="Q35" s="137">
        <f t="shared" si="29"/>
        <v>1516.9523629751809</v>
      </c>
      <c r="R35" s="137">
        <f t="shared" ref="R35:V35" si="30">R36+R37+R38</f>
        <v>1578.427929749228</v>
      </c>
      <c r="S35" s="137">
        <f t="shared" si="30"/>
        <v>1629.1235277608112</v>
      </c>
      <c r="T35" s="137">
        <f t="shared" si="30"/>
        <v>1598.5775373739539</v>
      </c>
      <c r="U35" s="137">
        <f t="shared" si="30"/>
        <v>1620.1897103347746</v>
      </c>
      <c r="V35" s="137">
        <f t="shared" si="30"/>
        <v>1375.6011666216609</v>
      </c>
      <c r="W35" s="137">
        <f t="shared" ref="W35:Y35" si="31">W36+W37+W38</f>
        <v>1529.9359007942573</v>
      </c>
      <c r="X35" s="137">
        <f t="shared" si="31"/>
        <v>1596.1510291389986</v>
      </c>
      <c r="Y35" s="137">
        <f t="shared" si="31"/>
        <v>1777.2767601363785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5.8762532934582836</v>
      </c>
      <c r="C36" s="102">
        <f>TrRoad_ene!C$19</f>
        <v>5.8408710443356711</v>
      </c>
      <c r="D36" s="102">
        <f>TrRoad_ene!D$19</f>
        <v>5.9913013136938433</v>
      </c>
      <c r="E36" s="102">
        <f>TrRoad_ene!E$19</f>
        <v>6.5464447087780941</v>
      </c>
      <c r="F36" s="102">
        <f>TrRoad_ene!F$19</f>
        <v>7.0832126676179588</v>
      </c>
      <c r="G36" s="102">
        <f>TrRoad_ene!G$19</f>
        <v>7.6669458749260864</v>
      </c>
      <c r="H36" s="102">
        <f>TrRoad_ene!H$19</f>
        <v>8.2182686164777081</v>
      </c>
      <c r="I36" s="102">
        <f>TrRoad_ene!I$19</f>
        <v>8.1985614154081965</v>
      </c>
      <c r="J36" s="102">
        <f>TrRoad_ene!J$19</f>
        <v>8.1844155412446522</v>
      </c>
      <c r="K36" s="102">
        <f>TrRoad_ene!K$19</f>
        <v>8.1479189400378651</v>
      </c>
      <c r="L36" s="102">
        <f>TrRoad_ene!L$19</f>
        <v>8.0996633112709553</v>
      </c>
      <c r="M36" s="102">
        <f>TrRoad_ene!M$19</f>
        <v>8.0857345747520721</v>
      </c>
      <c r="N36" s="102">
        <f>TrRoad_ene!N$19</f>
        <v>8.0725635393616511</v>
      </c>
      <c r="O36" s="102">
        <f>TrRoad_ene!O$19</f>
        <v>7.9922017803894976</v>
      </c>
      <c r="P36" s="102">
        <f>TrRoad_ene!P$19</f>
        <v>7.9144603260569699</v>
      </c>
      <c r="Q36" s="102">
        <f>TrRoad_ene!Q$19</f>
        <v>7.8830220199185366</v>
      </c>
      <c r="R36" s="102">
        <f>TrRoad_ene!R$19</f>
        <v>8.1705851129296576</v>
      </c>
      <c r="S36" s="102">
        <f>TrRoad_ene!S$19</f>
        <v>8.498590151056467</v>
      </c>
      <c r="T36" s="102">
        <f>TrRoad_ene!T$19</f>
        <v>8.5887620095487147</v>
      </c>
      <c r="U36" s="102">
        <f>TrRoad_ene!U$19</f>
        <v>8.8583407818741495</v>
      </c>
      <c r="V36" s="102">
        <f>TrRoad_ene!V$19</f>
        <v>7.7594904738970856</v>
      </c>
      <c r="W36" s="102">
        <f>TrRoad_ene!W$19</f>
        <v>9.4997290222478714</v>
      </c>
      <c r="X36" s="102">
        <f>TrRoad_ene!X$19</f>
        <v>10.154512718129544</v>
      </c>
      <c r="Y36" s="102">
        <f>TrRoad_ene!Y$19</f>
        <v>10.803549027508694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985.92020200899947</v>
      </c>
      <c r="C37" s="102">
        <f>TrRoad_ene!C$21</f>
        <v>988.2182424266075</v>
      </c>
      <c r="D37" s="102">
        <f>TrRoad_ene!D$21</f>
        <v>1006.7678281402343</v>
      </c>
      <c r="E37" s="102">
        <f>TrRoad_ene!E$21</f>
        <v>1090.4956355326422</v>
      </c>
      <c r="F37" s="102">
        <f>TrRoad_ene!F$21</f>
        <v>1104.4755269754671</v>
      </c>
      <c r="G37" s="102">
        <f>TrRoad_ene!G$21</f>
        <v>1154.2932381373773</v>
      </c>
      <c r="H37" s="102">
        <f>TrRoad_ene!H$21</f>
        <v>1239.4826850766319</v>
      </c>
      <c r="I37" s="102">
        <f>TrRoad_ene!I$21</f>
        <v>1366.1119980058954</v>
      </c>
      <c r="J37" s="102">
        <f>TrRoad_ene!J$21</f>
        <v>1341.1481965139963</v>
      </c>
      <c r="K37" s="102">
        <f>TrRoad_ene!K$21</f>
        <v>1364.325827083909</v>
      </c>
      <c r="L37" s="102">
        <f>TrRoad_ene!L$21</f>
        <v>1297.7137224207383</v>
      </c>
      <c r="M37" s="102">
        <f>TrRoad_ene!M$21</f>
        <v>1282.3161671951002</v>
      </c>
      <c r="N37" s="102">
        <f>TrRoad_ene!N$21</f>
        <v>1281.8169333198309</v>
      </c>
      <c r="O37" s="102">
        <f>TrRoad_ene!O$21</f>
        <v>1254.7763673903146</v>
      </c>
      <c r="P37" s="102">
        <f>TrRoad_ene!P$21</f>
        <v>1268.2457723972695</v>
      </c>
      <c r="Q37" s="102">
        <f>TrRoad_ene!Q$21</f>
        <v>1334.6392744180232</v>
      </c>
      <c r="R37" s="102">
        <f>TrRoad_ene!R$21</f>
        <v>1387.8668428449719</v>
      </c>
      <c r="S37" s="102">
        <f>TrRoad_ene!S$21</f>
        <v>1428.2259799708656</v>
      </c>
      <c r="T37" s="102">
        <f>TrRoad_ene!T$21</f>
        <v>1394.5916116872017</v>
      </c>
      <c r="U37" s="102">
        <f>TrRoad_ene!U$21</f>
        <v>1446.7036347476135</v>
      </c>
      <c r="V37" s="102">
        <f>TrRoad_ene!V$21</f>
        <v>1248.5523903751357</v>
      </c>
      <c r="W37" s="102">
        <f>TrRoad_ene!W$21</f>
        <v>1386.9778782527594</v>
      </c>
      <c r="X37" s="102">
        <f>TrRoad_ene!X$21</f>
        <v>1438.2059919281678</v>
      </c>
      <c r="Y37" s="102">
        <f>TrRoad_ene!Y$21</f>
        <v>1601.7369666593202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176.99182064261993</v>
      </c>
      <c r="C38" s="102">
        <f>TrRoad_ene!C$33</f>
        <v>170.9465185943746</v>
      </c>
      <c r="D38" s="102">
        <f>TrRoad_ene!D$33</f>
        <v>169.04798315467602</v>
      </c>
      <c r="E38" s="102">
        <f>TrRoad_ene!E$33</f>
        <v>169.79860259472196</v>
      </c>
      <c r="F38" s="102">
        <f>TrRoad_ene!F$33</f>
        <v>165.4657896425866</v>
      </c>
      <c r="G38" s="102">
        <f>TrRoad_ene!G$33</f>
        <v>163.35881385167016</v>
      </c>
      <c r="H38" s="102">
        <f>TrRoad_ene!H$33</f>
        <v>162.4067496762741</v>
      </c>
      <c r="I38" s="102">
        <f>TrRoad_ene!I$33</f>
        <v>167.77507288537791</v>
      </c>
      <c r="J38" s="102">
        <f>TrRoad_ene!J$33</f>
        <v>166.96798073868692</v>
      </c>
      <c r="K38" s="102">
        <f>TrRoad_ene!K$33</f>
        <v>171.02062626571009</v>
      </c>
      <c r="L38" s="102">
        <f>TrRoad_ene!L$33</f>
        <v>170.82966100545315</v>
      </c>
      <c r="M38" s="102">
        <f>TrRoad_ene!M$33</f>
        <v>163.64963306301013</v>
      </c>
      <c r="N38" s="102">
        <f>TrRoad_ene!N$33</f>
        <v>160.45997329108695</v>
      </c>
      <c r="O38" s="102">
        <f>TrRoad_ene!O$33</f>
        <v>161.94099840750906</v>
      </c>
      <c r="P38" s="102">
        <f>TrRoad_ene!P$33</f>
        <v>164.03312913690846</v>
      </c>
      <c r="Q38" s="102">
        <f>TrRoad_ene!Q$33</f>
        <v>174.43006653723901</v>
      </c>
      <c r="R38" s="102">
        <f>TrRoad_ene!R$33</f>
        <v>182.39050179132641</v>
      </c>
      <c r="S38" s="102">
        <f>TrRoad_ene!S$33</f>
        <v>192.39895763888887</v>
      </c>
      <c r="T38" s="102">
        <f>TrRoad_ene!T$33</f>
        <v>195.39716367720345</v>
      </c>
      <c r="U38" s="102">
        <f>TrRoad_ene!U$33</f>
        <v>164.6277348052871</v>
      </c>
      <c r="V38" s="102">
        <f>TrRoad_ene!V$33</f>
        <v>119.28928577262812</v>
      </c>
      <c r="W38" s="102">
        <f>TrRoad_ene!W$33</f>
        <v>133.45829351925008</v>
      </c>
      <c r="X38" s="102">
        <f>TrRoad_ene!X$33</f>
        <v>147.79052449270128</v>
      </c>
      <c r="Y38" s="102">
        <f>TrRoad_ene!Y$33</f>
        <v>164.73624444954953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32.772978526326135</v>
      </c>
      <c r="C39" s="110">
        <f t="shared" si="32"/>
        <v>31.884599809497391</v>
      </c>
      <c r="D39" s="110">
        <f t="shared" si="32"/>
        <v>31.852380392865527</v>
      </c>
      <c r="E39" s="110">
        <f t="shared" si="32"/>
        <v>30.180809349597521</v>
      </c>
      <c r="F39" s="110">
        <f t="shared" si="32"/>
        <v>31.07539953498345</v>
      </c>
      <c r="G39" s="110">
        <f t="shared" si="32"/>
        <v>31.130636572224525</v>
      </c>
      <c r="H39" s="110">
        <f t="shared" si="32"/>
        <v>31.973069822241676</v>
      </c>
      <c r="I39" s="110">
        <f t="shared" si="32"/>
        <v>32.443592922852758</v>
      </c>
      <c r="J39" s="110">
        <f t="shared" si="32"/>
        <v>33.939096873333057</v>
      </c>
      <c r="K39" s="110">
        <f t="shared" si="32"/>
        <v>32.312929699077948</v>
      </c>
      <c r="L39" s="110">
        <f t="shared" si="32"/>
        <v>31.330714874506711</v>
      </c>
      <c r="M39" s="110">
        <f t="shared" si="32"/>
        <v>30.850311970352966</v>
      </c>
      <c r="N39" s="110">
        <f t="shared" si="32"/>
        <v>29.72585854454211</v>
      </c>
      <c r="O39" s="110">
        <f t="shared" si="32"/>
        <v>27.147132114729438</v>
      </c>
      <c r="P39" s="110">
        <f t="shared" si="32"/>
        <v>24.234925527389102</v>
      </c>
      <c r="Q39" s="110">
        <f t="shared" si="32"/>
        <v>23.259520047918439</v>
      </c>
      <c r="R39" s="110">
        <f t="shared" ref="R39:V39" si="33">R40+R41+R42</f>
        <v>22.686361293903641</v>
      </c>
      <c r="S39" s="110">
        <f t="shared" si="33"/>
        <v>22.42928642597591</v>
      </c>
      <c r="T39" s="110">
        <f t="shared" si="33"/>
        <v>21.632593412225255</v>
      </c>
      <c r="U39" s="110">
        <f t="shared" si="33"/>
        <v>21.19197139772789</v>
      </c>
      <c r="V39" s="110">
        <f t="shared" si="33"/>
        <v>17.727759957037492</v>
      </c>
      <c r="W39" s="110">
        <f t="shared" ref="W39:Y39" si="34">W40+W41+W42</f>
        <v>20.975298028305353</v>
      </c>
      <c r="X39" s="110">
        <f t="shared" si="34"/>
        <v>21.541551116705641</v>
      </c>
      <c r="Y39" s="110">
        <f t="shared" si="34"/>
        <v>21.593000797012539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2.7914066565586153</v>
      </c>
      <c r="C40" s="102">
        <f>TrRail_ene!C$12</f>
        <v>2.9368329839214646</v>
      </c>
      <c r="D40" s="102">
        <f>TrRail_ene!D$12</f>
        <v>2.9555114304388828</v>
      </c>
      <c r="E40" s="102">
        <f>TrRail_ene!E$12</f>
        <v>3.0558049791952073</v>
      </c>
      <c r="F40" s="102">
        <f>TrRail_ene!F$12</f>
        <v>2.8945157134549904</v>
      </c>
      <c r="G40" s="102">
        <f>TrRail_ene!G$12</f>
        <v>2.9028691126714548</v>
      </c>
      <c r="H40" s="102">
        <f>TrRail_ene!H$12</f>
        <v>3.010167967893949</v>
      </c>
      <c r="I40" s="102">
        <f>TrRail_ene!I$12</f>
        <v>3.5433069317341994</v>
      </c>
      <c r="J40" s="102">
        <f>TrRail_ene!J$12</f>
        <v>3.2972779100965384</v>
      </c>
      <c r="K40" s="102">
        <f>TrRail_ene!K$12</f>
        <v>3.0455013929549137</v>
      </c>
      <c r="L40" s="102">
        <f>TrRail_ene!L$12</f>
        <v>2.870317389634943</v>
      </c>
      <c r="M40" s="102">
        <f>TrRail_ene!M$12</f>
        <v>2.6817070672703678</v>
      </c>
      <c r="N40" s="102">
        <f>TrRail_ene!N$12</f>
        <v>2.6768586582438325</v>
      </c>
      <c r="O40" s="102">
        <f>TrRail_ene!O$12</f>
        <v>2.6985223442692359</v>
      </c>
      <c r="P40" s="102">
        <f>TrRail_ene!P$12</f>
        <v>2.8800625372190138</v>
      </c>
      <c r="Q40" s="102">
        <f>TrRail_ene!Q$12</f>
        <v>2.9425351240888951</v>
      </c>
      <c r="R40" s="102">
        <f>TrRail_ene!R$12</f>
        <v>3.0034129450640301</v>
      </c>
      <c r="S40" s="102">
        <f>TrRail_ene!S$12</f>
        <v>2.953423937192289</v>
      </c>
      <c r="T40" s="102">
        <f>TrRail_ene!T$12</f>
        <v>2.7563784155412123</v>
      </c>
      <c r="U40" s="102">
        <f>TrRail_ene!U$12</f>
        <v>3.0023900046136638</v>
      </c>
      <c r="V40" s="102">
        <f>TrRail_ene!V$12</f>
        <v>2.2894682825751023</v>
      </c>
      <c r="W40" s="102">
        <f>TrRail_ene!W$12</f>
        <v>2.2470078244618619</v>
      </c>
      <c r="X40" s="102">
        <f>TrRail_ene!X$12</f>
        <v>1.6958038109145843</v>
      </c>
      <c r="Y40" s="102">
        <f>TrRail_ene!Y$12</f>
        <v>1.4752806434726506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29.981571869767517</v>
      </c>
      <c r="C41" s="102">
        <f>TrRail_ene!C$13</f>
        <v>28.947766825575926</v>
      </c>
      <c r="D41" s="102">
        <f>TrRail_ene!D$13</f>
        <v>28.896868962426645</v>
      </c>
      <c r="E41" s="102">
        <f>TrRail_ene!E$13</f>
        <v>27.125004370402312</v>
      </c>
      <c r="F41" s="102">
        <f>TrRail_ene!F$13</f>
        <v>28.180883821528461</v>
      </c>
      <c r="G41" s="102">
        <f>TrRail_ene!G$13</f>
        <v>28.227767459553071</v>
      </c>
      <c r="H41" s="102">
        <f>TrRail_ene!H$13</f>
        <v>28.962901854347727</v>
      </c>
      <c r="I41" s="102">
        <f>TrRail_ene!I$13</f>
        <v>28.900285991118558</v>
      </c>
      <c r="J41" s="102">
        <f>TrRail_ene!J$13</f>
        <v>30.641818963236517</v>
      </c>
      <c r="K41" s="102">
        <f>TrRail_ene!K$13</f>
        <v>29.267428306123037</v>
      </c>
      <c r="L41" s="102">
        <f>TrRail_ene!L$13</f>
        <v>28.46039748487177</v>
      </c>
      <c r="M41" s="102">
        <f>TrRail_ene!M$13</f>
        <v>28.168604903082599</v>
      </c>
      <c r="N41" s="102">
        <f>TrRail_ene!N$13</f>
        <v>27.048999886298276</v>
      </c>
      <c r="O41" s="102">
        <f>TrRail_ene!O$13</f>
        <v>24.448609770460202</v>
      </c>
      <c r="P41" s="102">
        <f>TrRail_ene!P$13</f>
        <v>21.354862990170087</v>
      </c>
      <c r="Q41" s="102">
        <f>TrRail_ene!Q$13</f>
        <v>20.316984923829544</v>
      </c>
      <c r="R41" s="102">
        <f>TrRail_ene!R$13</f>
        <v>19.682948348839609</v>
      </c>
      <c r="S41" s="102">
        <f>TrRail_ene!S$13</f>
        <v>19.475862488783619</v>
      </c>
      <c r="T41" s="102">
        <f>TrRail_ene!T$13</f>
        <v>18.876214996684041</v>
      </c>
      <c r="U41" s="102">
        <f>TrRail_ene!U$13</f>
        <v>18.189581393114228</v>
      </c>
      <c r="V41" s="102">
        <f>TrRail_ene!V$13</f>
        <v>15.438291674462388</v>
      </c>
      <c r="W41" s="102">
        <f>TrRail_ene!W$13</f>
        <v>18.728290203843493</v>
      </c>
      <c r="X41" s="102">
        <f>TrRail_ene!X$13</f>
        <v>19.845747305791058</v>
      </c>
      <c r="Y41" s="102">
        <f>TrRail_ene!Y$13</f>
        <v>20.117720153539889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X42" s="102">
        <f>TrRail_ene!X$16</f>
        <v>0</v>
      </c>
      <c r="Y42" s="102">
        <f>TrRail_ene!Y$16</f>
        <v>0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75.128367225647679</v>
      </c>
      <c r="C43" s="110">
        <f t="shared" si="35"/>
        <v>75.041950045139444</v>
      </c>
      <c r="D43" s="110">
        <f t="shared" si="35"/>
        <v>72.41227037052677</v>
      </c>
      <c r="E43" s="110">
        <f t="shared" si="35"/>
        <v>71.402066123750714</v>
      </c>
      <c r="F43" s="110">
        <f t="shared" si="35"/>
        <v>81.889678103664096</v>
      </c>
      <c r="G43" s="110">
        <f t="shared" si="35"/>
        <v>97.540697259815303</v>
      </c>
      <c r="H43" s="110">
        <f t="shared" si="35"/>
        <v>100.67597596736304</v>
      </c>
      <c r="I43" s="110">
        <f t="shared" si="35"/>
        <v>104.75374847245797</v>
      </c>
      <c r="J43" s="110">
        <f t="shared" si="35"/>
        <v>118.36831788743135</v>
      </c>
      <c r="K43" s="110">
        <f t="shared" si="35"/>
        <v>101.59979286165846</v>
      </c>
      <c r="L43" s="110">
        <f t="shared" si="35"/>
        <v>108.10138183882637</v>
      </c>
      <c r="M43" s="110">
        <f t="shared" si="35"/>
        <v>114.42972385239383</v>
      </c>
      <c r="N43" s="110">
        <f t="shared" si="35"/>
        <v>119.69930310396009</v>
      </c>
      <c r="O43" s="110">
        <f t="shared" si="35"/>
        <v>130.0959709579667</v>
      </c>
      <c r="P43" s="110">
        <f t="shared" si="35"/>
        <v>130.13355142982485</v>
      </c>
      <c r="Q43" s="110">
        <f t="shared" si="35"/>
        <v>126.88405472125585</v>
      </c>
      <c r="R43" s="110">
        <f t="shared" ref="R43:V43" si="36">R44+R45+R46</f>
        <v>134.39437055247609</v>
      </c>
      <c r="S43" s="110">
        <f t="shared" si="36"/>
        <v>157.93156988942954</v>
      </c>
      <c r="T43" s="110">
        <f t="shared" si="36"/>
        <v>193.76258455096283</v>
      </c>
      <c r="U43" s="110">
        <f t="shared" si="36"/>
        <v>209.41705540465406</v>
      </c>
      <c r="V43" s="110">
        <f t="shared" si="36"/>
        <v>59.009496462421922</v>
      </c>
      <c r="W43" s="110">
        <f t="shared" ref="W43:Y43" si="37">W44+W45+W46</f>
        <v>105.0679051811493</v>
      </c>
      <c r="X43" s="110">
        <f t="shared" si="37"/>
        <v>193.9879172630576</v>
      </c>
      <c r="Y43" s="110">
        <f t="shared" si="37"/>
        <v>208.49026348453063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8.2610578795827241</v>
      </c>
      <c r="C44" s="102">
        <f>TrAvia_ene!C$7</f>
        <v>8.2325323251633211</v>
      </c>
      <c r="D44" s="102">
        <f>TrAvia_ene!D$7</f>
        <v>9.8111831211412728</v>
      </c>
      <c r="E44" s="102">
        <f>TrAvia_ene!E$7</f>
        <v>10.879638662050702</v>
      </c>
      <c r="F44" s="102">
        <f>TrAvia_ene!F$7</f>
        <v>11.926508935424586</v>
      </c>
      <c r="G44" s="102">
        <f>TrAvia_ene!G$7</f>
        <v>11.891910063786895</v>
      </c>
      <c r="H44" s="102">
        <f>TrAvia_ene!H$7</f>
        <v>12.887376468588378</v>
      </c>
      <c r="I44" s="102">
        <f>TrAvia_ene!I$7</f>
        <v>12.839706381915153</v>
      </c>
      <c r="J44" s="102">
        <f>TrAvia_ene!J$7</f>
        <v>12.859016610247798</v>
      </c>
      <c r="K44" s="102">
        <f>TrAvia_ene!K$7</f>
        <v>11.902268851632298</v>
      </c>
      <c r="L44" s="102">
        <f>TrAvia_ene!L$7</f>
        <v>9.8457335591586173</v>
      </c>
      <c r="M44" s="102">
        <f>TrAvia_ene!M$7</f>
        <v>10.905852629383931</v>
      </c>
      <c r="N44" s="102">
        <f>TrAvia_ene!N$7</f>
        <v>9.8839944665024895</v>
      </c>
      <c r="O44" s="102">
        <f>TrAvia_ene!O$7</f>
        <v>9.8997973556021091</v>
      </c>
      <c r="P44" s="102">
        <f>TrAvia_ene!P$7</f>
        <v>9.9181486662485963</v>
      </c>
      <c r="Q44" s="102">
        <f>TrAvia_ene!Q$7</f>
        <v>10.863005869286694</v>
      </c>
      <c r="R44" s="102">
        <f>TrAvia_ene!R$7</f>
        <v>10.987847855023773</v>
      </c>
      <c r="S44" s="102">
        <f>TrAvia_ene!S$7</f>
        <v>10.570398056594213</v>
      </c>
      <c r="T44" s="102">
        <f>TrAvia_ene!T$7</f>
        <v>10.682490789695636</v>
      </c>
      <c r="U44" s="102">
        <f>TrAvia_ene!U$7</f>
        <v>10.687206084683293</v>
      </c>
      <c r="V44" s="102">
        <f>TrAvia_ene!V$7</f>
        <v>5.5654403295743196</v>
      </c>
      <c r="W44" s="102">
        <f>TrAvia_ene!W$7</f>
        <v>7.4579149350511438</v>
      </c>
      <c r="X44" s="102">
        <f>TrAvia_ene!X$7</f>
        <v>8.6097546272666445</v>
      </c>
      <c r="Y44" s="102">
        <f>TrAvia_ene!Y$7</f>
        <v>10.082124740447767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55.853796547326787</v>
      </c>
      <c r="C45" s="102">
        <f>TrAvia_ene!C$8</f>
        <v>55.805188099972149</v>
      </c>
      <c r="D45" s="102">
        <f>TrAvia_ene!D$8</f>
        <v>52.291140668271233</v>
      </c>
      <c r="E45" s="102">
        <f>TrAvia_ene!E$8</f>
        <v>50.559012853577435</v>
      </c>
      <c r="F45" s="102">
        <f>TrAvia_ene!F$8</f>
        <v>58.448020930828008</v>
      </c>
      <c r="G45" s="102">
        <f>TrAvia_ene!G$8</f>
        <v>72.743685388742023</v>
      </c>
      <c r="H45" s="102">
        <f>TrAvia_ene!H$8</f>
        <v>75.805257313441913</v>
      </c>
      <c r="I45" s="102">
        <f>TrAvia_ene!I$8</f>
        <v>79.938048158994633</v>
      </c>
      <c r="J45" s="102">
        <f>TrAvia_ene!J$8</f>
        <v>91.011877833537852</v>
      </c>
      <c r="K45" s="102">
        <f>TrAvia_ene!K$8</f>
        <v>77.232988683561558</v>
      </c>
      <c r="L45" s="102">
        <f>TrAvia_ene!L$8</f>
        <v>84.762855355745145</v>
      </c>
      <c r="M45" s="102">
        <f>TrAvia_ene!M$8</f>
        <v>89.025238542299832</v>
      </c>
      <c r="N45" s="102">
        <f>TrAvia_ene!N$8</f>
        <v>94.89696785797419</v>
      </c>
      <c r="O45" s="102">
        <f>TrAvia_ene!O$8</f>
        <v>104.95866612651591</v>
      </c>
      <c r="P45" s="102">
        <f>TrAvia_ene!P$8</f>
        <v>105.43063421883609</v>
      </c>
      <c r="Q45" s="102">
        <f>TrAvia_ene!Q$8</f>
        <v>101.74275922717467</v>
      </c>
      <c r="R45" s="102">
        <f>TrAvia_ene!R$8</f>
        <v>109.42304718837218</v>
      </c>
      <c r="S45" s="102">
        <f>TrAvia_ene!S$8</f>
        <v>132.58970048251302</v>
      </c>
      <c r="T45" s="102">
        <f>TrAvia_ene!T$8</f>
        <v>164.88199788231123</v>
      </c>
      <c r="U45" s="102">
        <f>TrAvia_ene!U$8</f>
        <v>179.08587743924187</v>
      </c>
      <c r="V45" s="102">
        <f>TrAvia_ene!V$8</f>
        <v>43.558113831117396</v>
      </c>
      <c r="W45" s="102">
        <f>TrAvia_ene!W$8</f>
        <v>82.964209560698066</v>
      </c>
      <c r="X45" s="102">
        <f>TrAvia_ene!X$8</f>
        <v>167.21658081236993</v>
      </c>
      <c r="Y45" s="102">
        <f>TrAvia_ene!Y$8</f>
        <v>178.54911285757612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11.013512798738166</v>
      </c>
      <c r="C46" s="102">
        <f>TrAvia_ene!C$9</f>
        <v>11.004229620003963</v>
      </c>
      <c r="D46" s="102">
        <f>TrAvia_ene!D$9</f>
        <v>10.309946581114266</v>
      </c>
      <c r="E46" s="102">
        <f>TrAvia_ene!E$9</f>
        <v>9.9634146081225818</v>
      </c>
      <c r="F46" s="102">
        <f>TrAvia_ene!F$9</f>
        <v>11.515148237411493</v>
      </c>
      <c r="G46" s="102">
        <f>TrAvia_ene!G$9</f>
        <v>12.905101807286382</v>
      </c>
      <c r="H46" s="102">
        <f>TrAvia_ene!H$9</f>
        <v>11.983342185332742</v>
      </c>
      <c r="I46" s="102">
        <f>TrAvia_ene!I$9</f>
        <v>11.975993931548187</v>
      </c>
      <c r="J46" s="102">
        <f>TrAvia_ene!J$9</f>
        <v>14.497423443645697</v>
      </c>
      <c r="K46" s="102">
        <f>TrAvia_ene!K$9</f>
        <v>12.464535326464603</v>
      </c>
      <c r="L46" s="102">
        <f>TrAvia_ene!L$9</f>
        <v>13.492792923922609</v>
      </c>
      <c r="M46" s="102">
        <f>TrAvia_ene!M$9</f>
        <v>14.498632680710067</v>
      </c>
      <c r="N46" s="102">
        <f>TrAvia_ene!N$9</f>
        <v>14.918340779483422</v>
      </c>
      <c r="O46" s="102">
        <f>TrAvia_ene!O$9</f>
        <v>15.237507475848686</v>
      </c>
      <c r="P46" s="102">
        <f>TrAvia_ene!P$9</f>
        <v>14.784768544740162</v>
      </c>
      <c r="Q46" s="102">
        <f>TrAvia_ene!Q$9</f>
        <v>14.27828962479448</v>
      </c>
      <c r="R46" s="102">
        <f>TrAvia_ene!R$9</f>
        <v>13.983475509080142</v>
      </c>
      <c r="S46" s="102">
        <f>TrAvia_ene!S$9</f>
        <v>14.771471350322303</v>
      </c>
      <c r="T46" s="102">
        <f>TrAvia_ene!T$9</f>
        <v>18.198095878955957</v>
      </c>
      <c r="U46" s="102">
        <f>TrAvia_ene!U$9</f>
        <v>19.643971880728902</v>
      </c>
      <c r="V46" s="102">
        <f>TrAvia_ene!V$9</f>
        <v>9.8859423017302017</v>
      </c>
      <c r="W46" s="102">
        <f>TrAvia_ene!W$9</f>
        <v>14.645780685400089</v>
      </c>
      <c r="X46" s="102">
        <f>TrAvia_ene!X$9</f>
        <v>18.161581823421027</v>
      </c>
      <c r="Y46" s="102">
        <f>TrAvia_ene!Y$9</f>
        <v>19.85902588650675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265.40900255058375</v>
      </c>
      <c r="C47" s="28">
        <f t="shared" si="38"/>
        <v>286.85019125287408</v>
      </c>
      <c r="D47" s="28">
        <f t="shared" si="38"/>
        <v>369.04870094442651</v>
      </c>
      <c r="E47" s="28">
        <f t="shared" si="38"/>
        <v>413.55833222707543</v>
      </c>
      <c r="F47" s="28">
        <f t="shared" si="38"/>
        <v>444.51850933068891</v>
      </c>
      <c r="G47" s="28">
        <f t="shared" si="38"/>
        <v>462.74960417324468</v>
      </c>
      <c r="H47" s="28">
        <f t="shared" si="38"/>
        <v>493.57691048241253</v>
      </c>
      <c r="I47" s="28">
        <f t="shared" si="38"/>
        <v>506.89685993759912</v>
      </c>
      <c r="J47" s="28">
        <f t="shared" si="38"/>
        <v>512.50751916444619</v>
      </c>
      <c r="K47" s="28">
        <f t="shared" si="38"/>
        <v>479.47499047590679</v>
      </c>
      <c r="L47" s="28">
        <f t="shared" si="38"/>
        <v>461.25285881909241</v>
      </c>
      <c r="M47" s="28">
        <f t="shared" si="38"/>
        <v>445.13553867873037</v>
      </c>
      <c r="N47" s="28">
        <f t="shared" si="38"/>
        <v>411.73545043654769</v>
      </c>
      <c r="O47" s="28">
        <f t="shared" si="38"/>
        <v>461.28687542567451</v>
      </c>
      <c r="P47" s="28">
        <f t="shared" si="38"/>
        <v>424.97436746647685</v>
      </c>
      <c r="Q47" s="28">
        <f t="shared" si="38"/>
        <v>444.65770905182598</v>
      </c>
      <c r="R47" s="28">
        <f t="shared" ref="R47:V47" si="39">R48+R51+R52+R56</f>
        <v>430.66797148044833</v>
      </c>
      <c r="S47" s="28">
        <f t="shared" si="39"/>
        <v>531.80764673716703</v>
      </c>
      <c r="T47" s="28">
        <f t="shared" si="39"/>
        <v>513.51082259319355</v>
      </c>
      <c r="U47" s="28">
        <f t="shared" si="39"/>
        <v>581.35047131967667</v>
      </c>
      <c r="V47" s="28">
        <f t="shared" si="39"/>
        <v>567.33298962327478</v>
      </c>
      <c r="W47" s="28">
        <f t="shared" ref="W47:Y47" si="40">W48+W51+W52+W56</f>
        <v>587.2243178334885</v>
      </c>
      <c r="X47" s="28">
        <f t="shared" si="40"/>
        <v>606.6919689860739</v>
      </c>
      <c r="Y47" s="28">
        <f t="shared" si="40"/>
        <v>678.05196254541875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222.91628123462982</v>
      </c>
      <c r="C48" s="137">
        <f t="shared" si="41"/>
        <v>241.79763534654791</v>
      </c>
      <c r="D48" s="137">
        <f t="shared" si="41"/>
        <v>317.19520897351106</v>
      </c>
      <c r="E48" s="137">
        <f t="shared" si="41"/>
        <v>358.87757915356212</v>
      </c>
      <c r="F48" s="137">
        <f t="shared" si="41"/>
        <v>396.03655343537258</v>
      </c>
      <c r="G48" s="137">
        <f t="shared" si="41"/>
        <v>409.02618306117449</v>
      </c>
      <c r="H48" s="137">
        <f t="shared" si="41"/>
        <v>437.69534578190553</v>
      </c>
      <c r="I48" s="137">
        <f t="shared" si="41"/>
        <v>448.72154441115572</v>
      </c>
      <c r="J48" s="137">
        <f t="shared" si="41"/>
        <v>447.97821853398102</v>
      </c>
      <c r="K48" s="137">
        <f t="shared" si="41"/>
        <v>414.41196067206886</v>
      </c>
      <c r="L48" s="137">
        <f t="shared" si="41"/>
        <v>404.82889362356912</v>
      </c>
      <c r="M48" s="137">
        <f t="shared" si="41"/>
        <v>389.82769831919006</v>
      </c>
      <c r="N48" s="137">
        <f t="shared" si="41"/>
        <v>359.75321741609031</v>
      </c>
      <c r="O48" s="137">
        <f t="shared" si="41"/>
        <v>405.21991830920473</v>
      </c>
      <c r="P48" s="137">
        <f t="shared" si="41"/>
        <v>365.61455551569424</v>
      </c>
      <c r="Q48" s="137">
        <f t="shared" si="41"/>
        <v>388.74221245384638</v>
      </c>
      <c r="R48" s="137">
        <f t="shared" ref="R48:V48" si="42">R49+R50</f>
        <v>372.95523815055981</v>
      </c>
      <c r="S48" s="137">
        <f t="shared" si="42"/>
        <v>470.92017975076681</v>
      </c>
      <c r="T48" s="137">
        <f t="shared" si="42"/>
        <v>450.33626710840224</v>
      </c>
      <c r="U48" s="137">
        <f t="shared" si="42"/>
        <v>516.34952391741547</v>
      </c>
      <c r="V48" s="137">
        <f t="shared" si="42"/>
        <v>510.72054698856397</v>
      </c>
      <c r="W48" s="137">
        <f t="shared" ref="W48:Y48" si="43">W49+W50</f>
        <v>524.5387162278098</v>
      </c>
      <c r="X48" s="137">
        <f t="shared" si="43"/>
        <v>542.50131698750511</v>
      </c>
      <c r="Y48" s="137">
        <f t="shared" si="43"/>
        <v>618.32525262231877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79.509587751664682</v>
      </c>
      <c r="C49" s="102">
        <f>TrRoad_ene!C$43</f>
        <v>89.730472482247578</v>
      </c>
      <c r="D49" s="102">
        <f>TrRoad_ene!D$43</f>
        <v>101.03308896445098</v>
      </c>
      <c r="E49" s="102">
        <f>TrRoad_ene!E$43</f>
        <v>110.82498595186597</v>
      </c>
      <c r="F49" s="102">
        <f>TrRoad_ene!F$43</f>
        <v>119.04424061382225</v>
      </c>
      <c r="G49" s="102">
        <f>TrRoad_ene!G$43</f>
        <v>129.96454794130076</v>
      </c>
      <c r="H49" s="102">
        <f>TrRoad_ene!H$43</f>
        <v>135.79369445479941</v>
      </c>
      <c r="I49" s="102">
        <f>TrRoad_ene!I$43</f>
        <v>132.87165902634112</v>
      </c>
      <c r="J49" s="102">
        <f>TrRoad_ene!J$43</f>
        <v>137.71295979682486</v>
      </c>
      <c r="K49" s="102">
        <f>TrRoad_ene!K$43</f>
        <v>133.27192619511223</v>
      </c>
      <c r="L49" s="102">
        <f>TrRoad_ene!L$43</f>
        <v>123.63343508558616</v>
      </c>
      <c r="M49" s="102">
        <f>TrRoad_ene!M$43</f>
        <v>121.92599854273615</v>
      </c>
      <c r="N49" s="102">
        <f>TrRoad_ene!N$43</f>
        <v>115.04909118202404</v>
      </c>
      <c r="O49" s="102">
        <f>TrRoad_ene!O$43</f>
        <v>113.08846026305913</v>
      </c>
      <c r="P49" s="102">
        <f>TrRoad_ene!P$43</f>
        <v>108.61144507408051</v>
      </c>
      <c r="Q49" s="102">
        <f>TrRoad_ene!Q$43</f>
        <v>122.58486702956573</v>
      </c>
      <c r="R49" s="102">
        <f>TrRoad_ene!R$43</f>
        <v>126.71617375040591</v>
      </c>
      <c r="S49" s="102">
        <f>TrRoad_ene!S$43</f>
        <v>145.52336046335677</v>
      </c>
      <c r="T49" s="102">
        <f>TrRoad_ene!T$43</f>
        <v>158.19799165047633</v>
      </c>
      <c r="U49" s="102">
        <f>TrRoad_ene!U$43</f>
        <v>171.43769354310325</v>
      </c>
      <c r="V49" s="102">
        <f>TrRoad_ene!V$43</f>
        <v>176.1385570698439</v>
      </c>
      <c r="W49" s="102">
        <f>TrRoad_ene!W$43</f>
        <v>193.58090062038386</v>
      </c>
      <c r="X49" s="102">
        <f>TrRoad_ene!X$43</f>
        <v>207.219775697655</v>
      </c>
      <c r="Y49" s="102">
        <f>TrRoad_ene!Y$43</f>
        <v>229.80941391440481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143.40669348296515</v>
      </c>
      <c r="C50" s="102">
        <f>TrRoad_ene!C$52</f>
        <v>152.06716286430034</v>
      </c>
      <c r="D50" s="102">
        <f>TrRoad_ene!D$52</f>
        <v>216.16212000906009</v>
      </c>
      <c r="E50" s="102">
        <f>TrRoad_ene!E$52</f>
        <v>248.05259320169614</v>
      </c>
      <c r="F50" s="102">
        <f>TrRoad_ene!F$52</f>
        <v>276.99231282155034</v>
      </c>
      <c r="G50" s="102">
        <f>TrRoad_ene!G$52</f>
        <v>279.06163511987376</v>
      </c>
      <c r="H50" s="102">
        <f>TrRoad_ene!H$52</f>
        <v>301.90165132710615</v>
      </c>
      <c r="I50" s="102">
        <f>TrRoad_ene!I$52</f>
        <v>315.84988538481463</v>
      </c>
      <c r="J50" s="102">
        <f>TrRoad_ene!J$52</f>
        <v>310.26525873715616</v>
      </c>
      <c r="K50" s="102">
        <f>TrRoad_ene!K$52</f>
        <v>281.1400344769566</v>
      </c>
      <c r="L50" s="102">
        <f>TrRoad_ene!L$52</f>
        <v>281.19545853798297</v>
      </c>
      <c r="M50" s="102">
        <f>TrRoad_ene!M$52</f>
        <v>267.90169977645394</v>
      </c>
      <c r="N50" s="102">
        <f>TrRoad_ene!N$52</f>
        <v>244.70412623406628</v>
      </c>
      <c r="O50" s="102">
        <f>TrRoad_ene!O$52</f>
        <v>292.13145804614561</v>
      </c>
      <c r="P50" s="102">
        <f>TrRoad_ene!P$52</f>
        <v>257.00311044161373</v>
      </c>
      <c r="Q50" s="102">
        <f>TrRoad_ene!Q$52</f>
        <v>266.15734542428066</v>
      </c>
      <c r="R50" s="102">
        <f>TrRoad_ene!R$52</f>
        <v>246.23906440015389</v>
      </c>
      <c r="S50" s="102">
        <f>TrRoad_ene!S$52</f>
        <v>325.39681928741004</v>
      </c>
      <c r="T50" s="102">
        <f>TrRoad_ene!T$52</f>
        <v>292.13827545792594</v>
      </c>
      <c r="U50" s="102">
        <f>TrRoad_ene!U$52</f>
        <v>344.91183037431222</v>
      </c>
      <c r="V50" s="102">
        <f>TrRoad_ene!V$52</f>
        <v>334.58198991872007</v>
      </c>
      <c r="W50" s="102">
        <f>TrRoad_ene!W$52</f>
        <v>330.95781560742591</v>
      </c>
      <c r="X50" s="102">
        <f>TrRoad_ene!X$52</f>
        <v>335.28154128985017</v>
      </c>
      <c r="Y50" s="102">
        <f>TrRoad_ene!Y$52</f>
        <v>388.51583870791399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13.084717088463202</v>
      </c>
      <c r="C51" s="110">
        <f>TrRail_ene!C$17</f>
        <v>15.079200706409747</v>
      </c>
      <c r="D51" s="110">
        <f>TrRail_ene!D$17</f>
        <v>15.971265350900591</v>
      </c>
      <c r="E51" s="110">
        <f>TrRail_ene!E$17</f>
        <v>17.814805439740397</v>
      </c>
      <c r="F51" s="110">
        <f>TrRail_ene!F$17</f>
        <v>18.358564351516971</v>
      </c>
      <c r="G51" s="110">
        <f>TrRail_ene!G$17</f>
        <v>20.441246488824483</v>
      </c>
      <c r="H51" s="110">
        <f>TrRail_ene!H$17</f>
        <v>21.564677383261326</v>
      </c>
      <c r="I51" s="110">
        <f>TrRail_ene!I$17</f>
        <v>22.716166320483438</v>
      </c>
      <c r="J51" s="110">
        <f>TrRail_ene!J$17</f>
        <v>20.678615938360839</v>
      </c>
      <c r="K51" s="110">
        <f>TrRail_ene!K$17</f>
        <v>16.972452932048451</v>
      </c>
      <c r="L51" s="110">
        <f>TrRail_ene!L$17</f>
        <v>18.212621324977377</v>
      </c>
      <c r="M51" s="110">
        <f>TrRail_ene!M$17</f>
        <v>16.716927926465605</v>
      </c>
      <c r="N51" s="110">
        <f>TrRail_ene!N$17</f>
        <v>15.349291928372757</v>
      </c>
      <c r="O51" s="110">
        <f>TrRail_ene!O$17</f>
        <v>15.650202365064207</v>
      </c>
      <c r="P51" s="110">
        <f>TrRail_ene!P$17</f>
        <v>14.900242142430331</v>
      </c>
      <c r="Q51" s="110">
        <f>TrRail_ene!Q$17</f>
        <v>13.503162669192481</v>
      </c>
      <c r="R51" s="110">
        <f>TrRail_ene!R$17</f>
        <v>14.334274991564969</v>
      </c>
      <c r="S51" s="110">
        <f>TrRail_ene!S$17</f>
        <v>15.180687778667252</v>
      </c>
      <c r="T51" s="110">
        <f>TrRail_ene!T$17</f>
        <v>13.80154244332074</v>
      </c>
      <c r="U51" s="110">
        <f>TrRail_ene!U$17</f>
        <v>14.014735395049403</v>
      </c>
      <c r="V51" s="110">
        <f>TrRail_ene!V$17</f>
        <v>15.074475640554942</v>
      </c>
      <c r="W51" s="110">
        <f>TrRail_ene!W$17</f>
        <v>14.171219598521816</v>
      </c>
      <c r="X51" s="110">
        <f>TrRail_ene!X$17</f>
        <v>14.26231818681973</v>
      </c>
      <c r="Y51" s="110">
        <f>TrRail_ene!Y$17</f>
        <v>11.231848730072581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0.4692252077142996</v>
      </c>
      <c r="C52" s="110">
        <f t="shared" si="44"/>
        <v>0.55564238822255441</v>
      </c>
      <c r="D52" s="110">
        <f t="shared" si="44"/>
        <v>0.56451380832103348</v>
      </c>
      <c r="E52" s="110">
        <f t="shared" si="44"/>
        <v>0.52811444374713745</v>
      </c>
      <c r="F52" s="110">
        <f t="shared" si="44"/>
        <v>0.54015852574261136</v>
      </c>
      <c r="G52" s="110">
        <f t="shared" si="44"/>
        <v>0.63866645471605099</v>
      </c>
      <c r="H52" s="110">
        <f t="shared" si="44"/>
        <v>0.65325877038413127</v>
      </c>
      <c r="I52" s="110">
        <f t="shared" si="44"/>
        <v>0.77540028076646172</v>
      </c>
      <c r="J52" s="110">
        <f t="shared" si="44"/>
        <v>0.81035795091769836</v>
      </c>
      <c r="K52" s="110">
        <f t="shared" si="44"/>
        <v>0.77948486835012099</v>
      </c>
      <c r="L52" s="110">
        <f t="shared" si="44"/>
        <v>0.57763793761384918</v>
      </c>
      <c r="M52" s="110">
        <f t="shared" si="44"/>
        <v>0.5491239550007847</v>
      </c>
      <c r="N52" s="110">
        <f t="shared" si="44"/>
        <v>0.52941572665044234</v>
      </c>
      <c r="O52" s="110">
        <f t="shared" si="44"/>
        <v>0.63240393455261701</v>
      </c>
      <c r="P52" s="110">
        <f t="shared" si="44"/>
        <v>0.5948234626944584</v>
      </c>
      <c r="Q52" s="110">
        <f t="shared" si="44"/>
        <v>0.58782833979313465</v>
      </c>
      <c r="R52" s="110">
        <f t="shared" si="44"/>
        <v>0.53383237099764713</v>
      </c>
      <c r="S52" s="110">
        <f t="shared" si="44"/>
        <v>0.51589356714824897</v>
      </c>
      <c r="T52" s="110">
        <f t="shared" si="44"/>
        <v>1.2237439099142708</v>
      </c>
      <c r="U52" s="110">
        <f t="shared" si="44"/>
        <v>0.89876574753849447</v>
      </c>
      <c r="V52" s="110">
        <f t="shared" si="44"/>
        <v>0.52954051092287191</v>
      </c>
      <c r="W52" s="110">
        <f t="shared" ref="W52:Y52" si="45">W53+W54+W55</f>
        <v>0.67121777671828908</v>
      </c>
      <c r="X52" s="110">
        <f t="shared" si="45"/>
        <v>0.57691506712305007</v>
      </c>
      <c r="Y52" s="110">
        <f t="shared" si="45"/>
        <v>0.77560065992336813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0.13868416684891563</v>
      </c>
      <c r="C53" s="102">
        <f>TrAvia_ene!C$11</f>
        <v>0.16720972126831948</v>
      </c>
      <c r="D53" s="102">
        <f>TrAvia_ene!D$11</f>
        <v>0.16757870173061104</v>
      </c>
      <c r="E53" s="102">
        <f>TrAvia_ene!E$11</f>
        <v>0.15251954947122817</v>
      </c>
      <c r="F53" s="102">
        <f>TrAvia_ene!F$11</f>
        <v>0.15560628383594385</v>
      </c>
      <c r="G53" s="102">
        <f>TrAvia_ene!G$11</f>
        <v>0.19020515547363534</v>
      </c>
      <c r="H53" s="102">
        <f>TrAvia_ene!H$11</f>
        <v>0.24469575841076183</v>
      </c>
      <c r="I53" s="102">
        <f>TrAvia_ene!I$11</f>
        <v>0.29236584508398739</v>
      </c>
      <c r="J53" s="102">
        <f>TrAvia_ene!J$11</f>
        <v>0.27305561675134254</v>
      </c>
      <c r="K53" s="102">
        <f>TrAvia_ene!K$11</f>
        <v>0.17984636762823097</v>
      </c>
      <c r="L53" s="102">
        <f>TrAvia_ene!L$11</f>
        <v>0.13646764462470243</v>
      </c>
      <c r="M53" s="102">
        <f>TrAvia_ene!M$11</f>
        <v>0.1263055821379982</v>
      </c>
      <c r="N53" s="102">
        <f>TrAvia_ene!N$11</f>
        <v>9.8206737280830181E-2</v>
      </c>
      <c r="O53" s="102">
        <f>TrAvia_ene!O$11</f>
        <v>8.2403848181210645E-2</v>
      </c>
      <c r="P53" s="102">
        <f>TrAvia_ene!P$11</f>
        <v>6.4052537534722606E-2</v>
      </c>
      <c r="Q53" s="102">
        <f>TrAvia_ene!Q$11</f>
        <v>6.2617518503508371E-2</v>
      </c>
      <c r="R53" s="102">
        <f>TrAvia_ene!R$11</f>
        <v>4.431035649815742E-2</v>
      </c>
      <c r="S53" s="102">
        <f>TrAvia_ene!S$11</f>
        <v>4.1811745641386878E-2</v>
      </c>
      <c r="T53" s="102">
        <f>TrAvia_ene!T$11</f>
        <v>3.4706114861541619E-2</v>
      </c>
      <c r="U53" s="102">
        <f>TrAvia_ene!U$11</f>
        <v>2.8443098463737521E-2</v>
      </c>
      <c r="V53" s="102">
        <f>TrAvia_ene!V$11</f>
        <v>5.3249326784750506E-3</v>
      </c>
      <c r="W53" s="102">
        <f>TrAvia_ene!W$11</f>
        <v>4.3378594458465449E-3</v>
      </c>
      <c r="X53" s="102">
        <f>TrAvia_ene!X$11</f>
        <v>5.9805404031736606E-3</v>
      </c>
      <c r="Y53" s="102">
        <f>TrAvia_ene!Y$11</f>
        <v>5.0635656571331455E-3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0.2872277723121146</v>
      </c>
      <c r="C54" s="102">
        <f>TrAvia_ene!C$12</f>
        <v>0.3390235469500904</v>
      </c>
      <c r="D54" s="102">
        <f>TrAvia_ene!D$12</f>
        <v>0.34759879873249072</v>
      </c>
      <c r="E54" s="102">
        <f>TrAvia_ene!E$12</f>
        <v>0.32013328958275722</v>
      </c>
      <c r="F54" s="102">
        <f>TrAvia_ene!F$12</f>
        <v>0.32910659590982599</v>
      </c>
      <c r="G54" s="102">
        <f>TrAvia_ene!G$12</f>
        <v>0.38283606810288046</v>
      </c>
      <c r="H54" s="102">
        <f>TrAvia_ene!H$12</f>
        <v>0.35871311370178682</v>
      </c>
      <c r="I54" s="102">
        <f>TrAvia_ene!I$12</f>
        <v>0.4350793887331198</v>
      </c>
      <c r="J54" s="102">
        <f>TrAvia_ene!J$12</f>
        <v>0.49042056700278713</v>
      </c>
      <c r="K54" s="102">
        <f>TrAvia_ene!K$12</f>
        <v>0.57047111209366586</v>
      </c>
      <c r="L54" s="102">
        <f>TrAvia_ene!L$12</f>
        <v>0.41070286733272954</v>
      </c>
      <c r="M54" s="102">
        <f>TrAvia_ene!M$12</f>
        <v>0.30663846429643171</v>
      </c>
      <c r="N54" s="102">
        <f>TrAvia_ene!N$12</f>
        <v>0.34442498304192365</v>
      </c>
      <c r="O54" s="102">
        <f>TrAvia_ene!O$12</f>
        <v>0.35891793092663549</v>
      </c>
      <c r="P54" s="102">
        <f>TrAvia_ene!P$12</f>
        <v>0.30171583299516569</v>
      </c>
      <c r="Q54" s="102">
        <f>TrAvia_ene!Q$12</f>
        <v>0.28679029366905595</v>
      </c>
      <c r="R54" s="102">
        <f>TrAvia_ene!R$12</f>
        <v>0.26850647590948662</v>
      </c>
      <c r="S54" s="102">
        <f>TrAvia_ene!S$12</f>
        <v>0.24751802260336528</v>
      </c>
      <c r="T54" s="102">
        <f>TrAvia_ene!T$12</f>
        <v>0.31590911682755096</v>
      </c>
      <c r="U54" s="102">
        <f>TrAvia_ene!U$12</f>
        <v>0.34470485087087177</v>
      </c>
      <c r="V54" s="102">
        <f>TrAvia_ene!V$12</f>
        <v>0.43639343456865703</v>
      </c>
      <c r="W54" s="102">
        <f>TrAvia_ene!W$12</f>
        <v>0.53480667075763322</v>
      </c>
      <c r="X54" s="102">
        <f>TrAvia_ene!X$12</f>
        <v>0.53140562211674747</v>
      </c>
      <c r="Y54" s="102">
        <f>TrAvia_ene!Y$12</f>
        <v>0.7408452915925493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4.3313268553269391E-2</v>
      </c>
      <c r="C55" s="102">
        <f>TrAvia_ene!C$13</f>
        <v>4.9409120004144554E-2</v>
      </c>
      <c r="D55" s="102">
        <f>TrAvia_ene!D$13</f>
        <v>4.9336307857931722E-2</v>
      </c>
      <c r="E55" s="102">
        <f>TrAvia_ene!E$13</f>
        <v>5.5461604693152124E-2</v>
      </c>
      <c r="F55" s="102">
        <f>TrAvia_ene!F$13</f>
        <v>5.5445645996841542E-2</v>
      </c>
      <c r="G55" s="102">
        <f>TrAvia_ene!G$13</f>
        <v>6.5625231139535195E-2</v>
      </c>
      <c r="H55" s="102">
        <f>TrAvia_ene!H$13</f>
        <v>4.9849898271582566E-2</v>
      </c>
      <c r="I55" s="102">
        <f>TrAvia_ene!I$13</f>
        <v>4.7955046949354541E-2</v>
      </c>
      <c r="J55" s="102">
        <f>TrAvia_ene!J$13</f>
        <v>4.6881767163568677E-2</v>
      </c>
      <c r="K55" s="102">
        <f>TrAvia_ene!K$13</f>
        <v>2.916738862822418E-2</v>
      </c>
      <c r="L55" s="102">
        <f>TrAvia_ene!L$13</f>
        <v>3.0467425656417295E-2</v>
      </c>
      <c r="M55" s="102">
        <f>TrAvia_ene!M$13</f>
        <v>0.11617990856635485</v>
      </c>
      <c r="N55" s="102">
        <f>TrAvia_ene!N$13</f>
        <v>8.6784006327688554E-2</v>
      </c>
      <c r="O55" s="102">
        <f>TrAvia_ene!O$13</f>
        <v>0.19108215544477083</v>
      </c>
      <c r="P55" s="102">
        <f>TrAvia_ene!P$13</f>
        <v>0.22905509216457012</v>
      </c>
      <c r="Q55" s="102">
        <f>TrAvia_ene!Q$13</f>
        <v>0.23842052762057028</v>
      </c>
      <c r="R55" s="102">
        <f>TrAvia_ene!R$13</f>
        <v>0.22101553859000311</v>
      </c>
      <c r="S55" s="102">
        <f>TrAvia_ene!S$13</f>
        <v>0.22656379890349682</v>
      </c>
      <c r="T55" s="102">
        <f>TrAvia_ene!T$13</f>
        <v>0.87312867822517826</v>
      </c>
      <c r="U55" s="102">
        <f>TrAvia_ene!U$13</f>
        <v>0.52561779820388521</v>
      </c>
      <c r="V55" s="102">
        <f>TrAvia_ene!V$13</f>
        <v>8.7822143675739789E-2</v>
      </c>
      <c r="W55" s="102">
        <f>TrAvia_ene!W$13</f>
        <v>0.13207324651480937</v>
      </c>
      <c r="X55" s="102">
        <f>TrAvia_ene!X$13</f>
        <v>3.9528904603128967E-2</v>
      </c>
      <c r="Y55" s="102">
        <f>TrAvia_ene!Y$13</f>
        <v>2.9691802673685652E-2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28.938779019776437</v>
      </c>
      <c r="C56" s="110">
        <f t="shared" si="46"/>
        <v>29.417712811693896</v>
      </c>
      <c r="D56" s="110">
        <f t="shared" si="46"/>
        <v>35.317712811693895</v>
      </c>
      <c r="E56" s="110">
        <f t="shared" si="46"/>
        <v>36.33783319002579</v>
      </c>
      <c r="F56" s="110">
        <f t="shared" si="46"/>
        <v>29.583233018056752</v>
      </c>
      <c r="G56" s="110">
        <f t="shared" si="46"/>
        <v>32.643508168529657</v>
      </c>
      <c r="H56" s="110">
        <f t="shared" si="46"/>
        <v>33.66362854686156</v>
      </c>
      <c r="I56" s="110">
        <f t="shared" si="46"/>
        <v>34.683748925193463</v>
      </c>
      <c r="J56" s="110">
        <f t="shared" si="46"/>
        <v>43.040326741186576</v>
      </c>
      <c r="K56" s="110">
        <f t="shared" si="46"/>
        <v>47.311092003439377</v>
      </c>
      <c r="L56" s="110">
        <f t="shared" si="46"/>
        <v>37.633705932932067</v>
      </c>
      <c r="M56" s="110">
        <f t="shared" si="46"/>
        <v>38.041788478073954</v>
      </c>
      <c r="N56" s="110">
        <f t="shared" si="46"/>
        <v>36.103525365434216</v>
      </c>
      <c r="O56" s="110">
        <f t="shared" si="46"/>
        <v>39.784350816852957</v>
      </c>
      <c r="P56" s="110">
        <f t="shared" si="46"/>
        <v>43.864746345657785</v>
      </c>
      <c r="Q56" s="110">
        <f t="shared" si="46"/>
        <v>41.824505588993986</v>
      </c>
      <c r="R56" s="110">
        <f t="shared" ref="R56:V56" si="47">R57+R58</f>
        <v>42.844625967325882</v>
      </c>
      <c r="S56" s="110">
        <f t="shared" si="47"/>
        <v>45.190885640584703</v>
      </c>
      <c r="T56" s="110">
        <f t="shared" si="47"/>
        <v>48.149269131556331</v>
      </c>
      <c r="U56" s="110">
        <f t="shared" si="47"/>
        <v>50.087446259673264</v>
      </c>
      <c r="V56" s="110">
        <f t="shared" si="47"/>
        <v>41.008426483233023</v>
      </c>
      <c r="W56" s="110">
        <f t="shared" ref="W56:Y56" si="48">W57+W58</f>
        <v>47.843164230438518</v>
      </c>
      <c r="X56" s="110">
        <f t="shared" si="48"/>
        <v>49.351418744625967</v>
      </c>
      <c r="Y56" s="110">
        <f t="shared" si="48"/>
        <v>47.719260533104041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19.706326028888345</v>
      </c>
      <c r="C57" s="102">
        <f>TrNavi_ene!C4</f>
        <v>19.145881692120216</v>
      </c>
      <c r="D57" s="102">
        <f>TrNavi_ene!D4</f>
        <v>23.09616445596464</v>
      </c>
      <c r="E57" s="102">
        <f>TrNavi_ene!E4</f>
        <v>23.349304090937956</v>
      </c>
      <c r="F57" s="102">
        <f>TrNavi_ene!F4</f>
        <v>13.694407776064782</v>
      </c>
      <c r="G57" s="102">
        <f>TrNavi_ene!G4</f>
        <v>20.823532147050848</v>
      </c>
      <c r="H57" s="102">
        <f>TrNavi_ene!H4</f>
        <v>18.413374960944605</v>
      </c>
      <c r="I57" s="102">
        <f>TrNavi_ene!I4</f>
        <v>19.546310060478731</v>
      </c>
      <c r="J57" s="102">
        <f>TrNavi_ene!J4</f>
        <v>6.261204222420413</v>
      </c>
      <c r="K57" s="102">
        <f>TrNavi_ene!K4</f>
        <v>6.1167358723141394</v>
      </c>
      <c r="L57" s="102">
        <f>TrNavi_ene!L4</f>
        <v>4.6688800467114593</v>
      </c>
      <c r="M57" s="102">
        <f>TrNavi_ene!M4</f>
        <v>5.0404927312381353</v>
      </c>
      <c r="N57" s="102">
        <f>TrNavi_ene!N4</f>
        <v>3.7607951104907631</v>
      </c>
      <c r="O57" s="102">
        <f>TrNavi_ene!O4</f>
        <v>3.8764137176746951</v>
      </c>
      <c r="P57" s="102">
        <f>TrNavi_ene!P4</f>
        <v>4.2602962704247931</v>
      </c>
      <c r="Q57" s="102">
        <f>TrNavi_ene!Q4</f>
        <v>4.7403639888534572</v>
      </c>
      <c r="R57" s="102">
        <f>TrNavi_ene!R4</f>
        <v>2.4580162946750237</v>
      </c>
      <c r="S57" s="102">
        <f>TrNavi_ene!S4</f>
        <v>3.0772916761434175</v>
      </c>
      <c r="T57" s="102">
        <f>TrNavi_ene!T4</f>
        <v>3.2381374265313494</v>
      </c>
      <c r="U57" s="102">
        <f>TrNavi_ene!U4</f>
        <v>2.6648079941312846</v>
      </c>
      <c r="V57" s="102">
        <f>TrNavi_ene!V4</f>
        <v>1.8914433122264771</v>
      </c>
      <c r="W57" s="102">
        <f>TrNavi_ene!W4</f>
        <v>2.3974658216770841</v>
      </c>
      <c r="X57" s="102">
        <f>TrNavi_ene!X4</f>
        <v>3.4094282340550324</v>
      </c>
      <c r="Y57" s="102">
        <f>TrNavi_ene!Y4</f>
        <v>3.1600816268745291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9.2324529908880919</v>
      </c>
      <c r="C58" s="169">
        <f>TrNavi_ene!C10</f>
        <v>10.271831119573678</v>
      </c>
      <c r="D58" s="169">
        <f>TrNavi_ene!D10</f>
        <v>12.221548355729258</v>
      </c>
      <c r="E58" s="169">
        <f>TrNavi_ene!E10</f>
        <v>12.988529099087833</v>
      </c>
      <c r="F58" s="169">
        <f>TrNavi_ene!F10</f>
        <v>15.88882524199197</v>
      </c>
      <c r="G58" s="169">
        <f>TrNavi_ene!G10</f>
        <v>11.819976021478807</v>
      </c>
      <c r="H58" s="169">
        <f>TrNavi_ene!H10</f>
        <v>15.250253585916955</v>
      </c>
      <c r="I58" s="169">
        <f>TrNavi_ene!I10</f>
        <v>15.13743886471473</v>
      </c>
      <c r="J58" s="169">
        <f>TrNavi_ene!J10</f>
        <v>36.779122518766165</v>
      </c>
      <c r="K58" s="169">
        <f>TrNavi_ene!K10</f>
        <v>41.19435613112524</v>
      </c>
      <c r="L58" s="169">
        <f>TrNavi_ene!L10</f>
        <v>32.964825886220609</v>
      </c>
      <c r="M58" s="169">
        <f>TrNavi_ene!M10</f>
        <v>33.001295746835815</v>
      </c>
      <c r="N58" s="169">
        <f>TrNavi_ene!N10</f>
        <v>32.342730254943454</v>
      </c>
      <c r="O58" s="169">
        <f>TrNavi_ene!O10</f>
        <v>35.907937099178262</v>
      </c>
      <c r="P58" s="169">
        <f>TrNavi_ene!P10</f>
        <v>39.60445007523299</v>
      </c>
      <c r="Q58" s="169">
        <f>TrNavi_ene!Q10</f>
        <v>37.084141600140526</v>
      </c>
      <c r="R58" s="169">
        <f>TrNavi_ene!R10</f>
        <v>40.386609672650856</v>
      </c>
      <c r="S58" s="169">
        <f>TrNavi_ene!S10</f>
        <v>42.113593964441286</v>
      </c>
      <c r="T58" s="169">
        <f>TrNavi_ene!T10</f>
        <v>44.911131705024978</v>
      </c>
      <c r="U58" s="169">
        <f>TrNavi_ene!U10</f>
        <v>47.422638265541977</v>
      </c>
      <c r="V58" s="169">
        <f>TrNavi_ene!V10</f>
        <v>39.116983171006545</v>
      </c>
      <c r="W58" s="169">
        <f>TrNavi_ene!W10</f>
        <v>45.44569840876143</v>
      </c>
      <c r="X58" s="169">
        <f>TrNavi_ene!X10</f>
        <v>45.941990510570932</v>
      </c>
      <c r="Y58" s="169">
        <f>TrNavi_ene!Y10</f>
        <v>44.559178906229512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18.044539982803091</v>
      </c>
      <c r="C59" s="28">
        <f t="shared" ref="C59:W59" si="49">C60+C61</f>
        <v>28.700515907136719</v>
      </c>
      <c r="D59" s="28">
        <f t="shared" si="49"/>
        <v>23.57239896818572</v>
      </c>
      <c r="E59" s="28">
        <f t="shared" si="49"/>
        <v>21.559673258813415</v>
      </c>
      <c r="F59" s="28">
        <f t="shared" si="49"/>
        <v>23.406878761822867</v>
      </c>
      <c r="G59" s="28">
        <f t="shared" si="49"/>
        <v>25.005932932072227</v>
      </c>
      <c r="H59" s="28">
        <f t="shared" si="49"/>
        <v>19.974462596732586</v>
      </c>
      <c r="I59" s="28">
        <f t="shared" si="49"/>
        <v>23.379191745485812</v>
      </c>
      <c r="J59" s="28">
        <f t="shared" si="49"/>
        <v>21.228632846087699</v>
      </c>
      <c r="K59" s="28">
        <f t="shared" si="49"/>
        <v>6.4237317282889066</v>
      </c>
      <c r="L59" s="28">
        <f t="shared" si="49"/>
        <v>6.8097162510748053</v>
      </c>
      <c r="M59" s="28">
        <f t="shared" si="49"/>
        <v>23.519690455717971</v>
      </c>
      <c r="N59" s="28">
        <f t="shared" si="49"/>
        <v>3.9149613069647464</v>
      </c>
      <c r="O59" s="28">
        <f t="shared" si="49"/>
        <v>3.9149613069647464</v>
      </c>
      <c r="P59" s="28">
        <f t="shared" si="49"/>
        <v>4.9350816852966464</v>
      </c>
      <c r="Q59" s="28">
        <f t="shared" si="49"/>
        <v>3.970077386070507</v>
      </c>
      <c r="R59" s="28">
        <f t="shared" si="49"/>
        <v>4.5077386070507295</v>
      </c>
      <c r="S59" s="28">
        <f t="shared" si="49"/>
        <v>6.3852966466036118</v>
      </c>
      <c r="T59" s="28">
        <f t="shared" si="49"/>
        <v>20.868013757523645</v>
      </c>
      <c r="U59" s="28">
        <f t="shared" si="49"/>
        <v>24.931900257953568</v>
      </c>
      <c r="V59" s="28">
        <f t="shared" si="49"/>
        <v>20.385554600171968</v>
      </c>
      <c r="W59" s="28">
        <f t="shared" si="49"/>
        <v>23.809802235597594</v>
      </c>
      <c r="X59" s="28">
        <f t="shared" ref="X59:Y59" si="50">X60+X61</f>
        <v>18.858727429062771</v>
      </c>
      <c r="Y59" s="28">
        <f t="shared" si="50"/>
        <v>23.371367153912292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8.6295250628710392</v>
      </c>
      <c r="C60" s="102">
        <f>MBunk_ene!C$4</f>
        <v>13.666044828080905</v>
      </c>
      <c r="D60" s="102">
        <f>MBunk_ene!D$4</f>
        <v>11.199505779088767</v>
      </c>
      <c r="E60" s="102">
        <f>MBunk_ene!E$4</f>
        <v>10.247594440781127</v>
      </c>
      <c r="F60" s="102">
        <f>MBunk_ene!F$4</f>
        <v>11.131789140259711</v>
      </c>
      <c r="G60" s="102">
        <f>MBunk_ene!G$4</f>
        <v>11.806863523267358</v>
      </c>
      <c r="H60" s="102">
        <f>MBunk_ene!H$4</f>
        <v>9.7022337977989626</v>
      </c>
      <c r="I60" s="102">
        <f>MBunk_ene!I$4</f>
        <v>10.578302085094023</v>
      </c>
      <c r="J60" s="102">
        <f>MBunk_ene!J$4</f>
        <v>8.8280748046848725</v>
      </c>
      <c r="K60" s="102">
        <f>MBunk_ene!K$4</f>
        <v>3.2703569494782823</v>
      </c>
      <c r="L60" s="102">
        <f>MBunk_ene!L$4</f>
        <v>3.2221540558406785</v>
      </c>
      <c r="M60" s="102">
        <f>MBunk_ene!M$4</f>
        <v>11.554365206843954</v>
      </c>
      <c r="N60" s="102">
        <f>MBunk_ene!N$4</f>
        <v>1.8718600368666385</v>
      </c>
      <c r="O60" s="102">
        <f>MBunk_ene!O$4</f>
        <v>1.6250448036493079</v>
      </c>
      <c r="P60" s="102">
        <f>MBunk_ene!P$4</f>
        <v>1.9603685905664014</v>
      </c>
      <c r="Q60" s="102">
        <f>MBunk_ene!Q$4</f>
        <v>1.4426590628144014</v>
      </c>
      <c r="R60" s="102">
        <f>MBunk_ene!R$4</f>
        <v>1.5548518770159809</v>
      </c>
      <c r="S60" s="102">
        <f>MBunk_ene!S$4</f>
        <v>2.2516793485233095</v>
      </c>
      <c r="T60" s="102">
        <f>MBunk_ene!T$4</f>
        <v>6.9027031313524194</v>
      </c>
      <c r="U60" s="102">
        <f>MBunk_ene!U$4</f>
        <v>8.8508447668926742</v>
      </c>
      <c r="V60" s="102">
        <f>MBunk_ene!V$4</f>
        <v>7.7766819970190566</v>
      </c>
      <c r="W60" s="102">
        <f>MBunk_ene!W$4</f>
        <v>9.6565433830335206</v>
      </c>
      <c r="X60" s="102">
        <f>MBunk_ene!X$4</f>
        <v>8.1748845466262452</v>
      </c>
      <c r="Y60" s="102">
        <f>MBunk_ene!Y$4</f>
        <v>10.734389740294747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9.4150149199320516</v>
      </c>
      <c r="C61" s="86">
        <f>MBunk_ene!C$10</f>
        <v>15.034471079055816</v>
      </c>
      <c r="D61" s="86">
        <f>MBunk_ene!D$10</f>
        <v>12.372893189096953</v>
      </c>
      <c r="E61" s="86">
        <f>MBunk_ene!E$10</f>
        <v>11.312078818032289</v>
      </c>
      <c r="F61" s="86">
        <f>MBunk_ene!F$10</f>
        <v>12.275089621563156</v>
      </c>
      <c r="G61" s="86">
        <f>MBunk_ene!G$10</f>
        <v>13.199069408804869</v>
      </c>
      <c r="H61" s="86">
        <f>MBunk_ene!H$10</f>
        <v>10.272228798933625</v>
      </c>
      <c r="I61" s="86">
        <f>MBunk_ene!I$10</f>
        <v>12.800889660391789</v>
      </c>
      <c r="J61" s="86">
        <f>MBunk_ene!J$10</f>
        <v>12.400558041402826</v>
      </c>
      <c r="K61" s="86">
        <f>MBunk_ene!K$10</f>
        <v>3.1533747788106248</v>
      </c>
      <c r="L61" s="86">
        <f>MBunk_ene!L$10</f>
        <v>3.5875621952341272</v>
      </c>
      <c r="M61" s="86">
        <f>MBunk_ene!M$10</f>
        <v>11.965325248874018</v>
      </c>
      <c r="N61" s="86">
        <f>MBunk_ene!N$10</f>
        <v>2.0431012700981079</v>
      </c>
      <c r="O61" s="86">
        <f>MBunk_ene!O$10</f>
        <v>2.2899165033154385</v>
      </c>
      <c r="P61" s="86">
        <f>MBunk_ene!P$10</f>
        <v>2.9747130947302454</v>
      </c>
      <c r="Q61" s="86">
        <f>MBunk_ene!Q$10</f>
        <v>2.5274183232561054</v>
      </c>
      <c r="R61" s="86">
        <f>MBunk_ene!R$10</f>
        <v>2.9528867300347486</v>
      </c>
      <c r="S61" s="86">
        <f>MBunk_ene!S$10</f>
        <v>4.1336172980803019</v>
      </c>
      <c r="T61" s="86">
        <f>MBunk_ene!T$10</f>
        <v>13.965310626171226</v>
      </c>
      <c r="U61" s="86">
        <f>MBunk_ene!U$10</f>
        <v>16.081055491060894</v>
      </c>
      <c r="V61" s="86">
        <f>MBunk_ene!V$10</f>
        <v>12.608872603152912</v>
      </c>
      <c r="W61" s="86">
        <f>MBunk_ene!W$10</f>
        <v>14.153258852564074</v>
      </c>
      <c r="X61" s="86">
        <f>MBunk_ene!X$10</f>
        <v>10.683842882436526</v>
      </c>
      <c r="Y61" s="86">
        <f>MBunk_ene!Y$10</f>
        <v>12.636977413617545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3747.0871922060328</v>
      </c>
      <c r="C64" s="28">
        <f t="shared" si="51"/>
        <v>3737.9114105576482</v>
      </c>
      <c r="D64" s="28">
        <f t="shared" si="51"/>
        <v>3779.2412530765782</v>
      </c>
      <c r="E64" s="28">
        <f t="shared" si="51"/>
        <v>4036.5575663872992</v>
      </c>
      <c r="F64" s="28">
        <f t="shared" si="51"/>
        <v>4109.1591489304637</v>
      </c>
      <c r="G64" s="28">
        <f t="shared" si="51"/>
        <v>4304.5731559655551</v>
      </c>
      <c r="H64" s="28">
        <f t="shared" si="51"/>
        <v>4570.3708117876931</v>
      </c>
      <c r="I64" s="28">
        <f t="shared" si="51"/>
        <v>4975.4972920846076</v>
      </c>
      <c r="J64" s="28">
        <f t="shared" si="51"/>
        <v>4934.8709987772736</v>
      </c>
      <c r="K64" s="28">
        <f t="shared" si="51"/>
        <v>4949.9605596717429</v>
      </c>
      <c r="L64" s="28">
        <f t="shared" si="51"/>
        <v>4786.5038182287972</v>
      </c>
      <c r="M64" s="28">
        <f t="shared" si="51"/>
        <v>4735.8811478598445</v>
      </c>
      <c r="N64" s="28">
        <f t="shared" si="51"/>
        <v>4676.651021978978</v>
      </c>
      <c r="O64" s="28">
        <f t="shared" si="51"/>
        <v>4639.7307164041495</v>
      </c>
      <c r="P64" s="28">
        <f t="shared" si="51"/>
        <v>4689.5991248337668</v>
      </c>
      <c r="Q64" s="28">
        <f t="shared" si="51"/>
        <v>4922.0289955813132</v>
      </c>
      <c r="R64" s="28">
        <f t="shared" ref="R64:V64" si="52">R65+R69+R73</f>
        <v>5182.1987427163376</v>
      </c>
      <c r="S64" s="28">
        <f t="shared" si="52"/>
        <v>5414.3664552985247</v>
      </c>
      <c r="T64" s="28">
        <f t="shared" si="52"/>
        <v>5368.9592057042173</v>
      </c>
      <c r="U64" s="28">
        <f t="shared" si="52"/>
        <v>5415.7968303004955</v>
      </c>
      <c r="V64" s="28">
        <f t="shared" si="52"/>
        <v>4223.4505696863189</v>
      </c>
      <c r="W64" s="28">
        <f t="shared" ref="W64:Y64" si="53">W65+W69+W73</f>
        <v>4772.1910815716883</v>
      </c>
      <c r="X64" s="28">
        <f t="shared" si="53"/>
        <v>5389.4689053664424</v>
      </c>
      <c r="Y64" s="28">
        <f t="shared" si="53"/>
        <v>6024.7683180767162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3460.0666857165647</v>
      </c>
      <c r="C65" s="137">
        <f t="shared" si="54"/>
        <v>3453.9975921565374</v>
      </c>
      <c r="D65" s="137">
        <f t="shared" si="54"/>
        <v>3503.9382074308232</v>
      </c>
      <c r="E65" s="137">
        <f t="shared" si="54"/>
        <v>3768.3634591766304</v>
      </c>
      <c r="F65" s="137">
        <f t="shared" si="54"/>
        <v>3804.9223541113001</v>
      </c>
      <c r="G65" s="137">
        <f t="shared" si="54"/>
        <v>3954.4283700155429</v>
      </c>
      <c r="H65" s="137">
        <f t="shared" si="54"/>
        <v>4209.4793707074468</v>
      </c>
      <c r="I65" s="137">
        <f t="shared" si="54"/>
        <v>4603.2597469396651</v>
      </c>
      <c r="J65" s="137">
        <f t="shared" si="54"/>
        <v>4518.7366067872535</v>
      </c>
      <c r="K65" s="137">
        <f t="shared" si="54"/>
        <v>4590.3336110498049</v>
      </c>
      <c r="L65" s="137">
        <f t="shared" si="54"/>
        <v>4409.1326820628165</v>
      </c>
      <c r="M65" s="137">
        <f t="shared" si="54"/>
        <v>4340.7911279082773</v>
      </c>
      <c r="N65" s="137">
        <f t="shared" si="54"/>
        <v>4268.2130994675254</v>
      </c>
      <c r="O65" s="137">
        <f t="shared" si="54"/>
        <v>4202.3018056354931</v>
      </c>
      <c r="P65" s="137">
        <f t="shared" si="54"/>
        <v>4259.5680533982422</v>
      </c>
      <c r="Q65" s="137">
        <f t="shared" si="54"/>
        <v>4506.1909192349931</v>
      </c>
      <c r="R65" s="137">
        <f t="shared" ref="R65:V65" si="55">R66+R67+R68</f>
        <v>4744.5746463665137</v>
      </c>
      <c r="S65" s="137">
        <f t="shared" si="55"/>
        <v>4906.5515712220076</v>
      </c>
      <c r="T65" s="137">
        <f t="shared" si="55"/>
        <v>4758.1098719931033</v>
      </c>
      <c r="U65" s="137">
        <f t="shared" si="55"/>
        <v>4758.9897886110757</v>
      </c>
      <c r="V65" s="137">
        <f t="shared" si="55"/>
        <v>4024.2728773721683</v>
      </c>
      <c r="W65" s="137">
        <f t="shared" ref="W65:Y65" si="56">W66+W67+W68</f>
        <v>4433.4372024879813</v>
      </c>
      <c r="X65" s="137">
        <f t="shared" si="56"/>
        <v>4779.5431075866172</v>
      </c>
      <c r="Y65" s="137">
        <f t="shared" si="56"/>
        <v>5372.423336439052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17.049669221312438</v>
      </c>
      <c r="C66" s="102">
        <f>TrRoad_emi!C$19</f>
        <v>16.94700930967824</v>
      </c>
      <c r="D66" s="102">
        <f>TrRoad_emi!D$19</f>
        <v>17.383475575740157</v>
      </c>
      <c r="E66" s="102">
        <f>TrRoad_emi!E$19</f>
        <v>18.994197711751504</v>
      </c>
      <c r="F66" s="102">
        <f>TrRoad_emi!F$19</f>
        <v>20.551604394170528</v>
      </c>
      <c r="G66" s="102">
        <f>TrRoad_emi!G$19</f>
        <v>22.245278509474392</v>
      </c>
      <c r="H66" s="102">
        <f>TrRoad_emi!H$19</f>
        <v>23.844915201123928</v>
      </c>
      <c r="I66" s="102">
        <f>TrRoad_emi!I$19</f>
        <v>23.787735695283512</v>
      </c>
      <c r="J66" s="102">
        <f>TrRoad_emi!J$19</f>
        <v>23.746692114741595</v>
      </c>
      <c r="K66" s="102">
        <f>TrRoad_emi!K$19</f>
        <v>23.557374147587129</v>
      </c>
      <c r="L66" s="102">
        <f>TrRoad_emi!L$19</f>
        <v>23.500787553679061</v>
      </c>
      <c r="M66" s="102">
        <f>TrRoad_emi!M$19</f>
        <v>23.415312029509955</v>
      </c>
      <c r="N66" s="102">
        <f>TrRoad_emi!N$19</f>
        <v>23.37375265449413</v>
      </c>
      <c r="O66" s="102">
        <f>TrRoad_emi!O$19</f>
        <v>23.139968430211042</v>
      </c>
      <c r="P66" s="102">
        <f>TrRoad_emi!P$19</f>
        <v>22.963429907742778</v>
      </c>
      <c r="Q66" s="102">
        <f>TrRoad_emi!Q$19</f>
        <v>22.872213158945488</v>
      </c>
      <c r="R66" s="102">
        <f>TrRoad_emi!R$19</f>
        <v>23.706563785314028</v>
      </c>
      <c r="S66" s="102">
        <f>TrRoad_emi!S$19</f>
        <v>24.6461199103124</v>
      </c>
      <c r="T66" s="102">
        <f>TrRoad_emi!T$19</f>
        <v>24.900547967470878</v>
      </c>
      <c r="U66" s="102">
        <f>TrRoad_emi!U$19</f>
        <v>25.652457211607789</v>
      </c>
      <c r="V66" s="102">
        <f>TrRoad_emi!V$19</f>
        <v>22.472365061773999</v>
      </c>
      <c r="W66" s="102">
        <f>TrRoad_emi!W$19</f>
        <v>27.515024209717616</v>
      </c>
      <c r="X66" s="102">
        <f>TrRoad_emi!X$19</f>
        <v>29.452623909205819</v>
      </c>
      <c r="Y66" s="102">
        <f>TrRoad_emi!Y$19</f>
        <v>31.345983254382769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2893.9508723024528</v>
      </c>
      <c r="C67" s="102">
        <f>TrRoad_emi!C$20</f>
        <v>2906.7406064177403</v>
      </c>
      <c r="D67" s="102">
        <f>TrRoad_emi!D$20</f>
        <v>2962.1344321748156</v>
      </c>
      <c r="E67" s="102">
        <f>TrRoad_emi!E$20</f>
        <v>3222.6184883516585</v>
      </c>
      <c r="F67" s="102">
        <f>TrRoad_emi!F$20</f>
        <v>3271.0596468119757</v>
      </c>
      <c r="G67" s="102">
        <f>TrRoad_emi!G$20</f>
        <v>3425.4085695625195</v>
      </c>
      <c r="H67" s="102">
        <f>TrRoad_emi!H$20</f>
        <v>3681.8134518744973</v>
      </c>
      <c r="I67" s="102">
        <f>TrRoad_emi!I$20</f>
        <v>4060.1659260161082</v>
      </c>
      <c r="J67" s="102">
        <f>TrRoad_emi!J$20</f>
        <v>3978.592037414754</v>
      </c>
      <c r="K67" s="102">
        <f>TrRoad_emi!K$20</f>
        <v>4039.4262399125059</v>
      </c>
      <c r="L67" s="102">
        <f>TrRoad_emi!L$20</f>
        <v>3858.3981645025788</v>
      </c>
      <c r="M67" s="102">
        <f>TrRoad_emi!M$20</f>
        <v>3811.3065033162693</v>
      </c>
      <c r="N67" s="102">
        <f>TrRoad_emi!N$20</f>
        <v>3763.1797839012252</v>
      </c>
      <c r="O67" s="102">
        <f>TrRoad_emi!O$20</f>
        <v>3691.3464651740219</v>
      </c>
      <c r="P67" s="102">
        <f>TrRoad_emi!P$20</f>
        <v>3742.7144077418752</v>
      </c>
      <c r="Q67" s="102">
        <f>TrRoad_emi!Q$20</f>
        <v>3954.8419473236395</v>
      </c>
      <c r="R67" s="102">
        <f>TrRoad_emi!R$20</f>
        <v>4158.2486755250475</v>
      </c>
      <c r="S67" s="102">
        <f>TrRoad_emi!S$20</f>
        <v>4288.3914251041851</v>
      </c>
      <c r="T67" s="102">
        <f>TrRoad_emi!T$20</f>
        <v>4141.1545053953587</v>
      </c>
      <c r="U67" s="102">
        <f>TrRoad_emi!U$20</f>
        <v>4245.29333560955</v>
      </c>
      <c r="V67" s="102">
        <f>TrRoad_emi!V$20</f>
        <v>3650.6346564907221</v>
      </c>
      <c r="W67" s="102">
        <f>TrRoad_emi!W$20</f>
        <v>4018.8646721289092</v>
      </c>
      <c r="X67" s="102">
        <f>TrRoad_emi!X$20</f>
        <v>4300.4079129665461</v>
      </c>
      <c r="Y67" s="102">
        <f>TrRoad_emi!Y$20</f>
        <v>4832.5570358612831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549.0661441927997</v>
      </c>
      <c r="C68" s="102">
        <f>TrRoad_emi!C$27</f>
        <v>530.30997642911893</v>
      </c>
      <c r="D68" s="102">
        <f>TrRoad_emi!D$27</f>
        <v>524.42029968026748</v>
      </c>
      <c r="E68" s="102">
        <f>TrRoad_emi!E$27</f>
        <v>526.75077311322025</v>
      </c>
      <c r="F68" s="102">
        <f>TrRoad_emi!F$27</f>
        <v>513.31110290515392</v>
      </c>
      <c r="G68" s="102">
        <f>TrRoad_emi!G$27</f>
        <v>506.77452194354896</v>
      </c>
      <c r="H68" s="102">
        <f>TrRoad_emi!H$27</f>
        <v>503.82100363182576</v>
      </c>
      <c r="I68" s="102">
        <f>TrRoad_emi!I$27</f>
        <v>519.30608522827367</v>
      </c>
      <c r="J68" s="102">
        <f>TrRoad_emi!J$27</f>
        <v>516.39787725775761</v>
      </c>
      <c r="K68" s="102">
        <f>TrRoad_emi!K$27</f>
        <v>527.34999698971137</v>
      </c>
      <c r="L68" s="102">
        <f>TrRoad_emi!L$27</f>
        <v>527.23373000655852</v>
      </c>
      <c r="M68" s="102">
        <f>TrRoad_emi!M$27</f>
        <v>506.06931256249777</v>
      </c>
      <c r="N68" s="102">
        <f>TrRoad_emi!N$27</f>
        <v>481.65956291180595</v>
      </c>
      <c r="O68" s="102">
        <f>TrRoad_emi!O$27</f>
        <v>487.81537203126049</v>
      </c>
      <c r="P68" s="102">
        <f>TrRoad_emi!P$27</f>
        <v>493.89021574862392</v>
      </c>
      <c r="Q68" s="102">
        <f>TrRoad_emi!Q$27</f>
        <v>528.4767587524077</v>
      </c>
      <c r="R68" s="102">
        <f>TrRoad_emi!R$27</f>
        <v>562.61940705615223</v>
      </c>
      <c r="S68" s="102">
        <f>TrRoad_emi!S$27</f>
        <v>593.5140262075106</v>
      </c>
      <c r="T68" s="102">
        <f>TrRoad_emi!T$27</f>
        <v>592.0548186302741</v>
      </c>
      <c r="U68" s="102">
        <f>TrRoad_emi!U$27</f>
        <v>488.04399578991843</v>
      </c>
      <c r="V68" s="102">
        <f>TrRoad_emi!V$27</f>
        <v>351.16585581967229</v>
      </c>
      <c r="W68" s="102">
        <f>TrRoad_emi!W$27</f>
        <v>387.05750614935425</v>
      </c>
      <c r="X68" s="102">
        <f>TrRoad_emi!X$27</f>
        <v>449.68257071086595</v>
      </c>
      <c r="Y68" s="102">
        <f>TrRoad_emi!Y$27</f>
        <v>508.5203173233856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60.860891449122498</v>
      </c>
      <c r="C69" s="110">
        <f t="shared" si="57"/>
        <v>58.014345794287294</v>
      </c>
      <c r="D69" s="110">
        <f t="shared" si="57"/>
        <v>57.361101694957796</v>
      </c>
      <c r="E69" s="110">
        <f t="shared" si="57"/>
        <v>53.293585150819553</v>
      </c>
      <c r="F69" s="110">
        <f t="shared" si="57"/>
        <v>57.765358000148254</v>
      </c>
      <c r="G69" s="110">
        <f t="shared" si="57"/>
        <v>56.558820871573595</v>
      </c>
      <c r="H69" s="110">
        <f t="shared" si="57"/>
        <v>57.867195211706871</v>
      </c>
      <c r="I69" s="110">
        <f t="shared" si="57"/>
        <v>56.937789419429279</v>
      </c>
      <c r="J69" s="110">
        <f t="shared" si="57"/>
        <v>59.850634989569699</v>
      </c>
      <c r="K69" s="110">
        <f t="shared" si="57"/>
        <v>53.821887027693229</v>
      </c>
      <c r="L69" s="110">
        <f t="shared" si="57"/>
        <v>51.994332894523765</v>
      </c>
      <c r="M69" s="110">
        <f t="shared" si="57"/>
        <v>50.663044630365128</v>
      </c>
      <c r="N69" s="110">
        <f t="shared" si="57"/>
        <v>48.14795251733598</v>
      </c>
      <c r="O69" s="110">
        <f t="shared" si="57"/>
        <v>45.841822944867339</v>
      </c>
      <c r="P69" s="110">
        <f t="shared" si="57"/>
        <v>38.330932646541527</v>
      </c>
      <c r="Q69" s="110">
        <f t="shared" si="57"/>
        <v>33.911530240027396</v>
      </c>
      <c r="R69" s="110">
        <f t="shared" ref="R69:V69" si="58">R70+R71+R72</f>
        <v>33.097676229252862</v>
      </c>
      <c r="S69" s="110">
        <f t="shared" si="58"/>
        <v>32.434219490491849</v>
      </c>
      <c r="T69" s="110">
        <f t="shared" si="58"/>
        <v>27.606265764360185</v>
      </c>
      <c r="U69" s="110">
        <f t="shared" si="58"/>
        <v>26.439186391475662</v>
      </c>
      <c r="V69" s="110">
        <f t="shared" si="58"/>
        <v>21.574715195923329</v>
      </c>
      <c r="W69" s="110">
        <f t="shared" ref="W69:Y69" si="59">W70+W71+W72</f>
        <v>22.509332987933249</v>
      </c>
      <c r="X69" s="110">
        <f t="shared" si="59"/>
        <v>25.996047592764569</v>
      </c>
      <c r="Y69" s="110">
        <f t="shared" si="59"/>
        <v>24.767162215829615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60.860891449122498</v>
      </c>
      <c r="C71" s="102">
        <f>TrRail_emi!C$11</f>
        <v>58.014345794287294</v>
      </c>
      <c r="D71" s="102">
        <f>TrRail_emi!D$11</f>
        <v>57.361101694957796</v>
      </c>
      <c r="E71" s="102">
        <f>TrRail_emi!E$11</f>
        <v>53.293585150819553</v>
      </c>
      <c r="F71" s="102">
        <f>TrRail_emi!F$11</f>
        <v>57.765358000148254</v>
      </c>
      <c r="G71" s="102">
        <f>TrRail_emi!G$11</f>
        <v>56.558820871573595</v>
      </c>
      <c r="H71" s="102">
        <f>TrRail_emi!H$11</f>
        <v>57.867195211706871</v>
      </c>
      <c r="I71" s="102">
        <f>TrRail_emi!I$11</f>
        <v>56.937789419429279</v>
      </c>
      <c r="J71" s="102">
        <f>TrRail_emi!J$11</f>
        <v>59.850634989569699</v>
      </c>
      <c r="K71" s="102">
        <f>TrRail_emi!K$11</f>
        <v>53.821887027693229</v>
      </c>
      <c r="L71" s="102">
        <f>TrRail_emi!L$11</f>
        <v>51.994332894523765</v>
      </c>
      <c r="M71" s="102">
        <f>TrRail_emi!M$11</f>
        <v>50.663044630365128</v>
      </c>
      <c r="N71" s="102">
        <f>TrRail_emi!N$11</f>
        <v>48.14795251733598</v>
      </c>
      <c r="O71" s="102">
        <f>TrRail_emi!O$11</f>
        <v>45.841822944867339</v>
      </c>
      <c r="P71" s="102">
        <f>TrRail_emi!P$11</f>
        <v>38.330932646541527</v>
      </c>
      <c r="Q71" s="102">
        <f>TrRail_emi!Q$11</f>
        <v>33.911530240027396</v>
      </c>
      <c r="R71" s="102">
        <f>TrRail_emi!R$11</f>
        <v>33.097676229252862</v>
      </c>
      <c r="S71" s="102">
        <f>TrRail_emi!S$11</f>
        <v>32.434219490491849</v>
      </c>
      <c r="T71" s="102">
        <f>TrRail_emi!T$11</f>
        <v>27.606265764360185</v>
      </c>
      <c r="U71" s="102">
        <f>TrRail_emi!U$11</f>
        <v>26.439186391475662</v>
      </c>
      <c r="V71" s="102">
        <f>TrRail_emi!V$11</f>
        <v>21.574715195923329</v>
      </c>
      <c r="W71" s="102">
        <f>TrRail_emi!W$11</f>
        <v>22.509332987933249</v>
      </c>
      <c r="X71" s="102">
        <f>TrRail_emi!X$11</f>
        <v>25.996047592764569</v>
      </c>
      <c r="Y71" s="102">
        <f>TrRail_emi!Y$11</f>
        <v>24.767162215829615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226.15961504034573</v>
      </c>
      <c r="C73" s="110">
        <f t="shared" si="60"/>
        <v>225.89947260682365</v>
      </c>
      <c r="D73" s="110">
        <f t="shared" si="60"/>
        <v>217.94194395079745</v>
      </c>
      <c r="E73" s="110">
        <f t="shared" si="60"/>
        <v>214.90052205984901</v>
      </c>
      <c r="F73" s="110">
        <f t="shared" si="60"/>
        <v>246.47143681901511</v>
      </c>
      <c r="G73" s="110">
        <f t="shared" si="60"/>
        <v>293.58596507843902</v>
      </c>
      <c r="H73" s="110">
        <f t="shared" si="60"/>
        <v>303.02424586853954</v>
      </c>
      <c r="I73" s="110">
        <f t="shared" si="60"/>
        <v>315.29975572551285</v>
      </c>
      <c r="J73" s="110">
        <f t="shared" si="60"/>
        <v>356.28375700045024</v>
      </c>
      <c r="K73" s="110">
        <f t="shared" si="60"/>
        <v>305.80506159424465</v>
      </c>
      <c r="L73" s="110">
        <f t="shared" si="60"/>
        <v>325.37680327145716</v>
      </c>
      <c r="M73" s="110">
        <f t="shared" si="60"/>
        <v>344.42697532120167</v>
      </c>
      <c r="N73" s="110">
        <f t="shared" si="60"/>
        <v>360.28996999411612</v>
      </c>
      <c r="O73" s="110">
        <f t="shared" si="60"/>
        <v>391.58708782378892</v>
      </c>
      <c r="P73" s="110">
        <f t="shared" si="60"/>
        <v>391.70013878898362</v>
      </c>
      <c r="Q73" s="110">
        <f t="shared" si="60"/>
        <v>381.92654610629188</v>
      </c>
      <c r="R73" s="110">
        <f t="shared" ref="R73:V73" si="61">R74+R75+R76</f>
        <v>404.52642012057129</v>
      </c>
      <c r="S73" s="110">
        <f t="shared" si="61"/>
        <v>475.38066458602469</v>
      </c>
      <c r="T73" s="110">
        <f t="shared" si="61"/>
        <v>583.24306794675294</v>
      </c>
      <c r="U73" s="110">
        <f t="shared" si="61"/>
        <v>630.36785529794463</v>
      </c>
      <c r="V73" s="110">
        <f t="shared" si="61"/>
        <v>177.60297711822736</v>
      </c>
      <c r="W73" s="110">
        <f t="shared" ref="W73:Y73" si="62">W74+W75+W76</f>
        <v>316.2445460957739</v>
      </c>
      <c r="X73" s="110">
        <f t="shared" si="62"/>
        <v>583.92975018706011</v>
      </c>
      <c r="Y73" s="110">
        <f t="shared" si="62"/>
        <v>627.57781942183487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24.868338536640373</v>
      </c>
      <c r="C74" s="102">
        <f>TrAvia_emi!C$7</f>
        <v>24.782467797736544</v>
      </c>
      <c r="D74" s="102">
        <f>TrAvia_emi!D$7</f>
        <v>29.493315073969587</v>
      </c>
      <c r="E74" s="102">
        <f>TrAvia_emi!E$7</f>
        <v>32.709301865560775</v>
      </c>
      <c r="F74" s="102">
        <f>TrAvia_emi!F$7</f>
        <v>35.860665010707415</v>
      </c>
      <c r="G74" s="102">
        <f>TrAvia_emi!G$7</f>
        <v>35.756633013392388</v>
      </c>
      <c r="H74" s="102">
        <f>TrAvia_emi!H$7</f>
        <v>38.753417142262727</v>
      </c>
      <c r="I74" s="102">
        <f>TrAvia_emi!I$7</f>
        <v>38.610069211164564</v>
      </c>
      <c r="J74" s="102">
        <f>TrAvia_emi!J$7</f>
        <v>38.668136680172807</v>
      </c>
      <c r="K74" s="102">
        <f>TrAvia_emi!K$7</f>
        <v>35.787779849641986</v>
      </c>
      <c r="L74" s="102">
        <f>TrAvia_emi!L$7</f>
        <v>29.596921303209065</v>
      </c>
      <c r="M74" s="102">
        <f>TrAvia_emi!M$7</f>
        <v>32.788113358959663</v>
      </c>
      <c r="N74" s="102">
        <f>TrAvia_emi!N$7</f>
        <v>29.711936101938061</v>
      </c>
      <c r="O74" s="102">
        <f>TrAvia_emi!O$7</f>
        <v>29.759440623793594</v>
      </c>
      <c r="P74" s="102">
        <f>TrAvia_emi!P$7</f>
        <v>29.814605868084563</v>
      </c>
      <c r="Q74" s="102">
        <f>TrAvia_emi!Q$7</f>
        <v>32.66731535355963</v>
      </c>
      <c r="R74" s="102">
        <f>TrAvia_emi!R$7</f>
        <v>33.034629504421687</v>
      </c>
      <c r="S74" s="102">
        <f>TrAvia_emi!S$7</f>
        <v>31.777973294859585</v>
      </c>
      <c r="T74" s="102">
        <f>TrAvia_emi!T$7</f>
        <v>32.1153773603479</v>
      </c>
      <c r="U74" s="102">
        <f>TrAvia_emi!U$7</f>
        <v>32.137999382671026</v>
      </c>
      <c r="V74" s="102">
        <f>TrAvia_emi!V$7</f>
        <v>16.719843256199834</v>
      </c>
      <c r="W74" s="102">
        <f>TrAvia_emi!W$7</f>
        <v>22.408294446034212</v>
      </c>
      <c r="X74" s="102">
        <f>TrAvia_emi!X$7</f>
        <v>25.884161725442183</v>
      </c>
      <c r="Y74" s="102">
        <f>TrAvia_emi!Y$7</f>
        <v>30.307974005645825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168.13719760134609</v>
      </c>
      <c r="C75" s="102">
        <f>TrAvia_emi!C$8</f>
        <v>167.99087114507668</v>
      </c>
      <c r="D75" s="102">
        <f>TrAvia_emi!D$8</f>
        <v>157.41250183219103</v>
      </c>
      <c r="E75" s="102">
        <f>TrAvia_emi!E$8</f>
        <v>152.19826153604242</v>
      </c>
      <c r="F75" s="102">
        <f>TrAvia_emi!F$8</f>
        <v>175.94661512986411</v>
      </c>
      <c r="G75" s="102">
        <f>TrAvia_emi!G$8</f>
        <v>218.98098536763581</v>
      </c>
      <c r="H75" s="102">
        <f>TrAvia_emi!H$8</f>
        <v>228.19726349902157</v>
      </c>
      <c r="I75" s="102">
        <f>TrAvia_emi!I$8</f>
        <v>240.63824180306457</v>
      </c>
      <c r="J75" s="102">
        <f>TrAvia_emi!J$8</f>
        <v>273.97389315157506</v>
      </c>
      <c r="K75" s="102">
        <f>TrAvia_emi!K$8</f>
        <v>232.49517637762125</v>
      </c>
      <c r="L75" s="102">
        <f>TrAvia_emi!L$8</f>
        <v>255.16240329566898</v>
      </c>
      <c r="M75" s="102">
        <f>TrAvia_emi!M$8</f>
        <v>267.99349461607983</v>
      </c>
      <c r="N75" s="102">
        <f>TrAvia_emi!N$8</f>
        <v>285.66921539496394</v>
      </c>
      <c r="O75" s="102">
        <f>TrAvia_emi!O$8</f>
        <v>315.95803826037928</v>
      </c>
      <c r="P75" s="102">
        <f>TrAvia_emi!P$8</f>
        <v>317.37880815079711</v>
      </c>
      <c r="Q75" s="102">
        <f>TrAvia_emi!Q$8</f>
        <v>306.27716413494886</v>
      </c>
      <c r="R75" s="102">
        <f>TrAvia_emi!R$8</f>
        <v>329.397205643191</v>
      </c>
      <c r="S75" s="102">
        <f>TrAvia_emi!S$8</f>
        <v>399.13599518775345</v>
      </c>
      <c r="T75" s="102">
        <f>TrAvia_emi!T$8</f>
        <v>496.34579513950194</v>
      </c>
      <c r="U75" s="102">
        <f>TrAvia_emi!U$8</f>
        <v>539.0962606953068</v>
      </c>
      <c r="V75" s="102">
        <f>TrAvia_emi!V$8</f>
        <v>131.12339080045993</v>
      </c>
      <c r="W75" s="102">
        <f>TrAvia_emi!W$8</f>
        <v>249.74792331129748</v>
      </c>
      <c r="X75" s="102">
        <f>TrAvia_emi!X$8</f>
        <v>503.37361161202085</v>
      </c>
      <c r="Y75" s="102">
        <f>TrAvia_emi!Y$8</f>
        <v>537.48803708699961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33.154078902359252</v>
      </c>
      <c r="C76" s="102">
        <f>TrAvia_emi!C$9</f>
        <v>33.126133664010432</v>
      </c>
      <c r="D76" s="102">
        <f>TrAvia_emi!D$9</f>
        <v>31.036127044636814</v>
      </c>
      <c r="E76" s="102">
        <f>TrAvia_emi!E$9</f>
        <v>29.992958658245804</v>
      </c>
      <c r="F76" s="102">
        <f>TrAvia_emi!F$9</f>
        <v>34.664156678443597</v>
      </c>
      <c r="G76" s="102">
        <f>TrAvia_emi!G$9</f>
        <v>38.84834669741084</v>
      </c>
      <c r="H76" s="102">
        <f>TrAvia_emi!H$9</f>
        <v>36.073565227255273</v>
      </c>
      <c r="I76" s="102">
        <f>TrAvia_emi!I$9</f>
        <v>36.051444711283679</v>
      </c>
      <c r="J76" s="102">
        <f>TrAvia_emi!J$9</f>
        <v>43.641727168702324</v>
      </c>
      <c r="K76" s="102">
        <f>TrAvia_emi!K$9</f>
        <v>37.5221053669814</v>
      </c>
      <c r="L76" s="102">
        <f>TrAvia_emi!L$9</f>
        <v>40.617478672579146</v>
      </c>
      <c r="M76" s="102">
        <f>TrAvia_emi!M$9</f>
        <v>43.645367346162189</v>
      </c>
      <c r="N76" s="102">
        <f>TrAvia_emi!N$9</f>
        <v>44.908818497214121</v>
      </c>
      <c r="O76" s="102">
        <f>TrAvia_emi!O$9</f>
        <v>45.869608939616079</v>
      </c>
      <c r="P76" s="102">
        <f>TrAvia_emi!P$9</f>
        <v>44.506724770101926</v>
      </c>
      <c r="Q76" s="102">
        <f>TrAvia_emi!Q$9</f>
        <v>42.982066617783381</v>
      </c>
      <c r="R76" s="102">
        <f>TrAvia_emi!R$9</f>
        <v>42.094584972958636</v>
      </c>
      <c r="S76" s="102">
        <f>TrAvia_emi!S$9</f>
        <v>44.466696103411657</v>
      </c>
      <c r="T76" s="102">
        <f>TrAvia_emi!T$9</f>
        <v>54.781895446903206</v>
      </c>
      <c r="U76" s="102">
        <f>TrAvia_emi!U$9</f>
        <v>59.133595219966743</v>
      </c>
      <c r="V76" s="102">
        <f>TrAvia_emi!V$9</f>
        <v>29.759743061567605</v>
      </c>
      <c r="W76" s="102">
        <f>TrAvia_emi!W$9</f>
        <v>44.08832833844221</v>
      </c>
      <c r="X76" s="102">
        <f>TrAvia_emi!X$9</f>
        <v>54.671976849597101</v>
      </c>
      <c r="Y76" s="102">
        <f>TrAvia_emi!Y$9</f>
        <v>59.781808329189431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804.76328739396638</v>
      </c>
      <c r="C77" s="28">
        <f t="shared" si="63"/>
        <v>871.03091608235115</v>
      </c>
      <c r="D77" s="28">
        <f t="shared" si="63"/>
        <v>1124.5306386034219</v>
      </c>
      <c r="E77" s="28">
        <f t="shared" si="63"/>
        <v>1261.0980782527013</v>
      </c>
      <c r="F77" s="28">
        <f t="shared" si="63"/>
        <v>1356.5719262695357</v>
      </c>
      <c r="G77" s="28">
        <f t="shared" si="63"/>
        <v>1411.1895573144425</v>
      </c>
      <c r="H77" s="28">
        <f t="shared" si="63"/>
        <v>1505.2463430523051</v>
      </c>
      <c r="I77" s="28">
        <f t="shared" si="63"/>
        <v>1544.5243006753913</v>
      </c>
      <c r="J77" s="28">
        <f t="shared" si="63"/>
        <v>1562.3050875827262</v>
      </c>
      <c r="K77" s="28">
        <f t="shared" si="63"/>
        <v>1462.0105157282578</v>
      </c>
      <c r="L77" s="28">
        <f t="shared" si="63"/>
        <v>1406.8844983712033</v>
      </c>
      <c r="M77" s="28">
        <f t="shared" si="63"/>
        <v>1357.8845123801561</v>
      </c>
      <c r="N77" s="28">
        <f t="shared" si="63"/>
        <v>1224.4518780210219</v>
      </c>
      <c r="O77" s="28">
        <f t="shared" si="63"/>
        <v>1377.8691883558502</v>
      </c>
      <c r="P77" s="28">
        <f t="shared" si="63"/>
        <v>1270.8983830862321</v>
      </c>
      <c r="Q77" s="28">
        <f t="shared" si="63"/>
        <v>1336.8087365386893</v>
      </c>
      <c r="R77" s="28">
        <f t="shared" si="63"/>
        <v>1313.6128993636626</v>
      </c>
      <c r="S77" s="28">
        <f t="shared" si="63"/>
        <v>1624.4316355414771</v>
      </c>
      <c r="T77" s="28">
        <f t="shared" si="63"/>
        <v>1542.3470357757831</v>
      </c>
      <c r="U77" s="28">
        <f t="shared" si="63"/>
        <v>1714.8926216995026</v>
      </c>
      <c r="V77" s="28">
        <f t="shared" si="63"/>
        <v>1660.4027366336827</v>
      </c>
      <c r="W77" s="28">
        <f t="shared" si="63"/>
        <v>1703.6214945483118</v>
      </c>
      <c r="X77" s="28">
        <f t="shared" si="63"/>
        <v>1834.8463420735561</v>
      </c>
      <c r="Y77" s="28">
        <f t="shared" si="63"/>
        <v>2079.9294000432847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689.00894020343469</v>
      </c>
      <c r="C78" s="137">
        <f t="shared" si="64"/>
        <v>747.09183960346206</v>
      </c>
      <c r="D78" s="137">
        <f t="shared" si="64"/>
        <v>981.07476684917719</v>
      </c>
      <c r="E78" s="137">
        <f t="shared" si="64"/>
        <v>1110.5193015033699</v>
      </c>
      <c r="F78" s="137">
        <f t="shared" si="64"/>
        <v>1225.9877884486991</v>
      </c>
      <c r="G78" s="137">
        <f t="shared" si="64"/>
        <v>1266.4433685444551</v>
      </c>
      <c r="H78" s="137">
        <f t="shared" si="64"/>
        <v>1355.4353091725516</v>
      </c>
      <c r="I78" s="137">
        <f t="shared" si="64"/>
        <v>1387.0866497803331</v>
      </c>
      <c r="J78" s="137">
        <f t="shared" si="64"/>
        <v>1383.6979227727461</v>
      </c>
      <c r="K78" s="137">
        <f t="shared" si="64"/>
        <v>1278.0396545901958</v>
      </c>
      <c r="L78" s="137">
        <f t="shared" si="64"/>
        <v>1251.5036524171842</v>
      </c>
      <c r="M78" s="137">
        <f t="shared" si="64"/>
        <v>1205.0557152917229</v>
      </c>
      <c r="N78" s="137">
        <f t="shared" si="64"/>
        <v>1080.2444574524741</v>
      </c>
      <c r="O78" s="137">
        <f t="shared" si="64"/>
        <v>1222.4245366045063</v>
      </c>
      <c r="P78" s="137">
        <f t="shared" si="64"/>
        <v>1104.8910513617573</v>
      </c>
      <c r="Q78" s="137">
        <f t="shared" si="64"/>
        <v>1182.2271854850085</v>
      </c>
      <c r="R78" s="137">
        <f t="shared" ref="R78:V78" si="65">R79+R80</f>
        <v>1155.2151741534867</v>
      </c>
      <c r="S78" s="137">
        <f t="shared" si="65"/>
        <v>1459.4114145379936</v>
      </c>
      <c r="T78" s="137">
        <f t="shared" si="65"/>
        <v>1370.3677161668961</v>
      </c>
      <c r="U78" s="137">
        <f t="shared" si="65"/>
        <v>1537.9772362289227</v>
      </c>
      <c r="V78" s="137">
        <f t="shared" si="65"/>
        <v>1511.0660298678333</v>
      </c>
      <c r="W78" s="137">
        <f t="shared" ref="W78:Y78" si="66">W79+W80</f>
        <v>1530.4238459120188</v>
      </c>
      <c r="X78" s="137">
        <f t="shared" si="66"/>
        <v>1659.4769551733802</v>
      </c>
      <c r="Y78" s="137">
        <f t="shared" si="66"/>
        <v>1916.0251377209493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244.10131829604609</v>
      </c>
      <c r="C79" s="102">
        <f>TrRoad_emi!C$34</f>
        <v>275.31581467059482</v>
      </c>
      <c r="D79" s="102">
        <f>TrRoad_emi!D$34</f>
        <v>310.44934188521296</v>
      </c>
      <c r="E79" s="102">
        <f>TrRoad_emi!E$34</f>
        <v>340.95627296567545</v>
      </c>
      <c r="F79" s="102">
        <f>TrRoad_emi!F$34</f>
        <v>366.64162969564052</v>
      </c>
      <c r="G79" s="102">
        <f>TrRoad_emi!G$34</f>
        <v>400.67730538981868</v>
      </c>
      <c r="H79" s="102">
        <f>TrRoad_emi!H$34</f>
        <v>418.80995034429253</v>
      </c>
      <c r="I79" s="102">
        <f>TrRoad_emi!I$34</f>
        <v>409.38936024236637</v>
      </c>
      <c r="J79" s="102">
        <f>TrRoad_emi!J$34</f>
        <v>424.04489481680207</v>
      </c>
      <c r="K79" s="102">
        <f>TrRoad_emi!K$34</f>
        <v>409.81428570167998</v>
      </c>
      <c r="L79" s="102">
        <f>TrRoad_emi!L$34</f>
        <v>381.14928890854861</v>
      </c>
      <c r="M79" s="102">
        <f>TrRoad_emi!M$34</f>
        <v>375.89542331018538</v>
      </c>
      <c r="N79" s="102">
        <f>TrRoad_emi!N$34</f>
        <v>345.00548857058544</v>
      </c>
      <c r="O79" s="102">
        <f>TrRoad_emi!O$34</f>
        <v>340.62663699231456</v>
      </c>
      <c r="P79" s="102">
        <f>TrRoad_emi!P$34</f>
        <v>327.71736270274232</v>
      </c>
      <c r="Q79" s="102">
        <f>TrRoad_emi!Q$34</f>
        <v>372.23860106163511</v>
      </c>
      <c r="R79" s="102">
        <f>TrRoad_emi!R$34</f>
        <v>391.77553401233814</v>
      </c>
      <c r="S79" s="102">
        <f>TrRoad_emi!S$34</f>
        <v>450.11867046512066</v>
      </c>
      <c r="T79" s="102">
        <f>TrRoad_emi!T$34</f>
        <v>480.7045480118108</v>
      </c>
      <c r="U79" s="102">
        <f>TrRoad_emi!U$34</f>
        <v>510.12592067941949</v>
      </c>
      <c r="V79" s="102">
        <f>TrRoad_emi!V$34</f>
        <v>520.69514783122963</v>
      </c>
      <c r="W79" s="102">
        <f>TrRoad_emi!W$34</f>
        <v>564.46497957703275</v>
      </c>
      <c r="X79" s="102">
        <f>TrRoad_emi!X$34</f>
        <v>632.94610521094035</v>
      </c>
      <c r="Y79" s="102">
        <f>TrRoad_emi!Y$34</f>
        <v>710.87691546468659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444.9076219073886</v>
      </c>
      <c r="C80" s="102">
        <f>TrRoad_emi!C$40</f>
        <v>471.77602493286724</v>
      </c>
      <c r="D80" s="102">
        <f>TrRoad_emi!D$40</f>
        <v>670.62542496396429</v>
      </c>
      <c r="E80" s="102">
        <f>TrRoad_emi!E$40</f>
        <v>769.56302853769444</v>
      </c>
      <c r="F80" s="102">
        <f>TrRoad_emi!F$40</f>
        <v>859.34615875305872</v>
      </c>
      <c r="G80" s="102">
        <f>TrRoad_emi!G$40</f>
        <v>865.76606315463653</v>
      </c>
      <c r="H80" s="102">
        <f>TrRoad_emi!H$40</f>
        <v>936.6253588282591</v>
      </c>
      <c r="I80" s="102">
        <f>TrRoad_emi!I$40</f>
        <v>977.69728953796675</v>
      </c>
      <c r="J80" s="102">
        <f>TrRoad_emi!J$40</f>
        <v>959.65302795594391</v>
      </c>
      <c r="K80" s="102">
        <f>TrRoad_emi!K$40</f>
        <v>868.22536888851596</v>
      </c>
      <c r="L80" s="102">
        <f>TrRoad_emi!L$40</f>
        <v>870.35436350863552</v>
      </c>
      <c r="M80" s="102">
        <f>TrRoad_emi!M$40</f>
        <v>829.16029198153751</v>
      </c>
      <c r="N80" s="102">
        <f>TrRoad_emi!N$40</f>
        <v>735.23896888188858</v>
      </c>
      <c r="O80" s="102">
        <f>TrRoad_emi!O$40</f>
        <v>881.79789961219171</v>
      </c>
      <c r="P80" s="102">
        <f>TrRoad_emi!P$40</f>
        <v>777.17368865901494</v>
      </c>
      <c r="Q80" s="102">
        <f>TrRoad_emi!Q$40</f>
        <v>809.98858442337337</v>
      </c>
      <c r="R80" s="102">
        <f>TrRoad_emi!R$40</f>
        <v>763.43964014114863</v>
      </c>
      <c r="S80" s="102">
        <f>TrRoad_emi!S$40</f>
        <v>1009.2927440728729</v>
      </c>
      <c r="T80" s="102">
        <f>TrRoad_emi!T$40</f>
        <v>889.66316815508526</v>
      </c>
      <c r="U80" s="102">
        <f>TrRoad_emi!U$40</f>
        <v>1027.8513155495032</v>
      </c>
      <c r="V80" s="102">
        <f>TrRoad_emi!V$40</f>
        <v>990.37088203660369</v>
      </c>
      <c r="W80" s="102">
        <f>TrRoad_emi!W$40</f>
        <v>965.95886633498617</v>
      </c>
      <c r="X80" s="102">
        <f>TrRoad_emi!X$40</f>
        <v>1026.5308499624398</v>
      </c>
      <c r="Y80" s="102">
        <f>TrRoad_emi!Y$40</f>
        <v>1205.1482222562627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24.589005550877491</v>
      </c>
      <c r="C81" s="110">
        <f>TrRail_emi!C$15</f>
        <v>30.600391845712704</v>
      </c>
      <c r="D81" s="110">
        <f>TrRail_emi!D$15</f>
        <v>31.253635945042202</v>
      </c>
      <c r="E81" s="110">
        <f>TrRail_emi!E$15</f>
        <v>35.321152489180442</v>
      </c>
      <c r="F81" s="110">
        <f>TrRail_emi!F$15</f>
        <v>37.179060919851715</v>
      </c>
      <c r="G81" s="110">
        <f>TrRail_emi!G$15</f>
        <v>41.550438688426418</v>
      </c>
      <c r="H81" s="110">
        <f>TrRail_emi!H$15</f>
        <v>43.406638228293119</v>
      </c>
      <c r="I81" s="110">
        <f>TrRail_emi!I$15</f>
        <v>47.500884660570726</v>
      </c>
      <c r="J81" s="110">
        <f>TrRail_emi!J$15</f>
        <v>42.372864050430302</v>
      </c>
      <c r="K81" s="110">
        <f>TrRail_emi!K$15</f>
        <v>34.792850612306779</v>
      </c>
      <c r="L81" s="110">
        <f>TrRail_emi!L$15</f>
        <v>36.620404745476243</v>
      </c>
      <c r="M81" s="110">
        <f>TrRail_emi!M$15</f>
        <v>32.88805468963487</v>
      </c>
      <c r="N81" s="110">
        <f>TrRail_emi!N$15</f>
        <v>30.339241722664021</v>
      </c>
      <c r="O81" s="110">
        <f>TrRail_emi!O$15</f>
        <v>30.113552135132682</v>
      </c>
      <c r="P81" s="110">
        <f>TrRail_emi!P$15</f>
        <v>28.130187273458464</v>
      </c>
      <c r="Q81" s="110">
        <f>TrRail_emi!Q$15</f>
        <v>23.055067759972601</v>
      </c>
      <c r="R81" s="110">
        <f>TrRail_emi!R$15</f>
        <v>23.868921770747129</v>
      </c>
      <c r="S81" s="110">
        <f>TrRail_emi!S$15</f>
        <v>23.266335549508163</v>
      </c>
      <c r="T81" s="110">
        <f>TrRail_emi!T$15</f>
        <v>18.916411475639812</v>
      </c>
      <c r="U81" s="110">
        <f>TrRail_emi!U$15</f>
        <v>18.817714648524337</v>
      </c>
      <c r="V81" s="110">
        <f>TrRail_emi!V$15</f>
        <v>20.51734520407668</v>
      </c>
      <c r="W81" s="110">
        <f>TrRail_emi!W$15</f>
        <v>22.747568052066757</v>
      </c>
      <c r="X81" s="110">
        <f>TrRail_emi!X$15</f>
        <v>20.526629647235438</v>
      </c>
      <c r="Y81" s="110">
        <f>TrRail_emi!Y$15</f>
        <v>13.527036064170384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1.4125129596542672</v>
      </c>
      <c r="C82" s="110">
        <f t="shared" si="67"/>
        <v>1.6726553931763275</v>
      </c>
      <c r="D82" s="110">
        <f t="shared" si="67"/>
        <v>1.6986543292025509</v>
      </c>
      <c r="E82" s="110">
        <f t="shared" si="67"/>
        <v>1.5892021401510432</v>
      </c>
      <c r="F82" s="110">
        <f t="shared" si="67"/>
        <v>1.6254986209848501</v>
      </c>
      <c r="G82" s="110">
        <f t="shared" si="67"/>
        <v>1.9219166415610063</v>
      </c>
      <c r="H82" s="110">
        <f t="shared" si="67"/>
        <v>1.9657215714604295</v>
      </c>
      <c r="I82" s="110">
        <f t="shared" si="67"/>
        <v>2.3332515144872121</v>
      </c>
      <c r="J82" s="110">
        <f t="shared" si="67"/>
        <v>2.4385471995496624</v>
      </c>
      <c r="K82" s="110">
        <f t="shared" si="67"/>
        <v>2.3458599257553234</v>
      </c>
      <c r="L82" s="110">
        <f t="shared" si="67"/>
        <v>1.7382896885428685</v>
      </c>
      <c r="M82" s="110">
        <f t="shared" si="67"/>
        <v>1.6525479187982277</v>
      </c>
      <c r="N82" s="110">
        <f t="shared" si="67"/>
        <v>1.5932882858839925</v>
      </c>
      <c r="O82" s="110">
        <f t="shared" si="67"/>
        <v>1.9033816962110555</v>
      </c>
      <c r="P82" s="110">
        <f t="shared" si="67"/>
        <v>1.7903307310163046</v>
      </c>
      <c r="Q82" s="110">
        <f t="shared" si="67"/>
        <v>1.7693508537081093</v>
      </c>
      <c r="R82" s="110">
        <f t="shared" si="67"/>
        <v>1.606830359428677</v>
      </c>
      <c r="S82" s="110">
        <f t="shared" si="67"/>
        <v>1.5528322539752919</v>
      </c>
      <c r="T82" s="110">
        <f t="shared" si="67"/>
        <v>3.6837103732470453</v>
      </c>
      <c r="U82" s="110">
        <f t="shared" si="67"/>
        <v>2.7054359020554894</v>
      </c>
      <c r="V82" s="110">
        <f t="shared" si="67"/>
        <v>1.5940482817725976</v>
      </c>
      <c r="W82" s="110">
        <f t="shared" ref="W82:Y82" si="68">W83+W84+W85</f>
        <v>2.0205484242262619</v>
      </c>
      <c r="X82" s="110">
        <f t="shared" si="68"/>
        <v>1.7366692129403074</v>
      </c>
      <c r="Y82" s="110">
        <f t="shared" si="68"/>
        <v>2.3347765381650891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0.41748222335962581</v>
      </c>
      <c r="C83" s="102">
        <f>TrAvia_emi!C$11</f>
        <v>0.50335296226345794</v>
      </c>
      <c r="D83" s="102">
        <f>TrAvia_emi!D$11</f>
        <v>0.50375692603042155</v>
      </c>
      <c r="E83" s="102">
        <f>TrAvia_emi!E$11</f>
        <v>0.45854537443924559</v>
      </c>
      <c r="F83" s="102">
        <f>TrAvia_emi!F$11</f>
        <v>0.46787746929258345</v>
      </c>
      <c r="G83" s="102">
        <f>TrAvia_emi!G$11</f>
        <v>0.57190946660760911</v>
      </c>
      <c r="H83" s="102">
        <f>TrAvia_emi!H$11</f>
        <v>0.73582057773728526</v>
      </c>
      <c r="I83" s="102">
        <f>TrAvia_emi!I$11</f>
        <v>0.87916850883545106</v>
      </c>
      <c r="J83" s="102">
        <f>TrAvia_emi!J$11</f>
        <v>0.82110103982720728</v>
      </c>
      <c r="K83" s="102">
        <f>TrAvia_emi!K$11</f>
        <v>0.54076263035801131</v>
      </c>
      <c r="L83" s="102">
        <f>TrAvia_emi!L$11</f>
        <v>0.41023069679094382</v>
      </c>
      <c r="M83" s="102">
        <f>TrAvia_emi!M$11</f>
        <v>0.37973388104035088</v>
      </c>
      <c r="N83" s="102">
        <f>TrAvia_emi!N$11</f>
        <v>0.29521589806194676</v>
      </c>
      <c r="O83" s="102">
        <f>TrAvia_emi!O$11</f>
        <v>0.24771137620641637</v>
      </c>
      <c r="P83" s="102">
        <f>TrAvia_emi!P$11</f>
        <v>0.19254613191544001</v>
      </c>
      <c r="Q83" s="102">
        <f>TrAvia_emi!Q$11</f>
        <v>0.18830388644039106</v>
      </c>
      <c r="R83" s="102">
        <f>TrAvia_emi!R$11</f>
        <v>0.13321773557832972</v>
      </c>
      <c r="S83" s="102">
        <f>TrAvia_emi!S$11</f>
        <v>0.12569938514042669</v>
      </c>
      <c r="T83" s="102">
        <f>TrAvia_emi!T$11</f>
        <v>0.10433895965210044</v>
      </c>
      <c r="U83" s="102">
        <f>TrAvia_emi!U$11</f>
        <v>8.5532577328973278E-2</v>
      </c>
      <c r="V83" s="102">
        <f>TrAvia_emi!V$11</f>
        <v>1.5997303800170101E-2</v>
      </c>
      <c r="W83" s="102">
        <f>TrAvia_emi!W$11</f>
        <v>1.3033673965788348E-2</v>
      </c>
      <c r="X83" s="102">
        <f>TrAvia_emi!X$11</f>
        <v>1.7979754557817553E-2</v>
      </c>
      <c r="Y83" s="102">
        <f>TrAvia_emi!Y$11</f>
        <v>1.5221634354174491E-2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0.86464440548666388</v>
      </c>
      <c r="C84" s="102">
        <f>TrAvia_emi!C$12</f>
        <v>1.020565702400489</v>
      </c>
      <c r="D84" s="102">
        <f>TrAvia_emi!D$12</f>
        <v>1.0463798617333653</v>
      </c>
      <c r="E84" s="102">
        <f>TrAvia_emi!E$12</f>
        <v>0.96370018685723857</v>
      </c>
      <c r="F84" s="102">
        <f>TrAvia_emi!F$12</f>
        <v>0.99071261344803152</v>
      </c>
      <c r="G84" s="102">
        <f>TrAvia_emi!G$12</f>
        <v>1.152454937901928</v>
      </c>
      <c r="H84" s="102">
        <f>TrAvia_emi!H$12</f>
        <v>1.0798373863371351</v>
      </c>
      <c r="I84" s="102">
        <f>TrAvia_emi!I$12</f>
        <v>1.3097234866336871</v>
      </c>
      <c r="J84" s="102">
        <f>TrAvia_emi!J$12</f>
        <v>1.4763175447177066</v>
      </c>
      <c r="K84" s="102">
        <f>TrAvia_emi!K$12</f>
        <v>1.7172944370697936</v>
      </c>
      <c r="L84" s="102">
        <f>TrAvia_emi!L$12</f>
        <v>1.2363426199980956</v>
      </c>
      <c r="M84" s="102">
        <f>TrAvia_emi!M$12</f>
        <v>0.92307659014541998</v>
      </c>
      <c r="N84" s="102">
        <f>TrAvia_emi!N$12</f>
        <v>1.0368256951609467</v>
      </c>
      <c r="O84" s="102">
        <f>TrAvia_emi!O$12</f>
        <v>1.0804539495134153</v>
      </c>
      <c r="P84" s="102">
        <f>TrAvia_emi!P$12</f>
        <v>0.9082579478510111</v>
      </c>
      <c r="Q84" s="102">
        <f>TrAvia_emi!Q$12</f>
        <v>0.86332745950266121</v>
      </c>
      <c r="R84" s="102">
        <f>TrAvia_emi!R$12</f>
        <v>0.80828751468990601</v>
      </c>
      <c r="S84" s="102">
        <f>TrAvia_emi!S$12</f>
        <v>0.74510578060871857</v>
      </c>
      <c r="T84" s="102">
        <f>TrAvia_emi!T$12</f>
        <v>0.95098412074985139</v>
      </c>
      <c r="U84" s="102">
        <f>TrAvia_emi!U$12</f>
        <v>1.0376535481479616</v>
      </c>
      <c r="V84" s="102">
        <f>TrAvia_emi!V$12</f>
        <v>1.3136791709016262</v>
      </c>
      <c r="W84" s="102">
        <f>TrAvia_emi!W$12</f>
        <v>1.6099334412030748</v>
      </c>
      <c r="X84" s="102">
        <f>TrAvia_emi!X$12</f>
        <v>1.5996952331897685</v>
      </c>
      <c r="Y84" s="102">
        <f>TrAvia_emi!Y$12</f>
        <v>2.230173397057734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0.13038633080797754</v>
      </c>
      <c r="C85" s="102">
        <f>TrAvia_emi!C$13</f>
        <v>0.14873672851238037</v>
      </c>
      <c r="D85" s="102">
        <f>TrAvia_emi!D$13</f>
        <v>0.14851754143876414</v>
      </c>
      <c r="E85" s="102">
        <f>TrAvia_emi!E$13</f>
        <v>0.16695657885455903</v>
      </c>
      <c r="F85" s="102">
        <f>TrAvia_emi!F$13</f>
        <v>0.16690853824423527</v>
      </c>
      <c r="G85" s="102">
        <f>TrAvia_emi!G$13</f>
        <v>0.19755223705146935</v>
      </c>
      <c r="H85" s="102">
        <f>TrAvia_emi!H$13</f>
        <v>0.15006360738600916</v>
      </c>
      <c r="I85" s="102">
        <f>TrAvia_emi!I$13</f>
        <v>0.14435951901807392</v>
      </c>
      <c r="J85" s="102">
        <f>TrAvia_emi!J$13</f>
        <v>0.14112861500474869</v>
      </c>
      <c r="K85" s="102">
        <f>TrAvia_emi!K$13</f>
        <v>8.7802858327518635E-2</v>
      </c>
      <c r="L85" s="102">
        <f>TrAvia_emi!L$13</f>
        <v>9.171637175382906E-2</v>
      </c>
      <c r="M85" s="102">
        <f>TrAvia_emi!M$13</f>
        <v>0.3497374476124569</v>
      </c>
      <c r="N85" s="102">
        <f>TrAvia_emi!N$13</f>
        <v>0.26124669266109907</v>
      </c>
      <c r="O85" s="102">
        <f>TrAvia_emi!O$13</f>
        <v>0.57521637049122376</v>
      </c>
      <c r="P85" s="102">
        <f>TrAvia_emi!P$13</f>
        <v>0.68952665124985346</v>
      </c>
      <c r="Q85" s="102">
        <f>TrAvia_emi!Q$13</f>
        <v>0.717719507765057</v>
      </c>
      <c r="R85" s="102">
        <f>TrAvia_emi!R$13</f>
        <v>0.66532510916044141</v>
      </c>
      <c r="S85" s="102">
        <f>TrAvia_emi!S$13</f>
        <v>0.68202708822614655</v>
      </c>
      <c r="T85" s="102">
        <f>TrAvia_emi!T$13</f>
        <v>2.6283872928450935</v>
      </c>
      <c r="U85" s="102">
        <f>TrAvia_emi!U$13</f>
        <v>1.5822497765785544</v>
      </c>
      <c r="V85" s="102">
        <f>TrAvia_emi!V$13</f>
        <v>0.26437180707080132</v>
      </c>
      <c r="W85" s="102">
        <f>TrAvia_emi!W$13</f>
        <v>0.39758130905739875</v>
      </c>
      <c r="X85" s="102">
        <f>TrAvia_emi!X$13</f>
        <v>0.11899422519272149</v>
      </c>
      <c r="Y85" s="102">
        <f>TrAvia_emi!Y$13</f>
        <v>8.9381506753180531E-2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89.752828680000007</v>
      </c>
      <c r="C86" s="110">
        <f t="shared" si="69"/>
        <v>91.666029240000029</v>
      </c>
      <c r="D86" s="110">
        <f t="shared" si="69"/>
        <v>110.50358148000001</v>
      </c>
      <c r="E86" s="110">
        <f t="shared" si="69"/>
        <v>113.66842212</v>
      </c>
      <c r="F86" s="110">
        <f t="shared" si="69"/>
        <v>91.77957828000001</v>
      </c>
      <c r="G86" s="110">
        <f t="shared" si="69"/>
        <v>101.27383343999998</v>
      </c>
      <c r="H86" s="110">
        <f t="shared" si="69"/>
        <v>104.43867408</v>
      </c>
      <c r="I86" s="110">
        <f t="shared" si="69"/>
        <v>107.60351471999999</v>
      </c>
      <c r="J86" s="110">
        <f t="shared" si="69"/>
        <v>133.79575356000001</v>
      </c>
      <c r="K86" s="110">
        <f t="shared" si="69"/>
        <v>146.83215060000003</v>
      </c>
      <c r="L86" s="110">
        <f t="shared" si="69"/>
        <v>117.02215152000001</v>
      </c>
      <c r="M86" s="110">
        <f t="shared" si="69"/>
        <v>118.28819448000002</v>
      </c>
      <c r="N86" s="110">
        <f t="shared" si="69"/>
        <v>112.27489055999999</v>
      </c>
      <c r="O86" s="110">
        <f t="shared" si="69"/>
        <v>123.42771791999998</v>
      </c>
      <c r="P86" s="110">
        <f t="shared" si="69"/>
        <v>136.08681372000004</v>
      </c>
      <c r="Q86" s="110">
        <f t="shared" si="69"/>
        <v>129.75713244000002</v>
      </c>
      <c r="R86" s="110">
        <f t="shared" ref="R86:V86" si="70">R87+R88</f>
        <v>132.92197308000001</v>
      </c>
      <c r="S86" s="110">
        <f t="shared" si="70"/>
        <v>140.20105320000005</v>
      </c>
      <c r="T86" s="110">
        <f t="shared" si="70"/>
        <v>149.37919776000004</v>
      </c>
      <c r="U86" s="110">
        <f t="shared" si="70"/>
        <v>155.39223491999999</v>
      </c>
      <c r="V86" s="110">
        <f t="shared" si="70"/>
        <v>127.22531328000002</v>
      </c>
      <c r="W86" s="110">
        <f t="shared" ref="W86:Y86" si="71">W87+W88</f>
        <v>148.42953216000001</v>
      </c>
      <c r="X86" s="110">
        <f t="shared" si="71"/>
        <v>153.10608804</v>
      </c>
      <c r="Y86" s="110">
        <f t="shared" si="71"/>
        <v>148.04244972000001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61.118629185230375</v>
      </c>
      <c r="C87" s="102">
        <f>TrNavi_emi!C$4</f>
        <v>59.658851191103771</v>
      </c>
      <c r="D87" s="102">
        <f>TrNavi_emi!D$4</f>
        <v>72.264274429178712</v>
      </c>
      <c r="E87" s="102">
        <f>TrNavi_emi!E$4</f>
        <v>73.038987760708991</v>
      </c>
      <c r="F87" s="102">
        <f>TrNavi_emi!F$4</f>
        <v>42.485788139329571</v>
      </c>
      <c r="G87" s="102">
        <f>TrNavi_emi!G$4</f>
        <v>64.603317615414923</v>
      </c>
      <c r="H87" s="102">
        <f>TrNavi_emi!H$4</f>
        <v>57.126000650283814</v>
      </c>
      <c r="I87" s="102">
        <f>TrNavi_emi!I$4</f>
        <v>60.640839802258355</v>
      </c>
      <c r="J87" s="102">
        <f>TrNavi_emi!J$4</f>
        <v>19.463665835281663</v>
      </c>
      <c r="K87" s="102">
        <f>TrNavi_emi!K$4</f>
        <v>18.983571182816082</v>
      </c>
      <c r="L87" s="102">
        <f>TrNavi_emi!L$4</f>
        <v>14.517900236257853</v>
      </c>
      <c r="M87" s="102">
        <f>TrNavi_emi!M$4</f>
        <v>15.673048200963818</v>
      </c>
      <c r="N87" s="102">
        <f>TrNavi_emi!N$4</f>
        <v>11.695335986584622</v>
      </c>
      <c r="O87" s="102">
        <f>TrNavi_emi!O$4</f>
        <v>12.026258794291866</v>
      </c>
      <c r="P87" s="102">
        <f>TrNavi_emi!P$4</f>
        <v>13.217223242935765</v>
      </c>
      <c r="Q87" s="102">
        <f>TrNavi_emi!Q$4</f>
        <v>14.706594357861956</v>
      </c>
      <c r="R87" s="102">
        <f>TrNavi_emi!R$4</f>
        <v>7.6257959633061336</v>
      </c>
      <c r="S87" s="102">
        <f>TrNavi_emi!S$4</f>
        <v>9.547047549150852</v>
      </c>
      <c r="T87" s="102">
        <f>TrNavi_emi!T$4</f>
        <v>10.046058429054478</v>
      </c>
      <c r="U87" s="102">
        <f>TrNavi_emi!U$4</f>
        <v>8.2673504193831864</v>
      </c>
      <c r="V87" s="102">
        <f>TrNavi_emi!V$4</f>
        <v>5.8680492909856925</v>
      </c>
      <c r="W87" s="102">
        <f>TrNavi_emi!W$4</f>
        <v>7.4379430375284343</v>
      </c>
      <c r="X87" s="102">
        <f>TrNavi_emi!X$4</f>
        <v>10.577289015143748</v>
      </c>
      <c r="Y87" s="102">
        <f>TrNavi_emi!Y$4</f>
        <v>9.8037190880844776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28.634199494769636</v>
      </c>
      <c r="C88" s="169">
        <f>TrNavi_emi!C$5</f>
        <v>32.00717804889625</v>
      </c>
      <c r="D88" s="169">
        <f>TrNavi_emi!D$5</f>
        <v>38.239307050821303</v>
      </c>
      <c r="E88" s="169">
        <f>TrNavi_emi!E$5</f>
        <v>40.629434359291018</v>
      </c>
      <c r="F88" s="169">
        <f>TrNavi_emi!F$5</f>
        <v>49.293790140670438</v>
      </c>
      <c r="G88" s="169">
        <f>TrNavi_emi!G$5</f>
        <v>36.670515824585053</v>
      </c>
      <c r="H88" s="169">
        <f>TrNavi_emi!H$5</f>
        <v>47.312673429716178</v>
      </c>
      <c r="I88" s="169">
        <f>TrNavi_emi!I$5</f>
        <v>46.962674917741637</v>
      </c>
      <c r="J88" s="169">
        <f>TrNavi_emi!J$5</f>
        <v>114.33208772471833</v>
      </c>
      <c r="K88" s="169">
        <f>TrNavi_emi!K$5</f>
        <v>127.84857941718394</v>
      </c>
      <c r="L88" s="169">
        <f>TrNavi_emi!L$5</f>
        <v>102.50425128374215</v>
      </c>
      <c r="M88" s="169">
        <f>TrNavi_emi!M$5</f>
        <v>102.6151462790362</v>
      </c>
      <c r="N88" s="169">
        <f>TrNavi_emi!N$5</f>
        <v>100.57955457341536</v>
      </c>
      <c r="O88" s="169">
        <f>TrNavi_emi!O$5</f>
        <v>111.40145912570812</v>
      </c>
      <c r="P88" s="169">
        <f>TrNavi_emi!P$5</f>
        <v>122.86959047706426</v>
      </c>
      <c r="Q88" s="169">
        <f>TrNavi_emi!Q$5</f>
        <v>115.05053808213806</v>
      </c>
      <c r="R88" s="169">
        <f>TrNavi_emi!R$5</f>
        <v>125.29617711669387</v>
      </c>
      <c r="S88" s="169">
        <f>TrNavi_emi!S$5</f>
        <v>130.6540056508492</v>
      </c>
      <c r="T88" s="169">
        <f>TrNavi_emi!T$5</f>
        <v>139.33313933094556</v>
      </c>
      <c r="U88" s="169">
        <f>TrNavi_emi!U$5</f>
        <v>147.12488450061682</v>
      </c>
      <c r="V88" s="169">
        <f>TrNavi_emi!V$5</f>
        <v>121.35726398901433</v>
      </c>
      <c r="W88" s="169">
        <f>TrNavi_emi!W$5</f>
        <v>140.99158912247157</v>
      </c>
      <c r="X88" s="169">
        <f>TrNavi_emi!X$5</f>
        <v>142.52879902485626</v>
      </c>
      <c r="Y88" s="169">
        <f>TrNavi_emi!Y$5</f>
        <v>138.23873063191553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57.488234760000012</v>
      </c>
      <c r="C89" s="28">
        <f t="shared" si="72"/>
        <v>91.174145400000015</v>
      </c>
      <c r="D89" s="28">
        <f t="shared" si="72"/>
        <v>74.837944439999987</v>
      </c>
      <c r="E89" s="28">
        <f t="shared" si="72"/>
        <v>69.020260920000013</v>
      </c>
      <c r="F89" s="28">
        <f t="shared" si="72"/>
        <v>74.724395399999992</v>
      </c>
      <c r="G89" s="28">
        <f t="shared" si="72"/>
        <v>79.76531915999999</v>
      </c>
      <c r="H89" s="28">
        <f t="shared" si="72"/>
        <v>63.742309560000002</v>
      </c>
      <c r="I89" s="28">
        <f t="shared" si="72"/>
        <v>75.198438720000013</v>
      </c>
      <c r="J89" s="28">
        <f t="shared" si="72"/>
        <v>68.793150959999991</v>
      </c>
      <c r="K89" s="28">
        <f t="shared" si="72"/>
        <v>20.6756928</v>
      </c>
      <c r="L89" s="28">
        <f t="shared" si="72"/>
        <v>21.92650776</v>
      </c>
      <c r="M89" s="28">
        <f t="shared" si="72"/>
        <v>76.034288520000018</v>
      </c>
      <c r="N89" s="28">
        <f t="shared" si="72"/>
        <v>12.545813520000003</v>
      </c>
      <c r="O89" s="28">
        <f t="shared" si="72"/>
        <v>12.545813519999999</v>
      </c>
      <c r="P89" s="28">
        <f t="shared" si="72"/>
        <v>15.710654160000001</v>
      </c>
      <c r="Q89" s="28">
        <f t="shared" si="72"/>
        <v>12.583477439999999</v>
      </c>
      <c r="R89" s="28">
        <f t="shared" si="72"/>
        <v>14.184869039999999</v>
      </c>
      <c r="S89" s="28">
        <f t="shared" si="72"/>
        <v>20.156499</v>
      </c>
      <c r="T89" s="28">
        <f t="shared" si="72"/>
        <v>65.341258199999999</v>
      </c>
      <c r="U89" s="28">
        <f t="shared" si="72"/>
        <v>77.989136040000005</v>
      </c>
      <c r="V89" s="28">
        <f t="shared" si="72"/>
        <v>63.777809160000011</v>
      </c>
      <c r="W89" s="28">
        <f t="shared" si="72"/>
        <v>74.451535559999996</v>
      </c>
      <c r="X89" s="28">
        <f t="shared" ref="X89:Y89" si="73">X90+X91</f>
        <v>59.436056880000024</v>
      </c>
      <c r="Y89" s="28">
        <f t="shared" si="73"/>
        <v>73.467672839999992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27.127277026964123</v>
      </c>
      <c r="C90" s="102">
        <f>MBunk_emi!C$4</f>
        <v>42.730790541880054</v>
      </c>
      <c r="D90" s="102">
        <f>MBunk_emi!D$4</f>
        <v>34.978882927977189</v>
      </c>
      <c r="E90" s="102">
        <f>MBunk_emi!E$4</f>
        <v>32.491359566001073</v>
      </c>
      <c r="F90" s="102">
        <f>MBunk_emi!F$4</f>
        <v>35.11742750119204</v>
      </c>
      <c r="G90" s="102">
        <f>MBunk_emi!G$4</f>
        <v>37.186839710291629</v>
      </c>
      <c r="H90" s="102">
        <f>MBunk_emi!H$4</f>
        <v>30.597147393482054</v>
      </c>
      <c r="I90" s="102">
        <f>MBunk_emi!I$4</f>
        <v>33.809782097301877</v>
      </c>
      <c r="J90" s="102">
        <f>MBunk_emi!J$4</f>
        <v>28.608110900405084</v>
      </c>
      <c r="K90" s="102">
        <f>MBunk_emi!K$4</f>
        <v>10.475174363302202</v>
      </c>
      <c r="L90" s="102">
        <f>MBunk_emi!L$4</f>
        <v>10.322283055570434</v>
      </c>
      <c r="M90" s="102">
        <f>MBunk_emi!M$4</f>
        <v>37.285738628876288</v>
      </c>
      <c r="N90" s="102">
        <f>MBunk_emi!N$4</f>
        <v>5.9467456786031905</v>
      </c>
      <c r="O90" s="102">
        <f>MBunk_emi!O$4</f>
        <v>5.1538806589118424</v>
      </c>
      <c r="P90" s="102">
        <f>MBunk_emi!P$4</f>
        <v>6.1364091013023714</v>
      </c>
      <c r="Q90" s="102">
        <f>MBunk_emi!Q$4</f>
        <v>4.4757378548807809</v>
      </c>
      <c r="R90" s="102">
        <f>MBunk_emi!R$4</f>
        <v>4.8238016944696671</v>
      </c>
      <c r="S90" s="102">
        <f>MBunk_emi!S$4</f>
        <v>6.9856523424304671</v>
      </c>
      <c r="T90" s="102">
        <f>MBunk_emi!T$4</f>
        <v>21.415075965526615</v>
      </c>
      <c r="U90" s="102">
        <f>MBunk_emi!U$4</f>
        <v>27.459027200689448</v>
      </c>
      <c r="V90" s="102">
        <f>MBunk_emi!V$4</f>
        <v>24.126524429173465</v>
      </c>
      <c r="W90" s="102">
        <f>MBunk_emi!W$4</f>
        <v>29.958641734538798</v>
      </c>
      <c r="X90" s="102">
        <f>MBunk_emi!X$4</f>
        <v>25.361915505282742</v>
      </c>
      <c r="Y90" s="102">
        <f>MBunk_emi!Y$4</f>
        <v>33.302572536817543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30.360957733035889</v>
      </c>
      <c r="C91" s="86">
        <f>MBunk_emi!C$5</f>
        <v>48.443354858119967</v>
      </c>
      <c r="D91" s="86">
        <f>MBunk_emi!D$5</f>
        <v>39.859061512022798</v>
      </c>
      <c r="E91" s="86">
        <f>MBunk_emi!E$5</f>
        <v>36.52890135399894</v>
      </c>
      <c r="F91" s="86">
        <f>MBunk_emi!F$5</f>
        <v>39.606967898807952</v>
      </c>
      <c r="G91" s="86">
        <f>MBunk_emi!G$5</f>
        <v>42.578479449708368</v>
      </c>
      <c r="H91" s="86">
        <f>MBunk_emi!H$5</f>
        <v>33.145162166517949</v>
      </c>
      <c r="I91" s="86">
        <f>MBunk_emi!I$5</f>
        <v>41.388656622698136</v>
      </c>
      <c r="J91" s="86">
        <f>MBunk_emi!J$5</f>
        <v>40.185040059594911</v>
      </c>
      <c r="K91" s="86">
        <f>MBunk_emi!K$5</f>
        <v>10.2005184366978</v>
      </c>
      <c r="L91" s="86">
        <f>MBunk_emi!L$5</f>
        <v>11.604224704429567</v>
      </c>
      <c r="M91" s="86">
        <f>MBunk_emi!M$5</f>
        <v>38.74854989112373</v>
      </c>
      <c r="N91" s="86">
        <f>MBunk_emi!N$5</f>
        <v>6.5990678413968116</v>
      </c>
      <c r="O91" s="86">
        <f>MBunk_emi!O$5</f>
        <v>7.3919328610881578</v>
      </c>
      <c r="P91" s="86">
        <f>MBunk_emi!P$5</f>
        <v>9.5742450586976293</v>
      </c>
      <c r="Q91" s="86">
        <f>MBunk_emi!Q$5</f>
        <v>8.1077395851192176</v>
      </c>
      <c r="R91" s="86">
        <f>MBunk_emi!R$5</f>
        <v>9.3610673455303317</v>
      </c>
      <c r="S91" s="86">
        <f>MBunk_emi!S$5</f>
        <v>13.170846657569532</v>
      </c>
      <c r="T91" s="86">
        <f>MBunk_emi!T$5</f>
        <v>43.92618223447338</v>
      </c>
      <c r="U91" s="86">
        <f>MBunk_emi!U$5</f>
        <v>50.530108839310557</v>
      </c>
      <c r="V91" s="86">
        <f>MBunk_emi!V$5</f>
        <v>39.651284730826546</v>
      </c>
      <c r="W91" s="86">
        <f>MBunk_emi!W$5</f>
        <v>44.492893825461202</v>
      </c>
      <c r="X91" s="86">
        <f>MBunk_emi!X$5</f>
        <v>34.074141374717279</v>
      </c>
      <c r="Y91" s="86">
        <f>MBunk_emi!Y$5</f>
        <v>40.165100303182449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0.87084846294639795</v>
      </c>
      <c r="C97" s="139">
        <f t="shared" si="75"/>
        <v>0.87518284430674509</v>
      </c>
      <c r="D97" s="139">
        <f t="shared" si="75"/>
        <v>0.88331905415040457</v>
      </c>
      <c r="E97" s="139">
        <f t="shared" si="75"/>
        <v>0.88767673693767857</v>
      </c>
      <c r="F97" s="139">
        <f t="shared" si="75"/>
        <v>0.88392250929869143</v>
      </c>
      <c r="G97" s="139">
        <f t="shared" si="75"/>
        <v>0.87159828540676554</v>
      </c>
      <c r="H97" s="139">
        <f t="shared" si="75"/>
        <v>0.86651721113779712</v>
      </c>
      <c r="I97" s="139">
        <f t="shared" si="75"/>
        <v>0.86087479679266099</v>
      </c>
      <c r="J97" s="139">
        <f t="shared" si="75"/>
        <v>0.86155628236840054</v>
      </c>
      <c r="K97" s="139">
        <f t="shared" si="75"/>
        <v>0.86053123455115021</v>
      </c>
      <c r="L97" s="139">
        <f t="shared" si="75"/>
        <v>0.85023945844609439</v>
      </c>
      <c r="M97" s="139">
        <f t="shared" si="75"/>
        <v>0.85109402990037075</v>
      </c>
      <c r="N97" s="139">
        <f t="shared" si="75"/>
        <v>0.85699541055237372</v>
      </c>
      <c r="O97" s="139">
        <f t="shared" si="75"/>
        <v>0.85653145536651598</v>
      </c>
      <c r="P97" s="139">
        <f t="shared" si="75"/>
        <v>0.85053892244514084</v>
      </c>
      <c r="Q97" s="139">
        <f t="shared" si="75"/>
        <v>0.84244047141111589</v>
      </c>
      <c r="R97" s="139">
        <f t="shared" si="75"/>
        <v>0.82972429150784544</v>
      </c>
      <c r="S97" s="139">
        <f t="shared" si="75"/>
        <v>0.80898609795990406</v>
      </c>
      <c r="T97" s="139">
        <f t="shared" si="75"/>
        <v>0.78662170131953768</v>
      </c>
      <c r="U97" s="139">
        <f t="shared" si="75"/>
        <v>0.77628872692118556</v>
      </c>
      <c r="V97" s="139">
        <f t="shared" si="75"/>
        <v>0.91943174563905372</v>
      </c>
      <c r="W97" s="139">
        <f t="shared" si="75"/>
        <v>0.87676947227710544</v>
      </c>
      <c r="X97" s="139">
        <f t="shared" si="75"/>
        <v>0.79514204205295935</v>
      </c>
      <c r="Y97" s="139">
        <f t="shared" si="75"/>
        <v>0.77293354180142337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6.2970418257543145E-3</v>
      </c>
      <c r="C98" s="140">
        <f t="shared" si="76"/>
        <v>6.0100502680210241E-3</v>
      </c>
      <c r="D98" s="140">
        <f t="shared" si="76"/>
        <v>6.041227439634719E-3</v>
      </c>
      <c r="E98" s="140">
        <f t="shared" si="76"/>
        <v>6.6781224218947803E-3</v>
      </c>
      <c r="F98" s="140">
        <f t="shared" si="76"/>
        <v>7.1908083536870232E-3</v>
      </c>
      <c r="G98" s="140">
        <f t="shared" si="76"/>
        <v>7.6983378804697218E-3</v>
      </c>
      <c r="H98" s="140">
        <f t="shared" si="76"/>
        <v>8.0320816447717169E-3</v>
      </c>
      <c r="I98" s="140">
        <f t="shared" si="76"/>
        <v>7.7181965471214697E-3</v>
      </c>
      <c r="J98" s="140">
        <f t="shared" si="76"/>
        <v>7.4678609315558817E-3</v>
      </c>
      <c r="K98" s="140">
        <f t="shared" si="76"/>
        <v>7.6874507505243755E-3</v>
      </c>
      <c r="L98" s="140">
        <f t="shared" si="76"/>
        <v>7.9143274515421774E-3</v>
      </c>
      <c r="M98" s="140">
        <f t="shared" si="76"/>
        <v>8.0662850971314412E-3</v>
      </c>
      <c r="N98" s="140">
        <f t="shared" si="76"/>
        <v>7.8045036631155303E-3</v>
      </c>
      <c r="O98" s="140">
        <f t="shared" si="76"/>
        <v>7.7080389891126385E-3</v>
      </c>
      <c r="P98" s="140">
        <f t="shared" si="76"/>
        <v>7.6399887696256448E-3</v>
      </c>
      <c r="Q98" s="140">
        <f t="shared" si="76"/>
        <v>7.5463252448875508E-3</v>
      </c>
      <c r="R98" s="140">
        <f t="shared" si="76"/>
        <v>7.7254598667641861E-3</v>
      </c>
      <c r="S98" s="140">
        <f t="shared" si="76"/>
        <v>7.7371385904484238E-3</v>
      </c>
      <c r="T98" s="140">
        <f t="shared" si="76"/>
        <v>7.8938540291391707E-3</v>
      </c>
      <c r="U98" s="140">
        <f t="shared" si="76"/>
        <v>8.1152691693764847E-3</v>
      </c>
      <c r="V98" s="140">
        <f t="shared" si="76"/>
        <v>1.110236700516627E-2</v>
      </c>
      <c r="W98" s="140">
        <f t="shared" si="76"/>
        <v>1.1310523239842588E-2</v>
      </c>
      <c r="X98" s="140">
        <f t="shared" si="76"/>
        <v>1.0282810374267823E-2</v>
      </c>
      <c r="Y98" s="140">
        <f t="shared" si="76"/>
        <v>1.0496836080547819E-2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0.74111351758286348</v>
      </c>
      <c r="C99" s="140">
        <f t="shared" si="77"/>
        <v>0.74568224019926355</v>
      </c>
      <c r="D99" s="140">
        <f t="shared" si="77"/>
        <v>0.75515862044500404</v>
      </c>
      <c r="E99" s="140">
        <f t="shared" si="77"/>
        <v>0.75609651146515067</v>
      </c>
      <c r="F99" s="140">
        <f t="shared" si="77"/>
        <v>0.76619565357780761</v>
      </c>
      <c r="G99" s="140">
        <f t="shared" si="77"/>
        <v>0.75660489336700765</v>
      </c>
      <c r="H99" s="140">
        <f t="shared" si="77"/>
        <v>0.75207926975107853</v>
      </c>
      <c r="I99" s="140">
        <f t="shared" si="77"/>
        <v>0.74416554246158328</v>
      </c>
      <c r="J99" s="140">
        <f t="shared" si="77"/>
        <v>0.74164682447810237</v>
      </c>
      <c r="K99" s="140">
        <f t="shared" si="77"/>
        <v>0.75587725475778134</v>
      </c>
      <c r="L99" s="140">
        <f t="shared" si="77"/>
        <v>0.74780445226955039</v>
      </c>
      <c r="M99" s="140">
        <f t="shared" si="77"/>
        <v>0.74962801959118452</v>
      </c>
      <c r="N99" s="140">
        <f t="shared" si="77"/>
        <v>0.75533187258631695</v>
      </c>
      <c r="O99" s="140">
        <f t="shared" si="77"/>
        <v>0.74843141174919769</v>
      </c>
      <c r="P99" s="140">
        <f t="shared" si="77"/>
        <v>0.73938453172135665</v>
      </c>
      <c r="Q99" s="140">
        <f t="shared" si="77"/>
        <v>0.74018680550101668</v>
      </c>
      <c r="R99" s="140">
        <f t="shared" si="77"/>
        <v>0.71776511393773634</v>
      </c>
      <c r="S99" s="140">
        <f t="shared" si="77"/>
        <v>0.69164801070986759</v>
      </c>
      <c r="T99" s="140">
        <f t="shared" si="77"/>
        <v>0.67706493608555418</v>
      </c>
      <c r="U99" s="140">
        <f t="shared" si="77"/>
        <v>0.6630637875103389</v>
      </c>
      <c r="V99" s="140">
        <f t="shared" si="77"/>
        <v>0.82373506747494663</v>
      </c>
      <c r="W99" s="140">
        <f t="shared" si="77"/>
        <v>0.78442283196776008</v>
      </c>
      <c r="X99" s="140">
        <f t="shared" si="77"/>
        <v>0.69129370280233815</v>
      </c>
      <c r="Y99" s="140">
        <f t="shared" si="77"/>
        <v>0.66599939478027859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0.12343790353778014</v>
      </c>
      <c r="C100" s="140">
        <f t="shared" si="78"/>
        <v>0.1234905538394605</v>
      </c>
      <c r="D100" s="140">
        <f t="shared" si="78"/>
        <v>0.12211920626576583</v>
      </c>
      <c r="E100" s="140">
        <f t="shared" si="78"/>
        <v>0.12490210305063314</v>
      </c>
      <c r="F100" s="140">
        <f t="shared" si="78"/>
        <v>0.11053604736719673</v>
      </c>
      <c r="G100" s="140">
        <f t="shared" si="78"/>
        <v>0.10729505415928817</v>
      </c>
      <c r="H100" s="140">
        <f t="shared" si="78"/>
        <v>0.10640585974194684</v>
      </c>
      <c r="I100" s="140">
        <f t="shared" si="78"/>
        <v>0.10899105778395615</v>
      </c>
      <c r="J100" s="140">
        <f t="shared" si="78"/>
        <v>0.11244159695874231</v>
      </c>
      <c r="K100" s="140">
        <f t="shared" si="78"/>
        <v>9.6966529042844529E-2</v>
      </c>
      <c r="L100" s="140">
        <f t="shared" si="78"/>
        <v>9.4520678725001889E-2</v>
      </c>
      <c r="M100" s="140">
        <f t="shared" si="78"/>
        <v>9.3399725212054766E-2</v>
      </c>
      <c r="N100" s="140">
        <f t="shared" si="78"/>
        <v>9.3859034302941263E-2</v>
      </c>
      <c r="O100" s="140">
        <f t="shared" si="78"/>
        <v>0.10039200462820562</v>
      </c>
      <c r="P100" s="140">
        <f t="shared" si="78"/>
        <v>0.10351440195415852</v>
      </c>
      <c r="Q100" s="140">
        <f t="shared" si="78"/>
        <v>9.4707340665211734E-2</v>
      </c>
      <c r="R100" s="140">
        <f t="shared" si="78"/>
        <v>0.10423371770334494</v>
      </c>
      <c r="S100" s="140">
        <f t="shared" si="78"/>
        <v>0.109600948659588</v>
      </c>
      <c r="T100" s="140">
        <f t="shared" si="78"/>
        <v>0.1016629112048443</v>
      </c>
      <c r="U100" s="140">
        <f t="shared" si="78"/>
        <v>0.10510967024147023</v>
      </c>
      <c r="V100" s="140">
        <f t="shared" si="78"/>
        <v>8.4594311158940852E-2</v>
      </c>
      <c r="W100" s="140">
        <f t="shared" si="78"/>
        <v>8.1036117069502756E-2</v>
      </c>
      <c r="X100" s="140">
        <f t="shared" si="78"/>
        <v>9.3565528876353429E-2</v>
      </c>
      <c r="Y100" s="140">
        <f t="shared" si="78"/>
        <v>9.6437310940597099E-2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6.5076103364350754E-2</v>
      </c>
      <c r="C101" s="124">
        <f t="shared" si="79"/>
        <v>6.294779605808587E-2</v>
      </c>
      <c r="D101" s="124">
        <f t="shared" si="79"/>
        <v>5.9373934627786389E-2</v>
      </c>
      <c r="E101" s="124">
        <f t="shared" si="79"/>
        <v>5.7574497860681528E-2</v>
      </c>
      <c r="F101" s="124">
        <f t="shared" si="79"/>
        <v>5.5364417617632528E-2</v>
      </c>
      <c r="G101" s="124">
        <f t="shared" si="79"/>
        <v>5.5489592030759684E-2</v>
      </c>
      <c r="H101" s="124">
        <f t="shared" si="79"/>
        <v>5.6609698547091858E-2</v>
      </c>
      <c r="I101" s="124">
        <f t="shared" si="79"/>
        <v>6.3939848278364561E-2</v>
      </c>
      <c r="J101" s="124">
        <f t="shared" si="79"/>
        <v>6.5721005882726141E-2</v>
      </c>
      <c r="K101" s="124">
        <f t="shared" si="79"/>
        <v>6.714954051016496E-2</v>
      </c>
      <c r="L101" s="124">
        <f t="shared" si="79"/>
        <v>6.577062366998615E-2</v>
      </c>
      <c r="M101" s="124">
        <f t="shared" si="79"/>
        <v>5.8698321020148304E-2</v>
      </c>
      <c r="N101" s="124">
        <f t="shared" si="79"/>
        <v>4.6290459068885452E-2</v>
      </c>
      <c r="O101" s="124">
        <f t="shared" si="79"/>
        <v>4.2017159877167004E-2</v>
      </c>
      <c r="P101" s="124">
        <f t="shared" si="79"/>
        <v>4.2356260212107061E-2</v>
      </c>
      <c r="Q101" s="124">
        <f t="shared" si="79"/>
        <v>4.3160016948231635E-2</v>
      </c>
      <c r="R101" s="124">
        <f t="shared" si="79"/>
        <v>3.9368241745459692E-2</v>
      </c>
      <c r="S101" s="124">
        <f t="shared" si="79"/>
        <v>3.5494412477676887E-2</v>
      </c>
      <c r="T101" s="124">
        <f t="shared" si="79"/>
        <v>3.5003072054217488E-2</v>
      </c>
      <c r="U101" s="124">
        <f t="shared" si="79"/>
        <v>3.3304242059255307E-2</v>
      </c>
      <c r="V101" s="124">
        <f t="shared" si="79"/>
        <v>3.4321982071385995E-2</v>
      </c>
      <c r="W101" s="124">
        <f t="shared" si="79"/>
        <v>3.0414414427140542E-2</v>
      </c>
      <c r="X101" s="124">
        <f t="shared" si="79"/>
        <v>3.3990203240579872E-2</v>
      </c>
      <c r="Y101" s="124">
        <f t="shared" si="79"/>
        <v>4.080101897045095E-2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1.8682397163663496E-2</v>
      </c>
      <c r="C102" s="140">
        <f t="shared" si="80"/>
        <v>1.8881526530119867E-2</v>
      </c>
      <c r="D102" s="140">
        <f t="shared" si="80"/>
        <v>1.8355091380887301E-2</v>
      </c>
      <c r="E102" s="140">
        <f t="shared" si="80"/>
        <v>1.8492709290282849E-2</v>
      </c>
      <c r="F102" s="140">
        <f t="shared" si="80"/>
        <v>1.7250259360932219E-2</v>
      </c>
      <c r="G102" s="140">
        <f t="shared" si="80"/>
        <v>1.6808166857371416E-2</v>
      </c>
      <c r="H102" s="140">
        <f t="shared" si="80"/>
        <v>1.683974676265482E-2</v>
      </c>
      <c r="I102" s="140">
        <f t="shared" si="80"/>
        <v>1.8917832959438774E-2</v>
      </c>
      <c r="J102" s="140">
        <f t="shared" si="80"/>
        <v>1.7129404678957134E-2</v>
      </c>
      <c r="K102" s="140">
        <f t="shared" si="80"/>
        <v>1.6325256440257424E-2</v>
      </c>
      <c r="L102" s="140">
        <f t="shared" si="80"/>
        <v>1.598488756752698E-2</v>
      </c>
      <c r="M102" s="140">
        <f t="shared" si="80"/>
        <v>1.5428848532058776E-2</v>
      </c>
      <c r="N102" s="140">
        <f t="shared" si="80"/>
        <v>1.5091529081000719E-2</v>
      </c>
      <c r="O102" s="140">
        <f t="shared" si="80"/>
        <v>1.5251683878486575E-2</v>
      </c>
      <c r="P102" s="140">
        <f t="shared" si="80"/>
        <v>1.6335781431415348E-2</v>
      </c>
      <c r="Q102" s="140">
        <f t="shared" si="80"/>
        <v>1.6769845918926263E-2</v>
      </c>
      <c r="R102" s="140">
        <f t="shared" si="80"/>
        <v>1.6695626137709495E-2</v>
      </c>
      <c r="S102" s="140">
        <f t="shared" si="80"/>
        <v>1.605675025756682E-2</v>
      </c>
      <c r="T102" s="140">
        <f t="shared" si="80"/>
        <v>1.5241897276695062E-2</v>
      </c>
      <c r="U102" s="140">
        <f t="shared" si="80"/>
        <v>1.4383456068498356E-2</v>
      </c>
      <c r="V102" s="140">
        <f t="shared" si="80"/>
        <v>1.6066562322250399E-2</v>
      </c>
      <c r="W102" s="140">
        <f t="shared" si="80"/>
        <v>1.2172811505218997E-2</v>
      </c>
      <c r="X102" s="140">
        <f t="shared" si="80"/>
        <v>1.0424691625319643E-2</v>
      </c>
      <c r="Y102" s="140">
        <f t="shared" si="80"/>
        <v>9.1540623341975404E-3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4.6393706200687251E-2</v>
      </c>
      <c r="C103" s="140">
        <f t="shared" si="81"/>
        <v>4.4066269527966002E-2</v>
      </c>
      <c r="D103" s="140">
        <f t="shared" si="81"/>
        <v>4.1018843246899091E-2</v>
      </c>
      <c r="E103" s="140">
        <f t="shared" si="81"/>
        <v>3.9081788570398679E-2</v>
      </c>
      <c r="F103" s="140">
        <f t="shared" si="81"/>
        <v>3.8114158256700302E-2</v>
      </c>
      <c r="G103" s="140">
        <f t="shared" si="81"/>
        <v>3.8681425173388267E-2</v>
      </c>
      <c r="H103" s="140">
        <f t="shared" si="81"/>
        <v>3.9769951784437034E-2</v>
      </c>
      <c r="I103" s="140">
        <f t="shared" si="81"/>
        <v>4.5022015318925794E-2</v>
      </c>
      <c r="J103" s="140">
        <f t="shared" si="81"/>
        <v>4.8591601203769007E-2</v>
      </c>
      <c r="K103" s="140">
        <f t="shared" si="81"/>
        <v>5.0824284069907529E-2</v>
      </c>
      <c r="L103" s="140">
        <f t="shared" si="81"/>
        <v>4.978573610245917E-2</v>
      </c>
      <c r="M103" s="140">
        <f t="shared" si="81"/>
        <v>4.3269472488089523E-2</v>
      </c>
      <c r="N103" s="140">
        <f t="shared" si="81"/>
        <v>3.1198929987884736E-2</v>
      </c>
      <c r="O103" s="140">
        <f t="shared" si="81"/>
        <v>2.676547599868043E-2</v>
      </c>
      <c r="P103" s="140">
        <f t="shared" si="81"/>
        <v>2.6020478780691712E-2</v>
      </c>
      <c r="Q103" s="140">
        <f t="shared" si="81"/>
        <v>2.6390171029305371E-2</v>
      </c>
      <c r="R103" s="140">
        <f t="shared" si="81"/>
        <v>2.2672615607750194E-2</v>
      </c>
      <c r="S103" s="140">
        <f t="shared" si="81"/>
        <v>1.9437662220110067E-2</v>
      </c>
      <c r="T103" s="140">
        <f t="shared" si="81"/>
        <v>1.9761174777522428E-2</v>
      </c>
      <c r="U103" s="140">
        <f t="shared" si="81"/>
        <v>1.8920785990756948E-2</v>
      </c>
      <c r="V103" s="140">
        <f t="shared" si="81"/>
        <v>1.8255419749135592E-2</v>
      </c>
      <c r="W103" s="140">
        <f t="shared" si="81"/>
        <v>1.8241602921921545E-2</v>
      </c>
      <c r="X103" s="140">
        <f t="shared" si="81"/>
        <v>2.3565511615260229E-2</v>
      </c>
      <c r="Y103" s="140">
        <f t="shared" si="81"/>
        <v>3.1646956636253408E-2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0</v>
      </c>
      <c r="K104" s="140">
        <f t="shared" si="82"/>
        <v>0</v>
      </c>
      <c r="L104" s="140">
        <f t="shared" si="82"/>
        <v>0</v>
      </c>
      <c r="M104" s="140">
        <f t="shared" si="82"/>
        <v>0</v>
      </c>
      <c r="N104" s="140">
        <f t="shared" si="82"/>
        <v>0</v>
      </c>
      <c r="O104" s="140">
        <f t="shared" si="82"/>
        <v>0</v>
      </c>
      <c r="P104" s="140">
        <f t="shared" si="82"/>
        <v>0</v>
      </c>
      <c r="Q104" s="140">
        <f t="shared" si="82"/>
        <v>0</v>
      </c>
      <c r="R104" s="140">
        <f t="shared" si="82"/>
        <v>0</v>
      </c>
      <c r="S104" s="140">
        <f t="shared" si="82"/>
        <v>0</v>
      </c>
      <c r="T104" s="140">
        <f t="shared" si="82"/>
        <v>0</v>
      </c>
      <c r="U104" s="140">
        <f t="shared" si="82"/>
        <v>0</v>
      </c>
      <c r="V104" s="140">
        <f t="shared" si="82"/>
        <v>0</v>
      </c>
      <c r="W104" s="140">
        <f t="shared" si="82"/>
        <v>0</v>
      </c>
      <c r="X104" s="140">
        <f t="shared" si="82"/>
        <v>0</v>
      </c>
      <c r="Y104" s="140">
        <f t="shared" si="82"/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6.4075433689251338E-2</v>
      </c>
      <c r="C105" s="124">
        <f t="shared" si="83"/>
        <v>6.1869359635169138E-2</v>
      </c>
      <c r="D105" s="124">
        <f t="shared" si="83"/>
        <v>5.7307011221808965E-2</v>
      </c>
      <c r="E105" s="124">
        <f t="shared" si="83"/>
        <v>5.4748765201639807E-2</v>
      </c>
      <c r="F105" s="124">
        <f t="shared" si="83"/>
        <v>6.0713073083676121E-2</v>
      </c>
      <c r="G105" s="124">
        <f t="shared" si="83"/>
        <v>7.2912122562474729E-2</v>
      </c>
      <c r="H105" s="124">
        <f t="shared" si="83"/>
        <v>7.6873090315111012E-2</v>
      </c>
      <c r="I105" s="124">
        <f t="shared" si="83"/>
        <v>7.518535492897456E-2</v>
      </c>
      <c r="J105" s="124">
        <f t="shared" si="83"/>
        <v>7.2722711748873251E-2</v>
      </c>
      <c r="K105" s="124">
        <f t="shared" si="83"/>
        <v>7.2319224938684701E-2</v>
      </c>
      <c r="L105" s="124">
        <f t="shared" si="83"/>
        <v>8.3989917883919518E-2</v>
      </c>
      <c r="M105" s="124">
        <f t="shared" si="83"/>
        <v>9.0207649079481034E-2</v>
      </c>
      <c r="N105" s="124">
        <f t="shared" si="83"/>
        <v>9.6714130378740867E-2</v>
      </c>
      <c r="O105" s="124">
        <f t="shared" si="83"/>
        <v>0.10145138475631703</v>
      </c>
      <c r="P105" s="124">
        <f t="shared" si="83"/>
        <v>0.10710481734275214</v>
      </c>
      <c r="Q105" s="124">
        <f t="shared" si="83"/>
        <v>0.11439951164065251</v>
      </c>
      <c r="R105" s="124">
        <f t="shared" si="83"/>
        <v>0.1309074667466949</v>
      </c>
      <c r="S105" s="124">
        <f t="shared" si="83"/>
        <v>0.15551948956241912</v>
      </c>
      <c r="T105" s="124">
        <f t="shared" si="83"/>
        <v>0.17837522662624489</v>
      </c>
      <c r="U105" s="124">
        <f t="shared" si="83"/>
        <v>0.19040703101955911</v>
      </c>
      <c r="V105" s="124">
        <f t="shared" si="83"/>
        <v>4.6246272289560207E-2</v>
      </c>
      <c r="W105" s="124">
        <f t="shared" si="83"/>
        <v>9.2816113295753983E-2</v>
      </c>
      <c r="X105" s="124">
        <f t="shared" si="83"/>
        <v>0.17086775470646071</v>
      </c>
      <c r="Y105" s="124">
        <f t="shared" si="83"/>
        <v>0.18626543922812566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4.9314990698713619E-3</v>
      </c>
      <c r="C106" s="140">
        <f t="shared" si="84"/>
        <v>4.7009574462150445E-3</v>
      </c>
      <c r="D106" s="140">
        <f t="shared" si="84"/>
        <v>5.3884324552288376E-3</v>
      </c>
      <c r="E106" s="140">
        <f t="shared" si="84"/>
        <v>5.8381486534388486E-3</v>
      </c>
      <c r="F106" s="140">
        <f t="shared" si="84"/>
        <v>6.2097655845151376E-3</v>
      </c>
      <c r="G106" s="140">
        <f t="shared" si="84"/>
        <v>6.1124908242398586E-3</v>
      </c>
      <c r="H106" s="140">
        <f t="shared" si="84"/>
        <v>5.4437406149768219E-3</v>
      </c>
      <c r="I106" s="140">
        <f t="shared" si="84"/>
        <v>5.3966244801503917E-3</v>
      </c>
      <c r="J106" s="140">
        <f t="shared" si="84"/>
        <v>5.6430103238165191E-3</v>
      </c>
      <c r="K106" s="140">
        <f t="shared" si="84"/>
        <v>5.2918103998704953E-3</v>
      </c>
      <c r="L106" s="140">
        <f t="shared" si="84"/>
        <v>5.0238544719767237E-3</v>
      </c>
      <c r="M106" s="140">
        <f t="shared" si="84"/>
        <v>5.5976498534853264E-3</v>
      </c>
      <c r="N106" s="140">
        <f t="shared" si="84"/>
        <v>5.2348711259529454E-3</v>
      </c>
      <c r="O106" s="140">
        <f t="shared" si="84"/>
        <v>5.0279734697190751E-3</v>
      </c>
      <c r="P106" s="140">
        <f t="shared" si="84"/>
        <v>4.965108740980103E-3</v>
      </c>
      <c r="Q106" s="140">
        <f t="shared" si="84"/>
        <v>4.898938768406475E-3</v>
      </c>
      <c r="R106" s="140">
        <f t="shared" si="84"/>
        <v>5.1440823974303728E-3</v>
      </c>
      <c r="S106" s="140">
        <f t="shared" si="84"/>
        <v>5.2816727492996591E-3</v>
      </c>
      <c r="T106" s="140">
        <f t="shared" si="84"/>
        <v>5.2682164224556217E-3</v>
      </c>
      <c r="U106" s="140">
        <f t="shared" si="84"/>
        <v>5.0617987182282592E-3</v>
      </c>
      <c r="V106" s="140">
        <f t="shared" si="84"/>
        <v>2.608858784316328E-3</v>
      </c>
      <c r="W106" s="140">
        <f t="shared" si="84"/>
        <v>2.9338378142458542E-3</v>
      </c>
      <c r="X106" s="140">
        <f t="shared" si="84"/>
        <v>3.8380149950041657E-3</v>
      </c>
      <c r="Y106" s="140">
        <f t="shared" si="84"/>
        <v>4.3195208041687354E-3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4.8445492442584143E-2</v>
      </c>
      <c r="C107" s="140">
        <f t="shared" si="85"/>
        <v>4.6873385507870124E-2</v>
      </c>
      <c r="D107" s="140">
        <f t="shared" si="85"/>
        <v>4.2522924776181761E-2</v>
      </c>
      <c r="E107" s="140">
        <f t="shared" si="85"/>
        <v>3.9947664836873467E-2</v>
      </c>
      <c r="F107" s="140">
        <f t="shared" si="85"/>
        <v>4.4435512986521597E-2</v>
      </c>
      <c r="G107" s="140">
        <f t="shared" si="85"/>
        <v>5.7219160481822504E-2</v>
      </c>
      <c r="H107" s="140">
        <f t="shared" si="85"/>
        <v>6.2322852018963829E-2</v>
      </c>
      <c r="I107" s="140">
        <f t="shared" si="85"/>
        <v>5.9815730363614608E-2</v>
      </c>
      <c r="J107" s="140">
        <f t="shared" si="85"/>
        <v>5.4991970104397721E-2</v>
      </c>
      <c r="K107" s="140">
        <f t="shared" si="85"/>
        <v>5.6529924255527102E-2</v>
      </c>
      <c r="L107" s="140">
        <f t="shared" si="85"/>
        <v>6.3727943319939279E-2</v>
      </c>
      <c r="M107" s="140">
        <f t="shared" si="85"/>
        <v>6.703741717083575E-2</v>
      </c>
      <c r="N107" s="140">
        <f t="shared" si="85"/>
        <v>7.3005807663269431E-2</v>
      </c>
      <c r="O107" s="140">
        <f t="shared" si="85"/>
        <v>8.2736931443705031E-2</v>
      </c>
      <c r="P107" s="140">
        <f t="shared" si="85"/>
        <v>8.8888270066547037E-2</v>
      </c>
      <c r="Q107" s="140">
        <f t="shared" si="85"/>
        <v>9.2925699529015096E-2</v>
      </c>
      <c r="R107" s="140">
        <f t="shared" si="85"/>
        <v>0.10651047711689174</v>
      </c>
      <c r="S107" s="140">
        <f t="shared" si="85"/>
        <v>0.12428934193641371</v>
      </c>
      <c r="T107" s="140">
        <f t="shared" si="85"/>
        <v>0.1364152367260951</v>
      </c>
      <c r="U107" s="140">
        <f t="shared" si="85"/>
        <v>0.14702067475502306</v>
      </c>
      <c r="V107" s="140">
        <f t="shared" si="85"/>
        <v>3.6455595939732514E-2</v>
      </c>
      <c r="W107" s="140">
        <f t="shared" si="85"/>
        <v>7.3425556461076902E-2</v>
      </c>
      <c r="X107" s="140">
        <f t="shared" si="85"/>
        <v>0.14902868139329464</v>
      </c>
      <c r="Y107" s="140">
        <f t="shared" si="85"/>
        <v>0.16054164419634781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1.0698442176795832E-2</v>
      </c>
      <c r="C108" s="140">
        <f t="shared" si="86"/>
        <v>1.0295016681083973E-2</v>
      </c>
      <c r="D108" s="140">
        <f t="shared" si="86"/>
        <v>9.3956539903983678E-3</v>
      </c>
      <c r="E108" s="140">
        <f t="shared" si="86"/>
        <v>8.9629517113274937E-3</v>
      </c>
      <c r="F108" s="140">
        <f t="shared" si="86"/>
        <v>1.0067794512639387E-2</v>
      </c>
      <c r="G108" s="140">
        <f t="shared" si="86"/>
        <v>9.580471256412362E-3</v>
      </c>
      <c r="H108" s="140">
        <f t="shared" si="86"/>
        <v>9.1064976811703682E-3</v>
      </c>
      <c r="I108" s="140">
        <f t="shared" si="86"/>
        <v>9.9730000852095539E-3</v>
      </c>
      <c r="J108" s="140">
        <f t="shared" si="86"/>
        <v>1.2087731320659005E-2</v>
      </c>
      <c r="K108" s="140">
        <f t="shared" si="86"/>
        <v>1.0497490283287107E-2</v>
      </c>
      <c r="L108" s="140">
        <f t="shared" si="86"/>
        <v>1.5238120092003515E-2</v>
      </c>
      <c r="M108" s="140">
        <f t="shared" si="86"/>
        <v>1.7572582055159946E-2</v>
      </c>
      <c r="N108" s="140">
        <f t="shared" si="86"/>
        <v>1.8473451589518491E-2</v>
      </c>
      <c r="O108" s="140">
        <f t="shared" si="86"/>
        <v>1.3686479842892911E-2</v>
      </c>
      <c r="P108" s="140">
        <f t="shared" si="86"/>
        <v>1.3251438535224995E-2</v>
      </c>
      <c r="Q108" s="140">
        <f t="shared" si="86"/>
        <v>1.6574873343230941E-2</v>
      </c>
      <c r="R108" s="140">
        <f t="shared" si="86"/>
        <v>1.9252907232372767E-2</v>
      </c>
      <c r="S108" s="140">
        <f t="shared" si="86"/>
        <v>2.5948474876705759E-2</v>
      </c>
      <c r="T108" s="140">
        <f t="shared" si="86"/>
        <v>3.6691773477694159E-2</v>
      </c>
      <c r="U108" s="140">
        <f t="shared" si="86"/>
        <v>3.8324557546307786E-2</v>
      </c>
      <c r="V108" s="140">
        <f t="shared" si="86"/>
        <v>7.1818175655113661E-3</v>
      </c>
      <c r="W108" s="140">
        <f t="shared" si="86"/>
        <v>1.6456719020431231E-2</v>
      </c>
      <c r="X108" s="140">
        <f t="shared" si="86"/>
        <v>1.8001058318161893E-2</v>
      </c>
      <c r="Y108" s="140">
        <f t="shared" si="86"/>
        <v>2.1404274227609123E-2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0.76857928222078387</v>
      </c>
      <c r="C110" s="139">
        <f t="shared" si="88"/>
        <v>0.78322448076301088</v>
      </c>
      <c r="D110" s="139">
        <f t="shared" si="88"/>
        <v>0.78660433130796947</v>
      </c>
      <c r="E110" s="139">
        <f t="shared" si="88"/>
        <v>0.77747567465499079</v>
      </c>
      <c r="F110" s="139">
        <f t="shared" si="88"/>
        <v>0.79165323593136483</v>
      </c>
      <c r="G110" s="139">
        <f t="shared" si="88"/>
        <v>0.7787204429239688</v>
      </c>
      <c r="H110" s="139">
        <f t="shared" si="88"/>
        <v>0.76030957332224991</v>
      </c>
      <c r="I110" s="139">
        <f t="shared" si="88"/>
        <v>0.74884036427903233</v>
      </c>
      <c r="J110" s="139">
        <f t="shared" si="88"/>
        <v>0.71504389553937664</v>
      </c>
      <c r="K110" s="139">
        <f t="shared" si="88"/>
        <v>0.71849644018359904</v>
      </c>
      <c r="L110" s="139">
        <f t="shared" si="88"/>
        <v>0.69315660142909374</v>
      </c>
      <c r="M110" s="139">
        <f t="shared" si="88"/>
        <v>0.71441865590803044</v>
      </c>
      <c r="N110" s="139">
        <f t="shared" si="88"/>
        <v>0.70757773752612974</v>
      </c>
      <c r="O110" s="139">
        <f t="shared" si="88"/>
        <v>0.73113670030167754</v>
      </c>
      <c r="P110" s="139">
        <f t="shared" si="88"/>
        <v>0.72941174860360414</v>
      </c>
      <c r="Q110" s="139">
        <f t="shared" si="88"/>
        <v>0.73022702151974173</v>
      </c>
      <c r="R110" s="139">
        <f t="shared" si="88"/>
        <v>0.73812493055509676</v>
      </c>
      <c r="S110" s="139">
        <f t="shared" si="88"/>
        <v>0.73980506768002863</v>
      </c>
      <c r="T110" s="139">
        <f t="shared" si="88"/>
        <v>0.73910161196401702</v>
      </c>
      <c r="U110" s="139">
        <f t="shared" si="88"/>
        <v>0.71302322598262602</v>
      </c>
      <c r="V110" s="139">
        <f t="shared" si="88"/>
        <v>0.69730220971363821</v>
      </c>
      <c r="W110" s="139">
        <f t="shared" si="88"/>
        <v>0.70707668249943978</v>
      </c>
      <c r="X110" s="139">
        <f t="shared" si="88"/>
        <v>0.70697560199838083</v>
      </c>
      <c r="Y110" s="139">
        <f t="shared" si="88"/>
        <v>0.74548021457660696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1.7942516393614102E-2</v>
      </c>
      <c r="C111" s="140">
        <f t="shared" si="89"/>
        <v>1.8168065705997948E-2</v>
      </c>
      <c r="D111" s="140">
        <f t="shared" si="89"/>
        <v>1.8460295825640443E-2</v>
      </c>
      <c r="E111" s="140">
        <f t="shared" si="89"/>
        <v>1.9005123587376646E-2</v>
      </c>
      <c r="F111" s="140">
        <f t="shared" si="89"/>
        <v>1.8868326909980176E-2</v>
      </c>
      <c r="G111" s="140">
        <f t="shared" si="89"/>
        <v>1.958622824331609E-2</v>
      </c>
      <c r="H111" s="140">
        <f t="shared" si="89"/>
        <v>1.9860436647706248E-2</v>
      </c>
      <c r="I111" s="140">
        <f t="shared" si="89"/>
        <v>1.9047525280418812E-2</v>
      </c>
      <c r="J111" s="140">
        <f t="shared" si="89"/>
        <v>2.0097823915573243E-2</v>
      </c>
      <c r="K111" s="140">
        <f t="shared" si="89"/>
        <v>2.384482473297338E-2</v>
      </c>
      <c r="L111" s="140">
        <f t="shared" si="89"/>
        <v>2.3097278787025395E-2</v>
      </c>
      <c r="M111" s="140">
        <f t="shared" si="89"/>
        <v>2.4334312407159865E-2</v>
      </c>
      <c r="N111" s="140">
        <f t="shared" si="89"/>
        <v>2.3766546345180665E-2</v>
      </c>
      <c r="O111" s="140">
        <f t="shared" si="89"/>
        <v>2.3698951460833055E-2</v>
      </c>
      <c r="P111" s="140">
        <f t="shared" si="89"/>
        <v>2.4028044808328469E-2</v>
      </c>
      <c r="Q111" s="140">
        <f t="shared" si="89"/>
        <v>2.5725865668483429E-2</v>
      </c>
      <c r="R111" s="140">
        <f t="shared" si="89"/>
        <v>2.7595719395390888E-2</v>
      </c>
      <c r="S111" s="140">
        <f t="shared" si="89"/>
        <v>2.6667174349925361E-2</v>
      </c>
      <c r="T111" s="140">
        <f t="shared" si="89"/>
        <v>2.9354893460678416E-2</v>
      </c>
      <c r="U111" s="140">
        <f t="shared" si="89"/>
        <v>3.1821492577550528E-2</v>
      </c>
      <c r="V111" s="140">
        <f t="shared" si="89"/>
        <v>3.1375009712255902E-2</v>
      </c>
      <c r="W111" s="140">
        <f t="shared" si="89"/>
        <v>3.4153363428295995E-2</v>
      </c>
      <c r="X111" s="140">
        <f t="shared" si="89"/>
        <v>3.5491016032157478E-2</v>
      </c>
      <c r="Y111" s="140">
        <f t="shared" si="89"/>
        <v>3.7981548043461433E-2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0.75063676582716987</v>
      </c>
      <c r="C112" s="140">
        <f t="shared" si="90"/>
        <v>0.76505641505701294</v>
      </c>
      <c r="D112" s="140">
        <f t="shared" si="90"/>
        <v>0.76814403548232901</v>
      </c>
      <c r="E112" s="140">
        <f t="shared" si="90"/>
        <v>0.75847055106761418</v>
      </c>
      <c r="F112" s="140">
        <f t="shared" si="90"/>
        <v>0.77278490902138464</v>
      </c>
      <c r="G112" s="140">
        <f t="shared" si="90"/>
        <v>0.75913421468065279</v>
      </c>
      <c r="H112" s="140">
        <f t="shared" si="90"/>
        <v>0.74044913667454371</v>
      </c>
      <c r="I112" s="140">
        <f t="shared" si="90"/>
        <v>0.72979283899861347</v>
      </c>
      <c r="J112" s="140">
        <f t="shared" si="90"/>
        <v>0.6949460716238034</v>
      </c>
      <c r="K112" s="140">
        <f t="shared" si="90"/>
        <v>0.69465161545062581</v>
      </c>
      <c r="L112" s="140">
        <f t="shared" si="90"/>
        <v>0.67005932264206836</v>
      </c>
      <c r="M112" s="140">
        <f t="shared" si="90"/>
        <v>0.69008434350087067</v>
      </c>
      <c r="N112" s="140">
        <f t="shared" si="90"/>
        <v>0.68381119118094913</v>
      </c>
      <c r="O112" s="140">
        <f t="shared" si="90"/>
        <v>0.70743774884084454</v>
      </c>
      <c r="P112" s="140">
        <f t="shared" si="90"/>
        <v>0.70538370379527571</v>
      </c>
      <c r="Q112" s="140">
        <f t="shared" si="90"/>
        <v>0.70450115585125839</v>
      </c>
      <c r="R112" s="140">
        <f t="shared" si="90"/>
        <v>0.7105292111597058</v>
      </c>
      <c r="S112" s="140">
        <f t="shared" si="90"/>
        <v>0.71313789333010325</v>
      </c>
      <c r="T112" s="140">
        <f t="shared" si="90"/>
        <v>0.70974671850333848</v>
      </c>
      <c r="U112" s="140">
        <f t="shared" si="90"/>
        <v>0.6812017334050755</v>
      </c>
      <c r="V112" s="140">
        <f t="shared" si="90"/>
        <v>0.66592720000138228</v>
      </c>
      <c r="W112" s="140">
        <f t="shared" si="90"/>
        <v>0.67292331907114378</v>
      </c>
      <c r="X112" s="140">
        <f t="shared" si="90"/>
        <v>0.6714845859662234</v>
      </c>
      <c r="Y112" s="140">
        <f t="shared" si="90"/>
        <v>0.70749866653314553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0.21287081620923753</v>
      </c>
      <c r="C113" s="124">
        <f t="shared" si="91"/>
        <v>0.20020834482002695</v>
      </c>
      <c r="D113" s="124">
        <f t="shared" si="91"/>
        <v>0.19582456932970027</v>
      </c>
      <c r="E113" s="124">
        <f t="shared" si="91"/>
        <v>0.20515301707135356</v>
      </c>
      <c r="F113" s="124">
        <f t="shared" si="91"/>
        <v>0.18779780452171024</v>
      </c>
      <c r="G113" s="124">
        <f t="shared" si="91"/>
        <v>0.2052975281368308</v>
      </c>
      <c r="H113" s="124">
        <f t="shared" si="91"/>
        <v>0.2243077618916573</v>
      </c>
      <c r="I113" s="124">
        <f t="shared" si="91"/>
        <v>0.23640753981717977</v>
      </c>
      <c r="J113" s="124">
        <f t="shared" si="91"/>
        <v>0.22184589603025678</v>
      </c>
      <c r="K113" s="124">
        <f t="shared" si="91"/>
        <v>0.21592034382290007</v>
      </c>
      <c r="L113" s="124">
        <f t="shared" si="91"/>
        <v>0.22132069659868853</v>
      </c>
      <c r="M113" s="124">
        <f t="shared" si="91"/>
        <v>0.2175710184216845</v>
      </c>
      <c r="N113" s="124">
        <f t="shared" si="91"/>
        <v>0.21510445049846635</v>
      </c>
      <c r="O113" s="124">
        <f t="shared" si="91"/>
        <v>0.19173707714761043</v>
      </c>
      <c r="P113" s="124">
        <f t="shared" si="91"/>
        <v>0.19755080944120543</v>
      </c>
      <c r="Q113" s="124">
        <f t="shared" si="91"/>
        <v>0.18719403196022857</v>
      </c>
      <c r="R113" s="124">
        <f t="shared" si="91"/>
        <v>0.18602479395512547</v>
      </c>
      <c r="S113" s="124">
        <f t="shared" si="91"/>
        <v>0.1951936592462635</v>
      </c>
      <c r="T113" s="124">
        <f t="shared" si="91"/>
        <v>0.2044780221462722</v>
      </c>
      <c r="U113" s="124">
        <f t="shared" si="91"/>
        <v>0.21950168761812869</v>
      </c>
      <c r="V113" s="124">
        <f t="shared" si="91"/>
        <v>0.23527370852327686</v>
      </c>
      <c r="W113" s="124">
        <f t="shared" si="91"/>
        <v>0.22914790854467718</v>
      </c>
      <c r="X113" s="124">
        <f t="shared" si="91"/>
        <v>0.24818486634633455</v>
      </c>
      <c r="Y113" s="124">
        <f t="shared" si="91"/>
        <v>0.21820960147560486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3.8325847972813898E-4</v>
      </c>
      <c r="C114" s="124">
        <f t="shared" si="92"/>
        <v>3.7723104594448336E-4</v>
      </c>
      <c r="D114" s="124">
        <f t="shared" si="92"/>
        <v>3.3356619337362146E-4</v>
      </c>
      <c r="E114" s="124">
        <f t="shared" si="92"/>
        <v>3.0030052502349244E-4</v>
      </c>
      <c r="F114" s="124">
        <f t="shared" si="92"/>
        <v>2.5979096430814899E-4</v>
      </c>
      <c r="G114" s="124">
        <f t="shared" si="92"/>
        <v>2.9230113013151669E-4</v>
      </c>
      <c r="H114" s="124">
        <f t="shared" si="92"/>
        <v>2.4647203054738224E-4</v>
      </c>
      <c r="I114" s="124">
        <f t="shared" si="92"/>
        <v>2.7276248159966706E-4</v>
      </c>
      <c r="J114" s="124">
        <f t="shared" si="92"/>
        <v>2.6157420429490834E-4</v>
      </c>
      <c r="K114" s="124">
        <f t="shared" si="92"/>
        <v>3.6333563107974077E-4</v>
      </c>
      <c r="L114" s="124">
        <f t="shared" si="92"/>
        <v>2.9842516053698621E-4</v>
      </c>
      <c r="M114" s="124">
        <f t="shared" si="92"/>
        <v>4.3417736577422417E-4</v>
      </c>
      <c r="N114" s="124">
        <f t="shared" si="92"/>
        <v>3.5819918810155984E-4</v>
      </c>
      <c r="O114" s="124">
        <f t="shared" si="92"/>
        <v>5.0345394885087174E-4</v>
      </c>
      <c r="P114" s="124">
        <f t="shared" si="92"/>
        <v>5.8300227843685257E-4</v>
      </c>
      <c r="Q114" s="124">
        <f t="shared" si="92"/>
        <v>6.1435967980293452E-4</v>
      </c>
      <c r="R114" s="124">
        <f t="shared" si="92"/>
        <v>7.4638207916706849E-4</v>
      </c>
      <c r="S114" s="124">
        <f t="shared" si="92"/>
        <v>7.439271032946322E-4</v>
      </c>
      <c r="T114" s="124">
        <f t="shared" si="92"/>
        <v>2.9918167016732139E-3</v>
      </c>
      <c r="U114" s="124">
        <f t="shared" si="92"/>
        <v>1.9528146882490164E-3</v>
      </c>
      <c r="V114" s="124">
        <f t="shared" si="92"/>
        <v>2.4837948732865124E-4</v>
      </c>
      <c r="W114" s="124">
        <f t="shared" si="92"/>
        <v>4.0394802489163259E-4</v>
      </c>
      <c r="X114" s="124">
        <f t="shared" si="92"/>
        <v>2.9481392651228399E-4</v>
      </c>
      <c r="Y114" s="124">
        <f t="shared" si="92"/>
        <v>3.1177479319457319E-4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2.2087658554449258E-5</v>
      </c>
      <c r="C115" s="140">
        <f t="shared" si="93"/>
        <v>2.1524533406154643E-5</v>
      </c>
      <c r="D115" s="140">
        <f t="shared" si="93"/>
        <v>2.035418249820112E-5</v>
      </c>
      <c r="E115" s="140">
        <f t="shared" si="93"/>
        <v>1.82733898361945E-5</v>
      </c>
      <c r="F115" s="140">
        <f t="shared" si="93"/>
        <v>1.603106639510729E-5</v>
      </c>
      <c r="G115" s="140">
        <f t="shared" si="93"/>
        <v>1.9110787996883854E-5</v>
      </c>
      <c r="H115" s="140">
        <f t="shared" si="93"/>
        <v>2.1515022158938177E-5</v>
      </c>
      <c r="I115" s="140">
        <f t="shared" si="93"/>
        <v>2.9348622499610812E-5</v>
      </c>
      <c r="J115" s="140">
        <f t="shared" si="93"/>
        <v>3.2007028345382696E-5</v>
      </c>
      <c r="K115" s="140">
        <f t="shared" si="93"/>
        <v>3.1280221183683923E-5</v>
      </c>
      <c r="L115" s="140">
        <f t="shared" si="93"/>
        <v>3.1135420185224308E-5</v>
      </c>
      <c r="M115" s="140">
        <f t="shared" si="93"/>
        <v>2.3815902773158812E-5</v>
      </c>
      <c r="N115" s="140">
        <f t="shared" si="93"/>
        <v>1.2557352490413321E-5</v>
      </c>
      <c r="O115" s="140">
        <f t="shared" si="93"/>
        <v>1.1326736821916324E-5</v>
      </c>
      <c r="P115" s="140">
        <f t="shared" si="93"/>
        <v>1.1703382948504765E-5</v>
      </c>
      <c r="Q115" s="140">
        <f t="shared" si="93"/>
        <v>1.0402823426648582E-5</v>
      </c>
      <c r="R115" s="140">
        <f t="shared" ref="R115:V116" si="94">IF(R23=0,0,R23/R$17)</f>
        <v>9.9839903047449655E-6</v>
      </c>
      <c r="S115" s="140">
        <f t="shared" si="94"/>
        <v>8.3692638624415829E-6</v>
      </c>
      <c r="T115" s="140">
        <f t="shared" si="94"/>
        <v>7.2766121236066145E-6</v>
      </c>
      <c r="U115" s="140">
        <f t="shared" si="94"/>
        <v>8.429515502638352E-6</v>
      </c>
      <c r="V115" s="140">
        <f t="shared" si="94"/>
        <v>1.5931650565464463E-6</v>
      </c>
      <c r="W115" s="140">
        <f t="shared" ref="W115:Y120" si="95">IF(W23=0,0,W23/W$17)</f>
        <v>1.2708839970126983E-6</v>
      </c>
      <c r="X115" s="140">
        <f t="shared" si="95"/>
        <v>1.5880232225020748E-6</v>
      </c>
      <c r="Y115" s="140">
        <f t="shared" si="95"/>
        <v>1.4699922330394544E-6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2.383303336459515E-4</v>
      </c>
      <c r="C116" s="140">
        <f t="shared" si="96"/>
        <v>2.364212867244254E-4</v>
      </c>
      <c r="D116" s="140">
        <f t="shared" si="96"/>
        <v>2.0964316493868256E-4</v>
      </c>
      <c r="E116" s="140">
        <f t="shared" si="96"/>
        <v>1.8364691808592885E-4</v>
      </c>
      <c r="F116" s="140">
        <f t="shared" si="96"/>
        <v>1.5656236727535025E-4</v>
      </c>
      <c r="G116" s="140">
        <f t="shared" si="96"/>
        <v>1.9112767888161775E-4</v>
      </c>
      <c r="H116" s="140">
        <f t="shared" si="96"/>
        <v>1.6073797443088376E-4</v>
      </c>
      <c r="I116" s="140">
        <f t="shared" si="96"/>
        <v>1.7371505472054072E-4</v>
      </c>
      <c r="J116" s="140">
        <f t="shared" si="96"/>
        <v>1.5746453120973487E-4</v>
      </c>
      <c r="K116" s="140">
        <f t="shared" si="96"/>
        <v>2.6260478713978266E-4</v>
      </c>
      <c r="L116" s="140">
        <f t="shared" si="96"/>
        <v>1.7886278632799074E-4</v>
      </c>
      <c r="M116" s="140">
        <f t="shared" si="96"/>
        <v>1.2459259098181844E-4</v>
      </c>
      <c r="N116" s="140">
        <f t="shared" si="96"/>
        <v>1.5164067116318696E-4</v>
      </c>
      <c r="O116" s="140">
        <f t="shared" si="96"/>
        <v>1.6620575388011762E-4</v>
      </c>
      <c r="P116" s="140">
        <f t="shared" si="96"/>
        <v>1.80739030440521E-4</v>
      </c>
      <c r="Q116" s="140">
        <f t="shared" si="96"/>
        <v>1.6895733947640027E-4</v>
      </c>
      <c r="R116" s="140">
        <f t="shared" si="94"/>
        <v>1.9200683603395768E-4</v>
      </c>
      <c r="S116" s="140">
        <f t="shared" si="94"/>
        <v>1.4533040655217706E-4</v>
      </c>
      <c r="T116" s="140">
        <f t="shared" si="94"/>
        <v>1.6964218209041806E-4</v>
      </c>
      <c r="U116" s="140">
        <f t="shared" si="94"/>
        <v>2.1161917338620217E-4</v>
      </c>
      <c r="V116" s="140">
        <f t="shared" si="94"/>
        <v>1.5554779950187637E-4</v>
      </c>
      <c r="W116" s="140">
        <f t="shared" si="95"/>
        <v>1.9968646463779493E-4</v>
      </c>
      <c r="X116" s="140">
        <f t="shared" si="95"/>
        <v>2.1918014914581969E-4</v>
      </c>
      <c r="Y116" s="140">
        <f t="shared" si="95"/>
        <v>2.4384961892750278E-4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1.2284048752773819E-4</v>
      </c>
      <c r="C117" s="140">
        <f t="shared" si="97"/>
        <v>1.1928522581390335E-4</v>
      </c>
      <c r="D117" s="140">
        <f t="shared" si="97"/>
        <v>1.0356884593673777E-4</v>
      </c>
      <c r="E117" s="140">
        <f t="shared" si="97"/>
        <v>9.8380217101369071E-5</v>
      </c>
      <c r="F117" s="140">
        <f t="shared" si="97"/>
        <v>8.719753063769146E-5</v>
      </c>
      <c r="G117" s="140">
        <f t="shared" si="97"/>
        <v>8.2062663253015147E-5</v>
      </c>
      <c r="H117" s="140">
        <f t="shared" si="97"/>
        <v>6.4219033957560291E-5</v>
      </c>
      <c r="I117" s="140">
        <f t="shared" si="97"/>
        <v>6.9698804379515492E-5</v>
      </c>
      <c r="J117" s="140">
        <f t="shared" si="97"/>
        <v>7.210264473979074E-5</v>
      </c>
      <c r="K117" s="140">
        <f t="shared" si="97"/>
        <v>6.9450622756274169E-5</v>
      </c>
      <c r="L117" s="140">
        <f t="shared" si="97"/>
        <v>8.8426954023771193E-5</v>
      </c>
      <c r="M117" s="140">
        <f t="shared" si="97"/>
        <v>2.8576887201924701E-4</v>
      </c>
      <c r="N117" s="140">
        <f t="shared" si="97"/>
        <v>1.9400116444795958E-4</v>
      </c>
      <c r="O117" s="140">
        <f t="shared" si="97"/>
        <v>3.2592145814883784E-4</v>
      </c>
      <c r="P117" s="140">
        <f t="shared" si="97"/>
        <v>3.9055986504782684E-4</v>
      </c>
      <c r="Q117" s="140">
        <f t="shared" si="97"/>
        <v>4.3499951689988573E-4</v>
      </c>
      <c r="R117" s="140">
        <f t="shared" ref="R117:V120" si="98">IF(R25=0,0,R25/R$17)</f>
        <v>5.4439125282836585E-4</v>
      </c>
      <c r="S117" s="140">
        <f t="shared" si="98"/>
        <v>5.9022743288001354E-4</v>
      </c>
      <c r="T117" s="140">
        <f t="shared" si="98"/>
        <v>2.8148979074591892E-3</v>
      </c>
      <c r="U117" s="140">
        <f t="shared" si="98"/>
        <v>1.7327659993601758E-3</v>
      </c>
      <c r="V117" s="140">
        <f t="shared" si="98"/>
        <v>9.1238522770228402E-5</v>
      </c>
      <c r="W117" s="140">
        <f t="shared" si="95"/>
        <v>2.0299067625682496E-4</v>
      </c>
      <c r="X117" s="140">
        <f t="shared" si="95"/>
        <v>7.404575414396219E-5</v>
      </c>
      <c r="Y117" s="140">
        <f t="shared" si="95"/>
        <v>6.6455182034030956E-5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1.8166643090250314E-2</v>
      </c>
      <c r="C118" s="124">
        <f t="shared" si="99"/>
        <v>1.618994337101775E-2</v>
      </c>
      <c r="D118" s="124">
        <f t="shared" si="99"/>
        <v>1.7237533168956716E-2</v>
      </c>
      <c r="E118" s="124">
        <f t="shared" si="99"/>
        <v>1.7071007748632218E-2</v>
      </c>
      <c r="F118" s="124">
        <f t="shared" si="99"/>
        <v>2.0289168582616875E-2</v>
      </c>
      <c r="G118" s="124">
        <f t="shared" si="99"/>
        <v>1.5689727809068847E-2</v>
      </c>
      <c r="H118" s="124">
        <f t="shared" si="99"/>
        <v>1.513619275554536E-2</v>
      </c>
      <c r="I118" s="124">
        <f t="shared" si="99"/>
        <v>1.4479333422188309E-2</v>
      </c>
      <c r="J118" s="124">
        <f t="shared" si="99"/>
        <v>6.2848634226071703E-2</v>
      </c>
      <c r="K118" s="124">
        <f t="shared" si="99"/>
        <v>6.5219880362421212E-2</v>
      </c>
      <c r="L118" s="124">
        <f t="shared" si="99"/>
        <v>8.5224276811680696E-2</v>
      </c>
      <c r="M118" s="124">
        <f t="shared" si="99"/>
        <v>6.7576148304510614E-2</v>
      </c>
      <c r="N118" s="124">
        <f t="shared" si="99"/>
        <v>7.6959612787302498E-2</v>
      </c>
      <c r="O118" s="124">
        <f t="shared" si="99"/>
        <v>7.662276860186118E-2</v>
      </c>
      <c r="P118" s="124">
        <f t="shared" si="99"/>
        <v>7.2454439676753427E-2</v>
      </c>
      <c r="Q118" s="124">
        <f t="shared" si="99"/>
        <v>8.1964586840226755E-2</v>
      </c>
      <c r="R118" s="124">
        <f t="shared" si="98"/>
        <v>7.510389341061055E-2</v>
      </c>
      <c r="S118" s="124">
        <f t="shared" si="98"/>
        <v>6.4257345970413174E-2</v>
      </c>
      <c r="T118" s="124">
        <f t="shared" si="98"/>
        <v>5.3428549188037529E-2</v>
      </c>
      <c r="U118" s="124">
        <f t="shared" si="98"/>
        <v>6.5522271710996255E-2</v>
      </c>
      <c r="V118" s="124">
        <f t="shared" si="98"/>
        <v>6.7175702275756297E-2</v>
      </c>
      <c r="W118" s="124">
        <f t="shared" si="95"/>
        <v>6.3371460930991316E-2</v>
      </c>
      <c r="X118" s="124">
        <f t="shared" si="95"/>
        <v>4.4544717728772332E-2</v>
      </c>
      <c r="Y118" s="124">
        <f t="shared" si="95"/>
        <v>3.5998409154593618E-2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1.0602347688309531E-2</v>
      </c>
      <c r="C119" s="140">
        <f t="shared" si="100"/>
        <v>8.7102213893229738E-3</v>
      </c>
      <c r="D119" s="140">
        <f t="shared" si="100"/>
        <v>9.2709529447980808E-3</v>
      </c>
      <c r="E119" s="140">
        <f t="shared" si="100"/>
        <v>8.8137431692826059E-3</v>
      </c>
      <c r="F119" s="140">
        <f t="shared" si="100"/>
        <v>6.8276893736198361E-3</v>
      </c>
      <c r="G119" s="140">
        <f t="shared" si="100"/>
        <v>7.1012668436268222E-3</v>
      </c>
      <c r="H119" s="140">
        <f t="shared" si="100"/>
        <v>7.2362159070767026E-3</v>
      </c>
      <c r="I119" s="140">
        <f t="shared" si="100"/>
        <v>7.2693664831640801E-3</v>
      </c>
      <c r="J119" s="140">
        <f t="shared" si="100"/>
        <v>6.4494058270752634E-3</v>
      </c>
      <c r="K119" s="140">
        <f t="shared" si="100"/>
        <v>5.7825119567989679E-3</v>
      </c>
      <c r="L119" s="140">
        <f t="shared" si="100"/>
        <v>5.7584804775450216E-3</v>
      </c>
      <c r="M119" s="140">
        <f t="shared" si="100"/>
        <v>5.8209617795698179E-3</v>
      </c>
      <c r="N119" s="140">
        <f t="shared" si="100"/>
        <v>5.7500777166266713E-3</v>
      </c>
      <c r="O119" s="140">
        <f t="shared" si="100"/>
        <v>5.7554212956254912E-3</v>
      </c>
      <c r="P119" s="140">
        <f t="shared" si="100"/>
        <v>5.7029627725990644E-3</v>
      </c>
      <c r="Q119" s="140">
        <f t="shared" si="100"/>
        <v>6.6241316694204697E-3</v>
      </c>
      <c r="R119" s="140">
        <f t="shared" si="98"/>
        <v>3.1054083427934785E-3</v>
      </c>
      <c r="S119" s="140">
        <f t="shared" si="98"/>
        <v>3.0334088688652545E-3</v>
      </c>
      <c r="T119" s="140">
        <f t="shared" si="98"/>
        <v>2.8867704730639412E-3</v>
      </c>
      <c r="U119" s="140">
        <f t="shared" si="98"/>
        <v>2.5597470936353883E-3</v>
      </c>
      <c r="V119" s="140">
        <f t="shared" si="98"/>
        <v>2.383949059373551E-3</v>
      </c>
      <c r="W119" s="140">
        <f t="shared" si="95"/>
        <v>2.6169240186100038E-3</v>
      </c>
      <c r="X119" s="140">
        <f t="shared" si="95"/>
        <v>2.7000037939270269E-3</v>
      </c>
      <c r="Y119" s="140">
        <f t="shared" si="95"/>
        <v>2.278260882051816E-3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7.5642954019407805E-3</v>
      </c>
      <c r="C120" s="127">
        <f t="shared" si="101"/>
        <v>7.4797219816947766E-3</v>
      </c>
      <c r="D120" s="127">
        <f t="shared" si="101"/>
        <v>7.966580224158637E-3</v>
      </c>
      <c r="E120" s="127">
        <f t="shared" si="101"/>
        <v>8.2572645793496137E-3</v>
      </c>
      <c r="F120" s="127">
        <f t="shared" si="101"/>
        <v>1.3461479208997039E-2</v>
      </c>
      <c r="G120" s="127">
        <f t="shared" si="101"/>
        <v>8.5884609654420224E-3</v>
      </c>
      <c r="H120" s="127">
        <f t="shared" si="101"/>
        <v>7.8999768484686577E-3</v>
      </c>
      <c r="I120" s="127">
        <f t="shared" si="101"/>
        <v>7.2099669390242298E-3</v>
      </c>
      <c r="J120" s="127">
        <f t="shared" si="101"/>
        <v>5.6399228398996436E-2</v>
      </c>
      <c r="K120" s="127">
        <f t="shared" si="101"/>
        <v>5.9437368405622241E-2</v>
      </c>
      <c r="L120" s="127">
        <f t="shared" si="101"/>
        <v>7.9465796334135683E-2</v>
      </c>
      <c r="M120" s="127">
        <f t="shared" si="101"/>
        <v>6.1755186524940803E-2</v>
      </c>
      <c r="N120" s="127">
        <f t="shared" si="101"/>
        <v>7.1209535070675831E-2</v>
      </c>
      <c r="O120" s="127">
        <f t="shared" si="101"/>
        <v>7.0867347306235687E-2</v>
      </c>
      <c r="P120" s="127">
        <f t="shared" si="101"/>
        <v>6.6751476904154367E-2</v>
      </c>
      <c r="Q120" s="127">
        <f t="shared" si="101"/>
        <v>7.5340455170806286E-2</v>
      </c>
      <c r="R120" s="127">
        <f t="shared" si="98"/>
        <v>7.1998485067817072E-2</v>
      </c>
      <c r="S120" s="127">
        <f t="shared" si="98"/>
        <v>6.1223937101547929E-2</v>
      </c>
      <c r="T120" s="127">
        <f t="shared" si="98"/>
        <v>5.0541778714973583E-2</v>
      </c>
      <c r="U120" s="127">
        <f t="shared" si="98"/>
        <v>6.2962524617360863E-2</v>
      </c>
      <c r="V120" s="127">
        <f t="shared" si="98"/>
        <v>6.4791753216382739E-2</v>
      </c>
      <c r="W120" s="127">
        <f t="shared" si="95"/>
        <v>6.0754536912381307E-2</v>
      </c>
      <c r="X120" s="127">
        <f t="shared" si="95"/>
        <v>4.1844713934845297E-2</v>
      </c>
      <c r="Y120" s="127">
        <f t="shared" si="95"/>
        <v>3.37201482725418E-2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0.21416334499431358</v>
      </c>
      <c r="C122" s="140">
        <f t="shared" si="103"/>
        <v>0.21043439256452903</v>
      </c>
      <c r="D122" s="140">
        <f t="shared" si="103"/>
        <v>0.21070297883123784</v>
      </c>
      <c r="E122" s="140">
        <f t="shared" si="103"/>
        <v>0.21119321992236798</v>
      </c>
      <c r="F122" s="140">
        <f t="shared" si="103"/>
        <v>0.21108063631014964</v>
      </c>
      <c r="G122" s="140">
        <f t="shared" si="103"/>
        <v>0.20673906235949174</v>
      </c>
      <c r="H122" s="140">
        <f t="shared" si="103"/>
        <v>0.22245493589928625</v>
      </c>
      <c r="I122" s="140">
        <f t="shared" si="103"/>
        <v>0.18622991629795516</v>
      </c>
      <c r="J122" s="140">
        <f t="shared" si="103"/>
        <v>0.15410501458273598</v>
      </c>
      <c r="K122" s="140">
        <f t="shared" si="103"/>
        <v>0.23300027125273101</v>
      </c>
      <c r="L122" s="140">
        <f t="shared" si="103"/>
        <v>0.19097819267675908</v>
      </c>
      <c r="M122" s="140">
        <f t="shared" si="103"/>
        <v>0.20595040459297781</v>
      </c>
      <c r="N122" s="140">
        <f t="shared" si="103"/>
        <v>0.18932976163161894</v>
      </c>
      <c r="O122" s="140">
        <f t="shared" si="103"/>
        <v>0.14477764186184161</v>
      </c>
      <c r="P122" s="140">
        <f t="shared" si="103"/>
        <v>0.13038253118599041</v>
      </c>
      <c r="Q122" s="140">
        <f t="shared" si="103"/>
        <v>0.11081520526333546</v>
      </c>
      <c r="R122" s="140">
        <f t="shared" si="103"/>
        <v>0.10659389558701422</v>
      </c>
      <c r="S122" s="140">
        <f t="shared" si="103"/>
        <v>0.1126409293127288</v>
      </c>
      <c r="T122" s="140">
        <f t="shared" si="103"/>
        <v>9.8678032077430991E-2</v>
      </c>
      <c r="U122" s="140">
        <f t="shared" si="103"/>
        <v>0.10558225329380327</v>
      </c>
      <c r="V122" s="140">
        <f t="shared" si="103"/>
        <v>0.15099728350328015</v>
      </c>
      <c r="W122" s="140">
        <f t="shared" si="103"/>
        <v>0.16557588314446542</v>
      </c>
      <c r="X122" s="140">
        <f t="shared" si="103"/>
        <v>0.16319926598447965</v>
      </c>
      <c r="Y122" s="140">
        <f t="shared" si="103"/>
        <v>0.17661841779373999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0.78583665500568645</v>
      </c>
      <c r="C123" s="127">
        <f t="shared" si="104"/>
        <v>0.789565607435471</v>
      </c>
      <c r="D123" s="127">
        <f t="shared" si="104"/>
        <v>0.7892970211687621</v>
      </c>
      <c r="E123" s="127">
        <f t="shared" si="104"/>
        <v>0.78880678007763205</v>
      </c>
      <c r="F123" s="127">
        <f t="shared" si="104"/>
        <v>0.78891936368985027</v>
      </c>
      <c r="G123" s="127">
        <f t="shared" si="104"/>
        <v>0.7932609376405082</v>
      </c>
      <c r="H123" s="127">
        <f t="shared" si="104"/>
        <v>0.77754506410071378</v>
      </c>
      <c r="I123" s="127">
        <f t="shared" si="104"/>
        <v>0.81377008370204473</v>
      </c>
      <c r="J123" s="127">
        <f t="shared" si="104"/>
        <v>0.84589498541726404</v>
      </c>
      <c r="K123" s="127">
        <f t="shared" si="104"/>
        <v>0.76699972874726896</v>
      </c>
      <c r="L123" s="127">
        <f t="shared" si="104"/>
        <v>0.80902180732324092</v>
      </c>
      <c r="M123" s="127">
        <f t="shared" si="104"/>
        <v>0.79404959540702214</v>
      </c>
      <c r="N123" s="127">
        <f t="shared" si="104"/>
        <v>0.81067023836838115</v>
      </c>
      <c r="O123" s="127">
        <f t="shared" si="104"/>
        <v>0.85522235813815839</v>
      </c>
      <c r="P123" s="127">
        <f t="shared" si="104"/>
        <v>0.86961746881400959</v>
      </c>
      <c r="Q123" s="127">
        <f t="shared" si="104"/>
        <v>0.88918479473666445</v>
      </c>
      <c r="R123" s="127">
        <f t="shared" si="104"/>
        <v>0.89340610441298574</v>
      </c>
      <c r="S123" s="127">
        <f t="shared" si="104"/>
        <v>0.88735907068727116</v>
      </c>
      <c r="T123" s="127">
        <f t="shared" si="104"/>
        <v>0.90132196792256902</v>
      </c>
      <c r="U123" s="127">
        <f t="shared" si="104"/>
        <v>0.89441774670619678</v>
      </c>
      <c r="V123" s="127">
        <f t="shared" si="104"/>
        <v>0.84900271649671988</v>
      </c>
      <c r="W123" s="127">
        <f t="shared" si="104"/>
        <v>0.83442411685553453</v>
      </c>
      <c r="X123" s="127">
        <f t="shared" si="104"/>
        <v>0.83680073401552024</v>
      </c>
      <c r="Y123" s="127">
        <f t="shared" si="104"/>
        <v>0.82338158220626001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0.91548349425090103</v>
      </c>
      <c r="C127" s="139">
        <f t="shared" ref="C127:Y127" si="107">IF(C35=0,0,C35/C$34)</f>
        <v>0.91593376488577138</v>
      </c>
      <c r="D127" s="139">
        <f t="shared" si="107"/>
        <v>0.91892781279170821</v>
      </c>
      <c r="E127" s="139">
        <f t="shared" si="107"/>
        <v>0.92576649615792894</v>
      </c>
      <c r="F127" s="139">
        <f t="shared" si="107"/>
        <v>0.91872955231038778</v>
      </c>
      <c r="G127" s="139">
        <f t="shared" si="107"/>
        <v>0.91150468402224472</v>
      </c>
      <c r="H127" s="139">
        <f t="shared" si="107"/>
        <v>0.9140181717811855</v>
      </c>
      <c r="I127" s="139">
        <f t="shared" si="107"/>
        <v>0.91830004618408168</v>
      </c>
      <c r="J127" s="139">
        <f t="shared" si="107"/>
        <v>0.90872187232040946</v>
      </c>
      <c r="K127" s="139">
        <f t="shared" si="107"/>
        <v>0.92016683190869653</v>
      </c>
      <c r="L127" s="139">
        <f t="shared" si="107"/>
        <v>0.9137217738430129</v>
      </c>
      <c r="M127" s="139">
        <f t="shared" si="107"/>
        <v>0.90916202838214921</v>
      </c>
      <c r="N127" s="139">
        <f t="shared" si="107"/>
        <v>0.90659611755407765</v>
      </c>
      <c r="O127" s="139">
        <f t="shared" si="107"/>
        <v>0.90060189157998194</v>
      </c>
      <c r="P127" s="139">
        <f t="shared" si="107"/>
        <v>0.90319066140972248</v>
      </c>
      <c r="Q127" s="139">
        <f t="shared" si="107"/>
        <v>0.90993705198974684</v>
      </c>
      <c r="R127" s="139">
        <f t="shared" si="107"/>
        <v>0.90949009052944652</v>
      </c>
      <c r="S127" s="139">
        <f t="shared" si="107"/>
        <v>0.90032472349437609</v>
      </c>
      <c r="T127" s="139">
        <f t="shared" si="107"/>
        <v>0.88125776306224368</v>
      </c>
      <c r="U127" s="139">
        <f t="shared" si="107"/>
        <v>0.87540026790860492</v>
      </c>
      <c r="V127" s="139">
        <f t="shared" si="107"/>
        <v>0.9471629647731995</v>
      </c>
      <c r="W127" s="139">
        <f t="shared" si="107"/>
        <v>0.92388599415009753</v>
      </c>
      <c r="X127" s="139">
        <f t="shared" si="107"/>
        <v>0.88103340038436806</v>
      </c>
      <c r="Y127" s="139">
        <f t="shared" si="107"/>
        <v>0.88538017023216298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4.6027266091872975E-3</v>
      </c>
      <c r="C128" s="140">
        <f t="shared" ref="C128:Y128" si="108">IF(C36=0,0,C36/C$34)</f>
        <v>4.5921245860129122E-3</v>
      </c>
      <c r="D128" s="140">
        <f t="shared" si="108"/>
        <v>4.6586057515056864E-3</v>
      </c>
      <c r="E128" s="140">
        <f t="shared" si="108"/>
        <v>4.783931604382328E-3</v>
      </c>
      <c r="F128" s="140">
        <f t="shared" si="108"/>
        <v>5.0958745535452186E-3</v>
      </c>
      <c r="G128" s="140">
        <f t="shared" si="108"/>
        <v>5.2730377278251521E-3</v>
      </c>
      <c r="H128" s="140">
        <f t="shared" si="108"/>
        <v>5.327002212732356E-3</v>
      </c>
      <c r="I128" s="140">
        <f t="shared" si="108"/>
        <v>4.8821798016175939E-3</v>
      </c>
      <c r="J128" s="140">
        <f t="shared" si="108"/>
        <v>4.9049360330223578E-3</v>
      </c>
      <c r="K128" s="140">
        <f t="shared" si="108"/>
        <v>4.8574487165648789E-3</v>
      </c>
      <c r="L128" s="140">
        <f t="shared" si="108"/>
        <v>5.0119348373713572E-3</v>
      </c>
      <c r="M128" s="140">
        <f t="shared" si="108"/>
        <v>5.0556962190382521E-3</v>
      </c>
      <c r="N128" s="140">
        <f t="shared" si="108"/>
        <v>5.0460629759361076E-3</v>
      </c>
      <c r="O128" s="140">
        <f t="shared" si="108"/>
        <v>5.0521118164053736E-3</v>
      </c>
      <c r="P128" s="140">
        <f t="shared" si="108"/>
        <v>4.9634075853254161E-3</v>
      </c>
      <c r="Q128" s="140">
        <f t="shared" si="108"/>
        <v>4.7285953024302661E-3</v>
      </c>
      <c r="R128" s="140">
        <f t="shared" si="108"/>
        <v>4.7078907145399725E-3</v>
      </c>
      <c r="S128" s="140">
        <f t="shared" si="108"/>
        <v>4.6966916243354005E-3</v>
      </c>
      <c r="T128" s="140">
        <f t="shared" si="108"/>
        <v>4.7347801523863718E-3</v>
      </c>
      <c r="U128" s="140">
        <f t="shared" si="108"/>
        <v>4.7862258624491848E-3</v>
      </c>
      <c r="V128" s="140">
        <f t="shared" si="108"/>
        <v>5.3427564476667359E-3</v>
      </c>
      <c r="W128" s="140">
        <f t="shared" si="108"/>
        <v>5.7366237286932435E-3</v>
      </c>
      <c r="X128" s="140">
        <f t="shared" si="108"/>
        <v>5.6050240271598344E-3</v>
      </c>
      <c r="Y128" s="140">
        <f t="shared" si="108"/>
        <v>5.3819688028516064E-3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0.77224736948864359</v>
      </c>
      <c r="C129" s="140">
        <f t="shared" ref="C129:Y129" si="109">IF(C37=0,0,C37/C$34)</f>
        <v>0.77694255753079</v>
      </c>
      <c r="D129" s="140">
        <f t="shared" si="109"/>
        <v>0.78282398915326035</v>
      </c>
      <c r="E129" s="140">
        <f t="shared" si="109"/>
        <v>0.79689919755533001</v>
      </c>
      <c r="F129" s="140">
        <f t="shared" si="109"/>
        <v>0.79459265124965972</v>
      </c>
      <c r="G129" s="140">
        <f t="shared" si="109"/>
        <v>0.79387958294808381</v>
      </c>
      <c r="H129" s="140">
        <f t="shared" si="109"/>
        <v>0.80342068556972313</v>
      </c>
      <c r="I129" s="140">
        <f t="shared" si="109"/>
        <v>0.81350911037601414</v>
      </c>
      <c r="J129" s="140">
        <f t="shared" si="109"/>
        <v>0.80375270311654501</v>
      </c>
      <c r="K129" s="140">
        <f t="shared" si="109"/>
        <v>0.81335403389693672</v>
      </c>
      <c r="L129" s="140">
        <f t="shared" si="109"/>
        <v>0.80300333043285232</v>
      </c>
      <c r="M129" s="140">
        <f t="shared" si="109"/>
        <v>0.8017825638678816</v>
      </c>
      <c r="N129" s="140">
        <f t="shared" si="109"/>
        <v>0.801248443275138</v>
      </c>
      <c r="O129" s="140">
        <f t="shared" si="109"/>
        <v>0.79318198999849032</v>
      </c>
      <c r="P129" s="140">
        <f t="shared" si="109"/>
        <v>0.79535690716003826</v>
      </c>
      <c r="Q129" s="140">
        <f t="shared" si="109"/>
        <v>0.80057736582565342</v>
      </c>
      <c r="R129" s="140">
        <f t="shared" si="109"/>
        <v>0.79968880222642169</v>
      </c>
      <c r="S129" s="140">
        <f t="shared" si="109"/>
        <v>0.78929997547340414</v>
      </c>
      <c r="T129" s="140">
        <f t="shared" si="109"/>
        <v>0.76880517545601845</v>
      </c>
      <c r="U129" s="140">
        <f t="shared" si="109"/>
        <v>0.78166448124197252</v>
      </c>
      <c r="V129" s="140">
        <f t="shared" si="109"/>
        <v>0.85968419658052742</v>
      </c>
      <c r="W129" s="140">
        <f t="shared" si="109"/>
        <v>0.83755759652970252</v>
      </c>
      <c r="X129" s="140">
        <f t="shared" si="109"/>
        <v>0.79385189270288181</v>
      </c>
      <c r="Y129" s="140">
        <f t="shared" si="109"/>
        <v>0.79793208352038347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0.13863339815307021</v>
      </c>
      <c r="C130" s="140">
        <f t="shared" ref="C130:Y130" si="110">IF(C38=0,0,C38/C$34)</f>
        <v>0.13439908276896845</v>
      </c>
      <c r="D130" s="140">
        <f t="shared" si="110"/>
        <v>0.13144521788694216</v>
      </c>
      <c r="E130" s="140">
        <f t="shared" si="110"/>
        <v>0.12408336699821661</v>
      </c>
      <c r="F130" s="140">
        <f t="shared" si="110"/>
        <v>0.11904102650718289</v>
      </c>
      <c r="G130" s="140">
        <f t="shared" si="110"/>
        <v>0.1123520633463357</v>
      </c>
      <c r="H130" s="140">
        <f t="shared" si="110"/>
        <v>0.10527048399873007</v>
      </c>
      <c r="I130" s="140">
        <f t="shared" si="110"/>
        <v>9.9908756006449856E-2</v>
      </c>
      <c r="J130" s="140">
        <f t="shared" si="110"/>
        <v>0.10006423317084207</v>
      </c>
      <c r="K130" s="140">
        <f t="shared" si="110"/>
        <v>0.10195534929519497</v>
      </c>
      <c r="L130" s="140">
        <f t="shared" si="110"/>
        <v>0.10570650857278927</v>
      </c>
      <c r="M130" s="140">
        <f t="shared" si="110"/>
        <v>0.10232376829522957</v>
      </c>
      <c r="N130" s="140">
        <f t="shared" si="110"/>
        <v>0.10030161130300351</v>
      </c>
      <c r="O130" s="140">
        <f t="shared" si="110"/>
        <v>0.10236778976508627</v>
      </c>
      <c r="P130" s="140">
        <f t="shared" si="110"/>
        <v>0.10287034666435885</v>
      </c>
      <c r="Q130" s="140">
        <f t="shared" si="110"/>
        <v>0.10463109086166307</v>
      </c>
      <c r="R130" s="140">
        <f t="shared" si="110"/>
        <v>0.10509339758848484</v>
      </c>
      <c r="S130" s="140">
        <f t="shared" si="110"/>
        <v>0.10632805639663642</v>
      </c>
      <c r="T130" s="140">
        <f t="shared" si="110"/>
        <v>0.10771780745383883</v>
      </c>
      <c r="U130" s="140">
        <f t="shared" si="110"/>
        <v>8.8949560804183259E-2</v>
      </c>
      <c r="V130" s="140">
        <f t="shared" si="110"/>
        <v>8.2136011745005413E-2</v>
      </c>
      <c r="W130" s="140">
        <f t="shared" si="110"/>
        <v>8.0591773891701787E-2</v>
      </c>
      <c r="X130" s="140">
        <f t="shared" si="110"/>
        <v>8.1576483654326445E-2</v>
      </c>
      <c r="Y130" s="140">
        <f t="shared" si="110"/>
        <v>8.2066117908927885E-2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2.5670278797098975E-2</v>
      </c>
      <c r="C131" s="124">
        <f t="shared" ref="C131:Y131" si="111">IF(C39=0,0,C39/C$34)</f>
        <v>2.5067845803986397E-2</v>
      </c>
      <c r="D131" s="124">
        <f t="shared" si="111"/>
        <v>2.4767187415226856E-2</v>
      </c>
      <c r="E131" s="124">
        <f t="shared" si="111"/>
        <v>2.2055166447793397E-2</v>
      </c>
      <c r="F131" s="124">
        <f t="shared" si="111"/>
        <v>2.2356569703959963E-2</v>
      </c>
      <c r="G131" s="124">
        <f t="shared" si="111"/>
        <v>2.1410483889471296E-2</v>
      </c>
      <c r="H131" s="124">
        <f t="shared" si="111"/>
        <v>2.0724634547650712E-2</v>
      </c>
      <c r="I131" s="124">
        <f t="shared" si="111"/>
        <v>1.9319908217333141E-2</v>
      </c>
      <c r="J131" s="124">
        <f t="shared" si="111"/>
        <v>2.0339766272049746E-2</v>
      </c>
      <c r="K131" s="124">
        <f t="shared" si="111"/>
        <v>1.9263618115291155E-2</v>
      </c>
      <c r="L131" s="124">
        <f t="shared" si="111"/>
        <v>1.9386917125404472E-2</v>
      </c>
      <c r="M131" s="124">
        <f t="shared" si="111"/>
        <v>1.9289503525342522E-2</v>
      </c>
      <c r="N131" s="124">
        <f t="shared" si="111"/>
        <v>1.858127885870927E-2</v>
      </c>
      <c r="O131" s="124">
        <f t="shared" si="111"/>
        <v>1.7160521056271232E-2</v>
      </c>
      <c r="P131" s="124">
        <f t="shared" si="111"/>
        <v>1.5198485839446708E-2</v>
      </c>
      <c r="Q131" s="124">
        <f t="shared" si="111"/>
        <v>1.3952118484188418E-2</v>
      </c>
      <c r="R131" s="124">
        <f t="shared" si="111"/>
        <v>1.3071880190471678E-2</v>
      </c>
      <c r="S131" s="124">
        <f t="shared" si="111"/>
        <v>1.2395402040137846E-2</v>
      </c>
      <c r="T131" s="124">
        <f t="shared" si="111"/>
        <v>1.192553406637357E-2</v>
      </c>
      <c r="U131" s="124">
        <f t="shared" si="111"/>
        <v>1.1450176063177973E-2</v>
      </c>
      <c r="V131" s="124">
        <f t="shared" si="111"/>
        <v>1.2206356091520661E-2</v>
      </c>
      <c r="W131" s="124">
        <f t="shared" si="111"/>
        <v>1.266640259988349E-2</v>
      </c>
      <c r="X131" s="124">
        <f t="shared" si="111"/>
        <v>1.189036982305019E-2</v>
      </c>
      <c r="Y131" s="124">
        <f t="shared" si="111"/>
        <v>1.0756914820635578E-2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2.1864410966606841E-3</v>
      </c>
      <c r="C132" s="140">
        <f t="shared" ref="C132:Y132" si="112">IF(C40=0,0,C40/C$34)</f>
        <v>2.3089540666298559E-3</v>
      </c>
      <c r="D132" s="140">
        <f t="shared" si="112"/>
        <v>2.2980921552073607E-3</v>
      </c>
      <c r="E132" s="140">
        <f t="shared" si="112"/>
        <v>2.2330841650886643E-3</v>
      </c>
      <c r="F132" s="140">
        <f t="shared" si="112"/>
        <v>2.0824009755438327E-3</v>
      </c>
      <c r="G132" s="140">
        <f t="shared" si="112"/>
        <v>1.9964844671871993E-3</v>
      </c>
      <c r="H132" s="140">
        <f t="shared" si="112"/>
        <v>1.9511617560804052E-3</v>
      </c>
      <c r="I132" s="140">
        <f t="shared" si="112"/>
        <v>2.1100118248224427E-3</v>
      </c>
      <c r="J132" s="140">
        <f t="shared" si="112"/>
        <v>1.9760650165694849E-3</v>
      </c>
      <c r="K132" s="140">
        <f t="shared" si="112"/>
        <v>1.8156006388100675E-3</v>
      </c>
      <c r="L132" s="140">
        <f t="shared" si="112"/>
        <v>1.7761039152585268E-3</v>
      </c>
      <c r="M132" s="140">
        <f t="shared" si="112"/>
        <v>1.6767674173849166E-3</v>
      </c>
      <c r="N132" s="140">
        <f t="shared" si="112"/>
        <v>1.6732723503897426E-3</v>
      </c>
      <c r="O132" s="140">
        <f t="shared" si="112"/>
        <v>1.7058173700979964E-3</v>
      </c>
      <c r="P132" s="140">
        <f t="shared" si="112"/>
        <v>1.8061780152439316E-3</v>
      </c>
      <c r="Q132" s="140">
        <f t="shared" si="112"/>
        <v>1.7650664592646409E-3</v>
      </c>
      <c r="R132" s="140">
        <f t="shared" si="112"/>
        <v>1.7305663817907568E-3</v>
      </c>
      <c r="S132" s="140">
        <f t="shared" si="112"/>
        <v>1.6321908954743921E-3</v>
      </c>
      <c r="T132" s="140">
        <f t="shared" si="112"/>
        <v>1.5195258408442578E-3</v>
      </c>
      <c r="U132" s="140">
        <f t="shared" si="112"/>
        <v>1.6222131258084851E-3</v>
      </c>
      <c r="V132" s="140">
        <f t="shared" si="112"/>
        <v>1.5764013719206545E-3</v>
      </c>
      <c r="W132" s="140">
        <f t="shared" si="112"/>
        <v>1.3569059048083405E-3</v>
      </c>
      <c r="X132" s="140">
        <f t="shared" si="112"/>
        <v>9.3603911574757261E-4</v>
      </c>
      <c r="Y132" s="140">
        <f t="shared" si="112"/>
        <v>7.3493574920644377E-4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2.3483837700438291E-2</v>
      </c>
      <c r="C133" s="140">
        <f t="shared" ref="C133:Y133" si="113">IF(C41=0,0,C41/C$34)</f>
        <v>2.275889173735654E-2</v>
      </c>
      <c r="D133" s="140">
        <f t="shared" si="113"/>
        <v>2.2469095260019497E-2</v>
      </c>
      <c r="E133" s="140">
        <f t="shared" si="113"/>
        <v>1.9822082282704732E-2</v>
      </c>
      <c r="F133" s="140">
        <f t="shared" si="113"/>
        <v>2.0274168728416132E-2</v>
      </c>
      <c r="G133" s="140">
        <f t="shared" si="113"/>
        <v>1.9413999422284098E-2</v>
      </c>
      <c r="H133" s="140">
        <f t="shared" si="113"/>
        <v>1.8773472791570309E-2</v>
      </c>
      <c r="I133" s="140">
        <f t="shared" si="113"/>
        <v>1.72098963925107E-2</v>
      </c>
      <c r="J133" s="140">
        <f t="shared" si="113"/>
        <v>1.8363701255480262E-2</v>
      </c>
      <c r="K133" s="140">
        <f t="shared" si="113"/>
        <v>1.744801747648109E-2</v>
      </c>
      <c r="L133" s="140">
        <f t="shared" si="113"/>
        <v>1.7610813210145945E-2</v>
      </c>
      <c r="M133" s="140">
        <f t="shared" si="113"/>
        <v>1.7612736107957608E-2</v>
      </c>
      <c r="N133" s="140">
        <f t="shared" si="113"/>
        <v>1.6908006508319529E-2</v>
      </c>
      <c r="O133" s="140">
        <f t="shared" si="113"/>
        <v>1.5454703686173235E-2</v>
      </c>
      <c r="P133" s="140">
        <f t="shared" si="113"/>
        <v>1.3392307824202776E-2</v>
      </c>
      <c r="Q133" s="140">
        <f t="shared" si="113"/>
        <v>1.2187052024923777E-2</v>
      </c>
      <c r="R133" s="140">
        <f t="shared" si="113"/>
        <v>1.134131380868092E-2</v>
      </c>
      <c r="S133" s="140">
        <f t="shared" si="113"/>
        <v>1.0763211144663453E-2</v>
      </c>
      <c r="T133" s="140">
        <f t="shared" si="113"/>
        <v>1.0406008225529312E-2</v>
      </c>
      <c r="U133" s="140">
        <f t="shared" si="113"/>
        <v>9.8279629373694867E-3</v>
      </c>
      <c r="V133" s="140">
        <f t="shared" si="113"/>
        <v>1.0629954719600005E-2</v>
      </c>
      <c r="W133" s="140">
        <f t="shared" si="113"/>
        <v>1.1309496695075151E-2</v>
      </c>
      <c r="X133" s="140">
        <f t="shared" si="113"/>
        <v>1.0954330707302617E-2</v>
      </c>
      <c r="Y133" s="140">
        <f t="shared" si="113"/>
        <v>1.0021979071429135E-2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0</v>
      </c>
      <c r="K134" s="140">
        <f t="shared" si="114"/>
        <v>0</v>
      </c>
      <c r="L134" s="140">
        <f t="shared" si="114"/>
        <v>0</v>
      </c>
      <c r="M134" s="140">
        <f t="shared" si="114"/>
        <v>0</v>
      </c>
      <c r="N134" s="140">
        <f t="shared" si="114"/>
        <v>0</v>
      </c>
      <c r="O134" s="140">
        <f t="shared" si="114"/>
        <v>0</v>
      </c>
      <c r="P134" s="140">
        <f t="shared" si="114"/>
        <v>0</v>
      </c>
      <c r="Q134" s="140">
        <f t="shared" si="114"/>
        <v>0</v>
      </c>
      <c r="R134" s="140">
        <f t="shared" si="114"/>
        <v>0</v>
      </c>
      <c r="S134" s="140">
        <f t="shared" si="114"/>
        <v>0</v>
      </c>
      <c r="T134" s="140">
        <f t="shared" si="114"/>
        <v>0</v>
      </c>
      <c r="U134" s="140">
        <f t="shared" si="114"/>
        <v>0</v>
      </c>
      <c r="V134" s="140">
        <f t="shared" si="114"/>
        <v>0</v>
      </c>
      <c r="W134" s="140">
        <f t="shared" si="114"/>
        <v>0</v>
      </c>
      <c r="X134" s="140">
        <f t="shared" si="114"/>
        <v>0</v>
      </c>
      <c r="Y134" s="140">
        <f t="shared" si="114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5.8846226951999973E-2</v>
      </c>
      <c r="C135" s="124">
        <f t="shared" ref="C135:Y135" si="115">IF(C43=0,0,C43/C$34)</f>
        <v>5.899838931024233E-2</v>
      </c>
      <c r="D135" s="124">
        <f t="shared" si="115"/>
        <v>5.630499979306481E-2</v>
      </c>
      <c r="E135" s="124">
        <f t="shared" si="115"/>
        <v>5.2178337394277761E-2</v>
      </c>
      <c r="F135" s="124">
        <f t="shared" si="115"/>
        <v>5.8913877985652272E-2</v>
      </c>
      <c r="G135" s="124">
        <f t="shared" si="115"/>
        <v>6.7084832088283919E-2</v>
      </c>
      <c r="H135" s="124">
        <f t="shared" si="115"/>
        <v>6.5257193671163713E-2</v>
      </c>
      <c r="I135" s="124">
        <f t="shared" si="115"/>
        <v>6.2380045598585163E-2</v>
      </c>
      <c r="J135" s="124">
        <f t="shared" si="115"/>
        <v>7.0938361407540812E-2</v>
      </c>
      <c r="K135" s="124">
        <f t="shared" si="115"/>
        <v>6.0569549976012271E-2</v>
      </c>
      <c r="L135" s="124">
        <f t="shared" si="115"/>
        <v>6.6891309031582621E-2</v>
      </c>
      <c r="M135" s="124">
        <f t="shared" si="115"/>
        <v>7.1548468092508172E-2</v>
      </c>
      <c r="N135" s="124">
        <f t="shared" si="115"/>
        <v>7.4822603587213127E-2</v>
      </c>
      <c r="O135" s="124">
        <f t="shared" si="115"/>
        <v>8.2237587363746784E-2</v>
      </c>
      <c r="P135" s="124">
        <f t="shared" si="115"/>
        <v>8.1610852750830812E-2</v>
      </c>
      <c r="Q135" s="124">
        <f t="shared" si="115"/>
        <v>7.6110829526064863E-2</v>
      </c>
      <c r="R135" s="124">
        <f t="shared" si="115"/>
        <v>7.7438029280081699E-2</v>
      </c>
      <c r="S135" s="124">
        <f t="shared" si="115"/>
        <v>8.7279874465486046E-2</v>
      </c>
      <c r="T135" s="124">
        <f t="shared" si="115"/>
        <v>0.10681670287138273</v>
      </c>
      <c r="U135" s="124">
        <f t="shared" si="115"/>
        <v>0.11314955602821705</v>
      </c>
      <c r="V135" s="124">
        <f t="shared" si="115"/>
        <v>4.0630679135279735E-2</v>
      </c>
      <c r="W135" s="124">
        <f t="shared" si="115"/>
        <v>6.34476032500189E-2</v>
      </c>
      <c r="X135" s="124">
        <f t="shared" si="115"/>
        <v>0.10707622979258165</v>
      </c>
      <c r="Y135" s="124">
        <f t="shared" si="115"/>
        <v>0.10386291494720135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6.4706861708499173E-3</v>
      </c>
      <c r="C136" s="140">
        <f t="shared" ref="C136:Y136" si="116">IF(C44=0,0,C44/C$34)</f>
        <v>6.4724616942520392E-3</v>
      </c>
      <c r="D136" s="140">
        <f t="shared" si="116"/>
        <v>7.6287991079261293E-3</v>
      </c>
      <c r="E136" s="140">
        <f t="shared" si="116"/>
        <v>7.950490618190675E-3</v>
      </c>
      <c r="F136" s="140">
        <f t="shared" si="116"/>
        <v>8.5802864107846159E-3</v>
      </c>
      <c r="G136" s="140">
        <f t="shared" si="116"/>
        <v>8.178809586660403E-3</v>
      </c>
      <c r="H136" s="140">
        <f t="shared" si="116"/>
        <v>8.3534727529882766E-3</v>
      </c>
      <c r="I136" s="140">
        <f t="shared" si="116"/>
        <v>7.6459456702582538E-3</v>
      </c>
      <c r="J136" s="140">
        <f t="shared" si="116"/>
        <v>7.7064334775022439E-3</v>
      </c>
      <c r="K136" s="140">
        <f t="shared" si="116"/>
        <v>7.095635214714441E-3</v>
      </c>
      <c r="L136" s="140">
        <f t="shared" si="116"/>
        <v>6.0923736121174929E-3</v>
      </c>
      <c r="M136" s="140">
        <f t="shared" si="116"/>
        <v>6.8190066584587761E-3</v>
      </c>
      <c r="N136" s="140">
        <f t="shared" si="116"/>
        <v>6.1783667961961344E-3</v>
      </c>
      <c r="O136" s="140">
        <f t="shared" si="116"/>
        <v>6.2579605188369785E-3</v>
      </c>
      <c r="P136" s="140">
        <f t="shared" si="116"/>
        <v>6.2199837126442493E-3</v>
      </c>
      <c r="Q136" s="140">
        <f t="shared" si="116"/>
        <v>6.5161252111169791E-3</v>
      </c>
      <c r="R136" s="140">
        <f t="shared" si="116"/>
        <v>6.3311973591198703E-3</v>
      </c>
      <c r="S136" s="140">
        <f t="shared" si="116"/>
        <v>5.8416630447964014E-3</v>
      </c>
      <c r="T136" s="140">
        <f t="shared" si="116"/>
        <v>5.8890030149710412E-3</v>
      </c>
      <c r="U136" s="140">
        <f t="shared" si="116"/>
        <v>5.7743750685795387E-3</v>
      </c>
      <c r="V136" s="140">
        <f t="shared" si="116"/>
        <v>3.8320547341304787E-3</v>
      </c>
      <c r="W136" s="140">
        <f t="shared" si="116"/>
        <v>4.5036286490692488E-3</v>
      </c>
      <c r="X136" s="140">
        <f t="shared" si="116"/>
        <v>4.7523581774260842E-3</v>
      </c>
      <c r="Y136" s="140">
        <f t="shared" si="116"/>
        <v>5.0225792173834395E-3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4.3748923464328481E-2</v>
      </c>
      <c r="C137" s="140">
        <f t="shared" ref="C137:Y137" si="117">IF(C45=0,0,C45/C$34)</f>
        <v>4.387434243210625E-2</v>
      </c>
      <c r="D137" s="140">
        <f t="shared" si="117"/>
        <v>4.0659582270251592E-2</v>
      </c>
      <c r="E137" s="140">
        <f t="shared" si="117"/>
        <v>3.6946903279008535E-2</v>
      </c>
      <c r="F137" s="140">
        <f t="shared" si="117"/>
        <v>4.2049250325085587E-2</v>
      </c>
      <c r="G137" s="140">
        <f t="shared" si="117"/>
        <v>5.0030377646245988E-2</v>
      </c>
      <c r="H137" s="140">
        <f t="shared" si="117"/>
        <v>4.9136234441862631E-2</v>
      </c>
      <c r="I137" s="140">
        <f t="shared" si="117"/>
        <v>4.7602488330344098E-2</v>
      </c>
      <c r="J137" s="140">
        <f t="shared" si="117"/>
        <v>5.4543594074508685E-2</v>
      </c>
      <c r="K137" s="140">
        <f t="shared" si="117"/>
        <v>4.6043079775127518E-2</v>
      </c>
      <c r="L137" s="140">
        <f t="shared" si="117"/>
        <v>5.244982307861721E-2</v>
      </c>
      <c r="M137" s="140">
        <f t="shared" si="117"/>
        <v>5.5664028757842869E-2</v>
      </c>
      <c r="N137" s="140">
        <f t="shared" si="117"/>
        <v>5.9318960290845671E-2</v>
      </c>
      <c r="O137" s="140">
        <f t="shared" si="117"/>
        <v>6.6347538756219349E-2</v>
      </c>
      <c r="P137" s="140">
        <f t="shared" si="117"/>
        <v>6.611887457248132E-2</v>
      </c>
      <c r="Q137" s="140">
        <f t="shared" si="117"/>
        <v>6.1029936504336121E-2</v>
      </c>
      <c r="R137" s="140">
        <f t="shared" si="117"/>
        <v>6.3049554064322458E-2</v>
      </c>
      <c r="S137" s="140">
        <f t="shared" si="117"/>
        <v>7.3274852023773124E-2</v>
      </c>
      <c r="T137" s="140">
        <f t="shared" si="117"/>
        <v>9.0895522566703288E-2</v>
      </c>
      <c r="U137" s="140">
        <f t="shared" si="117"/>
        <v>9.676140027859248E-2</v>
      </c>
      <c r="V137" s="140">
        <f t="shared" si="117"/>
        <v>2.999171070604122E-2</v>
      </c>
      <c r="W137" s="140">
        <f t="shared" si="117"/>
        <v>5.0099792539720411E-2</v>
      </c>
      <c r="X137" s="140">
        <f t="shared" si="117"/>
        <v>9.2299155972251232E-2</v>
      </c>
      <c r="Y137" s="140">
        <f t="shared" si="117"/>
        <v>8.8947229538134484E-2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8.6266173168215721E-3</v>
      </c>
      <c r="C138" s="140">
        <f t="shared" ref="C138:Y138" si="118">IF(C46=0,0,C46/C$34)</f>
        <v>8.6515851838840294E-3</v>
      </c>
      <c r="D138" s="140">
        <f t="shared" si="118"/>
        <v>8.0166184148870948E-3</v>
      </c>
      <c r="E138" s="140">
        <f t="shared" si="118"/>
        <v>7.2809434970785561E-3</v>
      </c>
      <c r="F138" s="140">
        <f t="shared" si="118"/>
        <v>8.2843412497820637E-3</v>
      </c>
      <c r="G138" s="140">
        <f t="shared" si="118"/>
        <v>8.8756448553775243E-3</v>
      </c>
      <c r="H138" s="140">
        <f t="shared" si="118"/>
        <v>7.7674864763128005E-3</v>
      </c>
      <c r="I138" s="140">
        <f t="shared" si="118"/>
        <v>7.1316115979828077E-3</v>
      </c>
      <c r="J138" s="140">
        <f t="shared" si="118"/>
        <v>8.6883338555298843E-3</v>
      </c>
      <c r="K138" s="140">
        <f t="shared" si="118"/>
        <v>7.4308349861703102E-3</v>
      </c>
      <c r="L138" s="140">
        <f t="shared" si="118"/>
        <v>8.3491123408479199E-3</v>
      </c>
      <c r="M138" s="140">
        <f t="shared" si="118"/>
        <v>9.0654326762065265E-3</v>
      </c>
      <c r="N138" s="140">
        <f t="shared" si="118"/>
        <v>9.3252765001713301E-3</v>
      </c>
      <c r="O138" s="140">
        <f t="shared" si="118"/>
        <v>9.6320880886904599E-3</v>
      </c>
      <c r="P138" s="140">
        <f t="shared" si="118"/>
        <v>9.2719944657052421E-3</v>
      </c>
      <c r="Q138" s="140">
        <f t="shared" si="118"/>
        <v>8.5647678106117609E-3</v>
      </c>
      <c r="R138" s="140">
        <f t="shared" si="118"/>
        <v>8.0572778566393825E-3</v>
      </c>
      <c r="S138" s="140">
        <f t="shared" si="118"/>
        <v>8.1633593969165294E-3</v>
      </c>
      <c r="T138" s="140">
        <f t="shared" si="118"/>
        <v>1.0032177289708399E-2</v>
      </c>
      <c r="U138" s="140">
        <f t="shared" si="118"/>
        <v>1.0613780681045036E-2</v>
      </c>
      <c r="V138" s="140">
        <f t="shared" si="118"/>
        <v>6.8069136951080297E-3</v>
      </c>
      <c r="W138" s="140">
        <f t="shared" si="118"/>
        <v>8.8441820612292325E-3</v>
      </c>
      <c r="X138" s="140">
        <f t="shared" si="118"/>
        <v>1.0024715642904327E-2</v>
      </c>
      <c r="Y138" s="140">
        <f t="shared" si="118"/>
        <v>9.8931061916834335E-3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0.83989721182176058</v>
      </c>
      <c r="C140" s="139">
        <f t="shared" ref="C140:Y140" si="121">IF(C48=0,0,C48/C$47)</f>
        <v>0.84294047108858339</v>
      </c>
      <c r="D140" s="139">
        <f t="shared" si="121"/>
        <v>0.85949417559737229</v>
      </c>
      <c r="E140" s="139">
        <f t="shared" si="121"/>
        <v>0.86777982980285029</v>
      </c>
      <c r="F140" s="139">
        <f t="shared" si="121"/>
        <v>0.89093377468507318</v>
      </c>
      <c r="G140" s="139">
        <f t="shared" si="121"/>
        <v>0.8839039069346083</v>
      </c>
      <c r="H140" s="139">
        <f t="shared" si="121"/>
        <v>0.8867824577817276</v>
      </c>
      <c r="I140" s="139">
        <f t="shared" si="121"/>
        <v>0.88523244051343108</v>
      </c>
      <c r="J140" s="139">
        <f t="shared" si="121"/>
        <v>0.87409101678026324</v>
      </c>
      <c r="K140" s="139">
        <f t="shared" si="121"/>
        <v>0.86430360061270539</v>
      </c>
      <c r="L140" s="139">
        <f t="shared" si="121"/>
        <v>0.87767237835667644</v>
      </c>
      <c r="M140" s="139">
        <f t="shared" si="121"/>
        <v>0.87575056234847637</v>
      </c>
      <c r="N140" s="139">
        <f t="shared" si="121"/>
        <v>0.8737484640553963</v>
      </c>
      <c r="O140" s="139">
        <f t="shared" si="121"/>
        <v>0.87845533852500934</v>
      </c>
      <c r="P140" s="139">
        <f t="shared" si="121"/>
        <v>0.8603214299613845</v>
      </c>
      <c r="Q140" s="139">
        <f t="shared" si="121"/>
        <v>0.87425047298243852</v>
      </c>
      <c r="R140" s="139">
        <f t="shared" si="121"/>
        <v>0.86599251128079635</v>
      </c>
      <c r="S140" s="139">
        <f t="shared" si="121"/>
        <v>0.88550847781154152</v>
      </c>
      <c r="T140" s="139">
        <f t="shared" si="121"/>
        <v>0.87697522095880232</v>
      </c>
      <c r="U140" s="139">
        <f t="shared" si="121"/>
        <v>0.88818973990902972</v>
      </c>
      <c r="V140" s="139">
        <f t="shared" si="121"/>
        <v>0.90021302538337655</v>
      </c>
      <c r="W140" s="139">
        <f t="shared" si="121"/>
        <v>0.89325101208861446</v>
      </c>
      <c r="X140" s="139">
        <f t="shared" si="121"/>
        <v>0.89419564576428034</v>
      </c>
      <c r="Y140" s="139">
        <f t="shared" si="121"/>
        <v>0.91191425846053908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0.29957381621413204</v>
      </c>
      <c r="C141" s="140">
        <f t="shared" ref="C141:Y141" si="122">IF(C49=0,0,C49/C$47)</f>
        <v>0.31281301257054167</v>
      </c>
      <c r="D141" s="140">
        <f t="shared" si="122"/>
        <v>0.27376627720379137</v>
      </c>
      <c r="E141" s="140">
        <f t="shared" si="122"/>
        <v>0.26797909101493933</v>
      </c>
      <c r="F141" s="140">
        <f t="shared" si="122"/>
        <v>0.2678049127652008</v>
      </c>
      <c r="G141" s="140">
        <f t="shared" si="122"/>
        <v>0.28085285599216742</v>
      </c>
      <c r="H141" s="140">
        <f t="shared" si="122"/>
        <v>0.27512165089342872</v>
      </c>
      <c r="I141" s="140">
        <f t="shared" si="122"/>
        <v>0.26212760332091645</v>
      </c>
      <c r="J141" s="140">
        <f t="shared" si="122"/>
        <v>0.26870427193213037</v>
      </c>
      <c r="K141" s="140">
        <f t="shared" si="122"/>
        <v>0.27795386379346315</v>
      </c>
      <c r="L141" s="140">
        <f t="shared" si="122"/>
        <v>0.2680383063686903</v>
      </c>
      <c r="M141" s="140">
        <f t="shared" si="122"/>
        <v>0.27390758083401279</v>
      </c>
      <c r="N141" s="140">
        <f t="shared" si="122"/>
        <v>0.27942478856275743</v>
      </c>
      <c r="O141" s="140">
        <f t="shared" si="122"/>
        <v>0.24515863400340918</v>
      </c>
      <c r="P141" s="140">
        <f t="shared" si="122"/>
        <v>0.25557175535451104</v>
      </c>
      <c r="Q141" s="140">
        <f t="shared" si="122"/>
        <v>0.27568366528708527</v>
      </c>
      <c r="R141" s="140">
        <f t="shared" si="122"/>
        <v>0.29423171013811655</v>
      </c>
      <c r="S141" s="140">
        <f t="shared" si="122"/>
        <v>0.27363908991567798</v>
      </c>
      <c r="T141" s="140">
        <f t="shared" si="122"/>
        <v>0.30807138757385405</v>
      </c>
      <c r="U141" s="140">
        <f t="shared" si="122"/>
        <v>0.29489559568763474</v>
      </c>
      <c r="V141" s="140">
        <f t="shared" si="122"/>
        <v>0.3104676799894977</v>
      </c>
      <c r="W141" s="140">
        <f t="shared" si="122"/>
        <v>0.32965409425580883</v>
      </c>
      <c r="X141" s="140">
        <f t="shared" si="122"/>
        <v>0.34155681349131484</v>
      </c>
      <c r="Y141" s="140">
        <f t="shared" si="122"/>
        <v>0.33892596232845684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0.54032339560762854</v>
      </c>
      <c r="C142" s="140">
        <f t="shared" ref="C142:Y142" si="123">IF(C50=0,0,C50/C$47)</f>
        <v>0.53012745851804177</v>
      </c>
      <c r="D142" s="140">
        <f t="shared" si="123"/>
        <v>0.58572789839358097</v>
      </c>
      <c r="E142" s="140">
        <f t="shared" si="123"/>
        <v>0.59980073878791085</v>
      </c>
      <c r="F142" s="140">
        <f t="shared" si="123"/>
        <v>0.62312886191987238</v>
      </c>
      <c r="G142" s="140">
        <f t="shared" si="123"/>
        <v>0.60305105094244094</v>
      </c>
      <c r="H142" s="140">
        <f t="shared" si="123"/>
        <v>0.61166080688829894</v>
      </c>
      <c r="I142" s="140">
        <f t="shared" si="123"/>
        <v>0.62310483719251475</v>
      </c>
      <c r="J142" s="140">
        <f t="shared" si="123"/>
        <v>0.60538674484813293</v>
      </c>
      <c r="K142" s="140">
        <f t="shared" si="123"/>
        <v>0.58634973681924218</v>
      </c>
      <c r="L142" s="140">
        <f t="shared" si="123"/>
        <v>0.60963407198798614</v>
      </c>
      <c r="M142" s="140">
        <f t="shared" si="123"/>
        <v>0.60184298151446369</v>
      </c>
      <c r="N142" s="140">
        <f t="shared" si="123"/>
        <v>0.59432367549263887</v>
      </c>
      <c r="O142" s="140">
        <f t="shared" si="123"/>
        <v>0.63329670452160025</v>
      </c>
      <c r="P142" s="140">
        <f t="shared" si="123"/>
        <v>0.60474967460687346</v>
      </c>
      <c r="Q142" s="140">
        <f t="shared" si="123"/>
        <v>0.59856680769535331</v>
      </c>
      <c r="R142" s="140">
        <f t="shared" si="123"/>
        <v>0.5717608011426798</v>
      </c>
      <c r="S142" s="140">
        <f t="shared" si="123"/>
        <v>0.61186938789586354</v>
      </c>
      <c r="T142" s="140">
        <f t="shared" si="123"/>
        <v>0.56890383338494832</v>
      </c>
      <c r="U142" s="140">
        <f t="shared" si="123"/>
        <v>0.59329414422139504</v>
      </c>
      <c r="V142" s="140">
        <f t="shared" si="123"/>
        <v>0.58974534539387879</v>
      </c>
      <c r="W142" s="140">
        <f t="shared" si="123"/>
        <v>0.56359691783280552</v>
      </c>
      <c r="X142" s="140">
        <f t="shared" si="123"/>
        <v>0.55263883227296562</v>
      </c>
      <c r="Y142" s="140">
        <f t="shared" si="123"/>
        <v>0.57298829613208235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4.93002006816608E-2</v>
      </c>
      <c r="C143" s="124">
        <f t="shared" ref="C143:Y143" si="124">IF(C51=0,0,C51/C$47)</f>
        <v>5.2568208654658381E-2</v>
      </c>
      <c r="D143" s="124">
        <f t="shared" si="124"/>
        <v>4.3276850209819966E-2</v>
      </c>
      <c r="E143" s="124">
        <f t="shared" si="124"/>
        <v>4.3076886744863589E-2</v>
      </c>
      <c r="F143" s="124">
        <f t="shared" si="124"/>
        <v>4.1299887330134899E-2</v>
      </c>
      <c r="G143" s="124">
        <f t="shared" si="124"/>
        <v>4.4173449970519404E-2</v>
      </c>
      <c r="H143" s="124">
        <f t="shared" si="124"/>
        <v>4.3690612192909158E-2</v>
      </c>
      <c r="I143" s="124">
        <f t="shared" si="124"/>
        <v>4.4814178417439558E-2</v>
      </c>
      <c r="J143" s="124">
        <f t="shared" si="124"/>
        <v>4.034792693787928E-2</v>
      </c>
      <c r="K143" s="124">
        <f t="shared" si="124"/>
        <v>3.5397994200286248E-2</v>
      </c>
      <c r="L143" s="124">
        <f t="shared" si="124"/>
        <v>3.9485113158118187E-2</v>
      </c>
      <c r="M143" s="124">
        <f t="shared" si="124"/>
        <v>3.7554691714989728E-2</v>
      </c>
      <c r="N143" s="124">
        <f t="shared" si="124"/>
        <v>3.7279500495035048E-2</v>
      </c>
      <c r="O143" s="124">
        <f t="shared" si="124"/>
        <v>3.392726565355287E-2</v>
      </c>
      <c r="P143" s="124">
        <f t="shared" si="124"/>
        <v>3.5061507900486968E-2</v>
      </c>
      <c r="Q143" s="124">
        <f t="shared" si="124"/>
        <v>3.0367544280264919E-2</v>
      </c>
      <c r="R143" s="124">
        <f t="shared" si="124"/>
        <v>3.3283819417287974E-2</v>
      </c>
      <c r="S143" s="124">
        <f t="shared" si="124"/>
        <v>2.8545448475226491E-2</v>
      </c>
      <c r="T143" s="124">
        <f t="shared" si="124"/>
        <v>2.6876828756254679E-2</v>
      </c>
      <c r="U143" s="124">
        <f t="shared" si="124"/>
        <v>2.4107205698544781E-2</v>
      </c>
      <c r="V143" s="124">
        <f t="shared" si="124"/>
        <v>2.6570772220675588E-2</v>
      </c>
      <c r="W143" s="124">
        <f t="shared" si="124"/>
        <v>2.4132548956428201E-2</v>
      </c>
      <c r="X143" s="124">
        <f t="shared" si="124"/>
        <v>2.3508335227603958E-2</v>
      </c>
      <c r="Y143" s="124">
        <f t="shared" si="124"/>
        <v>1.6564879021820137E-2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1.7679325237841958E-3</v>
      </c>
      <c r="C144" s="124">
        <f t="shared" ref="C144:Y144" si="125">IF(C52=0,0,C52/C$47)</f>
        <v>1.9370472991343602E-3</v>
      </c>
      <c r="D144" s="124">
        <f t="shared" si="125"/>
        <v>1.5296458350250127E-3</v>
      </c>
      <c r="E144" s="124">
        <f t="shared" si="125"/>
        <v>1.2770010965639591E-3</v>
      </c>
      <c r="F144" s="124">
        <f t="shared" si="125"/>
        <v>1.2151541823442347E-3</v>
      </c>
      <c r="G144" s="124">
        <f t="shared" si="125"/>
        <v>1.3801555937732286E-3</v>
      </c>
      <c r="H144" s="124">
        <f t="shared" si="125"/>
        <v>1.3235197119444845E-3</v>
      </c>
      <c r="I144" s="124">
        <f t="shared" si="125"/>
        <v>1.5297003040459086E-3</v>
      </c>
      <c r="J144" s="124">
        <f t="shared" si="125"/>
        <v>1.5811630475955653E-3</v>
      </c>
      <c r="K144" s="124">
        <f t="shared" si="125"/>
        <v>1.6257049561155148E-3</v>
      </c>
      <c r="L144" s="124">
        <f t="shared" si="125"/>
        <v>1.2523238101823974E-3</v>
      </c>
      <c r="M144" s="124">
        <f t="shared" si="125"/>
        <v>1.233610680986553E-3</v>
      </c>
      <c r="N144" s="124">
        <f t="shared" si="125"/>
        <v>1.2858152633909046E-3</v>
      </c>
      <c r="O144" s="124">
        <f t="shared" si="125"/>
        <v>1.3709558373388275E-3</v>
      </c>
      <c r="P144" s="124">
        <f t="shared" si="125"/>
        <v>1.3996690347244996E-3</v>
      </c>
      <c r="Q144" s="124">
        <f t="shared" si="125"/>
        <v>1.321979418835673E-3</v>
      </c>
      <c r="R144" s="124">
        <f t="shared" si="125"/>
        <v>1.2395450935498284E-3</v>
      </c>
      <c r="S144" s="124">
        <f t="shared" si="125"/>
        <v>9.7007549687080149E-4</v>
      </c>
      <c r="T144" s="124">
        <f t="shared" si="125"/>
        <v>2.3830927335366566E-3</v>
      </c>
      <c r="U144" s="124">
        <f t="shared" si="125"/>
        <v>1.545996420194309E-3</v>
      </c>
      <c r="V144" s="124">
        <f t="shared" si="125"/>
        <v>9.3338571986533315E-4</v>
      </c>
      <c r="W144" s="124">
        <f t="shared" si="125"/>
        <v>1.1430347080902353E-3</v>
      </c>
      <c r="X144" s="124">
        <f t="shared" si="125"/>
        <v>9.5091924174834871E-4</v>
      </c>
      <c r="Y144" s="124">
        <f t="shared" si="125"/>
        <v>1.1438661087444537E-3</v>
      </c>
      <c r="DA144" s="176"/>
    </row>
    <row r="145" spans="1:105" ht="11.45" customHeight="1" x14ac:dyDescent="0.25">
      <c r="A145" s="128" t="s">
        <v>27</v>
      </c>
      <c r="B145" s="140">
        <f t="shared" si="119"/>
        <v>5.2253000281135564E-4</v>
      </c>
      <c r="C145" s="140">
        <f t="shared" ref="C145:Y145" si="126">IF(C53=0,0,C53/C$47)</f>
        <v>5.8291654099304751E-4</v>
      </c>
      <c r="D145" s="140">
        <f t="shared" si="126"/>
        <v>4.5408289285875581E-4</v>
      </c>
      <c r="E145" s="140">
        <f t="shared" si="126"/>
        <v>3.6879815393849486E-4</v>
      </c>
      <c r="F145" s="140">
        <f t="shared" si="126"/>
        <v>3.500558032335708E-4</v>
      </c>
      <c r="G145" s="140">
        <f t="shared" si="126"/>
        <v>4.1103256222867809E-4</v>
      </c>
      <c r="H145" s="140">
        <f t="shared" si="126"/>
        <v>4.9576014034287158E-4</v>
      </c>
      <c r="I145" s="140">
        <f t="shared" si="126"/>
        <v>5.7677580626555613E-4</v>
      </c>
      <c r="J145" s="140">
        <f t="shared" si="126"/>
        <v>5.3278363056314163E-4</v>
      </c>
      <c r="K145" s="140">
        <f t="shared" si="126"/>
        <v>3.7509019490197603E-4</v>
      </c>
      <c r="L145" s="140">
        <f t="shared" si="126"/>
        <v>2.9586297844112937E-4</v>
      </c>
      <c r="M145" s="140">
        <f t="shared" si="126"/>
        <v>2.8374634501865121E-4</v>
      </c>
      <c r="N145" s="140">
        <f t="shared" si="126"/>
        <v>2.3851902277713822E-4</v>
      </c>
      <c r="O145" s="140">
        <f t="shared" si="126"/>
        <v>1.7863904778380818E-4</v>
      </c>
      <c r="P145" s="140">
        <f t="shared" si="126"/>
        <v>1.507209432808327E-4</v>
      </c>
      <c r="Q145" s="140">
        <f t="shared" si="126"/>
        <v>1.4082184392356985E-4</v>
      </c>
      <c r="R145" s="140">
        <f t="shared" si="126"/>
        <v>1.0288751296233563E-4</v>
      </c>
      <c r="S145" s="140">
        <f t="shared" si="126"/>
        <v>7.8621933885150233E-5</v>
      </c>
      <c r="T145" s="140">
        <f t="shared" si="126"/>
        <v>6.7585946263563014E-5</v>
      </c>
      <c r="U145" s="140">
        <f t="shared" si="126"/>
        <v>4.8925905915533436E-5</v>
      </c>
      <c r="V145" s="140">
        <f t="shared" si="126"/>
        <v>9.3859034744497363E-6</v>
      </c>
      <c r="W145" s="140">
        <f t="shared" si="126"/>
        <v>7.3870568948007617E-6</v>
      </c>
      <c r="X145" s="140">
        <f t="shared" si="126"/>
        <v>9.8576224985614384E-6</v>
      </c>
      <c r="Y145" s="140">
        <f t="shared" si="126"/>
        <v>7.4678135848533391E-6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1.082208099769986E-3</v>
      </c>
      <c r="C146" s="140">
        <f t="shared" ref="C146:Y146" si="127">IF(C54=0,0,C54/C$47)</f>
        <v>1.1818836357380103E-3</v>
      </c>
      <c r="D146" s="140">
        <f t="shared" si="127"/>
        <v>9.4187785471932649E-4</v>
      </c>
      <c r="E146" s="140">
        <f t="shared" si="127"/>
        <v>7.7409464309131449E-4</v>
      </c>
      <c r="F146" s="140">
        <f t="shared" si="127"/>
        <v>7.4036646169213852E-4</v>
      </c>
      <c r="G146" s="140">
        <f t="shared" si="127"/>
        <v>8.2730717573894217E-4</v>
      </c>
      <c r="H146" s="140">
        <f t="shared" si="127"/>
        <v>7.2676234662433367E-4</v>
      </c>
      <c r="I146" s="140">
        <f t="shared" si="127"/>
        <v>8.5831936064208344E-4</v>
      </c>
      <c r="J146" s="140">
        <f t="shared" si="127"/>
        <v>9.5690414025989708E-4</v>
      </c>
      <c r="K146" s="140">
        <f t="shared" si="127"/>
        <v>1.1897828321085946E-3</v>
      </c>
      <c r="L146" s="140">
        <f t="shared" si="127"/>
        <v>8.9040720177695622E-4</v>
      </c>
      <c r="M146" s="140">
        <f t="shared" si="127"/>
        <v>6.8886538515124769E-4</v>
      </c>
      <c r="N146" s="140">
        <f t="shared" si="127"/>
        <v>8.3652010696854675E-4</v>
      </c>
      <c r="O146" s="140">
        <f t="shared" si="127"/>
        <v>7.7807965074971365E-4</v>
      </c>
      <c r="P146" s="140">
        <f t="shared" si="127"/>
        <v>7.0996242619024755E-4</v>
      </c>
      <c r="Q146" s="140">
        <f t="shared" si="127"/>
        <v>6.4496867552481772E-4</v>
      </c>
      <c r="R146" s="140">
        <f t="shared" si="127"/>
        <v>6.23465160379767E-4</v>
      </c>
      <c r="S146" s="140">
        <f t="shared" si="127"/>
        <v>4.6542772395616761E-4</v>
      </c>
      <c r="T146" s="140">
        <f t="shared" si="127"/>
        <v>6.1519466178382013E-4</v>
      </c>
      <c r="U146" s="140">
        <f t="shared" si="127"/>
        <v>5.9293811199358823E-4</v>
      </c>
      <c r="V146" s="140">
        <f t="shared" si="127"/>
        <v>7.6920158451993892E-4</v>
      </c>
      <c r="W146" s="140">
        <f t="shared" si="127"/>
        <v>9.1073658654116112E-4</v>
      </c>
      <c r="X146" s="140">
        <f t="shared" si="127"/>
        <v>8.7590680160947614E-4</v>
      </c>
      <c r="Y146" s="140">
        <f t="shared" si="127"/>
        <v>1.0926084319723866E-3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1.6319442120285428E-4</v>
      </c>
      <c r="C147" s="140">
        <f t="shared" ref="C147:Y147" si="128">IF(C55=0,0,C55/C$47)</f>
        <v>1.7224712240330257E-4</v>
      </c>
      <c r="D147" s="140">
        <f t="shared" si="128"/>
        <v>1.336850874469304E-4</v>
      </c>
      <c r="E147" s="140">
        <f t="shared" si="128"/>
        <v>1.3410829953414995E-4</v>
      </c>
      <c r="F147" s="140">
        <f t="shared" si="128"/>
        <v>1.247319174185255E-4</v>
      </c>
      <c r="G147" s="140">
        <f t="shared" si="128"/>
        <v>1.4181585580560832E-4</v>
      </c>
      <c r="H147" s="140">
        <f t="shared" si="128"/>
        <v>1.009972249772791E-4</v>
      </c>
      <c r="I147" s="140">
        <f t="shared" si="128"/>
        <v>9.460513713826909E-5</v>
      </c>
      <c r="J147" s="140">
        <f t="shared" si="128"/>
        <v>9.1475276772526556E-5</v>
      </c>
      <c r="K147" s="140">
        <f t="shared" si="128"/>
        <v>6.0831929104944247E-5</v>
      </c>
      <c r="L147" s="140">
        <f t="shared" si="128"/>
        <v>6.6053629964311821E-5</v>
      </c>
      <c r="M147" s="140">
        <f t="shared" si="128"/>
        <v>2.6099895081665428E-4</v>
      </c>
      <c r="N147" s="140">
        <f t="shared" si="128"/>
        <v>2.1077613364521981E-4</v>
      </c>
      <c r="O147" s="140">
        <f t="shared" si="128"/>
        <v>4.142371388053056E-4</v>
      </c>
      <c r="P147" s="140">
        <f t="shared" si="128"/>
        <v>5.3898566525341937E-4</v>
      </c>
      <c r="Q147" s="140">
        <f t="shared" si="128"/>
        <v>5.3618889938728529E-4</v>
      </c>
      <c r="R147" s="140">
        <f t="shared" si="128"/>
        <v>5.1319242020772581E-4</v>
      </c>
      <c r="S147" s="140">
        <f t="shared" si="128"/>
        <v>4.260258390294836E-4</v>
      </c>
      <c r="T147" s="140">
        <f t="shared" si="128"/>
        <v>1.7003121254892738E-3</v>
      </c>
      <c r="U147" s="140">
        <f t="shared" si="128"/>
        <v>9.0413240228518746E-4</v>
      </c>
      <c r="V147" s="140">
        <f t="shared" si="128"/>
        <v>1.5479823187094442E-4</v>
      </c>
      <c r="W147" s="140">
        <f t="shared" si="128"/>
        <v>2.2491106465427347E-4</v>
      </c>
      <c r="X147" s="140">
        <f t="shared" si="128"/>
        <v>6.5154817640311177E-5</v>
      </c>
      <c r="Y147" s="140">
        <f t="shared" si="128"/>
        <v>4.3789863187213727E-5</v>
      </c>
      <c r="DA147" s="175"/>
    </row>
    <row r="148" spans="1:105" ht="11.45" customHeight="1" x14ac:dyDescent="0.25">
      <c r="A148" s="109" t="s">
        <v>141</v>
      </c>
      <c r="B148" s="124">
        <f t="shared" si="119"/>
        <v>0.10903465497279451</v>
      </c>
      <c r="C148" s="124">
        <f t="shared" ref="C148:Y148" si="129">IF(C56=0,0,C56/C$47)</f>
        <v>0.102554272957624</v>
      </c>
      <c r="D148" s="124">
        <f t="shared" si="129"/>
        <v>9.5699328357782887E-2</v>
      </c>
      <c r="E148" s="124">
        <f t="shared" si="129"/>
        <v>8.7866282355722233E-2</v>
      </c>
      <c r="F148" s="124">
        <f t="shared" si="129"/>
        <v>6.6551183802447719E-2</v>
      </c>
      <c r="G148" s="124">
        <f t="shared" si="129"/>
        <v>7.054248750109908E-2</v>
      </c>
      <c r="H148" s="124">
        <f t="shared" si="129"/>
        <v>6.8203410313418797E-2</v>
      </c>
      <c r="I148" s="124">
        <f t="shared" si="129"/>
        <v>6.8423680765083372E-2</v>
      </c>
      <c r="J148" s="124">
        <f t="shared" si="129"/>
        <v>8.3979893234261804E-2</v>
      </c>
      <c r="K148" s="124">
        <f t="shared" si="129"/>
        <v>9.867270023089289E-2</v>
      </c>
      <c r="L148" s="124">
        <f t="shared" si="129"/>
        <v>8.1590184675023006E-2</v>
      </c>
      <c r="M148" s="124">
        <f t="shared" si="129"/>
        <v>8.5461135255547466E-2</v>
      </c>
      <c r="N148" s="124">
        <f t="shared" si="129"/>
        <v>8.7686220186177791E-2</v>
      </c>
      <c r="O148" s="124">
        <f t="shared" si="129"/>
        <v>8.6246439984098935E-2</v>
      </c>
      <c r="P148" s="124">
        <f t="shared" si="129"/>
        <v>0.10321739310340396</v>
      </c>
      <c r="Q148" s="124">
        <f t="shared" si="129"/>
        <v>9.4060003318460927E-2</v>
      </c>
      <c r="R148" s="124">
        <f t="shared" si="129"/>
        <v>9.9484124208365846E-2</v>
      </c>
      <c r="S148" s="124">
        <f t="shared" si="129"/>
        <v>8.4975998216361107E-2</v>
      </c>
      <c r="T148" s="124">
        <f t="shared" si="129"/>
        <v>9.3764857551406428E-2</v>
      </c>
      <c r="U148" s="124">
        <f t="shared" si="129"/>
        <v>8.615705797223111E-2</v>
      </c>
      <c r="V148" s="124">
        <f t="shared" si="129"/>
        <v>7.2282816676082565E-2</v>
      </c>
      <c r="W148" s="124">
        <f t="shared" si="129"/>
        <v>8.1473404246866998E-2</v>
      </c>
      <c r="X148" s="124">
        <f t="shared" si="129"/>
        <v>8.1345099766367251E-2</v>
      </c>
      <c r="Y148" s="124">
        <f t="shared" si="129"/>
        <v>7.0376996408896331E-2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7.424889826460411E-2</v>
      </c>
      <c r="C149" s="140">
        <f t="shared" ref="C149:Y149" si="130">IF(C57=0,0,C57/C$47)</f>
        <v>6.6745228959049496E-2</v>
      </c>
      <c r="D149" s="140">
        <f t="shared" si="130"/>
        <v>6.2582971832334383E-2</v>
      </c>
      <c r="E149" s="140">
        <f t="shared" si="130"/>
        <v>5.6459517972224982E-2</v>
      </c>
      <c r="F149" s="140">
        <f t="shared" si="130"/>
        <v>3.0807283585748631E-2</v>
      </c>
      <c r="G149" s="140">
        <f t="shared" si="130"/>
        <v>4.4999567712768723E-2</v>
      </c>
      <c r="H149" s="140">
        <f t="shared" si="130"/>
        <v>3.7305989340035636E-2</v>
      </c>
      <c r="I149" s="140">
        <f t="shared" si="130"/>
        <v>3.8560724291890378E-2</v>
      </c>
      <c r="J149" s="140">
        <f t="shared" si="130"/>
        <v>1.2216804609283021E-2</v>
      </c>
      <c r="K149" s="140">
        <f t="shared" si="130"/>
        <v>1.2757153123342102E-2</v>
      </c>
      <c r="L149" s="140">
        <f t="shared" si="130"/>
        <v>1.0122170426574281E-2</v>
      </c>
      <c r="M149" s="140">
        <f t="shared" si="130"/>
        <v>1.1323501031168019E-2</v>
      </c>
      <c r="N149" s="140">
        <f t="shared" si="130"/>
        <v>9.1340085156702746E-3</v>
      </c>
      <c r="O149" s="140">
        <f t="shared" si="130"/>
        <v>8.4034771509541636E-3</v>
      </c>
      <c r="P149" s="140">
        <f t="shared" si="130"/>
        <v>1.0024831134693922E-2</v>
      </c>
      <c r="Q149" s="140">
        <f t="shared" si="130"/>
        <v>1.0660703485747856E-2</v>
      </c>
      <c r="R149" s="140">
        <f t="shared" si="130"/>
        <v>5.7074508843214826E-3</v>
      </c>
      <c r="S149" s="140">
        <f t="shared" si="130"/>
        <v>5.7864750441700471E-3</v>
      </c>
      <c r="T149" s="140">
        <f t="shared" si="130"/>
        <v>6.3058796116097085E-3</v>
      </c>
      <c r="U149" s="140">
        <f t="shared" si="130"/>
        <v>4.5838235721768995E-3</v>
      </c>
      <c r="V149" s="140">
        <f t="shared" si="130"/>
        <v>3.333920901519316E-3</v>
      </c>
      <c r="W149" s="140">
        <f t="shared" si="130"/>
        <v>4.0827086836633733E-3</v>
      </c>
      <c r="X149" s="140">
        <f t="shared" si="130"/>
        <v>5.6197022679449595E-3</v>
      </c>
      <c r="Y149" s="140">
        <f t="shared" si="130"/>
        <v>4.6605301679410061E-3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3.4785756708190403E-2</v>
      </c>
      <c r="C150" s="127">
        <f t="shared" ref="C150:Y150" si="131">IF(C58=0,0,C58/C$47)</f>
        <v>3.58090439985745E-2</v>
      </c>
      <c r="D150" s="127">
        <f t="shared" si="131"/>
        <v>3.3116356525448518E-2</v>
      </c>
      <c r="E150" s="127">
        <f t="shared" si="131"/>
        <v>3.1406764383497245E-2</v>
      </c>
      <c r="F150" s="127">
        <f t="shared" si="131"/>
        <v>3.5743900216699098E-2</v>
      </c>
      <c r="G150" s="127">
        <f t="shared" si="131"/>
        <v>2.5542919788330346E-2</v>
      </c>
      <c r="H150" s="127">
        <f t="shared" si="131"/>
        <v>3.0897420973383157E-2</v>
      </c>
      <c r="I150" s="127">
        <f t="shared" si="131"/>
        <v>2.9862956473192998E-2</v>
      </c>
      <c r="J150" s="127">
        <f t="shared" si="131"/>
        <v>7.176308862497878E-2</v>
      </c>
      <c r="K150" s="127">
        <f t="shared" si="131"/>
        <v>8.5915547107550796E-2</v>
      </c>
      <c r="L150" s="127">
        <f t="shared" si="131"/>
        <v>7.146801424844873E-2</v>
      </c>
      <c r="M150" s="127">
        <f t="shared" si="131"/>
        <v>7.4137634224379426E-2</v>
      </c>
      <c r="N150" s="127">
        <f t="shared" si="131"/>
        <v>7.8552211670507521E-2</v>
      </c>
      <c r="O150" s="127">
        <f t="shared" si="131"/>
        <v>7.7842962833144777E-2</v>
      </c>
      <c r="P150" s="127">
        <f t="shared" si="131"/>
        <v>9.3192561968710022E-2</v>
      </c>
      <c r="Q150" s="127">
        <f t="shared" si="131"/>
        <v>8.3399299832713075E-2</v>
      </c>
      <c r="R150" s="127">
        <f t="shared" si="131"/>
        <v>9.3776673324044366E-2</v>
      </c>
      <c r="S150" s="127">
        <f t="shared" si="131"/>
        <v>7.9189523172191065E-2</v>
      </c>
      <c r="T150" s="127">
        <f t="shared" si="131"/>
        <v>8.7458977939796706E-2</v>
      </c>
      <c r="U150" s="127">
        <f t="shared" si="131"/>
        <v>8.1573234400054206E-2</v>
      </c>
      <c r="V150" s="127">
        <f t="shared" si="131"/>
        <v>6.8948895774563243E-2</v>
      </c>
      <c r="W150" s="127">
        <f t="shared" si="131"/>
        <v>7.7390695563203618E-2</v>
      </c>
      <c r="X150" s="127">
        <f t="shared" si="131"/>
        <v>7.5725397498422289E-2</v>
      </c>
      <c r="Y150" s="127">
        <f t="shared" si="131"/>
        <v>6.5716466240955326E-2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0.47823469432278115</v>
      </c>
      <c r="C152" s="140">
        <f t="shared" si="133"/>
        <v>0.47616024995155865</v>
      </c>
      <c r="D152" s="140">
        <f t="shared" si="133"/>
        <v>0.47511098866959112</v>
      </c>
      <c r="E152" s="140">
        <f t="shared" si="133"/>
        <v>0.47531306795625927</v>
      </c>
      <c r="F152" s="140">
        <f t="shared" si="133"/>
        <v>0.47557768182299914</v>
      </c>
      <c r="G152" s="140">
        <f t="shared" si="133"/>
        <v>0.47216248861181481</v>
      </c>
      <c r="H152" s="140">
        <f t="shared" si="133"/>
        <v>0.48573190646871522</v>
      </c>
      <c r="I152" s="140">
        <f t="shared" si="133"/>
        <v>0.45246654376477929</v>
      </c>
      <c r="J152" s="140">
        <f t="shared" si="133"/>
        <v>0.4158569639736282</v>
      </c>
      <c r="K152" s="140">
        <f t="shared" si="133"/>
        <v>0.50910546825550718</v>
      </c>
      <c r="L152" s="140">
        <f t="shared" si="133"/>
        <v>0.47317009065276588</v>
      </c>
      <c r="M152" s="140">
        <f t="shared" si="133"/>
        <v>0.49126348956837246</v>
      </c>
      <c r="N152" s="140">
        <f t="shared" si="133"/>
        <v>0.47812989455006488</v>
      </c>
      <c r="O152" s="140">
        <f t="shared" si="133"/>
        <v>0.41508578916433753</v>
      </c>
      <c r="P152" s="140">
        <f t="shared" si="133"/>
        <v>0.39723123457247583</v>
      </c>
      <c r="Q152" s="140">
        <f t="shared" si="133"/>
        <v>0.36338310882204561</v>
      </c>
      <c r="R152" s="140">
        <f t="shared" si="133"/>
        <v>0.34492946742386005</v>
      </c>
      <c r="S152" s="140">
        <f t="shared" si="133"/>
        <v>0.35263504158745623</v>
      </c>
      <c r="T152" s="140">
        <f t="shared" si="133"/>
        <v>0.33077911542317989</v>
      </c>
      <c r="U152" s="140">
        <f t="shared" si="133"/>
        <v>0.35500080921706523</v>
      </c>
      <c r="V152" s="140">
        <f t="shared" si="133"/>
        <v>0.38148003081326293</v>
      </c>
      <c r="W152" s="140">
        <f t="shared" si="133"/>
        <v>0.40557007939344414</v>
      </c>
      <c r="X152" s="140">
        <f t="shared" si="133"/>
        <v>0.4334801792632153</v>
      </c>
      <c r="Y152" s="140">
        <f t="shared" si="133"/>
        <v>0.45929661151627771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0.52176530567721879</v>
      </c>
      <c r="C153" s="127">
        <f t="shared" si="134"/>
        <v>0.52383975004844141</v>
      </c>
      <c r="D153" s="127">
        <f t="shared" si="134"/>
        <v>0.52488901133040888</v>
      </c>
      <c r="E153" s="127">
        <f t="shared" si="134"/>
        <v>0.52468693204374073</v>
      </c>
      <c r="F153" s="127">
        <f t="shared" si="134"/>
        <v>0.52442231817700091</v>
      </c>
      <c r="G153" s="127">
        <f t="shared" si="134"/>
        <v>0.52783751138818513</v>
      </c>
      <c r="H153" s="127">
        <f t="shared" si="134"/>
        <v>0.51426809353128489</v>
      </c>
      <c r="I153" s="127">
        <f t="shared" si="134"/>
        <v>0.54753345623522065</v>
      </c>
      <c r="J153" s="127">
        <f t="shared" si="134"/>
        <v>0.58414303602637174</v>
      </c>
      <c r="K153" s="127">
        <f t="shared" si="134"/>
        <v>0.49089453174449288</v>
      </c>
      <c r="L153" s="127">
        <f t="shared" si="134"/>
        <v>0.52682990934723417</v>
      </c>
      <c r="M153" s="127">
        <f t="shared" si="134"/>
        <v>0.5087365104316276</v>
      </c>
      <c r="N153" s="127">
        <f t="shared" si="134"/>
        <v>0.52187010544993506</v>
      </c>
      <c r="O153" s="127">
        <f t="shared" si="134"/>
        <v>0.58491421083566253</v>
      </c>
      <c r="P153" s="127">
        <f t="shared" si="134"/>
        <v>0.60276876542752422</v>
      </c>
      <c r="Q153" s="127">
        <f t="shared" si="134"/>
        <v>0.63661689117795439</v>
      </c>
      <c r="R153" s="127">
        <f t="shared" si="134"/>
        <v>0.6550705325761399</v>
      </c>
      <c r="S153" s="127">
        <f t="shared" si="134"/>
        <v>0.64736495841254371</v>
      </c>
      <c r="T153" s="127">
        <f t="shared" si="134"/>
        <v>0.66922088457682016</v>
      </c>
      <c r="U153" s="127">
        <f t="shared" si="134"/>
        <v>0.64499919078293477</v>
      </c>
      <c r="V153" s="127">
        <f t="shared" si="134"/>
        <v>0.61851996918673713</v>
      </c>
      <c r="W153" s="127">
        <f t="shared" si="134"/>
        <v>0.59442992060655586</v>
      </c>
      <c r="X153" s="127">
        <f t="shared" si="134"/>
        <v>0.56651982073678475</v>
      </c>
      <c r="Y153" s="127">
        <f t="shared" si="134"/>
        <v>0.54070338848372235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0.92340170063657112</v>
      </c>
      <c r="C157" s="139">
        <f t="shared" ref="C157:W157" si="138">IF(C65=0,0,C65/C$64)</f>
        <v>0.9240447974237157</v>
      </c>
      <c r="D157" s="139">
        <f t="shared" si="138"/>
        <v>0.92715388428255585</v>
      </c>
      <c r="E157" s="139">
        <f t="shared" si="138"/>
        <v>0.93355870619957459</v>
      </c>
      <c r="F157" s="139">
        <f t="shared" si="138"/>
        <v>0.92596130162095314</v>
      </c>
      <c r="G157" s="139">
        <f t="shared" si="138"/>
        <v>0.91865748977578443</v>
      </c>
      <c r="H157" s="139">
        <f t="shared" si="138"/>
        <v>0.92103672635282641</v>
      </c>
      <c r="I157" s="139">
        <f t="shared" si="138"/>
        <v>0.92518586117268609</v>
      </c>
      <c r="J157" s="139">
        <f t="shared" si="138"/>
        <v>0.9156747173141655</v>
      </c>
      <c r="K157" s="139">
        <f t="shared" si="138"/>
        <v>0.92734751231113111</v>
      </c>
      <c r="L157" s="139">
        <f t="shared" si="138"/>
        <v>0.92115933664801219</v>
      </c>
      <c r="M157" s="139">
        <f t="shared" si="138"/>
        <v>0.91657518260775839</v>
      </c>
      <c r="N157" s="139">
        <f t="shared" si="138"/>
        <v>0.91266444286907311</v>
      </c>
      <c r="O157" s="139">
        <f t="shared" si="138"/>
        <v>0.90572105634878974</v>
      </c>
      <c r="P157" s="139">
        <f t="shared" si="138"/>
        <v>0.90830110207964354</v>
      </c>
      <c r="Q157" s="139">
        <f t="shared" si="138"/>
        <v>0.91551490722227902</v>
      </c>
      <c r="R157" s="139">
        <f t="shared" si="138"/>
        <v>0.91555242898298494</v>
      </c>
      <c r="S157" s="139">
        <f t="shared" si="138"/>
        <v>0.90620973141196104</v>
      </c>
      <c r="T157" s="139">
        <f t="shared" si="138"/>
        <v>0.88622574500806028</v>
      </c>
      <c r="U157" s="139">
        <f t="shared" si="138"/>
        <v>0.87872384022703875</v>
      </c>
      <c r="V157" s="139">
        <f t="shared" si="138"/>
        <v>0.95284005600923993</v>
      </c>
      <c r="W157" s="139">
        <f t="shared" si="138"/>
        <v>0.92901502196929198</v>
      </c>
      <c r="X157" s="139">
        <f t="shared" ref="X157:Y157" si="139">IF(X65=0,0,X65/X$64)</f>
        <v>0.88683007389234492</v>
      </c>
      <c r="Y157" s="139">
        <f t="shared" si="139"/>
        <v>0.89172281037258005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4.5501127533877162E-3</v>
      </c>
      <c r="C158" s="140">
        <f t="shared" ref="C158:W158" si="140">IF(C66=0,0,C66/C$64)</f>
        <v>4.5338178057970522E-3</v>
      </c>
      <c r="D158" s="140">
        <f t="shared" si="140"/>
        <v>4.599726350253173E-3</v>
      </c>
      <c r="E158" s="140">
        <f t="shared" si="140"/>
        <v>4.7055436220995667E-3</v>
      </c>
      <c r="F158" s="140">
        <f t="shared" si="140"/>
        <v>5.0014135859205453E-3</v>
      </c>
      <c r="G158" s="140">
        <f t="shared" si="140"/>
        <v>5.1678244749181349E-3</v>
      </c>
      <c r="H158" s="140">
        <f t="shared" si="140"/>
        <v>5.2172824007242925E-3</v>
      </c>
      <c r="I158" s="140">
        <f t="shared" si="140"/>
        <v>4.7809765132676924E-3</v>
      </c>
      <c r="J158" s="140">
        <f t="shared" si="140"/>
        <v>4.8120188188557267E-3</v>
      </c>
      <c r="K158" s="140">
        <f t="shared" si="140"/>
        <v>4.7591034036742587E-3</v>
      </c>
      <c r="L158" s="140">
        <f t="shared" si="140"/>
        <v>4.9098023204701665E-3</v>
      </c>
      <c r="M158" s="140">
        <f t="shared" si="140"/>
        <v>4.9442355706268912E-3</v>
      </c>
      <c r="N158" s="140">
        <f t="shared" si="140"/>
        <v>4.9979681068020466E-3</v>
      </c>
      <c r="O158" s="140">
        <f t="shared" si="140"/>
        <v>4.9873516039191197E-3</v>
      </c>
      <c r="P158" s="140">
        <f t="shared" si="140"/>
        <v>4.8966722520353521E-3</v>
      </c>
      <c r="Q158" s="140">
        <f t="shared" si="140"/>
        <v>4.6469074398949534E-3</v>
      </c>
      <c r="R158" s="140">
        <f t="shared" si="140"/>
        <v>4.5746149390032522E-3</v>
      </c>
      <c r="S158" s="140">
        <f t="shared" si="140"/>
        <v>4.5519859274012735E-3</v>
      </c>
      <c r="T158" s="140">
        <f t="shared" si="140"/>
        <v>4.6378724466774575E-3</v>
      </c>
      <c r="U158" s="140">
        <f t="shared" si="140"/>
        <v>4.73659888201243E-3</v>
      </c>
      <c r="V158" s="140">
        <f t="shared" si="140"/>
        <v>5.3208542851356372E-3</v>
      </c>
      <c r="W158" s="140">
        <f t="shared" si="140"/>
        <v>5.7657004381005909E-3</v>
      </c>
      <c r="X158" s="140">
        <f t="shared" ref="X158:Y158" si="141">IF(X66=0,0,X66/X$64)</f>
        <v>5.4648471725811483E-3</v>
      </c>
      <c r="Y158" s="140">
        <f t="shared" si="141"/>
        <v>5.2028528898500999E-3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0.77232013130676291</v>
      </c>
      <c r="C159" s="140">
        <f t="shared" ref="C159:W159" si="142">IF(C67=0,0,C67/C$64)</f>
        <v>0.77763763962080956</v>
      </c>
      <c r="D159" s="140">
        <f t="shared" si="142"/>
        <v>0.78379077540059716</v>
      </c>
      <c r="E159" s="140">
        <f t="shared" si="142"/>
        <v>0.79835811464368323</v>
      </c>
      <c r="F159" s="140">
        <f t="shared" si="142"/>
        <v>0.79604111893874208</v>
      </c>
      <c r="G159" s="140">
        <f t="shared" si="142"/>
        <v>0.79576033335973562</v>
      </c>
      <c r="H159" s="140">
        <f t="shared" si="142"/>
        <v>0.80558309237809134</v>
      </c>
      <c r="I159" s="140">
        <f t="shared" si="142"/>
        <v>0.81603218485824991</v>
      </c>
      <c r="J159" s="140">
        <f t="shared" si="142"/>
        <v>0.80622006905561272</v>
      </c>
      <c r="K159" s="140">
        <f t="shared" si="142"/>
        <v>0.81605220712715754</v>
      </c>
      <c r="L159" s="140">
        <f t="shared" si="142"/>
        <v>0.80609946445845404</v>
      </c>
      <c r="M159" s="140">
        <f t="shared" si="142"/>
        <v>0.80477241390202692</v>
      </c>
      <c r="N159" s="140">
        <f t="shared" si="142"/>
        <v>0.80467406402900532</v>
      </c>
      <c r="O159" s="140">
        <f t="shared" si="142"/>
        <v>0.79559497970926696</v>
      </c>
      <c r="P159" s="140">
        <f t="shared" si="142"/>
        <v>0.7980883457441672</v>
      </c>
      <c r="Q159" s="140">
        <f t="shared" si="142"/>
        <v>0.80349830341796991</v>
      </c>
      <c r="R159" s="140">
        <f t="shared" si="142"/>
        <v>0.80241011238126125</v>
      </c>
      <c r="S159" s="140">
        <f t="shared" si="142"/>
        <v>0.79203937533772673</v>
      </c>
      <c r="T159" s="140">
        <f t="shared" si="142"/>
        <v>0.77131420573946896</v>
      </c>
      <c r="U159" s="140">
        <f t="shared" si="142"/>
        <v>0.7838723402358504</v>
      </c>
      <c r="V159" s="140">
        <f t="shared" si="142"/>
        <v>0.86437253053061291</v>
      </c>
      <c r="W159" s="140">
        <f t="shared" si="142"/>
        <v>0.84214244640122915</v>
      </c>
      <c r="X159" s="140">
        <f t="shared" ref="X159:Y159" si="143">IF(X67=0,0,X67/X$64)</f>
        <v>0.79792795699860364</v>
      </c>
      <c r="Y159" s="140">
        <f t="shared" si="143"/>
        <v>0.80211499940365805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0.1465314565764205</v>
      </c>
      <c r="C160" s="140">
        <f t="shared" ref="C160:W160" si="144">IF(C68=0,0,C68/C$64)</f>
        <v>0.1418733399971091</v>
      </c>
      <c r="D160" s="140">
        <f t="shared" si="144"/>
        <v>0.13876338253170556</v>
      </c>
      <c r="E160" s="140">
        <f t="shared" si="144"/>
        <v>0.13049504793379171</v>
      </c>
      <c r="F160" s="140">
        <f t="shared" si="144"/>
        <v>0.12491876909629043</v>
      </c>
      <c r="G160" s="140">
        <f t="shared" si="144"/>
        <v>0.1177293319411306</v>
      </c>
      <c r="H160" s="140">
        <f t="shared" si="144"/>
        <v>0.1102363515740109</v>
      </c>
      <c r="I160" s="140">
        <f t="shared" si="144"/>
        <v>0.10437269980116853</v>
      </c>
      <c r="J160" s="140">
        <f t="shared" si="144"/>
        <v>0.10464262943969699</v>
      </c>
      <c r="K160" s="140">
        <f t="shared" si="144"/>
        <v>0.10653620178029916</v>
      </c>
      <c r="L160" s="140">
        <f t="shared" si="144"/>
        <v>0.110150069869088</v>
      </c>
      <c r="M160" s="140">
        <f t="shared" si="144"/>
        <v>0.10685853313510446</v>
      </c>
      <c r="N160" s="140">
        <f t="shared" si="144"/>
        <v>0.10299241073326576</v>
      </c>
      <c r="O160" s="140">
        <f t="shared" si="144"/>
        <v>0.10513872503560372</v>
      </c>
      <c r="P160" s="140">
        <f t="shared" si="144"/>
        <v>0.10531608408344091</v>
      </c>
      <c r="Q160" s="140">
        <f t="shared" si="144"/>
        <v>0.1073696963644141</v>
      </c>
      <c r="R160" s="140">
        <f t="shared" si="144"/>
        <v>0.10856770166272042</v>
      </c>
      <c r="S160" s="140">
        <f t="shared" si="144"/>
        <v>0.10961837014683315</v>
      </c>
      <c r="T160" s="140">
        <f t="shared" si="144"/>
        <v>0.11027366682191385</v>
      </c>
      <c r="U160" s="140">
        <f t="shared" si="144"/>
        <v>9.0114901109176082E-2</v>
      </c>
      <c r="V160" s="140">
        <f t="shared" si="144"/>
        <v>8.3146671193491395E-2</v>
      </c>
      <c r="W160" s="140">
        <f t="shared" si="144"/>
        <v>8.1106875129962216E-2</v>
      </c>
      <c r="X160" s="140">
        <f t="shared" ref="X160:Y160" si="145">IF(X68=0,0,X68/X$64)</f>
        <v>8.3437269721160209E-2</v>
      </c>
      <c r="Y160" s="140">
        <f t="shared" si="145"/>
        <v>8.4404958079071876E-2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1.6242187151586325E-2</v>
      </c>
      <c r="C161" s="124">
        <f t="shared" ref="C161:W161" si="146">IF(C69=0,0,C69/C$64)</f>
        <v>1.5520524544917532E-2</v>
      </c>
      <c r="D161" s="124">
        <f t="shared" si="146"/>
        <v>1.5177941246344534E-2</v>
      </c>
      <c r="E161" s="124">
        <f t="shared" si="146"/>
        <v>1.3202731355697491E-2</v>
      </c>
      <c r="F161" s="124">
        <f t="shared" si="146"/>
        <v>1.40577076493091E-2</v>
      </c>
      <c r="G161" s="124">
        <f t="shared" si="146"/>
        <v>1.3139240250381327E-2</v>
      </c>
      <c r="H161" s="124">
        <f t="shared" si="146"/>
        <v>1.2661378604654666E-2</v>
      </c>
      <c r="I161" s="124">
        <f t="shared" si="146"/>
        <v>1.1443637907312332E-2</v>
      </c>
      <c r="J161" s="124">
        <f t="shared" si="146"/>
        <v>1.2128105274565242E-2</v>
      </c>
      <c r="K161" s="124">
        <f t="shared" si="146"/>
        <v>1.0873195125268319E-2</v>
      </c>
      <c r="L161" s="124">
        <f t="shared" si="146"/>
        <v>1.0862695376218002E-2</v>
      </c>
      <c r="M161" s="124">
        <f t="shared" si="146"/>
        <v>1.0697701873971198E-2</v>
      </c>
      <c r="N161" s="124">
        <f t="shared" si="146"/>
        <v>1.0295391358271934E-2</v>
      </c>
      <c r="O161" s="124">
        <f t="shared" si="146"/>
        <v>9.8802766252769382E-3</v>
      </c>
      <c r="P161" s="124">
        <f t="shared" si="146"/>
        <v>8.1736053820805534E-3</v>
      </c>
      <c r="Q161" s="124">
        <f t="shared" si="146"/>
        <v>6.8897461332452581E-3</v>
      </c>
      <c r="R161" s="124">
        <f t="shared" si="146"/>
        <v>6.3868017944645932E-3</v>
      </c>
      <c r="S161" s="124">
        <f t="shared" si="146"/>
        <v>5.9903997555894222E-3</v>
      </c>
      <c r="T161" s="124">
        <f t="shared" si="146"/>
        <v>5.1418281843211028E-3</v>
      </c>
      <c r="U161" s="124">
        <f t="shared" si="146"/>
        <v>4.8818645196497673E-3</v>
      </c>
      <c r="V161" s="124">
        <f t="shared" si="146"/>
        <v>5.1083148340305331E-3</v>
      </c>
      <c r="W161" s="124">
        <f t="shared" si="146"/>
        <v>4.7167711022417722E-3</v>
      </c>
      <c r="X161" s="124">
        <f t="shared" ref="X161:Y161" si="147">IF(X69=0,0,X69/X$64)</f>
        <v>4.8234896701750312E-3</v>
      </c>
      <c r="Y161" s="124">
        <f t="shared" si="147"/>
        <v>4.1108903958212324E-3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1.6242187151586325E-2</v>
      </c>
      <c r="C163" s="140">
        <f t="shared" ref="C163:W163" si="150">IF(C71=0,0,C71/C$64)</f>
        <v>1.5520524544917532E-2</v>
      </c>
      <c r="D163" s="140">
        <f t="shared" si="150"/>
        <v>1.5177941246344534E-2</v>
      </c>
      <c r="E163" s="140">
        <f t="shared" si="150"/>
        <v>1.3202731355697491E-2</v>
      </c>
      <c r="F163" s="140">
        <f t="shared" si="150"/>
        <v>1.40577076493091E-2</v>
      </c>
      <c r="G163" s="140">
        <f t="shared" si="150"/>
        <v>1.3139240250381327E-2</v>
      </c>
      <c r="H163" s="140">
        <f t="shared" si="150"/>
        <v>1.2661378604654666E-2</v>
      </c>
      <c r="I163" s="140">
        <f t="shared" si="150"/>
        <v>1.1443637907312332E-2</v>
      </c>
      <c r="J163" s="140">
        <f t="shared" si="150"/>
        <v>1.2128105274565242E-2</v>
      </c>
      <c r="K163" s="140">
        <f t="shared" si="150"/>
        <v>1.0873195125268319E-2</v>
      </c>
      <c r="L163" s="140">
        <f t="shared" si="150"/>
        <v>1.0862695376218002E-2</v>
      </c>
      <c r="M163" s="140">
        <f t="shared" si="150"/>
        <v>1.0697701873971198E-2</v>
      </c>
      <c r="N163" s="140">
        <f t="shared" si="150"/>
        <v>1.0295391358271934E-2</v>
      </c>
      <c r="O163" s="140">
        <f t="shared" si="150"/>
        <v>9.8802766252769382E-3</v>
      </c>
      <c r="P163" s="140">
        <f t="shared" si="150"/>
        <v>8.1736053820805534E-3</v>
      </c>
      <c r="Q163" s="140">
        <f t="shared" si="150"/>
        <v>6.8897461332452581E-3</v>
      </c>
      <c r="R163" s="140">
        <f t="shared" si="150"/>
        <v>6.3868017944645932E-3</v>
      </c>
      <c r="S163" s="140">
        <f t="shared" si="150"/>
        <v>5.9903997555894222E-3</v>
      </c>
      <c r="T163" s="140">
        <f t="shared" si="150"/>
        <v>5.1418281843211028E-3</v>
      </c>
      <c r="U163" s="140">
        <f t="shared" si="150"/>
        <v>4.8818645196497673E-3</v>
      </c>
      <c r="V163" s="140">
        <f t="shared" si="150"/>
        <v>5.1083148340305331E-3</v>
      </c>
      <c r="W163" s="140">
        <f t="shared" si="150"/>
        <v>4.7167711022417722E-3</v>
      </c>
      <c r="X163" s="140">
        <f t="shared" ref="X163:Y163" si="151">IF(X71=0,0,X71/X$64)</f>
        <v>4.8234896701750312E-3</v>
      </c>
      <c r="Y163" s="140">
        <f t="shared" si="151"/>
        <v>4.1108903958212324E-3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6.0356112211842651E-2</v>
      </c>
      <c r="C165" s="124">
        <f t="shared" ref="C165:W165" si="154">IF(C73=0,0,C73/C$64)</f>
        <v>6.0434678031366817E-2</v>
      </c>
      <c r="D165" s="124">
        <f t="shared" si="154"/>
        <v>5.7668174471099669E-2</v>
      </c>
      <c r="E165" s="124">
        <f t="shared" si="154"/>
        <v>5.3238562444727876E-2</v>
      </c>
      <c r="F165" s="124">
        <f t="shared" si="154"/>
        <v>5.9980990729737726E-2</v>
      </c>
      <c r="G165" s="124">
        <f t="shared" si="154"/>
        <v>6.8203269973834371E-2</v>
      </c>
      <c r="H165" s="124">
        <f t="shared" si="154"/>
        <v>6.6301895042518905E-2</v>
      </c>
      <c r="I165" s="124">
        <f t="shared" si="154"/>
        <v>6.3370500920001557E-2</v>
      </c>
      <c r="J165" s="124">
        <f t="shared" si="154"/>
        <v>7.2197177411269242E-2</v>
      </c>
      <c r="K165" s="124">
        <f t="shared" si="154"/>
        <v>6.1779292563600575E-2</v>
      </c>
      <c r="L165" s="124">
        <f t="shared" si="154"/>
        <v>6.7977967975769826E-2</v>
      </c>
      <c r="M165" s="124">
        <f t="shared" si="154"/>
        <v>7.2727115518270338E-2</v>
      </c>
      <c r="N165" s="124">
        <f t="shared" si="154"/>
        <v>7.7040165772654837E-2</v>
      </c>
      <c r="O165" s="124">
        <f t="shared" si="154"/>
        <v>8.4398667025933335E-2</v>
      </c>
      <c r="P165" s="124">
        <f t="shared" si="154"/>
        <v>8.3525292538276036E-2</v>
      </c>
      <c r="Q165" s="124">
        <f t="shared" si="154"/>
        <v>7.7595346644475566E-2</v>
      </c>
      <c r="R165" s="124">
        <f t="shared" si="154"/>
        <v>7.806076922255048E-2</v>
      </c>
      <c r="S165" s="124">
        <f t="shared" si="154"/>
        <v>8.7799868832449446E-2</v>
      </c>
      <c r="T165" s="124">
        <f t="shared" si="154"/>
        <v>0.1086324268076185</v>
      </c>
      <c r="U165" s="124">
        <f t="shared" si="154"/>
        <v>0.11639429525331153</v>
      </c>
      <c r="V165" s="124">
        <f t="shared" si="154"/>
        <v>4.2051629156729581E-2</v>
      </c>
      <c r="W165" s="124">
        <f t="shared" si="154"/>
        <v>6.6268206928466272E-2</v>
      </c>
      <c r="X165" s="124">
        <f t="shared" ref="X165:Y165" si="155">IF(X73=0,0,X73/X$64)</f>
        <v>0.10834643643747999</v>
      </c>
      <c r="Y165" s="124">
        <f t="shared" si="155"/>
        <v>0.1041662992315987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6.6367120008220485E-3</v>
      </c>
      <c r="C166" s="140">
        <f t="shared" ref="C166:W166" si="156">IF(C74=0,0,C74/C$64)</f>
        <v>6.6300308048336861E-3</v>
      </c>
      <c r="D166" s="140">
        <f t="shared" si="156"/>
        <v>7.8040307826233307E-3</v>
      </c>
      <c r="E166" s="140">
        <f t="shared" si="156"/>
        <v>8.1032665402652627E-3</v>
      </c>
      <c r="F166" s="140">
        <f t="shared" si="156"/>
        <v>8.7270080595542917E-3</v>
      </c>
      <c r="G166" s="140">
        <f t="shared" si="156"/>
        <v>8.3066617101950138E-3</v>
      </c>
      <c r="H166" s="140">
        <f t="shared" si="156"/>
        <v>8.4792719755499204E-3</v>
      </c>
      <c r="I166" s="140">
        <f t="shared" si="156"/>
        <v>7.7600422519751629E-3</v>
      </c>
      <c r="J166" s="140">
        <f t="shared" si="156"/>
        <v>7.8356935145323381E-3</v>
      </c>
      <c r="K166" s="140">
        <f t="shared" si="156"/>
        <v>7.2299121211614773E-3</v>
      </c>
      <c r="L166" s="140">
        <f t="shared" si="156"/>
        <v>6.1834111968098546E-3</v>
      </c>
      <c r="M166" s="140">
        <f t="shared" si="156"/>
        <v>6.923339571935137E-3</v>
      </c>
      <c r="N166" s="140">
        <f t="shared" si="156"/>
        <v>6.3532506407470019E-3</v>
      </c>
      <c r="O166" s="140">
        <f t="shared" si="156"/>
        <v>6.414044788973775E-3</v>
      </c>
      <c r="P166" s="140">
        <f t="shared" si="156"/>
        <v>6.3576022330355175E-3</v>
      </c>
      <c r="Q166" s="140">
        <f t="shared" si="156"/>
        <v>6.6369611765567174E-3</v>
      </c>
      <c r="R166" s="140">
        <f t="shared" si="156"/>
        <v>6.3746357761466374E-3</v>
      </c>
      <c r="S166" s="140">
        <f t="shared" si="156"/>
        <v>5.8691951417070244E-3</v>
      </c>
      <c r="T166" s="140">
        <f t="shared" si="156"/>
        <v>5.9816765465878592E-3</v>
      </c>
      <c r="U166" s="140">
        <f t="shared" si="156"/>
        <v>5.9341220488302272E-3</v>
      </c>
      <c r="V166" s="140">
        <f t="shared" si="156"/>
        <v>3.9588111617088577E-3</v>
      </c>
      <c r="W166" s="140">
        <f t="shared" si="156"/>
        <v>4.6955987434296525E-3</v>
      </c>
      <c r="X166" s="140">
        <f t="shared" ref="X166:Y166" si="157">IF(X74=0,0,X74/X$64)</f>
        <v>4.8027295787287337E-3</v>
      </c>
      <c r="Y166" s="140">
        <f t="shared" si="157"/>
        <v>5.0305625719597839E-3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4.4871439861627081E-2</v>
      </c>
      <c r="C167" s="140">
        <f t="shared" ref="C167:W167" si="158">IF(C75=0,0,C75/C$64)</f>
        <v>4.494244317042672E-2</v>
      </c>
      <c r="D167" s="140">
        <f t="shared" si="158"/>
        <v>4.1651879647547178E-2</v>
      </c>
      <c r="E167" s="140">
        <f t="shared" si="158"/>
        <v>3.7704964944240638E-2</v>
      </c>
      <c r="F167" s="140">
        <f t="shared" si="158"/>
        <v>4.2818155431059338E-2</v>
      </c>
      <c r="G167" s="140">
        <f t="shared" si="158"/>
        <v>5.0871707236327911E-2</v>
      </c>
      <c r="H167" s="140">
        <f t="shared" si="158"/>
        <v>4.992970437113451E-2</v>
      </c>
      <c r="I167" s="140">
        <f t="shared" si="158"/>
        <v>4.8364661394930279E-2</v>
      </c>
      <c r="J167" s="140">
        <f t="shared" si="158"/>
        <v>5.5517944282527001E-2</v>
      </c>
      <c r="K167" s="140">
        <f t="shared" si="158"/>
        <v>4.6969096738225163E-2</v>
      </c>
      <c r="L167" s="140">
        <f t="shared" si="158"/>
        <v>5.3308722396483856E-2</v>
      </c>
      <c r="M167" s="140">
        <f t="shared" si="158"/>
        <v>5.6587884334298948E-2</v>
      </c>
      <c r="N167" s="140">
        <f t="shared" si="158"/>
        <v>6.1084142060717578E-2</v>
      </c>
      <c r="O167" s="140">
        <f t="shared" si="158"/>
        <v>6.8098356903189161E-2</v>
      </c>
      <c r="P167" s="140">
        <f t="shared" si="158"/>
        <v>6.7677172334436431E-2</v>
      </c>
      <c r="Q167" s="140">
        <f t="shared" si="158"/>
        <v>6.2225794364459283E-2</v>
      </c>
      <c r="R167" s="140">
        <f t="shared" si="158"/>
        <v>6.3563213608155034E-2</v>
      </c>
      <c r="S167" s="140">
        <f t="shared" si="158"/>
        <v>7.371794991769666E-2</v>
      </c>
      <c r="T167" s="140">
        <f t="shared" si="158"/>
        <v>9.244730237699747E-2</v>
      </c>
      <c r="U167" s="140">
        <f t="shared" si="158"/>
        <v>9.9541448393918985E-2</v>
      </c>
      <c r="V167" s="140">
        <f t="shared" si="158"/>
        <v>3.1046507739807321E-2</v>
      </c>
      <c r="W167" s="140">
        <f t="shared" si="158"/>
        <v>5.2334015768087126E-2</v>
      </c>
      <c r="X167" s="140">
        <f t="shared" ref="X167:Y167" si="159">IF(X75=0,0,X75/X$64)</f>
        <v>9.3399483409357442E-2</v>
      </c>
      <c r="Y167" s="140">
        <f t="shared" si="159"/>
        <v>8.9213063259929906E-2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8.8479603493935143E-3</v>
      </c>
      <c r="C168" s="140">
        <f t="shared" ref="C168:W168" si="160">IF(C76=0,0,C76/C$64)</f>
        <v>8.8622040561064132E-3</v>
      </c>
      <c r="D168" s="140">
        <f t="shared" si="160"/>
        <v>8.2122640409291528E-3</v>
      </c>
      <c r="E168" s="140">
        <f t="shared" si="160"/>
        <v>7.4303309602219711E-3</v>
      </c>
      <c r="F168" s="140">
        <f t="shared" si="160"/>
        <v>8.4358272391240972E-3</v>
      </c>
      <c r="G168" s="140">
        <f t="shared" si="160"/>
        <v>9.0249010273114518E-3</v>
      </c>
      <c r="H168" s="140">
        <f t="shared" si="160"/>
        <v>7.8929186958344756E-3</v>
      </c>
      <c r="I168" s="140">
        <f t="shared" si="160"/>
        <v>7.2457972730960996E-3</v>
      </c>
      <c r="J168" s="140">
        <f t="shared" si="160"/>
        <v>8.8435396142098853E-3</v>
      </c>
      <c r="K168" s="140">
        <f t="shared" si="160"/>
        <v>7.5802837042139347E-3</v>
      </c>
      <c r="L168" s="140">
        <f t="shared" si="160"/>
        <v>8.4858343824761179E-3</v>
      </c>
      <c r="M168" s="140">
        <f t="shared" si="160"/>
        <v>9.2158916120362588E-3</v>
      </c>
      <c r="N168" s="140">
        <f t="shared" si="160"/>
        <v>9.602773071190257E-3</v>
      </c>
      <c r="O168" s="140">
        <f t="shared" si="160"/>
        <v>9.8862653337704071E-3</v>
      </c>
      <c r="P168" s="140">
        <f t="shared" si="160"/>
        <v>9.4905179708040747E-3</v>
      </c>
      <c r="Q168" s="140">
        <f t="shared" si="160"/>
        <v>8.7325911034595617E-3</v>
      </c>
      <c r="R168" s="140">
        <f t="shared" si="160"/>
        <v>8.1229198382488203E-3</v>
      </c>
      <c r="S168" s="140">
        <f t="shared" si="160"/>
        <v>8.2127237730457523E-3</v>
      </c>
      <c r="T168" s="140">
        <f t="shared" si="160"/>
        <v>1.020344788403319E-2</v>
      </c>
      <c r="U168" s="140">
        <f t="shared" si="160"/>
        <v>1.0918724810562311E-2</v>
      </c>
      <c r="V168" s="140">
        <f t="shared" si="160"/>
        <v>7.0463102552134043E-3</v>
      </c>
      <c r="W168" s="140">
        <f t="shared" si="160"/>
        <v>9.2385924169494961E-3</v>
      </c>
      <c r="X168" s="140">
        <f t="shared" ref="X168:Y168" si="161">IF(X76=0,0,X76/X$64)</f>
        <v>1.0144223449393818E-2</v>
      </c>
      <c r="Y168" s="140">
        <f t="shared" si="161"/>
        <v>9.9226733997090106E-3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0.85616348433913469</v>
      </c>
      <c r="C170" s="139">
        <f t="shared" ref="C170:W170" si="165">IF(C78=0,0,C78/C$77)</f>
        <v>0.85770989962522604</v>
      </c>
      <c r="D170" s="139">
        <f t="shared" si="165"/>
        <v>0.87243044624163768</v>
      </c>
      <c r="E170" s="139">
        <f t="shared" si="165"/>
        <v>0.8805970928462884</v>
      </c>
      <c r="F170" s="139">
        <f t="shared" si="165"/>
        <v>0.90373961358618671</v>
      </c>
      <c r="G170" s="139">
        <f t="shared" si="165"/>
        <v>0.89742966278361225</v>
      </c>
      <c r="H170" s="139">
        <f t="shared" si="165"/>
        <v>0.90047407550848457</v>
      </c>
      <c r="I170" s="139">
        <f t="shared" si="165"/>
        <v>0.89806722314034582</v>
      </c>
      <c r="J170" s="139">
        <f t="shared" si="165"/>
        <v>0.88567715343849407</v>
      </c>
      <c r="K170" s="139">
        <f t="shared" si="165"/>
        <v>0.87416584274948095</v>
      </c>
      <c r="L170" s="139">
        <f t="shared" si="165"/>
        <v>0.88955678583856124</v>
      </c>
      <c r="M170" s="139">
        <f t="shared" si="165"/>
        <v>0.88745081360376621</v>
      </c>
      <c r="N170" s="139">
        <f t="shared" si="165"/>
        <v>0.88222695954240515</v>
      </c>
      <c r="O170" s="139">
        <f t="shared" si="165"/>
        <v>0.88718475377417427</v>
      </c>
      <c r="P170" s="139">
        <f t="shared" si="165"/>
        <v>0.86937796606417506</v>
      </c>
      <c r="Q170" s="139">
        <f t="shared" si="165"/>
        <v>0.88436524475900069</v>
      </c>
      <c r="R170" s="139">
        <f t="shared" si="165"/>
        <v>0.87941826295485792</v>
      </c>
      <c r="S170" s="139">
        <f t="shared" si="165"/>
        <v>0.89841356361637414</v>
      </c>
      <c r="T170" s="139">
        <f t="shared" si="165"/>
        <v>0.8884950561581082</v>
      </c>
      <c r="U170" s="139">
        <f t="shared" si="165"/>
        <v>0.89683588159866701</v>
      </c>
      <c r="V170" s="139">
        <f t="shared" si="165"/>
        <v>0.91005994902862175</v>
      </c>
      <c r="W170" s="139">
        <f t="shared" si="165"/>
        <v>0.898335604950668</v>
      </c>
      <c r="X170" s="139">
        <f t="shared" ref="X170:Y170" si="166">IF(X78=0,0,X78/X$77)</f>
        <v>0.90442284845389764</v>
      </c>
      <c r="Y170" s="139">
        <f t="shared" si="166"/>
        <v>0.92119719913621856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0.30332064362243694</v>
      </c>
      <c r="C171" s="140">
        <f t="shared" ref="C171:W171" si="167">IF(C79=0,0,C79/C$77)</f>
        <v>0.31608041642067874</v>
      </c>
      <c r="D171" s="140">
        <f t="shared" si="167"/>
        <v>0.27607014982781303</v>
      </c>
      <c r="E171" s="140">
        <f t="shared" si="167"/>
        <v>0.27036459641432742</v>
      </c>
      <c r="F171" s="140">
        <f t="shared" si="167"/>
        <v>0.27027068937205245</v>
      </c>
      <c r="G171" s="140">
        <f t="shared" si="167"/>
        <v>0.28392876301630643</v>
      </c>
      <c r="H171" s="140">
        <f t="shared" si="167"/>
        <v>0.2782334946551267</v>
      </c>
      <c r="I171" s="140">
        <f t="shared" si="167"/>
        <v>0.26505854266154838</v>
      </c>
      <c r="J171" s="140">
        <f t="shared" si="167"/>
        <v>0.27142259100807564</v>
      </c>
      <c r="K171" s="140">
        <f t="shared" si="167"/>
        <v>0.28030871275747493</v>
      </c>
      <c r="L171" s="140">
        <f t="shared" si="167"/>
        <v>0.27091725678249901</v>
      </c>
      <c r="M171" s="140">
        <f t="shared" si="167"/>
        <v>0.27682429535285025</v>
      </c>
      <c r="N171" s="140">
        <f t="shared" si="167"/>
        <v>0.28176320749181966</v>
      </c>
      <c r="O171" s="140">
        <f t="shared" si="167"/>
        <v>0.24721260905671977</v>
      </c>
      <c r="P171" s="140">
        <f t="shared" si="167"/>
        <v>0.25786275839529987</v>
      </c>
      <c r="Q171" s="140">
        <f t="shared" si="167"/>
        <v>0.27845314807370869</v>
      </c>
      <c r="R171" s="140">
        <f t="shared" si="167"/>
        <v>0.29824275797087646</v>
      </c>
      <c r="S171" s="140">
        <f t="shared" si="167"/>
        <v>0.27709302171715039</v>
      </c>
      <c r="T171" s="140">
        <f t="shared" si="167"/>
        <v>0.31167080874896735</v>
      </c>
      <c r="U171" s="140">
        <f t="shared" si="167"/>
        <v>0.29746814128447974</v>
      </c>
      <c r="V171" s="140">
        <f t="shared" si="167"/>
        <v>0.31359569358870865</v>
      </c>
      <c r="W171" s="140">
        <f t="shared" si="167"/>
        <v>0.3313323889040809</v>
      </c>
      <c r="X171" s="140">
        <f t="shared" ref="X171:Y171" si="168">IF(X79=0,0,X79/X$77)</f>
        <v>0.34495864350997874</v>
      </c>
      <c r="Y171" s="140">
        <f t="shared" si="168"/>
        <v>0.34177934859226122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0.55284284071669776</v>
      </c>
      <c r="C172" s="140">
        <f t="shared" ref="C172:W172" si="169">IF(C80=0,0,C80/C$77)</f>
        <v>0.54162948320454729</v>
      </c>
      <c r="D172" s="140">
        <f t="shared" si="169"/>
        <v>0.59636029641382471</v>
      </c>
      <c r="E172" s="140">
        <f t="shared" si="169"/>
        <v>0.61023249643196098</v>
      </c>
      <c r="F172" s="140">
        <f t="shared" si="169"/>
        <v>0.63346892421413437</v>
      </c>
      <c r="G172" s="140">
        <f t="shared" si="169"/>
        <v>0.61350089976730593</v>
      </c>
      <c r="H172" s="140">
        <f t="shared" si="169"/>
        <v>0.62224058085335787</v>
      </c>
      <c r="I172" s="140">
        <f t="shared" si="169"/>
        <v>0.63300868047879744</v>
      </c>
      <c r="J172" s="140">
        <f t="shared" si="169"/>
        <v>0.61425456243041832</v>
      </c>
      <c r="K172" s="140">
        <f t="shared" si="169"/>
        <v>0.59385712999200613</v>
      </c>
      <c r="L172" s="140">
        <f t="shared" si="169"/>
        <v>0.61863952905606223</v>
      </c>
      <c r="M172" s="140">
        <f t="shared" si="169"/>
        <v>0.61062651825091596</v>
      </c>
      <c r="N172" s="140">
        <f t="shared" si="169"/>
        <v>0.60046375205058544</v>
      </c>
      <c r="O172" s="140">
        <f t="shared" si="169"/>
        <v>0.63997214471745445</v>
      </c>
      <c r="P172" s="140">
        <f t="shared" si="169"/>
        <v>0.61151520766887524</v>
      </c>
      <c r="Q172" s="140">
        <f t="shared" si="169"/>
        <v>0.605912096685292</v>
      </c>
      <c r="R172" s="140">
        <f t="shared" si="169"/>
        <v>0.58117550498398152</v>
      </c>
      <c r="S172" s="140">
        <f t="shared" si="169"/>
        <v>0.6213205418992237</v>
      </c>
      <c r="T172" s="140">
        <f t="shared" si="169"/>
        <v>0.57682424740914084</v>
      </c>
      <c r="U172" s="140">
        <f t="shared" si="169"/>
        <v>0.59936774031418727</v>
      </c>
      <c r="V172" s="140">
        <f t="shared" si="169"/>
        <v>0.5964642554399131</v>
      </c>
      <c r="W172" s="140">
        <f t="shared" si="169"/>
        <v>0.56700321604658721</v>
      </c>
      <c r="X172" s="140">
        <f t="shared" ref="X172:Y172" si="170">IF(X80=0,0,X80/X$77)</f>
        <v>0.5594642049439188</v>
      </c>
      <c r="Y172" s="140">
        <f t="shared" si="170"/>
        <v>0.57941785054395734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3.0554333101480202E-2</v>
      </c>
      <c r="C173" s="124">
        <f t="shared" ref="C173:W173" si="171">IF(C81=0,0,C81/C$77)</f>
        <v>3.5131235046563611E-2</v>
      </c>
      <c r="D173" s="124">
        <f t="shared" si="171"/>
        <v>2.779260508531519E-2</v>
      </c>
      <c r="E173" s="124">
        <f t="shared" si="171"/>
        <v>2.8008251775404513E-2</v>
      </c>
      <c r="F173" s="124">
        <f t="shared" si="171"/>
        <v>2.7406627101661436E-2</v>
      </c>
      <c r="G173" s="124">
        <f t="shared" si="171"/>
        <v>2.9443555951121678E-2</v>
      </c>
      <c r="H173" s="124">
        <f t="shared" si="171"/>
        <v>2.8836899972315564E-2</v>
      </c>
      <c r="I173" s="124">
        <f t="shared" si="171"/>
        <v>3.075437831557554E-2</v>
      </c>
      <c r="J173" s="124">
        <f t="shared" si="171"/>
        <v>2.7122016299640707E-2</v>
      </c>
      <c r="K173" s="124">
        <f t="shared" si="171"/>
        <v>2.3797948262345936E-2</v>
      </c>
      <c r="L173" s="124">
        <f t="shared" si="171"/>
        <v>2.6029432258208043E-2</v>
      </c>
      <c r="M173" s="124">
        <f t="shared" si="171"/>
        <v>2.4220067605003705E-2</v>
      </c>
      <c r="N173" s="124">
        <f t="shared" si="171"/>
        <v>2.4777814683659739E-2</v>
      </c>
      <c r="O173" s="124">
        <f t="shared" si="171"/>
        <v>2.1855160409723538E-2</v>
      </c>
      <c r="P173" s="124">
        <f t="shared" si="171"/>
        <v>2.213409635878795E-2</v>
      </c>
      <c r="Q173" s="124">
        <f t="shared" si="171"/>
        <v>1.724634731193302E-2</v>
      </c>
      <c r="R173" s="124">
        <f t="shared" si="171"/>
        <v>1.8170438020447013E-2</v>
      </c>
      <c r="S173" s="124">
        <f t="shared" si="171"/>
        <v>1.4322754519461646E-2</v>
      </c>
      <c r="T173" s="124">
        <f t="shared" si="171"/>
        <v>1.2264692080874698E-2</v>
      </c>
      <c r="U173" s="124">
        <f t="shared" si="171"/>
        <v>1.0973115407001693E-2</v>
      </c>
      <c r="V173" s="124">
        <f t="shared" si="171"/>
        <v>1.2356848583418836E-2</v>
      </c>
      <c r="W173" s="124">
        <f t="shared" si="171"/>
        <v>1.3352477721641986E-2</v>
      </c>
      <c r="X173" s="124">
        <f t="shared" ref="X173:Y173" si="172">IF(X81=0,0,X81/X$77)</f>
        <v>1.1187110973030219E-2</v>
      </c>
      <c r="Y173" s="124">
        <f t="shared" si="172"/>
        <v>6.5036034703335978E-3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1.755190602976377E-3</v>
      </c>
      <c r="C174" s="124">
        <f t="shared" ref="C174:W174" si="173">IF(C82=0,0,C82/C$77)</f>
        <v>1.9203169052821394E-3</v>
      </c>
      <c r="D174" s="124">
        <f t="shared" si="173"/>
        <v>1.510545174040029E-3</v>
      </c>
      <c r="E174" s="124">
        <f t="shared" si="173"/>
        <v>1.2601733105112192E-3</v>
      </c>
      <c r="F174" s="124">
        <f t="shared" si="173"/>
        <v>1.1982399086311931E-3</v>
      </c>
      <c r="G174" s="124">
        <f t="shared" si="173"/>
        <v>1.3619124600230889E-3</v>
      </c>
      <c r="H174" s="124">
        <f t="shared" si="173"/>
        <v>1.3059135340427954E-3</v>
      </c>
      <c r="I174" s="124">
        <f t="shared" si="173"/>
        <v>1.5106602812703727E-3</v>
      </c>
      <c r="J174" s="124">
        <f t="shared" si="173"/>
        <v>1.560864916162246E-3</v>
      </c>
      <c r="K174" s="124">
        <f t="shared" si="173"/>
        <v>1.6045438117706027E-3</v>
      </c>
      <c r="L174" s="124">
        <f t="shared" si="173"/>
        <v>1.2355596287792949E-3</v>
      </c>
      <c r="M174" s="124">
        <f t="shared" si="173"/>
        <v>1.2170018169671685E-3</v>
      </c>
      <c r="N174" s="124">
        <f t="shared" si="173"/>
        <v>1.3012257275958363E-3</v>
      </c>
      <c r="O174" s="124">
        <f t="shared" si="173"/>
        <v>1.3813950644199222E-3</v>
      </c>
      <c r="P174" s="124">
        <f t="shared" si="173"/>
        <v>1.4087127301780731E-3</v>
      </c>
      <c r="Q174" s="124">
        <f t="shared" si="173"/>
        <v>1.3235632034313096E-3</v>
      </c>
      <c r="R174" s="124">
        <f t="shared" si="173"/>
        <v>1.2232145103074537E-3</v>
      </c>
      <c r="S174" s="124">
        <f t="shared" si="173"/>
        <v>9.5592342576958074E-4</v>
      </c>
      <c r="T174" s="124">
        <f t="shared" si="173"/>
        <v>2.3883797146821636E-3</v>
      </c>
      <c r="U174" s="124">
        <f t="shared" si="173"/>
        <v>1.5776124218053566E-3</v>
      </c>
      <c r="V174" s="124">
        <f t="shared" si="173"/>
        <v>9.6003713231910658E-4</v>
      </c>
      <c r="W174" s="124">
        <f t="shared" si="173"/>
        <v>1.1860313048949751E-3</v>
      </c>
      <c r="X174" s="124">
        <f t="shared" ref="X174:Y174" si="174">IF(X82=0,0,X82/X$77)</f>
        <v>9.4649299678015598E-4</v>
      </c>
      <c r="Y174" s="124">
        <f t="shared" si="174"/>
        <v>1.1225268213990826E-3</v>
      </c>
      <c r="DA174" s="176"/>
    </row>
    <row r="175" spans="1:105" ht="11.45" customHeight="1" x14ac:dyDescent="0.25">
      <c r="A175" s="128" t="s">
        <v>27</v>
      </c>
      <c r="B175" s="140">
        <f t="shared" si="162"/>
        <v>5.1876400166257861E-4</v>
      </c>
      <c r="C175" s="140">
        <f t="shared" ref="C175:W175" si="175">IF(C83=0,0,C83/C$77)</f>
        <v>5.7788185582137094E-4</v>
      </c>
      <c r="D175" s="140">
        <f t="shared" si="175"/>
        <v>4.4797083221854035E-4</v>
      </c>
      <c r="E175" s="140">
        <f t="shared" si="175"/>
        <v>3.6360801934975386E-4</v>
      </c>
      <c r="F175" s="140">
        <f t="shared" si="175"/>
        <v>3.4489691274918914E-4</v>
      </c>
      <c r="G175" s="140">
        <f t="shared" si="175"/>
        <v>4.052676436296614E-4</v>
      </c>
      <c r="H175" s="140">
        <f t="shared" si="175"/>
        <v>4.888373129976882E-4</v>
      </c>
      <c r="I175" s="140">
        <f t="shared" si="175"/>
        <v>5.6921636548612888E-4</v>
      </c>
      <c r="J175" s="140">
        <f t="shared" si="175"/>
        <v>5.2557022719400758E-4</v>
      </c>
      <c r="K175" s="140">
        <f t="shared" si="175"/>
        <v>3.6987601972797451E-4</v>
      </c>
      <c r="L175" s="140">
        <f t="shared" si="175"/>
        <v>2.9158804241988695E-4</v>
      </c>
      <c r="M175" s="140">
        <f t="shared" si="175"/>
        <v>2.7965108783422065E-4</v>
      </c>
      <c r="N175" s="140">
        <f t="shared" si="175"/>
        <v>2.4110044940196365E-4</v>
      </c>
      <c r="O175" s="140">
        <f t="shared" si="175"/>
        <v>1.7977858732874294E-4</v>
      </c>
      <c r="P175" s="140">
        <f t="shared" si="175"/>
        <v>1.5150395537357096E-4</v>
      </c>
      <c r="Q175" s="140">
        <f t="shared" si="175"/>
        <v>1.4086075389360027E-4</v>
      </c>
      <c r="R175" s="140">
        <f t="shared" si="175"/>
        <v>1.0141323645867268E-4</v>
      </c>
      <c r="S175" s="140">
        <f t="shared" si="175"/>
        <v>7.7380532606117895E-5</v>
      </c>
      <c r="T175" s="140">
        <f t="shared" si="175"/>
        <v>6.7649470081562491E-5</v>
      </c>
      <c r="U175" s="140">
        <f t="shared" si="175"/>
        <v>4.9876345752895188E-5</v>
      </c>
      <c r="V175" s="140">
        <f t="shared" si="175"/>
        <v>9.6345925281978254E-6</v>
      </c>
      <c r="W175" s="140">
        <f t="shared" si="175"/>
        <v>7.6505691008811898E-6</v>
      </c>
      <c r="X175" s="140">
        <f t="shared" ref="X175:Y175" si="176">IF(X83=0,0,X83/X$77)</f>
        <v>9.7990519127060358E-6</v>
      </c>
      <c r="Y175" s="140">
        <f t="shared" si="176"/>
        <v>7.3183418407652299E-6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1.0744083620993798E-3</v>
      </c>
      <c r="C176" s="140">
        <f t="shared" ref="C176:W176" si="177">IF(C84=0,0,C84/C$77)</f>
        <v>1.1716756357979838E-3</v>
      </c>
      <c r="D176" s="140">
        <f t="shared" si="177"/>
        <v>9.3050364820018261E-4</v>
      </c>
      <c r="E176" s="140">
        <f t="shared" si="177"/>
        <v>7.6417544636376048E-4</v>
      </c>
      <c r="F176" s="140">
        <f t="shared" si="177"/>
        <v>7.303059972444012E-4</v>
      </c>
      <c r="G176" s="140">
        <f t="shared" si="177"/>
        <v>8.1665495037753957E-4</v>
      </c>
      <c r="H176" s="140">
        <f t="shared" si="177"/>
        <v>7.1738250109112695E-4</v>
      </c>
      <c r="I176" s="140">
        <f t="shared" si="177"/>
        <v>8.4797855628491558E-4</v>
      </c>
      <c r="J176" s="140">
        <f t="shared" si="177"/>
        <v>9.4496110679760789E-4</v>
      </c>
      <c r="K176" s="140">
        <f t="shared" si="177"/>
        <v>1.1746115493665745E-3</v>
      </c>
      <c r="L176" s="140">
        <f t="shared" si="177"/>
        <v>8.7878046949088596E-4</v>
      </c>
      <c r="M176" s="140">
        <f t="shared" si="177"/>
        <v>6.7979020434323471E-4</v>
      </c>
      <c r="N176" s="140">
        <f t="shared" si="177"/>
        <v>8.4676720561422184E-4</v>
      </c>
      <c r="O176" s="140">
        <f t="shared" si="177"/>
        <v>7.8414842181257632E-4</v>
      </c>
      <c r="P176" s="140">
        <f t="shared" si="177"/>
        <v>7.1465819764866649E-4</v>
      </c>
      <c r="Q176" s="140">
        <f t="shared" si="177"/>
        <v>6.4581225115121403E-4</v>
      </c>
      <c r="R176" s="140">
        <f t="shared" si="177"/>
        <v>6.1531636533217269E-4</v>
      </c>
      <c r="S176" s="140">
        <f t="shared" si="177"/>
        <v>4.5868706586741032E-4</v>
      </c>
      <c r="T176" s="140">
        <f t="shared" si="177"/>
        <v>6.1658245433169787E-4</v>
      </c>
      <c r="U176" s="140">
        <f t="shared" si="177"/>
        <v>6.0508368571766339E-4</v>
      </c>
      <c r="V176" s="140">
        <f t="shared" si="177"/>
        <v>7.9118104416341345E-4</v>
      </c>
      <c r="W176" s="140">
        <f t="shared" si="177"/>
        <v>9.4500653246918742E-4</v>
      </c>
      <c r="X176" s="140">
        <f t="shared" ref="X176:Y176" si="178">IF(X84=0,0,X84/X$77)</f>
        <v>8.7184152509575056E-4</v>
      </c>
      <c r="Y176" s="140">
        <f t="shared" si="178"/>
        <v>1.0722351426982679E-3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1.6201823921441858E-4</v>
      </c>
      <c r="C177" s="140">
        <f t="shared" ref="C177:W177" si="179">IF(C85=0,0,C85/C$77)</f>
        <v>1.7075941366278454E-4</v>
      </c>
      <c r="D177" s="140">
        <f t="shared" si="179"/>
        <v>1.3207069362130601E-4</v>
      </c>
      <c r="E177" s="140">
        <f t="shared" si="179"/>
        <v>1.3238984479770489E-4</v>
      </c>
      <c r="F177" s="140">
        <f t="shared" si="179"/>
        <v>1.2303699863760296E-4</v>
      </c>
      <c r="G177" s="140">
        <f t="shared" si="179"/>
        <v>1.3998986601588818E-4</v>
      </c>
      <c r="H177" s="140">
        <f t="shared" si="179"/>
        <v>9.9693719953980096E-5</v>
      </c>
      <c r="I177" s="140">
        <f t="shared" si="179"/>
        <v>9.3465359499328202E-5</v>
      </c>
      <c r="J177" s="140">
        <f t="shared" si="179"/>
        <v>9.0333582170630758E-5</v>
      </c>
      <c r="K177" s="140">
        <f t="shared" si="179"/>
        <v>6.0056242676053673E-5</v>
      </c>
      <c r="L177" s="140">
        <f t="shared" si="179"/>
        <v>6.5191116868522001E-5</v>
      </c>
      <c r="M177" s="140">
        <f t="shared" si="179"/>
        <v>2.5756052478971325E-4</v>
      </c>
      <c r="N177" s="140">
        <f t="shared" si="179"/>
        <v>2.1335807257965092E-4</v>
      </c>
      <c r="O177" s="140">
        <f t="shared" si="179"/>
        <v>4.1746805527860287E-4</v>
      </c>
      <c r="P177" s="140">
        <f t="shared" si="179"/>
        <v>5.4255057715583554E-4</v>
      </c>
      <c r="Q177" s="140">
        <f t="shared" si="179"/>
        <v>5.3689019838649521E-4</v>
      </c>
      <c r="R177" s="140">
        <f t="shared" si="179"/>
        <v>5.0648490851660849E-4</v>
      </c>
      <c r="S177" s="140">
        <f t="shared" si="179"/>
        <v>4.1985582729605253E-4</v>
      </c>
      <c r="T177" s="140">
        <f t="shared" si="179"/>
        <v>1.7041477902689031E-3</v>
      </c>
      <c r="U177" s="140">
        <f t="shared" si="179"/>
        <v>9.2265239033479795E-4</v>
      </c>
      <c r="V177" s="140">
        <f t="shared" si="179"/>
        <v>1.592214956274954E-4</v>
      </c>
      <c r="W177" s="140">
        <f t="shared" si="179"/>
        <v>2.3337420332490645E-4</v>
      </c>
      <c r="X177" s="140">
        <f t="shared" ref="X177:Y177" si="180">IF(X85=0,0,X85/X$77)</f>
        <v>6.4852419771699437E-5</v>
      </c>
      <c r="Y177" s="140">
        <f t="shared" si="180"/>
        <v>4.2973336860049407E-5</v>
      </c>
      <c r="DA177" s="175"/>
    </row>
    <row r="178" spans="1:105" ht="11.45" customHeight="1" x14ac:dyDescent="0.25">
      <c r="A178" s="109" t="s">
        <v>141</v>
      </c>
      <c r="B178" s="124">
        <f t="shared" si="162"/>
        <v>0.11152699195640882</v>
      </c>
      <c r="C178" s="124">
        <f t="shared" ref="C178:W178" si="181">IF(C86=0,0,C86/C$77)</f>
        <v>0.10523854842292821</v>
      </c>
      <c r="D178" s="124">
        <f t="shared" si="181"/>
        <v>9.8266403499007116E-2</v>
      </c>
      <c r="E178" s="124">
        <f t="shared" si="181"/>
        <v>9.0134482067795924E-2</v>
      </c>
      <c r="F178" s="124">
        <f t="shared" si="181"/>
        <v>6.7655519403520686E-2</v>
      </c>
      <c r="G178" s="124">
        <f t="shared" si="181"/>
        <v>7.1764868805243048E-2</v>
      </c>
      <c r="H178" s="124">
        <f t="shared" si="181"/>
        <v>6.9383110985157134E-2</v>
      </c>
      <c r="I178" s="124">
        <f t="shared" si="181"/>
        <v>6.9667738262808171E-2</v>
      </c>
      <c r="J178" s="124">
        <f t="shared" si="181"/>
        <v>8.5639965345702909E-2</v>
      </c>
      <c r="K178" s="124">
        <f t="shared" si="181"/>
        <v>0.10043166517640258</v>
      </c>
      <c r="L178" s="124">
        <f t="shared" si="181"/>
        <v>8.3178222274451402E-2</v>
      </c>
      <c r="M178" s="124">
        <f t="shared" si="181"/>
        <v>8.711211697426284E-2</v>
      </c>
      <c r="N178" s="124">
        <f t="shared" si="181"/>
        <v>9.169400004633943E-2</v>
      </c>
      <c r="O178" s="124">
        <f t="shared" si="181"/>
        <v>8.957869075168215E-2</v>
      </c>
      <c r="P178" s="124">
        <f t="shared" si="181"/>
        <v>0.10707922484685888</v>
      </c>
      <c r="Q178" s="124">
        <f t="shared" si="181"/>
        <v>9.7064844725634869E-2</v>
      </c>
      <c r="R178" s="124">
        <f t="shared" si="181"/>
        <v>0.1011880845143876</v>
      </c>
      <c r="S178" s="124">
        <f t="shared" si="181"/>
        <v>8.6307758438394583E-2</v>
      </c>
      <c r="T178" s="124">
        <f t="shared" si="181"/>
        <v>9.6851872046334886E-2</v>
      </c>
      <c r="U178" s="124">
        <f t="shared" si="181"/>
        <v>9.0613390572525931E-2</v>
      </c>
      <c r="V178" s="124">
        <f t="shared" si="181"/>
        <v>7.6623165255640266E-2</v>
      </c>
      <c r="W178" s="124">
        <f t="shared" si="181"/>
        <v>8.7125886022795071E-2</v>
      </c>
      <c r="X178" s="124">
        <f t="shared" ref="X178:Y178" si="182">IF(X86=0,0,X86/X$77)</f>
        <v>8.3443547576291938E-2</v>
      </c>
      <c r="Y178" s="124">
        <f t="shared" si="182"/>
        <v>7.1176670572048822E-2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7.5946095134568639E-2</v>
      </c>
      <c r="C179" s="140">
        <f t="shared" ref="C179:W179" si="183">IF(C87=0,0,C87/C$77)</f>
        <v>6.8492231549520985E-2</v>
      </c>
      <c r="D179" s="140">
        <f t="shared" si="183"/>
        <v>6.4261721244807724E-2</v>
      </c>
      <c r="E179" s="140">
        <f t="shared" si="183"/>
        <v>5.7916976498693304E-2</v>
      </c>
      <c r="F179" s="140">
        <f t="shared" si="183"/>
        <v>3.1318492824897307E-2</v>
      </c>
      <c r="G179" s="140">
        <f t="shared" si="183"/>
        <v>4.5779333669643894E-2</v>
      </c>
      <c r="H179" s="140">
        <f t="shared" si="183"/>
        <v>3.7951263535007156E-2</v>
      </c>
      <c r="I179" s="140">
        <f t="shared" si="183"/>
        <v>3.9261823058233052E-2</v>
      </c>
      <c r="J179" s="140">
        <f t="shared" si="183"/>
        <v>1.245830023212482E-2</v>
      </c>
      <c r="K179" s="140">
        <f t="shared" si="183"/>
        <v>1.2984565417684408E-2</v>
      </c>
      <c r="L179" s="140">
        <f t="shared" si="183"/>
        <v>1.031918416406301E-2</v>
      </c>
      <c r="M179" s="140">
        <f t="shared" si="183"/>
        <v>1.154225418882748E-2</v>
      </c>
      <c r="N179" s="140">
        <f t="shared" si="183"/>
        <v>9.5514868297534115E-3</v>
      </c>
      <c r="O179" s="140">
        <f t="shared" si="183"/>
        <v>8.728157139969335E-3</v>
      </c>
      <c r="P179" s="140">
        <f t="shared" si="183"/>
        <v>1.0399905624900743E-2</v>
      </c>
      <c r="Q179" s="140">
        <f t="shared" si="183"/>
        <v>1.1001270380638573E-2</v>
      </c>
      <c r="R179" s="140">
        <f t="shared" si="183"/>
        <v>5.8052078865853136E-3</v>
      </c>
      <c r="S179" s="140">
        <f t="shared" si="183"/>
        <v>5.8771617963279217E-3</v>
      </c>
      <c r="T179" s="140">
        <f t="shared" si="183"/>
        <v>6.5134876885871692E-3</v>
      </c>
      <c r="U179" s="140">
        <f t="shared" si="183"/>
        <v>4.8209143329277547E-3</v>
      </c>
      <c r="V179" s="140">
        <f t="shared" si="183"/>
        <v>3.534112032893077E-3</v>
      </c>
      <c r="W179" s="140">
        <f t="shared" si="183"/>
        <v>4.3659598457346811E-3</v>
      </c>
      <c r="X179" s="140">
        <f t="shared" ref="X179:Y179" si="184">IF(X87=0,0,X87/X$77)</f>
        <v>5.7646729170740124E-3</v>
      </c>
      <c r="Y179" s="140">
        <f t="shared" si="184"/>
        <v>4.7134864711660196E-3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3.558089682184018E-2</v>
      </c>
      <c r="C180" s="127">
        <f t="shared" ref="C180:W180" si="185">IF(C88=0,0,C88/C$77)</f>
        <v>3.6746316873407223E-2</v>
      </c>
      <c r="D180" s="127">
        <f t="shared" si="185"/>
        <v>3.4004682254199399E-2</v>
      </c>
      <c r="E180" s="127">
        <f t="shared" si="185"/>
        <v>3.221750556910262E-2</v>
      </c>
      <c r="F180" s="127">
        <f t="shared" si="185"/>
        <v>3.6337026578623387E-2</v>
      </c>
      <c r="G180" s="127">
        <f t="shared" si="185"/>
        <v>2.5985535135599147E-2</v>
      </c>
      <c r="H180" s="127">
        <f t="shared" si="185"/>
        <v>3.1431847450149979E-2</v>
      </c>
      <c r="I180" s="127">
        <f t="shared" si="185"/>
        <v>3.0405915204575123E-2</v>
      </c>
      <c r="J180" s="127">
        <f t="shared" si="185"/>
        <v>7.318166511357807E-2</v>
      </c>
      <c r="K180" s="127">
        <f t="shared" si="185"/>
        <v>8.7447099758718158E-2</v>
      </c>
      <c r="L180" s="127">
        <f t="shared" si="185"/>
        <v>7.285903811038838E-2</v>
      </c>
      <c r="M180" s="127">
        <f t="shared" si="185"/>
        <v>7.5569862785435357E-2</v>
      </c>
      <c r="N180" s="127">
        <f t="shared" si="185"/>
        <v>8.2142513216586013E-2</v>
      </c>
      <c r="O180" s="127">
        <f t="shared" si="185"/>
        <v>8.0850533611712808E-2</v>
      </c>
      <c r="P180" s="127">
        <f t="shared" si="185"/>
        <v>9.6679319221958132E-2</v>
      </c>
      <c r="Q180" s="127">
        <f t="shared" si="185"/>
        <v>8.6063574344996299E-2</v>
      </c>
      <c r="R180" s="127">
        <f t="shared" si="185"/>
        <v>9.5382876627802274E-2</v>
      </c>
      <c r="S180" s="127">
        <f t="shared" si="185"/>
        <v>8.0430596642066671E-2</v>
      </c>
      <c r="T180" s="127">
        <f t="shared" si="185"/>
        <v>9.0338384357747714E-2</v>
      </c>
      <c r="U180" s="127">
        <f t="shared" si="185"/>
        <v>8.5792476239598181E-2</v>
      </c>
      <c r="V180" s="127">
        <f t="shared" si="185"/>
        <v>7.3089053222747197E-2</v>
      </c>
      <c r="W180" s="127">
        <f t="shared" si="185"/>
        <v>8.2759926177060378E-2</v>
      </c>
      <c r="X180" s="127">
        <f t="shared" ref="X180:Y180" si="186">IF(X88=0,0,X88/X$77)</f>
        <v>7.7678874659217925E-2</v>
      </c>
      <c r="Y180" s="127">
        <f t="shared" si="186"/>
        <v>6.6463184100882797E-2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0.47187528265938561</v>
      </c>
      <c r="C182" s="140">
        <f t="shared" ref="C182:W182" si="189">IF(C90=0,0,C90/C$89)</f>
        <v>0.46867223547214126</v>
      </c>
      <c r="D182" s="140">
        <f t="shared" si="189"/>
        <v>0.46739502520704451</v>
      </c>
      <c r="E182" s="140">
        <f t="shared" si="189"/>
        <v>0.47075103937467216</v>
      </c>
      <c r="F182" s="140">
        <f t="shared" si="189"/>
        <v>0.46995933942601087</v>
      </c>
      <c r="G182" s="140">
        <f t="shared" si="189"/>
        <v>0.46620310809136406</v>
      </c>
      <c r="H182" s="140">
        <f t="shared" si="189"/>
        <v>0.4800131593079674</v>
      </c>
      <c r="I182" s="140">
        <f t="shared" si="189"/>
        <v>0.44960750080453094</v>
      </c>
      <c r="J182" s="140">
        <f t="shared" si="189"/>
        <v>0.4158569639736282</v>
      </c>
      <c r="K182" s="140">
        <f t="shared" si="189"/>
        <v>0.50664200056707176</v>
      </c>
      <c r="L182" s="140">
        <f t="shared" si="189"/>
        <v>0.47076730907423053</v>
      </c>
      <c r="M182" s="140">
        <f t="shared" si="189"/>
        <v>0.49038058163809434</v>
      </c>
      <c r="N182" s="140">
        <f t="shared" si="189"/>
        <v>0.47400239682529482</v>
      </c>
      <c r="O182" s="140">
        <f t="shared" si="189"/>
        <v>0.41080481952770509</v>
      </c>
      <c r="P182" s="140">
        <f t="shared" si="189"/>
        <v>0.39058902568970882</v>
      </c>
      <c r="Q182" s="140">
        <f t="shared" si="189"/>
        <v>0.35568370319109349</v>
      </c>
      <c r="R182" s="140">
        <f t="shared" si="189"/>
        <v>0.34006670635217001</v>
      </c>
      <c r="S182" s="140">
        <f t="shared" si="189"/>
        <v>0.34657071857719274</v>
      </c>
      <c r="T182" s="140">
        <f t="shared" si="189"/>
        <v>0.32774202020992943</v>
      </c>
      <c r="U182" s="140">
        <f t="shared" si="189"/>
        <v>0.35208784960261558</v>
      </c>
      <c r="V182" s="140">
        <f t="shared" si="189"/>
        <v>0.37829026658233145</v>
      </c>
      <c r="W182" s="140">
        <f t="shared" si="189"/>
        <v>0.40239118655108636</v>
      </c>
      <c r="X182" s="140">
        <f t="shared" ref="X182:Y182" si="190">IF(X90=0,0,X90/X$89)</f>
        <v>0.42670925422404521</v>
      </c>
      <c r="Y182" s="140">
        <f t="shared" si="190"/>
        <v>0.45329559586493018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0.52812471734061439</v>
      </c>
      <c r="C183" s="127">
        <f t="shared" ref="C183:W183" si="191">IF(C91=0,0,C91/C$89)</f>
        <v>0.53132776452785879</v>
      </c>
      <c r="D183" s="127">
        <f t="shared" si="191"/>
        <v>0.53260497479295554</v>
      </c>
      <c r="E183" s="127">
        <f t="shared" si="191"/>
        <v>0.52924896062532778</v>
      </c>
      <c r="F183" s="127">
        <f t="shared" si="191"/>
        <v>0.53004066057398913</v>
      </c>
      <c r="G183" s="127">
        <f t="shared" si="191"/>
        <v>0.533796891908636</v>
      </c>
      <c r="H183" s="127">
        <f t="shared" si="191"/>
        <v>0.5199868406920326</v>
      </c>
      <c r="I183" s="127">
        <f t="shared" si="191"/>
        <v>0.55039249919546906</v>
      </c>
      <c r="J183" s="127">
        <f t="shared" si="191"/>
        <v>0.58414303602637185</v>
      </c>
      <c r="K183" s="127">
        <f t="shared" si="191"/>
        <v>0.49335799943292835</v>
      </c>
      <c r="L183" s="127">
        <f t="shared" si="191"/>
        <v>0.52923269092576952</v>
      </c>
      <c r="M183" s="127">
        <f t="shared" si="191"/>
        <v>0.50961941836190561</v>
      </c>
      <c r="N183" s="127">
        <f t="shared" si="191"/>
        <v>0.52599760317470512</v>
      </c>
      <c r="O183" s="127">
        <f t="shared" si="191"/>
        <v>0.58919518047229502</v>
      </c>
      <c r="P183" s="127">
        <f t="shared" si="191"/>
        <v>0.60941097431029112</v>
      </c>
      <c r="Q183" s="127">
        <f t="shared" si="191"/>
        <v>0.64431629680890645</v>
      </c>
      <c r="R183" s="127">
        <f t="shared" si="191"/>
        <v>0.65993329364783004</v>
      </c>
      <c r="S183" s="127">
        <f t="shared" si="191"/>
        <v>0.65342928142280721</v>
      </c>
      <c r="T183" s="127">
        <f t="shared" si="191"/>
        <v>0.67225797979007051</v>
      </c>
      <c r="U183" s="127">
        <f t="shared" si="191"/>
        <v>0.64791215039738448</v>
      </c>
      <c r="V183" s="127">
        <f t="shared" si="191"/>
        <v>0.62170973341766855</v>
      </c>
      <c r="W183" s="127">
        <f t="shared" si="191"/>
        <v>0.5976088134489137</v>
      </c>
      <c r="X183" s="127">
        <f t="shared" ref="X183:Y183" si="192">IF(X91=0,0,X91/X$89)</f>
        <v>0.57329074577595474</v>
      </c>
      <c r="Y183" s="127">
        <f t="shared" si="192"/>
        <v>0.54670440413506982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47.308596819871852</v>
      </c>
      <c r="C186" s="32">
        <f t="shared" si="193"/>
        <v>45.16463041883852</v>
      </c>
      <c r="D186" s="32">
        <f t="shared" si="193"/>
        <v>44.14491721005777</v>
      </c>
      <c r="E186" s="32">
        <f t="shared" si="193"/>
        <v>45.984901273090394</v>
      </c>
      <c r="F186" s="32">
        <f t="shared" si="193"/>
        <v>45.319318950797381</v>
      </c>
      <c r="G186" s="32">
        <f t="shared" si="193"/>
        <v>45.837341661230099</v>
      </c>
      <c r="H186" s="32">
        <f t="shared" si="193"/>
        <v>46.411014772441597</v>
      </c>
      <c r="I186" s="32">
        <f t="shared" si="193"/>
        <v>48.064020195055541</v>
      </c>
      <c r="J186" s="32">
        <f t="shared" si="193"/>
        <v>45.833993707469297</v>
      </c>
      <c r="K186" s="32">
        <f t="shared" si="193"/>
        <v>47.310219028609723</v>
      </c>
      <c r="L186" s="32">
        <f t="shared" si="193"/>
        <v>47.023664882282375</v>
      </c>
      <c r="M186" s="32">
        <f t="shared" si="193"/>
        <v>47.496385309413789</v>
      </c>
      <c r="N186" s="32">
        <f t="shared" si="193"/>
        <v>46.214126605448399</v>
      </c>
      <c r="O186" s="32">
        <f t="shared" si="193"/>
        <v>45.285258007866652</v>
      </c>
      <c r="P186" s="32">
        <f t="shared" si="193"/>
        <v>45.246742084460401</v>
      </c>
      <c r="Q186" s="32">
        <f t="shared" si="193"/>
        <v>46.753397363797824</v>
      </c>
      <c r="R186" s="32">
        <f t="shared" si="193"/>
        <v>47.579831642416238</v>
      </c>
      <c r="S186" s="32">
        <f t="shared" si="193"/>
        <v>47.788242187822561</v>
      </c>
      <c r="T186" s="32">
        <f t="shared" si="193"/>
        <v>47.986923519992239</v>
      </c>
      <c r="U186" s="32">
        <f t="shared" si="193"/>
        <v>48.36818621178918</v>
      </c>
      <c r="V186" s="32">
        <f t="shared" si="193"/>
        <v>59.180909666101144</v>
      </c>
      <c r="W186" s="32">
        <f t="shared" si="193"/>
        <v>56.148165914935198</v>
      </c>
      <c r="X186" s="32">
        <f t="shared" si="193"/>
        <v>52.577805181550268</v>
      </c>
      <c r="Y186" s="32">
        <f t="shared" si="193"/>
        <v>55.627701966814854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49.733382290449271</v>
      </c>
      <c r="C187" s="141">
        <f t="shared" si="194"/>
        <v>47.267619844593391</v>
      </c>
      <c r="D187" s="141">
        <f t="shared" si="194"/>
        <v>45.924507149601418</v>
      </c>
      <c r="E187" s="141">
        <f t="shared" si="194"/>
        <v>47.958090097776207</v>
      </c>
      <c r="F187" s="141">
        <f t="shared" si="194"/>
        <v>47.10390014132814</v>
      </c>
      <c r="G187" s="141">
        <f t="shared" si="194"/>
        <v>47.936018607288219</v>
      </c>
      <c r="H187" s="141">
        <f t="shared" si="194"/>
        <v>48.955185572269933</v>
      </c>
      <c r="I187" s="141">
        <f t="shared" si="194"/>
        <v>51.270163941786812</v>
      </c>
      <c r="J187" s="141">
        <f t="shared" si="194"/>
        <v>48.343159269035091</v>
      </c>
      <c r="K187" s="141">
        <f t="shared" si="194"/>
        <v>50.588860244182932</v>
      </c>
      <c r="L187" s="141">
        <f t="shared" si="194"/>
        <v>50.534641814159635</v>
      </c>
      <c r="M187" s="141">
        <f t="shared" si="194"/>
        <v>50.736943853056566</v>
      </c>
      <c r="N187" s="141">
        <f t="shared" si="194"/>
        <v>48.888882298269472</v>
      </c>
      <c r="O187" s="141">
        <f t="shared" si="194"/>
        <v>47.615284607522639</v>
      </c>
      <c r="P187" s="141">
        <f t="shared" si="194"/>
        <v>48.047695210015235</v>
      </c>
      <c r="Q187" s="141">
        <f t="shared" si="194"/>
        <v>50.499293435486351</v>
      </c>
      <c r="R187" s="141">
        <f t="shared" si="194"/>
        <v>52.15393333753903</v>
      </c>
      <c r="S187" s="141">
        <f t="shared" si="194"/>
        <v>53.183776634151855</v>
      </c>
      <c r="T187" s="141">
        <f t="shared" si="194"/>
        <v>53.760084175822847</v>
      </c>
      <c r="U187" s="141">
        <f t="shared" si="194"/>
        <v>54.543524464129383</v>
      </c>
      <c r="V187" s="141">
        <f t="shared" si="194"/>
        <v>60.965880418191112</v>
      </c>
      <c r="W187" s="141">
        <f t="shared" si="194"/>
        <v>59.165499856305949</v>
      </c>
      <c r="X187" s="141">
        <f t="shared" si="194"/>
        <v>58.257267298114783</v>
      </c>
      <c r="Y187" s="141">
        <f t="shared" si="194"/>
        <v>63.720438528537748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34.579496762363327</v>
      </c>
      <c r="C188" s="97">
        <f t="shared" si="195"/>
        <v>34.509130625429485</v>
      </c>
      <c r="D188" s="97">
        <f t="shared" si="195"/>
        <v>34.041718718498082</v>
      </c>
      <c r="E188" s="97">
        <f t="shared" si="195"/>
        <v>32.9416875922321</v>
      </c>
      <c r="F188" s="97">
        <f t="shared" si="195"/>
        <v>32.116217380060583</v>
      </c>
      <c r="G188" s="97">
        <f t="shared" si="195"/>
        <v>31.39665154683107</v>
      </c>
      <c r="H188" s="97">
        <f t="shared" si="195"/>
        <v>30.780511120536193</v>
      </c>
      <c r="I188" s="97">
        <f t="shared" si="195"/>
        <v>30.403111290079359</v>
      </c>
      <c r="J188" s="97">
        <f t="shared" si="195"/>
        <v>30.104043089919699</v>
      </c>
      <c r="K188" s="97">
        <f t="shared" si="195"/>
        <v>29.89378015660758</v>
      </c>
      <c r="L188" s="97">
        <f t="shared" si="195"/>
        <v>29.778846736808049</v>
      </c>
      <c r="M188" s="97">
        <f t="shared" si="195"/>
        <v>29.769254710843548</v>
      </c>
      <c r="N188" s="97">
        <f t="shared" si="195"/>
        <v>29.880105551245858</v>
      </c>
      <c r="O188" s="97">
        <f t="shared" si="195"/>
        <v>29.681503611185992</v>
      </c>
      <c r="P188" s="97">
        <f t="shared" si="195"/>
        <v>29.395072381013161</v>
      </c>
      <c r="Q188" s="97">
        <f t="shared" si="195"/>
        <v>29.296099488540431</v>
      </c>
      <c r="R188" s="97">
        <f t="shared" si="195"/>
        <v>28.995121514045145</v>
      </c>
      <c r="S188" s="97">
        <f t="shared" si="195"/>
        <v>29.00899786160474</v>
      </c>
      <c r="T188" s="97">
        <f t="shared" si="195"/>
        <v>28.782839436583696</v>
      </c>
      <c r="U188" s="97">
        <f t="shared" si="195"/>
        <v>28.526603238276842</v>
      </c>
      <c r="V188" s="97">
        <f t="shared" si="195"/>
        <v>28.479439253828673</v>
      </c>
      <c r="W188" s="97">
        <f t="shared" si="195"/>
        <v>28.477984093219124</v>
      </c>
      <c r="X188" s="97">
        <f t="shared" si="195"/>
        <v>28.659466683873561</v>
      </c>
      <c r="Y188" s="97">
        <f t="shared" si="195"/>
        <v>28.521599676547467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49.296010100449976</v>
      </c>
      <c r="C189" s="97">
        <f t="shared" si="196"/>
        <v>47.058011544124163</v>
      </c>
      <c r="D189" s="97">
        <f t="shared" si="196"/>
        <v>45.762174006374295</v>
      </c>
      <c r="E189" s="97">
        <f t="shared" si="196"/>
        <v>48.46647269033965</v>
      </c>
      <c r="F189" s="97">
        <f t="shared" si="196"/>
        <v>46.998958594700724</v>
      </c>
      <c r="G189" s="97">
        <f t="shared" si="196"/>
        <v>48.095551589057386</v>
      </c>
      <c r="H189" s="97">
        <f t="shared" si="196"/>
        <v>49.579307403065279</v>
      </c>
      <c r="I189" s="97">
        <f t="shared" si="196"/>
        <v>52.5427691540729</v>
      </c>
      <c r="J189" s="97">
        <f t="shared" si="196"/>
        <v>49.672155426444306</v>
      </c>
      <c r="K189" s="97">
        <f t="shared" si="196"/>
        <v>50.907680115071223</v>
      </c>
      <c r="L189" s="97">
        <f t="shared" si="196"/>
        <v>50.494697370456748</v>
      </c>
      <c r="M189" s="97">
        <f t="shared" si="196"/>
        <v>50.800894033559153</v>
      </c>
      <c r="N189" s="97">
        <f t="shared" si="196"/>
        <v>49.023480067305265</v>
      </c>
      <c r="O189" s="97">
        <f t="shared" si="196"/>
        <v>47.992976377522076</v>
      </c>
      <c r="P189" s="97">
        <f t="shared" si="196"/>
        <v>48.671979598467566</v>
      </c>
      <c r="Q189" s="97">
        <f t="shared" si="196"/>
        <v>50.567926132611795</v>
      </c>
      <c r="R189" s="97">
        <f t="shared" si="196"/>
        <v>53.010459602191347</v>
      </c>
      <c r="S189" s="97">
        <f t="shared" si="196"/>
        <v>54.535338499784849</v>
      </c>
      <c r="T189" s="97">
        <f t="shared" si="196"/>
        <v>54.48900569224044</v>
      </c>
      <c r="U189" s="97">
        <f t="shared" si="196"/>
        <v>57.01969236747648</v>
      </c>
      <c r="V189" s="97">
        <f t="shared" si="196"/>
        <v>61.763660171908754</v>
      </c>
      <c r="W189" s="97">
        <f t="shared" si="196"/>
        <v>59.951496790696318</v>
      </c>
      <c r="X189" s="97">
        <f t="shared" si="196"/>
        <v>60.378085303449538</v>
      </c>
      <c r="Y189" s="97">
        <f t="shared" si="196"/>
        <v>66.647400102330977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53.13239573114604</v>
      </c>
      <c r="C190" s="97">
        <f t="shared" si="197"/>
        <v>49.154244702655923</v>
      </c>
      <c r="D190" s="97">
        <f t="shared" si="197"/>
        <v>47.516180613300811</v>
      </c>
      <c r="E190" s="97">
        <f t="shared" si="197"/>
        <v>45.683469226555268</v>
      </c>
      <c r="F190" s="97">
        <f t="shared" si="197"/>
        <v>48.806324968250621</v>
      </c>
      <c r="G190" s="97">
        <f t="shared" si="197"/>
        <v>47.997738146482362</v>
      </c>
      <c r="H190" s="97">
        <f t="shared" si="197"/>
        <v>45.915798244719362</v>
      </c>
      <c r="I190" s="97">
        <f t="shared" si="197"/>
        <v>44.058811465758197</v>
      </c>
      <c r="J190" s="97">
        <f t="shared" si="197"/>
        <v>40.78867214219629</v>
      </c>
      <c r="K190" s="97">
        <f t="shared" si="197"/>
        <v>49.744277266672228</v>
      </c>
      <c r="L190" s="97">
        <f t="shared" si="197"/>
        <v>52.588571115371579</v>
      </c>
      <c r="M190" s="97">
        <f t="shared" si="197"/>
        <v>52.034512031242443</v>
      </c>
      <c r="N190" s="97">
        <f t="shared" si="197"/>
        <v>49.386309990430192</v>
      </c>
      <c r="O190" s="97">
        <f t="shared" si="197"/>
        <v>46.17650368049874</v>
      </c>
      <c r="P190" s="97">
        <f t="shared" si="197"/>
        <v>44.965221802880606</v>
      </c>
      <c r="Q190" s="97">
        <f t="shared" si="197"/>
        <v>51.652373863559077</v>
      </c>
      <c r="R190" s="97">
        <f t="shared" si="197"/>
        <v>47.972251917760751</v>
      </c>
      <c r="S190" s="97">
        <f t="shared" si="197"/>
        <v>46.361194611780455</v>
      </c>
      <c r="T190" s="97">
        <f t="shared" si="197"/>
        <v>50.8449554195169</v>
      </c>
      <c r="U190" s="97">
        <f t="shared" si="197"/>
        <v>40.93180875317929</v>
      </c>
      <c r="V190" s="97">
        <f t="shared" si="197"/>
        <v>57.46112031436806</v>
      </c>
      <c r="W190" s="97">
        <f t="shared" si="197"/>
        <v>55.840290175418453</v>
      </c>
      <c r="X190" s="97">
        <f t="shared" si="197"/>
        <v>45.840733403443323</v>
      </c>
      <c r="Y190" s="97">
        <f t="shared" si="197"/>
        <v>47.338001278606185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18.661610131545352</v>
      </c>
      <c r="C191" s="130">
        <f t="shared" si="198"/>
        <v>17.986014793730728</v>
      </c>
      <c r="D191" s="130">
        <f t="shared" si="198"/>
        <v>18.414569369965584</v>
      </c>
      <c r="E191" s="130">
        <f t="shared" si="198"/>
        <v>17.615518838175927</v>
      </c>
      <c r="F191" s="130">
        <f t="shared" si="198"/>
        <v>18.300283045636434</v>
      </c>
      <c r="G191" s="130">
        <f t="shared" si="198"/>
        <v>17.686193559144151</v>
      </c>
      <c r="H191" s="130">
        <f t="shared" si="198"/>
        <v>16.990928141833084</v>
      </c>
      <c r="I191" s="130">
        <f t="shared" si="198"/>
        <v>14.522906821452828</v>
      </c>
      <c r="J191" s="130">
        <f t="shared" si="198"/>
        <v>14.185003817319144</v>
      </c>
      <c r="K191" s="130">
        <f t="shared" si="198"/>
        <v>13.572185087103581</v>
      </c>
      <c r="L191" s="130">
        <f t="shared" si="198"/>
        <v>13.860958633749762</v>
      </c>
      <c r="M191" s="130">
        <f t="shared" si="198"/>
        <v>15.6083117190436</v>
      </c>
      <c r="N191" s="130">
        <f t="shared" si="198"/>
        <v>18.55063853200641</v>
      </c>
      <c r="O191" s="130">
        <f t="shared" si="198"/>
        <v>18.495267787125552</v>
      </c>
      <c r="P191" s="130">
        <f t="shared" si="198"/>
        <v>16.235663049761005</v>
      </c>
      <c r="Q191" s="130">
        <f t="shared" si="198"/>
        <v>15.113732238346033</v>
      </c>
      <c r="R191" s="130">
        <f t="shared" si="198"/>
        <v>15.798466762468717</v>
      </c>
      <c r="S191" s="130">
        <f t="shared" si="198"/>
        <v>16.688668253970405</v>
      </c>
      <c r="T191" s="130">
        <f t="shared" si="198"/>
        <v>16.349127593478709</v>
      </c>
      <c r="U191" s="130">
        <f t="shared" si="198"/>
        <v>16.629240413163963</v>
      </c>
      <c r="V191" s="130">
        <f t="shared" si="198"/>
        <v>21.047247670663921</v>
      </c>
      <c r="W191" s="130">
        <f t="shared" si="198"/>
        <v>23.383493916259134</v>
      </c>
      <c r="X191" s="130">
        <f t="shared" si="198"/>
        <v>18.392639304567215</v>
      </c>
      <c r="Y191" s="130">
        <f t="shared" si="198"/>
        <v>14.665870285202734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5.5366267725803642</v>
      </c>
      <c r="C192" s="97">
        <f t="shared" si="199"/>
        <v>5.5230204457811745</v>
      </c>
      <c r="D192" s="97">
        <f t="shared" si="199"/>
        <v>5.527027124384059</v>
      </c>
      <c r="E192" s="97">
        <f t="shared" si="199"/>
        <v>5.5528994294017302</v>
      </c>
      <c r="F192" s="97">
        <f t="shared" si="199"/>
        <v>5.470815946562241</v>
      </c>
      <c r="G192" s="97">
        <f t="shared" si="199"/>
        <v>5.444587825689287</v>
      </c>
      <c r="H192" s="97">
        <f t="shared" si="199"/>
        <v>5.3774797424919543</v>
      </c>
      <c r="I192" s="97">
        <f t="shared" si="199"/>
        <v>5.3608492673296402</v>
      </c>
      <c r="J192" s="97">
        <f t="shared" si="199"/>
        <v>5.2874547150058975</v>
      </c>
      <c r="K192" s="97">
        <f t="shared" si="199"/>
        <v>5.2615690421113879</v>
      </c>
      <c r="L192" s="97">
        <f t="shared" si="199"/>
        <v>5.2248672350310335</v>
      </c>
      <c r="M192" s="97">
        <f t="shared" si="199"/>
        <v>5.1617845080858853</v>
      </c>
      <c r="N192" s="97">
        <f t="shared" si="199"/>
        <v>5.1239884196797441</v>
      </c>
      <c r="O192" s="97">
        <f t="shared" si="199"/>
        <v>5.0649082642049672</v>
      </c>
      <c r="P192" s="97">
        <f t="shared" si="199"/>
        <v>5.0027402213647356</v>
      </c>
      <c r="Q192" s="97">
        <f t="shared" si="199"/>
        <v>4.920907081822202</v>
      </c>
      <c r="R192" s="97">
        <f t="shared" si="199"/>
        <v>4.9318340272158263</v>
      </c>
      <c r="S192" s="97">
        <f t="shared" si="199"/>
        <v>4.8577409848503805</v>
      </c>
      <c r="T192" s="97">
        <f t="shared" si="199"/>
        <v>4.7840087744677513</v>
      </c>
      <c r="U192" s="97">
        <f t="shared" si="199"/>
        <v>5.4551219241499762</v>
      </c>
      <c r="V192" s="97">
        <f t="shared" si="199"/>
        <v>5.8066477021007747</v>
      </c>
      <c r="W192" s="97">
        <f t="shared" si="199"/>
        <v>6.2588480764258163</v>
      </c>
      <c r="X192" s="97">
        <f t="shared" si="199"/>
        <v>4.7209916646889223</v>
      </c>
      <c r="Y192" s="97">
        <f t="shared" si="199"/>
        <v>4.466081323139437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23.946942387993222</v>
      </c>
      <c r="C193" s="97">
        <f t="shared" si="200"/>
        <v>23.326161825605098</v>
      </c>
      <c r="D193" s="97">
        <f t="shared" si="200"/>
        <v>24.181480303285895</v>
      </c>
      <c r="E193" s="97">
        <f t="shared" si="200"/>
        <v>23.323305563544551</v>
      </c>
      <c r="F193" s="97">
        <f t="shared" si="200"/>
        <v>24.106829616363097</v>
      </c>
      <c r="G193" s="97">
        <f t="shared" si="200"/>
        <v>23.005515451958491</v>
      </c>
      <c r="H193" s="97">
        <f t="shared" si="200"/>
        <v>21.908397771821278</v>
      </c>
      <c r="I193" s="97">
        <f t="shared" si="200"/>
        <v>18.372718366890375</v>
      </c>
      <c r="J193" s="97">
        <f t="shared" si="200"/>
        <v>17.32154831160911</v>
      </c>
      <c r="K193" s="97">
        <f t="shared" si="200"/>
        <v>16.241636129923997</v>
      </c>
      <c r="L193" s="97">
        <f t="shared" si="200"/>
        <v>16.633779944401972</v>
      </c>
      <c r="M193" s="97">
        <f t="shared" si="200"/>
        <v>19.33329094240398</v>
      </c>
      <c r="N193" s="97">
        <f t="shared" si="200"/>
        <v>25.045370265090995</v>
      </c>
      <c r="O193" s="97">
        <f t="shared" si="200"/>
        <v>26.148245743807703</v>
      </c>
      <c r="P193" s="97">
        <f t="shared" si="200"/>
        <v>23.287745899858329</v>
      </c>
      <c r="Q193" s="97">
        <f t="shared" si="200"/>
        <v>21.59084476496232</v>
      </c>
      <c r="R193" s="97">
        <f t="shared" si="200"/>
        <v>23.800421219878608</v>
      </c>
      <c r="S193" s="97">
        <f t="shared" si="200"/>
        <v>26.461769685847308</v>
      </c>
      <c r="T193" s="97">
        <f t="shared" si="200"/>
        <v>25.269364118720269</v>
      </c>
      <c r="U193" s="97">
        <f t="shared" si="200"/>
        <v>25.12373120595888</v>
      </c>
      <c r="V193" s="97">
        <f t="shared" si="200"/>
        <v>34.460472487639258</v>
      </c>
      <c r="W193" s="97">
        <f t="shared" si="200"/>
        <v>34.810948334281584</v>
      </c>
      <c r="X193" s="97">
        <f t="shared" si="200"/>
        <v>24.440575499742682</v>
      </c>
      <c r="Y193" s="97">
        <f t="shared" si="200"/>
        <v>17.616217297320393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0</v>
      </c>
      <c r="K194" s="97">
        <f t="shared" si="201"/>
        <v>0</v>
      </c>
      <c r="L194" s="97">
        <f t="shared" si="201"/>
        <v>0</v>
      </c>
      <c r="M194" s="97">
        <f t="shared" si="201"/>
        <v>0</v>
      </c>
      <c r="N194" s="97">
        <f t="shared" si="201"/>
        <v>0</v>
      </c>
      <c r="O194" s="97">
        <f t="shared" si="201"/>
        <v>0</v>
      </c>
      <c r="P194" s="97">
        <f t="shared" si="201"/>
        <v>0</v>
      </c>
      <c r="Q194" s="97">
        <f t="shared" si="201"/>
        <v>0</v>
      </c>
      <c r="R194" s="97">
        <f t="shared" si="201"/>
        <v>0</v>
      </c>
      <c r="S194" s="97">
        <f t="shared" si="201"/>
        <v>0</v>
      </c>
      <c r="T194" s="97">
        <f t="shared" si="201"/>
        <v>0</v>
      </c>
      <c r="U194" s="97">
        <f t="shared" si="201"/>
        <v>0</v>
      </c>
      <c r="V194" s="97">
        <f t="shared" si="201"/>
        <v>0</v>
      </c>
      <c r="W194" s="97">
        <f t="shared" si="201"/>
        <v>0</v>
      </c>
      <c r="X194" s="97">
        <f t="shared" si="201"/>
        <v>0</v>
      </c>
      <c r="Y194" s="97">
        <f t="shared" si="201"/>
        <v>0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43.447734411664989</v>
      </c>
      <c r="C195" s="130">
        <f t="shared" si="202"/>
        <v>43.068822179778216</v>
      </c>
      <c r="D195" s="130">
        <f t="shared" si="202"/>
        <v>43.373044613278395</v>
      </c>
      <c r="E195" s="130">
        <f t="shared" si="202"/>
        <v>43.825932600174831</v>
      </c>
      <c r="F195" s="130">
        <f t="shared" si="202"/>
        <v>43.976308420105319</v>
      </c>
      <c r="G195" s="130">
        <f t="shared" si="202"/>
        <v>42.173924728115239</v>
      </c>
      <c r="H195" s="130">
        <f t="shared" si="202"/>
        <v>39.398085429708765</v>
      </c>
      <c r="I195" s="130">
        <f t="shared" si="202"/>
        <v>39.877922691875689</v>
      </c>
      <c r="J195" s="130">
        <f t="shared" si="202"/>
        <v>44.709394523118632</v>
      </c>
      <c r="K195" s="130">
        <f t="shared" si="202"/>
        <v>39.623747050096362</v>
      </c>
      <c r="L195" s="130">
        <f t="shared" si="202"/>
        <v>37.450620011149617</v>
      </c>
      <c r="M195" s="130">
        <f t="shared" si="202"/>
        <v>37.671900814374013</v>
      </c>
      <c r="N195" s="130">
        <f t="shared" si="202"/>
        <v>35.75342363714033</v>
      </c>
      <c r="O195" s="130">
        <f t="shared" si="202"/>
        <v>36.708718867239092</v>
      </c>
      <c r="P195" s="130">
        <f t="shared" si="202"/>
        <v>34.476742478284059</v>
      </c>
      <c r="Q195" s="130">
        <f t="shared" si="202"/>
        <v>31.105376286028434</v>
      </c>
      <c r="R195" s="130">
        <f t="shared" si="202"/>
        <v>28.145746666966279</v>
      </c>
      <c r="S195" s="130">
        <f t="shared" si="202"/>
        <v>26.819479608729999</v>
      </c>
      <c r="T195" s="130">
        <f t="shared" si="202"/>
        <v>28.736080947423464</v>
      </c>
      <c r="U195" s="130">
        <f t="shared" si="202"/>
        <v>28.742839833429734</v>
      </c>
      <c r="V195" s="130">
        <f t="shared" si="202"/>
        <v>51.994689139953536</v>
      </c>
      <c r="W195" s="130">
        <f t="shared" si="202"/>
        <v>38.381983770807317</v>
      </c>
      <c r="X195" s="130">
        <f t="shared" si="202"/>
        <v>32.948482054328743</v>
      </c>
      <c r="Y195" s="130">
        <f t="shared" si="202"/>
        <v>31.018396660324431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62.074245349628406</v>
      </c>
      <c r="C196" s="97">
        <f t="shared" si="203"/>
        <v>62.184425973978556</v>
      </c>
      <c r="D196" s="97">
        <f t="shared" si="203"/>
        <v>62.49919764787316</v>
      </c>
      <c r="E196" s="97">
        <f t="shared" si="203"/>
        <v>62.623024498490373</v>
      </c>
      <c r="F196" s="97">
        <f t="shared" si="203"/>
        <v>62.619551615474137</v>
      </c>
      <c r="G196" s="97">
        <f t="shared" si="203"/>
        <v>61.33258931354198</v>
      </c>
      <c r="H196" s="97">
        <f t="shared" si="203"/>
        <v>71.21815214220635</v>
      </c>
      <c r="I196" s="97">
        <f t="shared" si="203"/>
        <v>68.097176013875426</v>
      </c>
      <c r="J196" s="97">
        <f t="shared" si="203"/>
        <v>62.593651835812821</v>
      </c>
      <c r="K196" s="97">
        <f t="shared" si="203"/>
        <v>63.436901700686732</v>
      </c>
      <c r="L196" s="97">
        <f t="shared" si="203"/>
        <v>57.025086349913771</v>
      </c>
      <c r="M196" s="97">
        <f t="shared" si="203"/>
        <v>57.859668995901266</v>
      </c>
      <c r="N196" s="97">
        <f t="shared" si="203"/>
        <v>54.54342971668283</v>
      </c>
      <c r="O196" s="97">
        <f t="shared" si="203"/>
        <v>56.363335726671913</v>
      </c>
      <c r="P196" s="97">
        <f t="shared" si="203"/>
        <v>56.682343428394731</v>
      </c>
      <c r="Q196" s="97">
        <f t="shared" si="203"/>
        <v>62.187140045987924</v>
      </c>
      <c r="R196" s="97">
        <f t="shared" si="203"/>
        <v>58.559968750172231</v>
      </c>
      <c r="S196" s="97">
        <f t="shared" si="203"/>
        <v>52.854999091225395</v>
      </c>
      <c r="T196" s="97">
        <f t="shared" si="203"/>
        <v>53.641520132670585</v>
      </c>
      <c r="U196" s="97">
        <f t="shared" si="203"/>
        <v>55.177233256625392</v>
      </c>
      <c r="V196" s="97">
        <f t="shared" si="203"/>
        <v>86.928616611788655</v>
      </c>
      <c r="W196" s="97">
        <f t="shared" si="203"/>
        <v>86.191025072800855</v>
      </c>
      <c r="X196" s="97">
        <f t="shared" si="203"/>
        <v>65.103592021110572</v>
      </c>
      <c r="Y196" s="97">
        <f t="shared" si="203"/>
        <v>64.681836823122296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42.722244673852408</v>
      </c>
      <c r="C197" s="97">
        <f t="shared" si="204"/>
        <v>42.274916551161738</v>
      </c>
      <c r="D197" s="97">
        <f t="shared" si="204"/>
        <v>42.210499455605856</v>
      </c>
      <c r="E197" s="97">
        <f t="shared" si="204"/>
        <v>42.530638688631811</v>
      </c>
      <c r="F197" s="97">
        <f t="shared" si="204"/>
        <v>42.885594405144005</v>
      </c>
      <c r="G197" s="97">
        <f t="shared" si="204"/>
        <v>40.078524296767227</v>
      </c>
      <c r="H197" s="97">
        <f t="shared" si="204"/>
        <v>36.591112708537992</v>
      </c>
      <c r="I197" s="97">
        <f t="shared" si="204"/>
        <v>38.250255351497053</v>
      </c>
      <c r="J197" s="97">
        <f t="shared" si="204"/>
        <v>45.460287071873218</v>
      </c>
      <c r="K197" s="97">
        <f t="shared" si="204"/>
        <v>38.533718514580421</v>
      </c>
      <c r="L197" s="97">
        <f t="shared" si="204"/>
        <v>38.701749579484868</v>
      </c>
      <c r="M197" s="97">
        <f t="shared" si="204"/>
        <v>39.438275955938565</v>
      </c>
      <c r="N197" s="97">
        <f t="shared" si="204"/>
        <v>37.5500803118153</v>
      </c>
      <c r="O197" s="97">
        <f t="shared" si="204"/>
        <v>36.314682673561066</v>
      </c>
      <c r="P197" s="97">
        <f t="shared" si="204"/>
        <v>33.656450535668121</v>
      </c>
      <c r="Q197" s="97">
        <f t="shared" si="204"/>
        <v>30.705788462573214</v>
      </c>
      <c r="R197" s="97">
        <f t="shared" si="204"/>
        <v>28.165183827104684</v>
      </c>
      <c r="S197" s="97">
        <f t="shared" si="204"/>
        <v>28.173585282802318</v>
      </c>
      <c r="T197" s="97">
        <f t="shared" si="204"/>
        <v>31.974408390142415</v>
      </c>
      <c r="U197" s="97">
        <f t="shared" si="204"/>
        <v>31.833437267152313</v>
      </c>
      <c r="V197" s="97">
        <f t="shared" si="204"/>
        <v>48.6876342649931</v>
      </c>
      <c r="W197" s="97">
        <f t="shared" si="204"/>
        <v>38.311067690923664</v>
      </c>
      <c r="X197" s="97">
        <f t="shared" si="204"/>
        <v>32.563443464439707</v>
      </c>
      <c r="Y197" s="97">
        <f t="shared" si="204"/>
        <v>30.820227363996167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38.146970728692182</v>
      </c>
      <c r="C198" s="97">
        <f t="shared" si="205"/>
        <v>37.954833826075863</v>
      </c>
      <c r="D198" s="97">
        <f t="shared" si="205"/>
        <v>37.665601201520033</v>
      </c>
      <c r="E198" s="97">
        <f t="shared" si="205"/>
        <v>37.35526851773232</v>
      </c>
      <c r="F198" s="97">
        <f t="shared" si="205"/>
        <v>37.291256086403244</v>
      </c>
      <c r="G198" s="97">
        <f t="shared" si="205"/>
        <v>42.465130869984812</v>
      </c>
      <c r="H198" s="97">
        <f t="shared" si="205"/>
        <v>39.58678102365284</v>
      </c>
      <c r="I198" s="97">
        <f t="shared" si="205"/>
        <v>34.37019161135759</v>
      </c>
      <c r="J198" s="97">
        <f t="shared" si="205"/>
        <v>32.944233181470047</v>
      </c>
      <c r="K198" s="97">
        <f t="shared" si="205"/>
        <v>33.489379010988735</v>
      </c>
      <c r="L198" s="97">
        <f t="shared" si="205"/>
        <v>25.764717590497789</v>
      </c>
      <c r="M198" s="97">
        <f t="shared" si="205"/>
        <v>24.502675931976825</v>
      </c>
      <c r="N198" s="97">
        <f t="shared" si="205"/>
        <v>23.328586253705261</v>
      </c>
      <c r="O198" s="97">
        <f t="shared" si="205"/>
        <v>31.870254386656722</v>
      </c>
      <c r="P198" s="97">
        <f t="shared" si="205"/>
        <v>31.65901883656786</v>
      </c>
      <c r="Q198" s="97">
        <f t="shared" si="205"/>
        <v>24.158977537027745</v>
      </c>
      <c r="R198" s="97">
        <f t="shared" si="205"/>
        <v>19.912001823312355</v>
      </c>
      <c r="S198" s="97">
        <f t="shared" si="205"/>
        <v>15.034124270490086</v>
      </c>
      <c r="T198" s="97">
        <f t="shared" si="205"/>
        <v>13.120470304682959</v>
      </c>
      <c r="U198" s="97">
        <f t="shared" si="205"/>
        <v>13.39530977680746</v>
      </c>
      <c r="V198" s="97">
        <f t="shared" si="205"/>
        <v>56.091559110280983</v>
      </c>
      <c r="W198" s="97">
        <f t="shared" si="205"/>
        <v>30.175188695831554</v>
      </c>
      <c r="X198" s="97">
        <f t="shared" si="205"/>
        <v>29.280364340649697</v>
      </c>
      <c r="Y198" s="97">
        <f t="shared" si="205"/>
        <v>25.711255467244548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31.598339486701551</v>
      </c>
      <c r="C199" s="32">
        <f t="shared" si="206"/>
        <v>27.690357763763785</v>
      </c>
      <c r="D199" s="32">
        <f t="shared" si="206"/>
        <v>32.760110119731493</v>
      </c>
      <c r="E199" s="32">
        <f t="shared" si="206"/>
        <v>34.114491190744559</v>
      </c>
      <c r="F199" s="32">
        <f t="shared" si="206"/>
        <v>33.485599727864717</v>
      </c>
      <c r="G199" s="32">
        <f t="shared" si="206"/>
        <v>33.510176325595772</v>
      </c>
      <c r="H199" s="32">
        <f t="shared" si="206"/>
        <v>33.498678399911903</v>
      </c>
      <c r="I199" s="32">
        <f t="shared" si="206"/>
        <v>33.529445886653988</v>
      </c>
      <c r="J199" s="32">
        <f t="shared" si="206"/>
        <v>34.329012624178915</v>
      </c>
      <c r="K199" s="32">
        <f t="shared" si="206"/>
        <v>39.200456190094485</v>
      </c>
      <c r="L199" s="32">
        <f t="shared" si="206"/>
        <v>38.993431635591314</v>
      </c>
      <c r="M199" s="32">
        <f t="shared" si="206"/>
        <v>39.724607254313582</v>
      </c>
      <c r="N199" s="32">
        <f t="shared" si="206"/>
        <v>37.978613986660427</v>
      </c>
      <c r="O199" s="32">
        <f t="shared" si="206"/>
        <v>42.399711035797083</v>
      </c>
      <c r="P199" s="32">
        <f t="shared" si="206"/>
        <v>39.619646193849356</v>
      </c>
      <c r="Q199" s="32">
        <f t="shared" si="206"/>
        <v>38.11230283864905</v>
      </c>
      <c r="R199" s="32">
        <f t="shared" si="206"/>
        <v>37.090241045241783</v>
      </c>
      <c r="S199" s="32">
        <f t="shared" si="206"/>
        <v>40.04841071827618</v>
      </c>
      <c r="T199" s="32">
        <f t="shared" si="206"/>
        <v>38.279867792403017</v>
      </c>
      <c r="U199" s="32">
        <f t="shared" si="206"/>
        <v>43.836279475185009</v>
      </c>
      <c r="V199" s="32">
        <f t="shared" si="206"/>
        <v>40.70708643984922</v>
      </c>
      <c r="W199" s="32">
        <f t="shared" si="206"/>
        <v>42.421571336102986</v>
      </c>
      <c r="X199" s="32">
        <f t="shared" si="206"/>
        <v>42.666977964353443</v>
      </c>
      <c r="Y199" s="32">
        <f t="shared" si="206"/>
        <v>47.045293649217037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34.530409350084867</v>
      </c>
      <c r="C200" s="141">
        <f t="shared" si="207"/>
        <v>29.801575143896844</v>
      </c>
      <c r="D200" s="141">
        <f t="shared" si="207"/>
        <v>35.795790487217317</v>
      </c>
      <c r="E200" s="141">
        <f t="shared" si="207"/>
        <v>38.076904942977187</v>
      </c>
      <c r="F200" s="141">
        <f t="shared" si="207"/>
        <v>37.68499945312734</v>
      </c>
      <c r="G200" s="141">
        <f t="shared" si="207"/>
        <v>38.036468729450931</v>
      </c>
      <c r="H200" s="141">
        <f t="shared" si="207"/>
        <v>39.070980303601843</v>
      </c>
      <c r="I200" s="141">
        <f t="shared" si="207"/>
        <v>39.636422697222415</v>
      </c>
      <c r="J200" s="141">
        <f t="shared" si="207"/>
        <v>41.964810463973265</v>
      </c>
      <c r="K200" s="141">
        <f t="shared" si="207"/>
        <v>47.155550864109443</v>
      </c>
      <c r="L200" s="141">
        <f t="shared" si="207"/>
        <v>49.373341916298216</v>
      </c>
      <c r="M200" s="141">
        <f t="shared" si="207"/>
        <v>48.695322909534944</v>
      </c>
      <c r="N200" s="141">
        <f t="shared" si="207"/>
        <v>46.897681877069964</v>
      </c>
      <c r="O200" s="141">
        <f t="shared" si="207"/>
        <v>50.942939256017873</v>
      </c>
      <c r="P200" s="141">
        <f t="shared" si="207"/>
        <v>46.730301141036733</v>
      </c>
      <c r="Q200" s="141">
        <f t="shared" si="207"/>
        <v>45.629232829256601</v>
      </c>
      <c r="R200" s="141">
        <f t="shared" si="207"/>
        <v>43.515493999943466</v>
      </c>
      <c r="S200" s="141">
        <f t="shared" si="207"/>
        <v>47.935880359838627</v>
      </c>
      <c r="T200" s="141">
        <f t="shared" si="207"/>
        <v>45.42067690301662</v>
      </c>
      <c r="U200" s="141">
        <f t="shared" si="207"/>
        <v>54.605421319883938</v>
      </c>
      <c r="V200" s="141">
        <f t="shared" si="207"/>
        <v>52.552607647132447</v>
      </c>
      <c r="W200" s="141">
        <f t="shared" si="207"/>
        <v>53.591233409671048</v>
      </c>
      <c r="X200" s="141">
        <f t="shared" si="207"/>
        <v>53.965972525502693</v>
      </c>
      <c r="Y200" s="141">
        <f t="shared" si="207"/>
        <v>57.548507972877189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527.57567212979814</v>
      </c>
      <c r="C201" s="97">
        <f t="shared" si="208"/>
        <v>476.76535143636244</v>
      </c>
      <c r="D201" s="97">
        <f t="shared" si="208"/>
        <v>485.83259298630418</v>
      </c>
      <c r="E201" s="97">
        <f t="shared" si="208"/>
        <v>481.02661883267365</v>
      </c>
      <c r="F201" s="97">
        <f t="shared" si="208"/>
        <v>475.27309425977421</v>
      </c>
      <c r="G201" s="97">
        <f t="shared" si="208"/>
        <v>480.51256265005435</v>
      </c>
      <c r="H201" s="97">
        <f t="shared" si="208"/>
        <v>464.04879548286351</v>
      </c>
      <c r="I201" s="97">
        <f t="shared" si="208"/>
        <v>461.42441926470144</v>
      </c>
      <c r="J201" s="97">
        <f t="shared" si="208"/>
        <v>458.97269187343278</v>
      </c>
      <c r="K201" s="97">
        <f t="shared" si="208"/>
        <v>456.9510735566833</v>
      </c>
      <c r="L201" s="97">
        <f t="shared" si="208"/>
        <v>452.5092965054539</v>
      </c>
      <c r="M201" s="97">
        <f t="shared" si="208"/>
        <v>447.14109404664487</v>
      </c>
      <c r="N201" s="97">
        <f t="shared" si="208"/>
        <v>446.51696670606452</v>
      </c>
      <c r="O201" s="97">
        <f t="shared" si="208"/>
        <v>438.61245324943576</v>
      </c>
      <c r="P201" s="97">
        <f t="shared" si="208"/>
        <v>421.41017319798954</v>
      </c>
      <c r="Q201" s="97">
        <f t="shared" si="208"/>
        <v>408.41927243529574</v>
      </c>
      <c r="R201" s="97">
        <f t="shared" si="208"/>
        <v>395.46441590499694</v>
      </c>
      <c r="S201" s="97">
        <f t="shared" si="208"/>
        <v>410.94757613676649</v>
      </c>
      <c r="T201" s="97">
        <f t="shared" si="208"/>
        <v>401.73649421505132</v>
      </c>
      <c r="U201" s="97">
        <f t="shared" si="208"/>
        <v>406.23882481502972</v>
      </c>
      <c r="V201" s="97">
        <f t="shared" si="208"/>
        <v>402.81213621983693</v>
      </c>
      <c r="W201" s="97">
        <f t="shared" si="208"/>
        <v>409.46024847804961</v>
      </c>
      <c r="X201" s="97">
        <f t="shared" si="208"/>
        <v>410.61650705080734</v>
      </c>
      <c r="Y201" s="97">
        <f t="shared" si="208"/>
        <v>419.80572789819843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22.745118363877523</v>
      </c>
      <c r="C202" s="97">
        <f t="shared" si="209"/>
        <v>19.187368013462763</v>
      </c>
      <c r="D202" s="97">
        <f t="shared" si="209"/>
        <v>24.980354679866593</v>
      </c>
      <c r="E202" s="97">
        <f t="shared" si="209"/>
        <v>26.977839799818643</v>
      </c>
      <c r="F202" s="97">
        <f t="shared" si="209"/>
        <v>27.000842544340273</v>
      </c>
      <c r="G202" s="97">
        <f t="shared" si="209"/>
        <v>26.620255891006231</v>
      </c>
      <c r="H202" s="97">
        <f t="shared" si="209"/>
        <v>27.672162266005621</v>
      </c>
      <c r="I202" s="97">
        <f t="shared" si="209"/>
        <v>28.62779518229619</v>
      </c>
      <c r="J202" s="97">
        <f t="shared" si="209"/>
        <v>29.904952420037962</v>
      </c>
      <c r="K202" s="97">
        <f t="shared" si="209"/>
        <v>33.088783872395481</v>
      </c>
      <c r="L202" s="97">
        <f t="shared" si="209"/>
        <v>35.477044651894275</v>
      </c>
      <c r="M202" s="97">
        <f t="shared" si="209"/>
        <v>34.645005780220266</v>
      </c>
      <c r="N202" s="97">
        <f t="shared" si="209"/>
        <v>33.008511334374042</v>
      </c>
      <c r="O202" s="97">
        <f t="shared" si="209"/>
        <v>37.956127328002317</v>
      </c>
      <c r="P202" s="97">
        <f t="shared" si="209"/>
        <v>33.967283359191093</v>
      </c>
      <c r="Q202" s="97">
        <f t="shared" si="209"/>
        <v>32.381436502376985</v>
      </c>
      <c r="R202" s="97">
        <f t="shared" si="209"/>
        <v>29.846409692276396</v>
      </c>
      <c r="S202" s="97">
        <f t="shared" si="209"/>
        <v>34.361372157587752</v>
      </c>
      <c r="T202" s="97">
        <f t="shared" si="209"/>
        <v>30.683570576402264</v>
      </c>
      <c r="U202" s="97">
        <f t="shared" si="209"/>
        <v>38.179303782855015</v>
      </c>
      <c r="V202" s="97">
        <f t="shared" si="209"/>
        <v>36.05020902044177</v>
      </c>
      <c r="W202" s="97">
        <f t="shared" si="209"/>
        <v>35.529556157533641</v>
      </c>
      <c r="X202" s="97">
        <f t="shared" si="209"/>
        <v>35.115368798685601</v>
      </c>
      <c r="Y202" s="97">
        <f t="shared" si="209"/>
        <v>38.100994283408255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7.3180744342635355</v>
      </c>
      <c r="C203" s="130">
        <f t="shared" si="210"/>
        <v>7.2705885758966957</v>
      </c>
      <c r="D203" s="130">
        <f t="shared" si="210"/>
        <v>7.239920829964003</v>
      </c>
      <c r="E203" s="130">
        <f t="shared" si="210"/>
        <v>7.1631706633455554</v>
      </c>
      <c r="F203" s="130">
        <f t="shared" si="210"/>
        <v>7.3640450667938113</v>
      </c>
      <c r="G203" s="130">
        <f t="shared" si="210"/>
        <v>7.2103162218075783</v>
      </c>
      <c r="H203" s="130">
        <f t="shared" si="210"/>
        <v>6.5248645637704472</v>
      </c>
      <c r="I203" s="130">
        <f t="shared" si="210"/>
        <v>6.3559502855297811</v>
      </c>
      <c r="J203" s="130">
        <f t="shared" si="210"/>
        <v>6.2435434596500112</v>
      </c>
      <c r="K203" s="130">
        <f t="shared" si="210"/>
        <v>6.4265251541266384</v>
      </c>
      <c r="L203" s="130">
        <f t="shared" si="210"/>
        <v>6.9566926375009075</v>
      </c>
      <c r="M203" s="130">
        <f t="shared" si="210"/>
        <v>6.8568203143829383</v>
      </c>
      <c r="N203" s="130">
        <f t="shared" si="210"/>
        <v>6.5820291288047841</v>
      </c>
      <c r="O203" s="130">
        <f t="shared" si="210"/>
        <v>7.5024939429838007</v>
      </c>
      <c r="P203" s="130">
        <f t="shared" si="210"/>
        <v>7.0317329600898208</v>
      </c>
      <c r="Q203" s="130">
        <f t="shared" si="210"/>
        <v>6.1827667899232974</v>
      </c>
      <c r="R203" s="130">
        <f t="shared" si="210"/>
        <v>6.6362384220208197</v>
      </c>
      <c r="S203" s="130">
        <f t="shared" si="210"/>
        <v>5.8567468281895261</v>
      </c>
      <c r="T203" s="130">
        <f t="shared" si="210"/>
        <v>5.0315502892164563</v>
      </c>
      <c r="U203" s="130">
        <f t="shared" si="210"/>
        <v>4.8144058382169019</v>
      </c>
      <c r="V203" s="130">
        <f t="shared" si="210"/>
        <v>4.5972783289280086</v>
      </c>
      <c r="W203" s="130">
        <f t="shared" si="210"/>
        <v>4.467597603569299</v>
      </c>
      <c r="X203" s="130">
        <f t="shared" si="210"/>
        <v>4.0414616567922161</v>
      </c>
      <c r="Y203" s="130">
        <f t="shared" si="210"/>
        <v>3.571335049307657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145.75993756417481</v>
      </c>
      <c r="C204" s="130">
        <f t="shared" si="211"/>
        <v>142.18748243286575</v>
      </c>
      <c r="D204" s="130">
        <f t="shared" si="211"/>
        <v>150.22915090043077</v>
      </c>
      <c r="E204" s="130">
        <f t="shared" si="211"/>
        <v>145.06881949638384</v>
      </c>
      <c r="F204" s="130">
        <f t="shared" si="211"/>
        <v>156.62656576983741</v>
      </c>
      <c r="G204" s="130">
        <f t="shared" si="211"/>
        <v>158.22469548198131</v>
      </c>
      <c r="H204" s="130">
        <f t="shared" si="211"/>
        <v>179.88313354625879</v>
      </c>
      <c r="I204" s="130">
        <f t="shared" si="211"/>
        <v>188.03907072008417</v>
      </c>
      <c r="J204" s="130">
        <f t="shared" si="211"/>
        <v>207.51192331104781</v>
      </c>
      <c r="K204" s="130">
        <f t="shared" si="211"/>
        <v>175.39809052264224</v>
      </c>
      <c r="L204" s="130">
        <f t="shared" si="211"/>
        <v>163.63366543927299</v>
      </c>
      <c r="M204" s="130">
        <f t="shared" si="211"/>
        <v>112.86792833968224</v>
      </c>
      <c r="N204" s="130">
        <f t="shared" si="211"/>
        <v>136.33051991350013</v>
      </c>
      <c r="O204" s="130">
        <f t="shared" si="211"/>
        <v>115.45868590102899</v>
      </c>
      <c r="P204" s="130">
        <f t="shared" si="211"/>
        <v>95.118653897812877</v>
      </c>
      <c r="Q204" s="130">
        <f t="shared" si="211"/>
        <v>82.010069367325329</v>
      </c>
      <c r="R204" s="130">
        <f t="shared" si="211"/>
        <v>61.597173337168194</v>
      </c>
      <c r="S204" s="130">
        <f t="shared" si="211"/>
        <v>52.222834407245905</v>
      </c>
      <c r="T204" s="130">
        <f t="shared" si="211"/>
        <v>30.491331479565918</v>
      </c>
      <c r="U204" s="130">
        <f t="shared" si="211"/>
        <v>34.704128123923347</v>
      </c>
      <c r="V204" s="130">
        <f t="shared" si="211"/>
        <v>152.97323297074115</v>
      </c>
      <c r="W204" s="130">
        <f t="shared" si="211"/>
        <v>120.03853322936742</v>
      </c>
      <c r="X204" s="130">
        <f t="shared" si="211"/>
        <v>137.62189192872452</v>
      </c>
      <c r="Y204" s="130">
        <f t="shared" si="211"/>
        <v>172.60380940317378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747.52515664429268</v>
      </c>
      <c r="C205" s="97">
        <f t="shared" si="212"/>
        <v>749.89628169583546</v>
      </c>
      <c r="D205" s="97">
        <f t="shared" si="212"/>
        <v>730.84760711238505</v>
      </c>
      <c r="E205" s="97">
        <f t="shared" si="212"/>
        <v>688.50724941999886</v>
      </c>
      <c r="F205" s="97">
        <f t="shared" si="212"/>
        <v>731.19455815322715</v>
      </c>
      <c r="G205" s="97">
        <f t="shared" si="212"/>
        <v>720.73289903536829</v>
      </c>
      <c r="H205" s="97">
        <f t="shared" si="212"/>
        <v>771.89367420389692</v>
      </c>
      <c r="I205" s="97">
        <f t="shared" si="212"/>
        <v>658.93972315629605</v>
      </c>
      <c r="J205" s="97">
        <f t="shared" si="212"/>
        <v>571.4349917834985</v>
      </c>
      <c r="K205" s="97">
        <f t="shared" si="212"/>
        <v>470.06402756060157</v>
      </c>
      <c r="L205" s="97">
        <f t="shared" si="212"/>
        <v>370.53339106120342</v>
      </c>
      <c r="M205" s="97">
        <f t="shared" si="212"/>
        <v>473.2851079832426</v>
      </c>
      <c r="N205" s="97">
        <f t="shared" si="212"/>
        <v>721.37991678134676</v>
      </c>
      <c r="O205" s="97">
        <f t="shared" si="212"/>
        <v>668.70486397175409</v>
      </c>
      <c r="P205" s="97">
        <f t="shared" si="212"/>
        <v>510.23797760567624</v>
      </c>
      <c r="Q205" s="97">
        <f t="shared" si="212"/>
        <v>515.92193213272049</v>
      </c>
      <c r="R205" s="97">
        <f t="shared" si="212"/>
        <v>382.22419491982345</v>
      </c>
      <c r="S205" s="97">
        <f t="shared" si="212"/>
        <v>376.21988641412963</v>
      </c>
      <c r="T205" s="97">
        <f t="shared" si="212"/>
        <v>355.54747781599826</v>
      </c>
      <c r="U205" s="97">
        <f t="shared" si="212"/>
        <v>254.43095568406659</v>
      </c>
      <c r="V205" s="97">
        <f t="shared" si="212"/>
        <v>239.8199624580881</v>
      </c>
      <c r="W205" s="97">
        <f t="shared" si="212"/>
        <v>246.57684081571671</v>
      </c>
      <c r="X205" s="97">
        <f t="shared" si="212"/>
        <v>264.85441520455225</v>
      </c>
      <c r="Y205" s="97">
        <f t="shared" si="212"/>
        <v>238.99819000445561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143.48143775349047</v>
      </c>
      <c r="C206" s="97">
        <f t="shared" si="213"/>
        <v>138.42569407411264</v>
      </c>
      <c r="D206" s="97">
        <f t="shared" si="213"/>
        <v>147.18353564718655</v>
      </c>
      <c r="E206" s="97">
        <f t="shared" si="213"/>
        <v>143.7968312116455</v>
      </c>
      <c r="F206" s="97">
        <f t="shared" si="213"/>
        <v>158.34977089070702</v>
      </c>
      <c r="G206" s="97">
        <f t="shared" si="213"/>
        <v>145.05072994484505</v>
      </c>
      <c r="H206" s="97">
        <f t="shared" si="213"/>
        <v>151.46127235292673</v>
      </c>
      <c r="I206" s="97">
        <f t="shared" si="213"/>
        <v>165.66769415819235</v>
      </c>
      <c r="J206" s="97">
        <f t="shared" si="213"/>
        <v>208.61570576396718</v>
      </c>
      <c r="K206" s="97">
        <f t="shared" si="213"/>
        <v>177.60540580310649</v>
      </c>
      <c r="L206" s="97">
        <f t="shared" si="213"/>
        <v>194.11546170738853</v>
      </c>
      <c r="M206" s="97">
        <f t="shared" si="213"/>
        <v>219.63510559161645</v>
      </c>
      <c r="N206" s="97">
        <f t="shared" si="213"/>
        <v>209.50760762888885</v>
      </c>
      <c r="O206" s="97">
        <f t="shared" si="213"/>
        <v>198.49103646807168</v>
      </c>
      <c r="P206" s="97">
        <f t="shared" si="213"/>
        <v>155.63024803234862</v>
      </c>
      <c r="Q206" s="97">
        <f t="shared" si="213"/>
        <v>145.48785840983075</v>
      </c>
      <c r="R206" s="97">
        <f t="shared" si="213"/>
        <v>120.4356759345077</v>
      </c>
      <c r="S206" s="97">
        <f t="shared" si="213"/>
        <v>128.25699102394654</v>
      </c>
      <c r="T206" s="97">
        <f t="shared" si="213"/>
        <v>138.81907217583995</v>
      </c>
      <c r="U206" s="97">
        <f t="shared" si="213"/>
        <v>122.82535827414873</v>
      </c>
      <c r="V206" s="97">
        <f t="shared" si="213"/>
        <v>201.30117874373673</v>
      </c>
      <c r="W206" s="97">
        <f t="shared" si="213"/>
        <v>193.47769586903851</v>
      </c>
      <c r="X206" s="97">
        <f t="shared" si="213"/>
        <v>170.5094934406454</v>
      </c>
      <c r="Y206" s="97">
        <f t="shared" si="213"/>
        <v>210.79419665213211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41.97860841556124</v>
      </c>
      <c r="C207" s="97">
        <f t="shared" si="214"/>
        <v>39.98470397807084</v>
      </c>
      <c r="D207" s="97">
        <f t="shared" si="214"/>
        <v>42.286250720631735</v>
      </c>
      <c r="E207" s="97">
        <f t="shared" si="214"/>
        <v>46.503621742869917</v>
      </c>
      <c r="F207" s="97">
        <f t="shared" si="214"/>
        <v>47.899556666578562</v>
      </c>
      <c r="G207" s="97">
        <f t="shared" si="214"/>
        <v>57.910310796994423</v>
      </c>
      <c r="H207" s="97">
        <f t="shared" si="214"/>
        <v>52.683345579961355</v>
      </c>
      <c r="I207" s="97">
        <f t="shared" si="214"/>
        <v>45.510936012689221</v>
      </c>
      <c r="J207" s="97">
        <f t="shared" si="214"/>
        <v>43.552576225977674</v>
      </c>
      <c r="K207" s="97">
        <f t="shared" si="214"/>
        <v>34.335752181889141</v>
      </c>
      <c r="L207" s="97">
        <f t="shared" si="214"/>
        <v>29.127518104984635</v>
      </c>
      <c r="M207" s="97">
        <f t="shared" si="214"/>
        <v>36.281351225269873</v>
      </c>
      <c r="N207" s="97">
        <f t="shared" si="214"/>
        <v>41.262563758785447</v>
      </c>
      <c r="O207" s="97">
        <f t="shared" si="214"/>
        <v>53.888857411835772</v>
      </c>
      <c r="P207" s="97">
        <f t="shared" si="214"/>
        <v>54.676435732283949</v>
      </c>
      <c r="Q207" s="97">
        <f t="shared" si="214"/>
        <v>46.977968752257972</v>
      </c>
      <c r="R207" s="97">
        <f t="shared" si="214"/>
        <v>34.964615006583664</v>
      </c>
      <c r="S207" s="97">
        <f t="shared" si="214"/>
        <v>28.90692100636301</v>
      </c>
      <c r="T207" s="97">
        <f t="shared" si="214"/>
        <v>23.122587571319521</v>
      </c>
      <c r="U207" s="97">
        <f t="shared" si="214"/>
        <v>22.873140795571164</v>
      </c>
      <c r="V207" s="97">
        <f t="shared" si="214"/>
        <v>69.064960875961617</v>
      </c>
      <c r="W207" s="97">
        <f t="shared" si="214"/>
        <v>47.002556715652808</v>
      </c>
      <c r="X207" s="97">
        <f t="shared" si="214"/>
        <v>37.543802486307804</v>
      </c>
      <c r="Y207" s="97">
        <f t="shared" si="214"/>
        <v>30.999944766482635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189.65056045465914</v>
      </c>
      <c r="C208" s="130">
        <f t="shared" si="215"/>
        <v>175.40299205016785</v>
      </c>
      <c r="D208" s="130">
        <f t="shared" si="215"/>
        <v>181.87756360819583</v>
      </c>
      <c r="E208" s="130">
        <f t="shared" si="215"/>
        <v>175.59089419474543</v>
      </c>
      <c r="F208" s="130">
        <f t="shared" si="215"/>
        <v>109.83724114420504</v>
      </c>
      <c r="G208" s="130">
        <f t="shared" si="215"/>
        <v>150.66489510682328</v>
      </c>
      <c r="H208" s="130">
        <f t="shared" si="215"/>
        <v>150.94443792871292</v>
      </c>
      <c r="I208" s="130">
        <f t="shared" si="215"/>
        <v>158.4470800335931</v>
      </c>
      <c r="J208" s="130">
        <f t="shared" si="215"/>
        <v>45.871272311916506</v>
      </c>
      <c r="K208" s="130">
        <f t="shared" si="215"/>
        <v>59.30729772985201</v>
      </c>
      <c r="L208" s="130">
        <f t="shared" si="215"/>
        <v>37.330692700283862</v>
      </c>
      <c r="M208" s="130">
        <f t="shared" si="215"/>
        <v>50.238288489546669</v>
      </c>
      <c r="N208" s="130">
        <f t="shared" si="215"/>
        <v>43.272061641006665</v>
      </c>
      <c r="O208" s="130">
        <f t="shared" si="215"/>
        <v>47.725032649148957</v>
      </c>
      <c r="P208" s="130">
        <f t="shared" si="215"/>
        <v>56.441490874166576</v>
      </c>
      <c r="Q208" s="130">
        <f t="shared" si="215"/>
        <v>43.736489985186395</v>
      </c>
      <c r="R208" s="130">
        <f t="shared" si="215"/>
        <v>49.130477522510986</v>
      </c>
      <c r="S208" s="130">
        <f t="shared" si="215"/>
        <v>52.961317128337214</v>
      </c>
      <c r="T208" s="130">
        <f t="shared" si="215"/>
        <v>67.179558591588588</v>
      </c>
      <c r="U208" s="130">
        <f t="shared" si="215"/>
        <v>57.64154345394283</v>
      </c>
      <c r="V208" s="130">
        <f t="shared" si="215"/>
        <v>43.80189215544663</v>
      </c>
      <c r="W208" s="130">
        <f t="shared" si="215"/>
        <v>54.539216541296149</v>
      </c>
      <c r="X208" s="130">
        <f t="shared" si="215"/>
        <v>77.916075265595339</v>
      </c>
      <c r="Y208" s="130">
        <f t="shared" si="215"/>
        <v>91.973688281275855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221.28513069472842</v>
      </c>
      <c r="C209" s="97">
        <f t="shared" si="216"/>
        <v>212.18740446321348</v>
      </c>
      <c r="D209" s="97">
        <f t="shared" si="216"/>
        <v>221.14501724417738</v>
      </c>
      <c r="E209" s="97">
        <f t="shared" si="216"/>
        <v>218.53231839224637</v>
      </c>
      <c r="F209" s="97">
        <f t="shared" si="216"/>
        <v>151.09070000181805</v>
      </c>
      <c r="G209" s="97">
        <f t="shared" si="216"/>
        <v>212.34851215087085</v>
      </c>
      <c r="H209" s="97">
        <f t="shared" si="216"/>
        <v>172.70094692313452</v>
      </c>
      <c r="I209" s="97">
        <f t="shared" si="216"/>
        <v>177.85865129919318</v>
      </c>
      <c r="J209" s="97">
        <f t="shared" si="216"/>
        <v>65.027825958564804</v>
      </c>
      <c r="K209" s="97">
        <f t="shared" si="216"/>
        <v>86.482522795980941</v>
      </c>
      <c r="L209" s="97">
        <f t="shared" si="216"/>
        <v>68.542068011090606</v>
      </c>
      <c r="M209" s="97">
        <f t="shared" si="216"/>
        <v>77.276169856625856</v>
      </c>
      <c r="N209" s="97">
        <f t="shared" si="216"/>
        <v>60.329094781525924</v>
      </c>
      <c r="O209" s="97">
        <f t="shared" si="216"/>
        <v>61.907718756782536</v>
      </c>
      <c r="P209" s="97">
        <f t="shared" si="216"/>
        <v>69.644547675812348</v>
      </c>
      <c r="Q209" s="97">
        <f t="shared" si="216"/>
        <v>61.336938937599719</v>
      </c>
      <c r="R209" s="97">
        <f t="shared" si="216"/>
        <v>68.168403535277164</v>
      </c>
      <c r="S209" s="97">
        <f t="shared" si="216"/>
        <v>76.39561272419796</v>
      </c>
      <c r="T209" s="97">
        <f t="shared" si="216"/>
        <v>83.618784416561638</v>
      </c>
      <c r="U209" s="97">
        <f t="shared" si="216"/>
        <v>78.499071910074065</v>
      </c>
      <c r="V209" s="97">
        <f t="shared" si="216"/>
        <v>56.928316395078319</v>
      </c>
      <c r="W209" s="97">
        <f t="shared" si="216"/>
        <v>66.182631378249383</v>
      </c>
      <c r="X209" s="97">
        <f t="shared" si="216"/>
        <v>88.80569478159596</v>
      </c>
      <c r="Y209" s="97">
        <f t="shared" si="216"/>
        <v>96.238324609408252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145.3105796853452</v>
      </c>
      <c r="C210" s="98">
        <f t="shared" si="217"/>
        <v>132.56712507838623</v>
      </c>
      <c r="D210" s="98">
        <f t="shared" si="217"/>
        <v>136.18082740798101</v>
      </c>
      <c r="E210" s="98">
        <f t="shared" si="217"/>
        <v>129.75553545542289</v>
      </c>
      <c r="F210" s="98">
        <f t="shared" si="217"/>
        <v>88.913403704487806</v>
      </c>
      <c r="G210" s="98">
        <f t="shared" si="217"/>
        <v>99.66252969206414</v>
      </c>
      <c r="H210" s="98">
        <f t="shared" si="217"/>
        <v>131.01592427763705</v>
      </c>
      <c r="I210" s="98">
        <f t="shared" si="217"/>
        <v>138.87558591481402</v>
      </c>
      <c r="J210" s="98">
        <f t="shared" si="217"/>
        <v>43.680668074544144</v>
      </c>
      <c r="K210" s="98">
        <f t="shared" si="217"/>
        <v>56.66348848848039</v>
      </c>
      <c r="L210" s="98">
        <f t="shared" si="217"/>
        <v>35.068963708745329</v>
      </c>
      <c r="M210" s="98">
        <f t="shared" si="217"/>
        <v>47.689733738202044</v>
      </c>
      <c r="N210" s="98">
        <f t="shared" si="217"/>
        <v>41.894728309512246</v>
      </c>
      <c r="O210" s="98">
        <f t="shared" si="217"/>
        <v>46.573199869232511</v>
      </c>
      <c r="P210" s="98">
        <f t="shared" si="217"/>
        <v>55.313477758705289</v>
      </c>
      <c r="Q210" s="98">
        <f t="shared" si="217"/>
        <v>42.18901205931801</v>
      </c>
      <c r="R210" s="98">
        <f t="shared" si="217"/>
        <v>48.309341713697201</v>
      </c>
      <c r="S210" s="98">
        <f t="shared" si="217"/>
        <v>51.800238578648568</v>
      </c>
      <c r="T210" s="98">
        <f t="shared" si="217"/>
        <v>66.240607234550112</v>
      </c>
      <c r="U210" s="98">
        <f t="shared" si="217"/>
        <v>56.793578761128117</v>
      </c>
      <c r="V210" s="98">
        <f t="shared" si="217"/>
        <v>43.318918240317323</v>
      </c>
      <c r="W210" s="98">
        <f t="shared" si="217"/>
        <v>54.037691330275187</v>
      </c>
      <c r="X210" s="98">
        <f t="shared" si="217"/>
        <v>77.213429429530976</v>
      </c>
      <c r="Y210" s="98">
        <f t="shared" si="217"/>
        <v>91.685553304999004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0.59272511158018992</v>
      </c>
      <c r="C211" s="32">
        <f t="shared" si="218"/>
        <v>0.59685642158742092</v>
      </c>
      <c r="D211" s="32">
        <f t="shared" si="218"/>
        <v>0.59593903126317638</v>
      </c>
      <c r="E211" s="32">
        <f t="shared" si="218"/>
        <v>0.59554199218903259</v>
      </c>
      <c r="F211" s="32">
        <f t="shared" si="218"/>
        <v>0.5957595585349027</v>
      </c>
      <c r="G211" s="32">
        <f t="shared" si="218"/>
        <v>0.60005501471728995</v>
      </c>
      <c r="H211" s="32">
        <f t="shared" si="218"/>
        <v>0.55686080926717541</v>
      </c>
      <c r="I211" s="32">
        <f t="shared" si="218"/>
        <v>0.47710420391459785</v>
      </c>
      <c r="J211" s="32">
        <f t="shared" si="218"/>
        <v>0.38538645577784708</v>
      </c>
      <c r="K211" s="32">
        <f t="shared" si="218"/>
        <v>0.1908790814499064</v>
      </c>
      <c r="L211" s="32">
        <f t="shared" si="218"/>
        <v>0.17844666611301743</v>
      </c>
      <c r="M211" s="32">
        <f t="shared" si="218"/>
        <v>0.68555069036524374</v>
      </c>
      <c r="N211" s="32">
        <f t="shared" si="218"/>
        <v>0.13553136710830838</v>
      </c>
      <c r="O211" s="32">
        <f t="shared" si="218"/>
        <v>0.14094417794096362</v>
      </c>
      <c r="P211" s="32">
        <f t="shared" si="218"/>
        <v>0.1582060696536397</v>
      </c>
      <c r="Q211" s="32">
        <f t="shared" si="218"/>
        <v>0.12368891366489732</v>
      </c>
      <c r="R211" s="32">
        <f t="shared" si="218"/>
        <v>0.13840111297925922</v>
      </c>
      <c r="S211" s="32">
        <f t="shared" si="218"/>
        <v>0.17023280587548101</v>
      </c>
      <c r="T211" s="32">
        <f t="shared" si="218"/>
        <v>0.4487335685650774</v>
      </c>
      <c r="U211" s="32">
        <f t="shared" si="218"/>
        <v>0.56289453356031693</v>
      </c>
      <c r="V211" s="32">
        <f t="shared" si="218"/>
        <v>0.50697020808743865</v>
      </c>
      <c r="W211" s="32">
        <f t="shared" si="218"/>
        <v>0.5482868823253837</v>
      </c>
      <c r="X211" s="32">
        <f t="shared" si="218"/>
        <v>0.39310054677094591</v>
      </c>
      <c r="Y211" s="32">
        <f t="shared" si="218"/>
        <v>0.43824282284384775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1.3235771628497628</v>
      </c>
      <c r="C212" s="97">
        <f t="shared" si="219"/>
        <v>1.3505363806019035</v>
      </c>
      <c r="D212" s="97">
        <f t="shared" si="219"/>
        <v>1.343773988867164</v>
      </c>
      <c r="E212" s="97">
        <f t="shared" si="219"/>
        <v>1.3403313397475749</v>
      </c>
      <c r="F212" s="97">
        <f t="shared" si="219"/>
        <v>1.3422830001119277</v>
      </c>
      <c r="G212" s="97">
        <f t="shared" si="219"/>
        <v>1.3704399440501134</v>
      </c>
      <c r="H212" s="97">
        <f t="shared" si="219"/>
        <v>1.2159094669201473</v>
      </c>
      <c r="I212" s="97">
        <f t="shared" si="219"/>
        <v>1.1591783664634281</v>
      </c>
      <c r="J212" s="97">
        <f t="shared" si="219"/>
        <v>1.039976809906396</v>
      </c>
      <c r="K212" s="97">
        <f t="shared" si="219"/>
        <v>0.41707069103077998</v>
      </c>
      <c r="L212" s="97">
        <f t="shared" si="219"/>
        <v>0.4421218150508533</v>
      </c>
      <c r="M212" s="97">
        <f t="shared" si="219"/>
        <v>1.6352773139262853</v>
      </c>
      <c r="N212" s="97">
        <f t="shared" si="219"/>
        <v>0.34226841942476438</v>
      </c>
      <c r="O212" s="97">
        <f t="shared" si="219"/>
        <v>0.40409502859960106</v>
      </c>
      <c r="P212" s="97">
        <f t="shared" si="219"/>
        <v>0.48200009459646859</v>
      </c>
      <c r="Q212" s="97">
        <f t="shared" si="219"/>
        <v>0.40559832802333901</v>
      </c>
      <c r="R212" s="97">
        <f t="shared" si="219"/>
        <v>0.44785512273388672</v>
      </c>
      <c r="S212" s="97">
        <f t="shared" si="219"/>
        <v>0.53293285971377391</v>
      </c>
      <c r="T212" s="97">
        <f t="shared" si="219"/>
        <v>1.5042019965920204</v>
      </c>
      <c r="U212" s="97">
        <f t="shared" si="219"/>
        <v>1.8926288148228323</v>
      </c>
      <c r="V212" s="97">
        <f t="shared" si="219"/>
        <v>1.2808111915364437</v>
      </c>
      <c r="W212" s="97">
        <f t="shared" si="219"/>
        <v>1.3430020735632886</v>
      </c>
      <c r="X212" s="97">
        <f t="shared" si="219"/>
        <v>1.0441302811922135</v>
      </c>
      <c r="Y212" s="97">
        <f t="shared" si="219"/>
        <v>1.1396514931334747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0.39354667036238405</v>
      </c>
      <c r="C213" s="98">
        <f t="shared" si="220"/>
        <v>0.39598624326441972</v>
      </c>
      <c r="D213" s="98">
        <f t="shared" si="220"/>
        <v>0.39630435760386468</v>
      </c>
      <c r="E213" s="98">
        <f t="shared" si="220"/>
        <v>0.39613389321289583</v>
      </c>
      <c r="F213" s="98">
        <f t="shared" si="220"/>
        <v>0.39602223388423069</v>
      </c>
      <c r="G213" s="98">
        <f t="shared" si="220"/>
        <v>0.39927788024766225</v>
      </c>
      <c r="H213" s="98">
        <f t="shared" si="220"/>
        <v>0.36830758751627174</v>
      </c>
      <c r="I213" s="98">
        <f t="shared" si="220"/>
        <v>0.32101267788723564</v>
      </c>
      <c r="J213" s="98">
        <f t="shared" si="220"/>
        <v>0.26613328864985153</v>
      </c>
      <c r="K213" s="98">
        <f t="shared" si="220"/>
        <v>0.12216627176806465</v>
      </c>
      <c r="L213" s="98">
        <f t="shared" si="220"/>
        <v>0.11620334591806061</v>
      </c>
      <c r="M213" s="98">
        <f t="shared" si="220"/>
        <v>0.43922277393974862</v>
      </c>
      <c r="N213" s="98">
        <f t="shared" si="220"/>
        <v>8.7248508082575046E-2</v>
      </c>
      <c r="O213" s="98">
        <f t="shared" si="220"/>
        <v>9.6396278497319132E-2</v>
      </c>
      <c r="P213" s="98">
        <f t="shared" si="220"/>
        <v>0.10965933954652524</v>
      </c>
      <c r="Q213" s="98">
        <f t="shared" si="220"/>
        <v>8.8555778457553594E-2</v>
      </c>
      <c r="R213" s="98">
        <f t="shared" si="220"/>
        <v>0.10147959627836191</v>
      </c>
      <c r="S213" s="98">
        <f t="shared" si="220"/>
        <v>0.12419183725780582</v>
      </c>
      <c r="T213" s="98">
        <f t="shared" si="220"/>
        <v>0.33317935918791741</v>
      </c>
      <c r="U213" s="98">
        <f t="shared" si="220"/>
        <v>0.40592499419826916</v>
      </c>
      <c r="V213" s="98">
        <f t="shared" si="220"/>
        <v>0.3693406291781256</v>
      </c>
      <c r="W213" s="98">
        <f t="shared" si="220"/>
        <v>0.39059049390673439</v>
      </c>
      <c r="X213" s="98">
        <f t="shared" si="220"/>
        <v>0.26613175901453967</v>
      </c>
      <c r="Y213" s="98">
        <f t="shared" si="220"/>
        <v>0.28778804919998918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138.85084848527541</v>
      </c>
      <c r="C216" s="32">
        <f t="shared" si="221"/>
        <v>132.72829306147696</v>
      </c>
      <c r="D216" s="32">
        <f t="shared" si="221"/>
        <v>129.72393686373442</v>
      </c>
      <c r="E216" s="32">
        <f t="shared" si="221"/>
        <v>135.64564863438648</v>
      </c>
      <c r="F216" s="32">
        <f t="shared" si="221"/>
        <v>133.97531403276614</v>
      </c>
      <c r="G216" s="32">
        <f t="shared" si="221"/>
        <v>135.70254640249178</v>
      </c>
      <c r="H216" s="32">
        <f t="shared" si="221"/>
        <v>137.4912457048373</v>
      </c>
      <c r="I216" s="32">
        <f t="shared" si="221"/>
        <v>142.40744774539544</v>
      </c>
      <c r="J216" s="32">
        <f t="shared" si="221"/>
        <v>135.55301501674987</v>
      </c>
      <c r="K216" s="32">
        <f t="shared" si="221"/>
        <v>139.61054473895402</v>
      </c>
      <c r="L216" s="32">
        <f t="shared" si="221"/>
        <v>139.2750531547353</v>
      </c>
      <c r="M216" s="32">
        <f t="shared" si="221"/>
        <v>140.64452919298793</v>
      </c>
      <c r="N216" s="32">
        <f t="shared" si="221"/>
        <v>135.09861834489976</v>
      </c>
      <c r="O216" s="32">
        <f t="shared" si="221"/>
        <v>132.81775521952471</v>
      </c>
      <c r="P216" s="32">
        <f t="shared" si="221"/>
        <v>133.07046294186202</v>
      </c>
      <c r="Q216" s="32">
        <f t="shared" si="221"/>
        <v>138.03739320360359</v>
      </c>
      <c r="R216" s="32">
        <f t="shared" si="221"/>
        <v>142.07255150734446</v>
      </c>
      <c r="S216" s="32">
        <f t="shared" si="221"/>
        <v>142.99269876900462</v>
      </c>
      <c r="T216" s="32">
        <f t="shared" si="221"/>
        <v>142.03071116105625</v>
      </c>
      <c r="U216" s="32">
        <f t="shared" si="221"/>
        <v>141.53471380598825</v>
      </c>
      <c r="V216" s="32">
        <f t="shared" si="221"/>
        <v>172.10014048961963</v>
      </c>
      <c r="W216" s="32">
        <f t="shared" si="221"/>
        <v>161.8074624118328</v>
      </c>
      <c r="X216" s="32">
        <f t="shared" si="221"/>
        <v>156.41082769642452</v>
      </c>
      <c r="Y216" s="32">
        <f t="shared" si="221"/>
        <v>166.95760219408689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147.23010383728035</v>
      </c>
      <c r="C217" s="141">
        <f t="shared" si="222"/>
        <v>140.13858872146861</v>
      </c>
      <c r="D217" s="141">
        <f t="shared" si="222"/>
        <v>136.16150515774689</v>
      </c>
      <c r="E217" s="141">
        <f t="shared" si="222"/>
        <v>142.65686028630319</v>
      </c>
      <c r="F217" s="141">
        <f t="shared" si="222"/>
        <v>140.34709475300352</v>
      </c>
      <c r="G217" s="141">
        <f t="shared" si="222"/>
        <v>143.02937800768569</v>
      </c>
      <c r="H217" s="141">
        <f t="shared" si="222"/>
        <v>146.14191757354203</v>
      </c>
      <c r="I217" s="141">
        <f t="shared" si="222"/>
        <v>153.04589897462211</v>
      </c>
      <c r="J217" s="141">
        <f t="shared" si="222"/>
        <v>144.06774258013087</v>
      </c>
      <c r="K217" s="141">
        <f t="shared" si="222"/>
        <v>150.45065903226697</v>
      </c>
      <c r="L217" s="141">
        <f t="shared" si="222"/>
        <v>150.89221548257106</v>
      </c>
      <c r="M217" s="141">
        <f t="shared" si="222"/>
        <v>151.46538513839118</v>
      </c>
      <c r="N217" s="141">
        <f t="shared" si="222"/>
        <v>143.87440554046492</v>
      </c>
      <c r="O217" s="141">
        <f t="shared" si="222"/>
        <v>140.44532375968313</v>
      </c>
      <c r="P217" s="141">
        <f t="shared" si="222"/>
        <v>142.10760372596295</v>
      </c>
      <c r="Q217" s="141">
        <f t="shared" si="222"/>
        <v>150.01094501112888</v>
      </c>
      <c r="R217" s="141">
        <f t="shared" si="222"/>
        <v>156.76878567454781</v>
      </c>
      <c r="S217" s="141">
        <f t="shared" si="222"/>
        <v>160.17750548755853</v>
      </c>
      <c r="T217" s="141">
        <f t="shared" si="222"/>
        <v>160.01500162223579</v>
      </c>
      <c r="U217" s="141">
        <f t="shared" si="222"/>
        <v>160.21091499588377</v>
      </c>
      <c r="V217" s="141">
        <f t="shared" si="222"/>
        <v>178.35354095735485</v>
      </c>
      <c r="W217" s="141">
        <f t="shared" si="222"/>
        <v>171.44935812707527</v>
      </c>
      <c r="X217" s="141">
        <f t="shared" si="222"/>
        <v>174.44660016397978</v>
      </c>
      <c r="Y217" s="141">
        <f t="shared" si="222"/>
        <v>192.61669236735955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100.33076387195128</v>
      </c>
      <c r="C218" s="97">
        <f t="shared" si="223"/>
        <v>100.12659987506589</v>
      </c>
      <c r="D218" s="97">
        <f t="shared" si="223"/>
        <v>98.770426475911194</v>
      </c>
      <c r="E218" s="97">
        <f t="shared" si="223"/>
        <v>95.578738524532071</v>
      </c>
      <c r="F218" s="97">
        <f t="shared" si="223"/>
        <v>93.18367599629849</v>
      </c>
      <c r="G218" s="97">
        <f t="shared" si="223"/>
        <v>91.095889982516738</v>
      </c>
      <c r="H218" s="97">
        <f t="shared" si="223"/>
        <v>89.308187863906426</v>
      </c>
      <c r="I218" s="97">
        <f t="shared" si="223"/>
        <v>88.213180220067869</v>
      </c>
      <c r="J218" s="97">
        <f t="shared" si="223"/>
        <v>87.34544807295093</v>
      </c>
      <c r="K218" s="97">
        <f t="shared" si="223"/>
        <v>86.429304098065543</v>
      </c>
      <c r="L218" s="97">
        <f t="shared" si="223"/>
        <v>86.401906333743881</v>
      </c>
      <c r="M218" s="97">
        <f t="shared" si="223"/>
        <v>86.208170883686748</v>
      </c>
      <c r="N218" s="97">
        <f t="shared" si="223"/>
        <v>86.516531339711861</v>
      </c>
      <c r="O218" s="97">
        <f t="shared" si="223"/>
        <v>85.93740190710831</v>
      </c>
      <c r="P218" s="97">
        <f t="shared" si="223"/>
        <v>85.288403308064346</v>
      </c>
      <c r="Q218" s="97">
        <f t="shared" si="223"/>
        <v>85.001238171664426</v>
      </c>
      <c r="R218" s="97">
        <f t="shared" si="223"/>
        <v>84.127964905217922</v>
      </c>
      <c r="S218" s="97">
        <f t="shared" si="223"/>
        <v>84.126805395625453</v>
      </c>
      <c r="T218" s="97">
        <f t="shared" si="223"/>
        <v>83.447238756161937</v>
      </c>
      <c r="U218" s="97">
        <f t="shared" si="223"/>
        <v>82.60886400529597</v>
      </c>
      <c r="V218" s="97">
        <f t="shared" si="223"/>
        <v>82.479688301650043</v>
      </c>
      <c r="W218" s="97">
        <f t="shared" si="223"/>
        <v>82.483660316393397</v>
      </c>
      <c r="X218" s="97">
        <f t="shared" si="223"/>
        <v>83.12525840570558</v>
      </c>
      <c r="Y218" s="97">
        <f t="shared" si="223"/>
        <v>82.754063833357876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144.69754361512264</v>
      </c>
      <c r="C219" s="97">
        <f t="shared" si="224"/>
        <v>138.41621935322573</v>
      </c>
      <c r="D219" s="97">
        <f t="shared" si="224"/>
        <v>134.64247418976439</v>
      </c>
      <c r="E219" s="97">
        <f t="shared" si="224"/>
        <v>143.22748837118482</v>
      </c>
      <c r="F219" s="97">
        <f t="shared" si="224"/>
        <v>139.19402752391386</v>
      </c>
      <c r="G219" s="97">
        <f t="shared" si="224"/>
        <v>142.72535706510499</v>
      </c>
      <c r="H219" s="97">
        <f t="shared" si="224"/>
        <v>147.27253807497991</v>
      </c>
      <c r="I219" s="97">
        <f t="shared" si="224"/>
        <v>156.16022792369645</v>
      </c>
      <c r="J219" s="97">
        <f t="shared" si="224"/>
        <v>147.35526064499089</v>
      </c>
      <c r="K219" s="97">
        <f t="shared" si="224"/>
        <v>150.72485969822782</v>
      </c>
      <c r="L219" s="97">
        <f t="shared" si="224"/>
        <v>150.13222429971123</v>
      </c>
      <c r="M219" s="97">
        <f t="shared" si="224"/>
        <v>150.99067044276481</v>
      </c>
      <c r="N219" s="97">
        <f t="shared" si="224"/>
        <v>143.92396006812348</v>
      </c>
      <c r="O219" s="97">
        <f t="shared" si="224"/>
        <v>141.18747237230912</v>
      </c>
      <c r="P219" s="97">
        <f t="shared" si="224"/>
        <v>143.63566058033828</v>
      </c>
      <c r="Q219" s="97">
        <f t="shared" si="224"/>
        <v>149.84435067342247</v>
      </c>
      <c r="R219" s="97">
        <f t="shared" si="224"/>
        <v>158.82696136606879</v>
      </c>
      <c r="S219" s="97">
        <f t="shared" si="224"/>
        <v>163.74781110787674</v>
      </c>
      <c r="T219" s="97">
        <f t="shared" si="224"/>
        <v>161.8017701568867</v>
      </c>
      <c r="U219" s="97">
        <f t="shared" si="224"/>
        <v>167.32198232735098</v>
      </c>
      <c r="V219" s="97">
        <f t="shared" si="224"/>
        <v>180.59038617317444</v>
      </c>
      <c r="W219" s="97">
        <f t="shared" si="224"/>
        <v>173.71362317393167</v>
      </c>
      <c r="X219" s="97">
        <f t="shared" si="224"/>
        <v>180.53769575846124</v>
      </c>
      <c r="Y219" s="97">
        <f t="shared" si="224"/>
        <v>201.08005808102541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164.82795391281132</v>
      </c>
      <c r="C220" s="97">
        <f t="shared" si="225"/>
        <v>152.48620775664281</v>
      </c>
      <c r="D220" s="97">
        <f t="shared" si="225"/>
        <v>147.4045960908565</v>
      </c>
      <c r="E220" s="97">
        <f t="shared" si="225"/>
        <v>141.71967475502649</v>
      </c>
      <c r="F220" s="97">
        <f t="shared" si="225"/>
        <v>151.4079046328265</v>
      </c>
      <c r="G220" s="97">
        <f t="shared" si="225"/>
        <v>148.89940879248465</v>
      </c>
      <c r="H220" s="97">
        <f t="shared" si="225"/>
        <v>142.44077663226869</v>
      </c>
      <c r="I220" s="97">
        <f t="shared" si="225"/>
        <v>136.37311257629338</v>
      </c>
      <c r="J220" s="97">
        <f t="shared" si="225"/>
        <v>126.15103576869454</v>
      </c>
      <c r="K220" s="97">
        <f t="shared" si="225"/>
        <v>153.38877560931172</v>
      </c>
      <c r="L220" s="97">
        <f t="shared" si="225"/>
        <v>162.30476804603299</v>
      </c>
      <c r="M220" s="97">
        <f t="shared" si="225"/>
        <v>160.9112665901111</v>
      </c>
      <c r="N220" s="97">
        <f t="shared" si="225"/>
        <v>148.24499840010179</v>
      </c>
      <c r="O220" s="97">
        <f t="shared" si="225"/>
        <v>139.09762532970078</v>
      </c>
      <c r="P220" s="97">
        <f t="shared" si="225"/>
        <v>135.38657229951315</v>
      </c>
      <c r="Q220" s="97">
        <f t="shared" si="225"/>
        <v>156.49296972235939</v>
      </c>
      <c r="R220" s="97">
        <f t="shared" si="225"/>
        <v>147.97985456500581</v>
      </c>
      <c r="S220" s="97">
        <f t="shared" si="225"/>
        <v>143.01542800180977</v>
      </c>
      <c r="T220" s="97">
        <f t="shared" si="225"/>
        <v>154.06058252153889</v>
      </c>
      <c r="U220" s="97">
        <f t="shared" si="225"/>
        <v>121.34360909744368</v>
      </c>
      <c r="V220" s="97">
        <f t="shared" si="225"/>
        <v>169.1550365220001</v>
      </c>
      <c r="W220" s="97">
        <f t="shared" si="225"/>
        <v>161.94874734282607</v>
      </c>
      <c r="X220" s="97">
        <f t="shared" si="225"/>
        <v>139.47970555547951</v>
      </c>
      <c r="Y220" s="97">
        <f t="shared" si="225"/>
        <v>146.1265279664901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34.655447248088315</v>
      </c>
      <c r="C221" s="130">
        <f t="shared" si="226"/>
        <v>32.72573242063563</v>
      </c>
      <c r="D221" s="130">
        <f t="shared" si="226"/>
        <v>33.161728362883743</v>
      </c>
      <c r="E221" s="130">
        <f t="shared" si="226"/>
        <v>31.105665269069863</v>
      </c>
      <c r="F221" s="130">
        <f t="shared" si="226"/>
        <v>34.017982631089438</v>
      </c>
      <c r="G221" s="130">
        <f t="shared" si="226"/>
        <v>32.132662982680941</v>
      </c>
      <c r="H221" s="130">
        <f t="shared" si="226"/>
        <v>30.751421777072405</v>
      </c>
      <c r="I221" s="130">
        <f t="shared" si="226"/>
        <v>25.487380892867051</v>
      </c>
      <c r="J221" s="130">
        <f t="shared" si="226"/>
        <v>25.014852014612401</v>
      </c>
      <c r="K221" s="130">
        <f t="shared" si="226"/>
        <v>22.606449470221698</v>
      </c>
      <c r="L221" s="130">
        <f t="shared" si="226"/>
        <v>23.002708375059235</v>
      </c>
      <c r="M221" s="130">
        <f t="shared" si="226"/>
        <v>25.63230459343422</v>
      </c>
      <c r="N221" s="130">
        <f t="shared" si="226"/>
        <v>30.047080452426542</v>
      </c>
      <c r="O221" s="130">
        <f t="shared" si="226"/>
        <v>31.231910156553493</v>
      </c>
      <c r="P221" s="130">
        <f t="shared" si="226"/>
        <v>25.678977479382308</v>
      </c>
      <c r="Q221" s="130">
        <f t="shared" si="226"/>
        <v>22.035269291217219</v>
      </c>
      <c r="R221" s="130">
        <f t="shared" si="226"/>
        <v>23.048761811058512</v>
      </c>
      <c r="S221" s="130">
        <f t="shared" si="226"/>
        <v>24.132909040138038</v>
      </c>
      <c r="T221" s="130">
        <f t="shared" si="226"/>
        <v>20.863811969301022</v>
      </c>
      <c r="U221" s="130">
        <f t="shared" si="226"/>
        <v>20.746705371612595</v>
      </c>
      <c r="V221" s="130">
        <f t="shared" si="226"/>
        <v>25.614537609551324</v>
      </c>
      <c r="W221" s="130">
        <f t="shared" si="226"/>
        <v>25.093653032824772</v>
      </c>
      <c r="X221" s="130">
        <f t="shared" si="226"/>
        <v>22.195984129818921</v>
      </c>
      <c r="Y221" s="130">
        <f t="shared" si="226"/>
        <v>16.8217466300555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48.610935662238418</v>
      </c>
      <c r="C223" s="97">
        <f t="shared" si="228"/>
        <v>46.74806268677461</v>
      </c>
      <c r="D223" s="97">
        <f t="shared" si="228"/>
        <v>48.000921920466773</v>
      </c>
      <c r="E223" s="97">
        <f t="shared" si="228"/>
        <v>45.824234867428679</v>
      </c>
      <c r="F223" s="97">
        <f t="shared" si="228"/>
        <v>49.414335329468138</v>
      </c>
      <c r="G223" s="97">
        <f t="shared" si="228"/>
        <v>46.095208534289803</v>
      </c>
      <c r="H223" s="97">
        <f t="shared" si="228"/>
        <v>43.772462338658755</v>
      </c>
      <c r="I223" s="97">
        <f t="shared" si="228"/>
        <v>36.196941779675321</v>
      </c>
      <c r="J223" s="97">
        <f t="shared" si="228"/>
        <v>33.833032780989093</v>
      </c>
      <c r="K223" s="97">
        <f t="shared" si="228"/>
        <v>29.86786183556783</v>
      </c>
      <c r="L223" s="97">
        <f t="shared" si="228"/>
        <v>30.388271709248254</v>
      </c>
      <c r="M223" s="97">
        <f t="shared" si="228"/>
        <v>34.772165154677509</v>
      </c>
      <c r="N223" s="97">
        <f t="shared" si="228"/>
        <v>44.581437516051835</v>
      </c>
      <c r="O223" s="97">
        <f t="shared" si="228"/>
        <v>49.028687641569348</v>
      </c>
      <c r="P223" s="97">
        <f t="shared" si="228"/>
        <v>41.800362755225223</v>
      </c>
      <c r="Q223" s="97">
        <f t="shared" si="228"/>
        <v>36.037757959646541</v>
      </c>
      <c r="R223" s="97">
        <f t="shared" si="228"/>
        <v>40.02137391687166</v>
      </c>
      <c r="S223" s="97">
        <f t="shared" si="228"/>
        <v>44.068233003385664</v>
      </c>
      <c r="T223" s="97">
        <f t="shared" si="228"/>
        <v>36.956179068755262</v>
      </c>
      <c r="U223" s="97">
        <f t="shared" si="228"/>
        <v>36.518213247894558</v>
      </c>
      <c r="V223" s="97">
        <f t="shared" si="228"/>
        <v>48.157846419471717</v>
      </c>
      <c r="W223" s="97">
        <f t="shared" si="228"/>
        <v>41.838908899504183</v>
      </c>
      <c r="X223" s="97">
        <f t="shared" si="228"/>
        <v>32.014836936902178</v>
      </c>
      <c r="Y223" s="97">
        <f t="shared" si="228"/>
        <v>21.687532588292132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130.79111461859171</v>
      </c>
      <c r="C225" s="130">
        <f t="shared" si="230"/>
        <v>129.6504716409504</v>
      </c>
      <c r="D225" s="130">
        <f t="shared" si="230"/>
        <v>130.54148985680797</v>
      </c>
      <c r="E225" s="130">
        <f t="shared" si="230"/>
        <v>131.90396730556952</v>
      </c>
      <c r="F225" s="130">
        <f t="shared" si="230"/>
        <v>132.35983060744908</v>
      </c>
      <c r="G225" s="130">
        <f t="shared" si="230"/>
        <v>126.93852658720067</v>
      </c>
      <c r="H225" s="130">
        <f t="shared" si="230"/>
        <v>118.58415089884026</v>
      </c>
      <c r="I225" s="130">
        <f t="shared" si="230"/>
        <v>120.02911081406444</v>
      </c>
      <c r="J225" s="130">
        <f t="shared" si="230"/>
        <v>134.57343432945299</v>
      </c>
      <c r="K225" s="130">
        <f t="shared" si="230"/>
        <v>119.26345581972375</v>
      </c>
      <c r="L225" s="130">
        <f t="shared" si="230"/>
        <v>112.72347136070822</v>
      </c>
      <c r="M225" s="130">
        <f t="shared" si="230"/>
        <v>113.3902837066378</v>
      </c>
      <c r="N225" s="130">
        <f t="shared" si="230"/>
        <v>107.61633188644721</v>
      </c>
      <c r="O225" s="130">
        <f t="shared" si="230"/>
        <v>110.49274019107561</v>
      </c>
      <c r="P225" s="130">
        <f t="shared" si="230"/>
        <v>103.77450446373398</v>
      </c>
      <c r="Q225" s="130">
        <f t="shared" si="230"/>
        <v>93.62854108309989</v>
      </c>
      <c r="R225" s="130">
        <f t="shared" si="230"/>
        <v>84.718564430960839</v>
      </c>
      <c r="S225" s="130">
        <f t="shared" si="230"/>
        <v>80.727761075100517</v>
      </c>
      <c r="T225" s="130">
        <f t="shared" si="230"/>
        <v>86.498226948109803</v>
      </c>
      <c r="U225" s="130">
        <f t="shared" si="230"/>
        <v>86.519038604382786</v>
      </c>
      <c r="V225" s="130">
        <f t="shared" si="230"/>
        <v>156.49026240163084</v>
      </c>
      <c r="W225" s="130">
        <f t="shared" si="230"/>
        <v>115.52617342971513</v>
      </c>
      <c r="X225" s="130">
        <f t="shared" si="230"/>
        <v>99.1793672847012</v>
      </c>
      <c r="Y225" s="130">
        <f t="shared" si="230"/>
        <v>93.368665820177668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186.86267185904364</v>
      </c>
      <c r="C226" s="97">
        <f t="shared" si="231"/>
        <v>187.19434960618668</v>
      </c>
      <c r="D226" s="97">
        <f t="shared" si="231"/>
        <v>187.87831246641755</v>
      </c>
      <c r="E226" s="97">
        <f t="shared" si="231"/>
        <v>188.27421348104173</v>
      </c>
      <c r="F226" s="97">
        <f t="shared" si="231"/>
        <v>188.28466701880498</v>
      </c>
      <c r="G226" s="97">
        <f t="shared" si="231"/>
        <v>184.41502467494041</v>
      </c>
      <c r="H226" s="97">
        <f t="shared" si="231"/>
        <v>214.1589302365096</v>
      </c>
      <c r="I226" s="97">
        <f t="shared" si="231"/>
        <v>204.77389441583259</v>
      </c>
      <c r="J226" s="97">
        <f t="shared" si="231"/>
        <v>188.22433766587366</v>
      </c>
      <c r="K226" s="97">
        <f t="shared" si="231"/>
        <v>190.74227785538619</v>
      </c>
      <c r="L226" s="97">
        <f t="shared" si="231"/>
        <v>171.42115240739162</v>
      </c>
      <c r="M226" s="97">
        <f t="shared" si="231"/>
        <v>173.95333041985751</v>
      </c>
      <c r="N226" s="97">
        <f t="shared" si="231"/>
        <v>163.96112968445291</v>
      </c>
      <c r="O226" s="97">
        <f t="shared" si="231"/>
        <v>169.43188659994752</v>
      </c>
      <c r="P226" s="97">
        <f t="shared" si="231"/>
        <v>170.39084468938566</v>
      </c>
      <c r="Q226" s="97">
        <f t="shared" si="231"/>
        <v>187.00964901086436</v>
      </c>
      <c r="R226" s="97">
        <f t="shared" si="231"/>
        <v>176.05876027560507</v>
      </c>
      <c r="S226" s="97">
        <f t="shared" si="231"/>
        <v>158.89891190738791</v>
      </c>
      <c r="T226" s="97">
        <f t="shared" si="231"/>
        <v>161.26554145079666</v>
      </c>
      <c r="U226" s="97">
        <f t="shared" si="231"/>
        <v>165.92604973533378</v>
      </c>
      <c r="V226" s="97">
        <f t="shared" si="231"/>
        <v>261.15325260140975</v>
      </c>
      <c r="W226" s="97">
        <f t="shared" si="231"/>
        <v>258.97236496484578</v>
      </c>
      <c r="X226" s="97">
        <f t="shared" si="231"/>
        <v>195.72589205328165</v>
      </c>
      <c r="Y226" s="97">
        <f t="shared" si="231"/>
        <v>194.44070367508181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128.60716618634893</v>
      </c>
      <c r="C227" s="97">
        <f t="shared" si="232"/>
        <v>127.26057022319445</v>
      </c>
      <c r="D227" s="97">
        <f t="shared" si="232"/>
        <v>127.0666548478053</v>
      </c>
      <c r="E227" s="97">
        <f t="shared" si="232"/>
        <v>128.03037292626428</v>
      </c>
      <c r="F227" s="97">
        <f t="shared" si="232"/>
        <v>129.09889938527351</v>
      </c>
      <c r="G227" s="97">
        <f t="shared" si="232"/>
        <v>120.64875041298197</v>
      </c>
      <c r="H227" s="97">
        <f t="shared" si="232"/>
        <v>110.15056322474889</v>
      </c>
      <c r="I227" s="97">
        <f t="shared" si="232"/>
        <v>115.14509558696079</v>
      </c>
      <c r="J227" s="97">
        <f t="shared" si="232"/>
        <v>136.84952040710101</v>
      </c>
      <c r="K227" s="97">
        <f t="shared" si="232"/>
        <v>115.99840735465177</v>
      </c>
      <c r="L227" s="97">
        <f t="shared" si="232"/>
        <v>116.5042328152195</v>
      </c>
      <c r="M227" s="97">
        <f t="shared" si="232"/>
        <v>118.72140494230067</v>
      </c>
      <c r="N227" s="97">
        <f t="shared" si="232"/>
        <v>113.03735222339647</v>
      </c>
      <c r="O227" s="97">
        <f t="shared" si="232"/>
        <v>109.31842334730152</v>
      </c>
      <c r="P227" s="97">
        <f t="shared" si="232"/>
        <v>101.31632268686667</v>
      </c>
      <c r="Q227" s="97">
        <f t="shared" si="232"/>
        <v>92.433917502138016</v>
      </c>
      <c r="R227" s="97">
        <f t="shared" si="232"/>
        <v>84.785911994424467</v>
      </c>
      <c r="S227" s="97">
        <f t="shared" si="232"/>
        <v>84.811202973804427</v>
      </c>
      <c r="T227" s="97">
        <f t="shared" si="232"/>
        <v>96.252855741402897</v>
      </c>
      <c r="U227" s="97">
        <f t="shared" si="232"/>
        <v>95.827137467178076</v>
      </c>
      <c r="V227" s="97">
        <f t="shared" si="232"/>
        <v>146.56483335414393</v>
      </c>
      <c r="W227" s="97">
        <f t="shared" si="232"/>
        <v>115.32815953181031</v>
      </c>
      <c r="X227" s="97">
        <f t="shared" si="232"/>
        <v>98.026033444682753</v>
      </c>
      <c r="Y227" s="97">
        <f t="shared" si="232"/>
        <v>92.778413979929411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114.83417693671279</v>
      </c>
      <c r="C228" s="97">
        <f t="shared" si="233"/>
        <v>114.25578545110736</v>
      </c>
      <c r="D228" s="97">
        <f t="shared" si="233"/>
        <v>113.38510582046679</v>
      </c>
      <c r="E228" s="97">
        <f t="shared" si="233"/>
        <v>112.45090848739997</v>
      </c>
      <c r="F228" s="97">
        <f t="shared" si="233"/>
        <v>112.25821127645567</v>
      </c>
      <c r="G228" s="97">
        <f t="shared" si="233"/>
        <v>127.83317413711934</v>
      </c>
      <c r="H228" s="97">
        <f t="shared" si="233"/>
        <v>119.16845111388761</v>
      </c>
      <c r="I228" s="97">
        <f t="shared" si="233"/>
        <v>103.4649040134326</v>
      </c>
      <c r="J228" s="97">
        <f t="shared" si="233"/>
        <v>99.172328233124531</v>
      </c>
      <c r="K228" s="97">
        <f t="shared" si="233"/>
        <v>100.81338573906631</v>
      </c>
      <c r="L228" s="97">
        <f t="shared" si="233"/>
        <v>77.559766398077372</v>
      </c>
      <c r="M228" s="97">
        <f t="shared" si="233"/>
        <v>73.76063078264842</v>
      </c>
      <c r="N228" s="97">
        <f t="shared" si="233"/>
        <v>70.226257822522484</v>
      </c>
      <c r="O228" s="97">
        <f t="shared" si="233"/>
        <v>95.939319986493089</v>
      </c>
      <c r="P228" s="97">
        <f t="shared" si="233"/>
        <v>95.303435666693545</v>
      </c>
      <c r="Q228" s="97">
        <f t="shared" si="233"/>
        <v>72.72599234230799</v>
      </c>
      <c r="R228" s="97">
        <f t="shared" si="233"/>
        <v>59.941282279133958</v>
      </c>
      <c r="S228" s="97">
        <f t="shared" si="233"/>
        <v>45.257362605399599</v>
      </c>
      <c r="T228" s="97">
        <f t="shared" si="233"/>
        <v>39.496672466513914</v>
      </c>
      <c r="U228" s="97">
        <f t="shared" si="233"/>
        <v>40.323455510790701</v>
      </c>
      <c r="V228" s="97">
        <f t="shared" si="233"/>
        <v>168.85293643202269</v>
      </c>
      <c r="W228" s="97">
        <f t="shared" si="233"/>
        <v>90.83664814279777</v>
      </c>
      <c r="X228" s="97">
        <f t="shared" si="233"/>
        <v>88.142950154009739</v>
      </c>
      <c r="Y228" s="97">
        <f t="shared" si="233"/>
        <v>77.398828876596582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95.811307518334914</v>
      </c>
      <c r="C229" s="32">
        <f t="shared" si="234"/>
        <v>84.082766632555106</v>
      </c>
      <c r="D229" s="32">
        <f t="shared" si="234"/>
        <v>99.82353943906071</v>
      </c>
      <c r="E229" s="32">
        <f t="shared" si="234"/>
        <v>104.02817674966931</v>
      </c>
      <c r="F229" s="32">
        <f t="shared" si="234"/>
        <v>102.19062552314728</v>
      </c>
      <c r="G229" s="32">
        <f t="shared" si="234"/>
        <v>102.19179112845276</v>
      </c>
      <c r="H229" s="32">
        <f t="shared" si="234"/>
        <v>102.15989056147181</v>
      </c>
      <c r="I229" s="32">
        <f t="shared" si="234"/>
        <v>102.16485453567972</v>
      </c>
      <c r="J229" s="32">
        <f t="shared" si="234"/>
        <v>104.64703261697424</v>
      </c>
      <c r="K229" s="32">
        <f t="shared" si="234"/>
        <v>119.52965286964819</v>
      </c>
      <c r="L229" s="32">
        <f t="shared" si="234"/>
        <v>118.93531597150924</v>
      </c>
      <c r="M229" s="32">
        <f t="shared" si="234"/>
        <v>121.1797851753827</v>
      </c>
      <c r="N229" s="32">
        <f t="shared" si="234"/>
        <v>112.94384579053478</v>
      </c>
      <c r="O229" s="32">
        <f t="shared" si="234"/>
        <v>126.64842323446837</v>
      </c>
      <c r="P229" s="32">
        <f t="shared" si="234"/>
        <v>118.48372076272032</v>
      </c>
      <c r="Q229" s="32">
        <f t="shared" si="234"/>
        <v>114.57995300015394</v>
      </c>
      <c r="R229" s="32">
        <f t="shared" si="234"/>
        <v>113.13174488005569</v>
      </c>
      <c r="S229" s="32">
        <f t="shared" si="234"/>
        <v>122.32976664225833</v>
      </c>
      <c r="T229" s="32">
        <f t="shared" si="234"/>
        <v>114.97487106766235</v>
      </c>
      <c r="U229" s="32">
        <f t="shared" si="234"/>
        <v>129.31014240704843</v>
      </c>
      <c r="V229" s="32">
        <f t="shared" si="234"/>
        <v>119.1366604117122</v>
      </c>
      <c r="W229" s="32">
        <f t="shared" si="234"/>
        <v>123.07102850803999</v>
      </c>
      <c r="X229" s="32">
        <f t="shared" si="234"/>
        <v>129.03969798061388</v>
      </c>
      <c r="Y229" s="32">
        <f t="shared" si="234"/>
        <v>144.31178552649891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106.72957856340159</v>
      </c>
      <c r="C230" s="141">
        <f t="shared" si="235"/>
        <v>92.079120481988483</v>
      </c>
      <c r="D230" s="141">
        <f t="shared" si="235"/>
        <v>110.71524983014939</v>
      </c>
      <c r="E230" s="141">
        <f t="shared" si="235"/>
        <v>117.82607868794059</v>
      </c>
      <c r="F230" s="141">
        <f t="shared" si="235"/>
        <v>116.65930514863298</v>
      </c>
      <c r="G230" s="141">
        <f t="shared" si="235"/>
        <v>117.77004891165402</v>
      </c>
      <c r="H230" s="141">
        <f t="shared" si="235"/>
        <v>120.99325884510363</v>
      </c>
      <c r="I230" s="141">
        <f t="shared" si="235"/>
        <v>122.52398721018609</v>
      </c>
      <c r="J230" s="141">
        <f t="shared" si="235"/>
        <v>129.61929546167704</v>
      </c>
      <c r="K230" s="141">
        <f t="shared" si="235"/>
        <v>145.42694144406431</v>
      </c>
      <c r="L230" s="141">
        <f t="shared" si="235"/>
        <v>152.63465309308202</v>
      </c>
      <c r="M230" s="141">
        <f t="shared" si="235"/>
        <v>150.52952223026369</v>
      </c>
      <c r="N230" s="141">
        <f t="shared" si="235"/>
        <v>140.82142552871107</v>
      </c>
      <c r="O230" s="141">
        <f t="shared" si="235"/>
        <v>153.67926427000265</v>
      </c>
      <c r="P230" s="141">
        <f t="shared" si="235"/>
        <v>141.21946399356429</v>
      </c>
      <c r="Q230" s="141">
        <f t="shared" si="235"/>
        <v>138.76578816347794</v>
      </c>
      <c r="R230" s="141">
        <f t="shared" si="235"/>
        <v>134.7876469809122</v>
      </c>
      <c r="S230" s="141">
        <f t="shared" si="235"/>
        <v>148.5563243437588</v>
      </c>
      <c r="T230" s="141">
        <f t="shared" si="235"/>
        <v>138.21456058603115</v>
      </c>
      <c r="U230" s="141">
        <f t="shared" si="235"/>
        <v>162.64543894128386</v>
      </c>
      <c r="V230" s="141">
        <f t="shared" si="235"/>
        <v>155.48710672557397</v>
      </c>
      <c r="W230" s="141">
        <f t="shared" si="235"/>
        <v>156.36081571217503</v>
      </c>
      <c r="X230" s="141">
        <f t="shared" si="235"/>
        <v>165.0784707157755</v>
      </c>
      <c r="Y230" s="141">
        <f t="shared" si="235"/>
        <v>178.32748613571198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1619.7029906636642</v>
      </c>
      <c r="C231" s="97">
        <f t="shared" si="236"/>
        <v>1462.8368435637456</v>
      </c>
      <c r="D231" s="97">
        <f t="shared" si="236"/>
        <v>1492.8417046820543</v>
      </c>
      <c r="E231" s="97">
        <f t="shared" si="236"/>
        <v>1479.8922981655253</v>
      </c>
      <c r="F231" s="97">
        <f t="shared" si="236"/>
        <v>1463.7827158322905</v>
      </c>
      <c r="G231" s="97">
        <f t="shared" si="236"/>
        <v>1481.4076750802667</v>
      </c>
      <c r="H231" s="97">
        <f t="shared" si="236"/>
        <v>1431.2023380304895</v>
      </c>
      <c r="I231" s="97">
        <f t="shared" si="236"/>
        <v>1421.6895400209662</v>
      </c>
      <c r="J231" s="97">
        <f t="shared" si="236"/>
        <v>1413.2658766204343</v>
      </c>
      <c r="K231" s="97">
        <f t="shared" si="236"/>
        <v>1405.1352235735599</v>
      </c>
      <c r="L231" s="97">
        <f t="shared" si="236"/>
        <v>1395.0400752690018</v>
      </c>
      <c r="M231" s="97">
        <f t="shared" si="236"/>
        <v>1378.5270806466272</v>
      </c>
      <c r="N231" s="97">
        <f t="shared" si="236"/>
        <v>1339.0006185251068</v>
      </c>
      <c r="O231" s="97">
        <f t="shared" si="236"/>
        <v>1321.1169782113241</v>
      </c>
      <c r="P231" s="97">
        <f t="shared" si="236"/>
        <v>1271.536627492203</v>
      </c>
      <c r="Q231" s="97">
        <f t="shared" si="236"/>
        <v>1240.1972796630596</v>
      </c>
      <c r="R231" s="97">
        <f t="shared" si="236"/>
        <v>1222.6796164886669</v>
      </c>
      <c r="S231" s="97">
        <f t="shared" si="236"/>
        <v>1271.1029762683536</v>
      </c>
      <c r="T231" s="97">
        <f t="shared" si="236"/>
        <v>1220.7270007458039</v>
      </c>
      <c r="U231" s="97">
        <f t="shared" si="236"/>
        <v>1208.7945786110888</v>
      </c>
      <c r="V231" s="97">
        <f t="shared" si="236"/>
        <v>1190.7803056092519</v>
      </c>
      <c r="W231" s="97">
        <f t="shared" si="236"/>
        <v>1193.9502815311921</v>
      </c>
      <c r="X231" s="97">
        <f t="shared" si="236"/>
        <v>1254.2148450750894</v>
      </c>
      <c r="Y231" s="97">
        <f t="shared" si="236"/>
        <v>1298.598677310202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70.564882820318857</v>
      </c>
      <c r="C232" s="97">
        <f t="shared" si="237"/>
        <v>59.52725124748553</v>
      </c>
      <c r="D232" s="97">
        <f t="shared" si="237"/>
        <v>77.499521989486126</v>
      </c>
      <c r="E232" s="97">
        <f t="shared" si="237"/>
        <v>83.696557378345616</v>
      </c>
      <c r="F232" s="97">
        <f t="shared" si="237"/>
        <v>83.767921525401078</v>
      </c>
      <c r="G232" s="97">
        <f t="shared" si="237"/>
        <v>82.587182337068484</v>
      </c>
      <c r="H232" s="97">
        <f t="shared" si="237"/>
        <v>85.850636450706432</v>
      </c>
      <c r="I232" s="97">
        <f t="shared" si="237"/>
        <v>88.615887009356868</v>
      </c>
      <c r="J232" s="97">
        <f t="shared" si="237"/>
        <v>92.496266767269404</v>
      </c>
      <c r="K232" s="97">
        <f t="shared" si="237"/>
        <v>102.1858079982474</v>
      </c>
      <c r="L232" s="97">
        <f t="shared" si="237"/>
        <v>109.80831901663176</v>
      </c>
      <c r="M232" s="97">
        <f t="shared" si="237"/>
        <v>107.22687886041651</v>
      </c>
      <c r="N232" s="97">
        <f t="shared" si="237"/>
        <v>99.177501463940132</v>
      </c>
      <c r="O232" s="97">
        <f t="shared" si="237"/>
        <v>114.57045255960907</v>
      </c>
      <c r="P232" s="97">
        <f t="shared" si="237"/>
        <v>102.71657357230995</v>
      </c>
      <c r="Q232" s="97">
        <f t="shared" si="237"/>
        <v>98.545444508941713</v>
      </c>
      <c r="R232" s="97">
        <f t="shared" si="237"/>
        <v>92.535814049180331</v>
      </c>
      <c r="S232" s="97">
        <f t="shared" si="237"/>
        <v>106.57966378094459</v>
      </c>
      <c r="T232" s="97">
        <f t="shared" si="237"/>
        <v>93.442198104724838</v>
      </c>
      <c r="U232" s="97">
        <f t="shared" si="237"/>
        <v>113.77588173007562</v>
      </c>
      <c r="V232" s="97">
        <f t="shared" si="237"/>
        <v>106.70950135078157</v>
      </c>
      <c r="W232" s="97">
        <f t="shared" si="237"/>
        <v>103.6992878513136</v>
      </c>
      <c r="X232" s="97">
        <f t="shared" si="237"/>
        <v>107.51265709702973</v>
      </c>
      <c r="Y232" s="97">
        <f t="shared" si="237"/>
        <v>118.1865472449017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13.752240240982937</v>
      </c>
      <c r="C233" s="130">
        <f t="shared" si="238"/>
        <v>14.754287293014805</v>
      </c>
      <c r="D233" s="130">
        <f t="shared" si="238"/>
        <v>14.167559358586674</v>
      </c>
      <c r="E233" s="130">
        <f t="shared" si="238"/>
        <v>14.202313023393824</v>
      </c>
      <c r="F233" s="130">
        <f t="shared" si="238"/>
        <v>14.913381837084524</v>
      </c>
      <c r="G233" s="130">
        <f t="shared" si="238"/>
        <v>14.65623939627034</v>
      </c>
      <c r="H233" s="130">
        <f t="shared" si="238"/>
        <v>13.133627300542548</v>
      </c>
      <c r="I233" s="130">
        <f t="shared" si="238"/>
        <v>13.290678416499924</v>
      </c>
      <c r="J233" s="130">
        <f t="shared" si="238"/>
        <v>12.793739145661323</v>
      </c>
      <c r="K233" s="130">
        <f t="shared" si="238"/>
        <v>13.174119883493669</v>
      </c>
      <c r="L233" s="130">
        <f t="shared" si="238"/>
        <v>13.987931529975647</v>
      </c>
      <c r="M233" s="130">
        <f t="shared" si="238"/>
        <v>13.48976812536295</v>
      </c>
      <c r="N233" s="130">
        <f t="shared" si="238"/>
        <v>13.009966433389375</v>
      </c>
      <c r="O233" s="130">
        <f t="shared" si="238"/>
        <v>14.436026910418351</v>
      </c>
      <c r="P233" s="130">
        <f t="shared" si="238"/>
        <v>13.275218156422117</v>
      </c>
      <c r="Q233" s="130">
        <f t="shared" si="238"/>
        <v>10.556349706947161</v>
      </c>
      <c r="R233" s="130">
        <f t="shared" si="238"/>
        <v>11.050426745716264</v>
      </c>
      <c r="S233" s="130">
        <f t="shared" si="238"/>
        <v>8.9762097027423469</v>
      </c>
      <c r="T233" s="130">
        <f t="shared" si="238"/>
        <v>6.8962491708493658</v>
      </c>
      <c r="U233" s="130">
        <f t="shared" si="238"/>
        <v>6.4643471825916654</v>
      </c>
      <c r="V233" s="130">
        <f t="shared" si="238"/>
        <v>6.2571958536372918</v>
      </c>
      <c r="W233" s="130">
        <f t="shared" si="238"/>
        <v>7.171364455254337</v>
      </c>
      <c r="X233" s="130">
        <f t="shared" si="238"/>
        <v>5.8165569983665169</v>
      </c>
      <c r="Y233" s="130">
        <f t="shared" si="238"/>
        <v>4.3011243447282617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438.782481040861</v>
      </c>
      <c r="C234" s="130">
        <f t="shared" si="239"/>
        <v>428.02828649249426</v>
      </c>
      <c r="D234" s="130">
        <f t="shared" si="239"/>
        <v>452.04810544566419</v>
      </c>
      <c r="E234" s="130">
        <f t="shared" si="239"/>
        <v>436.54113448793208</v>
      </c>
      <c r="F234" s="130">
        <f t="shared" si="239"/>
        <v>471.33619953224667</v>
      </c>
      <c r="G234" s="130">
        <f t="shared" si="239"/>
        <v>476.14004635321254</v>
      </c>
      <c r="H234" s="130">
        <f t="shared" si="239"/>
        <v>541.28650388551694</v>
      </c>
      <c r="I234" s="130">
        <f t="shared" si="239"/>
        <v>565.82704110800626</v>
      </c>
      <c r="J234" s="130">
        <f t="shared" si="239"/>
        <v>624.44950270465495</v>
      </c>
      <c r="K234" s="130">
        <f t="shared" si="239"/>
        <v>527.86060168426002</v>
      </c>
      <c r="L234" s="130">
        <f t="shared" si="239"/>
        <v>492.42387802047671</v>
      </c>
      <c r="M234" s="130">
        <f t="shared" si="239"/>
        <v>339.66768045393843</v>
      </c>
      <c r="N234" s="130">
        <f t="shared" si="239"/>
        <v>410.28970136747375</v>
      </c>
      <c r="O234" s="130">
        <f t="shared" si="239"/>
        <v>347.5025018117048</v>
      </c>
      <c r="P234" s="130">
        <f t="shared" si="239"/>
        <v>286.29309340750177</v>
      </c>
      <c r="Q234" s="130">
        <f t="shared" si="239"/>
        <v>246.84857198072953</v>
      </c>
      <c r="R234" s="130">
        <f t="shared" si="239"/>
        <v>185.40690589478831</v>
      </c>
      <c r="S234" s="130">
        <f t="shared" si="239"/>
        <v>157.18998418578619</v>
      </c>
      <c r="T234" s="130">
        <f t="shared" si="239"/>
        <v>91.784917706564755</v>
      </c>
      <c r="U234" s="130">
        <f t="shared" si="239"/>
        <v>104.46525630637086</v>
      </c>
      <c r="V234" s="130">
        <f t="shared" si="239"/>
        <v>460.48737375963611</v>
      </c>
      <c r="W234" s="130">
        <f t="shared" si="239"/>
        <v>361.3486972125084</v>
      </c>
      <c r="X234" s="130">
        <f t="shared" si="239"/>
        <v>414.27883645173898</v>
      </c>
      <c r="Y234" s="130">
        <f t="shared" si="239"/>
        <v>519.58610328189491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2250.2818562777557</v>
      </c>
      <c r="C235" s="97">
        <f t="shared" si="240"/>
        <v>2257.4196758347657</v>
      </c>
      <c r="D235" s="97">
        <f t="shared" si="240"/>
        <v>2196.9948457261025</v>
      </c>
      <c r="E235" s="97">
        <f t="shared" si="240"/>
        <v>2069.9760495226574</v>
      </c>
      <c r="F235" s="97">
        <f t="shared" si="240"/>
        <v>2198.5581237190117</v>
      </c>
      <c r="G235" s="97">
        <f t="shared" si="240"/>
        <v>2167.1019738001173</v>
      </c>
      <c r="H235" s="97">
        <f t="shared" si="240"/>
        <v>2321.1487317693018</v>
      </c>
      <c r="I235" s="97">
        <f t="shared" si="240"/>
        <v>1981.4867692679554</v>
      </c>
      <c r="J235" s="97">
        <f t="shared" si="240"/>
        <v>1718.3527353490169</v>
      </c>
      <c r="K235" s="97">
        <f t="shared" si="240"/>
        <v>1413.3900135576064</v>
      </c>
      <c r="L235" s="97">
        <f t="shared" si="240"/>
        <v>1113.8476934761577</v>
      </c>
      <c r="M235" s="97">
        <f t="shared" si="240"/>
        <v>1422.9172444391115</v>
      </c>
      <c r="N235" s="97">
        <f t="shared" si="240"/>
        <v>2168.51537759037</v>
      </c>
      <c r="O235" s="97">
        <f t="shared" si="240"/>
        <v>2010.1707115194833</v>
      </c>
      <c r="P235" s="97">
        <f t="shared" si="240"/>
        <v>1533.8088501345012</v>
      </c>
      <c r="Q235" s="97">
        <f t="shared" si="240"/>
        <v>1551.4844286744417</v>
      </c>
      <c r="R235" s="97">
        <f t="shared" si="240"/>
        <v>1149.1453861940015</v>
      </c>
      <c r="S235" s="97">
        <f t="shared" si="240"/>
        <v>1131.0364509882409</v>
      </c>
      <c r="T235" s="97">
        <f t="shared" si="240"/>
        <v>1068.902528855449</v>
      </c>
      <c r="U235" s="97">
        <f t="shared" si="240"/>
        <v>765.11127715838813</v>
      </c>
      <c r="V235" s="97">
        <f t="shared" si="240"/>
        <v>720.4734835983146</v>
      </c>
      <c r="W235" s="97">
        <f t="shared" si="240"/>
        <v>740.8728177634539</v>
      </c>
      <c r="X235" s="97">
        <f t="shared" si="240"/>
        <v>796.25202037011866</v>
      </c>
      <c r="Y235" s="97">
        <f t="shared" si="240"/>
        <v>718.45480159470253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431.92349209855962</v>
      </c>
      <c r="C236" s="97">
        <f t="shared" si="241"/>
        <v>416.70414038768678</v>
      </c>
      <c r="D236" s="97">
        <f t="shared" si="241"/>
        <v>443.06795144725373</v>
      </c>
      <c r="E236" s="97">
        <f t="shared" si="241"/>
        <v>432.87292392726374</v>
      </c>
      <c r="F236" s="97">
        <f t="shared" si="241"/>
        <v>476.68177213018748</v>
      </c>
      <c r="G236" s="97">
        <f t="shared" si="241"/>
        <v>436.6475468196827</v>
      </c>
      <c r="H236" s="97">
        <f t="shared" si="241"/>
        <v>455.94526160772097</v>
      </c>
      <c r="I236" s="97">
        <f t="shared" si="241"/>
        <v>498.71098386719274</v>
      </c>
      <c r="J236" s="97">
        <f t="shared" si="241"/>
        <v>627.99777832576342</v>
      </c>
      <c r="K236" s="97">
        <f t="shared" si="241"/>
        <v>534.6471870588249</v>
      </c>
      <c r="L236" s="97">
        <f t="shared" si="241"/>
        <v>584.34756023999955</v>
      </c>
      <c r="M236" s="97">
        <f t="shared" si="241"/>
        <v>661.16957900541456</v>
      </c>
      <c r="N236" s="97">
        <f t="shared" si="241"/>
        <v>630.68267871523415</v>
      </c>
      <c r="O236" s="97">
        <f t="shared" si="241"/>
        <v>597.51939319737164</v>
      </c>
      <c r="P236" s="97">
        <f t="shared" si="241"/>
        <v>468.4951674500611</v>
      </c>
      <c r="Q236" s="97">
        <f t="shared" si="241"/>
        <v>437.96343865941105</v>
      </c>
      <c r="R236" s="97">
        <f t="shared" si="241"/>
        <v>362.54862327386718</v>
      </c>
      <c r="S236" s="97">
        <f t="shared" si="241"/>
        <v>386.09320004370369</v>
      </c>
      <c r="T236" s="97">
        <f t="shared" si="241"/>
        <v>417.8883301063949</v>
      </c>
      <c r="U236" s="97">
        <f t="shared" si="241"/>
        <v>369.73709100327841</v>
      </c>
      <c r="V236" s="97">
        <f t="shared" si="241"/>
        <v>605.97879034311507</v>
      </c>
      <c r="W236" s="97">
        <f t="shared" si="241"/>
        <v>582.42768786936881</v>
      </c>
      <c r="X236" s="97">
        <f t="shared" si="241"/>
        <v>513.28629679171456</v>
      </c>
      <c r="Y236" s="97">
        <f t="shared" si="241"/>
        <v>634.55570948852255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126.3685911165614</v>
      </c>
      <c r="C237" s="97">
        <f t="shared" si="242"/>
        <v>120.36632224446323</v>
      </c>
      <c r="D237" s="97">
        <f t="shared" si="242"/>
        <v>127.2946895778243</v>
      </c>
      <c r="E237" s="97">
        <f t="shared" si="242"/>
        <v>139.99028036588135</v>
      </c>
      <c r="F237" s="97">
        <f t="shared" si="242"/>
        <v>144.19247610932277</v>
      </c>
      <c r="G237" s="97">
        <f t="shared" si="242"/>
        <v>174.32794136705172</v>
      </c>
      <c r="H237" s="97">
        <f t="shared" si="242"/>
        <v>158.59315988613707</v>
      </c>
      <c r="I237" s="97">
        <f t="shared" si="242"/>
        <v>137.00198937960968</v>
      </c>
      <c r="J237" s="97">
        <f t="shared" si="242"/>
        <v>131.10672089676186</v>
      </c>
      <c r="K237" s="97">
        <f t="shared" si="242"/>
        <v>103.36123068206095</v>
      </c>
      <c r="L237" s="97">
        <f t="shared" si="242"/>
        <v>87.682835724601844</v>
      </c>
      <c r="M237" s="97">
        <f t="shared" si="242"/>
        <v>109.2180853818612</v>
      </c>
      <c r="N237" s="97">
        <f t="shared" si="242"/>
        <v>124.21307529865841</v>
      </c>
      <c r="O237" s="97">
        <f t="shared" si="242"/>
        <v>162.22212324433744</v>
      </c>
      <c r="P237" s="97">
        <f t="shared" si="242"/>
        <v>164.59297750810313</v>
      </c>
      <c r="Q237" s="97">
        <f t="shared" si="242"/>
        <v>141.41821153223472</v>
      </c>
      <c r="R237" s="97">
        <f t="shared" si="242"/>
        <v>105.25430222877685</v>
      </c>
      <c r="S237" s="97">
        <f t="shared" si="242"/>
        <v>87.018770249127854</v>
      </c>
      <c r="T237" s="97">
        <f t="shared" si="242"/>
        <v>69.606138093748797</v>
      </c>
      <c r="U237" s="97">
        <f t="shared" si="242"/>
        <v>68.854255006418029</v>
      </c>
      <c r="V237" s="97">
        <f t="shared" si="242"/>
        <v>207.90688712254732</v>
      </c>
      <c r="W237" s="97">
        <f t="shared" si="242"/>
        <v>141.49222890465148</v>
      </c>
      <c r="X237" s="97">
        <f t="shared" si="242"/>
        <v>113.01845402751525</v>
      </c>
      <c r="Y237" s="97">
        <f t="shared" si="242"/>
        <v>93.319418930034544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588.19600681564975</v>
      </c>
      <c r="C238" s="130">
        <f t="shared" si="243"/>
        <v>546.55832358465284</v>
      </c>
      <c r="D238" s="130">
        <f t="shared" si="243"/>
        <v>569.06635706340376</v>
      </c>
      <c r="E238" s="130">
        <f t="shared" si="243"/>
        <v>549.26609898234324</v>
      </c>
      <c r="F238" s="130">
        <f t="shared" si="243"/>
        <v>340.76112186591524</v>
      </c>
      <c r="G238" s="130">
        <f t="shared" si="243"/>
        <v>467.4256030794366</v>
      </c>
      <c r="H238" s="130">
        <f t="shared" si="243"/>
        <v>468.29286198547214</v>
      </c>
      <c r="I238" s="130">
        <f t="shared" si="243"/>
        <v>491.56919990132388</v>
      </c>
      <c r="J238" s="130">
        <f t="shared" si="243"/>
        <v>142.59607002136877</v>
      </c>
      <c r="K238" s="130">
        <f t="shared" si="243"/>
        <v>184.06292696257375</v>
      </c>
      <c r="L238" s="130">
        <f t="shared" si="243"/>
        <v>116.07993072232689</v>
      </c>
      <c r="M238" s="130">
        <f t="shared" si="243"/>
        <v>156.21233062212522</v>
      </c>
      <c r="N238" s="130">
        <f t="shared" si="243"/>
        <v>134.56763393253092</v>
      </c>
      <c r="O238" s="130">
        <f t="shared" si="243"/>
        <v>148.06303852133354</v>
      </c>
      <c r="P238" s="130">
        <f t="shared" si="243"/>
        <v>175.10514238804285</v>
      </c>
      <c r="Q238" s="130">
        <f t="shared" si="243"/>
        <v>135.68890877605401</v>
      </c>
      <c r="R238" s="130">
        <f t="shared" si="243"/>
        <v>152.4233171188155</v>
      </c>
      <c r="S238" s="130">
        <f t="shared" si="243"/>
        <v>164.3081859317154</v>
      </c>
      <c r="T238" s="130">
        <f t="shared" si="243"/>
        <v>208.41912555024598</v>
      </c>
      <c r="U238" s="130">
        <f t="shared" si="243"/>
        <v>178.82820807252918</v>
      </c>
      <c r="V238" s="130">
        <f t="shared" si="243"/>
        <v>135.89181369863016</v>
      </c>
      <c r="W238" s="130">
        <f t="shared" si="243"/>
        <v>169.20349073498818</v>
      </c>
      <c r="X238" s="130">
        <f t="shared" si="243"/>
        <v>241.72406351832672</v>
      </c>
      <c r="Y238" s="130">
        <f t="shared" si="243"/>
        <v>285.33573175338643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686.30975795843392</v>
      </c>
      <c r="C239" s="97">
        <f t="shared" si="244"/>
        <v>661.17909799407937</v>
      </c>
      <c r="D239" s="97">
        <f t="shared" si="244"/>
        <v>691.92805780578828</v>
      </c>
      <c r="E239" s="97">
        <f t="shared" si="244"/>
        <v>683.5912225137954</v>
      </c>
      <c r="F239" s="97">
        <f t="shared" si="244"/>
        <v>468.74662819080038</v>
      </c>
      <c r="G239" s="97">
        <f t="shared" si="244"/>
        <v>658.79401624889022</v>
      </c>
      <c r="H239" s="97">
        <f t="shared" si="244"/>
        <v>535.79066451213475</v>
      </c>
      <c r="I239" s="97">
        <f t="shared" si="244"/>
        <v>551.79202353326139</v>
      </c>
      <c r="J239" s="97">
        <f t="shared" si="244"/>
        <v>202.14639700141936</v>
      </c>
      <c r="K239" s="97">
        <f t="shared" si="244"/>
        <v>268.4024881633311</v>
      </c>
      <c r="L239" s="97">
        <f t="shared" si="244"/>
        <v>213.13182078273928</v>
      </c>
      <c r="M239" s="97">
        <f t="shared" si="244"/>
        <v>240.28467047332879</v>
      </c>
      <c r="N239" s="97">
        <f t="shared" si="244"/>
        <v>187.61166522160835</v>
      </c>
      <c r="O239" s="97">
        <f t="shared" si="244"/>
        <v>192.06367053615475</v>
      </c>
      <c r="P239" s="97">
        <f t="shared" si="244"/>
        <v>216.06655402693659</v>
      </c>
      <c r="Q239" s="97">
        <f t="shared" si="244"/>
        <v>190.29287249446139</v>
      </c>
      <c r="R239" s="97">
        <f t="shared" si="244"/>
        <v>211.4869366938303</v>
      </c>
      <c r="S239" s="97">
        <f t="shared" si="244"/>
        <v>237.01118515307098</v>
      </c>
      <c r="T239" s="97">
        <f t="shared" si="244"/>
        <v>259.42048880708785</v>
      </c>
      <c r="U239" s="97">
        <f t="shared" si="244"/>
        <v>243.53699647636569</v>
      </c>
      <c r="V239" s="97">
        <f t="shared" si="244"/>
        <v>176.61547903643921</v>
      </c>
      <c r="W239" s="97">
        <f t="shared" si="244"/>
        <v>205.32623982135084</v>
      </c>
      <c r="X239" s="97">
        <f t="shared" si="244"/>
        <v>275.50763219274188</v>
      </c>
      <c r="Y239" s="97">
        <f t="shared" si="244"/>
        <v>298.56618004886337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450.67677371521086</v>
      </c>
      <c r="C240" s="98">
        <f t="shared" si="245"/>
        <v>413.08112705715058</v>
      </c>
      <c r="D240" s="98">
        <f t="shared" si="245"/>
        <v>426.08844003366539</v>
      </c>
      <c r="E240" s="98">
        <f t="shared" si="245"/>
        <v>405.88845513777244</v>
      </c>
      <c r="F240" s="98">
        <f t="shared" si="245"/>
        <v>275.84661522479263</v>
      </c>
      <c r="G240" s="98">
        <f t="shared" si="245"/>
        <v>309.19490577221796</v>
      </c>
      <c r="H240" s="98">
        <f t="shared" si="245"/>
        <v>406.46626657831763</v>
      </c>
      <c r="I240" s="98">
        <f t="shared" si="245"/>
        <v>430.85022860313427</v>
      </c>
      <c r="J240" s="98">
        <f t="shared" si="245"/>
        <v>135.78632746403602</v>
      </c>
      <c r="K240" s="98">
        <f t="shared" si="245"/>
        <v>175.85774335238509</v>
      </c>
      <c r="L240" s="98">
        <f t="shared" si="245"/>
        <v>109.04707583376825</v>
      </c>
      <c r="M240" s="98">
        <f t="shared" si="245"/>
        <v>148.28778364022571</v>
      </c>
      <c r="N240" s="98">
        <f t="shared" si="245"/>
        <v>130.28439711582303</v>
      </c>
      <c r="O240" s="98">
        <f t="shared" si="245"/>
        <v>144.48957085046447</v>
      </c>
      <c r="P240" s="98">
        <f t="shared" si="245"/>
        <v>171.6055732919892</v>
      </c>
      <c r="Q240" s="98">
        <f t="shared" si="245"/>
        <v>130.88798416625491</v>
      </c>
      <c r="R240" s="98">
        <f t="shared" si="245"/>
        <v>149.87580994819839</v>
      </c>
      <c r="S240" s="98">
        <f t="shared" si="245"/>
        <v>160.70603401088462</v>
      </c>
      <c r="T240" s="98">
        <f t="shared" si="245"/>
        <v>205.50610520788427</v>
      </c>
      <c r="U240" s="98">
        <f t="shared" si="245"/>
        <v>176.19746646780456</v>
      </c>
      <c r="V240" s="98">
        <f t="shared" si="245"/>
        <v>134.39342634442337</v>
      </c>
      <c r="W240" s="98">
        <f t="shared" si="245"/>
        <v>167.64754949164276</v>
      </c>
      <c r="X240" s="98">
        <f t="shared" si="245"/>
        <v>239.54420004177521</v>
      </c>
      <c r="Y240" s="98">
        <f t="shared" si="245"/>
        <v>284.4418325759579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1.8883673618248644</v>
      </c>
      <c r="C241" s="32">
        <f t="shared" si="246"/>
        <v>1.8960590931817911</v>
      </c>
      <c r="D241" s="32">
        <f t="shared" si="246"/>
        <v>1.8919946235210703</v>
      </c>
      <c r="E241" s="32">
        <f t="shared" si="246"/>
        <v>1.9065439070557562</v>
      </c>
      <c r="F241" s="32">
        <f t="shared" si="246"/>
        <v>1.9019098303658057</v>
      </c>
      <c r="G241" s="32">
        <f t="shared" si="246"/>
        <v>1.9140889441119002</v>
      </c>
      <c r="H241" s="32">
        <f t="shared" si="246"/>
        <v>1.777048764853717</v>
      </c>
      <c r="I241" s="32">
        <f t="shared" si="246"/>
        <v>1.5345907434141177</v>
      </c>
      <c r="J241" s="32">
        <f t="shared" si="246"/>
        <v>1.2488768741012344</v>
      </c>
      <c r="K241" s="32">
        <f t="shared" si="246"/>
        <v>0.61437143033613117</v>
      </c>
      <c r="L241" s="32">
        <f t="shared" si="246"/>
        <v>0.57457786272014588</v>
      </c>
      <c r="M241" s="32">
        <f t="shared" si="246"/>
        <v>2.2162434103652808</v>
      </c>
      <c r="N241" s="32">
        <f t="shared" si="246"/>
        <v>0.4343213443327168</v>
      </c>
      <c r="O241" s="32">
        <f t="shared" si="246"/>
        <v>0.45166713909311951</v>
      </c>
      <c r="P241" s="32">
        <f t="shared" si="246"/>
        <v>0.50364330417193492</v>
      </c>
      <c r="Q241" s="32">
        <f t="shared" si="246"/>
        <v>0.39204189322386707</v>
      </c>
      <c r="R241" s="32">
        <f t="shared" si="246"/>
        <v>0.43551807984835583</v>
      </c>
      <c r="S241" s="32">
        <f t="shared" si="246"/>
        <v>0.53737478010852646</v>
      </c>
      <c r="T241" s="32">
        <f t="shared" si="246"/>
        <v>1.4050602183471799</v>
      </c>
      <c r="U241" s="32">
        <f t="shared" si="246"/>
        <v>1.760782688034515</v>
      </c>
      <c r="V241" s="32">
        <f t="shared" si="246"/>
        <v>1.5860961261722752</v>
      </c>
      <c r="W241" s="32">
        <f t="shared" si="246"/>
        <v>1.7144535646541161</v>
      </c>
      <c r="X241" s="32">
        <f t="shared" si="246"/>
        <v>1.2389142663693611</v>
      </c>
      <c r="Y241" s="32">
        <f t="shared" si="246"/>
        <v>1.3776121919243505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4.1607207930447947</v>
      </c>
      <c r="C242" s="97">
        <f t="shared" si="247"/>
        <v>4.2228375455133618</v>
      </c>
      <c r="D242" s="97">
        <f t="shared" si="247"/>
        <v>4.1969452907474505</v>
      </c>
      <c r="E242" s="97">
        <f t="shared" si="247"/>
        <v>4.2496985755028422</v>
      </c>
      <c r="F242" s="97">
        <f t="shared" si="247"/>
        <v>4.2344968404075809</v>
      </c>
      <c r="G242" s="97">
        <f t="shared" si="247"/>
        <v>4.3163309571202353</v>
      </c>
      <c r="H242" s="97">
        <f t="shared" si="247"/>
        <v>3.8345150149778759</v>
      </c>
      <c r="I242" s="97">
        <f t="shared" si="247"/>
        <v>3.7049015680181809</v>
      </c>
      <c r="J242" s="97">
        <f t="shared" si="247"/>
        <v>3.3701313785722609</v>
      </c>
      <c r="K242" s="97">
        <f t="shared" si="247"/>
        <v>1.3359056145437964</v>
      </c>
      <c r="L242" s="97">
        <f t="shared" si="247"/>
        <v>1.4163526761623975</v>
      </c>
      <c r="M242" s="97">
        <f t="shared" si="247"/>
        <v>5.2770118843630396</v>
      </c>
      <c r="N242" s="97">
        <f t="shared" si="247"/>
        <v>1.0873586721492541</v>
      </c>
      <c r="O242" s="97">
        <f t="shared" si="247"/>
        <v>1.2816000811700443</v>
      </c>
      <c r="P242" s="97">
        <f t="shared" si="247"/>
        <v>1.5087722694311294</v>
      </c>
      <c r="Q242" s="97">
        <f t="shared" si="247"/>
        <v>1.258337355930059</v>
      </c>
      <c r="R242" s="97">
        <f t="shared" si="247"/>
        <v>1.3894341524459175</v>
      </c>
      <c r="S242" s="97">
        <f t="shared" si="247"/>
        <v>1.6533809231137746</v>
      </c>
      <c r="T242" s="97">
        <f t="shared" si="247"/>
        <v>4.6666645532246198</v>
      </c>
      <c r="U242" s="97">
        <f t="shared" si="247"/>
        <v>5.8717272165280736</v>
      </c>
      <c r="V242" s="97">
        <f t="shared" si="247"/>
        <v>3.9736127198730635</v>
      </c>
      <c r="W242" s="97">
        <f t="shared" si="247"/>
        <v>4.1665548814617299</v>
      </c>
      <c r="X242" s="97">
        <f t="shared" si="247"/>
        <v>3.2393294140200095</v>
      </c>
      <c r="Y242" s="97">
        <f t="shared" si="247"/>
        <v>3.5356762177453627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1.269084959127774</v>
      </c>
      <c r="C243" s="98">
        <f t="shared" si="248"/>
        <v>1.2759279658408049</v>
      </c>
      <c r="D243" s="98">
        <f t="shared" si="248"/>
        <v>1.2766876369008753</v>
      </c>
      <c r="E243" s="98">
        <f t="shared" si="248"/>
        <v>1.2791933419949866</v>
      </c>
      <c r="F243" s="98">
        <f t="shared" si="248"/>
        <v>1.2778106220188659</v>
      </c>
      <c r="G243" s="98">
        <f t="shared" si="248"/>
        <v>1.2880184573851376</v>
      </c>
      <c r="H243" s="98">
        <f t="shared" si="248"/>
        <v>1.1884095413308082</v>
      </c>
      <c r="I243" s="98">
        <f t="shared" si="248"/>
        <v>1.0379187579217797</v>
      </c>
      <c r="J243" s="98">
        <f t="shared" si="248"/>
        <v>0.86242706415945969</v>
      </c>
      <c r="K243" s="98">
        <f t="shared" si="248"/>
        <v>0.39518274703230738</v>
      </c>
      <c r="L243" s="98">
        <f t="shared" si="248"/>
        <v>0.37586797498063523</v>
      </c>
      <c r="M243" s="98">
        <f t="shared" si="248"/>
        <v>1.4223805216597587</v>
      </c>
      <c r="N243" s="98">
        <f t="shared" si="248"/>
        <v>0.28180630707058557</v>
      </c>
      <c r="O243" s="98">
        <f t="shared" si="248"/>
        <v>0.31117065520916243</v>
      </c>
      <c r="P243" s="98">
        <f t="shared" si="248"/>
        <v>0.35294341214058256</v>
      </c>
      <c r="Q243" s="98">
        <f t="shared" si="248"/>
        <v>0.28407928512853498</v>
      </c>
      <c r="R243" s="98">
        <f t="shared" si="248"/>
        <v>0.32170463069126809</v>
      </c>
      <c r="S243" s="98">
        <f t="shared" si="248"/>
        <v>0.39570950252313725</v>
      </c>
      <c r="T243" s="98">
        <f t="shared" si="248"/>
        <v>1.0479750605064762</v>
      </c>
      <c r="U243" s="98">
        <f t="shared" si="248"/>
        <v>1.2755029760849284</v>
      </c>
      <c r="V243" s="98">
        <f t="shared" si="248"/>
        <v>1.1614702528235925</v>
      </c>
      <c r="W243" s="98">
        <f t="shared" si="248"/>
        <v>1.227879851252661</v>
      </c>
      <c r="X243" s="98">
        <f t="shared" si="248"/>
        <v>0.84877803621308445</v>
      </c>
      <c r="Y243" s="98">
        <f t="shared" si="248"/>
        <v>0.9146994161530122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23501.081609917575</v>
      </c>
      <c r="C4" s="29">
        <f t="shared" si="0"/>
        <v>24647.012815445887</v>
      </c>
      <c r="D4" s="29">
        <f t="shared" si="0"/>
        <v>25733.691790285466</v>
      </c>
      <c r="E4" s="29">
        <f t="shared" si="0"/>
        <v>26415.578273724561</v>
      </c>
      <c r="F4" s="29">
        <f t="shared" si="0"/>
        <v>27110.802406046045</v>
      </c>
      <c r="G4" s="29">
        <f t="shared" si="0"/>
        <v>27647.665291553261</v>
      </c>
      <c r="H4" s="29">
        <f t="shared" si="0"/>
        <v>28804.051846309863</v>
      </c>
      <c r="I4" s="29">
        <f t="shared" si="0"/>
        <v>30077.641921675873</v>
      </c>
      <c r="J4" s="29">
        <f t="shared" si="0"/>
        <v>31365.359974832121</v>
      </c>
      <c r="K4" s="29">
        <f t="shared" si="0"/>
        <v>30510.55834900212</v>
      </c>
      <c r="L4" s="29">
        <f t="shared" ref="L4" si="1">L5+L6+L13</f>
        <v>29220.411854659906</v>
      </c>
      <c r="M4" s="29">
        <f t="shared" ref="M4:V4" si="2">M5+M6+M13</f>
        <v>28658.634604481904</v>
      </c>
      <c r="N4" s="29">
        <f t="shared" si="2"/>
        <v>29666.243161415408</v>
      </c>
      <c r="O4" s="29">
        <f t="shared" si="2"/>
        <v>29921.26539453943</v>
      </c>
      <c r="P4" s="29">
        <f t="shared" si="2"/>
        <v>29974.244457828558</v>
      </c>
      <c r="Q4" s="29">
        <f t="shared" si="2"/>
        <v>30039.08094106528</v>
      </c>
      <c r="R4" s="29">
        <f t="shared" si="2"/>
        <v>30264.791718271365</v>
      </c>
      <c r="S4" s="29">
        <f t="shared" si="2"/>
        <v>30631.963934555803</v>
      </c>
      <c r="T4" s="29">
        <f t="shared" si="2"/>
        <v>29735.398704841893</v>
      </c>
      <c r="U4" s="29">
        <f t="shared" si="2"/>
        <v>29704.529112347598</v>
      </c>
      <c r="V4" s="29">
        <f t="shared" si="2"/>
        <v>22563.459383934467</v>
      </c>
      <c r="W4" s="29">
        <f t="shared" ref="W4:Y4" si="3">W5+W6+W13</f>
        <v>25858.581513043609</v>
      </c>
      <c r="X4" s="29">
        <f t="shared" si="3"/>
        <v>27398.316178669273</v>
      </c>
      <c r="Y4" s="29">
        <f t="shared" si="3"/>
        <v>27891.784820978748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169.9346099175757</v>
      </c>
      <c r="C5" s="152">
        <f t="shared" si="4"/>
        <v>169.25581544588616</v>
      </c>
      <c r="D5" s="152">
        <f t="shared" si="4"/>
        <v>175.99879028546826</v>
      </c>
      <c r="E5" s="152">
        <f t="shared" si="4"/>
        <v>198.72827372456155</v>
      </c>
      <c r="F5" s="152">
        <f t="shared" si="4"/>
        <v>220.5494060460428</v>
      </c>
      <c r="G5" s="152">
        <f t="shared" si="4"/>
        <v>244.19629155326044</v>
      </c>
      <c r="H5" s="152">
        <f t="shared" si="4"/>
        <v>266.99584630986294</v>
      </c>
      <c r="I5" s="152">
        <f t="shared" si="4"/>
        <v>269.66192167587189</v>
      </c>
      <c r="J5" s="152">
        <f t="shared" si="4"/>
        <v>271.87097483212125</v>
      </c>
      <c r="K5" s="152">
        <f t="shared" si="4"/>
        <v>272.56234900211803</v>
      </c>
      <c r="L5" s="152">
        <f t="shared" ref="L5:L7" si="5">IF(L32=0,0,L32*L142)</f>
        <v>271.99385465990503</v>
      </c>
      <c r="M5" s="152">
        <f t="shared" ref="M5:V5" si="6">IF(M32=0,0,M32*M142)</f>
        <v>271.61360448190248</v>
      </c>
      <c r="N5" s="152">
        <f t="shared" si="6"/>
        <v>270.16516141540416</v>
      </c>
      <c r="O5" s="152">
        <f t="shared" si="6"/>
        <v>269.26539453942951</v>
      </c>
      <c r="P5" s="152">
        <f t="shared" si="6"/>
        <v>269.24445782855332</v>
      </c>
      <c r="Q5" s="152">
        <f t="shared" si="6"/>
        <v>269.08094106528029</v>
      </c>
      <c r="R5" s="152">
        <f t="shared" si="6"/>
        <v>281.79171827135997</v>
      </c>
      <c r="S5" s="152">
        <f t="shared" si="6"/>
        <v>292.9639345557984</v>
      </c>
      <c r="T5" s="152">
        <f t="shared" si="6"/>
        <v>298.39870484189225</v>
      </c>
      <c r="U5" s="152">
        <f t="shared" si="6"/>
        <v>310.52911234759546</v>
      </c>
      <c r="V5" s="152">
        <f t="shared" si="6"/>
        <v>272.4593839344617</v>
      </c>
      <c r="W5" s="152">
        <f t="shared" ref="W5:Y5" si="7">IF(W32=0,0,W32*W142)</f>
        <v>333.58151304360922</v>
      </c>
      <c r="X5" s="152">
        <f t="shared" si="7"/>
        <v>354.31617866927729</v>
      </c>
      <c r="Y5" s="152">
        <f t="shared" si="7"/>
        <v>378.78482097875309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20000</v>
      </c>
      <c r="C6" s="116">
        <f t="shared" si="8"/>
        <v>21000</v>
      </c>
      <c r="D6" s="116">
        <f t="shared" si="8"/>
        <v>21999.999999999996</v>
      </c>
      <c r="E6" s="116">
        <f t="shared" si="8"/>
        <v>22500</v>
      </c>
      <c r="F6" s="116">
        <f t="shared" si="8"/>
        <v>23500</v>
      </c>
      <c r="G6" s="116">
        <f t="shared" si="8"/>
        <v>24000</v>
      </c>
      <c r="H6" s="116">
        <f t="shared" si="8"/>
        <v>25000</v>
      </c>
      <c r="I6" s="116">
        <f t="shared" si="8"/>
        <v>26000</v>
      </c>
      <c r="J6" s="116">
        <f t="shared" si="8"/>
        <v>27000</v>
      </c>
      <c r="K6" s="116">
        <f t="shared" si="8"/>
        <v>26800.000000000004</v>
      </c>
      <c r="L6" s="116">
        <f t="shared" ref="L6" si="9">SUM(L7:L12)</f>
        <v>25700</v>
      </c>
      <c r="M6" s="116">
        <f t="shared" ref="M6:V6" si="10">SUM(M7:M12)</f>
        <v>25242</v>
      </c>
      <c r="N6" s="116">
        <f t="shared" si="10"/>
        <v>26147.000000000004</v>
      </c>
      <c r="O6" s="116">
        <f t="shared" si="10"/>
        <v>26145</v>
      </c>
      <c r="P6" s="116">
        <f t="shared" si="10"/>
        <v>26057.000000000004</v>
      </c>
      <c r="Q6" s="116">
        <f t="shared" si="10"/>
        <v>26393</v>
      </c>
      <c r="R6" s="116">
        <f t="shared" si="10"/>
        <v>26181.000000000004</v>
      </c>
      <c r="S6" s="116">
        <f t="shared" si="10"/>
        <v>26189.000000000004</v>
      </c>
      <c r="T6" s="116">
        <f t="shared" si="10"/>
        <v>25594</v>
      </c>
      <c r="U6" s="116">
        <f t="shared" si="10"/>
        <v>25372.000000000004</v>
      </c>
      <c r="V6" s="116">
        <f t="shared" si="10"/>
        <v>20215.000000000004</v>
      </c>
      <c r="W6" s="116">
        <f t="shared" ref="W6:Y6" si="11">SUM(W7:W12)</f>
        <v>23135</v>
      </c>
      <c r="X6" s="116">
        <f t="shared" si="11"/>
        <v>23819.999999999996</v>
      </c>
      <c r="Y6" s="116">
        <f t="shared" si="11"/>
        <v>24032.999999999996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15466.935641960232</v>
      </c>
      <c r="C7" s="87">
        <f t="shared" si="12"/>
        <v>15941.204827285248</v>
      </c>
      <c r="D7" s="87">
        <f t="shared" si="12"/>
        <v>16171.517142813818</v>
      </c>
      <c r="E7" s="87">
        <f t="shared" si="12"/>
        <v>15046.637929893232</v>
      </c>
      <c r="F7" s="87">
        <f t="shared" si="12"/>
        <v>14695.300653243359</v>
      </c>
      <c r="G7" s="87">
        <f t="shared" si="12"/>
        <v>13995.242894644931</v>
      </c>
      <c r="H7" s="87">
        <f t="shared" si="12"/>
        <v>13311.498385396253</v>
      </c>
      <c r="I7" s="87">
        <f t="shared" si="12"/>
        <v>12849.272256399523</v>
      </c>
      <c r="J7" s="87">
        <f t="shared" si="12"/>
        <v>14338.311300856143</v>
      </c>
      <c r="K7" s="87">
        <f t="shared" si="12"/>
        <v>14147.115157904947</v>
      </c>
      <c r="L7" s="87">
        <f t="shared" si="5"/>
        <v>13505.944624423886</v>
      </c>
      <c r="M7" s="87">
        <f t="shared" ref="M7:V7" si="13">IF(M34=0,0,M34*M144)</f>
        <v>12918.340244636447</v>
      </c>
      <c r="N7" s="87">
        <f t="shared" si="13"/>
        <v>12912.211971586879</v>
      </c>
      <c r="O7" s="87">
        <f t="shared" si="13"/>
        <v>12431.400204495714</v>
      </c>
      <c r="P7" s="87">
        <f t="shared" si="13"/>
        <v>11108.670242295271</v>
      </c>
      <c r="Q7" s="87">
        <f t="shared" si="13"/>
        <v>10903.517693156606</v>
      </c>
      <c r="R7" s="87">
        <f t="shared" si="13"/>
        <v>10159.369909173467</v>
      </c>
      <c r="S7" s="87">
        <f t="shared" si="13"/>
        <v>9770.4075302864621</v>
      </c>
      <c r="T7" s="87">
        <f t="shared" si="13"/>
        <v>9463.3472806851314</v>
      </c>
      <c r="U7" s="87">
        <f t="shared" si="13"/>
        <v>8873.0518004473925</v>
      </c>
      <c r="V7" s="87">
        <f t="shared" si="13"/>
        <v>6775.3546642461961</v>
      </c>
      <c r="W7" s="87">
        <f t="shared" ref="W7:Y7" si="14">IF(W34=0,0,W34*W144)</f>
        <v>7454.7607560307506</v>
      </c>
      <c r="X7" s="87">
        <f t="shared" si="14"/>
        <v>7202.749947633778</v>
      </c>
      <c r="Y7" s="87">
        <f t="shared" si="14"/>
        <v>7314.9968520839238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4271.5539914668789</v>
      </c>
      <c r="C8" s="87">
        <f t="shared" si="15"/>
        <v>4749.9263526071045</v>
      </c>
      <c r="D8" s="87">
        <f t="shared" si="15"/>
        <v>5493.8753776550766</v>
      </c>
      <c r="E8" s="87">
        <f t="shared" si="15"/>
        <v>7120.3355441792937</v>
      </c>
      <c r="F8" s="87">
        <f t="shared" si="15"/>
        <v>8366.6985273651444</v>
      </c>
      <c r="G8" s="87">
        <f t="shared" si="15"/>
        <v>9429.7399189842399</v>
      </c>
      <c r="H8" s="87">
        <f t="shared" si="15"/>
        <v>10686.040597949808</v>
      </c>
      <c r="I8" s="87">
        <f t="shared" si="15"/>
        <v>11767.742574052796</v>
      </c>
      <c r="J8" s="87">
        <f t="shared" si="15"/>
        <v>10956.684743991831</v>
      </c>
      <c r="K8" s="87">
        <f t="shared" si="15"/>
        <v>10816.969418254279</v>
      </c>
      <c r="L8" s="87">
        <f t="shared" ref="L8" si="16">IF(L35=0,0,L35*L145)</f>
        <v>10685.069582027067</v>
      </c>
      <c r="M8" s="87">
        <f t="shared" ref="M8:V8" si="17">IF(M35=0,0,M35*M145)</f>
        <v>10896.210223765051</v>
      </c>
      <c r="N8" s="87">
        <f t="shared" si="17"/>
        <v>11742.245629834237</v>
      </c>
      <c r="O8" s="87">
        <f t="shared" si="17"/>
        <v>12200.861899849948</v>
      </c>
      <c r="P8" s="87">
        <f t="shared" si="17"/>
        <v>13332.28381511183</v>
      </c>
      <c r="Q8" s="87">
        <f t="shared" si="17"/>
        <v>13748.272651032274</v>
      </c>
      <c r="R8" s="87">
        <f t="shared" si="17"/>
        <v>14396.191269767471</v>
      </c>
      <c r="S8" s="87">
        <f t="shared" si="17"/>
        <v>14846.40103838387</v>
      </c>
      <c r="T8" s="87">
        <f t="shared" si="17"/>
        <v>14646.359009549076</v>
      </c>
      <c r="U8" s="87">
        <f t="shared" si="17"/>
        <v>15064.402699751538</v>
      </c>
      <c r="V8" s="87">
        <f t="shared" si="17"/>
        <v>12308.989747099609</v>
      </c>
      <c r="W8" s="87">
        <f t="shared" ref="W8:Y8" si="18">IF(W35=0,0,W35*W145)</f>
        <v>14428.699211731882</v>
      </c>
      <c r="X8" s="87">
        <f t="shared" si="18"/>
        <v>15493.0602700863</v>
      </c>
      <c r="Y8" s="87">
        <f t="shared" si="18"/>
        <v>15657.466700404713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261.51036657288881</v>
      </c>
      <c r="C9" s="87">
        <f t="shared" si="19"/>
        <v>308.86882010764714</v>
      </c>
      <c r="D9" s="87">
        <f t="shared" si="19"/>
        <v>334.60747953110365</v>
      </c>
      <c r="E9" s="87">
        <f t="shared" si="19"/>
        <v>333.02652592747415</v>
      </c>
      <c r="F9" s="87">
        <f t="shared" si="19"/>
        <v>438.00081939149646</v>
      </c>
      <c r="G9" s="87">
        <f t="shared" si="19"/>
        <v>575.01718637082956</v>
      </c>
      <c r="H9" s="87">
        <f t="shared" si="19"/>
        <v>1002.4610166539381</v>
      </c>
      <c r="I9" s="87">
        <f t="shared" si="19"/>
        <v>1382.9851695476816</v>
      </c>
      <c r="J9" s="87">
        <f t="shared" si="19"/>
        <v>1705.0039551520242</v>
      </c>
      <c r="K9" s="87">
        <f t="shared" si="19"/>
        <v>1834.5588746103747</v>
      </c>
      <c r="L9" s="87">
        <f t="shared" ref="L9" si="20">IF(L36=0,0,L36*L146)</f>
        <v>1507.4771203059036</v>
      </c>
      <c r="M9" s="87">
        <f t="shared" ref="M9:V9" si="21">IF(M36=0,0,M36*M146)</f>
        <v>1425.9796543882326</v>
      </c>
      <c r="N9" s="87">
        <f t="shared" si="21"/>
        <v>1490.1230981075096</v>
      </c>
      <c r="O9" s="87">
        <f t="shared" si="21"/>
        <v>1510.1326811603601</v>
      </c>
      <c r="P9" s="87">
        <f t="shared" si="21"/>
        <v>1612.4209377971229</v>
      </c>
      <c r="Q9" s="87">
        <f t="shared" si="21"/>
        <v>1735.7852107653887</v>
      </c>
      <c r="R9" s="87">
        <f t="shared" si="21"/>
        <v>1618.8907880550739</v>
      </c>
      <c r="S9" s="87">
        <f t="shared" si="21"/>
        <v>1564.1055165235284</v>
      </c>
      <c r="T9" s="87">
        <f t="shared" si="21"/>
        <v>1473.7816349778375</v>
      </c>
      <c r="U9" s="87">
        <f t="shared" si="21"/>
        <v>1419.0643837278792</v>
      </c>
      <c r="V9" s="87">
        <f t="shared" si="21"/>
        <v>1106.453279050962</v>
      </c>
      <c r="W9" s="87">
        <f t="shared" ref="W9:Y9" si="22">IF(W36=0,0,W36*W146)</f>
        <v>1194.9801334635811</v>
      </c>
      <c r="X9" s="87">
        <f t="shared" si="22"/>
        <v>1030.3680167049347</v>
      </c>
      <c r="Y9" s="87">
        <f t="shared" si="22"/>
        <v>920.67538452995439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1.3565492304005351</v>
      </c>
      <c r="L10" s="87">
        <f t="shared" ref="L10" si="24">IF(L37=0,0,L37*L147)</f>
        <v>1.5086732431440784</v>
      </c>
      <c r="M10" s="87">
        <f t="shared" ref="M10:V10" si="25">IF(M37=0,0,M37*M147)</f>
        <v>1.4698772102714734</v>
      </c>
      <c r="N10" s="87">
        <f t="shared" si="25"/>
        <v>1.8915962518936378</v>
      </c>
      <c r="O10" s="87">
        <f t="shared" si="25"/>
        <v>1.9972525303959729</v>
      </c>
      <c r="P10" s="87">
        <f t="shared" si="25"/>
        <v>2.1934976010113125</v>
      </c>
      <c r="Q10" s="87">
        <f t="shared" si="25"/>
        <v>2.0574232545766211</v>
      </c>
      <c r="R10" s="87">
        <f t="shared" si="25"/>
        <v>2.0194309471379044</v>
      </c>
      <c r="S10" s="87">
        <f t="shared" si="25"/>
        <v>2.6327456438819747</v>
      </c>
      <c r="T10" s="87">
        <f t="shared" si="25"/>
        <v>2.6497509425299435</v>
      </c>
      <c r="U10" s="87">
        <f t="shared" si="25"/>
        <v>2.5769001963310236</v>
      </c>
      <c r="V10" s="87">
        <f t="shared" si="25"/>
        <v>2.0101842408699744</v>
      </c>
      <c r="W10" s="87">
        <f t="shared" ref="W10:Y10" si="26">IF(W37=0,0,W37*W147)</f>
        <v>2.3810844735427814</v>
      </c>
      <c r="X10" s="87">
        <f t="shared" si="26"/>
        <v>2.566166022941164</v>
      </c>
      <c r="Y10" s="87">
        <f t="shared" si="26"/>
        <v>2.3119575850262692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0</v>
      </c>
      <c r="P11" s="87">
        <f t="shared" si="29"/>
        <v>8.1976075055772507E-2</v>
      </c>
      <c r="Q11" s="87">
        <f t="shared" si="29"/>
        <v>0.79710450105245567</v>
      </c>
      <c r="R11" s="87">
        <f t="shared" si="29"/>
        <v>1.0609606551031465</v>
      </c>
      <c r="S11" s="87">
        <f t="shared" si="29"/>
        <v>1.2782935525938848</v>
      </c>
      <c r="T11" s="87">
        <f t="shared" si="29"/>
        <v>1.3118711141938715</v>
      </c>
      <c r="U11" s="87">
        <f t="shared" si="29"/>
        <v>2.4708186436658095</v>
      </c>
      <c r="V11" s="87">
        <f t="shared" si="29"/>
        <v>5.774196063004827</v>
      </c>
      <c r="W11" s="87">
        <f t="shared" ref="W11:Y11" si="30">IF(W38=0,0,W38*W148)</f>
        <v>11.803088812673986</v>
      </c>
      <c r="X11" s="87">
        <f t="shared" si="30"/>
        <v>22.12449091849378</v>
      </c>
      <c r="Y11" s="87">
        <f t="shared" si="30"/>
        <v>36.386243263804914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</v>
      </c>
      <c r="N12" s="87">
        <f t="shared" si="33"/>
        <v>0.5277042194813083</v>
      </c>
      <c r="O12" s="87">
        <f t="shared" si="33"/>
        <v>0.60796196358134491</v>
      </c>
      <c r="P12" s="87">
        <f t="shared" si="33"/>
        <v>1.3495311197099298</v>
      </c>
      <c r="Q12" s="87">
        <f t="shared" si="33"/>
        <v>2.5699172901027727</v>
      </c>
      <c r="R12" s="87">
        <f t="shared" si="33"/>
        <v>3.4676414017506669</v>
      </c>
      <c r="S12" s="87">
        <f t="shared" si="33"/>
        <v>4.1748756096647739</v>
      </c>
      <c r="T12" s="87">
        <f t="shared" si="33"/>
        <v>6.5504527312304983</v>
      </c>
      <c r="U12" s="87">
        <f t="shared" si="33"/>
        <v>10.433397233194292</v>
      </c>
      <c r="V12" s="87">
        <f t="shared" si="33"/>
        <v>16.417929299361699</v>
      </c>
      <c r="W12" s="87">
        <f t="shared" ref="W12:Y12" si="34">IF(W39=0,0,W39*W149)</f>
        <v>42.375725487569255</v>
      </c>
      <c r="X12" s="87">
        <f t="shared" si="34"/>
        <v>69.131108633549161</v>
      </c>
      <c r="Y12" s="87">
        <f t="shared" si="34"/>
        <v>101.16286213257607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3331.1469999999999</v>
      </c>
      <c r="C13" s="116">
        <f t="shared" si="35"/>
        <v>3477.7570000000005</v>
      </c>
      <c r="D13" s="116">
        <f t="shared" si="35"/>
        <v>3557.6930000000002</v>
      </c>
      <c r="E13" s="116">
        <f t="shared" si="35"/>
        <v>3716.8500000000004</v>
      </c>
      <c r="F13" s="116">
        <f t="shared" si="35"/>
        <v>3390.2530000000002</v>
      </c>
      <c r="G13" s="116">
        <f t="shared" si="35"/>
        <v>3403.4690000000001</v>
      </c>
      <c r="H13" s="116">
        <f t="shared" si="35"/>
        <v>3537.056</v>
      </c>
      <c r="I13" s="116">
        <f t="shared" si="35"/>
        <v>3807.98</v>
      </c>
      <c r="J13" s="116">
        <f t="shared" si="35"/>
        <v>4093.4889999999996</v>
      </c>
      <c r="K13" s="116">
        <f t="shared" si="35"/>
        <v>3437.9960000000005</v>
      </c>
      <c r="L13" s="116">
        <f t="shared" ref="L13" si="36">SUM(L14:L18)</f>
        <v>3248.4180000000006</v>
      </c>
      <c r="M13" s="116">
        <f t="shared" ref="M13:V13" si="37">SUM(M14:M18)</f>
        <v>3145.0209999999997</v>
      </c>
      <c r="N13" s="116">
        <f t="shared" si="37"/>
        <v>3249.078</v>
      </c>
      <c r="O13" s="116">
        <f t="shared" si="37"/>
        <v>3506.9999999999995</v>
      </c>
      <c r="P13" s="116">
        <f t="shared" si="37"/>
        <v>3648</v>
      </c>
      <c r="Q13" s="116">
        <f t="shared" si="37"/>
        <v>3377</v>
      </c>
      <c r="R13" s="116">
        <f t="shared" si="37"/>
        <v>3802.0000000000009</v>
      </c>
      <c r="S13" s="116">
        <f t="shared" si="37"/>
        <v>4150</v>
      </c>
      <c r="T13" s="116">
        <f t="shared" si="37"/>
        <v>3843.0000000000005</v>
      </c>
      <c r="U13" s="116">
        <f t="shared" si="37"/>
        <v>4022</v>
      </c>
      <c r="V13" s="116">
        <f t="shared" si="37"/>
        <v>2076.0000000000005</v>
      </c>
      <c r="W13" s="116">
        <f t="shared" ref="W13:Y13" si="38">SUM(W14:W18)</f>
        <v>2389.9999999999995</v>
      </c>
      <c r="X13" s="116">
        <f t="shared" si="38"/>
        <v>3224.0000000000005</v>
      </c>
      <c r="Y13" s="116">
        <f t="shared" si="38"/>
        <v>3480.0000000000005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6.2881666447328657</v>
      </c>
      <c r="C14" s="101">
        <f t="shared" si="39"/>
        <v>6.6047288841594511</v>
      </c>
      <c r="D14" s="101">
        <f t="shared" si="39"/>
        <v>6.6404945354956011</v>
      </c>
      <c r="E14" s="101">
        <f t="shared" si="39"/>
        <v>6.3788570132562503</v>
      </c>
      <c r="F14" s="101">
        <f t="shared" si="39"/>
        <v>5.9214691833510544</v>
      </c>
      <c r="G14" s="101">
        <f t="shared" si="39"/>
        <v>5.9534486599240077</v>
      </c>
      <c r="H14" s="101">
        <f t="shared" si="39"/>
        <v>5.9960119389903763</v>
      </c>
      <c r="I14" s="101">
        <f t="shared" si="39"/>
        <v>5.4867964624917693</v>
      </c>
      <c r="J14" s="101">
        <f t="shared" si="39"/>
        <v>6.1043126859647003</v>
      </c>
      <c r="K14" s="101">
        <f t="shared" si="39"/>
        <v>5.5283114477541107</v>
      </c>
      <c r="L14" s="101">
        <f t="shared" ref="L14" si="40">IF(L41=0,0,L41*L151)</f>
        <v>5.3458583472761063</v>
      </c>
      <c r="M14" s="101">
        <f t="shared" ref="M14:V14" si="41">IF(M41=0,0,M41*M151)</f>
        <v>4.8295086224699775</v>
      </c>
      <c r="N14" s="101">
        <f t="shared" si="41"/>
        <v>4.74842618853872</v>
      </c>
      <c r="O14" s="101">
        <f t="shared" si="41"/>
        <v>5.4604717556330549</v>
      </c>
      <c r="P14" s="101">
        <f t="shared" si="41"/>
        <v>5.1099048932360578</v>
      </c>
      <c r="Q14" s="101">
        <f t="shared" si="41"/>
        <v>4.7463527921726056</v>
      </c>
      <c r="R14" s="101">
        <f t="shared" si="41"/>
        <v>4.8891056063946161</v>
      </c>
      <c r="S14" s="101">
        <f t="shared" si="41"/>
        <v>4.7889831711818864</v>
      </c>
      <c r="T14" s="101">
        <f t="shared" si="41"/>
        <v>4.7568616826882542</v>
      </c>
      <c r="U14" s="101">
        <f t="shared" si="41"/>
        <v>3.5075258662947832</v>
      </c>
      <c r="V14" s="101">
        <f t="shared" si="41"/>
        <v>2.4082430368277001</v>
      </c>
      <c r="W14" s="101">
        <f t="shared" ref="W14:Y14" si="42">IF(W41=0,0,W41*W151)</f>
        <v>2.5298368336162387</v>
      </c>
      <c r="X14" s="101">
        <f t="shared" si="42"/>
        <v>2.4911437350188255</v>
      </c>
      <c r="Y14" s="101">
        <f t="shared" si="42"/>
        <v>2.4373670598409864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3324.8588333552671</v>
      </c>
      <c r="C15" s="101">
        <f t="shared" si="43"/>
        <v>3471.1522711158409</v>
      </c>
      <c r="D15" s="101">
        <f t="shared" si="43"/>
        <v>3551.0525054645045</v>
      </c>
      <c r="E15" s="101">
        <f t="shared" si="43"/>
        <v>3710.4711429867443</v>
      </c>
      <c r="F15" s="101">
        <f t="shared" si="43"/>
        <v>3384.3315308166493</v>
      </c>
      <c r="G15" s="101">
        <f t="shared" si="43"/>
        <v>3397.5155513400759</v>
      </c>
      <c r="H15" s="101">
        <f t="shared" si="43"/>
        <v>3531.0599880610098</v>
      </c>
      <c r="I15" s="101">
        <f t="shared" si="43"/>
        <v>3802.2202322133376</v>
      </c>
      <c r="J15" s="101">
        <f t="shared" si="43"/>
        <v>4087.0874373974088</v>
      </c>
      <c r="K15" s="101">
        <f t="shared" si="43"/>
        <v>3416.3293912139384</v>
      </c>
      <c r="L15" s="101">
        <f t="shared" ref="L15" si="44">IF(L42=0,0,L42*L152)</f>
        <v>3226.4209663292245</v>
      </c>
      <c r="M15" s="101">
        <f t="shared" ref="M15:V15" si="45">IF(M42=0,0,M42*M152)</f>
        <v>3123.4942353094229</v>
      </c>
      <c r="N15" s="101">
        <f t="shared" si="45"/>
        <v>3224.3002539378804</v>
      </c>
      <c r="O15" s="101">
        <f t="shared" si="45"/>
        <v>3454.6708248940204</v>
      </c>
      <c r="P15" s="101">
        <f t="shared" si="45"/>
        <v>3545.5540642799192</v>
      </c>
      <c r="Q15" s="101">
        <f t="shared" si="45"/>
        <v>3285.0900736212343</v>
      </c>
      <c r="R15" s="101">
        <f t="shared" si="45"/>
        <v>3704.7128903485504</v>
      </c>
      <c r="S15" s="101">
        <f t="shared" si="45"/>
        <v>4029.9422836200642</v>
      </c>
      <c r="T15" s="101">
        <f t="shared" si="45"/>
        <v>3736.8157875111774</v>
      </c>
      <c r="U15" s="101">
        <f t="shared" si="45"/>
        <v>3892.4879970106053</v>
      </c>
      <c r="V15" s="101">
        <f t="shared" si="45"/>
        <v>2003.611901150309</v>
      </c>
      <c r="W15" s="101">
        <f t="shared" ref="W15:Y15" si="46">IF(W42=0,0,W42*W152)</f>
        <v>2294.0727060696759</v>
      </c>
      <c r="X15" s="101">
        <f t="shared" si="46"/>
        <v>3123.0153615566842</v>
      </c>
      <c r="Y15" s="101">
        <f t="shared" si="46"/>
        <v>3396.715569736532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0.27297132417080477</v>
      </c>
      <c r="J16" s="101">
        <f t="shared" si="47"/>
        <v>0.29724991662644429</v>
      </c>
      <c r="K16" s="101">
        <f t="shared" si="47"/>
        <v>0.25389794785356612</v>
      </c>
      <c r="L16" s="101">
        <f t="shared" ref="L16" si="48">IF(L43=0,0,L43*L153)</f>
        <v>0.25024596230909524</v>
      </c>
      <c r="M16" s="101">
        <f t="shared" ref="M16:V16" si="49">IF(M43=0,0,M43*M153)</f>
        <v>0.49646640332054842</v>
      </c>
      <c r="N16" s="101">
        <f t="shared" si="49"/>
        <v>0.53343153564390311</v>
      </c>
      <c r="O16" s="101">
        <f t="shared" si="49"/>
        <v>3.7326628669804185</v>
      </c>
      <c r="P16" s="101">
        <f t="shared" si="49"/>
        <v>4.3608433440582344</v>
      </c>
      <c r="Q16" s="101">
        <f t="shared" si="49"/>
        <v>3.9949227236188514</v>
      </c>
      <c r="R16" s="101">
        <f t="shared" si="49"/>
        <v>4.3125272098840037</v>
      </c>
      <c r="S16" s="101">
        <f t="shared" si="49"/>
        <v>4.2272727259797778</v>
      </c>
      <c r="T16" s="101">
        <f t="shared" si="49"/>
        <v>3.7753943920980446</v>
      </c>
      <c r="U16" s="101">
        <f t="shared" si="49"/>
        <v>4.0331911537146796</v>
      </c>
      <c r="V16" s="101">
        <f t="shared" si="49"/>
        <v>2.3473701728869258</v>
      </c>
      <c r="W16" s="101">
        <f t="shared" ref="W16:Y16" si="50">IF(W43=0,0,W43*W153)</f>
        <v>2.6008678474382791</v>
      </c>
      <c r="X16" s="101">
        <f t="shared" si="50"/>
        <v>3.1200700939964561</v>
      </c>
      <c r="Y16" s="101">
        <f t="shared" si="50"/>
        <v>3.2556343503941112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15.884399390454233</v>
      </c>
      <c r="L17" s="101">
        <f t="shared" ref="L17" si="52">IF(L44=0,0,L44*L154)</f>
        <v>16.400929361190567</v>
      </c>
      <c r="M17" s="101">
        <f t="shared" ref="M17:V17" si="53">IF(M44=0,0,M44*M154)</f>
        <v>16.200789664786377</v>
      </c>
      <c r="N17" s="101">
        <f t="shared" si="53"/>
        <v>19.495888337936936</v>
      </c>
      <c r="O17" s="101">
        <f t="shared" si="53"/>
        <v>43.13604048336601</v>
      </c>
      <c r="P17" s="101">
        <f t="shared" si="53"/>
        <v>92.975187482786552</v>
      </c>
      <c r="Q17" s="101">
        <f t="shared" si="53"/>
        <v>82.197709226276615</v>
      </c>
      <c r="R17" s="101">
        <f t="shared" si="53"/>
        <v>86.565747090273163</v>
      </c>
      <c r="S17" s="101">
        <f t="shared" si="53"/>
        <v>109.41724748660938</v>
      </c>
      <c r="T17" s="101">
        <f t="shared" si="53"/>
        <v>96.216716776034289</v>
      </c>
      <c r="U17" s="101">
        <f t="shared" si="53"/>
        <v>120.06756115539896</v>
      </c>
      <c r="V17" s="101">
        <f t="shared" si="53"/>
        <v>66.258237200934275</v>
      </c>
      <c r="W17" s="101">
        <f t="shared" ref="W17:Y17" si="54">IF(W44=0,0,W44*W154)</f>
        <v>88.02804893736139</v>
      </c>
      <c r="X17" s="101">
        <f t="shared" si="54"/>
        <v>91.523008753173841</v>
      </c>
      <c r="Y17" s="101">
        <f t="shared" si="54"/>
        <v>73.157194578576338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0</v>
      </c>
      <c r="Q18" s="101">
        <f t="shared" si="57"/>
        <v>0.97094163669775557</v>
      </c>
      <c r="R18" s="101">
        <f t="shared" si="57"/>
        <v>1.5197297448984162</v>
      </c>
      <c r="S18" s="101">
        <f t="shared" si="57"/>
        <v>1.6242129961646983</v>
      </c>
      <c r="T18" s="101">
        <f t="shared" si="57"/>
        <v>1.4352396380021732</v>
      </c>
      <c r="U18" s="101">
        <f t="shared" si="57"/>
        <v>1.9037248139864966</v>
      </c>
      <c r="V18" s="101">
        <f t="shared" si="57"/>
        <v>1.3742484390422074</v>
      </c>
      <c r="W18" s="101">
        <f t="shared" ref="W18:Y18" si="58">IF(W45=0,0,W45*W155)</f>
        <v>2.7685403119080121</v>
      </c>
      <c r="X18" s="101">
        <f t="shared" si="58"/>
        <v>3.8504158611265695</v>
      </c>
      <c r="Y18" s="101">
        <f t="shared" si="58"/>
        <v>4.4342342746567649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6455.6512775334922</v>
      </c>
      <c r="C19" s="29">
        <f t="shared" si="59"/>
        <v>8113.5857477005338</v>
      </c>
      <c r="D19" s="29">
        <f t="shared" si="59"/>
        <v>8861.2433097903377</v>
      </c>
      <c r="E19" s="29">
        <f t="shared" si="59"/>
        <v>9425.0722239900078</v>
      </c>
      <c r="F19" s="29">
        <f t="shared" si="59"/>
        <v>10509.129870837956</v>
      </c>
      <c r="G19" s="29">
        <f t="shared" si="59"/>
        <v>10753.526726430129</v>
      </c>
      <c r="H19" s="29">
        <f t="shared" si="59"/>
        <v>11202.568821687733</v>
      </c>
      <c r="I19" s="29">
        <f t="shared" si="59"/>
        <v>11320.939526729808</v>
      </c>
      <c r="J19" s="29">
        <f t="shared" si="59"/>
        <v>10675.092144609343</v>
      </c>
      <c r="K19" s="29">
        <f t="shared" si="59"/>
        <v>8788.1904267495665</v>
      </c>
      <c r="L19" s="29">
        <f t="shared" ref="L19" si="60">L20+L26</f>
        <v>8199.3415456840776</v>
      </c>
      <c r="M19" s="29">
        <f t="shared" ref="M19:V19" si="61">M20+M26</f>
        <v>8005.4443635870948</v>
      </c>
      <c r="N19" s="29">
        <f t="shared" si="61"/>
        <v>7671.0234497110005</v>
      </c>
      <c r="O19" s="29">
        <f t="shared" si="61"/>
        <v>7954.3882670911307</v>
      </c>
      <c r="P19" s="29">
        <f t="shared" si="61"/>
        <v>7823.9289409292032</v>
      </c>
      <c r="Q19" s="29">
        <f t="shared" si="61"/>
        <v>8519.5868602154587</v>
      </c>
      <c r="R19" s="29">
        <f t="shared" si="61"/>
        <v>8570.6309148425244</v>
      </c>
      <c r="S19" s="29">
        <f t="shared" si="61"/>
        <v>9823.9601779653676</v>
      </c>
      <c r="T19" s="29">
        <f t="shared" si="61"/>
        <v>9914.7854636770753</v>
      </c>
      <c r="U19" s="29">
        <f t="shared" si="61"/>
        <v>9456.0120851845295</v>
      </c>
      <c r="V19" s="29">
        <f t="shared" si="61"/>
        <v>9718.2722200547487</v>
      </c>
      <c r="W19" s="29">
        <f t="shared" ref="W19:Y19" si="62">W20+W26</f>
        <v>9787.7709254803558</v>
      </c>
      <c r="X19" s="29">
        <f t="shared" si="62"/>
        <v>10052.655249215333</v>
      </c>
      <c r="Y19" s="29">
        <f t="shared" si="62"/>
        <v>10744.418481079259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150.70745667761406</v>
      </c>
      <c r="C20" s="152">
        <f t="shared" si="63"/>
        <v>188.20678183075682</v>
      </c>
      <c r="D20" s="152">
        <f t="shared" si="63"/>
        <v>207.95864753211225</v>
      </c>
      <c r="E20" s="152">
        <f t="shared" si="63"/>
        <v>230.39262613118865</v>
      </c>
      <c r="F20" s="152">
        <f t="shared" si="63"/>
        <v>250.47544675178938</v>
      </c>
      <c r="G20" s="152">
        <f t="shared" si="63"/>
        <v>270.47065580250143</v>
      </c>
      <c r="H20" s="152">
        <f t="shared" si="63"/>
        <v>292.62805070639178</v>
      </c>
      <c r="I20" s="152">
        <f t="shared" si="63"/>
        <v>287.95974698971827</v>
      </c>
      <c r="J20" s="152">
        <f t="shared" si="63"/>
        <v>300.04608604208823</v>
      </c>
      <c r="K20" s="152">
        <f t="shared" si="63"/>
        <v>291.6546954530358</v>
      </c>
      <c r="L20" s="152">
        <f t="shared" ref="L20" si="64">SUM(L21:L25)</f>
        <v>273.21744777479074</v>
      </c>
      <c r="M20" s="152">
        <f t="shared" ref="M20:V20" si="65">SUM(M21:M25)</f>
        <v>272.6790271931863</v>
      </c>
      <c r="N20" s="152">
        <f t="shared" si="65"/>
        <v>257.65894637943097</v>
      </c>
      <c r="O20" s="152">
        <f t="shared" si="65"/>
        <v>257.83230600328289</v>
      </c>
      <c r="P20" s="152">
        <f t="shared" si="65"/>
        <v>257.7333248740818</v>
      </c>
      <c r="Q20" s="152">
        <f t="shared" si="65"/>
        <v>300.14466824404417</v>
      </c>
      <c r="R20" s="152">
        <f t="shared" si="65"/>
        <v>320.42370603793375</v>
      </c>
      <c r="S20" s="152">
        <f t="shared" si="65"/>
        <v>354.1166049241412</v>
      </c>
      <c r="T20" s="152">
        <f t="shared" si="65"/>
        <v>393.78546367707446</v>
      </c>
      <c r="U20" s="152">
        <f t="shared" si="65"/>
        <v>422.01208518452893</v>
      </c>
      <c r="V20" s="152">
        <f t="shared" si="65"/>
        <v>437.27222005474863</v>
      </c>
      <c r="W20" s="152">
        <f t="shared" ref="W20:Y20" si="66">SUM(W21:W25)</f>
        <v>472.77092548035552</v>
      </c>
      <c r="X20" s="152">
        <f t="shared" si="66"/>
        <v>504.6552492153337</v>
      </c>
      <c r="Y20" s="152">
        <f t="shared" si="66"/>
        <v>547.41848107925978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22.498983635728919</v>
      </c>
      <c r="C21" s="87">
        <f t="shared" si="67"/>
        <v>27.323773628071873</v>
      </c>
      <c r="D21" s="87">
        <f t="shared" si="67"/>
        <v>26.816907702312939</v>
      </c>
      <c r="E21" s="87">
        <f t="shared" si="67"/>
        <v>25.73927319941825</v>
      </c>
      <c r="F21" s="87">
        <f t="shared" si="67"/>
        <v>24.140568450508738</v>
      </c>
      <c r="G21" s="87">
        <f t="shared" si="67"/>
        <v>22.80983870861894</v>
      </c>
      <c r="H21" s="87">
        <f t="shared" si="67"/>
        <v>22.485171026159364</v>
      </c>
      <c r="I21" s="87">
        <f t="shared" si="67"/>
        <v>17.710723562943862</v>
      </c>
      <c r="J21" s="87">
        <f t="shared" si="67"/>
        <v>17.260282115099322</v>
      </c>
      <c r="K21" s="87">
        <f t="shared" si="67"/>
        <v>15.180621733624982</v>
      </c>
      <c r="L21" s="87">
        <f t="shared" ref="L21" si="68">IF(L48=0,0,L48*L158)</f>
        <v>13.21162143466373</v>
      </c>
      <c r="M21" s="87">
        <f t="shared" ref="M21:V21" si="69">IF(M48=0,0,M48*M158)</f>
        <v>12.462237755066745</v>
      </c>
      <c r="N21" s="87">
        <f t="shared" si="69"/>
        <v>8.9712362483936214</v>
      </c>
      <c r="O21" s="87">
        <f t="shared" si="69"/>
        <v>8.5890616982710544</v>
      </c>
      <c r="P21" s="87">
        <f t="shared" si="69"/>
        <v>8.3311699477469539</v>
      </c>
      <c r="Q21" s="87">
        <f t="shared" si="69"/>
        <v>8.012893677544799</v>
      </c>
      <c r="R21" s="87">
        <f t="shared" si="69"/>
        <v>8.0344777183631333</v>
      </c>
      <c r="S21" s="87">
        <f t="shared" si="69"/>
        <v>8.838346618222225</v>
      </c>
      <c r="T21" s="87">
        <f t="shared" si="69"/>
        <v>9.4113420289071019</v>
      </c>
      <c r="U21" s="87">
        <f t="shared" si="69"/>
        <v>9.6363166229156167</v>
      </c>
      <c r="V21" s="87">
        <f t="shared" si="69"/>
        <v>9.5481803470823721</v>
      </c>
      <c r="W21" s="87">
        <f t="shared" ref="W21:Y21" si="70">IF(W48=0,0,W48*W158)</f>
        <v>9.9862961591574742</v>
      </c>
      <c r="X21" s="87">
        <f t="shared" si="70"/>
        <v>10.38355115415003</v>
      </c>
      <c r="Y21" s="87">
        <f t="shared" si="70"/>
        <v>11.099887048473006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128.20847304188516</v>
      </c>
      <c r="C22" s="87">
        <f t="shared" si="71"/>
        <v>160.88300820268495</v>
      </c>
      <c r="D22" s="87">
        <f t="shared" si="71"/>
        <v>181.14173982979932</v>
      </c>
      <c r="E22" s="87">
        <f t="shared" si="71"/>
        <v>204.64923244841827</v>
      </c>
      <c r="F22" s="87">
        <f t="shared" si="71"/>
        <v>226.33075398206537</v>
      </c>
      <c r="G22" s="87">
        <f t="shared" si="71"/>
        <v>247.65462492744294</v>
      </c>
      <c r="H22" s="87">
        <f t="shared" si="71"/>
        <v>270.13668178102097</v>
      </c>
      <c r="I22" s="87">
        <f t="shared" si="71"/>
        <v>269.95024425325772</v>
      </c>
      <c r="J22" s="87">
        <f t="shared" si="71"/>
        <v>282.02261938227065</v>
      </c>
      <c r="K22" s="87">
        <f t="shared" si="71"/>
        <v>275.49156316334938</v>
      </c>
      <c r="L22" s="87">
        <f t="shared" ref="L22" si="72">IF(L49=0,0,L49*L159)</f>
        <v>258.9947184162375</v>
      </c>
      <c r="M22" s="87">
        <f t="shared" ref="M22:V22" si="73">IF(M49=0,0,M49*M159)</f>
        <v>259.24853723579054</v>
      </c>
      <c r="N22" s="87">
        <f t="shared" si="73"/>
        <v>247.69166675185522</v>
      </c>
      <c r="O22" s="87">
        <f t="shared" si="73"/>
        <v>248.14759635750667</v>
      </c>
      <c r="P22" s="87">
        <f t="shared" si="73"/>
        <v>248.22495922778262</v>
      </c>
      <c r="Q22" s="87">
        <f t="shared" si="73"/>
        <v>290.79056063625831</v>
      </c>
      <c r="R22" s="87">
        <f t="shared" si="73"/>
        <v>310.93706862043956</v>
      </c>
      <c r="S22" s="87">
        <f t="shared" si="73"/>
        <v>343.62749606469282</v>
      </c>
      <c r="T22" s="87">
        <f t="shared" si="73"/>
        <v>382.52693890960256</v>
      </c>
      <c r="U22" s="87">
        <f t="shared" si="73"/>
        <v>410.34785852508753</v>
      </c>
      <c r="V22" s="87">
        <f t="shared" si="73"/>
        <v>425.58242646838045</v>
      </c>
      <c r="W22" s="87">
        <f t="shared" ref="W22:Y22" si="74">IF(W49=0,0,W49*W159)</f>
        <v>460.3015814578502</v>
      </c>
      <c r="X22" s="87">
        <f t="shared" si="74"/>
        <v>491.5521642894538</v>
      </c>
      <c r="Y22" s="87">
        <f t="shared" si="74"/>
        <v>533.13710112241495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0.29257851280916686</v>
      </c>
      <c r="J23" s="87">
        <f t="shared" si="75"/>
        <v>0.75284961253892502</v>
      </c>
      <c r="K23" s="87">
        <f t="shared" si="75"/>
        <v>0.93012846084033873</v>
      </c>
      <c r="L23" s="87">
        <f t="shared" ref="L23" si="76">IF(L50=0,0,L50*L160)</f>
        <v>0.95139633921365296</v>
      </c>
      <c r="M23" s="87">
        <f t="shared" ref="M23:V23" si="77">IF(M50=0,0,M50*M160)</f>
        <v>0.90904705516136364</v>
      </c>
      <c r="N23" s="87">
        <f t="shared" si="77"/>
        <v>0.91145745320628069</v>
      </c>
      <c r="O23" s="87">
        <f t="shared" si="77"/>
        <v>1.0098142774397847</v>
      </c>
      <c r="P23" s="87">
        <f t="shared" si="77"/>
        <v>1.0892638567359227</v>
      </c>
      <c r="Q23" s="87">
        <f t="shared" si="77"/>
        <v>1.1906534111229148</v>
      </c>
      <c r="R23" s="87">
        <f t="shared" si="77"/>
        <v>1.2686084440344287</v>
      </c>
      <c r="S23" s="87">
        <f t="shared" si="77"/>
        <v>1.4254135527990965</v>
      </c>
      <c r="T23" s="87">
        <f t="shared" si="77"/>
        <v>1.5555394224210926</v>
      </c>
      <c r="U23" s="87">
        <f t="shared" si="77"/>
        <v>1.6596738273404723</v>
      </c>
      <c r="V23" s="87">
        <f t="shared" si="77"/>
        <v>1.686959619450499</v>
      </c>
      <c r="W23" s="87">
        <f t="shared" ref="W23:Y23" si="78">IF(W50=0,0,W50*W160)</f>
        <v>1.8649092489951158</v>
      </c>
      <c r="X23" s="87">
        <f t="shared" si="78"/>
        <v>2.0106447214895047</v>
      </c>
      <c r="Y23" s="87">
        <f t="shared" si="78"/>
        <v>2.1092365140064726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3.9970037429613879E-2</v>
      </c>
      <c r="L24" s="87">
        <f t="shared" ref="L24" si="80">IF(L51=0,0,L51*L161)</f>
        <v>4.7288498492390064E-2</v>
      </c>
      <c r="M24" s="87">
        <f t="shared" ref="M24:V24" si="81">IF(M51=0,0,M51*M161)</f>
        <v>4.8844579026272802E-2</v>
      </c>
      <c r="N24" s="87">
        <f t="shared" si="81"/>
        <v>7.0071556229114401E-2</v>
      </c>
      <c r="O24" s="87">
        <f t="shared" si="81"/>
        <v>7.1318281800098068E-2</v>
      </c>
      <c r="P24" s="87">
        <f t="shared" si="81"/>
        <v>7.1330186338574714E-2</v>
      </c>
      <c r="Q24" s="87">
        <f t="shared" si="81"/>
        <v>7.5817631447094594E-2</v>
      </c>
      <c r="R24" s="87">
        <f t="shared" si="81"/>
        <v>7.3585020831753126E-2</v>
      </c>
      <c r="S24" s="87">
        <f t="shared" si="81"/>
        <v>9.0612929790036781E-2</v>
      </c>
      <c r="T24" s="87">
        <f t="shared" si="81"/>
        <v>9.4908520006296848E-2</v>
      </c>
      <c r="U24" s="87">
        <f t="shared" si="81"/>
        <v>9.2879012896042834E-2</v>
      </c>
      <c r="V24" s="87">
        <f t="shared" si="81"/>
        <v>9.0036656650587771E-2</v>
      </c>
      <c r="W24" s="87">
        <f t="shared" ref="W24:Y24" si="82">IF(W51=0,0,W51*W161)</f>
        <v>9.0303879938300316E-2</v>
      </c>
      <c r="X24" s="87">
        <f t="shared" si="82"/>
        <v>9.0525171935116874E-2</v>
      </c>
      <c r="Y24" s="87">
        <f t="shared" si="82"/>
        <v>9.0806565587912252E-2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4.1204833521107063E-3</v>
      </c>
      <c r="F25" s="87">
        <f t="shared" si="83"/>
        <v>4.124319215271329E-3</v>
      </c>
      <c r="G25" s="87">
        <f t="shared" si="83"/>
        <v>6.1921664395475475E-3</v>
      </c>
      <c r="H25" s="87">
        <f t="shared" si="83"/>
        <v>6.1978992114039662E-3</v>
      </c>
      <c r="I25" s="87">
        <f t="shared" si="83"/>
        <v>6.2006607074985426E-3</v>
      </c>
      <c r="J25" s="87">
        <f t="shared" si="83"/>
        <v>1.0334932179384689E-2</v>
      </c>
      <c r="K25" s="87">
        <f t="shared" si="83"/>
        <v>1.2412057791424918E-2</v>
      </c>
      <c r="L25" s="87">
        <f t="shared" ref="L25" si="84">IF(L52=0,0,L52*L162)</f>
        <v>1.2423086183458028E-2</v>
      </c>
      <c r="M25" s="87">
        <f t="shared" ref="M25:V25" si="85">IF(M52=0,0,M52*M162)</f>
        <v>1.0360568141410311E-2</v>
      </c>
      <c r="N25" s="87">
        <f t="shared" si="85"/>
        <v>1.4514369746814602E-2</v>
      </c>
      <c r="O25" s="87">
        <f t="shared" si="85"/>
        <v>1.4515388265317328E-2</v>
      </c>
      <c r="P25" s="87">
        <f t="shared" si="85"/>
        <v>1.6601655477774466E-2</v>
      </c>
      <c r="Q25" s="87">
        <f t="shared" si="85"/>
        <v>7.4742887671053845E-2</v>
      </c>
      <c r="R25" s="87">
        <f t="shared" si="85"/>
        <v>0.10996623426490905</v>
      </c>
      <c r="S25" s="87">
        <f t="shared" si="85"/>
        <v>0.13473575863702583</v>
      </c>
      <c r="T25" s="87">
        <f t="shared" si="85"/>
        <v>0.19673479613743924</v>
      </c>
      <c r="U25" s="87">
        <f t="shared" si="85"/>
        <v>0.27535719628924371</v>
      </c>
      <c r="V25" s="87">
        <f t="shared" si="85"/>
        <v>0.36461696318477205</v>
      </c>
      <c r="W25" s="87">
        <f t="shared" ref="W25:Y25" si="86">IF(W52=0,0,W52*W162)</f>
        <v>0.52783473441448048</v>
      </c>
      <c r="X25" s="87">
        <f t="shared" si="86"/>
        <v>0.61836387830528905</v>
      </c>
      <c r="Y25" s="87">
        <f t="shared" si="86"/>
        <v>0.98144982877741482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6304.9438208558786</v>
      </c>
      <c r="C26" s="116">
        <f t="shared" si="87"/>
        <v>7925.3789658697769</v>
      </c>
      <c r="D26" s="116">
        <f t="shared" si="87"/>
        <v>8653.2846622582256</v>
      </c>
      <c r="E26" s="116">
        <f t="shared" si="87"/>
        <v>9194.6795978588198</v>
      </c>
      <c r="F26" s="116">
        <f t="shared" si="87"/>
        <v>10258.654424086168</v>
      </c>
      <c r="G26" s="116">
        <f t="shared" si="87"/>
        <v>10483.056070627628</v>
      </c>
      <c r="H26" s="116">
        <f t="shared" si="87"/>
        <v>10909.940770981342</v>
      </c>
      <c r="I26" s="116">
        <f t="shared" si="87"/>
        <v>11032.97977974009</v>
      </c>
      <c r="J26" s="116">
        <f t="shared" si="87"/>
        <v>10375.046058567255</v>
      </c>
      <c r="K26" s="116">
        <f t="shared" si="87"/>
        <v>8496.5357312965316</v>
      </c>
      <c r="L26" s="116">
        <f t="shared" ref="L26" si="88">SUM(L27:L28)</f>
        <v>7926.1240979092863</v>
      </c>
      <c r="M26" s="116">
        <f t="shared" ref="M26:V26" si="89">SUM(M27:M28)</f>
        <v>7732.7653363939089</v>
      </c>
      <c r="N26" s="116">
        <f t="shared" si="89"/>
        <v>7413.3645033315697</v>
      </c>
      <c r="O26" s="116">
        <f t="shared" si="89"/>
        <v>7696.5559610878481</v>
      </c>
      <c r="P26" s="116">
        <f t="shared" si="89"/>
        <v>7566.1956160551217</v>
      </c>
      <c r="Q26" s="116">
        <f t="shared" si="89"/>
        <v>8219.442191971415</v>
      </c>
      <c r="R26" s="116">
        <f t="shared" si="89"/>
        <v>8250.2072088045898</v>
      </c>
      <c r="S26" s="116">
        <f t="shared" si="89"/>
        <v>9469.8435730412257</v>
      </c>
      <c r="T26" s="116">
        <f t="shared" si="89"/>
        <v>9521</v>
      </c>
      <c r="U26" s="116">
        <f t="shared" si="89"/>
        <v>9034</v>
      </c>
      <c r="V26" s="116">
        <f t="shared" si="89"/>
        <v>9281</v>
      </c>
      <c r="W26" s="116">
        <f t="shared" ref="W26:Y26" si="90">SUM(W27:W28)</f>
        <v>9315</v>
      </c>
      <c r="X26" s="116">
        <f t="shared" si="90"/>
        <v>9548</v>
      </c>
      <c r="Y26" s="116">
        <f t="shared" si="90"/>
        <v>10197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1906</v>
      </c>
      <c r="C27" s="101">
        <f t="shared" si="91"/>
        <v>3212.9999999999995</v>
      </c>
      <c r="D27" s="101">
        <f t="shared" si="91"/>
        <v>3663</v>
      </c>
      <c r="E27" s="101">
        <f t="shared" si="91"/>
        <v>4124</v>
      </c>
      <c r="F27" s="101">
        <f t="shared" si="91"/>
        <v>4373</v>
      </c>
      <c r="G27" s="101">
        <f t="shared" si="91"/>
        <v>4387</v>
      </c>
      <c r="H27" s="101">
        <f t="shared" si="91"/>
        <v>5291</v>
      </c>
      <c r="I27" s="101">
        <f t="shared" si="91"/>
        <v>5122</v>
      </c>
      <c r="J27" s="101">
        <f t="shared" si="91"/>
        <v>6445</v>
      </c>
      <c r="K27" s="101">
        <f t="shared" si="91"/>
        <v>5125.0000000000009</v>
      </c>
      <c r="L27" s="101">
        <f t="shared" ref="L27:V27" si="92">IF(L54=0,0,L54*L164)</f>
        <v>4547</v>
      </c>
      <c r="M27" s="101">
        <f t="shared" si="92"/>
        <v>4375</v>
      </c>
      <c r="N27" s="101">
        <f t="shared" si="92"/>
        <v>4145</v>
      </c>
      <c r="O27" s="101">
        <f t="shared" si="92"/>
        <v>4284</v>
      </c>
      <c r="P27" s="101">
        <f t="shared" si="92"/>
        <v>3931</v>
      </c>
      <c r="Q27" s="101">
        <f t="shared" si="92"/>
        <v>4054.9999999999995</v>
      </c>
      <c r="R27" s="101">
        <f t="shared" si="92"/>
        <v>3986</v>
      </c>
      <c r="S27" s="101">
        <f t="shared" si="92"/>
        <v>4199</v>
      </c>
      <c r="T27" s="101">
        <f t="shared" si="92"/>
        <v>4235</v>
      </c>
      <c r="U27" s="101">
        <f t="shared" si="92"/>
        <v>4312</v>
      </c>
      <c r="V27" s="101">
        <f t="shared" si="92"/>
        <v>4487</v>
      </c>
      <c r="W27" s="101">
        <f t="shared" ref="W27:Y27" si="93">IF(W54=0,0,W54*W164)</f>
        <v>4802</v>
      </c>
      <c r="X27" s="101">
        <f t="shared" si="93"/>
        <v>4854</v>
      </c>
      <c r="Y27" s="101">
        <f t="shared" si="93"/>
        <v>5169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4398.9438208558786</v>
      </c>
      <c r="C28" s="88">
        <f t="shared" si="94"/>
        <v>4712.3789658697769</v>
      </c>
      <c r="D28" s="88">
        <f t="shared" si="94"/>
        <v>4990.2846622582256</v>
      </c>
      <c r="E28" s="88">
        <f t="shared" si="94"/>
        <v>5070.6795978588198</v>
      </c>
      <c r="F28" s="88">
        <f t="shared" si="94"/>
        <v>5885.6544240861676</v>
      </c>
      <c r="G28" s="88">
        <f t="shared" si="94"/>
        <v>6096.0560706276283</v>
      </c>
      <c r="H28" s="88">
        <f t="shared" si="94"/>
        <v>5618.9407709813422</v>
      </c>
      <c r="I28" s="88">
        <f t="shared" si="94"/>
        <v>5910.9797797400897</v>
      </c>
      <c r="J28" s="88">
        <f t="shared" si="94"/>
        <v>3930.0460585672554</v>
      </c>
      <c r="K28" s="88">
        <f t="shared" si="94"/>
        <v>3371.5357312965316</v>
      </c>
      <c r="L28" s="88">
        <f t="shared" ref="L28:V28" si="95">IF(L55=0,0,L55*L165)</f>
        <v>3379.1240979092863</v>
      </c>
      <c r="M28" s="88">
        <f t="shared" si="95"/>
        <v>3357.7653363939089</v>
      </c>
      <c r="N28" s="88">
        <f t="shared" si="95"/>
        <v>3268.3645033315697</v>
      </c>
      <c r="O28" s="88">
        <f t="shared" si="95"/>
        <v>3412.5559610878481</v>
      </c>
      <c r="P28" s="88">
        <f t="shared" si="95"/>
        <v>3635.1956160551217</v>
      </c>
      <c r="Q28" s="88">
        <f t="shared" si="95"/>
        <v>4164.442191971415</v>
      </c>
      <c r="R28" s="88">
        <f t="shared" si="95"/>
        <v>4264.2072088045898</v>
      </c>
      <c r="S28" s="88">
        <f t="shared" si="95"/>
        <v>5270.8435730412257</v>
      </c>
      <c r="T28" s="88">
        <f t="shared" si="95"/>
        <v>5286</v>
      </c>
      <c r="U28" s="88">
        <f t="shared" si="95"/>
        <v>4722</v>
      </c>
      <c r="V28" s="88">
        <f t="shared" si="95"/>
        <v>4794</v>
      </c>
      <c r="W28" s="88">
        <f t="shared" ref="W28:Y28" si="96">IF(W55=0,0,W55*W165)</f>
        <v>4513</v>
      </c>
      <c r="X28" s="88">
        <f t="shared" si="96"/>
        <v>4694</v>
      </c>
      <c r="Y28" s="88">
        <f t="shared" si="96"/>
        <v>5028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15623.798407345328</v>
      </c>
      <c r="C30" s="62">
        <f t="shared" ref="C30:V30" si="98">C31+C46</f>
        <v>16980.709727083129</v>
      </c>
      <c r="D30" s="62">
        <f t="shared" si="98"/>
        <v>18030.341103846244</v>
      </c>
      <c r="E30" s="62">
        <f t="shared" si="98"/>
        <v>18724.201548519333</v>
      </c>
      <c r="F30" s="62">
        <f t="shared" si="98"/>
        <v>19767.913426026807</v>
      </c>
      <c r="G30" s="62">
        <f t="shared" si="98"/>
        <v>20380.917249204856</v>
      </c>
      <c r="H30" s="62">
        <f t="shared" si="98"/>
        <v>21121.567993004963</v>
      </c>
      <c r="I30" s="62">
        <f t="shared" si="98"/>
        <v>22049.533744448687</v>
      </c>
      <c r="J30" s="62">
        <f t="shared" si="98"/>
        <v>24005.879476556227</v>
      </c>
      <c r="K30" s="62">
        <f t="shared" si="98"/>
        <v>23313.843420936155</v>
      </c>
      <c r="L30" s="62">
        <f t="shared" si="98"/>
        <v>23096.348251301944</v>
      </c>
      <c r="M30" s="62">
        <f t="shared" si="98"/>
        <v>22744.290625529229</v>
      </c>
      <c r="N30" s="62">
        <f t="shared" si="98"/>
        <v>22058.43316437933</v>
      </c>
      <c r="O30" s="62">
        <f t="shared" si="98"/>
        <v>22080.509519352108</v>
      </c>
      <c r="P30" s="62">
        <f t="shared" si="98"/>
        <v>22356.584694162244</v>
      </c>
      <c r="Q30" s="62">
        <f t="shared" si="98"/>
        <v>23178.62310906007</v>
      </c>
      <c r="R30" s="62">
        <f t="shared" si="98"/>
        <v>25283.879183877267</v>
      </c>
      <c r="S30" s="62">
        <f t="shared" si="98"/>
        <v>26238.839036038418</v>
      </c>
      <c r="T30" s="62">
        <f t="shared" si="98"/>
        <v>27309.483250808124</v>
      </c>
      <c r="U30" s="62">
        <f t="shared" si="98"/>
        <v>26497.429950818208</v>
      </c>
      <c r="V30" s="62">
        <f t="shared" si="98"/>
        <v>22326.888984221805</v>
      </c>
      <c r="W30" s="62">
        <f t="shared" ref="W30:Y30" si="99">W31+W46</f>
        <v>25178.996423087712</v>
      </c>
      <c r="X30" s="62">
        <f t="shared" si="99"/>
        <v>25548.919130767343</v>
      </c>
      <c r="Y30" s="62">
        <f t="shared" si="99"/>
        <v>26205.692539384749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14355.153397256334</v>
      </c>
      <c r="C31" s="29">
        <f t="shared" ref="C31:V31" si="101">C32+C33+C40</f>
        <v>15366.187608112965</v>
      </c>
      <c r="D31" s="29">
        <f t="shared" si="101"/>
        <v>16193.422853825687</v>
      </c>
      <c r="E31" s="29">
        <f t="shared" si="101"/>
        <v>16689.650943871264</v>
      </c>
      <c r="F31" s="29">
        <f t="shared" si="101"/>
        <v>17535.769743549696</v>
      </c>
      <c r="G31" s="29">
        <f t="shared" si="101"/>
        <v>18028.74879159253</v>
      </c>
      <c r="H31" s="29">
        <f t="shared" si="101"/>
        <v>18579.909104536491</v>
      </c>
      <c r="I31" s="29">
        <f t="shared" si="101"/>
        <v>19535.48305807275</v>
      </c>
      <c r="J31" s="29">
        <f t="shared" si="101"/>
        <v>21478.161881789809</v>
      </c>
      <c r="K31" s="29">
        <f t="shared" si="101"/>
        <v>20984.234608758692</v>
      </c>
      <c r="L31" s="29">
        <f t="shared" si="101"/>
        <v>20908.508876436219</v>
      </c>
      <c r="M31" s="29">
        <f t="shared" si="101"/>
        <v>20560.85896160598</v>
      </c>
      <c r="N31" s="29">
        <f t="shared" si="101"/>
        <v>19994.359248606088</v>
      </c>
      <c r="O31" s="29">
        <f t="shared" si="101"/>
        <v>19999.735875672424</v>
      </c>
      <c r="P31" s="29">
        <f t="shared" si="101"/>
        <v>20302.500750569099</v>
      </c>
      <c r="Q31" s="29">
        <f t="shared" si="101"/>
        <v>20869.78506160104</v>
      </c>
      <c r="R31" s="29">
        <f t="shared" si="101"/>
        <v>22861.999999999996</v>
      </c>
      <c r="S31" s="29">
        <f t="shared" si="101"/>
        <v>23543.000000000004</v>
      </c>
      <c r="T31" s="29">
        <f t="shared" si="101"/>
        <v>24413</v>
      </c>
      <c r="U31" s="29">
        <f t="shared" si="101"/>
        <v>23489.999999999996</v>
      </c>
      <c r="V31" s="29">
        <f t="shared" si="101"/>
        <v>19230.525431861806</v>
      </c>
      <c r="W31" s="29">
        <f t="shared" ref="W31:Y31" si="102">W32+W33+W40</f>
        <v>21867.59761447765</v>
      </c>
      <c r="X31" s="29">
        <f t="shared" si="102"/>
        <v>22048.767205922679</v>
      </c>
      <c r="Y31" s="29">
        <f t="shared" si="102"/>
        <v>22421.516124211685</v>
      </c>
      <c r="DA31" s="173" t="s">
        <v>475</v>
      </c>
    </row>
    <row r="32" spans="1:105" ht="11.45" customHeight="1" x14ac:dyDescent="0.25">
      <c r="A32" s="136" t="s">
        <v>173</v>
      </c>
      <c r="B32" s="152">
        <v>135.36534989758857</v>
      </c>
      <c r="C32" s="152">
        <v>134.82722645449155</v>
      </c>
      <c r="D32" s="152">
        <v>140.22296786529168</v>
      </c>
      <c r="E32" s="152">
        <v>158.26569162409876</v>
      </c>
      <c r="F32" s="152">
        <v>175.62035732486137</v>
      </c>
      <c r="G32" s="152">
        <v>194.62627542651802</v>
      </c>
      <c r="H32" s="152">
        <v>212.73834925502075</v>
      </c>
      <c r="I32" s="152">
        <v>214.51832224885254</v>
      </c>
      <c r="J32" s="152">
        <v>216.16188178981096</v>
      </c>
      <c r="K32" s="152">
        <v>216.607638442092</v>
      </c>
      <c r="L32" s="152">
        <v>216.52784409286207</v>
      </c>
      <c r="M32" s="152">
        <v>216.41471573040772</v>
      </c>
      <c r="N32" s="152">
        <v>216.59742911813177</v>
      </c>
      <c r="O32" s="152">
        <v>215.98717793656323</v>
      </c>
      <c r="P32" s="152">
        <v>215.50246818648603</v>
      </c>
      <c r="Q32" s="152">
        <v>215</v>
      </c>
      <c r="R32" s="152">
        <v>225</v>
      </c>
      <c r="S32" s="152">
        <v>235</v>
      </c>
      <c r="T32" s="152">
        <v>240</v>
      </c>
      <c r="U32" s="152">
        <v>250</v>
      </c>
      <c r="V32" s="152">
        <v>220</v>
      </c>
      <c r="W32" s="152">
        <v>270</v>
      </c>
      <c r="X32" s="152">
        <v>290</v>
      </c>
      <c r="Y32" s="152">
        <v>310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13887.139664771521</v>
      </c>
      <c r="C33" s="116">
        <f t="shared" ref="C33:V33" si="104">SUM(C34:C39)</f>
        <v>14896.674298901004</v>
      </c>
      <c r="D33" s="116">
        <f t="shared" si="104"/>
        <v>15724.047279005159</v>
      </c>
      <c r="E33" s="116">
        <f t="shared" si="104"/>
        <v>16206.629712484644</v>
      </c>
      <c r="F33" s="116">
        <f t="shared" si="104"/>
        <v>17040.581814368528</v>
      </c>
      <c r="G33" s="116">
        <f t="shared" si="104"/>
        <v>17520.000000000004</v>
      </c>
      <c r="H33" s="116">
        <f t="shared" si="104"/>
        <v>18058</v>
      </c>
      <c r="I33" s="116">
        <f t="shared" si="104"/>
        <v>19011</v>
      </c>
      <c r="J33" s="116">
        <f t="shared" si="104"/>
        <v>20955.999999999996</v>
      </c>
      <c r="K33" s="116">
        <f t="shared" si="104"/>
        <v>20465.788761232729</v>
      </c>
      <c r="L33" s="116">
        <f t="shared" si="104"/>
        <v>20390.767080036407</v>
      </c>
      <c r="M33" s="116">
        <f t="shared" si="104"/>
        <v>20050.737248956277</v>
      </c>
      <c r="N33" s="116">
        <f t="shared" si="104"/>
        <v>19495.780630728474</v>
      </c>
      <c r="O33" s="116">
        <f t="shared" si="104"/>
        <v>19500.777777159627</v>
      </c>
      <c r="P33" s="116">
        <f t="shared" si="104"/>
        <v>19795.787022874374</v>
      </c>
      <c r="Q33" s="116">
        <f t="shared" si="104"/>
        <v>20350.78506160104</v>
      </c>
      <c r="R33" s="116">
        <f t="shared" si="104"/>
        <v>22308.999999999996</v>
      </c>
      <c r="S33" s="116">
        <f t="shared" si="104"/>
        <v>22973.000000000004</v>
      </c>
      <c r="T33" s="116">
        <f t="shared" si="104"/>
        <v>23822</v>
      </c>
      <c r="U33" s="116">
        <f t="shared" si="104"/>
        <v>22962.999999999996</v>
      </c>
      <c r="V33" s="116">
        <f t="shared" si="104"/>
        <v>18812.525431861806</v>
      </c>
      <c r="W33" s="116">
        <f t="shared" ref="W33:Y33" si="105">SUM(W34:W39)</f>
        <v>21371.311900191937</v>
      </c>
      <c r="X33" s="116">
        <f t="shared" si="105"/>
        <v>21504.195777351251</v>
      </c>
      <c r="Y33" s="116">
        <f t="shared" si="105"/>
        <v>21838.087552783112</v>
      </c>
      <c r="DA33" s="176" t="s">
        <v>477</v>
      </c>
    </row>
    <row r="34" spans="1:105" ht="11.45" customHeight="1" x14ac:dyDescent="0.25">
      <c r="A34" s="111" t="s">
        <v>110</v>
      </c>
      <c r="B34" s="87">
        <v>10863.634265726854</v>
      </c>
      <c r="C34" s="87">
        <v>11446.499928715244</v>
      </c>
      <c r="D34" s="87">
        <v>11715.060366201182</v>
      </c>
      <c r="E34" s="87">
        <v>11026.509212221466</v>
      </c>
      <c r="F34" s="87">
        <v>10865.145057726326</v>
      </c>
      <c r="G34" s="87">
        <v>10438.372306014269</v>
      </c>
      <c r="H34" s="87">
        <v>9842.2162466517093</v>
      </c>
      <c r="I34" s="87">
        <v>9630.5168660423569</v>
      </c>
      <c r="J34" s="87">
        <v>11374.672316428067</v>
      </c>
      <c r="K34" s="87">
        <v>11040.312257532916</v>
      </c>
      <c r="L34" s="87">
        <v>10959.721403847529</v>
      </c>
      <c r="M34" s="87">
        <v>10505.233234206802</v>
      </c>
      <c r="N34" s="87">
        <v>9866.4102715769004</v>
      </c>
      <c r="O34" s="87">
        <v>9512.082579533022</v>
      </c>
      <c r="P34" s="87">
        <v>8680.8779934607446</v>
      </c>
      <c r="Q34" s="87">
        <v>8652.6299443180178</v>
      </c>
      <c r="R34" s="87">
        <v>8936.3754448129348</v>
      </c>
      <c r="S34" s="87">
        <v>8857.1190237424344</v>
      </c>
      <c r="T34" s="87">
        <v>9107.4525824248867</v>
      </c>
      <c r="U34" s="87">
        <v>8312.6916823852553</v>
      </c>
      <c r="V34" s="87">
        <v>6533.3403060784767</v>
      </c>
      <c r="W34" s="87">
        <v>7140.8865594856679</v>
      </c>
      <c r="X34" s="87">
        <v>6750.921535082809</v>
      </c>
      <c r="Y34" s="87">
        <v>6900.4255449971579</v>
      </c>
      <c r="DA34" s="171" t="s">
        <v>478</v>
      </c>
    </row>
    <row r="35" spans="1:105" ht="11.45" customHeight="1" x14ac:dyDescent="0.25">
      <c r="A35" s="111" t="s">
        <v>111</v>
      </c>
      <c r="B35" s="87">
        <v>2836.3079256228466</v>
      </c>
      <c r="C35" s="87">
        <v>3224.2971873566257</v>
      </c>
      <c r="D35" s="87">
        <v>3762.4365928388488</v>
      </c>
      <c r="E35" s="87">
        <v>4932.8243907492379</v>
      </c>
      <c r="F35" s="87">
        <v>5848.0057938169666</v>
      </c>
      <c r="G35" s="87">
        <v>6648.8828011499518</v>
      </c>
      <c r="H35" s="87">
        <v>7469.2913393797626</v>
      </c>
      <c r="I35" s="87">
        <v>8337.97991991042</v>
      </c>
      <c r="J35" s="87">
        <v>8217.0641141116121</v>
      </c>
      <c r="K35" s="87">
        <v>7980.235185640533</v>
      </c>
      <c r="L35" s="87">
        <v>8196.8790158097272</v>
      </c>
      <c r="M35" s="87">
        <v>8376.6635886203876</v>
      </c>
      <c r="N35" s="87">
        <v>8482.1569688408563</v>
      </c>
      <c r="O35" s="87">
        <v>8825.56862110158</v>
      </c>
      <c r="P35" s="87">
        <v>9849.2406356534666</v>
      </c>
      <c r="Q35" s="87">
        <v>10313.979277031471</v>
      </c>
      <c r="R35" s="87">
        <v>11971.232393585793</v>
      </c>
      <c r="S35" s="87">
        <v>12723.236806114388</v>
      </c>
      <c r="T35" s="87">
        <v>13325.344228001193</v>
      </c>
      <c r="U35" s="87">
        <v>13341.885006905661</v>
      </c>
      <c r="V35" s="87">
        <v>11220.760089739029</v>
      </c>
      <c r="W35" s="87">
        <v>13065.987072799022</v>
      </c>
      <c r="X35" s="87">
        <v>13727.724451205137</v>
      </c>
      <c r="Y35" s="87">
        <v>13963.03568684556</v>
      </c>
      <c r="DA35" s="171" t="s">
        <v>479</v>
      </c>
    </row>
    <row r="36" spans="1:105" ht="11.45" customHeight="1" x14ac:dyDescent="0.25">
      <c r="A36" s="111" t="s">
        <v>112</v>
      </c>
      <c r="B36" s="87">
        <v>187.19747342181984</v>
      </c>
      <c r="C36" s="87">
        <v>225.87718282913426</v>
      </c>
      <c r="D36" s="87">
        <v>246.5503199651277</v>
      </c>
      <c r="E36" s="87">
        <v>247.29610951393997</v>
      </c>
      <c r="F36" s="87">
        <v>327.43096282523578</v>
      </c>
      <c r="G36" s="87">
        <v>432.74489283577901</v>
      </c>
      <c r="H36" s="87">
        <v>746.49241396852847</v>
      </c>
      <c r="I36" s="87">
        <v>1042.5032140472235</v>
      </c>
      <c r="J36" s="87">
        <v>1364.2635694603212</v>
      </c>
      <c r="K36" s="87">
        <v>1444.2317036813863</v>
      </c>
      <c r="L36" s="87">
        <v>1233.0000594904477</v>
      </c>
      <c r="M36" s="87">
        <v>1167.7024983922256</v>
      </c>
      <c r="N36" s="87">
        <v>1145.3857747811205</v>
      </c>
      <c r="O36" s="87">
        <v>1161.1527024199706</v>
      </c>
      <c r="P36" s="87">
        <v>1262.809347140786</v>
      </c>
      <c r="Q36" s="87">
        <v>1379.748419667495</v>
      </c>
      <c r="R36" s="87">
        <v>1395.5670182684712</v>
      </c>
      <c r="S36" s="87">
        <v>1385.3035530402506</v>
      </c>
      <c r="T36" s="87">
        <v>1379.1928794674288</v>
      </c>
      <c r="U36" s="87">
        <v>1293.9112650711995</v>
      </c>
      <c r="V36" s="87">
        <v>1035.2926109193002</v>
      </c>
      <c r="W36" s="87">
        <v>1110.4848896446349</v>
      </c>
      <c r="X36" s="87">
        <v>937.30276770325258</v>
      </c>
      <c r="Y36" s="87">
        <v>842.59359469674632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1.009614377895552</v>
      </c>
      <c r="L37" s="87">
        <v>1.1666008887027401</v>
      </c>
      <c r="M37" s="87">
        <v>1.137927736860229</v>
      </c>
      <c r="N37" s="87">
        <v>1.3745888914424649</v>
      </c>
      <c r="O37" s="87">
        <v>1.4518506979661991</v>
      </c>
      <c r="P37" s="87">
        <v>1.6240944016776211</v>
      </c>
      <c r="Q37" s="87">
        <v>1.546116847332516</v>
      </c>
      <c r="R37" s="87">
        <v>1.7037213016058401</v>
      </c>
      <c r="S37" s="87">
        <v>2.2904144638533697</v>
      </c>
      <c r="T37" s="87">
        <v>2.4547957062791284</v>
      </c>
      <c r="U37" s="87">
        <v>2.3173432836552594</v>
      </c>
      <c r="V37" s="87">
        <v>1.8619811609010071</v>
      </c>
      <c r="W37" s="87">
        <v>2.1882757409417297</v>
      </c>
      <c r="X37" s="87">
        <v>2.3015407292245822</v>
      </c>
      <c r="Y37" s="87">
        <v>2.0879061992686676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6.4321558973574111E-2</v>
      </c>
      <c r="Q38" s="87">
        <v>0.63380519196092455</v>
      </c>
      <c r="R38" s="87">
        <v>0.9220812109374722</v>
      </c>
      <c r="S38" s="87">
        <v>1.1398253112854175</v>
      </c>
      <c r="T38" s="87">
        <v>1.2323240814095513</v>
      </c>
      <c r="U38" s="87">
        <v>2.2646499112606997</v>
      </c>
      <c r="V38" s="87">
        <v>5.4233405365656546</v>
      </c>
      <c r="W38" s="87">
        <v>11.014299469782456</v>
      </c>
      <c r="X38" s="87">
        <v>20.233604490483678</v>
      </c>
      <c r="Y38" s="87">
        <v>33.467230924542548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0.45302663815525035</v>
      </c>
      <c r="O39" s="87">
        <v>0.52202340708748685</v>
      </c>
      <c r="P39" s="87">
        <v>1.1706306587266893</v>
      </c>
      <c r="Q39" s="87">
        <v>2.2474985447619908</v>
      </c>
      <c r="R39" s="87">
        <v>3.1993408202564808</v>
      </c>
      <c r="S39" s="87">
        <v>3.9103773277883374</v>
      </c>
      <c r="T39" s="87">
        <v>6.3231903188023084</v>
      </c>
      <c r="U39" s="87">
        <v>9.9300524429672805</v>
      </c>
      <c r="V39" s="87">
        <v>15.847103427531721</v>
      </c>
      <c r="W39" s="87">
        <v>40.750803051891687</v>
      </c>
      <c r="X39" s="87">
        <v>65.711878140343686</v>
      </c>
      <c r="Y39" s="87">
        <v>96.477589119835883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332.64838258722358</v>
      </c>
      <c r="C40" s="116">
        <f t="shared" ref="C40:V40" si="107">SUM(C41:C45)</f>
        <v>334.68608275746885</v>
      </c>
      <c r="D40" s="116">
        <f t="shared" si="107"/>
        <v>329.15260695523693</v>
      </c>
      <c r="E40" s="116">
        <f t="shared" si="107"/>
        <v>324.75553976251979</v>
      </c>
      <c r="F40" s="116">
        <f t="shared" si="107"/>
        <v>319.56757185630613</v>
      </c>
      <c r="G40" s="116">
        <f t="shared" si="107"/>
        <v>314.12251616600895</v>
      </c>
      <c r="H40" s="116">
        <f t="shared" si="107"/>
        <v>309.17075528147029</v>
      </c>
      <c r="I40" s="116">
        <f t="shared" si="107"/>
        <v>309.96473582389677</v>
      </c>
      <c r="J40" s="116">
        <f t="shared" si="107"/>
        <v>306.00000000000006</v>
      </c>
      <c r="K40" s="116">
        <f t="shared" si="107"/>
        <v>301.83820908387071</v>
      </c>
      <c r="L40" s="116">
        <f t="shared" si="107"/>
        <v>301.21395230694799</v>
      </c>
      <c r="M40" s="116">
        <f t="shared" si="107"/>
        <v>293.70699691929735</v>
      </c>
      <c r="N40" s="116">
        <f t="shared" si="107"/>
        <v>281.98118875948404</v>
      </c>
      <c r="O40" s="116">
        <f t="shared" si="107"/>
        <v>282.97092057623416</v>
      </c>
      <c r="P40" s="116">
        <f t="shared" si="107"/>
        <v>291.21125950824035</v>
      </c>
      <c r="Q40" s="116">
        <f t="shared" si="107"/>
        <v>304</v>
      </c>
      <c r="R40" s="116">
        <f t="shared" si="107"/>
        <v>328</v>
      </c>
      <c r="S40" s="116">
        <f t="shared" si="107"/>
        <v>334.99999999999994</v>
      </c>
      <c r="T40" s="116">
        <f t="shared" si="107"/>
        <v>350.99999999999994</v>
      </c>
      <c r="U40" s="116">
        <f t="shared" si="107"/>
        <v>277</v>
      </c>
      <c r="V40" s="116">
        <f t="shared" si="107"/>
        <v>198.00000000000003</v>
      </c>
      <c r="W40" s="116">
        <f t="shared" ref="W40:Y40" si="108">SUM(W41:W45)</f>
        <v>226.28571428571425</v>
      </c>
      <c r="X40" s="116">
        <f t="shared" si="108"/>
        <v>254.57142857142853</v>
      </c>
      <c r="Y40" s="116">
        <f t="shared" si="108"/>
        <v>273.42857142857133</v>
      </c>
      <c r="DA40" s="176" t="s">
        <v>484</v>
      </c>
    </row>
    <row r="41" spans="1:105" ht="11.45" customHeight="1" x14ac:dyDescent="0.25">
      <c r="A41" s="111" t="s">
        <v>110</v>
      </c>
      <c r="B41" s="101">
        <v>0.98481040583006929</v>
      </c>
      <c r="C41" s="101">
        <v>1.0320440793679511</v>
      </c>
      <c r="D41" s="101">
        <v>1.0350354447115233</v>
      </c>
      <c r="E41" s="101">
        <v>0.99047575420020173</v>
      </c>
      <c r="F41" s="101">
        <v>0.92406960374227309</v>
      </c>
      <c r="G41" s="101">
        <v>0.92780177000509234</v>
      </c>
      <c r="H41" s="101">
        <v>0.93105519052410679</v>
      </c>
      <c r="I41" s="101">
        <v>0.84770796640390034</v>
      </c>
      <c r="J41" s="101">
        <v>0.93703242433154521</v>
      </c>
      <c r="K41" s="101">
        <v>0.85868887249973014</v>
      </c>
      <c r="L41" s="101">
        <v>0.83336510926557705</v>
      </c>
      <c r="M41" s="101">
        <v>0.75321644776421182</v>
      </c>
      <c r="N41" s="101">
        <v>0.73697092764334005</v>
      </c>
      <c r="O41" s="101">
        <v>0.84309825472363109</v>
      </c>
      <c r="P41" s="101">
        <v>0.78834570459291264</v>
      </c>
      <c r="Q41" s="101">
        <v>0.73847311016185258</v>
      </c>
      <c r="R41" s="101">
        <v>0.75849177026256664</v>
      </c>
      <c r="S41" s="101">
        <v>0.73944413084549243</v>
      </c>
      <c r="T41" s="101">
        <v>0.74081673264412373</v>
      </c>
      <c r="U41" s="101">
        <v>0.53480969829053282</v>
      </c>
      <c r="V41" s="101">
        <v>0.37609620050931319</v>
      </c>
      <c r="W41" s="101">
        <v>0.39490285617339377</v>
      </c>
      <c r="X41" s="101">
        <v>0.38401540967158709</v>
      </c>
      <c r="Y41" s="101">
        <v>0.37558565685049677</v>
      </c>
      <c r="DA41" s="175" t="s">
        <v>485</v>
      </c>
    </row>
    <row r="42" spans="1:105" ht="11.45" customHeight="1" x14ac:dyDescent="0.25">
      <c r="A42" s="111" t="s">
        <v>111</v>
      </c>
      <c r="B42" s="101">
        <v>331.66357218139353</v>
      </c>
      <c r="C42" s="101">
        <v>333.6540386781009</v>
      </c>
      <c r="D42" s="101">
        <v>328.11757151052541</v>
      </c>
      <c r="E42" s="101">
        <v>323.7650640083196</v>
      </c>
      <c r="F42" s="101">
        <v>318.64350225256385</v>
      </c>
      <c r="G42" s="101">
        <v>313.19471439600386</v>
      </c>
      <c r="H42" s="101">
        <v>308.2397000909462</v>
      </c>
      <c r="I42" s="101">
        <v>309.09483713159244</v>
      </c>
      <c r="J42" s="101">
        <v>305.04078225458551</v>
      </c>
      <c r="K42" s="101">
        <v>299.564416725878</v>
      </c>
      <c r="L42" s="101">
        <v>298.83831813836531</v>
      </c>
      <c r="M42" s="101">
        <v>291.39606518503405</v>
      </c>
      <c r="N42" s="101">
        <v>279.50791753515693</v>
      </c>
      <c r="O42" s="101">
        <v>278.35149333690072</v>
      </c>
      <c r="P42" s="101">
        <v>282.66297239647042</v>
      </c>
      <c r="Q42" s="101">
        <v>295.4230422500687</v>
      </c>
      <c r="R42" s="101">
        <v>319.27849028212751</v>
      </c>
      <c r="S42" s="101">
        <v>324.96554273706852</v>
      </c>
      <c r="T42" s="101">
        <v>341.00342229180109</v>
      </c>
      <c r="U42" s="101">
        <v>267.79630465094931</v>
      </c>
      <c r="V42" s="101">
        <v>190.95446549437443</v>
      </c>
      <c r="W42" s="101">
        <v>217.05399843203298</v>
      </c>
      <c r="X42" s="101">
        <v>246.41595955098225</v>
      </c>
      <c r="Y42" s="101">
        <v>266.70499600741823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2.2190725900444346E-2</v>
      </c>
      <c r="J43" s="101">
        <v>2.218532108297154E-2</v>
      </c>
      <c r="K43" s="101">
        <v>2.2263307177656146E-2</v>
      </c>
      <c r="L43" s="101">
        <v>2.3178340110543375E-2</v>
      </c>
      <c r="M43" s="101">
        <v>4.6316191267067486E-2</v>
      </c>
      <c r="N43" s="101">
        <v>4.6242076088699381E-2</v>
      </c>
      <c r="O43" s="101">
        <v>0.30075000942501373</v>
      </c>
      <c r="P43" s="101">
        <v>0.34766045572547438</v>
      </c>
      <c r="Q43" s="101">
        <v>0.35925718872738766</v>
      </c>
      <c r="R43" s="101">
        <v>0.37166096742865756</v>
      </c>
      <c r="S43" s="101">
        <v>0.34087782876672523</v>
      </c>
      <c r="T43" s="101">
        <v>0.34452391592580117</v>
      </c>
      <c r="U43" s="101">
        <v>0.27747643351634654</v>
      </c>
      <c r="V43" s="101">
        <v>0.22371638760166937</v>
      </c>
      <c r="W43" s="101">
        <v>0.24608146210281759</v>
      </c>
      <c r="X43" s="101">
        <v>0.24618356846481537</v>
      </c>
      <c r="Y43" s="101">
        <v>0.25562751092839514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1.392840178315327</v>
      </c>
      <c r="L44" s="101">
        <v>1.5190907192066028</v>
      </c>
      <c r="M44" s="101">
        <v>1.511399095232028</v>
      </c>
      <c r="N44" s="101">
        <v>1.690058220595138</v>
      </c>
      <c r="O44" s="101">
        <v>3.4755789751847841</v>
      </c>
      <c r="P44" s="101">
        <v>7.4122809514515184</v>
      </c>
      <c r="Q44" s="101">
        <v>7.3919121793958409</v>
      </c>
      <c r="R44" s="101">
        <v>7.4603840727119257</v>
      </c>
      <c r="S44" s="101">
        <v>8.8231623958499359</v>
      </c>
      <c r="T44" s="101">
        <v>8.7802641521596563</v>
      </c>
      <c r="U44" s="101">
        <v>8.2604363097744713</v>
      </c>
      <c r="V44" s="101">
        <v>6.3147490100452917</v>
      </c>
      <c r="W44" s="101">
        <v>8.3287857204664562</v>
      </c>
      <c r="X44" s="101">
        <v>7.22145984311289</v>
      </c>
      <c r="Y44" s="101">
        <v>5.7441928496552146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8.7315271646211778E-2</v>
      </c>
      <c r="R45" s="101">
        <v>0.13097290746931767</v>
      </c>
      <c r="S45" s="101">
        <v>0.13097290746931767</v>
      </c>
      <c r="T45" s="101">
        <v>0.13097290746931767</v>
      </c>
      <c r="U45" s="101">
        <v>0.13097290746931767</v>
      </c>
      <c r="V45" s="101">
        <v>0.13097290746931767</v>
      </c>
      <c r="W45" s="101">
        <v>0.26194581493863534</v>
      </c>
      <c r="X45" s="101">
        <v>0.30381019919699936</v>
      </c>
      <c r="Y45" s="101">
        <v>0.348169403719023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1268.6450100889947</v>
      </c>
      <c r="C46" s="29">
        <f t="shared" ref="C46:V46" si="110">C47+C53</f>
        <v>1614.5221189701642</v>
      </c>
      <c r="D46" s="29">
        <f t="shared" si="110"/>
        <v>1836.918250020557</v>
      </c>
      <c r="E46" s="29">
        <f t="shared" si="110"/>
        <v>2034.5506046480693</v>
      </c>
      <c r="F46" s="29">
        <f t="shared" si="110"/>
        <v>2232.1436824771117</v>
      </c>
      <c r="G46" s="29">
        <f t="shared" si="110"/>
        <v>2352.1684576123253</v>
      </c>
      <c r="H46" s="29">
        <f t="shared" si="110"/>
        <v>2541.6588884684725</v>
      </c>
      <c r="I46" s="29">
        <f t="shared" si="110"/>
        <v>2514.0506863759383</v>
      </c>
      <c r="J46" s="29">
        <f t="shared" si="110"/>
        <v>2527.7175947664191</v>
      </c>
      <c r="K46" s="29">
        <f t="shared" si="110"/>
        <v>2329.6088121774615</v>
      </c>
      <c r="L46" s="29">
        <f t="shared" si="110"/>
        <v>2187.8393748657245</v>
      </c>
      <c r="M46" s="29">
        <f t="shared" si="110"/>
        <v>2183.4316639232484</v>
      </c>
      <c r="N46" s="29">
        <f t="shared" si="110"/>
        <v>2064.0739157732423</v>
      </c>
      <c r="O46" s="29">
        <f t="shared" si="110"/>
        <v>2080.7736436796831</v>
      </c>
      <c r="P46" s="29">
        <f t="shared" si="110"/>
        <v>2054.083943593143</v>
      </c>
      <c r="Q46" s="29">
        <f t="shared" si="110"/>
        <v>2308.8380474590313</v>
      </c>
      <c r="R46" s="29">
        <f t="shared" si="110"/>
        <v>2421.879183877269</v>
      </c>
      <c r="S46" s="29">
        <f t="shared" si="110"/>
        <v>2695.8390360384151</v>
      </c>
      <c r="T46" s="29">
        <f t="shared" si="110"/>
        <v>2896.483250808124</v>
      </c>
      <c r="U46" s="29">
        <f t="shared" si="110"/>
        <v>3007.4299508182116</v>
      </c>
      <c r="V46" s="29">
        <f t="shared" si="110"/>
        <v>3096.3635523599996</v>
      </c>
      <c r="W46" s="29">
        <f t="shared" ref="W46:Y46" si="111">W47+W53</f>
        <v>3311.3988086100617</v>
      </c>
      <c r="X46" s="29">
        <f t="shared" si="111"/>
        <v>3500.1519248446634</v>
      </c>
      <c r="Y46" s="29">
        <f t="shared" si="111"/>
        <v>3784.1764151730636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769.731791105713</v>
      </c>
      <c r="C47" s="152">
        <f t="shared" ref="C47:V47" si="113">SUM(C48:C52)</f>
        <v>965.36239514257227</v>
      </c>
      <c r="D47" s="152">
        <f t="shared" si="113"/>
        <v>1066.144079567599</v>
      </c>
      <c r="E47" s="152">
        <f t="shared" si="113"/>
        <v>1180.3537968447733</v>
      </c>
      <c r="F47" s="152">
        <f t="shared" si="113"/>
        <v>1282.9739745250679</v>
      </c>
      <c r="G47" s="152">
        <f t="shared" si="113"/>
        <v>1386.4655113586593</v>
      </c>
      <c r="H47" s="152">
        <f t="shared" si="113"/>
        <v>1503.3197435629781</v>
      </c>
      <c r="I47" s="152">
        <f t="shared" si="113"/>
        <v>1476.1950831383231</v>
      </c>
      <c r="J47" s="152">
        <f t="shared" si="113"/>
        <v>1536.2943443698441</v>
      </c>
      <c r="K47" s="152">
        <f t="shared" si="113"/>
        <v>1485.081252112494</v>
      </c>
      <c r="L47" s="152">
        <f t="shared" si="113"/>
        <v>1383.5154062112269</v>
      </c>
      <c r="M47" s="152">
        <f t="shared" si="113"/>
        <v>1384.8517482376931</v>
      </c>
      <c r="N47" s="152">
        <f t="shared" si="113"/>
        <v>1309.0516511195453</v>
      </c>
      <c r="O47" s="152">
        <f t="shared" si="113"/>
        <v>1309.8370442866385</v>
      </c>
      <c r="P47" s="152">
        <f t="shared" si="113"/>
        <v>1303.9654532072529</v>
      </c>
      <c r="Q47" s="152">
        <f t="shared" si="113"/>
        <v>1512.4958999931109</v>
      </c>
      <c r="R47" s="152">
        <f t="shared" si="113"/>
        <v>1608.834469012726</v>
      </c>
      <c r="S47" s="152">
        <f t="shared" si="113"/>
        <v>1786.67366093747</v>
      </c>
      <c r="T47" s="152">
        <f t="shared" si="113"/>
        <v>1995.8207125500192</v>
      </c>
      <c r="U47" s="152">
        <f t="shared" si="113"/>
        <v>2135.6322438705943</v>
      </c>
      <c r="V47" s="152">
        <f t="shared" si="113"/>
        <v>2204.5237899810063</v>
      </c>
      <c r="W47" s="152">
        <f t="shared" ref="W47:Y47" si="114">SUM(W48:W52)</f>
        <v>2394.104304331931</v>
      </c>
      <c r="X47" s="152">
        <f t="shared" si="114"/>
        <v>2566.7088720197567</v>
      </c>
      <c r="Y47" s="152">
        <f t="shared" si="114"/>
        <v>2796.8108274985216</v>
      </c>
      <c r="DA47" s="174" t="s">
        <v>491</v>
      </c>
    </row>
    <row r="48" spans="1:105" ht="11.45" customHeight="1" x14ac:dyDescent="0.25">
      <c r="A48" s="111" t="s">
        <v>110</v>
      </c>
      <c r="B48" s="87">
        <v>144.24773482961922</v>
      </c>
      <c r="C48" s="87">
        <v>175.72306630992267</v>
      </c>
      <c r="D48" s="87">
        <v>172.78049088414761</v>
      </c>
      <c r="E48" s="87">
        <v>166.14520408419696</v>
      </c>
      <c r="F48" s="87">
        <v>156.08686314058687</v>
      </c>
      <c r="G48" s="87">
        <v>147.72136748848007</v>
      </c>
      <c r="H48" s="87">
        <v>145.85910132252485</v>
      </c>
      <c r="I48" s="87">
        <v>114.80154318804264</v>
      </c>
      <c r="J48" s="87">
        <v>111.52225328343614</v>
      </c>
      <c r="K48" s="87">
        <v>97.39472514536925</v>
      </c>
      <c r="L48" s="87">
        <v>84.13568689025162</v>
      </c>
      <c r="M48" s="87">
        <v>79.433471802507853</v>
      </c>
      <c r="N48" s="87">
        <v>57.200453691364771</v>
      </c>
      <c r="O48" s="87">
        <v>54.620046753975849</v>
      </c>
      <c r="P48" s="87">
        <v>52.621735283598397</v>
      </c>
      <c r="Q48" s="87">
        <v>50.341428382773977</v>
      </c>
      <c r="R48" s="87">
        <v>50.462361566275348</v>
      </c>
      <c r="S48" s="87">
        <v>55.94277417545544</v>
      </c>
      <c r="T48" s="87">
        <v>60.03125741081714</v>
      </c>
      <c r="U48" s="87">
        <v>61.569585723988695</v>
      </c>
      <c r="V48" s="87">
        <v>60.971425812501508</v>
      </c>
      <c r="W48" s="87">
        <v>64.251171699455554</v>
      </c>
      <c r="X48" s="87">
        <v>67.303869240285223</v>
      </c>
      <c r="Y48" s="87">
        <v>72.493329000932306</v>
      </c>
      <c r="DA48" s="171" t="s">
        <v>492</v>
      </c>
    </row>
    <row r="49" spans="1:105" ht="11.45" customHeight="1" x14ac:dyDescent="0.25">
      <c r="A49" s="111" t="s">
        <v>111</v>
      </c>
      <c r="B49" s="87">
        <v>625.48405627609372</v>
      </c>
      <c r="C49" s="87">
        <v>789.63932883264954</v>
      </c>
      <c r="D49" s="87">
        <v>893.36358868345144</v>
      </c>
      <c r="E49" s="87">
        <v>1014.1882280156782</v>
      </c>
      <c r="F49" s="87">
        <v>1126.8667229392495</v>
      </c>
      <c r="G49" s="87">
        <v>1238.7135260525965</v>
      </c>
      <c r="H49" s="87">
        <v>1357.4299889859053</v>
      </c>
      <c r="I49" s="87">
        <v>1359.5177909998595</v>
      </c>
      <c r="J49" s="87">
        <v>1419.9744992187527</v>
      </c>
      <c r="K49" s="87">
        <v>1381.4346551170561</v>
      </c>
      <c r="L49" s="87">
        <v>1292.9579647985308</v>
      </c>
      <c r="M49" s="87">
        <v>1299.2311052676305</v>
      </c>
      <c r="N49" s="87">
        <v>1245.4157873849533</v>
      </c>
      <c r="O49" s="87">
        <v>1248.1460813976232</v>
      </c>
      <c r="P49" s="87">
        <v>1243.7893330358893</v>
      </c>
      <c r="Q49" s="87">
        <v>1453.6232984690953</v>
      </c>
      <c r="R49" s="87">
        <v>1549.2611424906413</v>
      </c>
      <c r="S49" s="87">
        <v>1720.3225284375603</v>
      </c>
      <c r="T49" s="87">
        <v>1924.1711534476315</v>
      </c>
      <c r="U49" s="87">
        <v>2061.4363232155915</v>
      </c>
      <c r="V49" s="87">
        <v>2130.3884473389512</v>
      </c>
      <c r="W49" s="87">
        <v>2314.7028332415475</v>
      </c>
      <c r="X49" s="87">
        <v>2482.8283482405823</v>
      </c>
      <c r="Y49" s="87">
        <v>2705.2545699394877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1.8450786228387155</v>
      </c>
      <c r="J50" s="87">
        <v>4.7464715779872249</v>
      </c>
      <c r="K50" s="87">
        <v>5.8390514112711136</v>
      </c>
      <c r="L50" s="87">
        <v>5.94478112010193</v>
      </c>
      <c r="M50" s="87">
        <v>5.7032339115936912</v>
      </c>
      <c r="N50" s="87">
        <v>5.7382007826915542</v>
      </c>
      <c r="O50" s="87">
        <v>6.3597616394077789</v>
      </c>
      <c r="P50" s="87">
        <v>6.8327536420688917</v>
      </c>
      <c r="Q50" s="87">
        <v>7.4803430367137365</v>
      </c>
      <c r="R50" s="87">
        <v>7.9107662627281563</v>
      </c>
      <c r="S50" s="87">
        <v>8.9331612095629787</v>
      </c>
      <c r="T50" s="87">
        <v>9.7973359501458575</v>
      </c>
      <c r="U50" s="87">
        <v>10.438968952662027</v>
      </c>
      <c r="V50" s="87">
        <v>10.57109010626851</v>
      </c>
      <c r="W50" s="87">
        <v>11.7421963415285</v>
      </c>
      <c r="X50" s="87">
        <v>12.718839736611667</v>
      </c>
      <c r="Y50" s="87">
        <v>13.40692549338865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0.3514133947781834</v>
      </c>
      <c r="L51" s="87">
        <v>0.41549814882826136</v>
      </c>
      <c r="M51" s="87">
        <v>0.43265841132181737</v>
      </c>
      <c r="N51" s="87">
        <v>0.62535963876435086</v>
      </c>
      <c r="O51" s="87">
        <v>0.63929857141575508</v>
      </c>
      <c r="P51" s="87">
        <v>0.63943196486407916</v>
      </c>
      <c r="Q51" s="87">
        <v>0.68071399876006033</v>
      </c>
      <c r="R51" s="87">
        <v>0.65575058579868484</v>
      </c>
      <c r="S51" s="87">
        <v>0.80827284928592302</v>
      </c>
      <c r="T51" s="87">
        <v>0.8473852979185984</v>
      </c>
      <c r="U51" s="87">
        <v>0.82479574589342186</v>
      </c>
      <c r="V51" s="87">
        <v>0.79336607039858364</v>
      </c>
      <c r="W51" s="87">
        <v>0.79631048898126611</v>
      </c>
      <c r="X51" s="87">
        <v>0.79875046004566697</v>
      </c>
      <c r="Y51" s="87">
        <v>0.80185526739430579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2.0364744898178307E-2</v>
      </c>
      <c r="F52" s="87">
        <v>2.0388445231369089E-2</v>
      </c>
      <c r="G52" s="87">
        <v>3.0617817582563954E-2</v>
      </c>
      <c r="H52" s="87">
        <v>3.0653254548125647E-2</v>
      </c>
      <c r="I52" s="87">
        <v>3.0670327582422718E-2</v>
      </c>
      <c r="J52" s="87">
        <v>5.1120289668000148E-2</v>
      </c>
      <c r="K52" s="87">
        <v>6.1407044019365586E-2</v>
      </c>
      <c r="L52" s="87">
        <v>6.1475253514264944E-2</v>
      </c>
      <c r="M52" s="87">
        <v>5.1278844639044849E-2</v>
      </c>
      <c r="N52" s="87">
        <v>7.1849621771245764E-2</v>
      </c>
      <c r="O52" s="87">
        <v>7.1855924216026629E-2</v>
      </c>
      <c r="P52" s="87">
        <v>8.2199280832346247E-2</v>
      </c>
      <c r="Q52" s="87">
        <v>0.3701161057679197</v>
      </c>
      <c r="R52" s="87">
        <v>0.54444810728252735</v>
      </c>
      <c r="S52" s="87">
        <v>0.66692426560540807</v>
      </c>
      <c r="T52" s="87">
        <v>0.9735804435059674</v>
      </c>
      <c r="U52" s="87">
        <v>1.3625702324585998</v>
      </c>
      <c r="V52" s="87">
        <v>1.7994606528868915</v>
      </c>
      <c r="W52" s="87">
        <v>2.6117925604179812</v>
      </c>
      <c r="X52" s="87">
        <v>3.0590643422320567</v>
      </c>
      <c r="Y52" s="87">
        <v>4.8541477973186762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498.91321898328181</v>
      </c>
      <c r="C53" s="116">
        <f t="shared" ref="C53:V53" si="116">SUM(C54:C55)</f>
        <v>649.15972382759196</v>
      </c>
      <c r="D53" s="116">
        <f t="shared" si="116"/>
        <v>770.77417045295806</v>
      </c>
      <c r="E53" s="116">
        <f t="shared" si="116"/>
        <v>854.196807803296</v>
      </c>
      <c r="F53" s="116">
        <f t="shared" si="116"/>
        <v>949.16970795204406</v>
      </c>
      <c r="G53" s="116">
        <f t="shared" si="116"/>
        <v>965.70294625366569</v>
      </c>
      <c r="H53" s="116">
        <f t="shared" si="116"/>
        <v>1038.3391449054941</v>
      </c>
      <c r="I53" s="116">
        <f t="shared" si="116"/>
        <v>1037.8556032376155</v>
      </c>
      <c r="J53" s="116">
        <f t="shared" si="116"/>
        <v>991.42325039657487</v>
      </c>
      <c r="K53" s="116">
        <f t="shared" si="116"/>
        <v>844.52756006496759</v>
      </c>
      <c r="L53" s="116">
        <f t="shared" si="116"/>
        <v>804.32396865449732</v>
      </c>
      <c r="M53" s="116">
        <f t="shared" si="116"/>
        <v>798.57991568555519</v>
      </c>
      <c r="N53" s="116">
        <f t="shared" si="116"/>
        <v>755.02226465369688</v>
      </c>
      <c r="O53" s="116">
        <f t="shared" si="116"/>
        <v>770.93659939304484</v>
      </c>
      <c r="P53" s="116">
        <f t="shared" si="116"/>
        <v>750.11849038588991</v>
      </c>
      <c r="Q53" s="116">
        <f t="shared" si="116"/>
        <v>796.34214746592011</v>
      </c>
      <c r="R53" s="116">
        <f t="shared" si="116"/>
        <v>813.04471486454304</v>
      </c>
      <c r="S53" s="116">
        <f t="shared" si="116"/>
        <v>909.1653751009452</v>
      </c>
      <c r="T53" s="116">
        <f t="shared" si="116"/>
        <v>900.66253825810475</v>
      </c>
      <c r="U53" s="116">
        <f t="shared" si="116"/>
        <v>871.79770694761726</v>
      </c>
      <c r="V53" s="116">
        <f t="shared" si="116"/>
        <v>891.83976237899333</v>
      </c>
      <c r="W53" s="116">
        <f t="shared" ref="W53:Y53" si="117">SUM(W54:W55)</f>
        <v>917.29450427813094</v>
      </c>
      <c r="X53" s="116">
        <f t="shared" si="117"/>
        <v>933.44305282490677</v>
      </c>
      <c r="Y53" s="116">
        <f t="shared" si="117"/>
        <v>987.36558767454187</v>
      </c>
      <c r="DA53" s="176" t="s">
        <v>497</v>
      </c>
    </row>
    <row r="54" spans="1:105" ht="11.45" customHeight="1" x14ac:dyDescent="0.25">
      <c r="A54" s="128" t="s">
        <v>27</v>
      </c>
      <c r="B54" s="101">
        <v>190.37610550814586</v>
      </c>
      <c r="C54" s="101">
        <v>318.35174553917767</v>
      </c>
      <c r="D54" s="101">
        <v>422.74274631497286</v>
      </c>
      <c r="E54" s="101">
        <v>498.46330488750971</v>
      </c>
      <c r="F54" s="101">
        <v>528.55965865011638</v>
      </c>
      <c r="G54" s="101">
        <v>530.25182311869662</v>
      </c>
      <c r="H54" s="101">
        <v>639.51730023273853</v>
      </c>
      <c r="I54" s="101">
        <v>619.09045771916215</v>
      </c>
      <c r="J54" s="101">
        <v>709</v>
      </c>
      <c r="K54" s="101">
        <v>599</v>
      </c>
      <c r="L54" s="101">
        <v>566</v>
      </c>
      <c r="M54" s="101">
        <v>561</v>
      </c>
      <c r="N54" s="101">
        <v>523</v>
      </c>
      <c r="O54" s="101">
        <v>529</v>
      </c>
      <c r="P54" s="101">
        <v>493</v>
      </c>
      <c r="Q54" s="101">
        <v>499</v>
      </c>
      <c r="R54" s="101">
        <v>507</v>
      </c>
      <c r="S54" s="101">
        <v>533</v>
      </c>
      <c r="T54" s="101">
        <v>527</v>
      </c>
      <c r="U54" s="101">
        <v>536</v>
      </c>
      <c r="V54" s="101">
        <v>546</v>
      </c>
      <c r="W54" s="101">
        <v>596</v>
      </c>
      <c r="X54" s="101">
        <v>598</v>
      </c>
      <c r="Y54" s="101">
        <v>624</v>
      </c>
      <c r="DA54" s="175" t="s">
        <v>498</v>
      </c>
    </row>
    <row r="55" spans="1:105" ht="11.45" customHeight="1" x14ac:dyDescent="0.25">
      <c r="A55" s="138" t="s">
        <v>116</v>
      </c>
      <c r="B55" s="88">
        <v>308.53711347513598</v>
      </c>
      <c r="C55" s="88">
        <v>330.80797828841435</v>
      </c>
      <c r="D55" s="88">
        <v>348.0314241379852</v>
      </c>
      <c r="E55" s="88">
        <v>355.73350291578635</v>
      </c>
      <c r="F55" s="88">
        <v>420.61004930192769</v>
      </c>
      <c r="G55" s="88">
        <v>435.45112313496901</v>
      </c>
      <c r="H55" s="88">
        <v>398.8218446727555</v>
      </c>
      <c r="I55" s="88">
        <v>418.76514551845332</v>
      </c>
      <c r="J55" s="88">
        <v>282.42325039657487</v>
      </c>
      <c r="K55" s="88">
        <v>245.52756006496756</v>
      </c>
      <c r="L55" s="88">
        <v>238.32396865449735</v>
      </c>
      <c r="M55" s="88">
        <v>237.57991568555522</v>
      </c>
      <c r="N55" s="88">
        <v>232.02226465369685</v>
      </c>
      <c r="O55" s="88">
        <v>241.93659939304479</v>
      </c>
      <c r="P55" s="88">
        <v>257.11849038588991</v>
      </c>
      <c r="Q55" s="88">
        <v>297.34214746592005</v>
      </c>
      <c r="R55" s="88">
        <v>306.04471486454304</v>
      </c>
      <c r="S55" s="88">
        <v>376.1653751009452</v>
      </c>
      <c r="T55" s="88">
        <v>373.66253825810475</v>
      </c>
      <c r="U55" s="88">
        <v>335.79770694761726</v>
      </c>
      <c r="V55" s="88">
        <v>345.83976237899333</v>
      </c>
      <c r="W55" s="88">
        <v>321.294504278131</v>
      </c>
      <c r="X55" s="88">
        <v>335.44305282490677</v>
      </c>
      <c r="Y55" s="88">
        <v>363.36558767454187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1317628</v>
      </c>
      <c r="C57" s="54">
        <f t="shared" si="118"/>
        <v>1395708</v>
      </c>
      <c r="D57" s="54">
        <f t="shared" si="118"/>
        <v>1452932</v>
      </c>
      <c r="E57" s="54">
        <f t="shared" si="118"/>
        <v>1532275</v>
      </c>
      <c r="F57" s="54">
        <f t="shared" si="118"/>
        <v>1601249</v>
      </c>
      <c r="G57" s="54">
        <f t="shared" si="118"/>
        <v>1665945</v>
      </c>
      <c r="H57" s="54">
        <f t="shared" si="118"/>
        <v>1748643</v>
      </c>
      <c r="I57" s="54">
        <f t="shared" si="118"/>
        <v>1835033</v>
      </c>
      <c r="J57" s="54">
        <f t="shared" si="118"/>
        <v>1890143</v>
      </c>
      <c r="K57" s="54">
        <f t="shared" si="118"/>
        <v>1870980</v>
      </c>
      <c r="L57" s="54">
        <f t="shared" ref="L57" si="119">L58+L73</f>
        <v>1846491</v>
      </c>
      <c r="M57" s="54">
        <f t="shared" ref="M57:V57" si="120">M58+M73</f>
        <v>1841991</v>
      </c>
      <c r="N57" s="54">
        <f t="shared" si="120"/>
        <v>1763020</v>
      </c>
      <c r="O57" s="54">
        <f t="shared" si="120"/>
        <v>1817255</v>
      </c>
      <c r="P57" s="54">
        <f t="shared" si="120"/>
        <v>1846115</v>
      </c>
      <c r="Q57" s="54">
        <f t="shared" si="120"/>
        <v>1834839</v>
      </c>
      <c r="R57" s="54">
        <f t="shared" si="120"/>
        <v>1894452</v>
      </c>
      <c r="S57" s="54">
        <f t="shared" si="120"/>
        <v>1951351</v>
      </c>
      <c r="T57" s="54">
        <f t="shared" si="120"/>
        <v>2037728</v>
      </c>
      <c r="U57" s="54">
        <f t="shared" si="120"/>
        <v>2110182</v>
      </c>
      <c r="V57" s="54">
        <f t="shared" si="120"/>
        <v>2139821</v>
      </c>
      <c r="W57" s="54">
        <f t="shared" ref="W57:Y57" si="121">W58+W73</f>
        <v>2202366</v>
      </c>
      <c r="X57" s="54">
        <f t="shared" si="121"/>
        <v>2264718</v>
      </c>
      <c r="Y57" s="54">
        <f t="shared" si="121"/>
        <v>2354678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1222180</v>
      </c>
      <c r="C58" s="28">
        <f t="shared" si="122"/>
        <v>1274844</v>
      </c>
      <c r="D58" s="28">
        <f t="shared" si="122"/>
        <v>1321732</v>
      </c>
      <c r="E58" s="28">
        <f t="shared" si="122"/>
        <v>1389785</v>
      </c>
      <c r="F58" s="28">
        <f t="shared" si="122"/>
        <v>1450816</v>
      </c>
      <c r="G58" s="28">
        <f t="shared" si="122"/>
        <v>1510838</v>
      </c>
      <c r="H58" s="28">
        <f t="shared" si="122"/>
        <v>1578871</v>
      </c>
      <c r="I58" s="28">
        <f t="shared" si="122"/>
        <v>1668652</v>
      </c>
      <c r="J58" s="28">
        <f t="shared" si="122"/>
        <v>1715531</v>
      </c>
      <c r="K58" s="28">
        <f t="shared" si="122"/>
        <v>1707118</v>
      </c>
      <c r="L58" s="28">
        <f t="shared" ref="L58" si="123">L59+L60+L67</f>
        <v>1686638</v>
      </c>
      <c r="M58" s="28">
        <f t="shared" ref="M58:V58" si="124">M59+M60+M67</f>
        <v>1683183</v>
      </c>
      <c r="N58" s="28">
        <f t="shared" si="124"/>
        <v>1612688</v>
      </c>
      <c r="O58" s="28">
        <f t="shared" si="124"/>
        <v>1665083</v>
      </c>
      <c r="P58" s="28">
        <f t="shared" si="124"/>
        <v>1691030</v>
      </c>
      <c r="Q58" s="28">
        <f t="shared" si="124"/>
        <v>1662747</v>
      </c>
      <c r="R58" s="28">
        <f t="shared" si="124"/>
        <v>1715519</v>
      </c>
      <c r="S58" s="28">
        <f t="shared" si="124"/>
        <v>1760280</v>
      </c>
      <c r="T58" s="28">
        <f t="shared" si="124"/>
        <v>1833869</v>
      </c>
      <c r="U58" s="28">
        <f t="shared" si="124"/>
        <v>1894546</v>
      </c>
      <c r="V58" s="28">
        <f t="shared" si="124"/>
        <v>1915148</v>
      </c>
      <c r="W58" s="28">
        <f t="shared" ref="W58:Y58" si="125">W59+W60+W67</f>
        <v>1967143</v>
      </c>
      <c r="X58" s="28">
        <f t="shared" si="125"/>
        <v>2019390</v>
      </c>
      <c r="Y58" s="28">
        <f t="shared" si="125"/>
        <v>2095681</v>
      </c>
      <c r="DA58" s="173" t="s">
        <v>501</v>
      </c>
    </row>
    <row r="59" spans="1:105" ht="11.45" customHeight="1" x14ac:dyDescent="0.25">
      <c r="A59" s="136" t="s">
        <v>173</v>
      </c>
      <c r="B59" s="137">
        <v>81543</v>
      </c>
      <c r="C59" s="137">
        <v>81138</v>
      </c>
      <c r="D59" s="137">
        <v>85000</v>
      </c>
      <c r="E59" s="137">
        <v>99000</v>
      </c>
      <c r="F59" s="137">
        <v>113000</v>
      </c>
      <c r="G59" s="137">
        <v>128000</v>
      </c>
      <c r="H59" s="137">
        <v>144000</v>
      </c>
      <c r="I59" s="137">
        <v>149590</v>
      </c>
      <c r="J59" s="137">
        <v>155409</v>
      </c>
      <c r="K59" s="137">
        <v>157018</v>
      </c>
      <c r="L59" s="137">
        <v>156729</v>
      </c>
      <c r="M59" s="137">
        <v>156320</v>
      </c>
      <c r="N59" s="137">
        <v>159000</v>
      </c>
      <c r="O59" s="137">
        <v>157200</v>
      </c>
      <c r="P59" s="137">
        <v>155688</v>
      </c>
      <c r="Q59" s="137">
        <v>153438</v>
      </c>
      <c r="R59" s="137">
        <v>152873</v>
      </c>
      <c r="S59" s="137">
        <v>154269</v>
      </c>
      <c r="T59" s="137">
        <v>157359</v>
      </c>
      <c r="U59" s="137">
        <v>159388</v>
      </c>
      <c r="V59" s="137">
        <v>158915</v>
      </c>
      <c r="W59" s="137">
        <v>161493</v>
      </c>
      <c r="X59" s="137">
        <v>168018</v>
      </c>
      <c r="Y59" s="137">
        <v>174770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1132000</v>
      </c>
      <c r="C60" s="110">
        <f t="shared" si="126"/>
        <v>1185000</v>
      </c>
      <c r="D60" s="110">
        <f t="shared" si="126"/>
        <v>1228000</v>
      </c>
      <c r="E60" s="110">
        <f t="shared" si="126"/>
        <v>1282000</v>
      </c>
      <c r="F60" s="110">
        <f t="shared" si="126"/>
        <v>1329000</v>
      </c>
      <c r="G60" s="110">
        <f t="shared" si="126"/>
        <v>1374000</v>
      </c>
      <c r="H60" s="110">
        <f t="shared" si="126"/>
        <v>1426000</v>
      </c>
      <c r="I60" s="110">
        <f t="shared" si="126"/>
        <v>1510000</v>
      </c>
      <c r="J60" s="110">
        <f t="shared" si="126"/>
        <v>1551000</v>
      </c>
      <c r="K60" s="110">
        <f t="shared" si="126"/>
        <v>1541000</v>
      </c>
      <c r="L60" s="110">
        <f t="shared" ref="L60" si="127">SUM(L61:L66)</f>
        <v>1521000</v>
      </c>
      <c r="M60" s="110">
        <f t="shared" ref="M60:V60" si="128">SUM(M61:M66)</f>
        <v>1518000</v>
      </c>
      <c r="N60" s="110">
        <f t="shared" si="128"/>
        <v>1445000</v>
      </c>
      <c r="O60" s="110">
        <f t="shared" si="128"/>
        <v>1499000</v>
      </c>
      <c r="P60" s="110">
        <f t="shared" si="128"/>
        <v>1526039</v>
      </c>
      <c r="Q60" s="110">
        <f t="shared" si="128"/>
        <v>1499802</v>
      </c>
      <c r="R60" s="110">
        <f t="shared" si="128"/>
        <v>1552904</v>
      </c>
      <c r="S60" s="110">
        <f t="shared" si="128"/>
        <v>1596087</v>
      </c>
      <c r="T60" s="110">
        <f t="shared" si="128"/>
        <v>1666413</v>
      </c>
      <c r="U60" s="110">
        <f t="shared" si="128"/>
        <v>1724900</v>
      </c>
      <c r="V60" s="110">
        <f t="shared" si="128"/>
        <v>1746285</v>
      </c>
      <c r="W60" s="110">
        <f t="shared" ref="W60:Y60" si="129">SUM(W61:W66)</f>
        <v>1795465</v>
      </c>
      <c r="X60" s="110">
        <f t="shared" si="129"/>
        <v>1840767</v>
      </c>
      <c r="Y60" s="110">
        <f t="shared" si="129"/>
        <v>1910131</v>
      </c>
      <c r="DA60" s="176" t="s">
        <v>503</v>
      </c>
    </row>
    <row r="61" spans="1:105" ht="11.45" customHeight="1" x14ac:dyDescent="0.25">
      <c r="A61" s="111" t="s">
        <v>110</v>
      </c>
      <c r="B61" s="84">
        <v>891000</v>
      </c>
      <c r="C61" s="84">
        <v>912363</v>
      </c>
      <c r="D61" s="84">
        <v>922888</v>
      </c>
      <c r="E61" s="84">
        <v>934593</v>
      </c>
      <c r="F61" s="84">
        <v>934563</v>
      </c>
      <c r="G61" s="84">
        <v>935751</v>
      </c>
      <c r="H61" s="84">
        <v>936556</v>
      </c>
      <c r="I61" s="84">
        <v>949694</v>
      </c>
      <c r="J61" s="84">
        <v>952727</v>
      </c>
      <c r="K61" s="84">
        <v>923521</v>
      </c>
      <c r="L61" s="84">
        <v>909176</v>
      </c>
      <c r="M61" s="84">
        <v>896050</v>
      </c>
      <c r="N61" s="84">
        <v>827529</v>
      </c>
      <c r="O61" s="84">
        <v>845678</v>
      </c>
      <c r="P61" s="84">
        <v>823947</v>
      </c>
      <c r="Q61" s="84">
        <v>773455</v>
      </c>
      <c r="R61" s="84">
        <v>760176</v>
      </c>
      <c r="S61" s="84">
        <v>744152</v>
      </c>
      <c r="T61" s="84">
        <v>733793</v>
      </c>
      <c r="U61" s="84">
        <v>720851</v>
      </c>
      <c r="V61" s="84">
        <v>701554</v>
      </c>
      <c r="W61" s="84">
        <v>698748</v>
      </c>
      <c r="X61" s="84">
        <v>713284</v>
      </c>
      <c r="Y61" s="84">
        <v>750189</v>
      </c>
      <c r="DA61" s="171" t="s">
        <v>504</v>
      </c>
    </row>
    <row r="62" spans="1:105" ht="11.45" customHeight="1" x14ac:dyDescent="0.25">
      <c r="A62" s="111" t="s">
        <v>111</v>
      </c>
      <c r="B62" s="84">
        <v>228000</v>
      </c>
      <c r="C62" s="84">
        <v>257713</v>
      </c>
      <c r="D62" s="84">
        <v>289205</v>
      </c>
      <c r="E62" s="84">
        <v>330611</v>
      </c>
      <c r="F62" s="84">
        <v>372842</v>
      </c>
      <c r="G62" s="84">
        <v>409147</v>
      </c>
      <c r="H62" s="84">
        <v>440278</v>
      </c>
      <c r="I62" s="84">
        <v>490352</v>
      </c>
      <c r="J62" s="84">
        <v>506769</v>
      </c>
      <c r="K62" s="84">
        <v>508703</v>
      </c>
      <c r="L62" s="84">
        <v>519529</v>
      </c>
      <c r="M62" s="84">
        <v>531028</v>
      </c>
      <c r="N62" s="84">
        <v>533166</v>
      </c>
      <c r="O62" s="84">
        <v>570884</v>
      </c>
      <c r="P62" s="84">
        <v>614418</v>
      </c>
      <c r="Q62" s="84">
        <v>633563</v>
      </c>
      <c r="R62" s="84">
        <v>693591</v>
      </c>
      <c r="S62" s="84">
        <v>746691</v>
      </c>
      <c r="T62" s="84">
        <v>819532</v>
      </c>
      <c r="U62" s="84">
        <v>885087</v>
      </c>
      <c r="V62" s="84">
        <v>920317</v>
      </c>
      <c r="W62" s="84">
        <v>966065</v>
      </c>
      <c r="X62" s="84">
        <v>1005769</v>
      </c>
      <c r="Y62" s="84">
        <v>1040502</v>
      </c>
      <c r="DA62" s="171" t="s">
        <v>505</v>
      </c>
    </row>
    <row r="63" spans="1:105" ht="11.45" customHeight="1" x14ac:dyDescent="0.25">
      <c r="A63" s="111" t="s">
        <v>112</v>
      </c>
      <c r="B63" s="84">
        <v>13000</v>
      </c>
      <c r="C63" s="84">
        <v>14924</v>
      </c>
      <c r="D63" s="84">
        <v>15907</v>
      </c>
      <c r="E63" s="84">
        <v>16796</v>
      </c>
      <c r="F63" s="84">
        <v>21595</v>
      </c>
      <c r="G63" s="84">
        <v>29102</v>
      </c>
      <c r="H63" s="84">
        <v>49166</v>
      </c>
      <c r="I63" s="84">
        <v>69954</v>
      </c>
      <c r="J63" s="84">
        <v>91504</v>
      </c>
      <c r="K63" s="84">
        <v>108712</v>
      </c>
      <c r="L63" s="84">
        <v>92222</v>
      </c>
      <c r="M63" s="84">
        <v>90851</v>
      </c>
      <c r="N63" s="84">
        <v>84191</v>
      </c>
      <c r="O63" s="84">
        <v>82316</v>
      </c>
      <c r="P63" s="84">
        <v>87488</v>
      </c>
      <c r="Q63" s="84">
        <v>92481</v>
      </c>
      <c r="R63" s="84">
        <v>98737</v>
      </c>
      <c r="S63" s="84">
        <v>104741</v>
      </c>
      <c r="T63" s="84">
        <v>112393</v>
      </c>
      <c r="U63" s="84">
        <v>117913</v>
      </c>
      <c r="V63" s="84">
        <v>122394</v>
      </c>
      <c r="W63" s="84">
        <v>126602</v>
      </c>
      <c r="X63" s="84">
        <v>115146</v>
      </c>
      <c r="Y63" s="84">
        <v>109628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64</v>
      </c>
      <c r="L64" s="84">
        <v>73</v>
      </c>
      <c r="M64" s="84">
        <v>71</v>
      </c>
      <c r="N64" s="84">
        <v>81</v>
      </c>
      <c r="O64" s="84">
        <v>84</v>
      </c>
      <c r="P64" s="84">
        <v>96</v>
      </c>
      <c r="Q64" s="84">
        <v>92</v>
      </c>
      <c r="R64" s="84">
        <v>96</v>
      </c>
      <c r="S64" s="84">
        <v>126</v>
      </c>
      <c r="T64" s="84">
        <v>133</v>
      </c>
      <c r="U64" s="84">
        <v>133</v>
      </c>
      <c r="V64" s="84">
        <v>133</v>
      </c>
      <c r="W64" s="84">
        <v>133</v>
      </c>
      <c r="X64" s="84">
        <v>133</v>
      </c>
      <c r="Y64" s="84">
        <v>121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5</v>
      </c>
      <c r="Q65" s="84">
        <v>48</v>
      </c>
      <c r="R65" s="84">
        <v>71</v>
      </c>
      <c r="S65" s="84">
        <v>92</v>
      </c>
      <c r="T65" s="84">
        <v>101</v>
      </c>
      <c r="U65" s="84">
        <v>191</v>
      </c>
      <c r="V65" s="84">
        <v>553</v>
      </c>
      <c r="W65" s="84">
        <v>940</v>
      </c>
      <c r="X65" s="84">
        <v>1634</v>
      </c>
      <c r="Y65" s="84">
        <v>2633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33</v>
      </c>
      <c r="O66" s="84">
        <v>38</v>
      </c>
      <c r="P66" s="84">
        <v>85</v>
      </c>
      <c r="Q66" s="84">
        <v>163</v>
      </c>
      <c r="R66" s="84">
        <v>233</v>
      </c>
      <c r="S66" s="84">
        <v>285</v>
      </c>
      <c r="T66" s="84">
        <v>461</v>
      </c>
      <c r="U66" s="84">
        <v>725</v>
      </c>
      <c r="V66" s="84">
        <v>1334</v>
      </c>
      <c r="W66" s="84">
        <v>2977</v>
      </c>
      <c r="X66" s="84">
        <v>4801</v>
      </c>
      <c r="Y66" s="84">
        <v>7058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8637</v>
      </c>
      <c r="C67" s="110">
        <f t="shared" si="130"/>
        <v>8706</v>
      </c>
      <c r="D67" s="110">
        <f t="shared" si="130"/>
        <v>8732</v>
      </c>
      <c r="E67" s="110">
        <f t="shared" si="130"/>
        <v>8785</v>
      </c>
      <c r="F67" s="110">
        <f t="shared" si="130"/>
        <v>8816</v>
      </c>
      <c r="G67" s="110">
        <f t="shared" si="130"/>
        <v>8838</v>
      </c>
      <c r="H67" s="110">
        <f t="shared" si="130"/>
        <v>8871</v>
      </c>
      <c r="I67" s="110">
        <f t="shared" si="130"/>
        <v>9062</v>
      </c>
      <c r="J67" s="110">
        <f t="shared" si="130"/>
        <v>9122</v>
      </c>
      <c r="K67" s="110">
        <f t="shared" si="130"/>
        <v>9100</v>
      </c>
      <c r="L67" s="110">
        <f t="shared" ref="L67" si="131">SUM(L68:L72)</f>
        <v>8909</v>
      </c>
      <c r="M67" s="110">
        <f t="shared" ref="M67:V67" si="132">SUM(M68:M72)</f>
        <v>8863</v>
      </c>
      <c r="N67" s="110">
        <f t="shared" si="132"/>
        <v>8688</v>
      </c>
      <c r="O67" s="110">
        <f t="shared" si="132"/>
        <v>8883</v>
      </c>
      <c r="P67" s="110">
        <f t="shared" si="132"/>
        <v>9303</v>
      </c>
      <c r="Q67" s="110">
        <f t="shared" si="132"/>
        <v>9507</v>
      </c>
      <c r="R67" s="110">
        <f t="shared" si="132"/>
        <v>9742</v>
      </c>
      <c r="S67" s="110">
        <f t="shared" si="132"/>
        <v>9924</v>
      </c>
      <c r="T67" s="110">
        <f t="shared" si="132"/>
        <v>10097</v>
      </c>
      <c r="U67" s="110">
        <f t="shared" si="132"/>
        <v>10258</v>
      </c>
      <c r="V67" s="110">
        <f t="shared" si="132"/>
        <v>9948</v>
      </c>
      <c r="W67" s="110">
        <f t="shared" ref="W67:Y67" si="133">SUM(W68:W72)</f>
        <v>10185</v>
      </c>
      <c r="X67" s="110">
        <f t="shared" si="133"/>
        <v>10605</v>
      </c>
      <c r="Y67" s="110">
        <f t="shared" si="133"/>
        <v>10780</v>
      </c>
      <c r="DA67" s="176" t="s">
        <v>510</v>
      </c>
    </row>
    <row r="68" spans="1:105" ht="11.45" customHeight="1" x14ac:dyDescent="0.25">
      <c r="A68" s="111" t="s">
        <v>110</v>
      </c>
      <c r="B68" s="102">
        <v>40</v>
      </c>
      <c r="C68" s="102">
        <v>42</v>
      </c>
      <c r="D68" s="102">
        <v>43</v>
      </c>
      <c r="E68" s="102">
        <v>42</v>
      </c>
      <c r="F68" s="102">
        <v>40</v>
      </c>
      <c r="G68" s="102">
        <v>41</v>
      </c>
      <c r="H68" s="102">
        <v>42</v>
      </c>
      <c r="I68" s="102">
        <v>39</v>
      </c>
      <c r="J68" s="102">
        <v>44</v>
      </c>
      <c r="K68" s="102">
        <v>41</v>
      </c>
      <c r="L68" s="102">
        <v>39</v>
      </c>
      <c r="M68" s="102">
        <v>36</v>
      </c>
      <c r="N68" s="102">
        <v>36</v>
      </c>
      <c r="O68" s="102">
        <v>42</v>
      </c>
      <c r="P68" s="102">
        <v>40</v>
      </c>
      <c r="Q68" s="102">
        <v>37</v>
      </c>
      <c r="R68" s="102">
        <v>36</v>
      </c>
      <c r="S68" s="102">
        <v>35</v>
      </c>
      <c r="T68" s="102">
        <v>34</v>
      </c>
      <c r="U68" s="102">
        <v>32</v>
      </c>
      <c r="V68" s="102">
        <v>31</v>
      </c>
      <c r="W68" s="102">
        <v>29</v>
      </c>
      <c r="X68" s="102">
        <v>26</v>
      </c>
      <c r="Y68" s="102">
        <v>24</v>
      </c>
      <c r="DA68" s="175" t="s">
        <v>511</v>
      </c>
    </row>
    <row r="69" spans="1:105" ht="11.45" customHeight="1" x14ac:dyDescent="0.25">
      <c r="A69" s="111" t="s">
        <v>111</v>
      </c>
      <c r="B69" s="102">
        <v>8597</v>
      </c>
      <c r="C69" s="102">
        <v>8664</v>
      </c>
      <c r="D69" s="102">
        <v>8689</v>
      </c>
      <c r="E69" s="102">
        <v>8743</v>
      </c>
      <c r="F69" s="102">
        <v>8776</v>
      </c>
      <c r="G69" s="102">
        <v>8797</v>
      </c>
      <c r="H69" s="102">
        <v>8829</v>
      </c>
      <c r="I69" s="102">
        <v>9022</v>
      </c>
      <c r="J69" s="102">
        <v>9077</v>
      </c>
      <c r="K69" s="102">
        <v>9000</v>
      </c>
      <c r="L69" s="102">
        <v>8807</v>
      </c>
      <c r="M69" s="102">
        <v>8762</v>
      </c>
      <c r="N69" s="102">
        <v>8578</v>
      </c>
      <c r="O69" s="102">
        <v>8677</v>
      </c>
      <c r="P69" s="102">
        <v>8920</v>
      </c>
      <c r="Q69" s="102">
        <v>9130</v>
      </c>
      <c r="R69" s="102">
        <v>9369</v>
      </c>
      <c r="S69" s="102">
        <v>9537</v>
      </c>
      <c r="T69" s="102">
        <v>9717</v>
      </c>
      <c r="U69" s="102">
        <v>9887</v>
      </c>
      <c r="V69" s="102">
        <v>9565</v>
      </c>
      <c r="W69" s="102">
        <v>9811</v>
      </c>
      <c r="X69" s="102">
        <v>10245</v>
      </c>
      <c r="Y69" s="102">
        <v>10434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1</v>
      </c>
      <c r="J70" s="102">
        <v>1</v>
      </c>
      <c r="K70" s="102">
        <v>1</v>
      </c>
      <c r="L70" s="102">
        <v>1</v>
      </c>
      <c r="M70" s="102">
        <v>2</v>
      </c>
      <c r="N70" s="102">
        <v>2</v>
      </c>
      <c r="O70" s="102">
        <v>13</v>
      </c>
      <c r="P70" s="102">
        <v>15</v>
      </c>
      <c r="Q70" s="102">
        <v>15</v>
      </c>
      <c r="R70" s="102">
        <v>15</v>
      </c>
      <c r="S70" s="102">
        <v>14</v>
      </c>
      <c r="T70" s="102">
        <v>14</v>
      </c>
      <c r="U70" s="102">
        <v>15</v>
      </c>
      <c r="V70" s="102">
        <v>17</v>
      </c>
      <c r="W70" s="102">
        <v>17</v>
      </c>
      <c r="X70" s="102">
        <v>16</v>
      </c>
      <c r="Y70" s="102">
        <v>16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58</v>
      </c>
      <c r="L71" s="102">
        <v>62</v>
      </c>
      <c r="M71" s="102">
        <v>63</v>
      </c>
      <c r="N71" s="102">
        <v>72</v>
      </c>
      <c r="O71" s="102">
        <v>151</v>
      </c>
      <c r="P71" s="102">
        <v>328</v>
      </c>
      <c r="Q71" s="102">
        <v>323</v>
      </c>
      <c r="R71" s="102">
        <v>319</v>
      </c>
      <c r="S71" s="102">
        <v>335</v>
      </c>
      <c r="T71" s="102">
        <v>329</v>
      </c>
      <c r="U71" s="102">
        <v>321</v>
      </c>
      <c r="V71" s="102">
        <v>332</v>
      </c>
      <c r="W71" s="102">
        <v>322</v>
      </c>
      <c r="X71" s="102">
        <v>311</v>
      </c>
      <c r="Y71" s="102">
        <v>298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2</v>
      </c>
      <c r="R72" s="102">
        <v>3</v>
      </c>
      <c r="S72" s="102">
        <v>3</v>
      </c>
      <c r="T72" s="102">
        <v>3</v>
      </c>
      <c r="U72" s="102">
        <v>3</v>
      </c>
      <c r="V72" s="102">
        <v>3</v>
      </c>
      <c r="W72" s="102">
        <v>6</v>
      </c>
      <c r="X72" s="102">
        <v>7</v>
      </c>
      <c r="Y72" s="102">
        <v>8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95448</v>
      </c>
      <c r="C73" s="28">
        <f t="shared" si="134"/>
        <v>120864.00000000001</v>
      </c>
      <c r="D73" s="28">
        <f t="shared" si="134"/>
        <v>131200</v>
      </c>
      <c r="E73" s="28">
        <f t="shared" si="134"/>
        <v>142490</v>
      </c>
      <c r="F73" s="28">
        <f t="shared" si="134"/>
        <v>150433</v>
      </c>
      <c r="G73" s="28">
        <f t="shared" si="134"/>
        <v>155107</v>
      </c>
      <c r="H73" s="28">
        <f t="shared" si="134"/>
        <v>169772</v>
      </c>
      <c r="I73" s="28">
        <f t="shared" si="134"/>
        <v>166381</v>
      </c>
      <c r="J73" s="28">
        <f t="shared" si="134"/>
        <v>174612</v>
      </c>
      <c r="K73" s="28">
        <f t="shared" si="134"/>
        <v>163862</v>
      </c>
      <c r="L73" s="28">
        <f t="shared" ref="L73" si="135">L74+L80</f>
        <v>159853</v>
      </c>
      <c r="M73" s="28">
        <f t="shared" ref="M73:V73" si="136">M74+M80</f>
        <v>158808</v>
      </c>
      <c r="N73" s="28">
        <f t="shared" si="136"/>
        <v>150332</v>
      </c>
      <c r="O73" s="28">
        <f t="shared" si="136"/>
        <v>152172</v>
      </c>
      <c r="P73" s="28">
        <f t="shared" si="136"/>
        <v>155085</v>
      </c>
      <c r="Q73" s="28">
        <f t="shared" si="136"/>
        <v>172092</v>
      </c>
      <c r="R73" s="28">
        <f t="shared" si="136"/>
        <v>178933</v>
      </c>
      <c r="S73" s="28">
        <f t="shared" si="136"/>
        <v>191071</v>
      </c>
      <c r="T73" s="28">
        <f t="shared" si="136"/>
        <v>203859</v>
      </c>
      <c r="U73" s="28">
        <f t="shared" si="136"/>
        <v>215636</v>
      </c>
      <c r="V73" s="28">
        <f t="shared" si="136"/>
        <v>224673</v>
      </c>
      <c r="W73" s="28">
        <f t="shared" ref="W73:Y73" si="137">W74+W80</f>
        <v>235223</v>
      </c>
      <c r="X73" s="28">
        <f t="shared" si="137"/>
        <v>245328</v>
      </c>
      <c r="Y73" s="28">
        <f t="shared" si="137"/>
        <v>258997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60996</v>
      </c>
      <c r="C74" s="137">
        <f t="shared" si="138"/>
        <v>74427</v>
      </c>
      <c r="D74" s="137">
        <f t="shared" si="138"/>
        <v>80420</v>
      </c>
      <c r="E74" s="137">
        <f t="shared" si="138"/>
        <v>87048</v>
      </c>
      <c r="F74" s="137">
        <f t="shared" si="138"/>
        <v>92541</v>
      </c>
      <c r="G74" s="137">
        <f t="shared" si="138"/>
        <v>97814</v>
      </c>
      <c r="H74" s="137">
        <f t="shared" si="138"/>
        <v>103721</v>
      </c>
      <c r="I74" s="137">
        <f t="shared" si="138"/>
        <v>100749</v>
      </c>
      <c r="J74" s="137">
        <f t="shared" si="138"/>
        <v>105158</v>
      </c>
      <c r="K74" s="137">
        <f t="shared" si="138"/>
        <v>103846</v>
      </c>
      <c r="L74" s="137">
        <f t="shared" ref="L74" si="139">SUM(L75:L79)</f>
        <v>98978</v>
      </c>
      <c r="M74" s="137">
        <f t="shared" ref="M74:V74" si="140">SUM(M75:M79)</f>
        <v>97212</v>
      </c>
      <c r="N74" s="137">
        <f t="shared" si="140"/>
        <v>90267</v>
      </c>
      <c r="O74" s="137">
        <f t="shared" si="140"/>
        <v>90219</v>
      </c>
      <c r="P74" s="137">
        <f t="shared" si="140"/>
        <v>91602</v>
      </c>
      <c r="Q74" s="137">
        <f t="shared" si="140"/>
        <v>107381</v>
      </c>
      <c r="R74" s="137">
        <f t="shared" si="140"/>
        <v>116001</v>
      </c>
      <c r="S74" s="137">
        <f t="shared" si="140"/>
        <v>125731</v>
      </c>
      <c r="T74" s="137">
        <f t="shared" si="140"/>
        <v>137049</v>
      </c>
      <c r="U74" s="137">
        <f t="shared" si="140"/>
        <v>147501</v>
      </c>
      <c r="V74" s="137">
        <f t="shared" si="140"/>
        <v>154885</v>
      </c>
      <c r="W74" s="137">
        <f t="shared" ref="W74:Y74" si="141">SUM(W75:W79)</f>
        <v>164351</v>
      </c>
      <c r="X74" s="137">
        <f t="shared" si="141"/>
        <v>172266</v>
      </c>
      <c r="Y74" s="137">
        <f t="shared" si="141"/>
        <v>183405</v>
      </c>
      <c r="DA74" s="174" t="s">
        <v>517</v>
      </c>
    </row>
    <row r="75" spans="1:105" ht="11.45" customHeight="1" x14ac:dyDescent="0.25">
      <c r="A75" s="111" t="s">
        <v>110</v>
      </c>
      <c r="B75" s="84">
        <v>11402</v>
      </c>
      <c r="C75" s="84">
        <v>13677</v>
      </c>
      <c r="D75" s="84">
        <v>13325</v>
      </c>
      <c r="E75" s="84">
        <v>12695</v>
      </c>
      <c r="F75" s="84">
        <v>11827</v>
      </c>
      <c r="G75" s="84">
        <v>11103</v>
      </c>
      <c r="H75" s="84">
        <v>10873</v>
      </c>
      <c r="I75" s="84">
        <v>8590</v>
      </c>
      <c r="J75" s="84">
        <v>8480</v>
      </c>
      <c r="K75" s="84">
        <v>7672</v>
      </c>
      <c r="L75" s="84">
        <v>6878</v>
      </c>
      <c r="M75" s="84">
        <v>6465</v>
      </c>
      <c r="N75" s="84">
        <v>4648</v>
      </c>
      <c r="O75" s="84">
        <v>4497</v>
      </c>
      <c r="P75" s="84">
        <v>4482</v>
      </c>
      <c r="Q75" s="84">
        <v>4404</v>
      </c>
      <c r="R75" s="84">
        <v>4421</v>
      </c>
      <c r="S75" s="84">
        <v>4715</v>
      </c>
      <c r="T75" s="84">
        <v>4868</v>
      </c>
      <c r="U75" s="84">
        <v>4951</v>
      </c>
      <c r="V75" s="84">
        <v>4917</v>
      </c>
      <c r="W75" s="84">
        <v>4990</v>
      </c>
      <c r="X75" s="84">
        <v>5037</v>
      </c>
      <c r="Y75" s="84">
        <v>5224</v>
      </c>
      <c r="DA75" s="171" t="s">
        <v>518</v>
      </c>
    </row>
    <row r="76" spans="1:105" ht="11.45" customHeight="1" x14ac:dyDescent="0.25">
      <c r="A76" s="111" t="s">
        <v>111</v>
      </c>
      <c r="B76" s="84">
        <v>49594</v>
      </c>
      <c r="C76" s="84">
        <v>60750</v>
      </c>
      <c r="D76" s="84">
        <v>67095</v>
      </c>
      <c r="E76" s="84">
        <v>74351</v>
      </c>
      <c r="F76" s="84">
        <v>80712</v>
      </c>
      <c r="G76" s="84">
        <v>86708</v>
      </c>
      <c r="H76" s="84">
        <v>92845</v>
      </c>
      <c r="I76" s="84">
        <v>91958</v>
      </c>
      <c r="J76" s="84">
        <v>96163</v>
      </c>
      <c r="K76" s="84">
        <v>95484</v>
      </c>
      <c r="L76" s="84">
        <v>91375</v>
      </c>
      <c r="M76" s="84">
        <v>90063</v>
      </c>
      <c r="N76" s="84">
        <v>84920</v>
      </c>
      <c r="O76" s="84">
        <v>84957</v>
      </c>
      <c r="P76" s="84">
        <v>86288</v>
      </c>
      <c r="Q76" s="84">
        <v>102048</v>
      </c>
      <c r="R76" s="84">
        <v>110554</v>
      </c>
      <c r="S76" s="84">
        <v>119870</v>
      </c>
      <c r="T76" s="84">
        <v>130932</v>
      </c>
      <c r="U76" s="84">
        <v>141186</v>
      </c>
      <c r="V76" s="84">
        <v>148523</v>
      </c>
      <c r="W76" s="84">
        <v>157740</v>
      </c>
      <c r="X76" s="84">
        <v>165490</v>
      </c>
      <c r="Y76" s="84">
        <v>176227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198</v>
      </c>
      <c r="J77" s="84">
        <v>510</v>
      </c>
      <c r="K77" s="84">
        <v>641</v>
      </c>
      <c r="L77" s="84">
        <v>668</v>
      </c>
      <c r="M77" s="84">
        <v>628</v>
      </c>
      <c r="N77" s="84">
        <v>621</v>
      </c>
      <c r="O77" s="84">
        <v>687</v>
      </c>
      <c r="P77" s="84">
        <v>753</v>
      </c>
      <c r="Q77" s="84">
        <v>818</v>
      </c>
      <c r="R77" s="84">
        <v>898</v>
      </c>
      <c r="S77" s="84">
        <v>989</v>
      </c>
      <c r="T77" s="84">
        <v>1058</v>
      </c>
      <c r="U77" s="84">
        <v>1135</v>
      </c>
      <c r="V77" s="84">
        <v>1171</v>
      </c>
      <c r="W77" s="84">
        <v>1270</v>
      </c>
      <c r="X77" s="84">
        <v>1344</v>
      </c>
      <c r="Y77" s="84">
        <v>1383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43</v>
      </c>
      <c r="L78" s="84">
        <v>51</v>
      </c>
      <c r="M78" s="84">
        <v>51</v>
      </c>
      <c r="N78" s="84">
        <v>71</v>
      </c>
      <c r="O78" s="84">
        <v>71</v>
      </c>
      <c r="P78" s="84">
        <v>71</v>
      </c>
      <c r="Q78" s="84">
        <v>75</v>
      </c>
      <c r="R78" s="84">
        <v>75</v>
      </c>
      <c r="S78" s="84">
        <v>92</v>
      </c>
      <c r="T78" s="84">
        <v>96</v>
      </c>
      <c r="U78" s="84">
        <v>96</v>
      </c>
      <c r="V78" s="84">
        <v>96</v>
      </c>
      <c r="W78" s="84">
        <v>96</v>
      </c>
      <c r="X78" s="84">
        <v>96</v>
      </c>
      <c r="Y78" s="84">
        <v>96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2</v>
      </c>
      <c r="F79" s="84">
        <v>2</v>
      </c>
      <c r="G79" s="84">
        <v>3</v>
      </c>
      <c r="H79" s="84">
        <v>3</v>
      </c>
      <c r="I79" s="84">
        <v>3</v>
      </c>
      <c r="J79" s="84">
        <v>5</v>
      </c>
      <c r="K79" s="84">
        <v>6</v>
      </c>
      <c r="L79" s="84">
        <v>6</v>
      </c>
      <c r="M79" s="84">
        <v>5</v>
      </c>
      <c r="N79" s="84">
        <v>7</v>
      </c>
      <c r="O79" s="84">
        <v>7</v>
      </c>
      <c r="P79" s="84">
        <v>8</v>
      </c>
      <c r="Q79" s="84">
        <v>36</v>
      </c>
      <c r="R79" s="84">
        <v>53</v>
      </c>
      <c r="S79" s="84">
        <v>65</v>
      </c>
      <c r="T79" s="84">
        <v>95</v>
      </c>
      <c r="U79" s="84">
        <v>133</v>
      </c>
      <c r="V79" s="84">
        <v>178</v>
      </c>
      <c r="W79" s="84">
        <v>255</v>
      </c>
      <c r="X79" s="84">
        <v>299</v>
      </c>
      <c r="Y79" s="84">
        <v>475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34452</v>
      </c>
      <c r="C80" s="110">
        <f t="shared" si="142"/>
        <v>46437.000000000015</v>
      </c>
      <c r="D80" s="110">
        <f t="shared" si="142"/>
        <v>50780</v>
      </c>
      <c r="E80" s="110">
        <f t="shared" si="142"/>
        <v>55442</v>
      </c>
      <c r="F80" s="110">
        <f t="shared" si="142"/>
        <v>57892</v>
      </c>
      <c r="G80" s="110">
        <f t="shared" si="142"/>
        <v>57293</v>
      </c>
      <c r="H80" s="110">
        <f t="shared" si="142"/>
        <v>66051</v>
      </c>
      <c r="I80" s="110">
        <f t="shared" si="142"/>
        <v>65632</v>
      </c>
      <c r="J80" s="110">
        <f t="shared" si="142"/>
        <v>69454</v>
      </c>
      <c r="K80" s="110">
        <f t="shared" si="142"/>
        <v>60016</v>
      </c>
      <c r="L80" s="110">
        <f t="shared" ref="L80" si="143">SUM(L81:L82)</f>
        <v>60875</v>
      </c>
      <c r="M80" s="110">
        <f t="shared" ref="M80:V80" si="144">SUM(M81:M82)</f>
        <v>61596</v>
      </c>
      <c r="N80" s="110">
        <f t="shared" si="144"/>
        <v>60065</v>
      </c>
      <c r="O80" s="110">
        <f t="shared" si="144"/>
        <v>61953</v>
      </c>
      <c r="P80" s="110">
        <f t="shared" si="144"/>
        <v>63483</v>
      </c>
      <c r="Q80" s="110">
        <f t="shared" si="144"/>
        <v>64711</v>
      </c>
      <c r="R80" s="110">
        <f t="shared" si="144"/>
        <v>62932</v>
      </c>
      <c r="S80" s="110">
        <f t="shared" si="144"/>
        <v>65340</v>
      </c>
      <c r="T80" s="110">
        <f t="shared" si="144"/>
        <v>66810</v>
      </c>
      <c r="U80" s="110">
        <f t="shared" si="144"/>
        <v>68135</v>
      </c>
      <c r="V80" s="110">
        <f t="shared" si="144"/>
        <v>69788</v>
      </c>
      <c r="W80" s="110">
        <f t="shared" ref="W80:Y80" si="145">SUM(W81:W82)</f>
        <v>70872</v>
      </c>
      <c r="X80" s="110">
        <f t="shared" si="145"/>
        <v>73062</v>
      </c>
      <c r="Y80" s="110">
        <f t="shared" si="145"/>
        <v>75592</v>
      </c>
      <c r="DA80" s="176" t="s">
        <v>523</v>
      </c>
    </row>
    <row r="81" spans="1:105" ht="11.45" customHeight="1" x14ac:dyDescent="0.25">
      <c r="A81" s="128" t="s">
        <v>27</v>
      </c>
      <c r="B81" s="102">
        <v>30822</v>
      </c>
      <c r="C81" s="102">
        <v>42545.000000000015</v>
      </c>
      <c r="D81" s="102">
        <v>46686</v>
      </c>
      <c r="E81" s="102">
        <v>51257</v>
      </c>
      <c r="F81" s="102">
        <v>52944</v>
      </c>
      <c r="G81" s="102">
        <v>52170</v>
      </c>
      <c r="H81" s="102">
        <v>61359</v>
      </c>
      <c r="I81" s="102">
        <v>60705</v>
      </c>
      <c r="J81" s="102">
        <v>66131</v>
      </c>
      <c r="K81" s="102">
        <v>57127</v>
      </c>
      <c r="L81" s="102">
        <v>58071</v>
      </c>
      <c r="M81" s="102">
        <v>58801</v>
      </c>
      <c r="N81" s="102">
        <v>57335</v>
      </c>
      <c r="O81" s="102">
        <v>59107</v>
      </c>
      <c r="P81" s="102">
        <v>60458</v>
      </c>
      <c r="Q81" s="102">
        <v>61213</v>
      </c>
      <c r="R81" s="102">
        <v>59331</v>
      </c>
      <c r="S81" s="102">
        <v>60915</v>
      </c>
      <c r="T81" s="102">
        <v>62414</v>
      </c>
      <c r="U81" s="102">
        <v>64184</v>
      </c>
      <c r="V81" s="102">
        <v>65719</v>
      </c>
      <c r="W81" s="102">
        <v>67092</v>
      </c>
      <c r="X81" s="102">
        <v>69116</v>
      </c>
      <c r="Y81" s="102">
        <v>71317</v>
      </c>
      <c r="DA81" s="175" t="s">
        <v>524</v>
      </c>
    </row>
    <row r="82" spans="1:105" ht="11.45" customHeight="1" x14ac:dyDescent="0.25">
      <c r="A82" s="138" t="s">
        <v>116</v>
      </c>
      <c r="B82" s="86">
        <v>3630</v>
      </c>
      <c r="C82" s="86">
        <v>3892</v>
      </c>
      <c r="D82" s="86">
        <v>4094</v>
      </c>
      <c r="E82" s="86">
        <v>4185</v>
      </c>
      <c r="F82" s="86">
        <v>4948</v>
      </c>
      <c r="G82" s="86">
        <v>5123</v>
      </c>
      <c r="H82" s="86">
        <v>4692</v>
      </c>
      <c r="I82" s="86">
        <v>4927</v>
      </c>
      <c r="J82" s="86">
        <v>3323</v>
      </c>
      <c r="K82" s="86">
        <v>2889</v>
      </c>
      <c r="L82" s="86">
        <v>2804</v>
      </c>
      <c r="M82" s="86">
        <v>2795</v>
      </c>
      <c r="N82" s="86">
        <v>2730</v>
      </c>
      <c r="O82" s="86">
        <v>2846</v>
      </c>
      <c r="P82" s="86">
        <v>3025</v>
      </c>
      <c r="Q82" s="86">
        <v>3498</v>
      </c>
      <c r="R82" s="86">
        <v>3601</v>
      </c>
      <c r="S82" s="86">
        <v>4425</v>
      </c>
      <c r="T82" s="86">
        <v>4396</v>
      </c>
      <c r="U82" s="86">
        <v>3951</v>
      </c>
      <c r="V82" s="86">
        <v>4069</v>
      </c>
      <c r="W82" s="86">
        <v>3780</v>
      </c>
      <c r="X82" s="86">
        <v>3946</v>
      </c>
      <c r="Y82" s="86">
        <v>4275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1317628</v>
      </c>
      <c r="C84" s="54">
        <f t="shared" si="146"/>
        <v>1395708</v>
      </c>
      <c r="D84" s="54">
        <f t="shared" ref="D84:V84" si="147">D85+D100</f>
        <v>1452932</v>
      </c>
      <c r="E84" s="54">
        <f t="shared" si="147"/>
        <v>1532275</v>
      </c>
      <c r="F84" s="54">
        <f t="shared" si="147"/>
        <v>1601249</v>
      </c>
      <c r="G84" s="54">
        <f t="shared" si="147"/>
        <v>1665945</v>
      </c>
      <c r="H84" s="54">
        <f t="shared" si="147"/>
        <v>1748643</v>
      </c>
      <c r="I84" s="54">
        <f t="shared" si="147"/>
        <v>1835033</v>
      </c>
      <c r="J84" s="54">
        <f t="shared" si="147"/>
        <v>1890143</v>
      </c>
      <c r="K84" s="54">
        <f t="shared" si="147"/>
        <v>1870980</v>
      </c>
      <c r="L84" s="54">
        <f t="shared" si="147"/>
        <v>1846491</v>
      </c>
      <c r="M84" s="54">
        <f t="shared" si="147"/>
        <v>1841991</v>
      </c>
      <c r="N84" s="54">
        <f t="shared" si="147"/>
        <v>1763020</v>
      </c>
      <c r="O84" s="54">
        <f t="shared" si="147"/>
        <v>1817255</v>
      </c>
      <c r="P84" s="54">
        <f t="shared" si="147"/>
        <v>1846115</v>
      </c>
      <c r="Q84" s="54">
        <f t="shared" si="147"/>
        <v>1834839</v>
      </c>
      <c r="R84" s="54">
        <f t="shared" si="147"/>
        <v>1894452</v>
      </c>
      <c r="S84" s="54">
        <f t="shared" si="147"/>
        <v>1951351</v>
      </c>
      <c r="T84" s="54">
        <f t="shared" si="147"/>
        <v>2037728</v>
      </c>
      <c r="U84" s="54">
        <f t="shared" si="147"/>
        <v>2110182</v>
      </c>
      <c r="V84" s="54">
        <f t="shared" si="147"/>
        <v>2139821</v>
      </c>
      <c r="W84" s="54">
        <f t="shared" ref="W84:Y84" si="148">W85+W100</f>
        <v>2202366</v>
      </c>
      <c r="X84" s="54">
        <f t="shared" si="148"/>
        <v>2264718</v>
      </c>
      <c r="Y84" s="54">
        <f t="shared" si="148"/>
        <v>2354678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1222180</v>
      </c>
      <c r="C85" s="28">
        <f t="shared" si="149"/>
        <v>1274844</v>
      </c>
      <c r="D85" s="28">
        <f t="shared" ref="D85:V85" si="150">D86+D87+D94</f>
        <v>1321732</v>
      </c>
      <c r="E85" s="28">
        <f t="shared" si="150"/>
        <v>1389785</v>
      </c>
      <c r="F85" s="28">
        <f t="shared" si="150"/>
        <v>1450816</v>
      </c>
      <c r="G85" s="28">
        <f t="shared" si="150"/>
        <v>1510838</v>
      </c>
      <c r="H85" s="28">
        <f t="shared" si="150"/>
        <v>1578871</v>
      </c>
      <c r="I85" s="28">
        <f t="shared" si="150"/>
        <v>1668652</v>
      </c>
      <c r="J85" s="28">
        <f t="shared" si="150"/>
        <v>1715531</v>
      </c>
      <c r="K85" s="28">
        <f t="shared" si="150"/>
        <v>1707118</v>
      </c>
      <c r="L85" s="28">
        <f t="shared" si="150"/>
        <v>1686638</v>
      </c>
      <c r="M85" s="28">
        <f t="shared" si="150"/>
        <v>1683183</v>
      </c>
      <c r="N85" s="28">
        <f t="shared" si="150"/>
        <v>1612688</v>
      </c>
      <c r="O85" s="28">
        <f t="shared" si="150"/>
        <v>1665083</v>
      </c>
      <c r="P85" s="28">
        <f t="shared" si="150"/>
        <v>1691030</v>
      </c>
      <c r="Q85" s="28">
        <f t="shared" si="150"/>
        <v>1662747</v>
      </c>
      <c r="R85" s="28">
        <f t="shared" si="150"/>
        <v>1715519</v>
      </c>
      <c r="S85" s="28">
        <f t="shared" si="150"/>
        <v>1760280</v>
      </c>
      <c r="T85" s="28">
        <f t="shared" si="150"/>
        <v>1833869</v>
      </c>
      <c r="U85" s="28">
        <f t="shared" si="150"/>
        <v>1894546</v>
      </c>
      <c r="V85" s="28">
        <f t="shared" si="150"/>
        <v>1915148</v>
      </c>
      <c r="W85" s="28">
        <f t="shared" ref="W85:Y85" si="151">W86+W87+W94</f>
        <v>1967143</v>
      </c>
      <c r="X85" s="28">
        <f t="shared" si="151"/>
        <v>2019390</v>
      </c>
      <c r="Y85" s="28">
        <f t="shared" si="151"/>
        <v>2095681</v>
      </c>
      <c r="DA85" s="173"/>
    </row>
    <row r="86" spans="1:105" ht="11.45" hidden="1" customHeight="1" x14ac:dyDescent="0.25">
      <c r="A86" s="136" t="s">
        <v>173</v>
      </c>
      <c r="B86" s="137">
        <v>81543</v>
      </c>
      <c r="C86" s="137">
        <v>81138</v>
      </c>
      <c r="D86" s="137">
        <v>85000</v>
      </c>
      <c r="E86" s="137">
        <v>99000</v>
      </c>
      <c r="F86" s="137">
        <v>113000</v>
      </c>
      <c r="G86" s="137">
        <v>128000</v>
      </c>
      <c r="H86" s="137">
        <v>144000</v>
      </c>
      <c r="I86" s="137">
        <v>149590</v>
      </c>
      <c r="J86" s="137">
        <v>155409</v>
      </c>
      <c r="K86" s="137">
        <v>157018</v>
      </c>
      <c r="L86" s="137">
        <v>156729</v>
      </c>
      <c r="M86" s="137">
        <v>156320</v>
      </c>
      <c r="N86" s="137">
        <v>159000</v>
      </c>
      <c r="O86" s="137">
        <v>157200</v>
      </c>
      <c r="P86" s="137">
        <v>155688</v>
      </c>
      <c r="Q86" s="137">
        <v>153438</v>
      </c>
      <c r="R86" s="137">
        <v>152873</v>
      </c>
      <c r="S86" s="137">
        <v>154269</v>
      </c>
      <c r="T86" s="137">
        <v>157359</v>
      </c>
      <c r="U86" s="137">
        <v>159388</v>
      </c>
      <c r="V86" s="137">
        <v>158915</v>
      </c>
      <c r="W86" s="137">
        <v>161493</v>
      </c>
      <c r="X86" s="137">
        <v>168018</v>
      </c>
      <c r="Y86" s="137">
        <v>174770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1132000</v>
      </c>
      <c r="C87" s="110">
        <f t="shared" si="152"/>
        <v>1185000</v>
      </c>
      <c r="D87" s="110">
        <f t="shared" ref="D87:V87" si="153">SUM(D88:D93)</f>
        <v>1228000</v>
      </c>
      <c r="E87" s="110">
        <f t="shared" si="153"/>
        <v>1282000</v>
      </c>
      <c r="F87" s="110">
        <f t="shared" si="153"/>
        <v>1329000</v>
      </c>
      <c r="G87" s="110">
        <f t="shared" si="153"/>
        <v>1374000</v>
      </c>
      <c r="H87" s="110">
        <f t="shared" si="153"/>
        <v>1426000</v>
      </c>
      <c r="I87" s="110">
        <f t="shared" si="153"/>
        <v>1510000</v>
      </c>
      <c r="J87" s="110">
        <f t="shared" si="153"/>
        <v>1551000</v>
      </c>
      <c r="K87" s="110">
        <f t="shared" si="153"/>
        <v>1541000</v>
      </c>
      <c r="L87" s="110">
        <f t="shared" si="153"/>
        <v>1521000</v>
      </c>
      <c r="M87" s="110">
        <f t="shared" si="153"/>
        <v>1518000</v>
      </c>
      <c r="N87" s="110">
        <f t="shared" si="153"/>
        <v>1445000</v>
      </c>
      <c r="O87" s="110">
        <f t="shared" si="153"/>
        <v>1499000</v>
      </c>
      <c r="P87" s="110">
        <f t="shared" si="153"/>
        <v>1526039</v>
      </c>
      <c r="Q87" s="110">
        <f t="shared" si="153"/>
        <v>1499802</v>
      </c>
      <c r="R87" s="110">
        <f t="shared" si="153"/>
        <v>1552904</v>
      </c>
      <c r="S87" s="110">
        <f t="shared" si="153"/>
        <v>1596087</v>
      </c>
      <c r="T87" s="110">
        <f t="shared" si="153"/>
        <v>1666413</v>
      </c>
      <c r="U87" s="110">
        <f t="shared" si="153"/>
        <v>1724900</v>
      </c>
      <c r="V87" s="110">
        <f t="shared" si="153"/>
        <v>1746285</v>
      </c>
      <c r="W87" s="110">
        <f t="shared" ref="W87:Y87" si="154">SUM(W88:W93)</f>
        <v>1795465</v>
      </c>
      <c r="X87" s="110">
        <f t="shared" si="154"/>
        <v>1840767</v>
      </c>
      <c r="Y87" s="110">
        <f t="shared" si="154"/>
        <v>1910131</v>
      </c>
      <c r="DA87" s="176"/>
    </row>
    <row r="88" spans="1:105" ht="11.45" hidden="1" customHeight="1" x14ac:dyDescent="0.25">
      <c r="A88" s="111" t="s">
        <v>110</v>
      </c>
      <c r="B88" s="84">
        <v>891000</v>
      </c>
      <c r="C88" s="84">
        <v>912363</v>
      </c>
      <c r="D88" s="84">
        <v>922888</v>
      </c>
      <c r="E88" s="84">
        <v>934593</v>
      </c>
      <c r="F88" s="84">
        <v>934563</v>
      </c>
      <c r="G88" s="84">
        <v>935751</v>
      </c>
      <c r="H88" s="84">
        <v>936556</v>
      </c>
      <c r="I88" s="84">
        <v>949694</v>
      </c>
      <c r="J88" s="84">
        <v>952727</v>
      </c>
      <c r="K88" s="84">
        <v>923521</v>
      </c>
      <c r="L88" s="84">
        <v>909176</v>
      </c>
      <c r="M88" s="84">
        <v>896050</v>
      </c>
      <c r="N88" s="84">
        <v>827529</v>
      </c>
      <c r="O88" s="84">
        <v>845678</v>
      </c>
      <c r="P88" s="84">
        <v>823947</v>
      </c>
      <c r="Q88" s="84">
        <v>773455</v>
      </c>
      <c r="R88" s="84">
        <v>760176</v>
      </c>
      <c r="S88" s="84">
        <v>744152</v>
      </c>
      <c r="T88" s="84">
        <v>733793</v>
      </c>
      <c r="U88" s="84">
        <v>720851</v>
      </c>
      <c r="V88" s="84">
        <v>701554</v>
      </c>
      <c r="W88" s="84">
        <v>698748</v>
      </c>
      <c r="X88" s="84">
        <v>713284</v>
      </c>
      <c r="Y88" s="84">
        <v>750189</v>
      </c>
      <c r="DA88" s="171"/>
    </row>
    <row r="89" spans="1:105" ht="11.45" hidden="1" customHeight="1" x14ac:dyDescent="0.25">
      <c r="A89" s="111" t="s">
        <v>111</v>
      </c>
      <c r="B89" s="84">
        <v>228000</v>
      </c>
      <c r="C89" s="84">
        <v>257713</v>
      </c>
      <c r="D89" s="84">
        <v>289205</v>
      </c>
      <c r="E89" s="84">
        <v>330611</v>
      </c>
      <c r="F89" s="84">
        <v>372842</v>
      </c>
      <c r="G89" s="84">
        <v>409147</v>
      </c>
      <c r="H89" s="84">
        <v>440278</v>
      </c>
      <c r="I89" s="84">
        <v>490352</v>
      </c>
      <c r="J89" s="84">
        <v>506769</v>
      </c>
      <c r="K89" s="84">
        <v>508703</v>
      </c>
      <c r="L89" s="84">
        <v>519529</v>
      </c>
      <c r="M89" s="84">
        <v>531028</v>
      </c>
      <c r="N89" s="84">
        <v>533166</v>
      </c>
      <c r="O89" s="84">
        <v>570884</v>
      </c>
      <c r="P89" s="84">
        <v>614418</v>
      </c>
      <c r="Q89" s="84">
        <v>633563</v>
      </c>
      <c r="R89" s="84">
        <v>693591</v>
      </c>
      <c r="S89" s="84">
        <v>746691</v>
      </c>
      <c r="T89" s="84">
        <v>819532</v>
      </c>
      <c r="U89" s="84">
        <v>885087</v>
      </c>
      <c r="V89" s="84">
        <v>920317</v>
      </c>
      <c r="W89" s="84">
        <v>966065</v>
      </c>
      <c r="X89" s="84">
        <v>1005769</v>
      </c>
      <c r="Y89" s="84">
        <v>1040502</v>
      </c>
      <c r="DA89" s="171"/>
    </row>
    <row r="90" spans="1:105" ht="11.45" hidden="1" customHeight="1" x14ac:dyDescent="0.25">
      <c r="A90" s="111" t="s">
        <v>112</v>
      </c>
      <c r="B90" s="84">
        <v>13000</v>
      </c>
      <c r="C90" s="84">
        <v>14924</v>
      </c>
      <c r="D90" s="84">
        <v>15907</v>
      </c>
      <c r="E90" s="84">
        <v>16796</v>
      </c>
      <c r="F90" s="84">
        <v>21595</v>
      </c>
      <c r="G90" s="84">
        <v>29102</v>
      </c>
      <c r="H90" s="84">
        <v>49166</v>
      </c>
      <c r="I90" s="84">
        <v>69954</v>
      </c>
      <c r="J90" s="84">
        <v>91504</v>
      </c>
      <c r="K90" s="84">
        <v>108712</v>
      </c>
      <c r="L90" s="84">
        <v>92222</v>
      </c>
      <c r="M90" s="84">
        <v>90851</v>
      </c>
      <c r="N90" s="84">
        <v>84191</v>
      </c>
      <c r="O90" s="84">
        <v>82316</v>
      </c>
      <c r="P90" s="84">
        <v>87488</v>
      </c>
      <c r="Q90" s="84">
        <v>92481</v>
      </c>
      <c r="R90" s="84">
        <v>98737</v>
      </c>
      <c r="S90" s="84">
        <v>104741</v>
      </c>
      <c r="T90" s="84">
        <v>112393</v>
      </c>
      <c r="U90" s="84">
        <v>117913</v>
      </c>
      <c r="V90" s="84">
        <v>122394</v>
      </c>
      <c r="W90" s="84">
        <v>126602</v>
      </c>
      <c r="X90" s="84">
        <v>115146</v>
      </c>
      <c r="Y90" s="84">
        <v>109628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64</v>
      </c>
      <c r="L91" s="84">
        <v>73</v>
      </c>
      <c r="M91" s="84">
        <v>71</v>
      </c>
      <c r="N91" s="84">
        <v>81</v>
      </c>
      <c r="O91" s="84">
        <v>84</v>
      </c>
      <c r="P91" s="84">
        <v>96</v>
      </c>
      <c r="Q91" s="84">
        <v>92</v>
      </c>
      <c r="R91" s="84">
        <v>96</v>
      </c>
      <c r="S91" s="84">
        <v>126</v>
      </c>
      <c r="T91" s="84">
        <v>133</v>
      </c>
      <c r="U91" s="84">
        <v>133</v>
      </c>
      <c r="V91" s="84">
        <v>133</v>
      </c>
      <c r="W91" s="84">
        <v>133</v>
      </c>
      <c r="X91" s="84">
        <v>133</v>
      </c>
      <c r="Y91" s="84">
        <v>121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0</v>
      </c>
      <c r="P92" s="84">
        <v>5</v>
      </c>
      <c r="Q92" s="84">
        <v>48</v>
      </c>
      <c r="R92" s="84">
        <v>71</v>
      </c>
      <c r="S92" s="84">
        <v>92</v>
      </c>
      <c r="T92" s="84">
        <v>101</v>
      </c>
      <c r="U92" s="84">
        <v>191</v>
      </c>
      <c r="V92" s="84">
        <v>553</v>
      </c>
      <c r="W92" s="84">
        <v>940</v>
      </c>
      <c r="X92" s="84">
        <v>1634</v>
      </c>
      <c r="Y92" s="84">
        <v>2633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33</v>
      </c>
      <c r="O93" s="84">
        <v>38</v>
      </c>
      <c r="P93" s="84">
        <v>85</v>
      </c>
      <c r="Q93" s="84">
        <v>163</v>
      </c>
      <c r="R93" s="84">
        <v>233</v>
      </c>
      <c r="S93" s="84">
        <v>285</v>
      </c>
      <c r="T93" s="84">
        <v>461</v>
      </c>
      <c r="U93" s="84">
        <v>725</v>
      </c>
      <c r="V93" s="84">
        <v>1334</v>
      </c>
      <c r="W93" s="84">
        <v>2977</v>
      </c>
      <c r="X93" s="84">
        <v>4801</v>
      </c>
      <c r="Y93" s="84">
        <v>7058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8637</v>
      </c>
      <c r="C94" s="110">
        <f t="shared" si="155"/>
        <v>8706</v>
      </c>
      <c r="D94" s="110">
        <f t="shared" ref="D94:V94" si="156">SUM(D95:D99)</f>
        <v>8732</v>
      </c>
      <c r="E94" s="110">
        <f t="shared" si="156"/>
        <v>8785</v>
      </c>
      <c r="F94" s="110">
        <f t="shared" si="156"/>
        <v>8816</v>
      </c>
      <c r="G94" s="110">
        <f t="shared" si="156"/>
        <v>8838</v>
      </c>
      <c r="H94" s="110">
        <f t="shared" si="156"/>
        <v>8871</v>
      </c>
      <c r="I94" s="110">
        <f t="shared" si="156"/>
        <v>9062</v>
      </c>
      <c r="J94" s="110">
        <f t="shared" si="156"/>
        <v>9122</v>
      </c>
      <c r="K94" s="110">
        <f t="shared" si="156"/>
        <v>9100</v>
      </c>
      <c r="L94" s="110">
        <f t="shared" si="156"/>
        <v>8909</v>
      </c>
      <c r="M94" s="110">
        <f t="shared" si="156"/>
        <v>8863</v>
      </c>
      <c r="N94" s="110">
        <f t="shared" si="156"/>
        <v>8688</v>
      </c>
      <c r="O94" s="110">
        <f t="shared" si="156"/>
        <v>8883</v>
      </c>
      <c r="P94" s="110">
        <f t="shared" si="156"/>
        <v>9303</v>
      </c>
      <c r="Q94" s="110">
        <f t="shared" si="156"/>
        <v>9507</v>
      </c>
      <c r="R94" s="110">
        <f t="shared" si="156"/>
        <v>9742</v>
      </c>
      <c r="S94" s="110">
        <f t="shared" si="156"/>
        <v>9924</v>
      </c>
      <c r="T94" s="110">
        <f t="shared" si="156"/>
        <v>10097</v>
      </c>
      <c r="U94" s="110">
        <f t="shared" si="156"/>
        <v>10258</v>
      </c>
      <c r="V94" s="110">
        <f t="shared" si="156"/>
        <v>9948</v>
      </c>
      <c r="W94" s="110">
        <f t="shared" ref="W94:Y94" si="157">SUM(W95:W99)</f>
        <v>10185</v>
      </c>
      <c r="X94" s="110">
        <f t="shared" si="157"/>
        <v>10605</v>
      </c>
      <c r="Y94" s="110">
        <f t="shared" si="157"/>
        <v>10780</v>
      </c>
      <c r="DA94" s="176"/>
    </row>
    <row r="95" spans="1:105" ht="11.45" hidden="1" customHeight="1" x14ac:dyDescent="0.25">
      <c r="A95" s="111" t="s">
        <v>110</v>
      </c>
      <c r="B95" s="102">
        <v>40</v>
      </c>
      <c r="C95" s="102">
        <v>42</v>
      </c>
      <c r="D95" s="102">
        <v>43</v>
      </c>
      <c r="E95" s="102">
        <v>42</v>
      </c>
      <c r="F95" s="102">
        <v>40</v>
      </c>
      <c r="G95" s="102">
        <v>41</v>
      </c>
      <c r="H95" s="102">
        <v>42</v>
      </c>
      <c r="I95" s="102">
        <v>39</v>
      </c>
      <c r="J95" s="102">
        <v>44</v>
      </c>
      <c r="K95" s="102">
        <v>41</v>
      </c>
      <c r="L95" s="102">
        <v>39</v>
      </c>
      <c r="M95" s="102">
        <v>36</v>
      </c>
      <c r="N95" s="102">
        <v>36</v>
      </c>
      <c r="O95" s="102">
        <v>42</v>
      </c>
      <c r="P95" s="102">
        <v>40</v>
      </c>
      <c r="Q95" s="102">
        <v>37</v>
      </c>
      <c r="R95" s="102">
        <v>36</v>
      </c>
      <c r="S95" s="102">
        <v>35</v>
      </c>
      <c r="T95" s="102">
        <v>34</v>
      </c>
      <c r="U95" s="102">
        <v>32</v>
      </c>
      <c r="V95" s="102">
        <v>31</v>
      </c>
      <c r="W95" s="102">
        <v>29</v>
      </c>
      <c r="X95" s="102">
        <v>26</v>
      </c>
      <c r="Y95" s="102">
        <v>24</v>
      </c>
      <c r="DA95" s="175"/>
    </row>
    <row r="96" spans="1:105" ht="11.45" hidden="1" customHeight="1" x14ac:dyDescent="0.25">
      <c r="A96" s="111" t="s">
        <v>111</v>
      </c>
      <c r="B96" s="102">
        <v>8597</v>
      </c>
      <c r="C96" s="102">
        <v>8664</v>
      </c>
      <c r="D96" s="102">
        <v>8689</v>
      </c>
      <c r="E96" s="102">
        <v>8743</v>
      </c>
      <c r="F96" s="102">
        <v>8776</v>
      </c>
      <c r="G96" s="102">
        <v>8797</v>
      </c>
      <c r="H96" s="102">
        <v>8829</v>
      </c>
      <c r="I96" s="102">
        <v>9022</v>
      </c>
      <c r="J96" s="102">
        <v>9077</v>
      </c>
      <c r="K96" s="102">
        <v>9000</v>
      </c>
      <c r="L96" s="102">
        <v>8807</v>
      </c>
      <c r="M96" s="102">
        <v>8762</v>
      </c>
      <c r="N96" s="102">
        <v>8578</v>
      </c>
      <c r="O96" s="102">
        <v>8677</v>
      </c>
      <c r="P96" s="102">
        <v>8920</v>
      </c>
      <c r="Q96" s="102">
        <v>9130</v>
      </c>
      <c r="R96" s="102">
        <v>9369</v>
      </c>
      <c r="S96" s="102">
        <v>9537</v>
      </c>
      <c r="T96" s="102">
        <v>9717</v>
      </c>
      <c r="U96" s="102">
        <v>9887</v>
      </c>
      <c r="V96" s="102">
        <v>9565</v>
      </c>
      <c r="W96" s="102">
        <v>9811</v>
      </c>
      <c r="X96" s="102">
        <v>10245</v>
      </c>
      <c r="Y96" s="102">
        <v>10434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1</v>
      </c>
      <c r="J97" s="102">
        <v>1</v>
      </c>
      <c r="K97" s="102">
        <v>1</v>
      </c>
      <c r="L97" s="102">
        <v>1</v>
      </c>
      <c r="M97" s="102">
        <v>2</v>
      </c>
      <c r="N97" s="102">
        <v>2</v>
      </c>
      <c r="O97" s="102">
        <v>13</v>
      </c>
      <c r="P97" s="102">
        <v>15</v>
      </c>
      <c r="Q97" s="102">
        <v>15</v>
      </c>
      <c r="R97" s="102">
        <v>15</v>
      </c>
      <c r="S97" s="102">
        <v>14</v>
      </c>
      <c r="T97" s="102">
        <v>14</v>
      </c>
      <c r="U97" s="102">
        <v>15</v>
      </c>
      <c r="V97" s="102">
        <v>17</v>
      </c>
      <c r="W97" s="102">
        <v>17</v>
      </c>
      <c r="X97" s="102">
        <v>16</v>
      </c>
      <c r="Y97" s="102">
        <v>16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58</v>
      </c>
      <c r="L98" s="102">
        <v>62</v>
      </c>
      <c r="M98" s="102">
        <v>63</v>
      </c>
      <c r="N98" s="102">
        <v>72</v>
      </c>
      <c r="O98" s="102">
        <v>151</v>
      </c>
      <c r="P98" s="102">
        <v>328</v>
      </c>
      <c r="Q98" s="102">
        <v>323</v>
      </c>
      <c r="R98" s="102">
        <v>319</v>
      </c>
      <c r="S98" s="102">
        <v>335</v>
      </c>
      <c r="T98" s="102">
        <v>329</v>
      </c>
      <c r="U98" s="102">
        <v>321</v>
      </c>
      <c r="V98" s="102">
        <v>332</v>
      </c>
      <c r="W98" s="102">
        <v>322</v>
      </c>
      <c r="X98" s="102">
        <v>311</v>
      </c>
      <c r="Y98" s="102">
        <v>298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0</v>
      </c>
      <c r="Q99" s="102">
        <v>2</v>
      </c>
      <c r="R99" s="102">
        <v>3</v>
      </c>
      <c r="S99" s="102">
        <v>3</v>
      </c>
      <c r="T99" s="102">
        <v>3</v>
      </c>
      <c r="U99" s="102">
        <v>3</v>
      </c>
      <c r="V99" s="102">
        <v>3</v>
      </c>
      <c r="W99" s="102">
        <v>6</v>
      </c>
      <c r="X99" s="102">
        <v>7</v>
      </c>
      <c r="Y99" s="102">
        <v>8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95448</v>
      </c>
      <c r="C100" s="28">
        <f t="shared" si="158"/>
        <v>120864.00000000001</v>
      </c>
      <c r="D100" s="28">
        <f t="shared" ref="D100:V100" si="159">D101+D107</f>
        <v>131200</v>
      </c>
      <c r="E100" s="28">
        <f t="shared" si="159"/>
        <v>142490</v>
      </c>
      <c r="F100" s="28">
        <f t="shared" si="159"/>
        <v>150433</v>
      </c>
      <c r="G100" s="28">
        <f t="shared" si="159"/>
        <v>155107</v>
      </c>
      <c r="H100" s="28">
        <f t="shared" si="159"/>
        <v>169772</v>
      </c>
      <c r="I100" s="28">
        <f t="shared" si="159"/>
        <v>166381</v>
      </c>
      <c r="J100" s="28">
        <f t="shared" si="159"/>
        <v>174612</v>
      </c>
      <c r="K100" s="28">
        <f t="shared" si="159"/>
        <v>163862</v>
      </c>
      <c r="L100" s="28">
        <f t="shared" si="159"/>
        <v>159853</v>
      </c>
      <c r="M100" s="28">
        <f t="shared" si="159"/>
        <v>158808</v>
      </c>
      <c r="N100" s="28">
        <f t="shared" si="159"/>
        <v>150332</v>
      </c>
      <c r="O100" s="28">
        <f t="shared" si="159"/>
        <v>152172</v>
      </c>
      <c r="P100" s="28">
        <f t="shared" si="159"/>
        <v>155085</v>
      </c>
      <c r="Q100" s="28">
        <f t="shared" si="159"/>
        <v>172092</v>
      </c>
      <c r="R100" s="28">
        <f t="shared" si="159"/>
        <v>178933</v>
      </c>
      <c r="S100" s="28">
        <f t="shared" si="159"/>
        <v>191071</v>
      </c>
      <c r="T100" s="28">
        <f t="shared" si="159"/>
        <v>203859</v>
      </c>
      <c r="U100" s="28">
        <f t="shared" si="159"/>
        <v>215636</v>
      </c>
      <c r="V100" s="28">
        <f t="shared" si="159"/>
        <v>224673</v>
      </c>
      <c r="W100" s="28">
        <f t="shared" ref="W100:Y100" si="160">W101+W107</f>
        <v>235223</v>
      </c>
      <c r="X100" s="28">
        <f t="shared" si="160"/>
        <v>245328</v>
      </c>
      <c r="Y100" s="28">
        <f t="shared" si="160"/>
        <v>258997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60996</v>
      </c>
      <c r="C101" s="137">
        <f t="shared" si="161"/>
        <v>74427</v>
      </c>
      <c r="D101" s="137">
        <f t="shared" ref="D101:V101" si="162">SUM(D102:D106)</f>
        <v>80420</v>
      </c>
      <c r="E101" s="137">
        <f t="shared" si="162"/>
        <v>87048</v>
      </c>
      <c r="F101" s="137">
        <f t="shared" si="162"/>
        <v>92541</v>
      </c>
      <c r="G101" s="137">
        <f t="shared" si="162"/>
        <v>97814</v>
      </c>
      <c r="H101" s="137">
        <f t="shared" si="162"/>
        <v>103721</v>
      </c>
      <c r="I101" s="137">
        <f t="shared" si="162"/>
        <v>100749</v>
      </c>
      <c r="J101" s="137">
        <f t="shared" si="162"/>
        <v>105158</v>
      </c>
      <c r="K101" s="137">
        <f t="shared" si="162"/>
        <v>103846</v>
      </c>
      <c r="L101" s="137">
        <f t="shared" si="162"/>
        <v>98978</v>
      </c>
      <c r="M101" s="137">
        <f t="shared" si="162"/>
        <v>97212</v>
      </c>
      <c r="N101" s="137">
        <f t="shared" si="162"/>
        <v>90267</v>
      </c>
      <c r="O101" s="137">
        <f t="shared" si="162"/>
        <v>90219</v>
      </c>
      <c r="P101" s="137">
        <f t="shared" si="162"/>
        <v>91602</v>
      </c>
      <c r="Q101" s="137">
        <f t="shared" si="162"/>
        <v>107381</v>
      </c>
      <c r="R101" s="137">
        <f t="shared" si="162"/>
        <v>116001</v>
      </c>
      <c r="S101" s="137">
        <f t="shared" si="162"/>
        <v>125731</v>
      </c>
      <c r="T101" s="137">
        <f t="shared" si="162"/>
        <v>137049</v>
      </c>
      <c r="U101" s="137">
        <f t="shared" si="162"/>
        <v>147501</v>
      </c>
      <c r="V101" s="137">
        <f t="shared" si="162"/>
        <v>154885</v>
      </c>
      <c r="W101" s="137">
        <f t="shared" ref="W101:Y101" si="163">SUM(W102:W106)</f>
        <v>164351</v>
      </c>
      <c r="X101" s="137">
        <f t="shared" si="163"/>
        <v>172266</v>
      </c>
      <c r="Y101" s="137">
        <f t="shared" si="163"/>
        <v>183405</v>
      </c>
      <c r="DA101" s="174"/>
    </row>
    <row r="102" spans="1:105" ht="11.45" hidden="1" customHeight="1" x14ac:dyDescent="0.25">
      <c r="A102" s="111" t="s">
        <v>110</v>
      </c>
      <c r="B102" s="84">
        <v>11402</v>
      </c>
      <c r="C102" s="84">
        <v>13677</v>
      </c>
      <c r="D102" s="84">
        <v>13325</v>
      </c>
      <c r="E102" s="84">
        <v>12695</v>
      </c>
      <c r="F102" s="84">
        <v>11827</v>
      </c>
      <c r="G102" s="84">
        <v>11103</v>
      </c>
      <c r="H102" s="84">
        <v>10873</v>
      </c>
      <c r="I102" s="84">
        <v>8590</v>
      </c>
      <c r="J102" s="84">
        <v>8480</v>
      </c>
      <c r="K102" s="84">
        <v>7672</v>
      </c>
      <c r="L102" s="84">
        <v>6878</v>
      </c>
      <c r="M102" s="84">
        <v>6465</v>
      </c>
      <c r="N102" s="84">
        <v>4648</v>
      </c>
      <c r="O102" s="84">
        <v>4497</v>
      </c>
      <c r="P102" s="84">
        <v>4482</v>
      </c>
      <c r="Q102" s="84">
        <v>4404</v>
      </c>
      <c r="R102" s="84">
        <v>4421</v>
      </c>
      <c r="S102" s="84">
        <v>4715</v>
      </c>
      <c r="T102" s="84">
        <v>4868</v>
      </c>
      <c r="U102" s="84">
        <v>4951</v>
      </c>
      <c r="V102" s="84">
        <v>4917</v>
      </c>
      <c r="W102" s="84">
        <v>4990</v>
      </c>
      <c r="X102" s="84">
        <v>5037</v>
      </c>
      <c r="Y102" s="84">
        <v>5224</v>
      </c>
      <c r="DA102" s="171"/>
    </row>
    <row r="103" spans="1:105" ht="11.45" hidden="1" customHeight="1" x14ac:dyDescent="0.25">
      <c r="A103" s="111" t="s">
        <v>111</v>
      </c>
      <c r="B103" s="84">
        <v>49594</v>
      </c>
      <c r="C103" s="84">
        <v>60750</v>
      </c>
      <c r="D103" s="84">
        <v>67095</v>
      </c>
      <c r="E103" s="84">
        <v>74351</v>
      </c>
      <c r="F103" s="84">
        <v>80712</v>
      </c>
      <c r="G103" s="84">
        <v>86708</v>
      </c>
      <c r="H103" s="84">
        <v>92845</v>
      </c>
      <c r="I103" s="84">
        <v>91958</v>
      </c>
      <c r="J103" s="84">
        <v>96163</v>
      </c>
      <c r="K103" s="84">
        <v>95484</v>
      </c>
      <c r="L103" s="84">
        <v>91375</v>
      </c>
      <c r="M103" s="84">
        <v>90063</v>
      </c>
      <c r="N103" s="84">
        <v>84920</v>
      </c>
      <c r="O103" s="84">
        <v>84957</v>
      </c>
      <c r="P103" s="84">
        <v>86288</v>
      </c>
      <c r="Q103" s="84">
        <v>102048</v>
      </c>
      <c r="R103" s="84">
        <v>110554</v>
      </c>
      <c r="S103" s="84">
        <v>119870</v>
      </c>
      <c r="T103" s="84">
        <v>130932</v>
      </c>
      <c r="U103" s="84">
        <v>141186</v>
      </c>
      <c r="V103" s="84">
        <v>148523</v>
      </c>
      <c r="W103" s="84">
        <v>157740</v>
      </c>
      <c r="X103" s="84">
        <v>165490</v>
      </c>
      <c r="Y103" s="84">
        <v>176227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198</v>
      </c>
      <c r="J104" s="84">
        <v>510</v>
      </c>
      <c r="K104" s="84">
        <v>641</v>
      </c>
      <c r="L104" s="84">
        <v>668</v>
      </c>
      <c r="M104" s="84">
        <v>628</v>
      </c>
      <c r="N104" s="84">
        <v>621</v>
      </c>
      <c r="O104" s="84">
        <v>687</v>
      </c>
      <c r="P104" s="84">
        <v>753</v>
      </c>
      <c r="Q104" s="84">
        <v>818</v>
      </c>
      <c r="R104" s="84">
        <v>898</v>
      </c>
      <c r="S104" s="84">
        <v>989</v>
      </c>
      <c r="T104" s="84">
        <v>1058</v>
      </c>
      <c r="U104" s="84">
        <v>1135</v>
      </c>
      <c r="V104" s="84">
        <v>1171</v>
      </c>
      <c r="W104" s="84">
        <v>1270</v>
      </c>
      <c r="X104" s="84">
        <v>1344</v>
      </c>
      <c r="Y104" s="84">
        <v>1383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43</v>
      </c>
      <c r="L105" s="84">
        <v>51</v>
      </c>
      <c r="M105" s="84">
        <v>51</v>
      </c>
      <c r="N105" s="84">
        <v>71</v>
      </c>
      <c r="O105" s="84">
        <v>71</v>
      </c>
      <c r="P105" s="84">
        <v>71</v>
      </c>
      <c r="Q105" s="84">
        <v>75</v>
      </c>
      <c r="R105" s="84">
        <v>75</v>
      </c>
      <c r="S105" s="84">
        <v>92</v>
      </c>
      <c r="T105" s="84">
        <v>96</v>
      </c>
      <c r="U105" s="84">
        <v>96</v>
      </c>
      <c r="V105" s="84">
        <v>96</v>
      </c>
      <c r="W105" s="84">
        <v>96</v>
      </c>
      <c r="X105" s="84">
        <v>96</v>
      </c>
      <c r="Y105" s="84">
        <v>96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2</v>
      </c>
      <c r="F106" s="84">
        <v>2</v>
      </c>
      <c r="G106" s="84">
        <v>3</v>
      </c>
      <c r="H106" s="84">
        <v>3</v>
      </c>
      <c r="I106" s="84">
        <v>3</v>
      </c>
      <c r="J106" s="84">
        <v>5</v>
      </c>
      <c r="K106" s="84">
        <v>6</v>
      </c>
      <c r="L106" s="84">
        <v>6</v>
      </c>
      <c r="M106" s="84">
        <v>5</v>
      </c>
      <c r="N106" s="84">
        <v>7</v>
      </c>
      <c r="O106" s="84">
        <v>7</v>
      </c>
      <c r="P106" s="84">
        <v>8</v>
      </c>
      <c r="Q106" s="84">
        <v>36</v>
      </c>
      <c r="R106" s="84">
        <v>53</v>
      </c>
      <c r="S106" s="84">
        <v>65</v>
      </c>
      <c r="T106" s="84">
        <v>95</v>
      </c>
      <c r="U106" s="84">
        <v>133</v>
      </c>
      <c r="V106" s="84">
        <v>178</v>
      </c>
      <c r="W106" s="84">
        <v>255</v>
      </c>
      <c r="X106" s="84">
        <v>299</v>
      </c>
      <c r="Y106" s="84">
        <v>475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34452</v>
      </c>
      <c r="C107" s="110">
        <f t="shared" si="164"/>
        <v>46437.000000000015</v>
      </c>
      <c r="D107" s="110">
        <f t="shared" ref="D107:V107" si="165">SUM(D108:D109)</f>
        <v>50780</v>
      </c>
      <c r="E107" s="110">
        <f t="shared" si="165"/>
        <v>55442</v>
      </c>
      <c r="F107" s="110">
        <f t="shared" si="165"/>
        <v>57892</v>
      </c>
      <c r="G107" s="110">
        <f t="shared" si="165"/>
        <v>57293</v>
      </c>
      <c r="H107" s="110">
        <f t="shared" si="165"/>
        <v>66051</v>
      </c>
      <c r="I107" s="110">
        <f t="shared" si="165"/>
        <v>65632</v>
      </c>
      <c r="J107" s="110">
        <f t="shared" si="165"/>
        <v>69454</v>
      </c>
      <c r="K107" s="110">
        <f t="shared" si="165"/>
        <v>60016</v>
      </c>
      <c r="L107" s="110">
        <f t="shared" si="165"/>
        <v>60875</v>
      </c>
      <c r="M107" s="110">
        <f t="shared" si="165"/>
        <v>61596</v>
      </c>
      <c r="N107" s="110">
        <f t="shared" si="165"/>
        <v>60065</v>
      </c>
      <c r="O107" s="110">
        <f t="shared" si="165"/>
        <v>61953</v>
      </c>
      <c r="P107" s="110">
        <f t="shared" si="165"/>
        <v>63483</v>
      </c>
      <c r="Q107" s="110">
        <f t="shared" si="165"/>
        <v>64711</v>
      </c>
      <c r="R107" s="110">
        <f t="shared" si="165"/>
        <v>62932</v>
      </c>
      <c r="S107" s="110">
        <f t="shared" si="165"/>
        <v>65340</v>
      </c>
      <c r="T107" s="110">
        <f t="shared" si="165"/>
        <v>66810</v>
      </c>
      <c r="U107" s="110">
        <f t="shared" si="165"/>
        <v>68135</v>
      </c>
      <c r="V107" s="110">
        <f t="shared" si="165"/>
        <v>69788</v>
      </c>
      <c r="W107" s="110">
        <f t="shared" ref="W107:Y107" si="166">SUM(W108:W109)</f>
        <v>70872</v>
      </c>
      <c r="X107" s="110">
        <f t="shared" si="166"/>
        <v>73062</v>
      </c>
      <c r="Y107" s="110">
        <f t="shared" si="166"/>
        <v>75592</v>
      </c>
      <c r="DA107" s="176"/>
    </row>
    <row r="108" spans="1:105" ht="11.45" hidden="1" customHeight="1" x14ac:dyDescent="0.25">
      <c r="A108" s="128" t="s">
        <v>27</v>
      </c>
      <c r="B108" s="102">
        <v>30822</v>
      </c>
      <c r="C108" s="102">
        <v>42545.000000000015</v>
      </c>
      <c r="D108" s="102">
        <v>46686</v>
      </c>
      <c r="E108" s="102">
        <v>51257</v>
      </c>
      <c r="F108" s="102">
        <v>52944</v>
      </c>
      <c r="G108" s="102">
        <v>52170</v>
      </c>
      <c r="H108" s="102">
        <v>61359</v>
      </c>
      <c r="I108" s="102">
        <v>60705</v>
      </c>
      <c r="J108" s="102">
        <v>66131</v>
      </c>
      <c r="K108" s="102">
        <v>57127</v>
      </c>
      <c r="L108" s="102">
        <v>58071</v>
      </c>
      <c r="M108" s="102">
        <v>58801</v>
      </c>
      <c r="N108" s="102">
        <v>57335</v>
      </c>
      <c r="O108" s="102">
        <v>59107</v>
      </c>
      <c r="P108" s="102">
        <v>60458</v>
      </c>
      <c r="Q108" s="102">
        <v>61213</v>
      </c>
      <c r="R108" s="102">
        <v>59331</v>
      </c>
      <c r="S108" s="102">
        <v>60915</v>
      </c>
      <c r="T108" s="102">
        <v>62414</v>
      </c>
      <c r="U108" s="102">
        <v>64184</v>
      </c>
      <c r="V108" s="102">
        <v>65719</v>
      </c>
      <c r="W108" s="102">
        <v>67092</v>
      </c>
      <c r="X108" s="102">
        <v>69116</v>
      </c>
      <c r="Y108" s="102">
        <v>71317</v>
      </c>
      <c r="DA108" s="175"/>
    </row>
    <row r="109" spans="1:105" ht="11.45" hidden="1" customHeight="1" x14ac:dyDescent="0.25">
      <c r="A109" s="138" t="s">
        <v>116</v>
      </c>
      <c r="B109" s="86">
        <v>3630</v>
      </c>
      <c r="C109" s="86">
        <v>3892</v>
      </c>
      <c r="D109" s="86">
        <v>4094</v>
      </c>
      <c r="E109" s="86">
        <v>4185</v>
      </c>
      <c r="F109" s="86">
        <v>4948</v>
      </c>
      <c r="G109" s="86">
        <v>5123</v>
      </c>
      <c r="H109" s="86">
        <v>4692</v>
      </c>
      <c r="I109" s="86">
        <v>4927</v>
      </c>
      <c r="J109" s="86">
        <v>3323</v>
      </c>
      <c r="K109" s="86">
        <v>2889</v>
      </c>
      <c r="L109" s="86">
        <v>2804</v>
      </c>
      <c r="M109" s="86">
        <v>2795</v>
      </c>
      <c r="N109" s="86">
        <v>2730</v>
      </c>
      <c r="O109" s="86">
        <v>2846</v>
      </c>
      <c r="P109" s="86">
        <v>3025</v>
      </c>
      <c r="Q109" s="86">
        <v>3498</v>
      </c>
      <c r="R109" s="86">
        <v>3601</v>
      </c>
      <c r="S109" s="86">
        <v>4425</v>
      </c>
      <c r="T109" s="86">
        <v>4396</v>
      </c>
      <c r="U109" s="86">
        <v>3951</v>
      </c>
      <c r="V109" s="86">
        <v>4069</v>
      </c>
      <c r="W109" s="86">
        <v>3780</v>
      </c>
      <c r="X109" s="86">
        <v>3946</v>
      </c>
      <c r="Y109" s="86">
        <v>4275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120024</v>
      </c>
      <c r="C111" s="54">
        <f t="shared" si="167"/>
        <v>176546</v>
      </c>
      <c r="D111" s="54">
        <f t="shared" si="167"/>
        <v>144564</v>
      </c>
      <c r="E111" s="54">
        <f t="shared" si="167"/>
        <v>170569</v>
      </c>
      <c r="F111" s="54">
        <f t="shared" si="167"/>
        <v>168991</v>
      </c>
      <c r="G111" s="54">
        <f t="shared" si="167"/>
        <v>174207</v>
      </c>
      <c r="H111" s="54">
        <f t="shared" si="167"/>
        <v>211568</v>
      </c>
      <c r="I111" s="54">
        <f t="shared" si="167"/>
        <v>187338</v>
      </c>
      <c r="J111" s="54">
        <f t="shared" si="167"/>
        <v>174690</v>
      </c>
      <c r="K111" s="54">
        <f t="shared" si="167"/>
        <v>114282</v>
      </c>
      <c r="L111" s="54">
        <f t="shared" ref="L111" si="168">L112+L127</f>
        <v>84461</v>
      </c>
      <c r="M111" s="54">
        <f t="shared" ref="M111:V111" si="169">M112+M127</f>
        <v>89179</v>
      </c>
      <c r="N111" s="54">
        <f t="shared" si="169"/>
        <v>79764</v>
      </c>
      <c r="O111" s="54">
        <f t="shared" si="169"/>
        <v>97943</v>
      </c>
      <c r="P111" s="54">
        <f t="shared" si="169"/>
        <v>115871</v>
      </c>
      <c r="Q111" s="54">
        <f t="shared" si="169"/>
        <v>144952</v>
      </c>
      <c r="R111" s="54">
        <f t="shared" si="169"/>
        <v>156899</v>
      </c>
      <c r="S111" s="54">
        <f t="shared" si="169"/>
        <v>162275</v>
      </c>
      <c r="T111" s="54">
        <f t="shared" si="169"/>
        <v>217358</v>
      </c>
      <c r="U111" s="54">
        <f t="shared" si="169"/>
        <v>225150</v>
      </c>
      <c r="V111" s="54">
        <f t="shared" si="169"/>
        <v>165102</v>
      </c>
      <c r="W111" s="54">
        <f t="shared" ref="W111:Y111" si="170">W112+W127</f>
        <v>155059</v>
      </c>
      <c r="X111" s="54">
        <f t="shared" si="170"/>
        <v>157482</v>
      </c>
      <c r="Y111" s="54">
        <f t="shared" si="170"/>
        <v>220978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115590</v>
      </c>
      <c r="C112" s="28">
        <f t="shared" si="171"/>
        <v>146649</v>
      </c>
      <c r="D112" s="28">
        <f t="shared" si="171"/>
        <v>129167</v>
      </c>
      <c r="E112" s="28">
        <f t="shared" si="171"/>
        <v>153470</v>
      </c>
      <c r="F112" s="28">
        <f t="shared" si="171"/>
        <v>154153</v>
      </c>
      <c r="G112" s="28">
        <f t="shared" si="171"/>
        <v>161607</v>
      </c>
      <c r="H112" s="28">
        <f t="shared" si="171"/>
        <v>189824</v>
      </c>
      <c r="I112" s="28">
        <f t="shared" si="171"/>
        <v>174557</v>
      </c>
      <c r="J112" s="28">
        <f t="shared" si="171"/>
        <v>158955</v>
      </c>
      <c r="K112" s="28">
        <f t="shared" si="171"/>
        <v>108916</v>
      </c>
      <c r="L112" s="28">
        <f t="shared" ref="L112" si="172">L113+L114+L121</f>
        <v>80274</v>
      </c>
      <c r="M112" s="28">
        <f t="shared" ref="M112:V112" si="173">M113+M114+M121</f>
        <v>82581</v>
      </c>
      <c r="N112" s="28">
        <f t="shared" si="173"/>
        <v>73311</v>
      </c>
      <c r="O112" s="28">
        <f t="shared" si="173"/>
        <v>87874</v>
      </c>
      <c r="P112" s="28">
        <f t="shared" si="173"/>
        <v>105605</v>
      </c>
      <c r="Q112" s="28">
        <f t="shared" si="173"/>
        <v>111979</v>
      </c>
      <c r="R112" s="28">
        <f t="shared" si="173"/>
        <v>136857</v>
      </c>
      <c r="S112" s="28">
        <f t="shared" si="173"/>
        <v>138566</v>
      </c>
      <c r="T112" s="28">
        <f t="shared" si="173"/>
        <v>192429</v>
      </c>
      <c r="U112" s="28">
        <f t="shared" si="173"/>
        <v>201146</v>
      </c>
      <c r="V112" s="28">
        <f t="shared" si="173"/>
        <v>144645</v>
      </c>
      <c r="W112" s="28">
        <f t="shared" ref="W112:Y112" si="174">W113+W114+W121</f>
        <v>131735</v>
      </c>
      <c r="X112" s="28">
        <f t="shared" si="174"/>
        <v>133585</v>
      </c>
      <c r="Y112" s="28">
        <f t="shared" si="174"/>
        <v>193074</v>
      </c>
      <c r="DA112" s="173" t="s">
        <v>527</v>
      </c>
    </row>
    <row r="113" spans="1:105" ht="11.45" customHeight="1" x14ac:dyDescent="0.25">
      <c r="A113" s="136" t="s">
        <v>173</v>
      </c>
      <c r="B113" s="137">
        <v>0</v>
      </c>
      <c r="C113" s="137">
        <v>1144</v>
      </c>
      <c r="D113" s="137">
        <v>7414</v>
      </c>
      <c r="E113" s="137">
        <v>21385</v>
      </c>
      <c r="F113" s="137">
        <v>21679</v>
      </c>
      <c r="G113" s="137">
        <v>23373</v>
      </c>
      <c r="H113" s="137">
        <v>25088</v>
      </c>
      <c r="I113" s="137">
        <v>12564</v>
      </c>
      <c r="J113" s="137">
        <v>12335</v>
      </c>
      <c r="K113" s="137">
        <v>6706</v>
      </c>
      <c r="L113" s="137">
        <v>3991</v>
      </c>
      <c r="M113" s="137">
        <v>3816</v>
      </c>
      <c r="N113" s="137">
        <v>4207</v>
      </c>
      <c r="O113" s="137">
        <v>3143</v>
      </c>
      <c r="P113" s="137">
        <v>3437</v>
      </c>
      <c r="Q113" s="137">
        <v>4134</v>
      </c>
      <c r="R113" s="137">
        <v>5236</v>
      </c>
      <c r="S113" s="137">
        <v>6210</v>
      </c>
      <c r="T113" s="137">
        <v>8480</v>
      </c>
      <c r="U113" s="137">
        <v>10030</v>
      </c>
      <c r="V113" s="137">
        <v>8359</v>
      </c>
      <c r="W113" s="137">
        <v>6947</v>
      </c>
      <c r="X113" s="137">
        <v>12526</v>
      </c>
      <c r="Y113" s="137">
        <v>12981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115139</v>
      </c>
      <c r="C114" s="110">
        <f t="shared" si="175"/>
        <v>144974</v>
      </c>
      <c r="D114" s="110">
        <f t="shared" si="175"/>
        <v>121235</v>
      </c>
      <c r="E114" s="110">
        <f t="shared" si="175"/>
        <v>131515</v>
      </c>
      <c r="F114" s="110">
        <f t="shared" si="175"/>
        <v>131905</v>
      </c>
      <c r="G114" s="110">
        <f t="shared" si="175"/>
        <v>137657</v>
      </c>
      <c r="H114" s="110">
        <f t="shared" si="175"/>
        <v>164135</v>
      </c>
      <c r="I114" s="110">
        <f t="shared" si="175"/>
        <v>161225</v>
      </c>
      <c r="J114" s="110">
        <f t="shared" si="175"/>
        <v>145979</v>
      </c>
      <c r="K114" s="110">
        <f t="shared" si="175"/>
        <v>101649</v>
      </c>
      <c r="L114" s="110">
        <f t="shared" ref="L114" si="176">SUM(L115:L120)</f>
        <v>75894</v>
      </c>
      <c r="M114" s="110">
        <f t="shared" ref="M114:V114" si="177">SUM(M115:M120)</f>
        <v>78238</v>
      </c>
      <c r="N114" s="110">
        <f t="shared" si="177"/>
        <v>68715</v>
      </c>
      <c r="O114" s="110">
        <f t="shared" si="177"/>
        <v>83983</v>
      </c>
      <c r="P114" s="110">
        <f t="shared" si="177"/>
        <v>101208</v>
      </c>
      <c r="Q114" s="110">
        <f t="shared" si="177"/>
        <v>107107</v>
      </c>
      <c r="R114" s="110">
        <f t="shared" si="177"/>
        <v>131122</v>
      </c>
      <c r="S114" s="110">
        <f t="shared" si="177"/>
        <v>131879</v>
      </c>
      <c r="T114" s="110">
        <f t="shared" si="177"/>
        <v>183452</v>
      </c>
      <c r="U114" s="110">
        <f t="shared" si="177"/>
        <v>190600</v>
      </c>
      <c r="V114" s="110">
        <f t="shared" si="177"/>
        <v>136214</v>
      </c>
      <c r="W114" s="110">
        <f t="shared" ref="W114:Y114" si="178">SUM(W115:W120)</f>
        <v>124144</v>
      </c>
      <c r="X114" s="110">
        <f t="shared" si="178"/>
        <v>119948</v>
      </c>
      <c r="Y114" s="110">
        <f t="shared" si="178"/>
        <v>179248</v>
      </c>
      <c r="DA114" s="176" t="s">
        <v>529</v>
      </c>
    </row>
    <row r="115" spans="1:105" ht="11.45" customHeight="1" x14ac:dyDescent="0.25">
      <c r="A115" s="111" t="s">
        <v>110</v>
      </c>
      <c r="B115" s="84">
        <v>90999</v>
      </c>
      <c r="C115" s="84">
        <v>93314</v>
      </c>
      <c r="D115" s="84">
        <v>78930</v>
      </c>
      <c r="E115" s="84">
        <v>77042</v>
      </c>
      <c r="F115" s="84">
        <v>69126</v>
      </c>
      <c r="G115" s="84">
        <v>72674</v>
      </c>
      <c r="H115" s="84">
        <v>84163</v>
      </c>
      <c r="I115" s="84">
        <v>79200</v>
      </c>
      <c r="J115" s="84">
        <v>78088</v>
      </c>
      <c r="K115" s="84">
        <v>51703</v>
      </c>
      <c r="L115" s="84">
        <v>45263</v>
      </c>
      <c r="M115" s="84">
        <v>42610</v>
      </c>
      <c r="N115" s="84">
        <v>34405</v>
      </c>
      <c r="O115" s="84">
        <v>34829</v>
      </c>
      <c r="P115" s="84">
        <v>32970</v>
      </c>
      <c r="Q115" s="84">
        <v>32182</v>
      </c>
      <c r="R115" s="84">
        <v>36097</v>
      </c>
      <c r="S115" s="84">
        <v>36589</v>
      </c>
      <c r="T115" s="84">
        <v>56088</v>
      </c>
      <c r="U115" s="84">
        <v>62331</v>
      </c>
      <c r="V115" s="84">
        <v>42581</v>
      </c>
      <c r="W115" s="84">
        <v>45051</v>
      </c>
      <c r="X115" s="84">
        <v>50465</v>
      </c>
      <c r="Y115" s="84">
        <v>86809</v>
      </c>
      <c r="DA115" s="171" t="s">
        <v>530</v>
      </c>
    </row>
    <row r="116" spans="1:105" ht="11.45" customHeight="1" x14ac:dyDescent="0.25">
      <c r="A116" s="111" t="s">
        <v>111</v>
      </c>
      <c r="B116" s="84">
        <v>24140</v>
      </c>
      <c r="C116" s="84">
        <v>48570</v>
      </c>
      <c r="D116" s="84">
        <v>40814</v>
      </c>
      <c r="E116" s="84">
        <v>52997</v>
      </c>
      <c r="F116" s="84">
        <v>57313</v>
      </c>
      <c r="G116" s="84">
        <v>56719</v>
      </c>
      <c r="H116" s="84">
        <v>59037</v>
      </c>
      <c r="I116" s="84">
        <v>60194</v>
      </c>
      <c r="J116" s="84">
        <v>45032</v>
      </c>
      <c r="K116" s="84">
        <v>31002</v>
      </c>
      <c r="L116" s="84">
        <v>30480</v>
      </c>
      <c r="M116" s="84">
        <v>35519</v>
      </c>
      <c r="N116" s="84">
        <v>34166</v>
      </c>
      <c r="O116" s="84">
        <v>48978</v>
      </c>
      <c r="P116" s="84">
        <v>63001</v>
      </c>
      <c r="Q116" s="84">
        <v>69807</v>
      </c>
      <c r="R116" s="84">
        <v>88660</v>
      </c>
      <c r="S116" s="84">
        <v>86746</v>
      </c>
      <c r="T116" s="84">
        <v>114175</v>
      </c>
      <c r="U116" s="84">
        <v>116613</v>
      </c>
      <c r="V116" s="84">
        <v>82006</v>
      </c>
      <c r="W116" s="84">
        <v>65661</v>
      </c>
      <c r="X116" s="84">
        <v>64982</v>
      </c>
      <c r="Y116" s="84">
        <v>87442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3090</v>
      </c>
      <c r="D117" s="84">
        <v>1491</v>
      </c>
      <c r="E117" s="84">
        <v>1476</v>
      </c>
      <c r="F117" s="84">
        <v>5466</v>
      </c>
      <c r="G117" s="84">
        <v>8264</v>
      </c>
      <c r="H117" s="84">
        <v>20935</v>
      </c>
      <c r="I117" s="84">
        <v>21831</v>
      </c>
      <c r="J117" s="84">
        <v>22859</v>
      </c>
      <c r="K117" s="84">
        <v>18880</v>
      </c>
      <c r="L117" s="84">
        <v>139</v>
      </c>
      <c r="M117" s="84">
        <v>109</v>
      </c>
      <c r="N117" s="84">
        <v>101</v>
      </c>
      <c r="O117" s="84">
        <v>166</v>
      </c>
      <c r="P117" s="84">
        <v>5172</v>
      </c>
      <c r="Q117" s="84">
        <v>4993</v>
      </c>
      <c r="R117" s="84">
        <v>6256</v>
      </c>
      <c r="S117" s="84">
        <v>8437</v>
      </c>
      <c r="T117" s="84">
        <v>12969</v>
      </c>
      <c r="U117" s="84">
        <v>11258</v>
      </c>
      <c r="V117" s="84">
        <v>10624</v>
      </c>
      <c r="W117" s="84">
        <v>11222</v>
      </c>
      <c r="X117" s="84">
        <v>1805</v>
      </c>
      <c r="Y117" s="84">
        <v>1721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64</v>
      </c>
      <c r="L118" s="84">
        <v>12</v>
      </c>
      <c r="M118" s="84">
        <v>0</v>
      </c>
      <c r="N118" s="84">
        <v>10</v>
      </c>
      <c r="O118" s="84">
        <v>5</v>
      </c>
      <c r="P118" s="84">
        <v>13</v>
      </c>
      <c r="Q118" s="84">
        <v>0</v>
      </c>
      <c r="R118" s="84">
        <v>10</v>
      </c>
      <c r="S118" s="84">
        <v>31</v>
      </c>
      <c r="T118" s="84">
        <v>8</v>
      </c>
      <c r="U118" s="84">
        <v>3</v>
      </c>
      <c r="V118" s="84">
        <v>1</v>
      </c>
      <c r="W118" s="84">
        <v>2</v>
      </c>
      <c r="X118" s="84">
        <v>2</v>
      </c>
      <c r="Y118" s="84">
        <v>0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0</v>
      </c>
      <c r="P119" s="84">
        <v>5</v>
      </c>
      <c r="Q119" s="84">
        <v>43</v>
      </c>
      <c r="R119" s="84">
        <v>29</v>
      </c>
      <c r="S119" s="84">
        <v>21</v>
      </c>
      <c r="T119" s="84">
        <v>30</v>
      </c>
      <c r="U119" s="84">
        <v>116</v>
      </c>
      <c r="V119" s="84">
        <v>363</v>
      </c>
      <c r="W119" s="84">
        <v>565</v>
      </c>
      <c r="X119" s="84">
        <v>870</v>
      </c>
      <c r="Y119" s="84">
        <v>1019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33</v>
      </c>
      <c r="O120" s="84">
        <v>5</v>
      </c>
      <c r="P120" s="84">
        <v>47</v>
      </c>
      <c r="Q120" s="84">
        <v>82</v>
      </c>
      <c r="R120" s="84">
        <v>70</v>
      </c>
      <c r="S120" s="84">
        <v>55</v>
      </c>
      <c r="T120" s="84">
        <v>182</v>
      </c>
      <c r="U120" s="84">
        <v>279</v>
      </c>
      <c r="V120" s="84">
        <v>639</v>
      </c>
      <c r="W120" s="84">
        <v>1643</v>
      </c>
      <c r="X120" s="84">
        <v>1824</v>
      </c>
      <c r="Y120" s="84">
        <v>2257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451</v>
      </c>
      <c r="C121" s="110">
        <f t="shared" si="179"/>
        <v>531</v>
      </c>
      <c r="D121" s="110">
        <f t="shared" si="179"/>
        <v>518</v>
      </c>
      <c r="E121" s="110">
        <f t="shared" si="179"/>
        <v>570</v>
      </c>
      <c r="F121" s="110">
        <f t="shared" si="179"/>
        <v>569</v>
      </c>
      <c r="G121" s="110">
        <f t="shared" si="179"/>
        <v>577</v>
      </c>
      <c r="H121" s="110">
        <f t="shared" si="179"/>
        <v>601</v>
      </c>
      <c r="I121" s="110">
        <f t="shared" si="179"/>
        <v>768</v>
      </c>
      <c r="J121" s="110">
        <f t="shared" si="179"/>
        <v>641</v>
      </c>
      <c r="K121" s="110">
        <f t="shared" si="179"/>
        <v>561</v>
      </c>
      <c r="L121" s="110">
        <f t="shared" ref="L121" si="180">SUM(L122:L126)</f>
        <v>389</v>
      </c>
      <c r="M121" s="110">
        <f t="shared" ref="M121:V121" si="181">SUM(M122:M126)</f>
        <v>527</v>
      </c>
      <c r="N121" s="110">
        <f t="shared" si="181"/>
        <v>389</v>
      </c>
      <c r="O121" s="110">
        <f t="shared" si="181"/>
        <v>748</v>
      </c>
      <c r="P121" s="110">
        <f t="shared" si="181"/>
        <v>960</v>
      </c>
      <c r="Q121" s="110">
        <f t="shared" si="181"/>
        <v>738</v>
      </c>
      <c r="R121" s="110">
        <f t="shared" si="181"/>
        <v>499</v>
      </c>
      <c r="S121" s="110">
        <f t="shared" si="181"/>
        <v>477</v>
      </c>
      <c r="T121" s="110">
        <f t="shared" si="181"/>
        <v>497</v>
      </c>
      <c r="U121" s="110">
        <f t="shared" si="181"/>
        <v>516</v>
      </c>
      <c r="V121" s="110">
        <f t="shared" si="181"/>
        <v>72</v>
      </c>
      <c r="W121" s="110">
        <f t="shared" ref="W121:Y121" si="182">SUM(W122:W126)</f>
        <v>644</v>
      </c>
      <c r="X121" s="110">
        <f t="shared" si="182"/>
        <v>1111</v>
      </c>
      <c r="Y121" s="110">
        <f t="shared" si="182"/>
        <v>845</v>
      </c>
      <c r="DA121" s="176" t="s">
        <v>536</v>
      </c>
    </row>
    <row r="122" spans="1:105" ht="11.45" customHeight="1" x14ac:dyDescent="0.25">
      <c r="A122" s="111" t="s">
        <v>110</v>
      </c>
      <c r="B122" s="102">
        <v>1</v>
      </c>
      <c r="C122" s="102">
        <v>4</v>
      </c>
      <c r="D122" s="102">
        <v>4</v>
      </c>
      <c r="E122" s="102">
        <v>1</v>
      </c>
      <c r="F122" s="102">
        <v>1</v>
      </c>
      <c r="G122" s="102">
        <v>3</v>
      </c>
      <c r="H122" s="102">
        <v>4</v>
      </c>
      <c r="I122" s="102">
        <v>0</v>
      </c>
      <c r="J122" s="102">
        <v>7</v>
      </c>
      <c r="K122" s="102">
        <v>0</v>
      </c>
      <c r="L122" s="102">
        <v>1</v>
      </c>
      <c r="M122" s="102">
        <v>0</v>
      </c>
      <c r="N122" s="102">
        <v>2</v>
      </c>
      <c r="O122" s="102">
        <v>9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X122" s="102">
        <v>0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450</v>
      </c>
      <c r="C123" s="102">
        <v>527</v>
      </c>
      <c r="D123" s="102">
        <v>514</v>
      </c>
      <c r="E123" s="102">
        <v>569</v>
      </c>
      <c r="F123" s="102">
        <v>568</v>
      </c>
      <c r="G123" s="102">
        <v>574</v>
      </c>
      <c r="H123" s="102">
        <v>597</v>
      </c>
      <c r="I123" s="102">
        <v>767</v>
      </c>
      <c r="J123" s="102">
        <v>634</v>
      </c>
      <c r="K123" s="102">
        <v>503</v>
      </c>
      <c r="L123" s="102">
        <v>384</v>
      </c>
      <c r="M123" s="102">
        <v>525</v>
      </c>
      <c r="N123" s="102">
        <v>378</v>
      </c>
      <c r="O123" s="102">
        <v>649</v>
      </c>
      <c r="P123" s="102">
        <v>781</v>
      </c>
      <c r="Q123" s="102">
        <v>736</v>
      </c>
      <c r="R123" s="102">
        <v>498</v>
      </c>
      <c r="S123" s="102">
        <v>457</v>
      </c>
      <c r="T123" s="102">
        <v>497</v>
      </c>
      <c r="U123" s="102">
        <v>515</v>
      </c>
      <c r="V123" s="102">
        <v>49</v>
      </c>
      <c r="W123" s="102">
        <v>641</v>
      </c>
      <c r="X123" s="102">
        <v>1107</v>
      </c>
      <c r="Y123" s="102">
        <v>844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1</v>
      </c>
      <c r="J124" s="102">
        <v>0</v>
      </c>
      <c r="K124" s="102">
        <v>0</v>
      </c>
      <c r="L124" s="102">
        <v>0</v>
      </c>
      <c r="M124" s="102">
        <v>1</v>
      </c>
      <c r="N124" s="102">
        <v>0</v>
      </c>
      <c r="O124" s="102">
        <v>11</v>
      </c>
      <c r="P124" s="102">
        <v>2</v>
      </c>
      <c r="Q124" s="102">
        <v>0</v>
      </c>
      <c r="R124" s="102">
        <v>0</v>
      </c>
      <c r="S124" s="102">
        <v>0</v>
      </c>
      <c r="T124" s="102">
        <v>0</v>
      </c>
      <c r="U124" s="102">
        <v>1</v>
      </c>
      <c r="V124" s="102">
        <v>3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58</v>
      </c>
      <c r="L125" s="102">
        <v>4</v>
      </c>
      <c r="M125" s="102">
        <v>1</v>
      </c>
      <c r="N125" s="102">
        <v>9</v>
      </c>
      <c r="O125" s="102">
        <v>79</v>
      </c>
      <c r="P125" s="102">
        <v>177</v>
      </c>
      <c r="Q125" s="102">
        <v>0</v>
      </c>
      <c r="R125" s="102">
        <v>0</v>
      </c>
      <c r="S125" s="102">
        <v>20</v>
      </c>
      <c r="T125" s="102">
        <v>0</v>
      </c>
      <c r="U125" s="102">
        <v>0</v>
      </c>
      <c r="V125" s="102">
        <v>20</v>
      </c>
      <c r="W125" s="102">
        <v>0</v>
      </c>
      <c r="X125" s="102">
        <v>0</v>
      </c>
      <c r="Y125" s="102">
        <v>0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2</v>
      </c>
      <c r="R126" s="102">
        <v>1</v>
      </c>
      <c r="S126" s="102">
        <v>0</v>
      </c>
      <c r="T126" s="102">
        <v>0</v>
      </c>
      <c r="U126" s="102">
        <v>0</v>
      </c>
      <c r="V126" s="102">
        <v>0</v>
      </c>
      <c r="W126" s="102">
        <v>3</v>
      </c>
      <c r="X126" s="102">
        <v>4</v>
      </c>
      <c r="Y126" s="102">
        <v>1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4434</v>
      </c>
      <c r="C127" s="28">
        <f t="shared" si="183"/>
        <v>29897</v>
      </c>
      <c r="D127" s="28">
        <f t="shared" si="183"/>
        <v>15397</v>
      </c>
      <c r="E127" s="28">
        <f t="shared" si="183"/>
        <v>17099</v>
      </c>
      <c r="F127" s="28">
        <f t="shared" si="183"/>
        <v>14838</v>
      </c>
      <c r="G127" s="28">
        <f t="shared" si="183"/>
        <v>12600</v>
      </c>
      <c r="H127" s="28">
        <f t="shared" si="183"/>
        <v>21744</v>
      </c>
      <c r="I127" s="28">
        <f t="shared" si="183"/>
        <v>12781</v>
      </c>
      <c r="J127" s="28">
        <f t="shared" si="183"/>
        <v>15735</v>
      </c>
      <c r="K127" s="28">
        <f t="shared" si="183"/>
        <v>5366</v>
      </c>
      <c r="L127" s="28">
        <f t="shared" ref="L127" si="184">L128+L134</f>
        <v>4187</v>
      </c>
      <c r="M127" s="28">
        <f t="shared" ref="M127:V127" si="185">M128+M134</f>
        <v>6598</v>
      </c>
      <c r="N127" s="28">
        <f t="shared" si="185"/>
        <v>6453</v>
      </c>
      <c r="O127" s="28">
        <f t="shared" si="185"/>
        <v>10069</v>
      </c>
      <c r="P127" s="28">
        <f t="shared" si="185"/>
        <v>10266</v>
      </c>
      <c r="Q127" s="28">
        <f t="shared" si="185"/>
        <v>32973</v>
      </c>
      <c r="R127" s="28">
        <f t="shared" si="185"/>
        <v>20042</v>
      </c>
      <c r="S127" s="28">
        <f t="shared" si="185"/>
        <v>23709</v>
      </c>
      <c r="T127" s="28">
        <f t="shared" si="185"/>
        <v>24929</v>
      </c>
      <c r="U127" s="28">
        <f t="shared" si="185"/>
        <v>24004</v>
      </c>
      <c r="V127" s="28">
        <f t="shared" si="185"/>
        <v>20457</v>
      </c>
      <c r="W127" s="28">
        <f t="shared" ref="W127:Y127" si="186">W128+W134</f>
        <v>23324</v>
      </c>
      <c r="X127" s="28">
        <f t="shared" si="186"/>
        <v>23897</v>
      </c>
      <c r="Y127" s="28">
        <f t="shared" si="186"/>
        <v>27904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4071</v>
      </c>
      <c r="C128" s="137">
        <f t="shared" si="187"/>
        <v>14997</v>
      </c>
      <c r="D128" s="137">
        <f t="shared" si="187"/>
        <v>9782</v>
      </c>
      <c r="E128" s="137">
        <f t="shared" si="187"/>
        <v>10679</v>
      </c>
      <c r="F128" s="137">
        <f t="shared" si="187"/>
        <v>10106</v>
      </c>
      <c r="G128" s="137">
        <f t="shared" si="187"/>
        <v>10180</v>
      </c>
      <c r="H128" s="137">
        <f t="shared" si="187"/>
        <v>11006</v>
      </c>
      <c r="I128" s="137">
        <f t="shared" si="187"/>
        <v>9493</v>
      </c>
      <c r="J128" s="137">
        <f t="shared" si="187"/>
        <v>8688</v>
      </c>
      <c r="K128" s="137">
        <f t="shared" si="187"/>
        <v>4705</v>
      </c>
      <c r="L128" s="137">
        <f t="shared" ref="L128" si="188">SUM(L129:L133)</f>
        <v>3098</v>
      </c>
      <c r="M128" s="137">
        <f t="shared" ref="M128:V128" si="189">SUM(M129:M133)</f>
        <v>3355</v>
      </c>
      <c r="N128" s="137">
        <f t="shared" si="189"/>
        <v>3540</v>
      </c>
      <c r="O128" s="137">
        <f t="shared" si="189"/>
        <v>3723</v>
      </c>
      <c r="P128" s="137">
        <f t="shared" si="189"/>
        <v>3956</v>
      </c>
      <c r="Q128" s="137">
        <f t="shared" si="189"/>
        <v>25773</v>
      </c>
      <c r="R128" s="137">
        <f t="shared" si="189"/>
        <v>16306</v>
      </c>
      <c r="S128" s="137">
        <f t="shared" si="189"/>
        <v>16837</v>
      </c>
      <c r="T128" s="137">
        <f t="shared" si="189"/>
        <v>18583</v>
      </c>
      <c r="U128" s="137">
        <f t="shared" si="189"/>
        <v>18090</v>
      </c>
      <c r="V128" s="137">
        <f t="shared" si="189"/>
        <v>15040</v>
      </c>
      <c r="W128" s="137">
        <f t="shared" ref="W128:Y128" si="190">SUM(W129:W133)</f>
        <v>17401</v>
      </c>
      <c r="X128" s="137">
        <f t="shared" si="190"/>
        <v>17164</v>
      </c>
      <c r="Y128" s="137">
        <f t="shared" si="190"/>
        <v>20382</v>
      </c>
      <c r="DA128" s="174" t="s">
        <v>543</v>
      </c>
    </row>
    <row r="129" spans="1:105" ht="11.45" customHeight="1" x14ac:dyDescent="0.25">
      <c r="A129" s="111" t="s">
        <v>110</v>
      </c>
      <c r="B129" s="84">
        <v>501</v>
      </c>
      <c r="C129" s="84">
        <v>2275</v>
      </c>
      <c r="D129" s="84">
        <v>642</v>
      </c>
      <c r="E129" s="84">
        <v>467</v>
      </c>
      <c r="F129" s="84">
        <v>291</v>
      </c>
      <c r="G129" s="84">
        <v>316</v>
      </c>
      <c r="H129" s="84">
        <v>589</v>
      </c>
      <c r="I129" s="84">
        <v>535</v>
      </c>
      <c r="J129" s="84">
        <v>613</v>
      </c>
      <c r="K129" s="84">
        <v>406</v>
      </c>
      <c r="L129" s="84">
        <v>249</v>
      </c>
      <c r="M129" s="84">
        <v>181</v>
      </c>
      <c r="N129" s="84">
        <v>131</v>
      </c>
      <c r="O129" s="84">
        <v>118</v>
      </c>
      <c r="P129" s="84">
        <v>124</v>
      </c>
      <c r="Q129" s="84">
        <v>291</v>
      </c>
      <c r="R129" s="84">
        <v>346</v>
      </c>
      <c r="S129" s="84">
        <v>453</v>
      </c>
      <c r="T129" s="84">
        <v>382</v>
      </c>
      <c r="U129" s="84">
        <v>350</v>
      </c>
      <c r="V129" s="84">
        <v>242</v>
      </c>
      <c r="W129" s="84">
        <v>432</v>
      </c>
      <c r="X129" s="84">
        <v>515</v>
      </c>
      <c r="Y129" s="84">
        <v>622</v>
      </c>
      <c r="DA129" s="171" t="s">
        <v>544</v>
      </c>
    </row>
    <row r="130" spans="1:105" ht="11.45" customHeight="1" x14ac:dyDescent="0.25">
      <c r="A130" s="111" t="s">
        <v>111</v>
      </c>
      <c r="B130" s="84">
        <v>3570</v>
      </c>
      <c r="C130" s="84">
        <v>12722</v>
      </c>
      <c r="D130" s="84">
        <v>9140</v>
      </c>
      <c r="E130" s="84">
        <v>10210</v>
      </c>
      <c r="F130" s="84">
        <v>9815</v>
      </c>
      <c r="G130" s="84">
        <v>9863</v>
      </c>
      <c r="H130" s="84">
        <v>10417</v>
      </c>
      <c r="I130" s="84">
        <v>8760</v>
      </c>
      <c r="J130" s="84">
        <v>7761</v>
      </c>
      <c r="K130" s="84">
        <v>4124</v>
      </c>
      <c r="L130" s="84">
        <v>2814</v>
      </c>
      <c r="M130" s="84">
        <v>3166</v>
      </c>
      <c r="N130" s="84">
        <v>3382</v>
      </c>
      <c r="O130" s="84">
        <v>3539</v>
      </c>
      <c r="P130" s="84">
        <v>3760</v>
      </c>
      <c r="Q130" s="84">
        <v>25385</v>
      </c>
      <c r="R130" s="84">
        <v>15856</v>
      </c>
      <c r="S130" s="84">
        <v>16263</v>
      </c>
      <c r="T130" s="84">
        <v>18097</v>
      </c>
      <c r="U130" s="84">
        <v>17623</v>
      </c>
      <c r="V130" s="84">
        <v>14713</v>
      </c>
      <c r="W130" s="84">
        <v>16788</v>
      </c>
      <c r="X130" s="84">
        <v>16331</v>
      </c>
      <c r="Y130" s="84">
        <v>19498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198</v>
      </c>
      <c r="J131" s="84">
        <v>312</v>
      </c>
      <c r="K131" s="84">
        <v>131</v>
      </c>
      <c r="L131" s="84">
        <v>27</v>
      </c>
      <c r="M131" s="84">
        <v>5</v>
      </c>
      <c r="N131" s="84">
        <v>4</v>
      </c>
      <c r="O131" s="84">
        <v>66</v>
      </c>
      <c r="P131" s="84">
        <v>66</v>
      </c>
      <c r="Q131" s="84">
        <v>65</v>
      </c>
      <c r="R131" s="84">
        <v>80</v>
      </c>
      <c r="S131" s="84">
        <v>91</v>
      </c>
      <c r="T131" s="84">
        <v>69</v>
      </c>
      <c r="U131" s="84">
        <v>77</v>
      </c>
      <c r="V131" s="84">
        <v>36</v>
      </c>
      <c r="W131" s="84">
        <v>99</v>
      </c>
      <c r="X131" s="84">
        <v>74</v>
      </c>
      <c r="Y131" s="84">
        <v>70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43</v>
      </c>
      <c r="L132" s="84">
        <v>8</v>
      </c>
      <c r="M132" s="84">
        <v>3</v>
      </c>
      <c r="N132" s="84">
        <v>21</v>
      </c>
      <c r="O132" s="84">
        <v>0</v>
      </c>
      <c r="P132" s="84">
        <v>5</v>
      </c>
      <c r="Q132" s="84">
        <v>4</v>
      </c>
      <c r="R132" s="84">
        <v>7</v>
      </c>
      <c r="S132" s="84">
        <v>18</v>
      </c>
      <c r="T132" s="84">
        <v>5</v>
      </c>
      <c r="U132" s="84">
        <v>1</v>
      </c>
      <c r="V132" s="84">
        <v>3</v>
      </c>
      <c r="W132" s="84">
        <v>4</v>
      </c>
      <c r="X132" s="84">
        <v>2</v>
      </c>
      <c r="Y132" s="84">
        <v>2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2</v>
      </c>
      <c r="F133" s="84">
        <v>0</v>
      </c>
      <c r="G133" s="84">
        <v>1</v>
      </c>
      <c r="H133" s="84">
        <v>0</v>
      </c>
      <c r="I133" s="84">
        <v>0</v>
      </c>
      <c r="J133" s="84">
        <v>2</v>
      </c>
      <c r="K133" s="84">
        <v>1</v>
      </c>
      <c r="L133" s="84">
        <v>0</v>
      </c>
      <c r="M133" s="84">
        <v>0</v>
      </c>
      <c r="N133" s="84">
        <v>2</v>
      </c>
      <c r="O133" s="84">
        <v>0</v>
      </c>
      <c r="P133" s="84">
        <v>1</v>
      </c>
      <c r="Q133" s="84">
        <v>28</v>
      </c>
      <c r="R133" s="84">
        <v>17</v>
      </c>
      <c r="S133" s="84">
        <v>12</v>
      </c>
      <c r="T133" s="84">
        <v>30</v>
      </c>
      <c r="U133" s="84">
        <v>39</v>
      </c>
      <c r="V133" s="84">
        <v>46</v>
      </c>
      <c r="W133" s="84">
        <v>78</v>
      </c>
      <c r="X133" s="84">
        <v>242</v>
      </c>
      <c r="Y133" s="84">
        <v>190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363</v>
      </c>
      <c r="C134" s="110">
        <f t="shared" si="191"/>
        <v>14900</v>
      </c>
      <c r="D134" s="110">
        <f t="shared" si="191"/>
        <v>5615</v>
      </c>
      <c r="E134" s="110">
        <f t="shared" si="191"/>
        <v>6420</v>
      </c>
      <c r="F134" s="110">
        <f t="shared" si="191"/>
        <v>4732</v>
      </c>
      <c r="G134" s="110">
        <f t="shared" si="191"/>
        <v>2420</v>
      </c>
      <c r="H134" s="110">
        <f t="shared" si="191"/>
        <v>10738</v>
      </c>
      <c r="I134" s="110">
        <f t="shared" si="191"/>
        <v>3288</v>
      </c>
      <c r="J134" s="110">
        <f t="shared" si="191"/>
        <v>7047</v>
      </c>
      <c r="K134" s="110">
        <f t="shared" si="191"/>
        <v>661</v>
      </c>
      <c r="L134" s="110">
        <f t="shared" ref="L134" si="192">SUM(L135:L136)</f>
        <v>1089</v>
      </c>
      <c r="M134" s="110">
        <f t="shared" ref="M134:V134" si="193">SUM(M135:M136)</f>
        <v>3243</v>
      </c>
      <c r="N134" s="110">
        <f t="shared" si="193"/>
        <v>2913</v>
      </c>
      <c r="O134" s="110">
        <f t="shared" si="193"/>
        <v>6346</v>
      </c>
      <c r="P134" s="110">
        <f t="shared" si="193"/>
        <v>6310</v>
      </c>
      <c r="Q134" s="110">
        <f t="shared" si="193"/>
        <v>7200</v>
      </c>
      <c r="R134" s="110">
        <f t="shared" si="193"/>
        <v>3736</v>
      </c>
      <c r="S134" s="110">
        <f t="shared" si="193"/>
        <v>6872</v>
      </c>
      <c r="T134" s="110">
        <f t="shared" si="193"/>
        <v>6346</v>
      </c>
      <c r="U134" s="110">
        <f t="shared" si="193"/>
        <v>5914</v>
      </c>
      <c r="V134" s="110">
        <f t="shared" si="193"/>
        <v>5417</v>
      </c>
      <c r="W134" s="110">
        <f t="shared" ref="W134:Y134" si="194">SUM(W135:W136)</f>
        <v>5923</v>
      </c>
      <c r="X134" s="110">
        <f t="shared" si="194"/>
        <v>6733</v>
      </c>
      <c r="Y134" s="110">
        <f t="shared" si="194"/>
        <v>7522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14479</v>
      </c>
      <c r="D135" s="102">
        <v>5220</v>
      </c>
      <c r="E135" s="102">
        <v>6102</v>
      </c>
      <c r="F135" s="102">
        <v>3708</v>
      </c>
      <c r="G135" s="102">
        <v>1946</v>
      </c>
      <c r="H135" s="102">
        <v>10738</v>
      </c>
      <c r="I135" s="102">
        <v>2700</v>
      </c>
      <c r="J135" s="102">
        <v>7047</v>
      </c>
      <c r="K135" s="102">
        <v>661</v>
      </c>
      <c r="L135" s="102">
        <v>944</v>
      </c>
      <c r="M135" s="102">
        <v>3016</v>
      </c>
      <c r="N135" s="102">
        <v>2738</v>
      </c>
      <c r="O135" s="102">
        <v>5994</v>
      </c>
      <c r="P135" s="102">
        <v>5887</v>
      </c>
      <c r="Q135" s="102">
        <v>6479</v>
      </c>
      <c r="R135" s="102">
        <v>3373</v>
      </c>
      <c r="S135" s="102">
        <v>5778</v>
      </c>
      <c r="T135" s="102">
        <v>6091</v>
      </c>
      <c r="U135" s="102">
        <v>5914</v>
      </c>
      <c r="V135" s="102">
        <v>5012</v>
      </c>
      <c r="W135" s="102">
        <v>5918</v>
      </c>
      <c r="X135" s="102">
        <v>6271</v>
      </c>
      <c r="Y135" s="102">
        <v>6896</v>
      </c>
      <c r="DA135" s="175" t="s">
        <v>550</v>
      </c>
    </row>
    <row r="136" spans="1:105" ht="11.45" customHeight="1" x14ac:dyDescent="0.25">
      <c r="A136" s="138" t="s">
        <v>116</v>
      </c>
      <c r="B136" s="86">
        <v>363</v>
      </c>
      <c r="C136" s="86">
        <v>421</v>
      </c>
      <c r="D136" s="86">
        <v>395</v>
      </c>
      <c r="E136" s="86">
        <v>318</v>
      </c>
      <c r="F136" s="86">
        <v>1024</v>
      </c>
      <c r="G136" s="86">
        <v>474</v>
      </c>
      <c r="H136" s="86">
        <v>0</v>
      </c>
      <c r="I136" s="86">
        <v>588</v>
      </c>
      <c r="J136" s="86">
        <v>0</v>
      </c>
      <c r="K136" s="86">
        <v>0</v>
      </c>
      <c r="L136" s="86">
        <v>145</v>
      </c>
      <c r="M136" s="86">
        <v>227</v>
      </c>
      <c r="N136" s="86">
        <v>175</v>
      </c>
      <c r="O136" s="86">
        <v>352</v>
      </c>
      <c r="P136" s="86">
        <v>423</v>
      </c>
      <c r="Q136" s="86">
        <v>721</v>
      </c>
      <c r="R136" s="86">
        <v>363</v>
      </c>
      <c r="S136" s="86">
        <v>1094</v>
      </c>
      <c r="T136" s="86">
        <v>255</v>
      </c>
      <c r="U136" s="86">
        <v>0</v>
      </c>
      <c r="V136" s="86">
        <v>405</v>
      </c>
      <c r="W136" s="86">
        <v>5</v>
      </c>
      <c r="X136" s="86">
        <v>462</v>
      </c>
      <c r="Y136" s="86">
        <v>626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1.6371181107970105</v>
      </c>
      <c r="C141" s="32">
        <f t="shared" si="195"/>
        <v>1.6039770855350535</v>
      </c>
      <c r="D141" s="32">
        <f t="shared" si="195"/>
        <v>1.5891446806878076</v>
      </c>
      <c r="E141" s="32">
        <f t="shared" si="195"/>
        <v>1.5827519917919453</v>
      </c>
      <c r="F141" s="32">
        <f t="shared" si="195"/>
        <v>1.546028649014304</v>
      </c>
      <c r="G141" s="32">
        <f t="shared" si="195"/>
        <v>1.533532116463145</v>
      </c>
      <c r="H141" s="32">
        <f t="shared" si="195"/>
        <v>1.5502794811454181</v>
      </c>
      <c r="I141" s="32">
        <f t="shared" si="195"/>
        <v>1.53964157590906</v>
      </c>
      <c r="J141" s="32">
        <f t="shared" si="195"/>
        <v>1.4603372554624956</v>
      </c>
      <c r="K141" s="32">
        <f t="shared" si="195"/>
        <v>1.4539752780054793</v>
      </c>
      <c r="L141" s="32">
        <f t="shared" ref="L141" si="196">IF(L4=0,0,L4/L31)</f>
        <v>1.3975368605836429</v>
      </c>
      <c r="M141" s="32">
        <f t="shared" ref="M141:V141" si="197">IF(M4=0,0,M4/M31)</f>
        <v>1.3938442288815456</v>
      </c>
      <c r="N141" s="32">
        <f t="shared" si="197"/>
        <v>1.4837306258505683</v>
      </c>
      <c r="O141" s="32">
        <f t="shared" si="197"/>
        <v>1.4960830273231509</v>
      </c>
      <c r="P141" s="32">
        <f t="shared" si="197"/>
        <v>1.4763818913780042</v>
      </c>
      <c r="Q141" s="32">
        <f t="shared" si="197"/>
        <v>1.4393574659441564</v>
      </c>
      <c r="R141" s="32">
        <f t="shared" si="197"/>
        <v>1.3238033294668607</v>
      </c>
      <c r="S141" s="32">
        <f t="shared" si="197"/>
        <v>1.3011070778811451</v>
      </c>
      <c r="T141" s="32">
        <f t="shared" si="197"/>
        <v>1.2180149389604675</v>
      </c>
      <c r="U141" s="32">
        <f t="shared" si="197"/>
        <v>1.2645606263238656</v>
      </c>
      <c r="V141" s="32">
        <f t="shared" si="197"/>
        <v>1.1733147627131675</v>
      </c>
      <c r="W141" s="32">
        <f t="shared" ref="W141:Y141" si="198">IF(W4=0,0,W4/W31)</f>
        <v>1.1825067375450373</v>
      </c>
      <c r="X141" s="32">
        <f t="shared" si="198"/>
        <v>1.242623495580724</v>
      </c>
      <c r="Y141" s="32">
        <f t="shared" si="198"/>
        <v>1.2439740767958167</v>
      </c>
      <c r="DA141" s="173" t="s">
        <v>552</v>
      </c>
    </row>
    <row r="142" spans="1:105" ht="11.45" customHeight="1" x14ac:dyDescent="0.25">
      <c r="A142" s="136" t="s">
        <v>173</v>
      </c>
      <c r="B142" s="141">
        <v>1.2553774658444032</v>
      </c>
      <c r="C142" s="141">
        <v>1.2553533874184926</v>
      </c>
      <c r="D142" s="141">
        <v>1.255135253267107</v>
      </c>
      <c r="E142" s="141">
        <v>1.2556623718333508</v>
      </c>
      <c r="F142" s="141">
        <v>1.2558305278816395</v>
      </c>
      <c r="G142" s="141">
        <v>1.2546933399311635</v>
      </c>
      <c r="H142" s="141">
        <v>1.2550433301980775</v>
      </c>
      <c r="I142" s="141">
        <v>1.2570577601434429</v>
      </c>
      <c r="J142" s="141">
        <v>1.2577193193408636</v>
      </c>
      <c r="K142" s="141">
        <v>1.2583228872373537</v>
      </c>
      <c r="L142" s="141">
        <v>1.2561610992776306</v>
      </c>
      <c r="M142" s="141">
        <v>1.2550606993854205</v>
      </c>
      <c r="N142" s="141">
        <v>1.247314718902119</v>
      </c>
      <c r="O142" s="141">
        <v>1.2466730530574108</v>
      </c>
      <c r="P142" s="141">
        <v>1.2493799263382981</v>
      </c>
      <c r="Q142" s="141">
        <v>1.2515392607687454</v>
      </c>
      <c r="R142" s="141">
        <v>1.2524076367615999</v>
      </c>
      <c r="S142" s="141">
        <v>1.2466550406629719</v>
      </c>
      <c r="T142" s="141">
        <v>1.2433279368412178</v>
      </c>
      <c r="U142" s="141">
        <v>1.2421164493903818</v>
      </c>
      <c r="V142" s="141">
        <v>1.2384517451566441</v>
      </c>
      <c r="W142" s="141">
        <v>1.2354870853467008</v>
      </c>
      <c r="X142" s="141">
        <v>1.2217799264457838</v>
      </c>
      <c r="Y142" s="141">
        <v>1.2218865192863002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1.4401813824005385</v>
      </c>
      <c r="C143" s="130">
        <f t="shared" si="199"/>
        <v>1.4097106225615248</v>
      </c>
      <c r="D143" s="130">
        <f t="shared" si="199"/>
        <v>1.3991308732182792</v>
      </c>
      <c r="E143" s="130">
        <f t="shared" si="199"/>
        <v>1.388320730414869</v>
      </c>
      <c r="F143" s="130">
        <f t="shared" si="199"/>
        <v>1.3790608945162262</v>
      </c>
      <c r="G143" s="130">
        <f t="shared" si="199"/>
        <v>1.3698630136986298</v>
      </c>
      <c r="H143" s="130">
        <f t="shared" si="199"/>
        <v>1.3844279543692546</v>
      </c>
      <c r="I143" s="130">
        <f t="shared" si="199"/>
        <v>1.3676292672663195</v>
      </c>
      <c r="J143" s="130">
        <f t="shared" si="199"/>
        <v>1.2884138194311894</v>
      </c>
      <c r="K143" s="130">
        <f t="shared" si="199"/>
        <v>1.3095024243954789</v>
      </c>
      <c r="L143" s="130">
        <f t="shared" ref="L143" si="200">IF(L6=0,0,L6/L33)</f>
        <v>1.2603743595875607</v>
      </c>
      <c r="M143" s="130">
        <f t="shared" ref="M143:V143" si="201">IF(M6=0,0,M6/M33)</f>
        <v>1.2589063278116595</v>
      </c>
      <c r="N143" s="130">
        <f t="shared" si="201"/>
        <v>1.341161992702572</v>
      </c>
      <c r="O143" s="130">
        <f t="shared" si="201"/>
        <v>1.3407157549696529</v>
      </c>
      <c r="P143" s="130">
        <f t="shared" si="201"/>
        <v>1.3162901767881565</v>
      </c>
      <c r="Q143" s="130">
        <f t="shared" si="201"/>
        <v>1.2969032850629305</v>
      </c>
      <c r="R143" s="130">
        <f t="shared" si="201"/>
        <v>1.1735622394549288</v>
      </c>
      <c r="S143" s="130">
        <f t="shared" si="201"/>
        <v>1.1399904235406781</v>
      </c>
      <c r="T143" s="130">
        <f t="shared" si="201"/>
        <v>1.0743850222483418</v>
      </c>
      <c r="U143" s="130">
        <f t="shared" si="201"/>
        <v>1.1049078953098466</v>
      </c>
      <c r="V143" s="130">
        <f t="shared" si="201"/>
        <v>1.0745500423756451</v>
      </c>
      <c r="W143" s="130">
        <f t="shared" ref="W143:Y143" si="202">IF(W6=0,0,W6/W33)</f>
        <v>1.0825259632185811</v>
      </c>
      <c r="X143" s="130">
        <f t="shared" si="202"/>
        <v>1.1076908081858057</v>
      </c>
      <c r="Y143" s="130">
        <f t="shared" si="202"/>
        <v>1.1005084553265818</v>
      </c>
      <c r="DA143" s="176" t="s">
        <v>554</v>
      </c>
    </row>
    <row r="144" spans="1:105" ht="11.45" customHeight="1" x14ac:dyDescent="0.25">
      <c r="A144" s="111" t="s">
        <v>110</v>
      </c>
      <c r="B144" s="96">
        <v>1.4237349365447718</v>
      </c>
      <c r="C144" s="96">
        <v>1.3926706789465284</v>
      </c>
      <c r="D144" s="96">
        <v>1.3804040813541043</v>
      </c>
      <c r="E144" s="96">
        <v>1.3645876170144555</v>
      </c>
      <c r="F144" s="96">
        <v>1.3525176677501758</v>
      </c>
      <c r="G144" s="96">
        <v>1.3407495425873344</v>
      </c>
      <c r="H144" s="96">
        <v>1.3524899323284816</v>
      </c>
      <c r="I144" s="96">
        <v>1.3342245733151297</v>
      </c>
      <c r="J144" s="96">
        <v>1.2605471966122304</v>
      </c>
      <c r="K144" s="96">
        <v>1.2814053468689011</v>
      </c>
      <c r="L144" s="96">
        <v>1.2323255424798005</v>
      </c>
      <c r="M144" s="96">
        <v>1.2297052294443271</v>
      </c>
      <c r="N144" s="96">
        <v>1.3087041402265935</v>
      </c>
      <c r="O144" s="96">
        <v>1.3069062532367135</v>
      </c>
      <c r="P144" s="96">
        <v>1.2796712787189692</v>
      </c>
      <c r="Q144" s="96">
        <v>1.260139144205132</v>
      </c>
      <c r="R144" s="96">
        <v>1.136855761255019</v>
      </c>
      <c r="S144" s="96">
        <v>1.1031134959455622</v>
      </c>
      <c r="T144" s="96">
        <v>1.0390773045524313</v>
      </c>
      <c r="U144" s="96">
        <v>1.0674101890786531</v>
      </c>
      <c r="V144" s="96">
        <v>1.0370429744708927</v>
      </c>
      <c r="W144" s="96">
        <v>1.0439545137610602</v>
      </c>
      <c r="X144" s="96">
        <v>1.0669284052855499</v>
      </c>
      <c r="Y144" s="96">
        <v>1.0600790928593284</v>
      </c>
      <c r="DA144" s="171" t="s">
        <v>555</v>
      </c>
    </row>
    <row r="145" spans="1:105" ht="11.45" customHeight="1" x14ac:dyDescent="0.25">
      <c r="A145" s="111" t="s">
        <v>111</v>
      </c>
      <c r="B145" s="96">
        <v>1.5060261803304926</v>
      </c>
      <c r="C145" s="96">
        <v>1.4731664225099657</v>
      </c>
      <c r="D145" s="96">
        <v>1.4601908210524328</v>
      </c>
      <c r="E145" s="96">
        <v>1.4434601721343254</v>
      </c>
      <c r="F145" s="96">
        <v>1.4306925851905217</v>
      </c>
      <c r="G145" s="96">
        <v>1.4182442676464875</v>
      </c>
      <c r="H145" s="96">
        <v>1.4306632466738349</v>
      </c>
      <c r="I145" s="96">
        <v>1.4113421580630556</v>
      </c>
      <c r="J145" s="96">
        <v>1.3334062618758589</v>
      </c>
      <c r="K145" s="96">
        <v>1.3554700039064145</v>
      </c>
      <c r="L145" s="96">
        <v>1.3035534087325484</v>
      </c>
      <c r="M145" s="96">
        <v>1.3007816427733163</v>
      </c>
      <c r="N145" s="96">
        <v>1.3843466553341672</v>
      </c>
      <c r="O145" s="96">
        <v>1.3824448512788374</v>
      </c>
      <c r="P145" s="96">
        <v>1.3536357073914942</v>
      </c>
      <c r="Q145" s="96">
        <v>1.3329746242217821</v>
      </c>
      <c r="R145" s="96">
        <v>1.2025655167701008</v>
      </c>
      <c r="S145" s="96">
        <v>1.1668729635880986</v>
      </c>
      <c r="T145" s="96">
        <v>1.0991355089178088</v>
      </c>
      <c r="U145" s="96">
        <v>1.1291060215220199</v>
      </c>
      <c r="V145" s="96">
        <v>1.0969835954656695</v>
      </c>
      <c r="W145" s="96">
        <v>1.1042946186415397</v>
      </c>
      <c r="X145" s="96">
        <v>1.1285963908407404</v>
      </c>
      <c r="Y145" s="96">
        <v>1.1213511912137746</v>
      </c>
      <c r="DA145" s="171" t="s">
        <v>556</v>
      </c>
    </row>
    <row r="146" spans="1:105" ht="11.45" customHeight="1" x14ac:dyDescent="0.25">
      <c r="A146" s="111" t="s">
        <v>112</v>
      </c>
      <c r="B146" s="96">
        <v>1.3969759409285223</v>
      </c>
      <c r="C146" s="96">
        <v>1.3674193038846791</v>
      </c>
      <c r="D146" s="96">
        <v>1.3571569470217311</v>
      </c>
      <c r="E146" s="96">
        <v>1.346671108502423</v>
      </c>
      <c r="F146" s="96">
        <v>1.3376890676807394</v>
      </c>
      <c r="G146" s="96">
        <v>1.328767123287671</v>
      </c>
      <c r="H146" s="96">
        <v>1.342895115738177</v>
      </c>
      <c r="I146" s="96">
        <v>1.3266003892483298</v>
      </c>
      <c r="J146" s="96">
        <v>1.2497614048482537</v>
      </c>
      <c r="K146" s="96">
        <v>1.2702663083312973</v>
      </c>
      <c r="L146" s="96">
        <v>1.2226091221186857</v>
      </c>
      <c r="M146" s="96">
        <v>1.2211840399002494</v>
      </c>
      <c r="N146" s="96">
        <v>1.3009792254424211</v>
      </c>
      <c r="O146" s="96">
        <v>1.3005461538461536</v>
      </c>
      <c r="P146" s="96">
        <v>1.2768522354129834</v>
      </c>
      <c r="Q146" s="96">
        <v>1.2580447174447171</v>
      </c>
      <c r="R146" s="96">
        <v>1.1600236798829542</v>
      </c>
      <c r="S146" s="96">
        <v>1.1290706019564238</v>
      </c>
      <c r="T146" s="96">
        <v>1.0685826884104375</v>
      </c>
      <c r="U146" s="96">
        <v>1.0967246534095156</v>
      </c>
      <c r="V146" s="96">
        <v>1.0687348362976086</v>
      </c>
      <c r="W146" s="96">
        <v>1.076088602921905</v>
      </c>
      <c r="X146" s="96">
        <v>1.0992904877788074</v>
      </c>
      <c r="Y146" s="96">
        <v>1.0926683876125478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1.3436310536980831</v>
      </c>
      <c r="L147" s="96">
        <v>1.2932214073844248</v>
      </c>
      <c r="M147" s="96">
        <v>1.291714018965</v>
      </c>
      <c r="N147" s="96">
        <v>1.3761178077822498</v>
      </c>
      <c r="O147" s="96">
        <v>1.3756597239604533</v>
      </c>
      <c r="P147" s="96">
        <v>1.3505973536670786</v>
      </c>
      <c r="Q147" s="96">
        <v>1.3307035998774941</v>
      </c>
      <c r="R147" s="96">
        <v>1.185305921358436</v>
      </c>
      <c r="S147" s="96">
        <v>1.1494625472512388</v>
      </c>
      <c r="T147" s="96">
        <v>1.0794181103348595</v>
      </c>
      <c r="U147" s="96">
        <v>1.1120062420214032</v>
      </c>
      <c r="V147" s="96">
        <v>1.0795942961620795</v>
      </c>
      <c r="W147" s="96">
        <v>1.088109888984135</v>
      </c>
      <c r="X147" s="96">
        <v>1.1149774541707709</v>
      </c>
      <c r="Y147" s="96">
        <v>1.107309124249011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1.274472764092232</v>
      </c>
      <c r="Q148" s="96">
        <v>1.2576490555186219</v>
      </c>
      <c r="R148" s="96">
        <v>1.1506151980089441</v>
      </c>
      <c r="S148" s="96">
        <v>1.1214819849475988</v>
      </c>
      <c r="T148" s="96">
        <v>1.0645504165538444</v>
      </c>
      <c r="U148" s="96">
        <v>1.091037794133195</v>
      </c>
      <c r="V148" s="96">
        <v>1.0646936190109413</v>
      </c>
      <c r="W148" s="96">
        <v>1.0716150259992077</v>
      </c>
      <c r="X148" s="96">
        <v>1.0934527720406628</v>
      </c>
      <c r="Y148" s="96">
        <v>1.0872200136857384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1.1648414795874902</v>
      </c>
      <c r="O149" s="96">
        <v>1.1646258679727277</v>
      </c>
      <c r="P149" s="96">
        <v>1.1528240010199571</v>
      </c>
      <c r="Q149" s="96">
        <v>1.1434567092789489</v>
      </c>
      <c r="R149" s="96">
        <v>1.0838612065946376</v>
      </c>
      <c r="S149" s="96">
        <v>1.0676400919156397</v>
      </c>
      <c r="T149" s="96">
        <v>1.0359410995035867</v>
      </c>
      <c r="U149" s="96">
        <v>1.0506890364494996</v>
      </c>
      <c r="V149" s="96">
        <v>1.0360208333617777</v>
      </c>
      <c r="W149" s="96">
        <v>1.0398746113937536</v>
      </c>
      <c r="X149" s="96">
        <v>1.0520336747323349</v>
      </c>
      <c r="Y149" s="96">
        <v>1.0485633301524622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10.014018327975911</v>
      </c>
      <c r="C150" s="130">
        <f t="shared" si="203"/>
        <v>10.39110133097517</v>
      </c>
      <c r="D150" s="130">
        <f t="shared" si="203"/>
        <v>10.808642935900636</v>
      </c>
      <c r="E150" s="130">
        <f t="shared" si="203"/>
        <v>11.445070352665818</v>
      </c>
      <c r="F150" s="130">
        <f t="shared" si="203"/>
        <v>10.608876802820378</v>
      </c>
      <c r="G150" s="130">
        <f t="shared" si="203"/>
        <v>10.834845720519183</v>
      </c>
      <c r="H150" s="130">
        <f t="shared" si="203"/>
        <v>11.440461103055657</v>
      </c>
      <c r="I150" s="130">
        <f t="shared" si="203"/>
        <v>12.285203959986804</v>
      </c>
      <c r="J150" s="130">
        <f t="shared" si="203"/>
        <v>13.377415032679735</v>
      </c>
      <c r="K150" s="130">
        <f t="shared" si="203"/>
        <v>11.390194801496111</v>
      </c>
      <c r="L150" s="130">
        <f t="shared" ref="L150" si="204">IF(L13=0,0,L13/L40)</f>
        <v>10.784420758470525</v>
      </c>
      <c r="M150" s="130">
        <f t="shared" ref="M150:V150" si="205">IF(M13=0,0,M13/M40)</f>
        <v>10.708022052549758</v>
      </c>
      <c r="N150" s="130">
        <f t="shared" si="205"/>
        <v>11.522321805555981</v>
      </c>
      <c r="O150" s="130">
        <f t="shared" si="205"/>
        <v>12.393499631900132</v>
      </c>
      <c r="P150" s="130">
        <f t="shared" si="205"/>
        <v>12.52698816028016</v>
      </c>
      <c r="Q150" s="130">
        <f t="shared" si="205"/>
        <v>11.108552631578947</v>
      </c>
      <c r="R150" s="130">
        <f t="shared" si="205"/>
        <v>11.591463414634148</v>
      </c>
      <c r="S150" s="130">
        <f t="shared" si="205"/>
        <v>12.388059701492539</v>
      </c>
      <c r="T150" s="130">
        <f t="shared" si="205"/>
        <v>10.948717948717952</v>
      </c>
      <c r="U150" s="130">
        <f t="shared" si="205"/>
        <v>14.51985559566787</v>
      </c>
      <c r="V150" s="130">
        <f t="shared" si="205"/>
        <v>10.484848484848486</v>
      </c>
      <c r="W150" s="130">
        <f t="shared" ref="W150:Y150" si="206">IF(W13=0,0,W13/W40)</f>
        <v>10.561868686868687</v>
      </c>
      <c r="X150" s="130">
        <f t="shared" si="206"/>
        <v>12.664421997755335</v>
      </c>
      <c r="Y150" s="130">
        <f t="shared" si="206"/>
        <v>12.727272727272734</v>
      </c>
      <c r="DA150" s="176" t="s">
        <v>561</v>
      </c>
    </row>
    <row r="151" spans="1:105" ht="11.45" customHeight="1" x14ac:dyDescent="0.25">
      <c r="A151" s="111" t="s">
        <v>110</v>
      </c>
      <c r="B151" s="97">
        <v>6.3851545510759964</v>
      </c>
      <c r="C151" s="97">
        <v>6.3996577434990449</v>
      </c>
      <c r="D151" s="97">
        <v>6.4157170359961784</v>
      </c>
      <c r="E151" s="97">
        <v>6.44019501356407</v>
      </c>
      <c r="F151" s="97">
        <v>6.4080337231853992</v>
      </c>
      <c r="G151" s="97">
        <v>6.416724835404584</v>
      </c>
      <c r="H151" s="97">
        <v>6.4400177347329102</v>
      </c>
      <c r="I151" s="97">
        <v>6.4725078446148769</v>
      </c>
      <c r="J151" s="97">
        <v>6.5145159627953744</v>
      </c>
      <c r="K151" s="97">
        <v>6.4380844154421579</v>
      </c>
      <c r="L151" s="97">
        <v>6.4147854137873281</v>
      </c>
      <c r="M151" s="97">
        <v>6.4118470020211449</v>
      </c>
      <c r="N151" s="97">
        <v>6.4431662232906142</v>
      </c>
      <c r="O151" s="97">
        <v>6.4766730627653901</v>
      </c>
      <c r="P151" s="97">
        <v>6.481807236933852</v>
      </c>
      <c r="Q151" s="97">
        <v>6.4272520242914988</v>
      </c>
      <c r="R151" s="97">
        <v>6.4458255159474671</v>
      </c>
      <c r="S151" s="97">
        <v>6.4764638346727903</v>
      </c>
      <c r="T151" s="97">
        <v>6.4211045364891524</v>
      </c>
      <c r="U151" s="97">
        <v>6.5584559844487647</v>
      </c>
      <c r="V151" s="97">
        <v>6.403263403263403</v>
      </c>
      <c r="W151" s="97">
        <v>6.406225718725719</v>
      </c>
      <c r="X151" s="97">
        <v>6.4870931537598207</v>
      </c>
      <c r="Y151" s="97">
        <v>6.4895104895104909</v>
      </c>
      <c r="DA151" s="175" t="s">
        <v>562</v>
      </c>
    </row>
    <row r="152" spans="1:105" ht="11.45" customHeight="1" x14ac:dyDescent="0.25">
      <c r="A152" s="111" t="s">
        <v>111</v>
      </c>
      <c r="B152" s="97">
        <v>10.024793532455938</v>
      </c>
      <c r="C152" s="97">
        <v>10.40344748970565</v>
      </c>
      <c r="D152" s="97">
        <v>10.822500267562152</v>
      </c>
      <c r="E152" s="97">
        <v>11.460381478624878</v>
      </c>
      <c r="F152" s="97">
        <v>10.62105929319768</v>
      </c>
      <c r="G152" s="97">
        <v>10.847933873635723</v>
      </c>
      <c r="H152" s="97">
        <v>11.455565220895199</v>
      </c>
      <c r="I152" s="97">
        <v>12.301144423821611</v>
      </c>
      <c r="J152" s="97">
        <v>13.398495136254752</v>
      </c>
      <c r="K152" s="97">
        <v>11.404323078665628</v>
      </c>
      <c r="L152" s="97">
        <v>10.796543717781725</v>
      </c>
      <c r="M152" s="97">
        <v>10.719067991964923</v>
      </c>
      <c r="N152" s="97">
        <v>11.535631199185342</v>
      </c>
      <c r="O152" s="97">
        <v>12.41118121364876</v>
      </c>
      <c r="P152" s="97">
        <v>12.543397652051974</v>
      </c>
      <c r="Q152" s="97">
        <v>11.119952081599926</v>
      </c>
      <c r="R152" s="97">
        <v>11.603390153451661</v>
      </c>
      <c r="S152" s="97">
        <v>12.401137208816978</v>
      </c>
      <c r="T152" s="97">
        <v>10.958294091000457</v>
      </c>
      <c r="U152" s="97">
        <v>14.535256571535394</v>
      </c>
      <c r="V152" s="97">
        <v>10.492616111191889</v>
      </c>
      <c r="W152" s="97">
        <v>10.56913359183304</v>
      </c>
      <c r="X152" s="97">
        <v>12.673754440448683</v>
      </c>
      <c r="Y152" s="97">
        <v>12.735852798355733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12.301144423821611</v>
      </c>
      <c r="J153" s="97">
        <v>13.398495136254757</v>
      </c>
      <c r="K153" s="97">
        <v>11.404323078665628</v>
      </c>
      <c r="L153" s="97">
        <v>10.796543717781724</v>
      </c>
      <c r="M153" s="97">
        <v>10.719067991964923</v>
      </c>
      <c r="N153" s="97">
        <v>11.535631199185342</v>
      </c>
      <c r="O153" s="97">
        <v>12.411181213648762</v>
      </c>
      <c r="P153" s="97">
        <v>12.543397652051974</v>
      </c>
      <c r="Q153" s="97">
        <v>11.119952081599925</v>
      </c>
      <c r="R153" s="97">
        <v>11.603390153451661</v>
      </c>
      <c r="S153" s="97">
        <v>12.401137208816975</v>
      </c>
      <c r="T153" s="97">
        <v>10.958294091000456</v>
      </c>
      <c r="U153" s="97">
        <v>14.535256571535394</v>
      </c>
      <c r="V153" s="97">
        <v>10.492616111191891</v>
      </c>
      <c r="W153" s="97">
        <v>10.569133591833042</v>
      </c>
      <c r="X153" s="97">
        <v>12.673754440448683</v>
      </c>
      <c r="Y153" s="97">
        <v>12.735852798355729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11.404323078665628</v>
      </c>
      <c r="L154" s="97">
        <v>10.796543717781724</v>
      </c>
      <c r="M154" s="97">
        <v>10.719067991964923</v>
      </c>
      <c r="N154" s="97">
        <v>11.535631199185341</v>
      </c>
      <c r="O154" s="97">
        <v>12.411181213648762</v>
      </c>
      <c r="P154" s="97">
        <v>12.543397652051974</v>
      </c>
      <c r="Q154" s="97">
        <v>11.119952081599925</v>
      </c>
      <c r="R154" s="97">
        <v>11.603390153451661</v>
      </c>
      <c r="S154" s="97">
        <v>12.401137208816976</v>
      </c>
      <c r="T154" s="97">
        <v>10.958294091000456</v>
      </c>
      <c r="U154" s="97">
        <v>14.535256571535394</v>
      </c>
      <c r="V154" s="97">
        <v>10.492616111191891</v>
      </c>
      <c r="W154" s="97">
        <v>10.569133591833042</v>
      </c>
      <c r="X154" s="97">
        <v>12.673754440448683</v>
      </c>
      <c r="Y154" s="97">
        <v>12.735852798355729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11.119952081599925</v>
      </c>
      <c r="R155" s="97">
        <v>11.603390153451661</v>
      </c>
      <c r="S155" s="97">
        <v>12.401137208816976</v>
      </c>
      <c r="T155" s="97">
        <v>10.958294091000456</v>
      </c>
      <c r="U155" s="97">
        <v>14.535256571535394</v>
      </c>
      <c r="V155" s="97">
        <v>10.492616111191891</v>
      </c>
      <c r="W155" s="97">
        <v>10.569133591833042</v>
      </c>
      <c r="X155" s="97">
        <v>12.673754440448683</v>
      </c>
      <c r="Y155" s="97">
        <v>12.735852798355729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5.0886191378947148</v>
      </c>
      <c r="C156" s="32">
        <f t="shared" si="207"/>
        <v>5.0253791213934242</v>
      </c>
      <c r="D156" s="32">
        <f t="shared" si="207"/>
        <v>4.823972601769932</v>
      </c>
      <c r="E156" s="32">
        <f t="shared" si="207"/>
        <v>4.632508133470747</v>
      </c>
      <c r="F156" s="32">
        <f t="shared" si="207"/>
        <v>4.708088441320899</v>
      </c>
      <c r="G156" s="32">
        <f t="shared" si="207"/>
        <v>4.5717502467259434</v>
      </c>
      <c r="H156" s="32">
        <f t="shared" si="207"/>
        <v>4.4075815494021962</v>
      </c>
      <c r="I156" s="32">
        <f t="shared" si="207"/>
        <v>4.5030673359450848</v>
      </c>
      <c r="J156" s="32">
        <f t="shared" si="207"/>
        <v>4.2232139249700502</v>
      </c>
      <c r="K156" s="32">
        <f t="shared" si="207"/>
        <v>3.772388901008378</v>
      </c>
      <c r="L156" s="32">
        <f t="shared" ref="L156" si="208">IF(L19=0,0,L19/L46)</f>
        <v>3.7476889939359923</v>
      </c>
      <c r="M156" s="32">
        <f t="shared" ref="M156:V156" si="209">IF(M19=0,0,M19/M46)</f>
        <v>3.6664506134360524</v>
      </c>
      <c r="N156" s="32">
        <f t="shared" si="209"/>
        <v>3.7164480356495786</v>
      </c>
      <c r="O156" s="32">
        <f t="shared" si="209"/>
        <v>3.822803259380211</v>
      </c>
      <c r="P156" s="32">
        <f t="shared" si="209"/>
        <v>3.808962610964699</v>
      </c>
      <c r="Q156" s="32">
        <f t="shared" si="209"/>
        <v>3.6899889403640094</v>
      </c>
      <c r="R156" s="32">
        <f t="shared" si="209"/>
        <v>3.5388350384685618</v>
      </c>
      <c r="S156" s="32">
        <f t="shared" si="209"/>
        <v>3.6441197143587094</v>
      </c>
      <c r="T156" s="32">
        <f t="shared" si="209"/>
        <v>3.4230425675380074</v>
      </c>
      <c r="U156" s="32">
        <f t="shared" si="209"/>
        <v>3.1442169027451143</v>
      </c>
      <c r="V156" s="32">
        <f t="shared" si="209"/>
        <v>3.1386082595655265</v>
      </c>
      <c r="W156" s="32">
        <f t="shared" ref="W156:Y156" si="210">IF(W19=0,0,W19/W46)</f>
        <v>2.955781375541628</v>
      </c>
      <c r="X156" s="32">
        <f t="shared" si="210"/>
        <v>2.8720625461597553</v>
      </c>
      <c r="Y156" s="32">
        <f t="shared" si="210"/>
        <v>2.8393016874156167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0.19579216867361568</v>
      </c>
      <c r="C157" s="141">
        <f t="shared" si="211"/>
        <v>0.1949597195599907</v>
      </c>
      <c r="D157" s="141">
        <f t="shared" si="211"/>
        <v>0.19505679534088396</v>
      </c>
      <c r="E157" s="141">
        <f t="shared" si="211"/>
        <v>0.19518946501214776</v>
      </c>
      <c r="F157" s="141">
        <f t="shared" si="211"/>
        <v>0.19523034116456692</v>
      </c>
      <c r="G157" s="141">
        <f t="shared" si="211"/>
        <v>0.19507925266561818</v>
      </c>
      <c r="H157" s="141">
        <f t="shared" si="211"/>
        <v>0.19465456497820072</v>
      </c>
      <c r="I157" s="141">
        <f t="shared" si="211"/>
        <v>0.19506889724732659</v>
      </c>
      <c r="J157" s="141">
        <f t="shared" si="211"/>
        <v>0.19530507753392848</v>
      </c>
      <c r="K157" s="141">
        <f t="shared" si="211"/>
        <v>0.19638972281022582</v>
      </c>
      <c r="L157" s="141">
        <f t="shared" ref="L157" si="212">IF(L20=0,0,L20/L47)</f>
        <v>0.19748059656451525</v>
      </c>
      <c r="M157" s="141">
        <f t="shared" ref="M157:V157" si="213">IF(M20=0,0,M20/M47)</f>
        <v>0.19690124054086419</v>
      </c>
      <c r="N157" s="141">
        <f t="shared" si="213"/>
        <v>0.19682870890470389</v>
      </c>
      <c r="O157" s="141">
        <f t="shared" si="213"/>
        <v>0.1968430402300182</v>
      </c>
      <c r="P157" s="141">
        <f t="shared" si="213"/>
        <v>0.19765349169347782</v>
      </c>
      <c r="Q157" s="141">
        <f t="shared" si="213"/>
        <v>0.19844329379366335</v>
      </c>
      <c r="R157" s="141">
        <f t="shared" si="213"/>
        <v>0.19916511748692475</v>
      </c>
      <c r="S157" s="141">
        <f t="shared" si="213"/>
        <v>0.19819881641862663</v>
      </c>
      <c r="T157" s="141">
        <f t="shared" si="213"/>
        <v>0.19730502905440983</v>
      </c>
      <c r="U157" s="141">
        <f t="shared" si="213"/>
        <v>0.19760522271366313</v>
      </c>
      <c r="V157" s="141">
        <f t="shared" si="213"/>
        <v>0.19835223463772014</v>
      </c>
      <c r="W157" s="141">
        <f t="shared" ref="W157:Y157" si="214">IF(W20=0,0,W20/W47)</f>
        <v>0.1974729858782327</v>
      </c>
      <c r="X157" s="141">
        <f t="shared" si="214"/>
        <v>0.19661569518720595</v>
      </c>
      <c r="Y157" s="141">
        <f t="shared" si="214"/>
        <v>0.19572953440289453</v>
      </c>
      <c r="DA157" s="174" t="s">
        <v>568</v>
      </c>
    </row>
    <row r="158" spans="1:105" ht="11.45" customHeight="1" x14ac:dyDescent="0.25">
      <c r="A158" s="111" t="s">
        <v>110</v>
      </c>
      <c r="B158" s="96">
        <v>0.15597460620302978</v>
      </c>
      <c r="C158" s="96">
        <v>0.1554933805894381</v>
      </c>
      <c r="D158" s="96">
        <v>0.15520796106716789</v>
      </c>
      <c r="E158" s="96">
        <v>0.15492035019183839</v>
      </c>
      <c r="F158" s="96">
        <v>0.15466111602720478</v>
      </c>
      <c r="G158" s="96">
        <v>0.15441123445054586</v>
      </c>
      <c r="H158" s="96">
        <v>0.15415679119289216</v>
      </c>
      <c r="I158" s="96">
        <v>0.1542725217023786</v>
      </c>
      <c r="J158" s="96">
        <v>0.15476984733470148</v>
      </c>
      <c r="K158" s="96">
        <v>0.15586698058818602</v>
      </c>
      <c r="L158" s="96">
        <v>0.15702755778172051</v>
      </c>
      <c r="M158" s="96">
        <v>0.15688899744998042</v>
      </c>
      <c r="N158" s="96">
        <v>0.15683855056114632</v>
      </c>
      <c r="O158" s="96">
        <v>0.1572510865279669</v>
      </c>
      <c r="P158" s="96">
        <v>0.15832183987941739</v>
      </c>
      <c r="Q158" s="96">
        <v>0.15917096385542134</v>
      </c>
      <c r="R158" s="96">
        <v>0.15921723575720798</v>
      </c>
      <c r="S158" s="96">
        <v>0.15798906558516715</v>
      </c>
      <c r="T158" s="96">
        <v>0.15677402797848533</v>
      </c>
      <c r="U158" s="96">
        <v>0.15651098687125195</v>
      </c>
      <c r="V158" s="96">
        <v>0.15660090312542149</v>
      </c>
      <c r="W158" s="96">
        <v>0.15542589955977557</v>
      </c>
      <c r="X158" s="96">
        <v>0.15427866586806691</v>
      </c>
      <c r="Y158" s="96">
        <v>0.15311597910381872</v>
      </c>
      <c r="DA158" s="171" t="s">
        <v>569</v>
      </c>
    </row>
    <row r="159" spans="1:105" ht="11.45" customHeight="1" x14ac:dyDescent="0.25">
      <c r="A159" s="111" t="s">
        <v>111</v>
      </c>
      <c r="B159" s="96">
        <v>0.2049748059210208</v>
      </c>
      <c r="C159" s="96">
        <v>0.20374239520278672</v>
      </c>
      <c r="D159" s="96">
        <v>0.20276373709918896</v>
      </c>
      <c r="E159" s="96">
        <v>0.20178624321919722</v>
      </c>
      <c r="F159" s="96">
        <v>0.20084962078897692</v>
      </c>
      <c r="G159" s="96">
        <v>0.19992889374239978</v>
      </c>
      <c r="H159" s="96">
        <v>0.1990059774521645</v>
      </c>
      <c r="I159" s="96">
        <v>0.19856323031618614</v>
      </c>
      <c r="J159" s="96">
        <v>0.19861104515428621</v>
      </c>
      <c r="K159" s="96">
        <v>0.19942424503604592</v>
      </c>
      <c r="L159" s="96">
        <v>0.20031178543116376</v>
      </c>
      <c r="M159" s="96">
        <v>0.19953997112960711</v>
      </c>
      <c r="N159" s="96">
        <v>0.19888270990360801</v>
      </c>
      <c r="O159" s="96">
        <v>0.19881294349747994</v>
      </c>
      <c r="P159" s="96">
        <v>0.19957154530494767</v>
      </c>
      <c r="Q159" s="96">
        <v>0.20004533563992036</v>
      </c>
      <c r="R159" s="96">
        <v>0.20070023064063122</v>
      </c>
      <c r="S159" s="96">
        <v>0.19974597227229468</v>
      </c>
      <c r="T159" s="96">
        <v>0.19880089056745828</v>
      </c>
      <c r="U159" s="96">
        <v>0.19905919668912908</v>
      </c>
      <c r="V159" s="96">
        <v>0.19976752455636509</v>
      </c>
      <c r="W159" s="96">
        <v>0.19885990324435573</v>
      </c>
      <c r="X159" s="96">
        <v>0.1979807281634208</v>
      </c>
      <c r="Y159" s="96">
        <v>0.19707465132730204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0.1585723823297161</v>
      </c>
      <c r="J160" s="96">
        <v>0.15861247669330325</v>
      </c>
      <c r="K160" s="96">
        <v>0.15929444619119348</v>
      </c>
      <c r="L160" s="96">
        <v>0.16003891816917562</v>
      </c>
      <c r="M160" s="96">
        <v>0.15939150826576265</v>
      </c>
      <c r="N160" s="96">
        <v>0.15884028595784921</v>
      </c>
      <c r="O160" s="96">
        <v>0.15878178062249179</v>
      </c>
      <c r="P160" s="96">
        <v>0.15941799072476207</v>
      </c>
      <c r="Q160" s="96">
        <v>0.15917096385542134</v>
      </c>
      <c r="R160" s="96">
        <v>0.16036479930035608</v>
      </c>
      <c r="S160" s="96">
        <v>0.15956429301568931</v>
      </c>
      <c r="T160" s="96">
        <v>0.15877167327286909</v>
      </c>
      <c r="U160" s="96">
        <v>0.15898829040172988</v>
      </c>
      <c r="V160" s="96">
        <v>0.1595823706440791</v>
      </c>
      <c r="W160" s="96">
        <v>0.15882116043312197</v>
      </c>
      <c r="X160" s="96">
        <v>0.15808397331258031</v>
      </c>
      <c r="Y160" s="96">
        <v>0.15732440036655676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0.11374079082797477</v>
      </c>
      <c r="L161" s="96">
        <v>0.11381157443359852</v>
      </c>
      <c r="M161" s="96">
        <v>0.1128940932340768</v>
      </c>
      <c r="N161" s="96">
        <v>0.11205001392089983</v>
      </c>
      <c r="O161" s="96">
        <v>0.11155707988234756</v>
      </c>
      <c r="P161" s="96">
        <v>0.11155242505547407</v>
      </c>
      <c r="Q161" s="96">
        <v>0.11137956849014202</v>
      </c>
      <c r="R161" s="96">
        <v>0.11221495249162262</v>
      </c>
      <c r="S161" s="96">
        <v>0.11210685830915848</v>
      </c>
      <c r="T161" s="96">
        <v>0.11200161277215592</v>
      </c>
      <c r="U161" s="96">
        <v>0.11260850138774169</v>
      </c>
      <c r="V161" s="96">
        <v>0.11348690095273894</v>
      </c>
      <c r="W161" s="96">
        <v>0.11340285125947247</v>
      </c>
      <c r="X161" s="96">
        <v>0.1133334833133508</v>
      </c>
      <c r="Y161" s="96">
        <v>0.1132455809425504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0.20233415015570841</v>
      </c>
      <c r="F162" s="96">
        <v>0.20228708802796633</v>
      </c>
      <c r="G162" s="96">
        <v>0.20224062093419173</v>
      </c>
      <c r="H162" s="96">
        <v>0.20219383888497897</v>
      </c>
      <c r="I162" s="96">
        <v>0.20217132310814198</v>
      </c>
      <c r="J162" s="96">
        <v>0.20216888923174595</v>
      </c>
      <c r="K162" s="96">
        <v>0.20212758958908034</v>
      </c>
      <c r="L162" s="96">
        <v>0.20208271578051043</v>
      </c>
      <c r="M162" s="96">
        <v>0.2020437124576232</v>
      </c>
      <c r="N162" s="96">
        <v>0.20201038487057502</v>
      </c>
      <c r="O162" s="96">
        <v>0.2020068411016254</v>
      </c>
      <c r="P162" s="96">
        <v>0.20196837867274317</v>
      </c>
      <c r="Q162" s="96">
        <v>0.20194443447949054</v>
      </c>
      <c r="R162" s="96">
        <v>0.20197743879352839</v>
      </c>
      <c r="S162" s="96">
        <v>0.202025575594731</v>
      </c>
      <c r="T162" s="96">
        <v>0.2020734880714902</v>
      </c>
      <c r="U162" s="96">
        <v>0.20208660788985067</v>
      </c>
      <c r="V162" s="96">
        <v>0.20262569375985723</v>
      </c>
      <c r="W162" s="96">
        <v>0.20209672943168497</v>
      </c>
      <c r="X162" s="96">
        <v>0.20214150770496633</v>
      </c>
      <c r="Y162" s="96">
        <v>0.20218787514454051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12.637355718304093</v>
      </c>
      <c r="C163" s="130">
        <f t="shared" si="215"/>
        <v>12.208673266326441</v>
      </c>
      <c r="D163" s="130">
        <f t="shared" si="215"/>
        <v>11.226744478441695</v>
      </c>
      <c r="E163" s="130">
        <f t="shared" si="215"/>
        <v>10.764123108238266</v>
      </c>
      <c r="F163" s="130">
        <f t="shared" si="215"/>
        <v>10.808029731817438</v>
      </c>
      <c r="G163" s="130">
        <f t="shared" si="215"/>
        <v>10.855363040255233</v>
      </c>
      <c r="H163" s="130">
        <f t="shared" si="215"/>
        <v>10.50710726308438</v>
      </c>
      <c r="I163" s="130">
        <f t="shared" si="215"/>
        <v>10.630553754609451</v>
      </c>
      <c r="J163" s="130">
        <f t="shared" si="215"/>
        <v>10.464800028057823</v>
      </c>
      <c r="K163" s="130">
        <f t="shared" si="215"/>
        <v>10.060696812124062</v>
      </c>
      <c r="L163" s="130">
        <f t="shared" ref="L163" si="216">IF(L26=0,0,L26/L53)</f>
        <v>9.8543925169461222</v>
      </c>
      <c r="M163" s="130">
        <f t="shared" ref="M163:V163" si="217">IF(M26=0,0,M26/M53)</f>
        <v>9.6831452738898136</v>
      </c>
      <c r="N163" s="130">
        <f t="shared" si="217"/>
        <v>9.8187362815477091</v>
      </c>
      <c r="O163" s="130">
        <f t="shared" si="217"/>
        <v>9.983383805033144</v>
      </c>
      <c r="P163" s="130">
        <f t="shared" si="217"/>
        <v>10.086667257279284</v>
      </c>
      <c r="Q163" s="130">
        <f t="shared" si="217"/>
        <v>10.321495877277011</v>
      </c>
      <c r="R163" s="130">
        <f t="shared" si="217"/>
        <v>10.147298245680267</v>
      </c>
      <c r="S163" s="130">
        <f t="shared" si="217"/>
        <v>10.415974730658636</v>
      </c>
      <c r="T163" s="130">
        <f t="shared" si="217"/>
        <v>10.571106930253546</v>
      </c>
      <c r="U163" s="130">
        <f t="shared" si="217"/>
        <v>10.362495712027396</v>
      </c>
      <c r="V163" s="130">
        <f t="shared" si="217"/>
        <v>10.40657794315295</v>
      </c>
      <c r="W163" s="130">
        <f t="shared" ref="W163:Y163" si="218">IF(W26=0,0,W26/W53)</f>
        <v>10.154862976455398</v>
      </c>
      <c r="X163" s="130">
        <f t="shared" si="218"/>
        <v>10.228797537358707</v>
      </c>
      <c r="Y163" s="130">
        <f t="shared" si="218"/>
        <v>10.327481661596215</v>
      </c>
      <c r="DA163" s="176" t="s">
        <v>574</v>
      </c>
    </row>
    <row r="164" spans="1:105" ht="11.45" customHeight="1" x14ac:dyDescent="0.25">
      <c r="A164" s="128" t="s">
        <v>27</v>
      </c>
      <c r="B164" s="97">
        <v>10.011760640404768</v>
      </c>
      <c r="C164" s="97">
        <v>10.092609966872617</v>
      </c>
      <c r="D164" s="97">
        <v>8.6648441207570936</v>
      </c>
      <c r="E164" s="97">
        <v>8.2734274711168165</v>
      </c>
      <c r="F164" s="97">
        <v>8.2734274711168165</v>
      </c>
      <c r="G164" s="97">
        <v>8.2734274711168165</v>
      </c>
      <c r="H164" s="97">
        <v>8.2734274711168165</v>
      </c>
      <c r="I164" s="97">
        <v>8.2734274711168165</v>
      </c>
      <c r="J164" s="97">
        <v>9.090267983074753</v>
      </c>
      <c r="K164" s="97">
        <v>8.5559265442404016</v>
      </c>
      <c r="L164" s="97">
        <v>8.0335689045936398</v>
      </c>
      <c r="M164" s="97">
        <v>7.7985739750445635</v>
      </c>
      <c r="N164" s="97">
        <v>7.9254302103250476</v>
      </c>
      <c r="O164" s="97">
        <v>8.0982986767485823</v>
      </c>
      <c r="P164" s="97">
        <v>7.9736308316430025</v>
      </c>
      <c r="Q164" s="97">
        <v>8.1262525050100187</v>
      </c>
      <c r="R164" s="97">
        <v>7.8619329388560155</v>
      </c>
      <c r="S164" s="97">
        <v>7.8780487804878048</v>
      </c>
      <c r="T164" s="97">
        <v>8.0360531309297905</v>
      </c>
      <c r="U164" s="97">
        <v>8.0447761194029859</v>
      </c>
      <c r="V164" s="97">
        <v>8.2179487179487172</v>
      </c>
      <c r="W164" s="97">
        <v>8.0570469798657722</v>
      </c>
      <c r="X164" s="97">
        <v>8.1170568561872916</v>
      </c>
      <c r="Y164" s="97">
        <v>8.2836538461538467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14.338603689647606</v>
      </c>
      <c r="E165" s="98">
        <v>14.254152494203545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13.915448013039784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</v>
      </c>
      <c r="Q165" s="98">
        <v>14.005556317739057</v>
      </c>
      <c r="R165" s="98">
        <v>13.933281647068958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13.861910981613583</v>
      </c>
      <c r="W165" s="98">
        <v>14.046303126595927</v>
      </c>
      <c r="X165" s="98">
        <v>13.993433342768185</v>
      </c>
      <c r="Y165" s="98">
        <v>13.837303725369456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11857.518516110258</v>
      </c>
      <c r="C167" s="54">
        <f t="shared" si="219"/>
        <v>12166.377012299943</v>
      </c>
      <c r="D167" s="54">
        <f t="shared" si="219"/>
        <v>12409.62488529831</v>
      </c>
      <c r="E167" s="54">
        <f t="shared" si="219"/>
        <v>12219.870159416119</v>
      </c>
      <c r="F167" s="54">
        <f t="shared" si="219"/>
        <v>12345.308834557776</v>
      </c>
      <c r="G167" s="54">
        <f t="shared" si="219"/>
        <v>12233.847605536112</v>
      </c>
      <c r="H167" s="54">
        <f t="shared" si="219"/>
        <v>12078.833697332711</v>
      </c>
      <c r="I167" s="54">
        <f t="shared" si="219"/>
        <v>12015.878594253449</v>
      </c>
      <c r="J167" s="54">
        <f t="shared" si="219"/>
        <v>12700.562590532159</v>
      </c>
      <c r="K167" s="54">
        <f t="shared" si="219"/>
        <v>12460.765706173317</v>
      </c>
      <c r="L167" s="54">
        <f t="shared" si="219"/>
        <v>12508.237652553922</v>
      </c>
      <c r="M167" s="54">
        <f>IF(M30=0,0,M30*1000000/M57)</f>
        <v>12347.666533402838</v>
      </c>
      <c r="N167" s="54">
        <f t="shared" ref="N167:V167" si="220">IF(N30=0,0,N30*1000000/N57)</f>
        <v>12511.73166746794</v>
      </c>
      <c r="O167" s="54">
        <f t="shared" si="220"/>
        <v>12150.473939734438</v>
      </c>
      <c r="P167" s="54">
        <f t="shared" si="220"/>
        <v>12110.071525426229</v>
      </c>
      <c r="Q167" s="54">
        <f t="shared" si="220"/>
        <v>12632.510595785281</v>
      </c>
      <c r="R167" s="54">
        <f t="shared" si="220"/>
        <v>13346.275959421124</v>
      </c>
      <c r="S167" s="54">
        <f t="shared" si="220"/>
        <v>13446.498880026411</v>
      </c>
      <c r="T167" s="54">
        <f t="shared" si="220"/>
        <v>13401.927661988315</v>
      </c>
      <c r="U167" s="54">
        <f t="shared" si="220"/>
        <v>12556.940562860553</v>
      </c>
      <c r="V167" s="54">
        <f t="shared" si="220"/>
        <v>10433.998443898721</v>
      </c>
      <c r="W167" s="54">
        <f t="shared" ref="W167:Y191" si="221">IF(W30=0,0,W30*1000000/W57)</f>
        <v>11432.703021699259</v>
      </c>
      <c r="X167" s="54">
        <f t="shared" si="221"/>
        <v>11281.280552707816</v>
      </c>
      <c r="Y167" s="54">
        <f t="shared" si="221"/>
        <v>11129.204307079248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11745.531261562401</v>
      </c>
      <c r="C168" s="28">
        <f t="shared" si="219"/>
        <v>12053.386616804068</v>
      </c>
      <c r="D168" s="28">
        <f t="shared" si="219"/>
        <v>12251.668911568826</v>
      </c>
      <c r="E168" s="28">
        <f t="shared" si="219"/>
        <v>12008.800601439261</v>
      </c>
      <c r="F168" s="28">
        <f t="shared" si="219"/>
        <v>12086.832336801976</v>
      </c>
      <c r="G168" s="28">
        <f t="shared" si="219"/>
        <v>11932.946346062601</v>
      </c>
      <c r="H168" s="28">
        <f t="shared" si="219"/>
        <v>11767.844937639928</v>
      </c>
      <c r="I168" s="28">
        <f t="shared" si="219"/>
        <v>11707.344046615322</v>
      </c>
      <c r="J168" s="28">
        <f t="shared" si="219"/>
        <v>12519.833148914133</v>
      </c>
      <c r="K168" s="28">
        <f t="shared" si="219"/>
        <v>12292.199255563291</v>
      </c>
      <c r="L168" s="28">
        <f t="shared" si="219"/>
        <v>12396.559828745836</v>
      </c>
      <c r="M168" s="28">
        <f t="shared" ref="M168:M192" si="222">IF(M31=0,0,M31*1000000/M58)</f>
        <v>12215.462585830524</v>
      </c>
      <c r="N168" s="28">
        <f t="shared" si="219"/>
        <v>12398.157144225099</v>
      </c>
      <c r="O168" s="28">
        <f t="shared" si="219"/>
        <v>12011.254619542944</v>
      </c>
      <c r="P168" s="28">
        <f t="shared" si="219"/>
        <v>12005.996789275825</v>
      </c>
      <c r="Q168" s="28">
        <f t="shared" si="219"/>
        <v>12551.389394538701</v>
      </c>
      <c r="R168" s="28">
        <f t="shared" si="219"/>
        <v>13326.579303406139</v>
      </c>
      <c r="S168" s="28">
        <f t="shared" si="219"/>
        <v>13374.576771877204</v>
      </c>
      <c r="T168" s="28">
        <f t="shared" si="219"/>
        <v>13312.292208440189</v>
      </c>
      <c r="U168" s="28">
        <f t="shared" si="219"/>
        <v>12398.748829534883</v>
      </c>
      <c r="V168" s="28">
        <f t="shared" si="219"/>
        <v>10041.27379808861</v>
      </c>
      <c r="W168" s="28">
        <f t="shared" si="221"/>
        <v>11116.424995273679</v>
      </c>
      <c r="X168" s="28">
        <f t="shared" si="221"/>
        <v>10918.528469450022</v>
      </c>
      <c r="Y168" s="28">
        <f t="shared" si="221"/>
        <v>10698.916545128617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1660.0486847134466</v>
      </c>
      <c r="C169" s="137">
        <f t="shared" si="219"/>
        <v>1661.702611039113</v>
      </c>
      <c r="D169" s="137">
        <f t="shared" si="219"/>
        <v>1649.6819748857845</v>
      </c>
      <c r="E169" s="137">
        <f t="shared" si="219"/>
        <v>1598.6433497383714</v>
      </c>
      <c r="F169" s="137">
        <f t="shared" si="219"/>
        <v>1554.162454202313</v>
      </c>
      <c r="G169" s="137">
        <f t="shared" si="219"/>
        <v>1520.5177767696721</v>
      </c>
      <c r="H169" s="137">
        <f t="shared" si="219"/>
        <v>1477.3496476043106</v>
      </c>
      <c r="I169" s="137">
        <f t="shared" si="219"/>
        <v>1434.0418627505351</v>
      </c>
      <c r="J169" s="137">
        <f t="shared" si="219"/>
        <v>1390.922544960787</v>
      </c>
      <c r="K169" s="137">
        <f t="shared" si="219"/>
        <v>1379.5083267019832</v>
      </c>
      <c r="L169" s="137">
        <f t="shared" si="219"/>
        <v>1381.542944144747</v>
      </c>
      <c r="M169" s="137">
        <f t="shared" si="222"/>
        <v>1384.4339542630994</v>
      </c>
      <c r="N169" s="137">
        <f t="shared" si="219"/>
        <v>1362.2479818750426</v>
      </c>
      <c r="O169" s="137">
        <f t="shared" si="219"/>
        <v>1373.9642362376796</v>
      </c>
      <c r="P169" s="137">
        <f t="shared" si="219"/>
        <v>1384.1944670526054</v>
      </c>
      <c r="Q169" s="137">
        <f t="shared" si="219"/>
        <v>1401.217429841369</v>
      </c>
      <c r="R169" s="137">
        <f t="shared" si="219"/>
        <v>1471.809933735846</v>
      </c>
      <c r="S169" s="137">
        <f t="shared" si="219"/>
        <v>1523.3131737419701</v>
      </c>
      <c r="T169" s="137">
        <f t="shared" si="219"/>
        <v>1525.1749184984653</v>
      </c>
      <c r="U169" s="137">
        <f t="shared" si="219"/>
        <v>1568.4995106281526</v>
      </c>
      <c r="V169" s="137">
        <f t="shared" si="219"/>
        <v>1384.387880313375</v>
      </c>
      <c r="W169" s="137">
        <f t="shared" si="221"/>
        <v>1671.8990916014936</v>
      </c>
      <c r="X169" s="137">
        <f t="shared" si="221"/>
        <v>1726.0055470247235</v>
      </c>
      <c r="Y169" s="137">
        <f t="shared" si="221"/>
        <v>1773.7597985924358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12267.791223296395</v>
      </c>
      <c r="C170" s="110">
        <f t="shared" si="219"/>
        <v>12571.033163629538</v>
      </c>
      <c r="D170" s="110">
        <f t="shared" si="219"/>
        <v>12804.598761404854</v>
      </c>
      <c r="E170" s="110">
        <f t="shared" si="219"/>
        <v>12641.676842811734</v>
      </c>
      <c r="F170" s="110">
        <f t="shared" si="219"/>
        <v>12822.108212466914</v>
      </c>
      <c r="G170" s="110">
        <f t="shared" si="219"/>
        <v>12751.091703056771</v>
      </c>
      <c r="H170" s="110">
        <f t="shared" si="219"/>
        <v>12663.394109396915</v>
      </c>
      <c r="I170" s="110">
        <f t="shared" si="219"/>
        <v>12590.066225165563</v>
      </c>
      <c r="J170" s="110">
        <f t="shared" si="219"/>
        <v>13511.283043197935</v>
      </c>
      <c r="K170" s="110">
        <f t="shared" si="219"/>
        <v>13280.849293467052</v>
      </c>
      <c r="L170" s="110">
        <f t="shared" si="219"/>
        <v>13406.15850101013</v>
      </c>
      <c r="M170" s="110">
        <f t="shared" si="222"/>
        <v>13208.654314200445</v>
      </c>
      <c r="N170" s="110">
        <f t="shared" si="219"/>
        <v>13491.889709846695</v>
      </c>
      <c r="O170" s="110">
        <f t="shared" si="219"/>
        <v>13009.191312314628</v>
      </c>
      <c r="P170" s="110">
        <f t="shared" si="219"/>
        <v>12972.005972897399</v>
      </c>
      <c r="Q170" s="110">
        <f t="shared" si="219"/>
        <v>13568.981146578708</v>
      </c>
      <c r="R170" s="110">
        <f t="shared" si="219"/>
        <v>14365.987852436465</v>
      </c>
      <c r="S170" s="110">
        <f t="shared" si="219"/>
        <v>14393.325677109082</v>
      </c>
      <c r="T170" s="110">
        <f t="shared" si="219"/>
        <v>14295.375756190093</v>
      </c>
      <c r="U170" s="110">
        <f t="shared" si="219"/>
        <v>13312.655806133687</v>
      </c>
      <c r="V170" s="110">
        <f t="shared" si="219"/>
        <v>10772.88382587138</v>
      </c>
      <c r="W170" s="110">
        <f t="shared" si="221"/>
        <v>11902.93985134321</v>
      </c>
      <c r="X170" s="110">
        <f t="shared" si="221"/>
        <v>11682.193225623476</v>
      </c>
      <c r="Y170" s="110">
        <f t="shared" si="221"/>
        <v>11432.769560194098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12192.63105019849</v>
      </c>
      <c r="C171" s="84">
        <f t="shared" si="219"/>
        <v>12545.993128519289</v>
      </c>
      <c r="D171" s="84">
        <f t="shared" si="219"/>
        <v>12693.913417664095</v>
      </c>
      <c r="E171" s="84">
        <f t="shared" si="219"/>
        <v>11798.193665286886</v>
      </c>
      <c r="F171" s="84">
        <f t="shared" si="219"/>
        <v>11625.909711518994</v>
      </c>
      <c r="G171" s="84">
        <f t="shared" si="219"/>
        <v>11155.074700443034</v>
      </c>
      <c r="H171" s="84">
        <f t="shared" si="219"/>
        <v>10508.94580425699</v>
      </c>
      <c r="I171" s="84">
        <f t="shared" si="219"/>
        <v>10140.652532333948</v>
      </c>
      <c r="J171" s="84">
        <f t="shared" si="219"/>
        <v>11939.067871938201</v>
      </c>
      <c r="K171" s="84">
        <f t="shared" si="219"/>
        <v>11954.587126370616</v>
      </c>
      <c r="L171" s="84">
        <f t="shared" si="219"/>
        <v>12054.565236926104</v>
      </c>
      <c r="M171" s="84">
        <f t="shared" si="222"/>
        <v>11723.936425653481</v>
      </c>
      <c r="N171" s="84">
        <f t="shared" si="219"/>
        <v>11922.7365706542</v>
      </c>
      <c r="O171" s="84">
        <f t="shared" si="219"/>
        <v>11247.877536761063</v>
      </c>
      <c r="P171" s="84">
        <f t="shared" si="219"/>
        <v>10535.723770413322</v>
      </c>
      <c r="Q171" s="84">
        <f t="shared" si="219"/>
        <v>11186.985596211825</v>
      </c>
      <c r="R171" s="84">
        <f t="shared" si="219"/>
        <v>11755.666378329406</v>
      </c>
      <c r="S171" s="84">
        <f t="shared" si="219"/>
        <v>11902.298218297383</v>
      </c>
      <c r="T171" s="84">
        <f t="shared" si="219"/>
        <v>12411.473784057474</v>
      </c>
      <c r="U171" s="84">
        <f t="shared" si="219"/>
        <v>11531.77519679553</v>
      </c>
      <c r="V171" s="84">
        <f t="shared" si="219"/>
        <v>9312.6691688429928</v>
      </c>
      <c r="W171" s="84">
        <f t="shared" si="221"/>
        <v>10219.54489957133</v>
      </c>
      <c r="X171" s="84">
        <f t="shared" si="221"/>
        <v>9464.5632526214104</v>
      </c>
      <c r="Y171" s="84">
        <f t="shared" si="221"/>
        <v>9198.2494344720562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12439.947042205467</v>
      </c>
      <c r="C172" s="84">
        <f t="shared" si="219"/>
        <v>12511.19341033097</v>
      </c>
      <c r="D172" s="84">
        <f t="shared" si="219"/>
        <v>13009.583488663227</v>
      </c>
      <c r="E172" s="84">
        <f t="shared" si="219"/>
        <v>14920.327486832677</v>
      </c>
      <c r="F172" s="84">
        <f t="shared" si="219"/>
        <v>15684.943739752944</v>
      </c>
      <c r="G172" s="84">
        <f t="shared" si="219"/>
        <v>16250.59648769257</v>
      </c>
      <c r="H172" s="84">
        <f t="shared" si="219"/>
        <v>16964.943375275991</v>
      </c>
      <c r="I172" s="84">
        <f t="shared" si="219"/>
        <v>17004.07038191018</v>
      </c>
      <c r="J172" s="84">
        <f t="shared" si="219"/>
        <v>16214.614773420655</v>
      </c>
      <c r="K172" s="84">
        <f t="shared" si="219"/>
        <v>15687.415221928184</v>
      </c>
      <c r="L172" s="84">
        <f t="shared" si="219"/>
        <v>15777.519668410672</v>
      </c>
      <c r="M172" s="84">
        <f t="shared" si="222"/>
        <v>15774.429198875367</v>
      </c>
      <c r="N172" s="84">
        <f t="shared" si="219"/>
        <v>15909.035776551498</v>
      </c>
      <c r="O172" s="84">
        <f t="shared" si="219"/>
        <v>15459.477969432633</v>
      </c>
      <c r="P172" s="84">
        <f t="shared" si="219"/>
        <v>16030.195462459542</v>
      </c>
      <c r="Q172" s="84">
        <f t="shared" si="219"/>
        <v>16279.327039349633</v>
      </c>
      <c r="R172" s="84">
        <f t="shared" si="219"/>
        <v>17259.786233653253</v>
      </c>
      <c r="S172" s="84">
        <f t="shared" si="219"/>
        <v>17039.493988965165</v>
      </c>
      <c r="T172" s="84">
        <f t="shared" si="219"/>
        <v>16259.699716424977</v>
      </c>
      <c r="U172" s="84">
        <f t="shared" si="219"/>
        <v>15074.094418860135</v>
      </c>
      <c r="V172" s="84">
        <f t="shared" si="219"/>
        <v>12192.277323725444</v>
      </c>
      <c r="W172" s="84">
        <f t="shared" si="221"/>
        <v>13524.956470629846</v>
      </c>
      <c r="X172" s="84">
        <f t="shared" si="221"/>
        <v>13648.983465592137</v>
      </c>
      <c r="Y172" s="84">
        <f t="shared" si="221"/>
        <v>13419.518354453485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14399.805647832294</v>
      </c>
      <c r="C173" s="84">
        <f t="shared" si="219"/>
        <v>15135.16368461098</v>
      </c>
      <c r="D173" s="84">
        <f t="shared" si="219"/>
        <v>15499.485758793469</v>
      </c>
      <c r="E173" s="84">
        <f t="shared" si="219"/>
        <v>14723.512116809954</v>
      </c>
      <c r="F173" s="84">
        <f t="shared" si="219"/>
        <v>15162.350674935669</v>
      </c>
      <c r="G173" s="84">
        <f t="shared" si="219"/>
        <v>14869.93652792863</v>
      </c>
      <c r="H173" s="84">
        <f t="shared" si="219"/>
        <v>15183.102427867398</v>
      </c>
      <c r="I173" s="84">
        <f t="shared" si="219"/>
        <v>14902.696258215736</v>
      </c>
      <c r="J173" s="84">
        <f t="shared" si="219"/>
        <v>14909.332591584205</v>
      </c>
      <c r="K173" s="84">
        <f t="shared" si="219"/>
        <v>13284.933619852327</v>
      </c>
      <c r="L173" s="84">
        <f t="shared" si="219"/>
        <v>13369.91237980577</v>
      </c>
      <c r="M173" s="84">
        <f t="shared" si="222"/>
        <v>12852.940511301202</v>
      </c>
      <c r="N173" s="84">
        <f t="shared" si="219"/>
        <v>13604.610644619028</v>
      </c>
      <c r="O173" s="84">
        <f t="shared" si="219"/>
        <v>14106.038952572657</v>
      </c>
      <c r="P173" s="84">
        <f t="shared" si="219"/>
        <v>14434.086356309275</v>
      </c>
      <c r="Q173" s="84">
        <f t="shared" si="219"/>
        <v>14919.263628934537</v>
      </c>
      <c r="R173" s="84">
        <f t="shared" si="219"/>
        <v>14134.184938457429</v>
      </c>
      <c r="S173" s="84">
        <f t="shared" si="219"/>
        <v>13225.9912836449</v>
      </c>
      <c r="T173" s="84">
        <f t="shared" si="219"/>
        <v>12271.163501885607</v>
      </c>
      <c r="U173" s="84">
        <f t="shared" si="219"/>
        <v>10973.440291326651</v>
      </c>
      <c r="V173" s="84">
        <f t="shared" si="219"/>
        <v>8458.6876065763045</v>
      </c>
      <c r="W173" s="84">
        <f t="shared" si="221"/>
        <v>8771.4640340961032</v>
      </c>
      <c r="X173" s="84">
        <f t="shared" si="221"/>
        <v>8140.1244307509814</v>
      </c>
      <c r="Y173" s="84">
        <f t="shared" si="221"/>
        <v>7685.9342019989999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15775.224654617999</v>
      </c>
      <c r="L174" s="84">
        <f t="shared" si="219"/>
        <v>15980.834091818359</v>
      </c>
      <c r="M174" s="84">
        <f t="shared" si="222"/>
        <v>16027.151223383506</v>
      </c>
      <c r="N174" s="84">
        <f t="shared" si="219"/>
        <v>16970.233227684752</v>
      </c>
      <c r="O174" s="84">
        <f t="shared" si="219"/>
        <v>17283.936880549991</v>
      </c>
      <c r="P174" s="84">
        <f t="shared" si="219"/>
        <v>16917.650017475218</v>
      </c>
      <c r="Q174" s="84">
        <f t="shared" si="219"/>
        <v>16805.617905788218</v>
      </c>
      <c r="R174" s="84">
        <f t="shared" si="219"/>
        <v>17747.096891727502</v>
      </c>
      <c r="S174" s="84">
        <f t="shared" si="219"/>
        <v>18177.892570264838</v>
      </c>
      <c r="T174" s="84">
        <f t="shared" si="219"/>
        <v>18457.110573527279</v>
      </c>
      <c r="U174" s="84">
        <f t="shared" si="219"/>
        <v>17423.633711693677</v>
      </c>
      <c r="V174" s="84">
        <f t="shared" si="219"/>
        <v>13999.85835263915</v>
      </c>
      <c r="W174" s="84">
        <f t="shared" si="221"/>
        <v>16453.201059712253</v>
      </c>
      <c r="X174" s="84">
        <f t="shared" si="221"/>
        <v>17304.817512966783</v>
      </c>
      <c r="Y174" s="84">
        <f t="shared" si="221"/>
        <v>17255.423134451798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0</v>
      </c>
      <c r="P175" s="84">
        <f t="shared" si="219"/>
        <v>12864.311794714822</v>
      </c>
      <c r="Q175" s="84">
        <f t="shared" si="219"/>
        <v>13204.274832519261</v>
      </c>
      <c r="R175" s="84">
        <f t="shared" si="219"/>
        <v>12987.059308978482</v>
      </c>
      <c r="S175" s="84">
        <f t="shared" si="219"/>
        <v>12389.405557450191</v>
      </c>
      <c r="T175" s="84">
        <f t="shared" si="219"/>
        <v>12201.228528807438</v>
      </c>
      <c r="U175" s="84">
        <f t="shared" si="219"/>
        <v>11856.805818118848</v>
      </c>
      <c r="V175" s="84">
        <f t="shared" si="219"/>
        <v>9807.12574424169</v>
      </c>
      <c r="W175" s="84">
        <f t="shared" si="221"/>
        <v>11717.339861470698</v>
      </c>
      <c r="X175" s="84">
        <f t="shared" si="221"/>
        <v>12382.86688524093</v>
      </c>
      <c r="Y175" s="84">
        <f t="shared" si="221"/>
        <v>12710.683981975901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0</v>
      </c>
      <c r="N176" s="84">
        <f t="shared" si="219"/>
        <v>13728.079944098496</v>
      </c>
      <c r="O176" s="84">
        <f t="shared" si="219"/>
        <v>13737.458081249653</v>
      </c>
      <c r="P176" s="84">
        <f t="shared" si="219"/>
        <v>13772.125396784579</v>
      </c>
      <c r="Q176" s="84">
        <f t="shared" si="219"/>
        <v>13788.334630441661</v>
      </c>
      <c r="R176" s="84">
        <f t="shared" si="219"/>
        <v>13731.076481787471</v>
      </c>
      <c r="S176" s="84">
        <f t="shared" si="219"/>
        <v>13720.622202766095</v>
      </c>
      <c r="T176" s="84">
        <f t="shared" si="219"/>
        <v>13716.247980048391</v>
      </c>
      <c r="U176" s="84">
        <f t="shared" si="219"/>
        <v>13696.624059265216</v>
      </c>
      <c r="V176" s="84">
        <f t="shared" si="219"/>
        <v>11879.387876710436</v>
      </c>
      <c r="W176" s="84">
        <f t="shared" si="221"/>
        <v>13688.546540776515</v>
      </c>
      <c r="X176" s="84">
        <f t="shared" si="221"/>
        <v>13687.12312858648</v>
      </c>
      <c r="Y176" s="84">
        <f t="shared" si="221"/>
        <v>13669.253204850649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38514.343242702744</v>
      </c>
      <c r="C177" s="110">
        <f t="shared" si="219"/>
        <v>38443.152166031345</v>
      </c>
      <c r="D177" s="110">
        <f t="shared" si="219"/>
        <v>37694.984763540648</v>
      </c>
      <c r="E177" s="110">
        <f t="shared" si="219"/>
        <v>36967.050627492288</v>
      </c>
      <c r="F177" s="110">
        <f t="shared" si="219"/>
        <v>36248.590274081915</v>
      </c>
      <c r="G177" s="110">
        <f t="shared" si="219"/>
        <v>35542.26252161224</v>
      </c>
      <c r="H177" s="110">
        <f t="shared" si="219"/>
        <v>34851.849315913685</v>
      </c>
      <c r="I177" s="110">
        <f t="shared" si="219"/>
        <v>34204.892498774745</v>
      </c>
      <c r="J177" s="110">
        <f t="shared" si="219"/>
        <v>33545.275158956378</v>
      </c>
      <c r="K177" s="110">
        <f t="shared" si="219"/>
        <v>33169.033965260518</v>
      </c>
      <c r="L177" s="110">
        <f t="shared" si="219"/>
        <v>33810.074341334381</v>
      </c>
      <c r="M177" s="110">
        <f t="shared" si="222"/>
        <v>33138.553189585618</v>
      </c>
      <c r="N177" s="110">
        <f t="shared" si="219"/>
        <v>32456.398337877999</v>
      </c>
      <c r="O177" s="110">
        <f t="shared" si="219"/>
        <v>31855.332722755167</v>
      </c>
      <c r="P177" s="110">
        <f t="shared" si="219"/>
        <v>31302.940933918129</v>
      </c>
      <c r="Q177" s="110">
        <f t="shared" si="219"/>
        <v>31976.438413800359</v>
      </c>
      <c r="R177" s="110">
        <f t="shared" si="219"/>
        <v>33668.651200985427</v>
      </c>
      <c r="S177" s="110">
        <f t="shared" si="219"/>
        <v>33756.549778315188</v>
      </c>
      <c r="T177" s="110">
        <f t="shared" si="219"/>
        <v>34762.800831930268</v>
      </c>
      <c r="U177" s="110">
        <f t="shared" si="219"/>
        <v>27003.314486254629</v>
      </c>
      <c r="V177" s="110">
        <f t="shared" si="219"/>
        <v>19903.498190591075</v>
      </c>
      <c r="W177" s="110">
        <f t="shared" si="221"/>
        <v>22217.546812539444</v>
      </c>
      <c r="X177" s="110">
        <f t="shared" si="221"/>
        <v>24004.849464538289</v>
      </c>
      <c r="Y177" s="110">
        <f t="shared" si="221"/>
        <v>25364.431486880458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24620.260145751734</v>
      </c>
      <c r="C178" s="102">
        <f t="shared" si="219"/>
        <v>24572.47808018931</v>
      </c>
      <c r="D178" s="102">
        <f t="shared" si="219"/>
        <v>24070.591737477287</v>
      </c>
      <c r="E178" s="102">
        <f t="shared" si="219"/>
        <v>23582.756052385754</v>
      </c>
      <c r="F178" s="102">
        <f t="shared" si="219"/>
        <v>23101.740093556826</v>
      </c>
      <c r="G178" s="102">
        <f t="shared" si="219"/>
        <v>22629.311463538837</v>
      </c>
      <c r="H178" s="102">
        <f t="shared" si="219"/>
        <v>22167.98072676445</v>
      </c>
      <c r="I178" s="102">
        <f t="shared" si="219"/>
        <v>21736.101702664109</v>
      </c>
      <c r="J178" s="102">
        <f t="shared" si="219"/>
        <v>21296.191462080573</v>
      </c>
      <c r="K178" s="102">
        <f t="shared" si="219"/>
        <v>20943.631036578783</v>
      </c>
      <c r="L178" s="102">
        <f t="shared" si="219"/>
        <v>21368.336135014797</v>
      </c>
      <c r="M178" s="102">
        <f t="shared" si="222"/>
        <v>20922.679104561437</v>
      </c>
      <c r="N178" s="102">
        <f t="shared" si="219"/>
        <v>20471.414656759447</v>
      </c>
      <c r="O178" s="102">
        <f t="shared" si="219"/>
        <v>20073.767969610264</v>
      </c>
      <c r="P178" s="102">
        <f t="shared" si="219"/>
        <v>19708.642614822817</v>
      </c>
      <c r="Q178" s="102">
        <f t="shared" si="219"/>
        <v>19958.732707077095</v>
      </c>
      <c r="R178" s="102">
        <f t="shared" si="219"/>
        <v>21069.21584062685</v>
      </c>
      <c r="S178" s="102">
        <f t="shared" si="219"/>
        <v>21126.975167014072</v>
      </c>
      <c r="T178" s="102">
        <f t="shared" si="219"/>
        <v>21788.727430709521</v>
      </c>
      <c r="U178" s="102">
        <f t="shared" si="219"/>
        <v>16712.80307157915</v>
      </c>
      <c r="V178" s="102">
        <f t="shared" si="219"/>
        <v>12132.135500300426</v>
      </c>
      <c r="W178" s="102">
        <f t="shared" si="221"/>
        <v>13617.339868048062</v>
      </c>
      <c r="X178" s="102">
        <f t="shared" si="221"/>
        <v>14769.823448907197</v>
      </c>
      <c r="Y178" s="102">
        <f t="shared" si="221"/>
        <v>15649.402368770699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38578.989436011805</v>
      </c>
      <c r="C179" s="102">
        <f t="shared" si="219"/>
        <v>38510.39227586575</v>
      </c>
      <c r="D179" s="102">
        <f t="shared" si="219"/>
        <v>37762.408966569848</v>
      </c>
      <c r="E179" s="102">
        <f t="shared" si="219"/>
        <v>37031.346678293448</v>
      </c>
      <c r="F179" s="102">
        <f t="shared" si="219"/>
        <v>36308.512107174545</v>
      </c>
      <c r="G179" s="102">
        <f t="shared" si="219"/>
        <v>35602.445651472532</v>
      </c>
      <c r="H179" s="102">
        <f t="shared" si="219"/>
        <v>34912.187120958908</v>
      </c>
      <c r="I179" s="102">
        <f t="shared" si="219"/>
        <v>34260.123823053917</v>
      </c>
      <c r="J179" s="102">
        <f t="shared" si="219"/>
        <v>33605.903079716372</v>
      </c>
      <c r="K179" s="102">
        <f t="shared" si="219"/>
        <v>33284.93519176422</v>
      </c>
      <c r="L179" s="102">
        <f t="shared" si="219"/>
        <v>33931.908497600241</v>
      </c>
      <c r="M179" s="102">
        <f t="shared" si="222"/>
        <v>33256.798126573158</v>
      </c>
      <c r="N179" s="102">
        <f t="shared" si="219"/>
        <v>32584.275767679752</v>
      </c>
      <c r="O179" s="102">
        <f t="shared" si="219"/>
        <v>32079.23168570943</v>
      </c>
      <c r="P179" s="102">
        <f t="shared" si="219"/>
        <v>31688.674035478747</v>
      </c>
      <c r="Q179" s="102">
        <f t="shared" si="219"/>
        <v>32357.397836809279</v>
      </c>
      <c r="R179" s="102">
        <f t="shared" si="219"/>
        <v>34078.182333453675</v>
      </c>
      <c r="S179" s="102">
        <f t="shared" si="219"/>
        <v>34074.189235301303</v>
      </c>
      <c r="T179" s="102">
        <f t="shared" si="219"/>
        <v>35093.487937820428</v>
      </c>
      <c r="U179" s="102">
        <f t="shared" si="219"/>
        <v>27085.698862238223</v>
      </c>
      <c r="V179" s="102">
        <f t="shared" si="219"/>
        <v>19963.875117028168</v>
      </c>
      <c r="W179" s="102">
        <f t="shared" si="221"/>
        <v>22123.534648051471</v>
      </c>
      <c r="X179" s="102">
        <f t="shared" si="221"/>
        <v>24052.314255830381</v>
      </c>
      <c r="Y179" s="102">
        <f t="shared" si="221"/>
        <v>25561.145869984499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22190.725900444344</v>
      </c>
      <c r="J180" s="102">
        <f t="shared" si="223"/>
        <v>22185.321082971539</v>
      </c>
      <c r="K180" s="102">
        <f t="shared" si="223"/>
        <v>22263.307177656145</v>
      </c>
      <c r="L180" s="102">
        <f t="shared" si="223"/>
        <v>23178.340110543377</v>
      </c>
      <c r="M180" s="102">
        <f t="shared" si="222"/>
        <v>23158.095633533743</v>
      </c>
      <c r="N180" s="102">
        <f t="shared" si="223"/>
        <v>23121.038044349691</v>
      </c>
      <c r="O180" s="102">
        <f t="shared" si="223"/>
        <v>23134.61610961644</v>
      </c>
      <c r="P180" s="102">
        <f t="shared" si="223"/>
        <v>23177.363715031628</v>
      </c>
      <c r="Q180" s="102">
        <f t="shared" si="223"/>
        <v>23950.479248492509</v>
      </c>
      <c r="R180" s="102">
        <f t="shared" si="223"/>
        <v>24777.39782857717</v>
      </c>
      <c r="S180" s="102">
        <f t="shared" si="223"/>
        <v>24348.416340480377</v>
      </c>
      <c r="T180" s="102">
        <f t="shared" si="223"/>
        <v>24608.851137557223</v>
      </c>
      <c r="U180" s="102">
        <f t="shared" si="223"/>
        <v>18498.42890108977</v>
      </c>
      <c r="V180" s="102">
        <f t="shared" si="223"/>
        <v>13159.787505980552</v>
      </c>
      <c r="W180" s="102">
        <f t="shared" si="221"/>
        <v>14475.380123695151</v>
      </c>
      <c r="X180" s="102">
        <f t="shared" si="221"/>
        <v>15386.473029050961</v>
      </c>
      <c r="Y180" s="102">
        <f t="shared" si="221"/>
        <v>15976.719433024697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24014.485833022882</v>
      </c>
      <c r="L181" s="102">
        <f t="shared" si="223"/>
        <v>24501.463213009723</v>
      </c>
      <c r="M181" s="102">
        <f t="shared" si="222"/>
        <v>23990.46182907981</v>
      </c>
      <c r="N181" s="102">
        <f t="shared" si="223"/>
        <v>23473.030841599139</v>
      </c>
      <c r="O181" s="102">
        <f t="shared" si="223"/>
        <v>23017.079305859497</v>
      </c>
      <c r="P181" s="102">
        <f t="shared" si="223"/>
        <v>22598.417534913166</v>
      </c>
      <c r="Q181" s="102">
        <f t="shared" si="223"/>
        <v>22885.177025993315</v>
      </c>
      <c r="R181" s="102">
        <f t="shared" si="223"/>
        <v>23386.783926996632</v>
      </c>
      <c r="S181" s="102">
        <f t="shared" si="223"/>
        <v>26337.798196566971</v>
      </c>
      <c r="T181" s="102">
        <f t="shared" si="223"/>
        <v>26687.732985287708</v>
      </c>
      <c r="U181" s="102">
        <f t="shared" si="223"/>
        <v>25733.446447895549</v>
      </c>
      <c r="V181" s="102">
        <f t="shared" si="223"/>
        <v>19020.328343509915</v>
      </c>
      <c r="W181" s="102">
        <f t="shared" si="221"/>
        <v>25865.794162939306</v>
      </c>
      <c r="X181" s="102">
        <f t="shared" si="221"/>
        <v>23220.128112903181</v>
      </c>
      <c r="Y181" s="102">
        <f t="shared" si="221"/>
        <v>19275.81493172891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0</v>
      </c>
      <c r="Q182" s="102">
        <f t="shared" si="223"/>
        <v>43657.635823105891</v>
      </c>
      <c r="R182" s="102">
        <f t="shared" si="223"/>
        <v>43657.635823105891</v>
      </c>
      <c r="S182" s="102">
        <f t="shared" si="223"/>
        <v>43657.635823105891</v>
      </c>
      <c r="T182" s="102">
        <f t="shared" si="223"/>
        <v>43657.635823105891</v>
      </c>
      <c r="U182" s="102">
        <f t="shared" si="223"/>
        <v>43657.635823105891</v>
      </c>
      <c r="V182" s="102">
        <f t="shared" si="223"/>
        <v>43657.635823105891</v>
      </c>
      <c r="W182" s="102">
        <f t="shared" si="221"/>
        <v>43657.635823105891</v>
      </c>
      <c r="X182" s="102">
        <f t="shared" si="221"/>
        <v>43401.457028142766</v>
      </c>
      <c r="Y182" s="102">
        <f t="shared" si="221"/>
        <v>43521.175464877873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13291.478188008075</v>
      </c>
      <c r="C183" s="28">
        <f t="shared" si="223"/>
        <v>13358.17215192418</v>
      </c>
      <c r="D183" s="28">
        <f t="shared" si="223"/>
        <v>14000.90129588839</v>
      </c>
      <c r="E183" s="28">
        <f t="shared" si="223"/>
        <v>14278.550106309702</v>
      </c>
      <c r="F183" s="28">
        <f t="shared" si="223"/>
        <v>14838.125161880118</v>
      </c>
      <c r="G183" s="28">
        <f t="shared" si="223"/>
        <v>15164.811759703463</v>
      </c>
      <c r="H183" s="28">
        <f t="shared" si="223"/>
        <v>14971.013408974815</v>
      </c>
      <c r="I183" s="28">
        <f t="shared" si="223"/>
        <v>15110.203006208272</v>
      </c>
      <c r="J183" s="28">
        <f t="shared" si="223"/>
        <v>14476.196336829193</v>
      </c>
      <c r="K183" s="28">
        <f t="shared" si="223"/>
        <v>14216.894778395612</v>
      </c>
      <c r="L183" s="28">
        <f t="shared" si="223"/>
        <v>13686.570629676795</v>
      </c>
      <c r="M183" s="28">
        <f t="shared" si="222"/>
        <v>13748.877033419276</v>
      </c>
      <c r="N183" s="28">
        <f t="shared" si="223"/>
        <v>13730.103476127786</v>
      </c>
      <c r="O183" s="28">
        <f t="shared" si="223"/>
        <v>13673.827272295055</v>
      </c>
      <c r="P183" s="28">
        <f t="shared" si="223"/>
        <v>13244.891147391063</v>
      </c>
      <c r="Q183" s="28">
        <f t="shared" si="223"/>
        <v>13416.300859185965</v>
      </c>
      <c r="R183" s="28">
        <f t="shared" si="223"/>
        <v>13535.117523750618</v>
      </c>
      <c r="S183" s="28">
        <f t="shared" si="223"/>
        <v>14109.095760415839</v>
      </c>
      <c r="T183" s="28">
        <f t="shared" si="223"/>
        <v>14208.267728224528</v>
      </c>
      <c r="U183" s="28">
        <f t="shared" si="223"/>
        <v>13946.78973278215</v>
      </c>
      <c r="V183" s="28">
        <f t="shared" si="223"/>
        <v>13781.645112496828</v>
      </c>
      <c r="W183" s="28">
        <f t="shared" si="221"/>
        <v>14077.699921394003</v>
      </c>
      <c r="X183" s="28">
        <f t="shared" si="221"/>
        <v>14267.23376395953</v>
      </c>
      <c r="Y183" s="28">
        <f t="shared" si="221"/>
        <v>14610.888987799333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12619.381452975818</v>
      </c>
      <c r="C184" s="137">
        <f t="shared" si="223"/>
        <v>12970.593939599505</v>
      </c>
      <c r="D184" s="137">
        <f t="shared" si="223"/>
        <v>13257.200690967407</v>
      </c>
      <c r="E184" s="137">
        <f t="shared" si="223"/>
        <v>13559.803750169714</v>
      </c>
      <c r="F184" s="137">
        <f t="shared" si="223"/>
        <v>13863.843858668783</v>
      </c>
      <c r="G184" s="137">
        <f t="shared" si="223"/>
        <v>14174.509900000607</v>
      </c>
      <c r="H184" s="137">
        <f t="shared" si="223"/>
        <v>14493.880155059998</v>
      </c>
      <c r="I184" s="137">
        <f t="shared" si="223"/>
        <v>14652.205809867324</v>
      </c>
      <c r="J184" s="137">
        <f t="shared" si="223"/>
        <v>14609.391053175643</v>
      </c>
      <c r="K184" s="137">
        <f t="shared" si="223"/>
        <v>14300.803614125667</v>
      </c>
      <c r="L184" s="137">
        <f t="shared" si="223"/>
        <v>13978.009317335438</v>
      </c>
      <c r="M184" s="137">
        <f t="shared" si="222"/>
        <v>14245.687242703505</v>
      </c>
      <c r="N184" s="137">
        <f t="shared" si="223"/>
        <v>14501.995758356268</v>
      </c>
      <c r="O184" s="137">
        <f t="shared" si="223"/>
        <v>14518.416788998309</v>
      </c>
      <c r="P184" s="137">
        <f t="shared" si="223"/>
        <v>14235.119901391377</v>
      </c>
      <c r="Q184" s="137">
        <f t="shared" si="223"/>
        <v>14085.321425513926</v>
      </c>
      <c r="R184" s="137">
        <f t="shared" si="223"/>
        <v>13869.143102324342</v>
      </c>
      <c r="S184" s="137">
        <f t="shared" si="223"/>
        <v>14210.287526047434</v>
      </c>
      <c r="T184" s="137">
        <f t="shared" si="223"/>
        <v>14562.825796248198</v>
      </c>
      <c r="U184" s="137">
        <f t="shared" si="223"/>
        <v>14478.764509193797</v>
      </c>
      <c r="V184" s="137">
        <f t="shared" si="223"/>
        <v>14233.294315014406</v>
      </c>
      <c r="W184" s="137">
        <f t="shared" si="221"/>
        <v>14567.020001897958</v>
      </c>
      <c r="X184" s="137">
        <f t="shared" si="221"/>
        <v>14899.683466381972</v>
      </c>
      <c r="Y184" s="137">
        <f t="shared" si="221"/>
        <v>15249.370668730524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12651.090583197618</v>
      </c>
      <c r="C185" s="84">
        <f t="shared" si="223"/>
        <v>12848.070944645951</v>
      </c>
      <c r="D185" s="84">
        <f t="shared" si="223"/>
        <v>12966.640966915393</v>
      </c>
      <c r="E185" s="84">
        <f t="shared" si="223"/>
        <v>13087.452074375498</v>
      </c>
      <c r="F185" s="84">
        <f t="shared" si="223"/>
        <v>13197.50259073196</v>
      </c>
      <c r="G185" s="84">
        <f t="shared" si="223"/>
        <v>13304.635457847435</v>
      </c>
      <c r="H185" s="84">
        <f t="shared" si="223"/>
        <v>13414.798245426731</v>
      </c>
      <c r="I185" s="84">
        <f t="shared" si="223"/>
        <v>13364.556832135348</v>
      </c>
      <c r="J185" s="84">
        <f t="shared" si="223"/>
        <v>13151.209113612753</v>
      </c>
      <c r="K185" s="84">
        <f t="shared" si="223"/>
        <v>12694.828616445418</v>
      </c>
      <c r="L185" s="84">
        <f t="shared" si="223"/>
        <v>12232.580239931902</v>
      </c>
      <c r="M185" s="84">
        <f t="shared" si="222"/>
        <v>12286.693240913821</v>
      </c>
      <c r="N185" s="84">
        <f t="shared" si="223"/>
        <v>12306.465940482954</v>
      </c>
      <c r="O185" s="84">
        <f t="shared" si="223"/>
        <v>12145.885424499855</v>
      </c>
      <c r="P185" s="84">
        <f t="shared" si="223"/>
        <v>11740.681678625257</v>
      </c>
      <c r="Q185" s="84">
        <f t="shared" si="223"/>
        <v>11430.842048767932</v>
      </c>
      <c r="R185" s="84">
        <f t="shared" si="223"/>
        <v>11414.241476198904</v>
      </c>
      <c r="S185" s="84">
        <f t="shared" si="223"/>
        <v>11864.851362768917</v>
      </c>
      <c r="T185" s="84">
        <f t="shared" si="223"/>
        <v>12331.811300496536</v>
      </c>
      <c r="U185" s="84">
        <f t="shared" si="223"/>
        <v>12435.787865883396</v>
      </c>
      <c r="V185" s="84">
        <f t="shared" si="223"/>
        <v>12400.127275269779</v>
      </c>
      <c r="W185" s="84">
        <f t="shared" si="221"/>
        <v>12875.986312516143</v>
      </c>
      <c r="X185" s="84">
        <f t="shared" si="221"/>
        <v>13361.895818996471</v>
      </c>
      <c r="Y185" s="84">
        <f t="shared" si="221"/>
        <v>13876.97722069914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12612.09130693418</v>
      </c>
      <c r="C186" s="84">
        <f t="shared" si="223"/>
        <v>12998.178252389294</v>
      </c>
      <c r="D186" s="84">
        <f t="shared" si="223"/>
        <v>13314.90556201582</v>
      </c>
      <c r="E186" s="84">
        <f t="shared" si="223"/>
        <v>13640.545897374321</v>
      </c>
      <c r="F186" s="84">
        <f t="shared" si="223"/>
        <v>13961.576010249399</v>
      </c>
      <c r="G186" s="84">
        <f t="shared" si="223"/>
        <v>14286.035037742729</v>
      </c>
      <c r="H186" s="84">
        <f t="shared" si="223"/>
        <v>14620.388701447631</v>
      </c>
      <c r="I186" s="84">
        <f t="shared" si="223"/>
        <v>14784.116564082076</v>
      </c>
      <c r="J186" s="84">
        <f t="shared" si="223"/>
        <v>14766.329037350672</v>
      </c>
      <c r="K186" s="84">
        <f t="shared" si="223"/>
        <v>14467.708256012067</v>
      </c>
      <c r="L186" s="84">
        <f t="shared" si="223"/>
        <v>14150.018766604988</v>
      </c>
      <c r="M186" s="84">
        <f t="shared" si="222"/>
        <v>14425.803107465113</v>
      </c>
      <c r="N186" s="84">
        <f t="shared" si="223"/>
        <v>14665.753501942454</v>
      </c>
      <c r="O186" s="84">
        <f t="shared" si="223"/>
        <v>14691.503718323662</v>
      </c>
      <c r="P186" s="84">
        <f t="shared" si="223"/>
        <v>14414.395200211957</v>
      </c>
      <c r="Q186" s="84">
        <f t="shared" si="223"/>
        <v>14244.505511809102</v>
      </c>
      <c r="R186" s="84">
        <f t="shared" si="223"/>
        <v>14013.614545748154</v>
      </c>
      <c r="S186" s="84">
        <f t="shared" si="223"/>
        <v>14351.568602966216</v>
      </c>
      <c r="T186" s="84">
        <f t="shared" si="223"/>
        <v>14695.957851767569</v>
      </c>
      <c r="U186" s="84">
        <f t="shared" si="223"/>
        <v>14600.855065060214</v>
      </c>
      <c r="V186" s="84">
        <f t="shared" si="223"/>
        <v>14343.828547355972</v>
      </c>
      <c r="W186" s="84">
        <f t="shared" si="221"/>
        <v>14674.165292516467</v>
      </c>
      <c r="X186" s="84">
        <f t="shared" si="221"/>
        <v>15002.890496347709</v>
      </c>
      <c r="Y186" s="84">
        <f t="shared" si="221"/>
        <v>15350.965345488989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9318.5789032258363</v>
      </c>
      <c r="J187" s="84">
        <f t="shared" si="223"/>
        <v>9306.8070156612248</v>
      </c>
      <c r="K187" s="84">
        <f t="shared" si="223"/>
        <v>9109.2845729658566</v>
      </c>
      <c r="L187" s="84">
        <f t="shared" si="223"/>
        <v>8899.3729342843253</v>
      </c>
      <c r="M187" s="84">
        <f t="shared" si="222"/>
        <v>9081.5826617733946</v>
      </c>
      <c r="N187" s="84">
        <f t="shared" si="223"/>
        <v>9240.258909326174</v>
      </c>
      <c r="O187" s="84">
        <f t="shared" si="223"/>
        <v>9257.2949627478592</v>
      </c>
      <c r="P187" s="84">
        <f t="shared" si="223"/>
        <v>9074.0420213398302</v>
      </c>
      <c r="Q187" s="84">
        <f t="shared" si="223"/>
        <v>9144.6736390143469</v>
      </c>
      <c r="R187" s="84">
        <f t="shared" si="223"/>
        <v>8809.3165509222235</v>
      </c>
      <c r="S187" s="84">
        <f t="shared" si="223"/>
        <v>9032.5189176572076</v>
      </c>
      <c r="T187" s="84">
        <f t="shared" si="223"/>
        <v>9260.2419188524163</v>
      </c>
      <c r="U187" s="84">
        <f t="shared" si="223"/>
        <v>9197.3294737110373</v>
      </c>
      <c r="V187" s="84">
        <f t="shared" si="223"/>
        <v>9027.4040190166616</v>
      </c>
      <c r="W187" s="84">
        <f t="shared" si="221"/>
        <v>9245.8238909673219</v>
      </c>
      <c r="X187" s="84">
        <f t="shared" si="221"/>
        <v>9463.4224230741565</v>
      </c>
      <c r="Y187" s="84">
        <f t="shared" si="221"/>
        <v>9694.0892938457346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8172.4045297251951</v>
      </c>
      <c r="L188" s="84">
        <f t="shared" si="223"/>
        <v>8147.0225260443403</v>
      </c>
      <c r="M188" s="84">
        <f t="shared" si="222"/>
        <v>8483.4982612121057</v>
      </c>
      <c r="N188" s="84">
        <f t="shared" si="223"/>
        <v>8807.882236117619</v>
      </c>
      <c r="O188" s="84">
        <f t="shared" si="223"/>
        <v>9004.2052312078176</v>
      </c>
      <c r="P188" s="84">
        <f t="shared" si="223"/>
        <v>9006.0840121701294</v>
      </c>
      <c r="Q188" s="84">
        <f t="shared" si="223"/>
        <v>9076.1866501341374</v>
      </c>
      <c r="R188" s="84">
        <f t="shared" si="223"/>
        <v>8743.3411439824649</v>
      </c>
      <c r="S188" s="84">
        <f t="shared" si="223"/>
        <v>8785.5744487600332</v>
      </c>
      <c r="T188" s="84">
        <f t="shared" si="223"/>
        <v>8826.9301866520673</v>
      </c>
      <c r="U188" s="84">
        <f t="shared" si="223"/>
        <v>8591.6223530564766</v>
      </c>
      <c r="V188" s="84">
        <f t="shared" si="223"/>
        <v>8264.2298999852464</v>
      </c>
      <c r="W188" s="84">
        <f t="shared" si="221"/>
        <v>8294.9009268881891</v>
      </c>
      <c r="X188" s="84">
        <f t="shared" si="221"/>
        <v>8320.3172921423647</v>
      </c>
      <c r="Y188" s="84">
        <f t="shared" si="221"/>
        <v>8352.659035357352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10182.372449089153</v>
      </c>
      <c r="F189" s="84">
        <f t="shared" si="223"/>
        <v>10194.222615684545</v>
      </c>
      <c r="G189" s="84">
        <f t="shared" si="223"/>
        <v>10205.939194187986</v>
      </c>
      <c r="H189" s="84">
        <f t="shared" si="223"/>
        <v>10217.751516041882</v>
      </c>
      <c r="I189" s="84">
        <f t="shared" si="223"/>
        <v>10223.442527474239</v>
      </c>
      <c r="J189" s="84">
        <f t="shared" si="223"/>
        <v>10224.05793360003</v>
      </c>
      <c r="K189" s="84">
        <f t="shared" si="223"/>
        <v>10234.507336560931</v>
      </c>
      <c r="L189" s="84">
        <f t="shared" si="223"/>
        <v>10245.875585710824</v>
      </c>
      <c r="M189" s="84">
        <f t="shared" si="222"/>
        <v>10255.768927808971</v>
      </c>
      <c r="N189" s="84">
        <f t="shared" si="223"/>
        <v>10264.231681606538</v>
      </c>
      <c r="O189" s="84">
        <f t="shared" si="223"/>
        <v>10265.132030860947</v>
      </c>
      <c r="P189" s="84">
        <f t="shared" si="223"/>
        <v>10274.910104043282</v>
      </c>
      <c r="Q189" s="84">
        <f t="shared" si="223"/>
        <v>10281.00293799777</v>
      </c>
      <c r="R189" s="84">
        <f t="shared" si="223"/>
        <v>10272.605797783535</v>
      </c>
      <c r="S189" s="84">
        <f t="shared" si="223"/>
        <v>10260.373317006279</v>
      </c>
      <c r="T189" s="84">
        <f t="shared" si="223"/>
        <v>10248.215194799657</v>
      </c>
      <c r="U189" s="84">
        <f t="shared" si="223"/>
        <v>10244.888965854134</v>
      </c>
      <c r="V189" s="84">
        <f t="shared" si="223"/>
        <v>10109.329510600513</v>
      </c>
      <c r="W189" s="84">
        <f t="shared" si="221"/>
        <v>10242.323766345025</v>
      </c>
      <c r="X189" s="84">
        <f t="shared" si="221"/>
        <v>10230.984422180793</v>
      </c>
      <c r="Y189" s="84">
        <f t="shared" si="221"/>
        <v>10219.258520670897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14481.400759993086</v>
      </c>
      <c r="C190" s="110">
        <f t="shared" si="223"/>
        <v>13979.363951753812</v>
      </c>
      <c r="D190" s="110">
        <f t="shared" si="223"/>
        <v>15178.695755276844</v>
      </c>
      <c r="E190" s="110">
        <f t="shared" si="223"/>
        <v>15407.034519016197</v>
      </c>
      <c r="F190" s="110">
        <f t="shared" si="223"/>
        <v>16395.524562150971</v>
      </c>
      <c r="G190" s="110">
        <f t="shared" si="223"/>
        <v>16855.513697199756</v>
      </c>
      <c r="H190" s="110">
        <f t="shared" si="223"/>
        <v>15720.263809866528</v>
      </c>
      <c r="I190" s="110">
        <f t="shared" si="223"/>
        <v>15813.255778242556</v>
      </c>
      <c r="J190" s="110">
        <f t="shared" si="223"/>
        <v>14274.530630295949</v>
      </c>
      <c r="K190" s="110">
        <f t="shared" si="223"/>
        <v>14071.706879248328</v>
      </c>
      <c r="L190" s="110">
        <f t="shared" si="223"/>
        <v>13212.714064139585</v>
      </c>
      <c r="M190" s="110">
        <f t="shared" si="222"/>
        <v>12964.801540449951</v>
      </c>
      <c r="N190" s="110">
        <f t="shared" si="223"/>
        <v>12570.086816843368</v>
      </c>
      <c r="O190" s="110">
        <f t="shared" si="223"/>
        <v>12443.89455543791</v>
      </c>
      <c r="P190" s="110">
        <f t="shared" si="223"/>
        <v>11816.052965138539</v>
      </c>
      <c r="Q190" s="110">
        <f t="shared" si="223"/>
        <v>12306.132612166712</v>
      </c>
      <c r="R190" s="110">
        <f t="shared" si="223"/>
        <v>12919.416431458449</v>
      </c>
      <c r="S190" s="110">
        <f t="shared" si="223"/>
        <v>13914.376723308007</v>
      </c>
      <c r="T190" s="110">
        <f t="shared" si="223"/>
        <v>13480.954022722719</v>
      </c>
      <c r="U190" s="110">
        <f t="shared" si="223"/>
        <v>12795.152373194647</v>
      </c>
      <c r="V190" s="110">
        <f t="shared" si="223"/>
        <v>12779.270968920062</v>
      </c>
      <c r="W190" s="110">
        <f t="shared" si="221"/>
        <v>12942.974718903528</v>
      </c>
      <c r="X190" s="110">
        <f t="shared" si="221"/>
        <v>12776.040251086843</v>
      </c>
      <c r="Y190" s="110">
        <f t="shared" si="221"/>
        <v>13061.773569617708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6176.6305076940453</v>
      </c>
      <c r="C191" s="102">
        <f t="shared" si="223"/>
        <v>7482.7064411605961</v>
      </c>
      <c r="D191" s="102">
        <f t="shared" si="223"/>
        <v>9055.0217691593389</v>
      </c>
      <c r="E191" s="102">
        <f t="shared" si="223"/>
        <v>9724.7850027802979</v>
      </c>
      <c r="F191" s="102">
        <f t="shared" si="223"/>
        <v>9983.3722168728546</v>
      </c>
      <c r="G191" s="102">
        <f t="shared" si="223"/>
        <v>10163.922237276147</v>
      </c>
      <c r="H191" s="102">
        <f t="shared" si="223"/>
        <v>10422.550892823196</v>
      </c>
      <c r="I191" s="102">
        <f t="shared" si="223"/>
        <v>10198.343756184204</v>
      </c>
      <c r="J191" s="102">
        <f t="shared" si="223"/>
        <v>10721.144395215557</v>
      </c>
      <c r="K191" s="102">
        <f t="shared" si="223"/>
        <v>10485.40970119208</v>
      </c>
      <c r="L191" s="102">
        <f t="shared" si="223"/>
        <v>9746.6893974617287</v>
      </c>
      <c r="M191" s="102">
        <f t="shared" si="222"/>
        <v>9540.6540705090047</v>
      </c>
      <c r="N191" s="102">
        <f t="shared" si="223"/>
        <v>9121.8278538414579</v>
      </c>
      <c r="O191" s="102">
        <f t="shared" si="223"/>
        <v>8949.8705737053133</v>
      </c>
      <c r="P191" s="102">
        <f t="shared" si="223"/>
        <v>8154.4212511164778</v>
      </c>
      <c r="Q191" s="102">
        <f t="shared" si="223"/>
        <v>8151.8631663208798</v>
      </c>
      <c r="R191" s="102">
        <f t="shared" si="223"/>
        <v>8545.2798705567075</v>
      </c>
      <c r="S191" s="102">
        <f t="shared" si="223"/>
        <v>8749.8973980136252</v>
      </c>
      <c r="T191" s="102">
        <f t="shared" si="223"/>
        <v>8443.6184189444684</v>
      </c>
      <c r="U191" s="102">
        <f t="shared" si="223"/>
        <v>8350.9909011591681</v>
      </c>
      <c r="V191" s="102">
        <f t="shared" si="223"/>
        <v>8308.0996363304366</v>
      </c>
      <c r="W191" s="102">
        <f t="shared" si="221"/>
        <v>8883.3243903893162</v>
      </c>
      <c r="X191" s="102">
        <f t="shared" si="221"/>
        <v>8652.121071821286</v>
      </c>
      <c r="Y191" s="102">
        <f t="shared" si="221"/>
        <v>8749.666979822483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84996.449993150411</v>
      </c>
      <c r="C192" s="86">
        <f t="shared" si="223"/>
        <v>84996.911173796077</v>
      </c>
      <c r="D192" s="86">
        <f t="shared" si="223"/>
        <v>85010.118255492227</v>
      </c>
      <c r="E192" s="86">
        <f t="shared" si="223"/>
        <v>85002.031760044527</v>
      </c>
      <c r="F192" s="86">
        <f t="shared" si="223"/>
        <v>85006.073019791365</v>
      </c>
      <c r="G192" s="86">
        <f t="shared" si="223"/>
        <v>84999.243243210818</v>
      </c>
      <c r="H192" s="86">
        <f t="shared" si="223"/>
        <v>85000.393152761186</v>
      </c>
      <c r="I192" s="86">
        <f t="shared" si="223"/>
        <v>84993.940636990723</v>
      </c>
      <c r="J192" s="86">
        <f t="shared" si="223"/>
        <v>84990.445500022528</v>
      </c>
      <c r="K192" s="86">
        <f t="shared" si="223"/>
        <v>84987.040520930284</v>
      </c>
      <c r="L192" s="86">
        <f t="shared" si="223"/>
        <v>84994.282687053259</v>
      </c>
      <c r="M192" s="86">
        <f t="shared" si="222"/>
        <v>85001.75874259579</v>
      </c>
      <c r="N192" s="86">
        <f t="shared" si="223"/>
        <v>84989.840532489688</v>
      </c>
      <c r="O192" s="86">
        <f t="shared" si="223"/>
        <v>85009.346237893464</v>
      </c>
      <c r="P192" s="86">
        <f t="shared" si="223"/>
        <v>84997.848061451208</v>
      </c>
      <c r="Q192" s="86">
        <f t="shared" si="223"/>
        <v>85003.47268894226</v>
      </c>
      <c r="R192" s="86">
        <f t="shared" si="223"/>
        <v>84988.812792153025</v>
      </c>
      <c r="S192" s="86">
        <f t="shared" si="223"/>
        <v>85009.124316597779</v>
      </c>
      <c r="T192" s="86">
        <f t="shared" si="223"/>
        <v>85000.577401752671</v>
      </c>
      <c r="U192" s="86">
        <f t="shared" si="223"/>
        <v>84990.561110508032</v>
      </c>
      <c r="V192" s="86">
        <f t="shared" ref="V192:W192" si="224">IF(V55=0,0,V55*1000000/V82)</f>
        <v>84993.797586383225</v>
      </c>
      <c r="W192" s="86">
        <f t="shared" si="224"/>
        <v>84998.546105325659</v>
      </c>
      <c r="X192" s="86">
        <f t="shared" ref="X192:Y192" si="225">IF(X55=0,0,X55*1000000/X82)</f>
        <v>85008.376286088896</v>
      </c>
      <c r="Y192" s="86">
        <f t="shared" si="225"/>
        <v>84997.798286442543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19228.821949236262</v>
      </c>
      <c r="C195" s="28">
        <f t="shared" si="226"/>
        <v>19333.355936448606</v>
      </c>
      <c r="D195" s="28">
        <f t="shared" si="226"/>
        <v>19469.674480367779</v>
      </c>
      <c r="E195" s="28">
        <f t="shared" si="226"/>
        <v>19006.953070960299</v>
      </c>
      <c r="F195" s="28">
        <f t="shared" si="226"/>
        <v>18686.589068528363</v>
      </c>
      <c r="G195" s="28">
        <f t="shared" si="226"/>
        <v>18299.556465718535</v>
      </c>
      <c r="H195" s="28">
        <f t="shared" si="226"/>
        <v>18243.448544124163</v>
      </c>
      <c r="I195" s="28">
        <f t="shared" si="226"/>
        <v>18025.113637640367</v>
      </c>
      <c r="J195" s="28">
        <f t="shared" si="226"/>
        <v>18283.178779533639</v>
      </c>
      <c r="K195" s="28">
        <f t="shared" si="226"/>
        <v>17872.553829906381</v>
      </c>
      <c r="L195" s="28">
        <f t="shared" si="226"/>
        <v>17324.649305102757</v>
      </c>
      <c r="M195" s="28">
        <f>IF(M4=0,0,M4*1000000/M58)</f>
        <v>17026.452028378317</v>
      </c>
      <c r="N195" s="28">
        <f t="shared" ref="N195:V195" si="227">IF(N4=0,0,N4*1000000/N58)</f>
        <v>18395.525458994802</v>
      </c>
      <c r="O195" s="28">
        <f t="shared" si="227"/>
        <v>17969.834173154988</v>
      </c>
      <c r="P195" s="28">
        <f t="shared" si="227"/>
        <v>17725.436247629288</v>
      </c>
      <c r="Q195" s="28">
        <f t="shared" si="227"/>
        <v>18065.936033001581</v>
      </c>
      <c r="R195" s="28">
        <f t="shared" si="227"/>
        <v>17641.770052253207</v>
      </c>
      <c r="S195" s="28">
        <f t="shared" si="227"/>
        <v>17401.756501554184</v>
      </c>
      <c r="T195" s="28">
        <f t="shared" si="227"/>
        <v>16214.570781687184</v>
      </c>
      <c r="U195" s="28">
        <f t="shared" si="227"/>
        <v>15678.969585508929</v>
      </c>
      <c r="V195" s="28">
        <f t="shared" si="227"/>
        <v>11781.574783742284</v>
      </c>
      <c r="W195" s="28">
        <f t="shared" ref="W195:Y195" si="228">IF(W4=0,0,W4*1000000/W58)</f>
        <v>13145.247454325186</v>
      </c>
      <c r="X195" s="28">
        <f t="shared" si="228"/>
        <v>13567.620013305639</v>
      </c>
      <c r="Y195" s="28">
        <f t="shared" si="228"/>
        <v>13309.17483194186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2083.9877109939011</v>
      </c>
      <c r="C196" s="137">
        <f t="shared" si="229"/>
        <v>2086.0240016501043</v>
      </c>
      <c r="D196" s="137">
        <f t="shared" si="229"/>
        <v>2070.5740033584502</v>
      </c>
      <c r="E196" s="137">
        <f t="shared" si="229"/>
        <v>2007.3563002480964</v>
      </c>
      <c r="F196" s="137">
        <f t="shared" si="229"/>
        <v>1951.7646552747151</v>
      </c>
      <c r="G196" s="137">
        <f t="shared" si="229"/>
        <v>1907.7835277598472</v>
      </c>
      <c r="H196" s="137">
        <f t="shared" si="229"/>
        <v>1854.1378215962704</v>
      </c>
      <c r="I196" s="137">
        <f t="shared" si="229"/>
        <v>1802.6734519411184</v>
      </c>
      <c r="J196" s="137">
        <f t="shared" si="229"/>
        <v>1749.3901565039428</v>
      </c>
      <c r="K196" s="137">
        <f t="shared" si="229"/>
        <v>1735.8669006236103</v>
      </c>
      <c r="L196" s="137">
        <f t="shared" si="229"/>
        <v>1735.4405034161196</v>
      </c>
      <c r="M196" s="137">
        <f>IF(M5=0,0,M5*1000000/M59)</f>
        <v>1737.5486468903689</v>
      </c>
      <c r="N196" s="137">
        <f t="shared" ref="N196:V196" si="230">IF(N5=0,0,N5*1000000/N59)</f>
        <v>1699.1519585874473</v>
      </c>
      <c r="O196" s="137">
        <f t="shared" si="230"/>
        <v>1712.8841891821214</v>
      </c>
      <c r="P196" s="137">
        <f t="shared" si="230"/>
        <v>1729.3847812840638</v>
      </c>
      <c r="Q196" s="137">
        <f t="shared" si="230"/>
        <v>1753.6786263199485</v>
      </c>
      <c r="R196" s="137">
        <f t="shared" si="230"/>
        <v>1843.306000872358</v>
      </c>
      <c r="S196" s="137">
        <f t="shared" si="230"/>
        <v>1899.0460465537367</v>
      </c>
      <c r="T196" s="137">
        <f t="shared" si="230"/>
        <v>1896.2925847386691</v>
      </c>
      <c r="U196" s="137">
        <f t="shared" si="230"/>
        <v>1948.2590430119924</v>
      </c>
      <c r="V196" s="137">
        <f t="shared" si="230"/>
        <v>1714.4975863478069</v>
      </c>
      <c r="W196" s="137">
        <f t="shared" ref="W196:Y196" si="231">IF(W5=0,0,W5*1000000/W59)</f>
        <v>2065.6097356765258</v>
      </c>
      <c r="X196" s="137">
        <f t="shared" si="231"/>
        <v>2108.7989302888818</v>
      </c>
      <c r="Y196" s="137">
        <f t="shared" si="231"/>
        <v>2167.3331863520802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17667.844522968197</v>
      </c>
      <c r="C197" s="110">
        <f t="shared" si="232"/>
        <v>17721.518987341773</v>
      </c>
      <c r="D197" s="110">
        <f t="shared" si="232"/>
        <v>17915.309446254068</v>
      </c>
      <c r="E197" s="110">
        <f t="shared" si="232"/>
        <v>17550.702028081123</v>
      </c>
      <c r="F197" s="110">
        <f t="shared" si="232"/>
        <v>17682.468021068471</v>
      </c>
      <c r="G197" s="110">
        <f t="shared" si="232"/>
        <v>17467.248908296944</v>
      </c>
      <c r="H197" s="110">
        <f t="shared" si="232"/>
        <v>17531.556802244038</v>
      </c>
      <c r="I197" s="110">
        <f t="shared" si="232"/>
        <v>17218.543046357616</v>
      </c>
      <c r="J197" s="110">
        <f t="shared" si="232"/>
        <v>17408.123791102513</v>
      </c>
      <c r="K197" s="110">
        <f t="shared" si="232"/>
        <v>17391.304347826088</v>
      </c>
      <c r="L197" s="110">
        <f t="shared" si="232"/>
        <v>16896.778435239972</v>
      </c>
      <c r="M197" s="110">
        <f>IF(M6=0,0,M6*1000000/M60)</f>
        <v>16628.458498023716</v>
      </c>
      <c r="N197" s="110">
        <f t="shared" ref="N197:V197" si="233">IF(N6=0,0,N6*1000000/N60)</f>
        <v>18094.809688581317</v>
      </c>
      <c r="O197" s="110">
        <f t="shared" si="233"/>
        <v>17441.627751834556</v>
      </c>
      <c r="P197" s="110">
        <f t="shared" si="233"/>
        <v>17074.924035362139</v>
      </c>
      <c r="Q197" s="110">
        <f t="shared" si="233"/>
        <v>17597.656223954895</v>
      </c>
      <c r="R197" s="110">
        <f t="shared" si="233"/>
        <v>16859.380876087642</v>
      </c>
      <c r="S197" s="110">
        <f t="shared" si="233"/>
        <v>16408.253434806502</v>
      </c>
      <c r="T197" s="110">
        <f t="shared" si="233"/>
        <v>15358.737599862699</v>
      </c>
      <c r="U197" s="110">
        <f t="shared" si="233"/>
        <v>14709.258507739582</v>
      </c>
      <c r="V197" s="110">
        <f t="shared" si="233"/>
        <v>11576.002771597994</v>
      </c>
      <c r="W197" s="110">
        <f t="shared" ref="W197:Y209" si="234">IF(W6=0,0,W6*1000000/W60)</f>
        <v>12885.241427708143</v>
      </c>
      <c r="X197" s="110">
        <f t="shared" si="234"/>
        <v>12940.258055473612</v>
      </c>
      <c r="Y197" s="110">
        <f t="shared" si="234"/>
        <v>12581.859568793971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17359.074794568161</v>
      </c>
      <c r="C198" s="84">
        <f t="shared" si="232"/>
        <v>17472.436768353436</v>
      </c>
      <c r="D198" s="84">
        <f t="shared" si="232"/>
        <v>17522.729890099145</v>
      </c>
      <c r="E198" s="84">
        <f t="shared" si="232"/>
        <v>16099.668978788877</v>
      </c>
      <c r="F198" s="84">
        <f t="shared" si="232"/>
        <v>15724.248288497789</v>
      </c>
      <c r="G198" s="84">
        <f t="shared" si="232"/>
        <v>14956.161302146545</v>
      </c>
      <c r="H198" s="84">
        <f t="shared" si="232"/>
        <v>14213.243399643217</v>
      </c>
      <c r="I198" s="84">
        <f t="shared" si="232"/>
        <v>13529.907798090251</v>
      </c>
      <c r="J198" s="84">
        <f t="shared" si="232"/>
        <v>15049.758536134847</v>
      </c>
      <c r="K198" s="84">
        <f t="shared" si="232"/>
        <v>15318.671863341437</v>
      </c>
      <c r="L198" s="84">
        <f t="shared" si="232"/>
        <v>14855.148644953106</v>
      </c>
      <c r="M198" s="84">
        <f t="shared" ref="M198:M219" si="235">IF(M7=0,0,M7*1000000/M61)</f>
        <v>14416.985932298921</v>
      </c>
      <c r="N198" s="84">
        <f t="shared" si="232"/>
        <v>15603.334712846172</v>
      </c>
      <c r="O198" s="84">
        <f t="shared" si="232"/>
        <v>14699.921488433794</v>
      </c>
      <c r="P198" s="84">
        <f t="shared" si="232"/>
        <v>13482.263109514653</v>
      </c>
      <c r="Q198" s="84">
        <f t="shared" si="232"/>
        <v>14097.158455445508</v>
      </c>
      <c r="R198" s="84">
        <f t="shared" si="232"/>
        <v>13364.49704959571</v>
      </c>
      <c r="S198" s="84">
        <f t="shared" si="232"/>
        <v>13129.585797372663</v>
      </c>
      <c r="T198" s="84">
        <f t="shared" si="232"/>
        <v>12896.480725061607</v>
      </c>
      <c r="U198" s="84">
        <f t="shared" si="232"/>
        <v>12309.134343224039</v>
      </c>
      <c r="V198" s="84">
        <f t="shared" si="232"/>
        <v>9657.6381351203127</v>
      </c>
      <c r="W198" s="84">
        <f t="shared" si="234"/>
        <v>10668.74002649131</v>
      </c>
      <c r="X198" s="84">
        <f t="shared" si="234"/>
        <v>10098.011377843577</v>
      </c>
      <c r="Y198" s="84">
        <f t="shared" si="234"/>
        <v>9750.8719163889691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18734.88592748631</v>
      </c>
      <c r="C199" s="84">
        <f t="shared" si="232"/>
        <v>18431.070037627531</v>
      </c>
      <c r="D199" s="84">
        <f t="shared" si="232"/>
        <v>18996.474395861333</v>
      </c>
      <c r="E199" s="84">
        <f t="shared" si="232"/>
        <v>21536.898482444001</v>
      </c>
      <c r="F199" s="84">
        <f t="shared" si="232"/>
        <v>22440.332707595026</v>
      </c>
      <c r="G199" s="84">
        <f t="shared" si="232"/>
        <v>23047.31531450613</v>
      </c>
      <c r="H199" s="84">
        <f t="shared" si="232"/>
        <v>24271.120968910116</v>
      </c>
      <c r="I199" s="84">
        <f t="shared" si="232"/>
        <v>23998.561388661197</v>
      </c>
      <c r="J199" s="84">
        <f t="shared" si="232"/>
        <v>21620.668872783914</v>
      </c>
      <c r="K199" s="84">
        <f t="shared" si="232"/>
        <v>21263.820772148538</v>
      </c>
      <c r="L199" s="84">
        <f t="shared" si="232"/>
        <v>20566.839545101557</v>
      </c>
      <c r="M199" s="84">
        <f t="shared" si="235"/>
        <v>20519.087927124467</v>
      </c>
      <c r="N199" s="84">
        <f t="shared" si="232"/>
        <v>22023.62046686067</v>
      </c>
      <c r="O199" s="84">
        <f t="shared" si="232"/>
        <v>21371.87572230076</v>
      </c>
      <c r="P199" s="84">
        <f t="shared" si="232"/>
        <v>21699.044974450342</v>
      </c>
      <c r="Q199" s="84">
        <f t="shared" si="232"/>
        <v>21699.929842860576</v>
      </c>
      <c r="R199" s="84">
        <f t="shared" si="232"/>
        <v>20756.023751414697</v>
      </c>
      <c r="S199" s="84">
        <f t="shared" si="232"/>
        <v>19882.924848945375</v>
      </c>
      <c r="T199" s="84">
        <f t="shared" si="232"/>
        <v>17871.613322663514</v>
      </c>
      <c r="U199" s="84">
        <f t="shared" si="232"/>
        <v>17020.250777326451</v>
      </c>
      <c r="V199" s="84">
        <f t="shared" si="232"/>
        <v>13374.728215494888</v>
      </c>
      <c r="W199" s="84">
        <f t="shared" si="234"/>
        <v>14935.536647877609</v>
      </c>
      <c r="X199" s="84">
        <f t="shared" si="234"/>
        <v>15404.193477912224</v>
      </c>
      <c r="Y199" s="84">
        <f t="shared" si="234"/>
        <v>15047.992892281527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20116.18204406837</v>
      </c>
      <c r="C200" s="84">
        <f t="shared" si="232"/>
        <v>20696.114989791418</v>
      </c>
      <c r="D200" s="84">
        <f t="shared" si="232"/>
        <v>21035.234772810942</v>
      </c>
      <c r="E200" s="84">
        <f t="shared" si="232"/>
        <v>19827.728383393318</v>
      </c>
      <c r="F200" s="84">
        <f t="shared" si="232"/>
        <v>20282.510738203124</v>
      </c>
      <c r="G200" s="84">
        <f t="shared" si="232"/>
        <v>19758.682783685988</v>
      </c>
      <c r="H200" s="84">
        <f t="shared" si="232"/>
        <v>20389.314092135584</v>
      </c>
      <c r="I200" s="84">
        <f t="shared" si="232"/>
        <v>19769.92265699862</v>
      </c>
      <c r="J200" s="84">
        <f t="shared" si="232"/>
        <v>18633.108445008133</v>
      </c>
      <c r="K200" s="84">
        <f t="shared" si="232"/>
        <v>16875.403585716154</v>
      </c>
      <c r="L200" s="84">
        <f t="shared" si="232"/>
        <v>16346.176837478082</v>
      </c>
      <c r="M200" s="84">
        <f t="shared" si="235"/>
        <v>15695.805818188379</v>
      </c>
      <c r="N200" s="84">
        <f t="shared" si="232"/>
        <v>17699.31581888218</v>
      </c>
      <c r="O200" s="84">
        <f t="shared" si="232"/>
        <v>18345.554705772389</v>
      </c>
      <c r="P200" s="84">
        <f t="shared" si="232"/>
        <v>18430.195430197546</v>
      </c>
      <c r="Q200" s="84">
        <f t="shared" si="232"/>
        <v>18769.100796546194</v>
      </c>
      <c r="R200" s="84">
        <f t="shared" si="232"/>
        <v>16395.989224455614</v>
      </c>
      <c r="S200" s="84">
        <f t="shared" si="232"/>
        <v>14933.077940095362</v>
      </c>
      <c r="T200" s="84">
        <f t="shared" si="232"/>
        <v>13112.752884768959</v>
      </c>
      <c r="U200" s="84">
        <f t="shared" si="232"/>
        <v>12034.842500215238</v>
      </c>
      <c r="V200" s="84">
        <f t="shared" si="232"/>
        <v>9040.0941145069355</v>
      </c>
      <c r="W200" s="84">
        <f t="shared" si="234"/>
        <v>9438.8724780302127</v>
      </c>
      <c r="X200" s="84">
        <f t="shared" si="234"/>
        <v>8948.3613560604335</v>
      </c>
      <c r="Y200" s="84">
        <f t="shared" si="234"/>
        <v>8398.1773317943807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0</v>
      </c>
      <c r="J201" s="84">
        <f t="shared" si="232"/>
        <v>0</v>
      </c>
      <c r="K201" s="84">
        <f t="shared" si="232"/>
        <v>21196.08172500836</v>
      </c>
      <c r="L201" s="84">
        <f t="shared" si="232"/>
        <v>20666.756755398335</v>
      </c>
      <c r="M201" s="84">
        <f t="shared" si="235"/>
        <v>20702.495919316527</v>
      </c>
      <c r="N201" s="84">
        <f t="shared" si="232"/>
        <v>23353.040146835032</v>
      </c>
      <c r="O201" s="84">
        <f t="shared" si="232"/>
        <v>23776.815838047296</v>
      </c>
      <c r="P201" s="84">
        <f t="shared" si="232"/>
        <v>22848.93334386784</v>
      </c>
      <c r="Q201" s="84">
        <f t="shared" si="232"/>
        <v>22363.296245398054</v>
      </c>
      <c r="R201" s="84">
        <f t="shared" si="232"/>
        <v>21035.739032686502</v>
      </c>
      <c r="S201" s="84">
        <f t="shared" si="232"/>
        <v>20894.806697475989</v>
      </c>
      <c r="T201" s="84">
        <f t="shared" si="232"/>
        <v>19922.93941751837</v>
      </c>
      <c r="U201" s="84">
        <f t="shared" si="232"/>
        <v>19375.189446097924</v>
      </c>
      <c r="V201" s="84">
        <f t="shared" si="232"/>
        <v>15114.167224586274</v>
      </c>
      <c r="W201" s="84">
        <f t="shared" si="234"/>
        <v>17902.890778517154</v>
      </c>
      <c r="X201" s="84">
        <f t="shared" si="234"/>
        <v>19294.481375497475</v>
      </c>
      <c r="Y201" s="84">
        <f t="shared" si="234"/>
        <v>19107.087479555943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0</v>
      </c>
      <c r="O202" s="84">
        <f t="shared" si="232"/>
        <v>0</v>
      </c>
      <c r="P202" s="84">
        <f t="shared" si="232"/>
        <v>16395.215011154502</v>
      </c>
      <c r="Q202" s="84">
        <f t="shared" si="232"/>
        <v>16606.34377192616</v>
      </c>
      <c r="R202" s="84">
        <f t="shared" si="232"/>
        <v>14943.107818354178</v>
      </c>
      <c r="S202" s="84">
        <f t="shared" si="232"/>
        <v>13894.495136890051</v>
      </c>
      <c r="T202" s="84">
        <f t="shared" si="232"/>
        <v>12988.822912810609</v>
      </c>
      <c r="U202" s="84">
        <f t="shared" si="232"/>
        <v>12936.223265266019</v>
      </c>
      <c r="V202" s="84">
        <f t="shared" si="232"/>
        <v>10441.584200732057</v>
      </c>
      <c r="W202" s="84">
        <f t="shared" si="234"/>
        <v>12556.477460291475</v>
      </c>
      <c r="X202" s="84">
        <f t="shared" si="234"/>
        <v>13540.080121477222</v>
      </c>
      <c r="Y202" s="84">
        <f t="shared" si="234"/>
        <v>13819.310012838934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0</v>
      </c>
      <c r="L203" s="84">
        <f t="shared" si="232"/>
        <v>0</v>
      </c>
      <c r="M203" s="84">
        <f t="shared" si="235"/>
        <v>0</v>
      </c>
      <c r="N203" s="84">
        <f t="shared" si="232"/>
        <v>15991.036953979037</v>
      </c>
      <c r="O203" s="84">
        <f t="shared" si="232"/>
        <v>15998.999041614341</v>
      </c>
      <c r="P203" s="84">
        <f t="shared" si="232"/>
        <v>15876.836702469762</v>
      </c>
      <c r="Q203" s="84">
        <f t="shared" si="232"/>
        <v>15766.363742961797</v>
      </c>
      <c r="R203" s="84">
        <f t="shared" si="232"/>
        <v>14882.58112339342</v>
      </c>
      <c r="S203" s="84">
        <f t="shared" si="232"/>
        <v>14648.686349700962</v>
      </c>
      <c r="T203" s="84">
        <f t="shared" si="232"/>
        <v>14209.225013515181</v>
      </c>
      <c r="U203" s="84">
        <f t="shared" si="232"/>
        <v>14390.892735440402</v>
      </c>
      <c r="V203" s="84">
        <f t="shared" si="232"/>
        <v>12307.293327857346</v>
      </c>
      <c r="W203" s="84">
        <f t="shared" si="234"/>
        <v>14234.37201463529</v>
      </c>
      <c r="X203" s="84">
        <f t="shared" si="234"/>
        <v>14399.314441480765</v>
      </c>
      <c r="Y203" s="84">
        <f t="shared" si="234"/>
        <v>14333.077661175414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385683.33912238048</v>
      </c>
      <c r="C204" s="110">
        <f t="shared" si="232"/>
        <v>399466.68963932927</v>
      </c>
      <c r="D204" s="110">
        <f t="shared" si="232"/>
        <v>407431.6307833257</v>
      </c>
      <c r="E204" s="110">
        <f t="shared" si="232"/>
        <v>423090.49516220839</v>
      </c>
      <c r="F204" s="110">
        <f t="shared" si="232"/>
        <v>384556.82849364792</v>
      </c>
      <c r="G204" s="110">
        <f t="shared" si="232"/>
        <v>385094.93097985972</v>
      </c>
      <c r="H204" s="110">
        <f t="shared" si="232"/>
        <v>398721.22646826738</v>
      </c>
      <c r="I204" s="110">
        <f t="shared" si="232"/>
        <v>420214.08077687043</v>
      </c>
      <c r="J204" s="110">
        <f t="shared" si="232"/>
        <v>448749.0681868011</v>
      </c>
      <c r="K204" s="110">
        <f t="shared" si="232"/>
        <v>377801.75824175827</v>
      </c>
      <c r="L204" s="110">
        <f t="shared" si="232"/>
        <v>364622.06757211813</v>
      </c>
      <c r="M204" s="110">
        <f t="shared" si="235"/>
        <v>354848.35834367591</v>
      </c>
      <c r="N204" s="110">
        <f t="shared" si="232"/>
        <v>373973.06629834254</v>
      </c>
      <c r="O204" s="110">
        <f t="shared" si="232"/>
        <v>394799.05437352241</v>
      </c>
      <c r="P204" s="110">
        <f t="shared" si="232"/>
        <v>392131.57046114159</v>
      </c>
      <c r="Q204" s="110">
        <f t="shared" si="232"/>
        <v>355211.94909014413</v>
      </c>
      <c r="R204" s="110">
        <f t="shared" si="232"/>
        <v>390268.93861630064</v>
      </c>
      <c r="S204" s="110">
        <f t="shared" si="232"/>
        <v>418178.15397017333</v>
      </c>
      <c r="T204" s="110">
        <f t="shared" si="232"/>
        <v>380608.10141626233</v>
      </c>
      <c r="U204" s="110">
        <f t="shared" si="232"/>
        <v>392084.22694482357</v>
      </c>
      <c r="V204" s="110">
        <f t="shared" si="232"/>
        <v>208685.16284680343</v>
      </c>
      <c r="W204" s="110">
        <f t="shared" si="234"/>
        <v>234658.81197839955</v>
      </c>
      <c r="X204" s="110">
        <f t="shared" si="234"/>
        <v>304007.54361150408</v>
      </c>
      <c r="Y204" s="110">
        <f t="shared" si="234"/>
        <v>322820.03710575146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157204.16611832165</v>
      </c>
      <c r="C205" s="102">
        <f t="shared" si="232"/>
        <v>157255.44962284408</v>
      </c>
      <c r="D205" s="102">
        <f t="shared" si="232"/>
        <v>154430.10547664188</v>
      </c>
      <c r="E205" s="102">
        <f t="shared" si="232"/>
        <v>151877.54793467262</v>
      </c>
      <c r="F205" s="102">
        <f t="shared" si="232"/>
        <v>148036.72958377638</v>
      </c>
      <c r="G205" s="102">
        <f t="shared" si="232"/>
        <v>145206.06487619531</v>
      </c>
      <c r="H205" s="102">
        <f t="shared" si="232"/>
        <v>142762.18902358037</v>
      </c>
      <c r="I205" s="102">
        <f t="shared" si="232"/>
        <v>140687.08878184023</v>
      </c>
      <c r="J205" s="102">
        <f t="shared" si="232"/>
        <v>138734.37922647048</v>
      </c>
      <c r="K205" s="102">
        <f t="shared" si="232"/>
        <v>134836.86457936853</v>
      </c>
      <c r="L205" s="102">
        <f t="shared" si="232"/>
        <v>137073.29095579759</v>
      </c>
      <c r="M205" s="102">
        <f t="shared" si="235"/>
        <v>134153.01729083271</v>
      </c>
      <c r="N205" s="102">
        <f t="shared" si="232"/>
        <v>131900.7274594089</v>
      </c>
      <c r="O205" s="102">
        <f t="shared" si="232"/>
        <v>130011.23227697751</v>
      </c>
      <c r="P205" s="102">
        <f t="shared" si="232"/>
        <v>127747.62233090145</v>
      </c>
      <c r="Q205" s="102">
        <f t="shared" si="232"/>
        <v>128279.80519385422</v>
      </c>
      <c r="R205" s="102">
        <f t="shared" si="232"/>
        <v>135808.4890665171</v>
      </c>
      <c r="S205" s="102">
        <f t="shared" si="232"/>
        <v>136828.09060519675</v>
      </c>
      <c r="T205" s="102">
        <f t="shared" si="232"/>
        <v>139907.69654965453</v>
      </c>
      <c r="U205" s="102">
        <f t="shared" si="232"/>
        <v>109610.18332171197</v>
      </c>
      <c r="V205" s="102">
        <f t="shared" si="232"/>
        <v>77685.259252506454</v>
      </c>
      <c r="W205" s="102">
        <f t="shared" si="234"/>
        <v>87235.752883318564</v>
      </c>
      <c r="X205" s="102">
        <f t="shared" si="234"/>
        <v>95813.220577647138</v>
      </c>
      <c r="Y205" s="102">
        <f t="shared" si="234"/>
        <v>101556.96082670777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386746.40378681716</v>
      </c>
      <c r="C206" s="102">
        <f t="shared" si="232"/>
        <v>400640.84384993545</v>
      </c>
      <c r="D206" s="102">
        <f t="shared" si="232"/>
        <v>408683.68114449357</v>
      </c>
      <c r="E206" s="102">
        <f t="shared" si="232"/>
        <v>424393.35960045113</v>
      </c>
      <c r="F206" s="102">
        <f t="shared" si="232"/>
        <v>385634.85993808677</v>
      </c>
      <c r="G206" s="102">
        <f t="shared" si="232"/>
        <v>386212.97616688372</v>
      </c>
      <c r="H206" s="102">
        <f t="shared" si="232"/>
        <v>399938.83656824217</v>
      </c>
      <c r="I206" s="102">
        <f t="shared" si="232"/>
        <v>421438.73112539761</v>
      </c>
      <c r="J206" s="102">
        <f t="shared" si="232"/>
        <v>450268.5289630284</v>
      </c>
      <c r="K206" s="102">
        <f t="shared" si="232"/>
        <v>379592.15457932645</v>
      </c>
      <c r="L206" s="102">
        <f t="shared" si="232"/>
        <v>366347.33352211019</v>
      </c>
      <c r="M206" s="102">
        <f t="shared" si="235"/>
        <v>356481.88031378941</v>
      </c>
      <c r="N206" s="102">
        <f t="shared" si="232"/>
        <v>375880.18814850552</v>
      </c>
      <c r="O206" s="102">
        <f t="shared" si="232"/>
        <v>398141.15764596296</v>
      </c>
      <c r="P206" s="102">
        <f t="shared" si="232"/>
        <v>397483.63949326449</v>
      </c>
      <c r="Q206" s="102">
        <f t="shared" si="232"/>
        <v>359812.71343058429</v>
      </c>
      <c r="R206" s="102">
        <f t="shared" si="232"/>
        <v>395422.44533552678</v>
      </c>
      <c r="S206" s="102">
        <f t="shared" si="232"/>
        <v>422558.6959861659</v>
      </c>
      <c r="T206" s="102">
        <f t="shared" si="232"/>
        <v>384564.76150161342</v>
      </c>
      <c r="U206" s="102">
        <f t="shared" si="232"/>
        <v>393697.58238197688</v>
      </c>
      <c r="V206" s="102">
        <f t="shared" si="232"/>
        <v>209473.27769475264</v>
      </c>
      <c r="W206" s="102">
        <f t="shared" si="234"/>
        <v>233826.59321880297</v>
      </c>
      <c r="X206" s="102">
        <f t="shared" si="234"/>
        <v>304833.12460289744</v>
      </c>
      <c r="Y206" s="102">
        <f t="shared" si="234"/>
        <v>325542.99115742109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272971.32417080476</v>
      </c>
      <c r="J207" s="102">
        <f t="shared" si="232"/>
        <v>297249.91662644426</v>
      </c>
      <c r="K207" s="102">
        <f t="shared" si="232"/>
        <v>253897.94785356612</v>
      </c>
      <c r="L207" s="102">
        <f t="shared" si="232"/>
        <v>250245.96230909525</v>
      </c>
      <c r="M207" s="102">
        <f t="shared" si="235"/>
        <v>248233.20166027421</v>
      </c>
      <c r="N207" s="102">
        <f t="shared" si="232"/>
        <v>266715.76782195154</v>
      </c>
      <c r="O207" s="102">
        <f t="shared" si="232"/>
        <v>287127.9128446476</v>
      </c>
      <c r="P207" s="102">
        <f t="shared" si="232"/>
        <v>290722.88960388227</v>
      </c>
      <c r="Q207" s="102">
        <f t="shared" si="232"/>
        <v>266328.1815745901</v>
      </c>
      <c r="R207" s="102">
        <f t="shared" si="232"/>
        <v>287501.81399226689</v>
      </c>
      <c r="S207" s="102">
        <f t="shared" si="232"/>
        <v>301948.0518556984</v>
      </c>
      <c r="T207" s="102">
        <f t="shared" si="232"/>
        <v>269671.02800700319</v>
      </c>
      <c r="U207" s="102">
        <f t="shared" si="232"/>
        <v>268879.41024764528</v>
      </c>
      <c r="V207" s="102">
        <f t="shared" si="232"/>
        <v>138080.59840511327</v>
      </c>
      <c r="W207" s="102">
        <f t="shared" si="234"/>
        <v>152992.22631989876</v>
      </c>
      <c r="X207" s="102">
        <f t="shared" si="234"/>
        <v>195004.38087477849</v>
      </c>
      <c r="Y207" s="102">
        <f t="shared" si="234"/>
        <v>203477.14689963195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0</v>
      </c>
      <c r="D208" s="102">
        <f t="shared" si="232"/>
        <v>0</v>
      </c>
      <c r="E208" s="102">
        <f t="shared" si="232"/>
        <v>0</v>
      </c>
      <c r="F208" s="102">
        <f t="shared" si="232"/>
        <v>0</v>
      </c>
      <c r="G208" s="102">
        <f t="shared" si="232"/>
        <v>0</v>
      </c>
      <c r="H208" s="102">
        <f t="shared" si="232"/>
        <v>0</v>
      </c>
      <c r="I208" s="102">
        <f t="shared" si="232"/>
        <v>0</v>
      </c>
      <c r="J208" s="102">
        <f t="shared" si="232"/>
        <v>0</v>
      </c>
      <c r="K208" s="102">
        <f t="shared" si="232"/>
        <v>273868.95500783162</v>
      </c>
      <c r="L208" s="102">
        <f t="shared" si="232"/>
        <v>264531.11872888013</v>
      </c>
      <c r="M208" s="102">
        <f t="shared" si="235"/>
        <v>257155.39150454567</v>
      </c>
      <c r="N208" s="102">
        <f t="shared" si="232"/>
        <v>270776.22691579082</v>
      </c>
      <c r="O208" s="102">
        <f t="shared" si="232"/>
        <v>285669.14227394713</v>
      </c>
      <c r="P208" s="102">
        <f t="shared" si="232"/>
        <v>283460.93744751997</v>
      </c>
      <c r="Q208" s="102">
        <f t="shared" si="232"/>
        <v>254482.07190797717</v>
      </c>
      <c r="R208" s="102">
        <f t="shared" si="232"/>
        <v>271365.97833941429</v>
      </c>
      <c r="S208" s="102">
        <f t="shared" si="232"/>
        <v>326618.64921375935</v>
      </c>
      <c r="T208" s="102">
        <f t="shared" si="232"/>
        <v>292452.02667487628</v>
      </c>
      <c r="U208" s="102">
        <f t="shared" si="232"/>
        <v>374042.24659002793</v>
      </c>
      <c r="V208" s="102">
        <f t="shared" si="232"/>
        <v>199573.00361727193</v>
      </c>
      <c r="W208" s="102">
        <f t="shared" si="234"/>
        <v>273379.03396696085</v>
      </c>
      <c r="X208" s="102">
        <f t="shared" si="234"/>
        <v>294286.20177869406</v>
      </c>
      <c r="Y208" s="102">
        <f t="shared" si="234"/>
        <v>245493.94153884679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0</v>
      </c>
      <c r="G209" s="102">
        <f t="shared" si="232"/>
        <v>0</v>
      </c>
      <c r="H209" s="102">
        <f t="shared" si="232"/>
        <v>0</v>
      </c>
      <c r="I209" s="102">
        <f t="shared" si="232"/>
        <v>0</v>
      </c>
      <c r="J209" s="102">
        <f t="shared" si="232"/>
        <v>0</v>
      </c>
      <c r="K209" s="102">
        <f t="shared" si="232"/>
        <v>0</v>
      </c>
      <c r="L209" s="102">
        <f t="shared" si="232"/>
        <v>0</v>
      </c>
      <c r="M209" s="102">
        <f t="shared" si="235"/>
        <v>0</v>
      </c>
      <c r="N209" s="102">
        <f t="shared" si="232"/>
        <v>0</v>
      </c>
      <c r="O209" s="102">
        <f t="shared" si="232"/>
        <v>0</v>
      </c>
      <c r="P209" s="102">
        <f t="shared" si="232"/>
        <v>0</v>
      </c>
      <c r="Q209" s="102">
        <f t="shared" si="232"/>
        <v>485470.81834887777</v>
      </c>
      <c r="R209" s="102">
        <f t="shared" si="232"/>
        <v>506576.58163280535</v>
      </c>
      <c r="S209" s="102">
        <f t="shared" si="232"/>
        <v>541404.33205489942</v>
      </c>
      <c r="T209" s="102">
        <f t="shared" si="232"/>
        <v>478413.21266739111</v>
      </c>
      <c r="U209" s="102">
        <f t="shared" si="232"/>
        <v>634574.93799549888</v>
      </c>
      <c r="V209" s="102">
        <f t="shared" si="232"/>
        <v>458082.81301406911</v>
      </c>
      <c r="W209" s="102">
        <f t="shared" si="234"/>
        <v>461423.38531800202</v>
      </c>
      <c r="X209" s="102">
        <f t="shared" si="234"/>
        <v>550059.4087323671</v>
      </c>
      <c r="Y209" s="102">
        <f t="shared" si="234"/>
        <v>554279.28433209565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67635.270278408061</v>
      </c>
      <c r="C210" s="28">
        <f t="shared" si="232"/>
        <v>67129.879432258851</v>
      </c>
      <c r="D210" s="28">
        <f t="shared" si="232"/>
        <v>67539.964251450758</v>
      </c>
      <c r="E210" s="28">
        <f t="shared" si="232"/>
        <v>66145.49950164929</v>
      </c>
      <c r="F210" s="28">
        <f t="shared" ref="B210:V219" si="236">IF(F19=0,0,F19*1000000/F73)</f>
        <v>69859.205565520562</v>
      </c>
      <c r="G210" s="28">
        <f t="shared" si="236"/>
        <v>69329.731903976804</v>
      </c>
      <c r="H210" s="28">
        <f t="shared" si="236"/>
        <v>65985.962477250272</v>
      </c>
      <c r="I210" s="28">
        <f t="shared" si="236"/>
        <v>68042.261596755678</v>
      </c>
      <c r="J210" s="28">
        <f t="shared" si="236"/>
        <v>61136.073950297476</v>
      </c>
      <c r="K210" s="28">
        <f t="shared" si="236"/>
        <v>53631.656068823562</v>
      </c>
      <c r="L210" s="28">
        <f t="shared" si="236"/>
        <v>51293.010113567325</v>
      </c>
      <c r="M210" s="28">
        <f t="shared" si="235"/>
        <v>50409.578633236961</v>
      </c>
      <c r="N210" s="28">
        <f t="shared" si="236"/>
        <v>51027.216093120565</v>
      </c>
      <c r="O210" s="28">
        <f t="shared" si="236"/>
        <v>52272.351464731553</v>
      </c>
      <c r="P210" s="28">
        <f t="shared" si="236"/>
        <v>50449.29516670989</v>
      </c>
      <c r="Q210" s="28">
        <f t="shared" si="236"/>
        <v>49506.00179099237</v>
      </c>
      <c r="R210" s="28">
        <f t="shared" si="236"/>
        <v>47898.548142838517</v>
      </c>
      <c r="S210" s="28">
        <f t="shared" si="236"/>
        <v>51415.234012306253</v>
      </c>
      <c r="T210" s="28">
        <f t="shared" si="236"/>
        <v>48635.505244689099</v>
      </c>
      <c r="U210" s="28">
        <f t="shared" si="236"/>
        <v>43851.732016845657</v>
      </c>
      <c r="V210" s="28">
        <f t="shared" si="236"/>
        <v>43255.185180483408</v>
      </c>
      <c r="W210" s="28">
        <f t="shared" ref="W210:Y210" si="237">IF(W19=0,0,W19*1000000/W73)</f>
        <v>41610.603238120239</v>
      </c>
      <c r="X210" s="28">
        <f t="shared" si="237"/>
        <v>40976.38773077404</v>
      </c>
      <c r="Y210" s="28">
        <f t="shared" si="237"/>
        <v>41484.7217577009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2470.7760619977385</v>
      </c>
      <c r="C211" s="137">
        <f t="shared" si="236"/>
        <v>2528.7433569908339</v>
      </c>
      <c r="D211" s="137">
        <f t="shared" si="236"/>
        <v>2585.907081971055</v>
      </c>
      <c r="E211" s="137">
        <f t="shared" si="236"/>
        <v>2646.7308396653416</v>
      </c>
      <c r="F211" s="137">
        <f t="shared" si="236"/>
        <v>2706.6429663801923</v>
      </c>
      <c r="G211" s="137">
        <f t="shared" si="236"/>
        <v>2765.1527981935246</v>
      </c>
      <c r="H211" s="137">
        <f t="shared" si="236"/>
        <v>2821.2999364293801</v>
      </c>
      <c r="I211" s="137">
        <f t="shared" si="236"/>
        <v>2858.1896295716906</v>
      </c>
      <c r="J211" s="137">
        <f t="shared" si="236"/>
        <v>2853.2882523639496</v>
      </c>
      <c r="K211" s="137">
        <f t="shared" si="236"/>
        <v>2808.5308577416154</v>
      </c>
      <c r="L211" s="137">
        <f t="shared" si="236"/>
        <v>2760.3856187717552</v>
      </c>
      <c r="M211" s="137">
        <f t="shared" si="235"/>
        <v>2804.9934904454831</v>
      </c>
      <c r="N211" s="137">
        <f t="shared" si="236"/>
        <v>2854.4091016587568</v>
      </c>
      <c r="O211" s="137">
        <f t="shared" si="236"/>
        <v>2857.8493000729659</v>
      </c>
      <c r="P211" s="137">
        <f t="shared" si="236"/>
        <v>2813.621153185321</v>
      </c>
      <c r="Q211" s="137">
        <f t="shared" si="236"/>
        <v>2795.1375778214415</v>
      </c>
      <c r="R211" s="137">
        <f t="shared" si="236"/>
        <v>2762.2495154173994</v>
      </c>
      <c r="S211" s="137">
        <f t="shared" si="236"/>
        <v>2816.4621686309761</v>
      </c>
      <c r="T211" s="137">
        <f t="shared" si="236"/>
        <v>2873.3187668430592</v>
      </c>
      <c r="U211" s="137">
        <f t="shared" si="236"/>
        <v>2861.0794854579221</v>
      </c>
      <c r="V211" s="137">
        <f t="shared" si="236"/>
        <v>2823.205733639466</v>
      </c>
      <c r="W211" s="137">
        <f t="shared" ref="W211:Y211" si="238">IF(W20=0,0,W20*1000000/W74)</f>
        <v>2876.5929351227282</v>
      </c>
      <c r="X211" s="137">
        <f t="shared" si="238"/>
        <v>2929.51162281201</v>
      </c>
      <c r="Y211" s="137">
        <f t="shared" si="238"/>
        <v>2984.7522209277813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1973.2488717531062</v>
      </c>
      <c r="C212" s="84">
        <f t="shared" si="236"/>
        <v>1997.7899852359344</v>
      </c>
      <c r="D212" s="84">
        <f t="shared" si="236"/>
        <v>2012.5259063649485</v>
      </c>
      <c r="E212" s="84">
        <f t="shared" si="236"/>
        <v>2027.5126584811539</v>
      </c>
      <c r="F212" s="84">
        <f t="shared" si="236"/>
        <v>2041.1404794545308</v>
      </c>
      <c r="G212" s="84">
        <f t="shared" si="236"/>
        <v>2054.3851849607258</v>
      </c>
      <c r="H212" s="84">
        <f t="shared" si="236"/>
        <v>2067.9822520150246</v>
      </c>
      <c r="I212" s="84">
        <f t="shared" si="236"/>
        <v>2061.7838839282726</v>
      </c>
      <c r="J212" s="84">
        <f t="shared" si="236"/>
        <v>2035.4106267805805</v>
      </c>
      <c r="K212" s="84">
        <f t="shared" si="236"/>
        <v>1978.7046055298465</v>
      </c>
      <c r="L212" s="84">
        <f t="shared" si="236"/>
        <v>1920.8522004454389</v>
      </c>
      <c r="M212" s="84">
        <f t="shared" si="235"/>
        <v>1927.6469845424199</v>
      </c>
      <c r="N212" s="84">
        <f t="shared" si="236"/>
        <v>1930.1282806354607</v>
      </c>
      <c r="O212" s="84">
        <f t="shared" si="236"/>
        <v>1909.9536798467989</v>
      </c>
      <c r="P212" s="84">
        <f t="shared" si="236"/>
        <v>1858.8063247985172</v>
      </c>
      <c r="Q212" s="84">
        <f t="shared" si="236"/>
        <v>1819.4581465814711</v>
      </c>
      <c r="R212" s="84">
        <f t="shared" si="236"/>
        <v>1817.3439761056623</v>
      </c>
      <c r="S212" s="84">
        <f t="shared" si="236"/>
        <v>1874.5167801107584</v>
      </c>
      <c r="T212" s="84">
        <f t="shared" si="236"/>
        <v>1933.3077298494456</v>
      </c>
      <c r="U212" s="84">
        <f t="shared" si="236"/>
        <v>1946.3374314109506</v>
      </c>
      <c r="V212" s="84">
        <f t="shared" si="236"/>
        <v>1941.8711301774197</v>
      </c>
      <c r="W212" s="84">
        <f t="shared" ref="W212:Y212" si="239">IF(W21=0,0,W21*1000000/W75)</f>
        <v>2001.2617553421792</v>
      </c>
      <c r="X212" s="84">
        <f t="shared" si="239"/>
        <v>2061.4554604228765</v>
      </c>
      <c r="Y212" s="84">
        <f t="shared" si="239"/>
        <v>2124.7869541487375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2585.1609678970267</v>
      </c>
      <c r="C213" s="84">
        <f t="shared" si="236"/>
        <v>2648.2799704145668</v>
      </c>
      <c r="D213" s="84">
        <f t="shared" si="236"/>
        <v>2699.7800108771044</v>
      </c>
      <c r="E213" s="84">
        <f t="shared" si="236"/>
        <v>2752.4745120901975</v>
      </c>
      <c r="F213" s="84">
        <f t="shared" si="236"/>
        <v>2804.177247275069</v>
      </c>
      <c r="G213" s="84">
        <f t="shared" si="236"/>
        <v>2856.1911810610663</v>
      </c>
      <c r="H213" s="84">
        <f t="shared" si="236"/>
        <v>2909.5447442621676</v>
      </c>
      <c r="I213" s="84">
        <f t="shared" si="236"/>
        <v>2935.5819423351722</v>
      </c>
      <c r="J213" s="84">
        <f t="shared" si="236"/>
        <v>2932.756043200302</v>
      </c>
      <c r="K213" s="84">
        <f t="shared" si="236"/>
        <v>2885.2117963569749</v>
      </c>
      <c r="L213" s="84">
        <f t="shared" si="236"/>
        <v>2834.415523023119</v>
      </c>
      <c r="M213" s="84">
        <f t="shared" si="235"/>
        <v>2878.5243355849857</v>
      </c>
      <c r="N213" s="84">
        <f t="shared" si="236"/>
        <v>2916.7647992446446</v>
      </c>
      <c r="O213" s="84">
        <f t="shared" si="236"/>
        <v>2920.8610986440985</v>
      </c>
      <c r="P213" s="84">
        <f t="shared" si="236"/>
        <v>2876.7031247425207</v>
      </c>
      <c r="Q213" s="84">
        <f t="shared" si="236"/>
        <v>2849.5468861345475</v>
      </c>
      <c r="R213" s="84">
        <f t="shared" si="236"/>
        <v>2812.5356714405593</v>
      </c>
      <c r="S213" s="84">
        <f t="shared" si="236"/>
        <v>2866.6680242320244</v>
      </c>
      <c r="T213" s="84">
        <f t="shared" si="236"/>
        <v>2921.5695086732239</v>
      </c>
      <c r="U213" s="84">
        <f t="shared" si="236"/>
        <v>2906.4344802252881</v>
      </c>
      <c r="V213" s="84">
        <f t="shared" si="236"/>
        <v>2865.4311215662251</v>
      </c>
      <c r="W213" s="84">
        <f t="shared" ref="W213:Y213" si="240">IF(W22=0,0,W22*1000000/W76)</f>
        <v>2918.1030902615075</v>
      </c>
      <c r="X213" s="84">
        <f t="shared" si="240"/>
        <v>2970.283185022985</v>
      </c>
      <c r="Y213" s="84">
        <f t="shared" si="240"/>
        <v>3025.2861429997388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1477.6692566119539</v>
      </c>
      <c r="J214" s="84">
        <f t="shared" si="236"/>
        <v>1476.1757108606373</v>
      </c>
      <c r="K214" s="84">
        <f t="shared" si="236"/>
        <v>1451.0584412485784</v>
      </c>
      <c r="L214" s="84">
        <f t="shared" si="236"/>
        <v>1424.2460167869058</v>
      </c>
      <c r="M214" s="84">
        <f t="shared" si="235"/>
        <v>1447.5271579002606</v>
      </c>
      <c r="N214" s="84">
        <f t="shared" si="236"/>
        <v>1467.7253674819335</v>
      </c>
      <c r="O214" s="84">
        <f t="shared" si="236"/>
        <v>1469.8897779327287</v>
      </c>
      <c r="P214" s="84">
        <f t="shared" si="236"/>
        <v>1446.5655467940539</v>
      </c>
      <c r="Q214" s="84">
        <f t="shared" si="236"/>
        <v>1455.566517265177</v>
      </c>
      <c r="R214" s="84">
        <f t="shared" si="236"/>
        <v>1412.7042806619475</v>
      </c>
      <c r="S214" s="84">
        <f t="shared" si="236"/>
        <v>1441.2674952468114</v>
      </c>
      <c r="T214" s="84">
        <f t="shared" si="236"/>
        <v>1470.2641043677625</v>
      </c>
      <c r="U214" s="84">
        <f t="shared" si="236"/>
        <v>1462.2676892867596</v>
      </c>
      <c r="V214" s="84">
        <f t="shared" si="236"/>
        <v>1440.6145341165663</v>
      </c>
      <c r="W214" s="84">
        <f t="shared" ref="W214:Y214" si="241">IF(W23=0,0,W23*1000000/W77)</f>
        <v>1468.4324795237133</v>
      </c>
      <c r="X214" s="84">
        <f t="shared" si="241"/>
        <v>1496.0154177749291</v>
      </c>
      <c r="Y214" s="84">
        <f t="shared" si="241"/>
        <v>1525.1167852541378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929.53575417706691</v>
      </c>
      <c r="L215" s="84">
        <f t="shared" si="236"/>
        <v>927.22546063509924</v>
      </c>
      <c r="M215" s="84">
        <f t="shared" si="235"/>
        <v>957.73684365240797</v>
      </c>
      <c r="N215" s="84">
        <f t="shared" si="236"/>
        <v>986.92332717062538</v>
      </c>
      <c r="O215" s="84">
        <f t="shared" si="236"/>
        <v>1004.4828422549023</v>
      </c>
      <c r="P215" s="84">
        <f t="shared" si="236"/>
        <v>1004.6505118109114</v>
      </c>
      <c r="Q215" s="84">
        <f t="shared" si="236"/>
        <v>1010.901752627928</v>
      </c>
      <c r="R215" s="84">
        <f t="shared" si="236"/>
        <v>981.13361109004165</v>
      </c>
      <c r="S215" s="84">
        <f t="shared" si="236"/>
        <v>984.92314989170416</v>
      </c>
      <c r="T215" s="84">
        <f t="shared" si="236"/>
        <v>988.63041673225882</v>
      </c>
      <c r="U215" s="84">
        <f t="shared" si="236"/>
        <v>967.48971766711293</v>
      </c>
      <c r="V215" s="84">
        <f t="shared" si="236"/>
        <v>937.88184011028932</v>
      </c>
      <c r="W215" s="84">
        <f t="shared" ref="W215:Y215" si="242">IF(W24=0,0,W24*1000000/W78)</f>
        <v>940.66541602396171</v>
      </c>
      <c r="X215" s="84">
        <f t="shared" si="242"/>
        <v>942.97054099080071</v>
      </c>
      <c r="Y215" s="84">
        <f t="shared" si="242"/>
        <v>945.90172487408597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2060.2416760553533</v>
      </c>
      <c r="F216" s="84">
        <f t="shared" si="236"/>
        <v>2062.1596076356645</v>
      </c>
      <c r="G216" s="84">
        <f t="shared" si="236"/>
        <v>2064.0554798491826</v>
      </c>
      <c r="H216" s="84">
        <f t="shared" si="236"/>
        <v>2065.966403801322</v>
      </c>
      <c r="I216" s="84">
        <f t="shared" si="236"/>
        <v>2066.8869024995142</v>
      </c>
      <c r="J216" s="84">
        <f t="shared" si="236"/>
        <v>2066.9864358769378</v>
      </c>
      <c r="K216" s="84">
        <f t="shared" si="236"/>
        <v>2068.6762985708197</v>
      </c>
      <c r="L216" s="84">
        <f t="shared" si="236"/>
        <v>2070.5143639096714</v>
      </c>
      <c r="M216" s="84">
        <f t="shared" si="235"/>
        <v>2072.1136282820621</v>
      </c>
      <c r="N216" s="84">
        <f t="shared" si="236"/>
        <v>2073.4813924020859</v>
      </c>
      <c r="O216" s="84">
        <f t="shared" si="236"/>
        <v>2073.6268950453327</v>
      </c>
      <c r="P216" s="84">
        <f t="shared" si="236"/>
        <v>2075.206934721808</v>
      </c>
      <c r="Q216" s="84">
        <f t="shared" si="236"/>
        <v>2076.1913241959401</v>
      </c>
      <c r="R216" s="84">
        <f t="shared" si="236"/>
        <v>2074.8346087718687</v>
      </c>
      <c r="S216" s="84">
        <f t="shared" si="236"/>
        <v>2072.8578251850126</v>
      </c>
      <c r="T216" s="84">
        <f t="shared" si="236"/>
        <v>2070.8925909204131</v>
      </c>
      <c r="U216" s="84">
        <f t="shared" si="236"/>
        <v>2070.354859317622</v>
      </c>
      <c r="V216" s="84">
        <f t="shared" si="236"/>
        <v>2048.4099055324273</v>
      </c>
      <c r="W216" s="84">
        <f t="shared" ref="W216:Y216" si="243">IF(W25=0,0,W25*1000000/W79)</f>
        <v>2069.940134958747</v>
      </c>
      <c r="X216" s="84">
        <f t="shared" si="243"/>
        <v>2068.1066164056492</v>
      </c>
      <c r="Y216" s="84">
        <f t="shared" si="243"/>
        <v>2066.2101658471893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183006.61270335189</v>
      </c>
      <c r="C217" s="110">
        <f t="shared" si="236"/>
        <v>170669.4869580243</v>
      </c>
      <c r="D217" s="110">
        <f t="shared" si="236"/>
        <v>170407.33876050072</v>
      </c>
      <c r="E217" s="110">
        <f t="shared" si="236"/>
        <v>165843.2162955669</v>
      </c>
      <c r="F217" s="110">
        <f t="shared" si="236"/>
        <v>177203.3169364708</v>
      </c>
      <c r="G217" s="110">
        <f t="shared" si="236"/>
        <v>182972.72041309808</v>
      </c>
      <c r="H217" s="110">
        <f t="shared" si="236"/>
        <v>165174.49805425113</v>
      </c>
      <c r="I217" s="110">
        <f t="shared" si="236"/>
        <v>168103.665585996</v>
      </c>
      <c r="J217" s="110">
        <f t="shared" si="236"/>
        <v>149380.10854043331</v>
      </c>
      <c r="K217" s="110">
        <f t="shared" si="236"/>
        <v>141571.17654119787</v>
      </c>
      <c r="L217" s="110">
        <f t="shared" si="236"/>
        <v>130203.27060220594</v>
      </c>
      <c r="M217" s="110">
        <f t="shared" si="235"/>
        <v>125540.0567633273</v>
      </c>
      <c r="N217" s="110">
        <f t="shared" si="236"/>
        <v>123422.36749074452</v>
      </c>
      <c r="O217" s="110">
        <f t="shared" si="236"/>
        <v>124232.17537629892</v>
      </c>
      <c r="P217" s="110">
        <f t="shared" si="236"/>
        <v>119184.59455374071</v>
      </c>
      <c r="Q217" s="110">
        <f t="shared" si="236"/>
        <v>127017.69702170287</v>
      </c>
      <c r="R217" s="110">
        <f t="shared" si="236"/>
        <v>131097.17169015112</v>
      </c>
      <c r="S217" s="110">
        <f t="shared" si="236"/>
        <v>144931.79634284091</v>
      </c>
      <c r="T217" s="110">
        <f t="shared" si="236"/>
        <v>142508.60649603352</v>
      </c>
      <c r="U217" s="110">
        <f t="shared" si="236"/>
        <v>132589.71160196667</v>
      </c>
      <c r="V217" s="110">
        <f t="shared" si="236"/>
        <v>132988.47939473836</v>
      </c>
      <c r="W217" s="110">
        <f t="shared" ref="W217:Y217" si="244">IF(W26=0,0,W26*1000000/W80)</f>
        <v>131434.13477819166</v>
      </c>
      <c r="X217" s="110">
        <f t="shared" si="244"/>
        <v>130683.5290575128</v>
      </c>
      <c r="Y217" s="110">
        <f t="shared" si="244"/>
        <v>134895.227008149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61838.946207254558</v>
      </c>
      <c r="C218" s="163">
        <f t="shared" si="236"/>
        <v>75520.037607239356</v>
      </c>
      <c r="D218" s="163">
        <f t="shared" si="236"/>
        <v>78460.352139827781</v>
      </c>
      <c r="E218" s="163">
        <f t="shared" si="236"/>
        <v>80457.303392707341</v>
      </c>
      <c r="F218" s="163">
        <f t="shared" si="236"/>
        <v>82596.705953460259</v>
      </c>
      <c r="G218" s="163">
        <f t="shared" si="236"/>
        <v>84090.473452175574</v>
      </c>
      <c r="H218" s="163">
        <f t="shared" si="236"/>
        <v>86230.218875796549</v>
      </c>
      <c r="I218" s="163">
        <f t="shared" si="236"/>
        <v>84375.257392307059</v>
      </c>
      <c r="J218" s="163">
        <f t="shared" si="236"/>
        <v>97458.075637749309</v>
      </c>
      <c r="K218" s="163">
        <f t="shared" si="236"/>
        <v>89712.395189665142</v>
      </c>
      <c r="L218" s="163">
        <f t="shared" si="236"/>
        <v>78300.700866181054</v>
      </c>
      <c r="M218" s="163">
        <f t="shared" si="235"/>
        <v>74403.496539174506</v>
      </c>
      <c r="N218" s="163">
        <f t="shared" si="236"/>
        <v>72294.410046219593</v>
      </c>
      <c r="O218" s="163">
        <f t="shared" si="236"/>
        <v>72478.725024108819</v>
      </c>
      <c r="P218" s="163">
        <f t="shared" si="236"/>
        <v>65020.34470210725</v>
      </c>
      <c r="Q218" s="163">
        <f t="shared" si="236"/>
        <v>66244.098475813953</v>
      </c>
      <c r="R218" s="163">
        <f t="shared" si="236"/>
        <v>67182.417286073047</v>
      </c>
      <c r="S218" s="163">
        <f t="shared" si="236"/>
        <v>68932.118525814658</v>
      </c>
      <c r="T218" s="163">
        <f t="shared" si="236"/>
        <v>67853.366231935142</v>
      </c>
      <c r="U218" s="163">
        <f t="shared" si="236"/>
        <v>67181.852174996879</v>
      </c>
      <c r="V218" s="163">
        <f t="shared" si="236"/>
        <v>68275.536754971923</v>
      </c>
      <c r="W218" s="163">
        <f t="shared" ref="W218:Y218" si="245">IF(W27=0,0,W27*1000000/W81)</f>
        <v>71573.361950754188</v>
      </c>
      <c r="X218" s="163">
        <f t="shared" si="245"/>
        <v>70229.758666589507</v>
      </c>
      <c r="Y218" s="163">
        <f t="shared" si="245"/>
        <v>72479.212529971817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1211830.2536793055</v>
      </c>
      <c r="C219" s="86">
        <f t="shared" si="236"/>
        <v>1210785.9624536938</v>
      </c>
      <c r="D219" s="86">
        <f t="shared" si="236"/>
        <v>1218926.3952755802</v>
      </c>
      <c r="E219" s="86">
        <f t="shared" si="236"/>
        <v>1211631.9230248076</v>
      </c>
      <c r="F219" s="86">
        <f t="shared" si="236"/>
        <v>1189501.7025234776</v>
      </c>
      <c r="G219" s="86">
        <f t="shared" si="236"/>
        <v>1189938.7215747859</v>
      </c>
      <c r="H219" s="86">
        <f t="shared" si="236"/>
        <v>1197557.7090753075</v>
      </c>
      <c r="I219" s="86">
        <f t="shared" si="236"/>
        <v>1199711.7474609476</v>
      </c>
      <c r="J219" s="86">
        <f t="shared" si="236"/>
        <v>1182680.1259606546</v>
      </c>
      <c r="K219" s="86">
        <f t="shared" si="236"/>
        <v>1167025.1752497514</v>
      </c>
      <c r="L219" s="86">
        <f t="shared" si="236"/>
        <v>1205108.4514655087</v>
      </c>
      <c r="M219" s="86">
        <f t="shared" si="235"/>
        <v>1201347.1686561392</v>
      </c>
      <c r="N219" s="86">
        <f t="shared" si="236"/>
        <v>1197203.1147734688</v>
      </c>
      <c r="O219" s="86">
        <f t="shared" si="236"/>
        <v>1199070.963136981</v>
      </c>
      <c r="P219" s="86">
        <f t="shared" si="236"/>
        <v>1201717.5590264865</v>
      </c>
      <c r="Q219" s="86">
        <f t="shared" si="236"/>
        <v>1190520.9239483748</v>
      </c>
      <c r="R219" s="86">
        <f t="shared" si="236"/>
        <v>1184173.0654830851</v>
      </c>
      <c r="S219" s="86">
        <f t="shared" si="236"/>
        <v>1191151.0899528193</v>
      </c>
      <c r="T219" s="86">
        <f t="shared" si="236"/>
        <v>1202456.7788898998</v>
      </c>
      <c r="U219" s="86">
        <f t="shared" si="236"/>
        <v>1195140.4707668945</v>
      </c>
      <c r="V219" s="86">
        <f t="shared" si="236"/>
        <v>1178176.4561317277</v>
      </c>
      <c r="W219" s="86">
        <f t="shared" ref="W219:Y219" si="246">IF(W28=0,0,W28*1000000/W82)</f>
        <v>1193915.343915344</v>
      </c>
      <c r="X219" s="86">
        <f t="shared" si="246"/>
        <v>1189559.0471363405</v>
      </c>
      <c r="Y219" s="86">
        <f t="shared" si="246"/>
        <v>1176140.350877193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7.2309271861709734E-3</v>
      </c>
      <c r="C223" s="154">
        <f t="shared" si="251"/>
        <v>6.8671938751058816E-3</v>
      </c>
      <c r="D223" s="154">
        <f t="shared" si="251"/>
        <v>6.8392359603804791E-3</v>
      </c>
      <c r="E223" s="154">
        <f t="shared" si="251"/>
        <v>7.5231468213677356E-3</v>
      </c>
      <c r="F223" s="154">
        <f t="shared" si="251"/>
        <v>8.135111707238055E-3</v>
      </c>
      <c r="G223" s="154">
        <f t="shared" si="251"/>
        <v>8.8324380730934893E-3</v>
      </c>
      <c r="H223" s="154">
        <f t="shared" si="251"/>
        <v>9.2693850064732557E-3</v>
      </c>
      <c r="I223" s="154">
        <f t="shared" si="251"/>
        <v>8.9655273634179494E-3</v>
      </c>
      <c r="J223" s="154">
        <f t="shared" si="251"/>
        <v>8.6678735729567025E-3</v>
      </c>
      <c r="K223" s="154">
        <f t="shared" si="251"/>
        <v>8.9333779436072645E-3</v>
      </c>
      <c r="L223" s="154">
        <f t="shared" ref="L223" si="252">IF(L5=0,0,L5/L$4)</f>
        <v>9.3083511626318501E-3</v>
      </c>
      <c r="M223" s="154">
        <f t="shared" ref="M223:V223" si="253">IF(M5=0,0,M5/M$4)</f>
        <v>9.477548677054734E-3</v>
      </c>
      <c r="N223" s="154">
        <f t="shared" si="253"/>
        <v>9.1068208382646555E-3</v>
      </c>
      <c r="O223" s="154">
        <f t="shared" si="253"/>
        <v>8.9991312529372463E-3</v>
      </c>
      <c r="P223" s="154">
        <f t="shared" si="253"/>
        <v>8.9825269226505248E-3</v>
      </c>
      <c r="Q223" s="154">
        <f t="shared" si="253"/>
        <v>8.9576955298066394E-3</v>
      </c>
      <c r="R223" s="154">
        <f t="shared" si="253"/>
        <v>9.3108758485602773E-3</v>
      </c>
      <c r="S223" s="154">
        <f t="shared" si="253"/>
        <v>9.5639944987434156E-3</v>
      </c>
      <c r="T223" s="154">
        <f t="shared" si="253"/>
        <v>1.0035133808153822E-2</v>
      </c>
      <c r="U223" s="154">
        <f t="shared" si="253"/>
        <v>1.0453931492168125E-2</v>
      </c>
      <c r="V223" s="154">
        <f t="shared" si="253"/>
        <v>1.207524871511755E-2</v>
      </c>
      <c r="W223" s="154">
        <f t="shared" ref="W223:Y223" si="254">IF(W5=0,0,W5/W$4)</f>
        <v>1.2900224742619534E-2</v>
      </c>
      <c r="X223" s="154">
        <f t="shared" si="254"/>
        <v>1.293204211378242E-2</v>
      </c>
      <c r="Y223" s="154">
        <f t="shared" si="254"/>
        <v>1.3580515675492049E-2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0.8510246605654056</v>
      </c>
      <c r="C224" s="156">
        <f t="shared" si="255"/>
        <v>0.85203023008287793</v>
      </c>
      <c r="D224" s="156">
        <f t="shared" si="255"/>
        <v>0.85491037116971502</v>
      </c>
      <c r="E224" s="156">
        <f t="shared" si="255"/>
        <v>0.85177010954860044</v>
      </c>
      <c r="F224" s="156">
        <f t="shared" si="255"/>
        <v>0.86681314879707172</v>
      </c>
      <c r="G224" s="156">
        <f t="shared" si="255"/>
        <v>0.86806606441855061</v>
      </c>
      <c r="H224" s="156">
        <f t="shared" si="255"/>
        <v>0.86793344677314188</v>
      </c>
      <c r="I224" s="156">
        <f t="shared" si="255"/>
        <v>0.86442946783214203</v>
      </c>
      <c r="J224" s="156">
        <f t="shared" si="255"/>
        <v>0.8608222581110202</v>
      </c>
      <c r="K224" s="156">
        <f t="shared" si="255"/>
        <v>0.8783844495220956</v>
      </c>
      <c r="L224" s="156">
        <f t="shared" ref="L224" si="256">IF(L6=0,0,L6/L$4)</f>
        <v>0.87952216853854881</v>
      </c>
      <c r="M224" s="156">
        <f t="shared" ref="M224:V224" si="257">IF(M6=0,0,M6/M$4)</f>
        <v>0.88078166836505256</v>
      </c>
      <c r="N224" s="156">
        <f t="shared" si="257"/>
        <v>0.88137213255257707</v>
      </c>
      <c r="O224" s="156">
        <f t="shared" si="257"/>
        <v>0.87379325891649651</v>
      </c>
      <c r="P224" s="156">
        <f t="shared" si="257"/>
        <v>0.86931298757705755</v>
      </c>
      <c r="Q224" s="156">
        <f t="shared" si="257"/>
        <v>0.87862208739945624</v>
      </c>
      <c r="R224" s="156">
        <f t="shared" si="257"/>
        <v>0.86506460192138357</v>
      </c>
      <c r="S224" s="156">
        <f t="shared" si="257"/>
        <v>0.85495660859199074</v>
      </c>
      <c r="T224" s="156">
        <f t="shared" si="257"/>
        <v>0.86072496468098347</v>
      </c>
      <c r="U224" s="156">
        <f t="shared" si="257"/>
        <v>0.85414584099410462</v>
      </c>
      <c r="V224" s="156">
        <f t="shared" si="257"/>
        <v>0.89591758320505577</v>
      </c>
      <c r="W224" s="156">
        <f t="shared" ref="W224:Y224" si="258">IF(W6=0,0,W6/W$4)</f>
        <v>0.89467397847520069</v>
      </c>
      <c r="X224" s="156">
        <f t="shared" si="258"/>
        <v>0.86939649300583133</v>
      </c>
      <c r="Y224" s="156">
        <f t="shared" si="258"/>
        <v>0.86165156350710215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0.65813718273430899</v>
      </c>
      <c r="C225" s="103">
        <f t="shared" si="259"/>
        <v>0.64678040079953014</v>
      </c>
      <c r="D225" s="103">
        <f t="shared" si="259"/>
        <v>0.62841807831547147</v>
      </c>
      <c r="E225" s="103">
        <f t="shared" si="259"/>
        <v>0.56961228612814596</v>
      </c>
      <c r="F225" s="103">
        <f t="shared" si="259"/>
        <v>0.54204595028755498</v>
      </c>
      <c r="G225" s="103">
        <f t="shared" si="259"/>
        <v>0.50619980917233787</v>
      </c>
      <c r="H225" s="103">
        <f t="shared" si="259"/>
        <v>0.46213978701408331</v>
      </c>
      <c r="I225" s="103">
        <f t="shared" si="259"/>
        <v>0.42720344533191329</v>
      </c>
      <c r="J225" s="103">
        <f t="shared" si="259"/>
        <v>0.45713842635191648</v>
      </c>
      <c r="K225" s="103">
        <f t="shared" si="259"/>
        <v>0.46367932687694141</v>
      </c>
      <c r="L225" s="103">
        <f t="shared" ref="L225" si="260">IF(L7=0,0,L7/L$4)</f>
        <v>0.46220924919201761</v>
      </c>
      <c r="M225" s="103">
        <f t="shared" ref="M225:V225" si="261">IF(M7=0,0,M7/M$4)</f>
        <v>0.45076607531805291</v>
      </c>
      <c r="N225" s="103">
        <f t="shared" si="261"/>
        <v>0.43524931354910473</v>
      </c>
      <c r="O225" s="103">
        <f t="shared" si="261"/>
        <v>0.41547040342633434</v>
      </c>
      <c r="P225" s="103">
        <f t="shared" si="261"/>
        <v>0.3706071810391855</v>
      </c>
      <c r="Q225" s="103">
        <f t="shared" si="261"/>
        <v>0.36297773938385791</v>
      </c>
      <c r="R225" s="103">
        <f t="shared" si="261"/>
        <v>0.33568279615947544</v>
      </c>
      <c r="S225" s="103">
        <f t="shared" si="261"/>
        <v>0.31896118548456837</v>
      </c>
      <c r="T225" s="103">
        <f t="shared" si="261"/>
        <v>0.31825190489691296</v>
      </c>
      <c r="U225" s="103">
        <f t="shared" si="261"/>
        <v>0.2987104009253268</v>
      </c>
      <c r="V225" s="103">
        <f t="shared" si="261"/>
        <v>0.30027995924553813</v>
      </c>
      <c r="W225" s="103">
        <f t="shared" ref="W225:Y225" si="262">IF(W7=0,0,W7/W$4)</f>
        <v>0.28828962455927498</v>
      </c>
      <c r="X225" s="103">
        <f t="shared" si="262"/>
        <v>0.2628902411616601</v>
      </c>
      <c r="Y225" s="103">
        <f t="shared" si="262"/>
        <v>0.26226349081045414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0.1817598892837452</v>
      </c>
      <c r="C226" s="103">
        <f t="shared" si="263"/>
        <v>0.19271813538516935</v>
      </c>
      <c r="D226" s="103">
        <f t="shared" si="263"/>
        <v>0.21348959264869366</v>
      </c>
      <c r="E226" s="103">
        <f t="shared" si="263"/>
        <v>0.26955062162170623</v>
      </c>
      <c r="F226" s="103">
        <f t="shared" si="263"/>
        <v>0.30861124661877465</v>
      </c>
      <c r="G226" s="103">
        <f t="shared" si="263"/>
        <v>0.34106821749846467</v>
      </c>
      <c r="H226" s="103">
        <f t="shared" si="263"/>
        <v>0.37099088194145213</v>
      </c>
      <c r="I226" s="103">
        <f t="shared" si="263"/>
        <v>0.39124551734131152</v>
      </c>
      <c r="J226" s="103">
        <f t="shared" si="263"/>
        <v>0.34932437417531903</v>
      </c>
      <c r="K226" s="103">
        <f t="shared" si="263"/>
        <v>0.3545320047742771</v>
      </c>
      <c r="L226" s="103">
        <f t="shared" ref="L226" si="264">IF(L8=0,0,L8/L$4)</f>
        <v>0.36567142294823857</v>
      </c>
      <c r="M226" s="103">
        <f t="shared" ref="M226:V226" si="265">IF(M8=0,0,M8/M$4)</f>
        <v>0.38020688613200715</v>
      </c>
      <c r="N226" s="103">
        <f t="shared" si="265"/>
        <v>0.3958116828593406</v>
      </c>
      <c r="O226" s="103">
        <f t="shared" si="265"/>
        <v>0.40776557204283814</v>
      </c>
      <c r="P226" s="103">
        <f t="shared" si="265"/>
        <v>0.44479132189201037</v>
      </c>
      <c r="Q226" s="103">
        <f t="shared" si="265"/>
        <v>0.45767953680092571</v>
      </c>
      <c r="R226" s="103">
        <f t="shared" si="265"/>
        <v>0.4756745529187385</v>
      </c>
      <c r="S226" s="103">
        <f t="shared" si="265"/>
        <v>0.48467023107309493</v>
      </c>
      <c r="T226" s="103">
        <f t="shared" si="265"/>
        <v>0.49255633512538616</v>
      </c>
      <c r="U226" s="103">
        <f t="shared" si="265"/>
        <v>0.50714160937463093</v>
      </c>
      <c r="V226" s="103">
        <f t="shared" si="265"/>
        <v>0.54552759564270548</v>
      </c>
      <c r="W226" s="103">
        <f t="shared" ref="W226:Y226" si="266">IF(W8=0,0,W8/W$4)</f>
        <v>0.55798494609821292</v>
      </c>
      <c r="X226" s="103">
        <f t="shared" si="266"/>
        <v>0.56547490616041185</v>
      </c>
      <c r="Y226" s="103">
        <f t="shared" si="266"/>
        <v>0.56136481766588064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1.1127588547351375E-2</v>
      </c>
      <c r="C227" s="103">
        <f t="shared" si="267"/>
        <v>1.2531693898178363E-2</v>
      </c>
      <c r="D227" s="103">
        <f t="shared" si="267"/>
        <v>1.3002700205549941E-2</v>
      </c>
      <c r="E227" s="103">
        <f t="shared" si="267"/>
        <v>1.26072017987482E-2</v>
      </c>
      <c r="F227" s="103">
        <f t="shared" si="267"/>
        <v>1.6155951890742152E-2</v>
      </c>
      <c r="G227" s="103">
        <f t="shared" si="267"/>
        <v>2.0798037747748094E-2</v>
      </c>
      <c r="H227" s="103">
        <f t="shared" si="267"/>
        <v>3.480277781760642E-2</v>
      </c>
      <c r="I227" s="103">
        <f t="shared" si="267"/>
        <v>4.5980505158917197E-2</v>
      </c>
      <c r="J227" s="103">
        <f t="shared" si="267"/>
        <v>5.4359457583784673E-2</v>
      </c>
      <c r="K227" s="103">
        <f t="shared" si="267"/>
        <v>6.0128656238451823E-2</v>
      </c>
      <c r="L227" s="103">
        <f t="shared" ref="L227" si="268">IF(L9=0,0,L9/L$4)</f>
        <v>5.1589865598198253E-2</v>
      </c>
      <c r="M227" s="103">
        <f t="shared" ref="M227:V227" si="269">IF(M9=0,0,M9/M$4)</f>
        <v>4.9757417757970386E-2</v>
      </c>
      <c r="N227" s="103">
        <f t="shared" si="269"/>
        <v>5.0229585525867919E-2</v>
      </c>
      <c r="O227" s="103">
        <f t="shared" si="269"/>
        <v>5.0470214452760287E-2</v>
      </c>
      <c r="P227" s="103">
        <f t="shared" si="269"/>
        <v>5.3793547325794125E-2</v>
      </c>
      <c r="Q227" s="103">
        <f t="shared" si="269"/>
        <v>5.778423162049752E-2</v>
      </c>
      <c r="R227" s="103">
        <f t="shared" si="269"/>
        <v>5.3490894737521763E-2</v>
      </c>
      <c r="S227" s="103">
        <f t="shared" si="269"/>
        <v>5.1061222188208015E-2</v>
      </c>
      <c r="T227" s="103">
        <f t="shared" si="269"/>
        <v>4.9563204099155322E-2</v>
      </c>
      <c r="U227" s="103">
        <f t="shared" si="269"/>
        <v>4.7772660470756345E-2</v>
      </c>
      <c r="V227" s="103">
        <f t="shared" si="269"/>
        <v>4.9037395384449511E-2</v>
      </c>
      <c r="W227" s="103">
        <f t="shared" ref="W227:Y227" si="270">IF(W9=0,0,W9/W$4)</f>
        <v>4.6212130114747715E-2</v>
      </c>
      <c r="X227" s="103">
        <f t="shared" si="270"/>
        <v>3.7606983216987584E-2</v>
      </c>
      <c r="Y227" s="103">
        <f t="shared" si="270"/>
        <v>3.3008837205623011E-2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0</v>
      </c>
      <c r="J228" s="103">
        <f t="shared" si="271"/>
        <v>0</v>
      </c>
      <c r="K228" s="103">
        <f t="shared" si="271"/>
        <v>4.4461632425186425E-5</v>
      </c>
      <c r="L228" s="103">
        <f t="shared" ref="L228" si="272">IF(L10=0,0,L10/L$4)</f>
        <v>5.1630800094403313E-5</v>
      </c>
      <c r="M228" s="103">
        <f t="shared" ref="M228:V228" si="273">IF(M10=0,0,M10/M$4)</f>
        <v>5.128915702221209E-5</v>
      </c>
      <c r="N228" s="103">
        <f t="shared" si="273"/>
        <v>6.3762581652195542E-5</v>
      </c>
      <c r="O228" s="103">
        <f t="shared" si="273"/>
        <v>6.6750269551115555E-5</v>
      </c>
      <c r="P228" s="103">
        <f t="shared" si="273"/>
        <v>7.3179412548576286E-5</v>
      </c>
      <c r="Q228" s="103">
        <f t="shared" si="273"/>
        <v>6.8491551343170302E-5</v>
      </c>
      <c r="R228" s="103">
        <f t="shared" si="273"/>
        <v>6.6725420281638344E-5</v>
      </c>
      <c r="S228" s="103">
        <f t="shared" si="273"/>
        <v>8.59476607346088E-5</v>
      </c>
      <c r="T228" s="103">
        <f t="shared" si="273"/>
        <v>8.9110994233902014E-5</v>
      </c>
      <c r="U228" s="103">
        <f t="shared" si="273"/>
        <v>8.6751087236049002E-5</v>
      </c>
      <c r="V228" s="103">
        <f t="shared" si="273"/>
        <v>8.9090250154692888E-5</v>
      </c>
      <c r="W228" s="103">
        <f t="shared" ref="W228:Y228" si="274">IF(W10=0,0,W10/W$4)</f>
        <v>9.2081016599526646E-5</v>
      </c>
      <c r="X228" s="103">
        <f t="shared" si="274"/>
        <v>9.3661450076228806E-5</v>
      </c>
      <c r="Y228" s="103">
        <f t="shared" si="274"/>
        <v>8.289027037406854E-5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0</v>
      </c>
      <c r="O229" s="103">
        <f t="shared" si="277"/>
        <v>0</v>
      </c>
      <c r="P229" s="103">
        <f t="shared" si="277"/>
        <v>2.7348837823454231E-6</v>
      </c>
      <c r="Q229" s="103">
        <f t="shared" si="277"/>
        <v>2.6535582184299273E-5</v>
      </c>
      <c r="R229" s="103">
        <f t="shared" si="277"/>
        <v>3.5055937770178896E-5</v>
      </c>
      <c r="S229" s="103">
        <f t="shared" si="277"/>
        <v>4.1730708332149956E-5</v>
      </c>
      <c r="T229" s="103">
        <f t="shared" si="277"/>
        <v>4.4118161226479738E-5</v>
      </c>
      <c r="U229" s="103">
        <f t="shared" si="277"/>
        <v>8.3179862381280371E-5</v>
      </c>
      <c r="V229" s="103">
        <f t="shared" si="277"/>
        <v>2.5590916555624197E-4</v>
      </c>
      <c r="W229" s="103">
        <f t="shared" ref="W229:Y229" si="278">IF(W11=0,0,W11/W$4)</f>
        <v>4.5644765188377641E-4</v>
      </c>
      <c r="X229" s="103">
        <f t="shared" si="278"/>
        <v>8.075127965607834E-4</v>
      </c>
      <c r="Y229" s="103">
        <f t="shared" si="278"/>
        <v>1.3045505512589886E-3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0</v>
      </c>
      <c r="L230" s="103">
        <f t="shared" ref="L230" si="280">IF(L12=0,0,L12/L$4)</f>
        <v>0</v>
      </c>
      <c r="M230" s="103">
        <f t="shared" ref="M230:V230" si="281">IF(M12=0,0,M12/M$4)</f>
        <v>0</v>
      </c>
      <c r="N230" s="103">
        <f t="shared" si="281"/>
        <v>1.7788036611513131E-5</v>
      </c>
      <c r="O230" s="103">
        <f t="shared" si="281"/>
        <v>2.031872501262252E-5</v>
      </c>
      <c r="P230" s="103">
        <f t="shared" si="281"/>
        <v>4.5023023736548743E-5</v>
      </c>
      <c r="Q230" s="103">
        <f t="shared" si="281"/>
        <v>8.5552460647673703E-5</v>
      </c>
      <c r="R230" s="103">
        <f t="shared" si="281"/>
        <v>1.1457674759602569E-4</v>
      </c>
      <c r="S230" s="103">
        <f t="shared" si="281"/>
        <v>1.3629147705267154E-4</v>
      </c>
      <c r="T230" s="103">
        <f t="shared" si="281"/>
        <v>2.2029140406864197E-4</v>
      </c>
      <c r="U230" s="103">
        <f t="shared" si="281"/>
        <v>3.5123927377314764E-4</v>
      </c>
      <c r="V230" s="103">
        <f t="shared" si="281"/>
        <v>7.2763351665177365E-4</v>
      </c>
      <c r="W230" s="103">
        <f t="shared" ref="W230:Y230" si="282">IF(W12=0,0,W12/W$4)</f>
        <v>1.6387490344818045E-3</v>
      </c>
      <c r="X230" s="103">
        <f t="shared" si="282"/>
        <v>2.5231882201348782E-3</v>
      </c>
      <c r="Y230" s="103">
        <f t="shared" si="282"/>
        <v>3.6269770035113219E-3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0.14174441224842346</v>
      </c>
      <c r="C231" s="156">
        <f t="shared" si="283"/>
        <v>0.14110257604201618</v>
      </c>
      <c r="D231" s="156">
        <f t="shared" si="283"/>
        <v>0.13825039286990445</v>
      </c>
      <c r="E231" s="156">
        <f t="shared" si="283"/>
        <v>0.14070674363003183</v>
      </c>
      <c r="F231" s="156">
        <f t="shared" si="283"/>
        <v>0.12505173949569018</v>
      </c>
      <c r="G231" s="156">
        <f t="shared" si="283"/>
        <v>0.12310149750835583</v>
      </c>
      <c r="H231" s="156">
        <f t="shared" si="283"/>
        <v>0.12279716822038489</v>
      </c>
      <c r="I231" s="156">
        <f t="shared" si="283"/>
        <v>0.12660500480444001</v>
      </c>
      <c r="J231" s="156">
        <f t="shared" si="283"/>
        <v>0.13050986831602304</v>
      </c>
      <c r="K231" s="156">
        <f t="shared" si="283"/>
        <v>0.11268217253429726</v>
      </c>
      <c r="L231" s="156">
        <f t="shared" ref="L231" si="284">IF(L13=0,0,L13/L$4)</f>
        <v>0.1111694802988193</v>
      </c>
      <c r="M231" s="156">
        <f t="shared" ref="M231:V231" si="285">IF(M13=0,0,M13/M$4)</f>
        <v>0.10974078295789264</v>
      </c>
      <c r="N231" s="156">
        <f t="shared" si="285"/>
        <v>0.10952104660915828</v>
      </c>
      <c r="O231" s="156">
        <f t="shared" si="285"/>
        <v>0.11720760983056619</v>
      </c>
      <c r="P231" s="156">
        <f t="shared" si="285"/>
        <v>0.12170448550029188</v>
      </c>
      <c r="Q231" s="156">
        <f t="shared" si="285"/>
        <v>0.11242021707073709</v>
      </c>
      <c r="R231" s="156">
        <f t="shared" si="285"/>
        <v>0.12562452223005616</v>
      </c>
      <c r="S231" s="156">
        <f t="shared" si="285"/>
        <v>0.13547939690926578</v>
      </c>
      <c r="T231" s="156">
        <f t="shared" si="285"/>
        <v>0.1292399015108627</v>
      </c>
      <c r="U231" s="156">
        <f t="shared" si="285"/>
        <v>0.13540022751372727</v>
      </c>
      <c r="V231" s="156">
        <f t="shared" si="285"/>
        <v>9.2007168079826659E-2</v>
      </c>
      <c r="W231" s="156">
        <f t="shared" ref="W231:Y231" si="286">IF(W13=0,0,W13/W$4)</f>
        <v>9.2425796782179784E-2</v>
      </c>
      <c r="X231" s="156">
        <f t="shared" si="286"/>
        <v>0.11767146488038628</v>
      </c>
      <c r="Y231" s="156">
        <f t="shared" si="286"/>
        <v>0.12476792081740591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2.6756924422062463E-4</v>
      </c>
      <c r="C232" s="103">
        <f t="shared" si="287"/>
        <v>2.6797279384787649E-4</v>
      </c>
      <c r="D232" s="103">
        <f t="shared" si="287"/>
        <v>2.5804671127686407E-4</v>
      </c>
      <c r="E232" s="103">
        <f t="shared" si="287"/>
        <v>2.4148087719893933E-4</v>
      </c>
      <c r="F232" s="103">
        <f t="shared" si="287"/>
        <v>2.1841733397129159E-4</v>
      </c>
      <c r="G232" s="103">
        <f t="shared" si="287"/>
        <v>2.1533278116408865E-4</v>
      </c>
      <c r="H232" s="103">
        <f t="shared" si="287"/>
        <v>2.0816557236403308E-4</v>
      </c>
      <c r="I232" s="103">
        <f t="shared" si="287"/>
        <v>1.8242109792980922E-4</v>
      </c>
      <c r="J232" s="103">
        <f t="shared" si="287"/>
        <v>1.9461956409436596E-4</v>
      </c>
      <c r="K232" s="103">
        <f t="shared" si="287"/>
        <v>1.8119338835157435E-4</v>
      </c>
      <c r="L232" s="103">
        <f t="shared" ref="L232" si="288">IF(L14=0,0,L14/L$4)</f>
        <v>1.8294945238506551E-4</v>
      </c>
      <c r="M232" s="103">
        <f t="shared" ref="M232:V232" si="289">IF(M14=0,0,M14/M$4)</f>
        <v>1.6851844789963211E-4</v>
      </c>
      <c r="N232" s="103">
        <f t="shared" si="289"/>
        <v>1.6006159467858171E-4</v>
      </c>
      <c r="O232" s="103">
        <f t="shared" si="289"/>
        <v>1.8249468007558195E-4</v>
      </c>
      <c r="P232" s="103">
        <f t="shared" si="289"/>
        <v>1.7047652028144691E-4</v>
      </c>
      <c r="Q232" s="103">
        <f t="shared" si="289"/>
        <v>1.5800592573003949E-4</v>
      </c>
      <c r="R232" s="103">
        <f t="shared" si="289"/>
        <v>1.6154433349174448E-4</v>
      </c>
      <c r="S232" s="103">
        <f t="shared" si="289"/>
        <v>1.5633941008201085E-4</v>
      </c>
      <c r="T232" s="103">
        <f t="shared" si="289"/>
        <v>1.5997302507713413E-4</v>
      </c>
      <c r="U232" s="103">
        <f t="shared" si="289"/>
        <v>1.1808050728657309E-4</v>
      </c>
      <c r="V232" s="103">
        <f t="shared" si="289"/>
        <v>1.0673199511872751E-4</v>
      </c>
      <c r="W232" s="103">
        <f t="shared" ref="W232:Y232" si="290">IF(W14=0,0,W14/W$4)</f>
        <v>9.7833550240957192E-5</v>
      </c>
      <c r="X232" s="103">
        <f t="shared" si="290"/>
        <v>9.0923242099026668E-5</v>
      </c>
      <c r="Y232" s="103">
        <f t="shared" si="290"/>
        <v>8.7386557564710812E-5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0.14147684300420282</v>
      </c>
      <c r="C233" s="103">
        <f t="shared" si="291"/>
        <v>0.14083460324816829</v>
      </c>
      <c r="D233" s="103">
        <f t="shared" si="291"/>
        <v>0.13799234615862757</v>
      </c>
      <c r="E233" s="103">
        <f t="shared" si="291"/>
        <v>0.14046526275283289</v>
      </c>
      <c r="F233" s="103">
        <f t="shared" si="291"/>
        <v>0.12483332216171888</v>
      </c>
      <c r="G233" s="103">
        <f t="shared" si="291"/>
        <v>0.12288616472719174</v>
      </c>
      <c r="H233" s="103">
        <f t="shared" si="291"/>
        <v>0.12258900264802085</v>
      </c>
      <c r="I233" s="103">
        <f t="shared" si="291"/>
        <v>0.12641350815049149</v>
      </c>
      <c r="J233" s="103">
        <f t="shared" si="291"/>
        <v>0.13030577173917113</v>
      </c>
      <c r="K233" s="103">
        <f t="shared" si="291"/>
        <v>0.11197203774953771</v>
      </c>
      <c r="L233" s="103">
        <f t="shared" ref="L233" si="292">IF(L15=0,0,L15/L$4)</f>
        <v>0.11041668346008249</v>
      </c>
      <c r="M233" s="103">
        <f t="shared" ref="M233:V233" si="293">IF(M15=0,0,M15/M$4)</f>
        <v>0.10898963884416678</v>
      </c>
      <c r="N233" s="103">
        <f t="shared" si="293"/>
        <v>0.10868582976261311</v>
      </c>
      <c r="O233" s="103">
        <f t="shared" si="293"/>
        <v>0.11545871403969736</v>
      </c>
      <c r="P233" s="103">
        <f t="shared" si="293"/>
        <v>0.1182866867342808</v>
      </c>
      <c r="Q233" s="103">
        <f t="shared" si="293"/>
        <v>0.10936053869512077</v>
      </c>
      <c r="R233" s="103">
        <f t="shared" si="293"/>
        <v>0.1224099912807909</v>
      </c>
      <c r="S233" s="103">
        <f t="shared" si="293"/>
        <v>0.13156003618409531</v>
      </c>
      <c r="T233" s="103">
        <f t="shared" si="293"/>
        <v>0.12566893165292253</v>
      </c>
      <c r="U233" s="103">
        <f t="shared" si="293"/>
        <v>0.13104021889350784</v>
      </c>
      <c r="V233" s="103">
        <f t="shared" si="293"/>
        <v>8.8798967705143284E-2</v>
      </c>
      <c r="W233" s="103">
        <f t="shared" ref="W233:Y233" si="294">IF(W15=0,0,W15/W$4)</f>
        <v>8.871610783880382E-2</v>
      </c>
      <c r="X233" s="103">
        <f t="shared" si="294"/>
        <v>0.11398566762975315</v>
      </c>
      <c r="Y233" s="103">
        <f t="shared" si="294"/>
        <v>0.12178193656440729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9.075556018707842E-6</v>
      </c>
      <c r="J234" s="103">
        <f t="shared" si="295"/>
        <v>9.4770127575440099E-6</v>
      </c>
      <c r="K234" s="103">
        <f t="shared" si="295"/>
        <v>8.3216421328412071E-6</v>
      </c>
      <c r="L234" s="103">
        <f t="shared" ref="L234" si="296">IF(L16=0,0,L16/L$4)</f>
        <v>8.5640806007047244E-6</v>
      </c>
      <c r="M234" s="103">
        <f t="shared" ref="M234:V234" si="297">IF(M16=0,0,M16/M$4)</f>
        <v>1.7323449291017737E-5</v>
      </c>
      <c r="N234" s="103">
        <f t="shared" si="297"/>
        <v>1.798109496849592E-5</v>
      </c>
      <c r="O234" s="103">
        <f t="shared" si="297"/>
        <v>1.2474949898548147E-4</v>
      </c>
      <c r="P234" s="103">
        <f t="shared" si="297"/>
        <v>1.4548634746052076E-4</v>
      </c>
      <c r="Q234" s="103">
        <f t="shared" si="297"/>
        <v>1.3299084387623675E-4</v>
      </c>
      <c r="R234" s="103">
        <f t="shared" si="297"/>
        <v>1.4249320629821014E-4</v>
      </c>
      <c r="S234" s="103">
        <f t="shared" si="297"/>
        <v>1.3800201433415138E-4</v>
      </c>
      <c r="T234" s="103">
        <f t="shared" si="297"/>
        <v>1.2696632823299884E-4</v>
      </c>
      <c r="U234" s="103">
        <f t="shared" si="297"/>
        <v>1.3577697658362004E-4</v>
      </c>
      <c r="V234" s="103">
        <f t="shared" si="297"/>
        <v>1.040341435656932E-4</v>
      </c>
      <c r="W234" s="103">
        <f t="shared" ref="W234:Y234" si="298">IF(W16=0,0,W16/W$4)</f>
        <v>1.0058045319022419E-4</v>
      </c>
      <c r="X234" s="103">
        <f t="shared" si="298"/>
        <v>1.1387816950683853E-4</v>
      </c>
      <c r="Y234" s="103">
        <f t="shared" si="298"/>
        <v>1.1672377265528711E-4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0</v>
      </c>
      <c r="D235" s="103">
        <f t="shared" si="299"/>
        <v>0</v>
      </c>
      <c r="E235" s="103">
        <f t="shared" si="299"/>
        <v>0</v>
      </c>
      <c r="F235" s="103">
        <f t="shared" si="299"/>
        <v>0</v>
      </c>
      <c r="G235" s="103">
        <f t="shared" si="299"/>
        <v>0</v>
      </c>
      <c r="H235" s="103">
        <f t="shared" si="299"/>
        <v>0</v>
      </c>
      <c r="I235" s="103">
        <f t="shared" si="299"/>
        <v>0</v>
      </c>
      <c r="J235" s="103">
        <f t="shared" si="299"/>
        <v>0</v>
      </c>
      <c r="K235" s="103">
        <f t="shared" si="299"/>
        <v>5.2061975427512125E-4</v>
      </c>
      <c r="L235" s="103">
        <f t="shared" ref="L235" si="300">IF(L17=0,0,L17/L$4)</f>
        <v>5.612833057510461E-4</v>
      </c>
      <c r="M235" s="103">
        <f t="shared" ref="M235:V235" si="301">IF(M17=0,0,M17/M$4)</f>
        <v>5.6530221653521299E-4</v>
      </c>
      <c r="N235" s="103">
        <f t="shared" si="301"/>
        <v>6.5717415689809126E-4</v>
      </c>
      <c r="O235" s="103">
        <f t="shared" si="301"/>
        <v>1.4416516118077763E-3</v>
      </c>
      <c r="P235" s="103">
        <f t="shared" si="301"/>
        <v>3.1018358982691104E-3</v>
      </c>
      <c r="Q235" s="103">
        <f t="shared" si="301"/>
        <v>2.7363589913933506E-3</v>
      </c>
      <c r="R235" s="103">
        <f t="shared" si="301"/>
        <v>2.8602789636253127E-3</v>
      </c>
      <c r="S235" s="103">
        <f t="shared" si="301"/>
        <v>3.5719958315560759E-3</v>
      </c>
      <c r="T235" s="103">
        <f t="shared" si="301"/>
        <v>3.2357634659987617E-3</v>
      </c>
      <c r="U235" s="103">
        <f t="shared" si="301"/>
        <v>4.0420624309943764E-3</v>
      </c>
      <c r="V235" s="103">
        <f t="shared" si="301"/>
        <v>2.936528307716465E-3</v>
      </c>
      <c r="W235" s="103">
        <f t="shared" ref="W235:Y235" si="302">IF(W17=0,0,W17/W$4)</f>
        <v>3.4042102770779673E-3</v>
      </c>
      <c r="X235" s="103">
        <f t="shared" si="302"/>
        <v>3.3404610763791503E-3</v>
      </c>
      <c r="Y235" s="103">
        <f t="shared" si="302"/>
        <v>2.6228939828745312E-3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0</v>
      </c>
      <c r="G236" s="103">
        <f t="shared" si="303"/>
        <v>0</v>
      </c>
      <c r="H236" s="103">
        <f t="shared" si="303"/>
        <v>0</v>
      </c>
      <c r="I236" s="103">
        <f t="shared" si="303"/>
        <v>0</v>
      </c>
      <c r="J236" s="103">
        <f t="shared" si="303"/>
        <v>0</v>
      </c>
      <c r="K236" s="103">
        <f t="shared" si="303"/>
        <v>0</v>
      </c>
      <c r="L236" s="103">
        <f t="shared" ref="L236" si="304">IF(L18=0,0,L18/L$4)</f>
        <v>0</v>
      </c>
      <c r="M236" s="103">
        <f t="shared" ref="M236:V236" si="305">IF(M18=0,0,M18/M$4)</f>
        <v>0</v>
      </c>
      <c r="N236" s="103">
        <f t="shared" si="305"/>
        <v>0</v>
      </c>
      <c r="O236" s="103">
        <f t="shared" si="305"/>
        <v>0</v>
      </c>
      <c r="P236" s="103">
        <f t="shared" si="305"/>
        <v>0</v>
      </c>
      <c r="Q236" s="103">
        <f t="shared" si="305"/>
        <v>3.2322614616694825E-5</v>
      </c>
      <c r="R236" s="103">
        <f t="shared" si="305"/>
        <v>5.021444584999175E-5</v>
      </c>
      <c r="S236" s="103">
        <f t="shared" si="305"/>
        <v>5.3023469198213231E-5</v>
      </c>
      <c r="T236" s="103">
        <f t="shared" si="305"/>
        <v>4.8267038631248263E-5</v>
      </c>
      <c r="U236" s="103">
        <f t="shared" si="305"/>
        <v>6.4088705354873143E-5</v>
      </c>
      <c r="V236" s="103">
        <f t="shared" si="305"/>
        <v>6.0905928282464237E-5</v>
      </c>
      <c r="W236" s="103">
        <f t="shared" ref="W236:Y236" si="306">IF(W18=0,0,W18/W$4)</f>
        <v>1.0706466286681279E-4</v>
      </c>
      <c r="X236" s="103">
        <f t="shared" si="306"/>
        <v>1.405347626480885E-4</v>
      </c>
      <c r="Y236" s="103">
        <f t="shared" si="306"/>
        <v>1.5897993990408117E-4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2.3345043001640385E-2</v>
      </c>
      <c r="C238" s="154">
        <f t="shared" si="311"/>
        <v>2.3196498771717103E-2</v>
      </c>
      <c r="D238" s="154">
        <f t="shared" si="311"/>
        <v>2.3468337372290558E-2</v>
      </c>
      <c r="E238" s="154">
        <f t="shared" si="311"/>
        <v>2.4444653648887826E-2</v>
      </c>
      <c r="F238" s="154">
        <f t="shared" si="311"/>
        <v>2.3834080445312593E-2</v>
      </c>
      <c r="G238" s="154">
        <f t="shared" si="311"/>
        <v>2.5151809511733101E-2</v>
      </c>
      <c r="H238" s="154">
        <f t="shared" si="311"/>
        <v>2.612151332111215E-2</v>
      </c>
      <c r="I238" s="154">
        <f t="shared" si="311"/>
        <v>2.5436029077782644E-2</v>
      </c>
      <c r="J238" s="154">
        <f t="shared" si="311"/>
        <v>2.8107119074714876E-2</v>
      </c>
      <c r="K238" s="154">
        <f t="shared" si="311"/>
        <v>3.3187116037596866E-2</v>
      </c>
      <c r="L238" s="154">
        <f t="shared" ref="L238" si="312">IF(L20=0,0,L20/L$19)</f>
        <v>3.332187667174389E-2</v>
      </c>
      <c r="M238" s="154">
        <f t="shared" ref="M238:V238" si="313">IF(M20=0,0,M20/M$19)</f>
        <v>3.4061697865701457E-2</v>
      </c>
      <c r="N238" s="154">
        <f t="shared" si="313"/>
        <v>3.3588601060675689E-2</v>
      </c>
      <c r="O238" s="154">
        <f t="shared" si="313"/>
        <v>3.2413844703807815E-2</v>
      </c>
      <c r="P238" s="154">
        <f t="shared" si="313"/>
        <v>3.2941675061209374E-2</v>
      </c>
      <c r="Q238" s="154">
        <f t="shared" si="313"/>
        <v>3.5229955767650166E-2</v>
      </c>
      <c r="R238" s="154">
        <f t="shared" si="313"/>
        <v>3.7386244865944177E-2</v>
      </c>
      <c r="S238" s="154">
        <f t="shared" si="313"/>
        <v>3.6046217463137353E-2</v>
      </c>
      <c r="T238" s="154">
        <f t="shared" si="313"/>
        <v>3.9716992880956606E-2</v>
      </c>
      <c r="U238" s="154">
        <f t="shared" si="313"/>
        <v>4.4628970583247045E-2</v>
      </c>
      <c r="V238" s="154">
        <f t="shared" si="313"/>
        <v>4.4994851981238822E-2</v>
      </c>
      <c r="W238" s="154">
        <f t="shared" ref="W238:Y238" si="314">IF(W20=0,0,W20/W$19)</f>
        <v>4.8302205791269405E-2</v>
      </c>
      <c r="X238" s="154">
        <f t="shared" si="314"/>
        <v>5.0201189308140742E-2</v>
      </c>
      <c r="Y238" s="154">
        <f t="shared" si="314"/>
        <v>5.0949102740483775E-2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3.4851609339600349E-3</v>
      </c>
      <c r="C239" s="103">
        <f t="shared" si="315"/>
        <v>3.3676569740839538E-3</v>
      </c>
      <c r="D239" s="103">
        <f t="shared" si="315"/>
        <v>3.0263143404136413E-3</v>
      </c>
      <c r="E239" s="103">
        <f t="shared" si="315"/>
        <v>2.7309364414102909E-3</v>
      </c>
      <c r="F239" s="103">
        <f t="shared" si="315"/>
        <v>2.2971043984808862E-3</v>
      </c>
      <c r="G239" s="103">
        <f t="shared" si="315"/>
        <v>2.1211495808678917E-3</v>
      </c>
      <c r="H239" s="103">
        <f t="shared" si="315"/>
        <v>2.0071441991616206E-3</v>
      </c>
      <c r="I239" s="103">
        <f t="shared" si="315"/>
        <v>1.5644217090928867E-3</v>
      </c>
      <c r="J239" s="103">
        <f t="shared" si="315"/>
        <v>1.6168742977844305E-3</v>
      </c>
      <c r="K239" s="103">
        <f t="shared" si="315"/>
        <v>1.7273888020698869E-3</v>
      </c>
      <c r="L239" s="103">
        <f t="shared" ref="L239" si="316">IF(L21=0,0,L21/L$19)</f>
        <v>1.61130273218317E-3</v>
      </c>
      <c r="M239" s="103">
        <f t="shared" ref="M239:V239" si="317">IF(M21=0,0,M21/M$19)</f>
        <v>1.556720300468448E-3</v>
      </c>
      <c r="N239" s="103">
        <f t="shared" si="317"/>
        <v>1.1694966528529652E-3</v>
      </c>
      <c r="O239" s="103">
        <f t="shared" si="317"/>
        <v>1.0797890937516456E-3</v>
      </c>
      <c r="P239" s="103">
        <f t="shared" si="317"/>
        <v>1.0648320058435383E-3</v>
      </c>
      <c r="Q239" s="103">
        <f t="shared" si="317"/>
        <v>9.4052608524518929E-4</v>
      </c>
      <c r="R239" s="103">
        <f t="shared" si="317"/>
        <v>9.3744297219112689E-4</v>
      </c>
      <c r="S239" s="103">
        <f t="shared" si="317"/>
        <v>8.9967248015175973E-4</v>
      </c>
      <c r="T239" s="103">
        <f t="shared" si="317"/>
        <v>9.4922296235109237E-4</v>
      </c>
      <c r="U239" s="103">
        <f t="shared" si="317"/>
        <v>1.0190677143923688E-3</v>
      </c>
      <c r="V239" s="103">
        <f t="shared" si="317"/>
        <v>9.8249772499463717E-4</v>
      </c>
      <c r="W239" s="103">
        <f t="shared" ref="W239:Y239" si="318">IF(W21=0,0,W21/W$19)</f>
        <v>1.0202829873306803E-3</v>
      </c>
      <c r="X239" s="103">
        <f t="shared" si="318"/>
        <v>1.0329162690584186E-3</v>
      </c>
      <c r="Y239" s="103">
        <f t="shared" si="318"/>
        <v>1.0330840210682152E-3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1.9859882067680353E-2</v>
      </c>
      <c r="C240" s="103">
        <f t="shared" si="319"/>
        <v>1.982884179763315E-2</v>
      </c>
      <c r="D240" s="103">
        <f t="shared" si="319"/>
        <v>2.0442023031876918E-2</v>
      </c>
      <c r="E240" s="103">
        <f t="shared" si="319"/>
        <v>2.1713280024265123E-2</v>
      </c>
      <c r="F240" s="103">
        <f t="shared" si="319"/>
        <v>2.1536583595766209E-2</v>
      </c>
      <c r="G240" s="103">
        <f t="shared" si="319"/>
        <v>2.3030084104292487E-2</v>
      </c>
      <c r="H240" s="103">
        <f t="shared" si="319"/>
        <v>2.4113815864986874E-2</v>
      </c>
      <c r="I240" s="103">
        <f t="shared" si="319"/>
        <v>2.3845215639203769E-2</v>
      </c>
      <c r="J240" s="103">
        <f t="shared" si="319"/>
        <v>2.6418752696639257E-2</v>
      </c>
      <c r="K240" s="103">
        <f t="shared" si="319"/>
        <v>3.1347928274836408E-2</v>
      </c>
      <c r="L240" s="103">
        <f t="shared" ref="L240" si="320">IF(L22=0,0,L22/L$19)</f>
        <v>3.1587258193014979E-2</v>
      </c>
      <c r="M240" s="103">
        <f t="shared" ref="M240:V240" si="321">IF(M22=0,0,M22/M$19)</f>
        <v>3.2384028351378859E-2</v>
      </c>
      <c r="N240" s="103">
        <f t="shared" si="321"/>
        <v>3.2289259493944948E-2</v>
      </c>
      <c r="O240" s="103">
        <f t="shared" si="321"/>
        <v>3.1196314289075138E-2</v>
      </c>
      <c r="P240" s="103">
        <f t="shared" si="321"/>
        <v>3.1726382115927342E-2</v>
      </c>
      <c r="Q240" s="103">
        <f t="shared" si="321"/>
        <v>3.413200257329195E-2</v>
      </c>
      <c r="R240" s="103">
        <f t="shared" si="321"/>
        <v>3.6279367494633584E-2</v>
      </c>
      <c r="S240" s="103">
        <f t="shared" si="321"/>
        <v>3.4978510686090876E-2</v>
      </c>
      <c r="T240" s="103">
        <f t="shared" si="321"/>
        <v>3.8581464047910484E-2</v>
      </c>
      <c r="U240" s="103">
        <f t="shared" si="321"/>
        <v>4.3395445651768096E-2</v>
      </c>
      <c r="V240" s="103">
        <f t="shared" si="321"/>
        <v>4.3791984504214981E-2</v>
      </c>
      <c r="W240" s="103">
        <f t="shared" ref="W240:Y240" si="322">IF(W22=0,0,W22/W$19)</f>
        <v>4.7028234003674327E-2</v>
      </c>
      <c r="X240" s="103">
        <f t="shared" si="322"/>
        <v>4.8897744138576942E-2</v>
      </c>
      <c r="Y240" s="103">
        <f t="shared" si="322"/>
        <v>4.9619912148922758E-2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2.5844013398213225E-5</v>
      </c>
      <c r="J241" s="103">
        <f t="shared" si="323"/>
        <v>7.0523945118271923E-5</v>
      </c>
      <c r="K241" s="103">
        <f t="shared" si="323"/>
        <v>1.0583845088395059E-4</v>
      </c>
      <c r="L241" s="103">
        <f t="shared" ref="L241" si="324">IF(L23=0,0,L23/L$19)</f>
        <v>1.160332611969852E-4</v>
      </c>
      <c r="M241" s="103">
        <f t="shared" ref="M241:V241" si="325">IF(M23=0,0,M23/M$19)</f>
        <v>1.1355360350715574E-4</v>
      </c>
      <c r="N241" s="103">
        <f t="shared" si="325"/>
        <v>1.1881823320988794E-4</v>
      </c>
      <c r="O241" s="103">
        <f t="shared" si="325"/>
        <v>1.2695058922602319E-4</v>
      </c>
      <c r="P241" s="103">
        <f t="shared" si="325"/>
        <v>1.3922210502675616E-4</v>
      </c>
      <c r="Q241" s="103">
        <f t="shared" si="325"/>
        <v>1.3975482974215529E-4</v>
      </c>
      <c r="R241" s="103">
        <f t="shared" si="325"/>
        <v>1.4801809302480482E-4</v>
      </c>
      <c r="S241" s="103">
        <f t="shared" si="325"/>
        <v>1.4509561592037244E-4</v>
      </c>
      <c r="T241" s="103">
        <f t="shared" si="325"/>
        <v>1.5689088060652731E-4</v>
      </c>
      <c r="U241" s="103">
        <f t="shared" si="325"/>
        <v>1.7551519735690827E-4</v>
      </c>
      <c r="V241" s="103">
        <f t="shared" si="325"/>
        <v>1.735863722740003E-4</v>
      </c>
      <c r="W241" s="103">
        <f t="shared" ref="W241:Y241" si="326">IF(W23=0,0,W23/W$19)</f>
        <v>1.905346235821913E-4</v>
      </c>
      <c r="X241" s="103">
        <f t="shared" si="326"/>
        <v>2.0001130762406746E-4</v>
      </c>
      <c r="Y241" s="103">
        <f t="shared" si="326"/>
        <v>1.9630997412477955E-4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4.5481533158353906E-6</v>
      </c>
      <c r="L242" s="103">
        <f t="shared" ref="L242" si="328">IF(L24=0,0,L24/L$19)</f>
        <v>5.7673531745096671E-6</v>
      </c>
      <c r="M242" s="103">
        <f t="shared" ref="M242:V242" si="329">IF(M24=0,0,M24/M$19)</f>
        <v>6.101420084616818E-6</v>
      </c>
      <c r="N242" s="103">
        <f t="shared" si="329"/>
        <v>9.1345772423305893E-6</v>
      </c>
      <c r="O242" s="103">
        <f t="shared" si="329"/>
        <v>8.9659040274857881E-6</v>
      </c>
      <c r="P242" s="103">
        <f t="shared" si="329"/>
        <v>9.1169266588588472E-6</v>
      </c>
      <c r="Q242" s="103">
        <f t="shared" si="329"/>
        <v>8.899214561817048E-6</v>
      </c>
      <c r="R242" s="103">
        <f t="shared" si="329"/>
        <v>8.5857180834049684E-6</v>
      </c>
      <c r="S242" s="103">
        <f t="shared" si="329"/>
        <v>9.2236662352598772E-6</v>
      </c>
      <c r="T242" s="103">
        <f t="shared" si="329"/>
        <v>9.5724229590236966E-6</v>
      </c>
      <c r="U242" s="103">
        <f t="shared" si="329"/>
        <v>9.822218082986972E-6</v>
      </c>
      <c r="V242" s="103">
        <f t="shared" si="329"/>
        <v>9.2646773636148E-6</v>
      </c>
      <c r="W242" s="103">
        <f t="shared" ref="W242:Y242" si="330">IF(W24=0,0,W24/W$19)</f>
        <v>9.22619466943322E-6</v>
      </c>
      <c r="X242" s="103">
        <f t="shared" si="330"/>
        <v>9.0051006118192377E-6</v>
      </c>
      <c r="Y242" s="103">
        <f t="shared" si="330"/>
        <v>8.4515104980154195E-6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4.3718321241323514E-7</v>
      </c>
      <c r="F243" s="103">
        <f t="shared" si="331"/>
        <v>3.9245106549839148E-7</v>
      </c>
      <c r="G243" s="103">
        <f t="shared" si="331"/>
        <v>5.758265727213359E-7</v>
      </c>
      <c r="H243" s="103">
        <f t="shared" si="331"/>
        <v>5.5325696365328963E-7</v>
      </c>
      <c r="I243" s="103">
        <f t="shared" si="331"/>
        <v>5.4771608777329807E-7</v>
      </c>
      <c r="J243" s="103">
        <f t="shared" si="331"/>
        <v>9.6813517292247203E-7</v>
      </c>
      <c r="K243" s="103">
        <f t="shared" si="331"/>
        <v>1.4123564907793753E-6</v>
      </c>
      <c r="L243" s="103">
        <f t="shared" ref="L243" si="332">IF(L25=0,0,L25/L$19)</f>
        <v>1.5151321742411403E-6</v>
      </c>
      <c r="M243" s="103">
        <f t="shared" ref="M243:V243" si="333">IF(M25=0,0,M25/M$19)</f>
        <v>1.2941902623838769E-6</v>
      </c>
      <c r="N243" s="103">
        <f t="shared" si="333"/>
        <v>1.8921034255685165E-6</v>
      </c>
      <c r="O243" s="103">
        <f t="shared" si="333"/>
        <v>1.8248277275287586E-6</v>
      </c>
      <c r="P243" s="103">
        <f t="shared" si="333"/>
        <v>2.1219077528844198E-6</v>
      </c>
      <c r="Q243" s="103">
        <f t="shared" si="333"/>
        <v>8.7730648090562003E-6</v>
      </c>
      <c r="R243" s="103">
        <f t="shared" si="333"/>
        <v>1.2830588011259561E-5</v>
      </c>
      <c r="S243" s="103">
        <f t="shared" si="333"/>
        <v>1.3715014739089755E-5</v>
      </c>
      <c r="T243" s="103">
        <f t="shared" si="333"/>
        <v>1.9842567129483469E-5</v>
      </c>
      <c r="U243" s="103">
        <f t="shared" si="333"/>
        <v>2.9119801646686478E-5</v>
      </c>
      <c r="V243" s="103">
        <f t="shared" si="333"/>
        <v>3.7518702391598364E-5</v>
      </c>
      <c r="W243" s="103">
        <f t="shared" ref="W243:Y243" si="334">IF(W25=0,0,W25/W$19)</f>
        <v>5.3927982012776401E-5</v>
      </c>
      <c r="X243" s="103">
        <f t="shared" si="334"/>
        <v>6.1512492269498239E-5</v>
      </c>
      <c r="Y243" s="103">
        <f t="shared" si="334"/>
        <v>9.134508587000139E-5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0.97665495699835969</v>
      </c>
      <c r="C244" s="156">
        <f t="shared" si="335"/>
        <v>0.97680350122828286</v>
      </c>
      <c r="D244" s="156">
        <f t="shared" si="335"/>
        <v>0.97653166262770941</v>
      </c>
      <c r="E244" s="156">
        <f t="shared" si="335"/>
        <v>0.97555534635111218</v>
      </c>
      <c r="F244" s="156">
        <f t="shared" si="335"/>
        <v>0.97616591955468746</v>
      </c>
      <c r="G244" s="156">
        <f t="shared" si="335"/>
        <v>0.97484819048826699</v>
      </c>
      <c r="H244" s="156">
        <f t="shared" si="335"/>
        <v>0.97387848667888788</v>
      </c>
      <c r="I244" s="156">
        <f t="shared" si="335"/>
        <v>0.97456397092221736</v>
      </c>
      <c r="J244" s="156">
        <f t="shared" si="335"/>
        <v>0.97189288092528514</v>
      </c>
      <c r="K244" s="156">
        <f t="shared" si="335"/>
        <v>0.96681288396240328</v>
      </c>
      <c r="L244" s="156">
        <f t="shared" ref="L244" si="336">IF(L26=0,0,L26/L$19)</f>
        <v>0.96667812332825609</v>
      </c>
      <c r="M244" s="156">
        <f t="shared" ref="M244:V244" si="337">IF(M26=0,0,M26/M$19)</f>
        <v>0.96593830213429854</v>
      </c>
      <c r="N244" s="156">
        <f t="shared" si="337"/>
        <v>0.96641139893932437</v>
      </c>
      <c r="O244" s="156">
        <f t="shared" si="337"/>
        <v>0.96758615529619219</v>
      </c>
      <c r="P244" s="156">
        <f t="shared" si="337"/>
        <v>0.96705832493879063</v>
      </c>
      <c r="Q244" s="156">
        <f t="shared" si="337"/>
        <v>0.96477004423234991</v>
      </c>
      <c r="R244" s="156">
        <f t="shared" si="337"/>
        <v>0.96261375513405567</v>
      </c>
      <c r="S244" s="156">
        <f t="shared" si="337"/>
        <v>0.96395378253686259</v>
      </c>
      <c r="T244" s="156">
        <f t="shared" si="337"/>
        <v>0.96028300711904335</v>
      </c>
      <c r="U244" s="156">
        <f t="shared" si="337"/>
        <v>0.95537102941675289</v>
      </c>
      <c r="V244" s="156">
        <f t="shared" si="337"/>
        <v>0.95500514801876113</v>
      </c>
      <c r="W244" s="156">
        <f t="shared" ref="W244:Y244" si="338">IF(W26=0,0,W26/W$19)</f>
        <v>0.95169779420873057</v>
      </c>
      <c r="X244" s="156">
        <f t="shared" si="338"/>
        <v>0.94979881069185934</v>
      </c>
      <c r="Y244" s="156">
        <f t="shared" si="338"/>
        <v>0.9490508972595163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0.29524519185742398</v>
      </c>
      <c r="C245" s="103">
        <f t="shared" si="339"/>
        <v>0.39600247041335501</v>
      </c>
      <c r="D245" s="103">
        <f t="shared" si="339"/>
        <v>0.41337314324198021</v>
      </c>
      <c r="E245" s="103">
        <f t="shared" si="339"/>
        <v>0.43755632869348421</v>
      </c>
      <c r="F245" s="103">
        <f t="shared" si="339"/>
        <v>0.41611437423898867</v>
      </c>
      <c r="G245" s="103">
        <f t="shared" si="339"/>
        <v>0.40795918507530987</v>
      </c>
      <c r="H245" s="103">
        <f t="shared" si="339"/>
        <v>0.4723023874449967</v>
      </c>
      <c r="I245" s="103">
        <f t="shared" si="339"/>
        <v>0.4524359473793208</v>
      </c>
      <c r="J245" s="103">
        <f t="shared" si="339"/>
        <v>0.60374186121237039</v>
      </c>
      <c r="K245" s="103">
        <f t="shared" si="339"/>
        <v>0.58316897462764161</v>
      </c>
      <c r="L245" s="103">
        <f t="shared" ref="L245" si="340">IF(L27=0,0,L27/L$19)</f>
        <v>0.5545567256426126</v>
      </c>
      <c r="M245" s="103">
        <f t="shared" ref="M245:V245" si="341">IF(M27=0,0,M27/M$19)</f>
        <v>0.54650307981650148</v>
      </c>
      <c r="N245" s="103">
        <f t="shared" si="341"/>
        <v>0.54034510872941721</v>
      </c>
      <c r="O245" s="103">
        <f t="shared" si="341"/>
        <v>0.53857064253749731</v>
      </c>
      <c r="P245" s="103">
        <f t="shared" si="341"/>
        <v>0.50243298855078022</v>
      </c>
      <c r="Q245" s="103">
        <f t="shared" si="341"/>
        <v>0.47596204681425708</v>
      </c>
      <c r="R245" s="103">
        <f t="shared" si="341"/>
        <v>0.46507661333275818</v>
      </c>
      <c r="S245" s="103">
        <f t="shared" si="341"/>
        <v>0.42742437102077624</v>
      </c>
      <c r="T245" s="103">
        <f t="shared" si="341"/>
        <v>0.42713985244713248</v>
      </c>
      <c r="U245" s="103">
        <f t="shared" si="341"/>
        <v>0.45600618539351767</v>
      </c>
      <c r="V245" s="103">
        <f t="shared" si="341"/>
        <v>0.46170758529901751</v>
      </c>
      <c r="W245" s="103">
        <f t="shared" ref="W245:Y245" si="342">IF(W27=0,0,W27/W$19)</f>
        <v>0.49061221769085606</v>
      </c>
      <c r="X245" s="103">
        <f t="shared" si="342"/>
        <v>0.48285750179077136</v>
      </c>
      <c r="Y245" s="103">
        <f t="shared" si="342"/>
        <v>0.48108699499209961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0.68140976514093576</v>
      </c>
      <c r="C246" s="105">
        <f t="shared" si="343"/>
        <v>0.58080103081492784</v>
      </c>
      <c r="D246" s="105">
        <f t="shared" si="343"/>
        <v>0.56315851938572925</v>
      </c>
      <c r="E246" s="105">
        <f t="shared" si="343"/>
        <v>0.53799901765762803</v>
      </c>
      <c r="F246" s="105">
        <f t="shared" si="343"/>
        <v>0.56005154531569878</v>
      </c>
      <c r="G246" s="105">
        <f t="shared" si="343"/>
        <v>0.56688900541295706</v>
      </c>
      <c r="H246" s="105">
        <f t="shared" si="343"/>
        <v>0.50157609923389124</v>
      </c>
      <c r="I246" s="105">
        <f t="shared" si="343"/>
        <v>0.52212802354289656</v>
      </c>
      <c r="J246" s="105">
        <f t="shared" si="343"/>
        <v>0.3681510197129147</v>
      </c>
      <c r="K246" s="105">
        <f t="shared" si="343"/>
        <v>0.38364390933476172</v>
      </c>
      <c r="L246" s="105">
        <f t="shared" ref="L246" si="344">IF(L28=0,0,L28/L$19)</f>
        <v>0.41212139768564349</v>
      </c>
      <c r="M246" s="105">
        <f t="shared" ref="M246:V246" si="345">IF(M28=0,0,M28/M$19)</f>
        <v>0.41943522231779712</v>
      </c>
      <c r="N246" s="105">
        <f t="shared" si="345"/>
        <v>0.42606629020990711</v>
      </c>
      <c r="O246" s="105">
        <f t="shared" si="345"/>
        <v>0.42901551275869493</v>
      </c>
      <c r="P246" s="105">
        <f t="shared" si="345"/>
        <v>0.46462533638801051</v>
      </c>
      <c r="Q246" s="105">
        <f t="shared" si="345"/>
        <v>0.48880799741809278</v>
      </c>
      <c r="R246" s="105">
        <f t="shared" si="345"/>
        <v>0.49753714180129754</v>
      </c>
      <c r="S246" s="105">
        <f t="shared" si="345"/>
        <v>0.53652941151608635</v>
      </c>
      <c r="T246" s="105">
        <f t="shared" si="345"/>
        <v>0.53314315467191087</v>
      </c>
      <c r="U246" s="105">
        <f t="shared" si="345"/>
        <v>0.49936484402323522</v>
      </c>
      <c r="V246" s="105">
        <f t="shared" si="345"/>
        <v>0.49329756271974368</v>
      </c>
      <c r="W246" s="105">
        <f t="shared" ref="W246:Y246" si="346">IF(W28=0,0,W28/W$19)</f>
        <v>0.46108557651787452</v>
      </c>
      <c r="X246" s="105">
        <f t="shared" si="346"/>
        <v>0.46694130890108793</v>
      </c>
      <c r="Y246" s="105">
        <f t="shared" si="346"/>
        <v>0.46796390226741669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9.4297390039357314E-3</v>
      </c>
      <c r="C250" s="154">
        <f t="shared" si="351"/>
        <v>8.7742795996650549E-3</v>
      </c>
      <c r="D250" s="154">
        <f t="shared" si="351"/>
        <v>8.6592543856263277E-3</v>
      </c>
      <c r="E250" s="154">
        <f t="shared" si="351"/>
        <v>9.4828640908284981E-3</v>
      </c>
      <c r="F250" s="154">
        <f t="shared" si="351"/>
        <v>1.0014978520658383E-2</v>
      </c>
      <c r="G250" s="154">
        <f t="shared" si="351"/>
        <v>1.0795329042317092E-2</v>
      </c>
      <c r="H250" s="154">
        <f t="shared" si="351"/>
        <v>1.1449913347696536E-2</v>
      </c>
      <c r="I250" s="154">
        <f t="shared" si="351"/>
        <v>1.0980958167819967E-2</v>
      </c>
      <c r="J250" s="154">
        <f t="shared" si="351"/>
        <v>1.0064263551951488E-2</v>
      </c>
      <c r="K250" s="154">
        <f t="shared" si="351"/>
        <v>1.0322398814187927E-2</v>
      </c>
      <c r="L250" s="154">
        <f t="shared" ref="L250" si="352">IF(L32=0,0,L32/L$31)</f>
        <v>1.0355967772378441E-2</v>
      </c>
      <c r="M250" s="154">
        <f t="shared" ref="M250:V250" si="353">IF(M32=0,0,M32/M$31)</f>
        <v>1.0525567834229425E-2</v>
      </c>
      <c r="N250" s="154">
        <f t="shared" si="353"/>
        <v>1.0832926748239352E-2</v>
      </c>
      <c r="O250" s="154">
        <f t="shared" si="353"/>
        <v>1.0799501517381982E-2</v>
      </c>
      <c r="P250" s="154">
        <f t="shared" si="353"/>
        <v>1.0614577525896424E-2</v>
      </c>
      <c r="Q250" s="154">
        <f t="shared" si="353"/>
        <v>1.0301974810252603E-2</v>
      </c>
      <c r="R250" s="154">
        <f t="shared" si="353"/>
        <v>9.8416586475374001E-3</v>
      </c>
      <c r="S250" s="154">
        <f t="shared" si="353"/>
        <v>9.9817355477211898E-3</v>
      </c>
      <c r="T250" s="154">
        <f t="shared" si="353"/>
        <v>9.8308278376274937E-3</v>
      </c>
      <c r="U250" s="154">
        <f t="shared" si="353"/>
        <v>1.064282673478076E-2</v>
      </c>
      <c r="V250" s="154">
        <f t="shared" si="353"/>
        <v>1.1440145032932709E-2</v>
      </c>
      <c r="W250" s="154">
        <f t="shared" ref="W250:Y250" si="354">IF(W32=0,0,W32/W$31)</f>
        <v>1.2347035314992441E-2</v>
      </c>
      <c r="X250" s="154">
        <f t="shared" si="354"/>
        <v>1.3152662790239855E-2</v>
      </c>
      <c r="Y250" s="154">
        <f t="shared" si="354"/>
        <v>1.3826005265774563E-2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0.96739751087757353</v>
      </c>
      <c r="C251" s="156">
        <f t="shared" si="355"/>
        <v>0.96944503599812426</v>
      </c>
      <c r="D251" s="156">
        <f t="shared" si="355"/>
        <v>0.9710144310404617</v>
      </c>
      <c r="E251" s="156">
        <f t="shared" si="355"/>
        <v>0.97105863789416202</v>
      </c>
      <c r="F251" s="156">
        <f t="shared" si="355"/>
        <v>0.9717612664614671</v>
      </c>
      <c r="G251" s="156">
        <f t="shared" si="355"/>
        <v>0.97178124796825749</v>
      </c>
      <c r="H251" s="156">
        <f t="shared" si="355"/>
        <v>0.97191002918259373</v>
      </c>
      <c r="I251" s="156">
        <f t="shared" si="355"/>
        <v>0.97315228620077476</v>
      </c>
      <c r="J251" s="156">
        <f t="shared" si="355"/>
        <v>0.97568870722440515</v>
      </c>
      <c r="K251" s="156">
        <f t="shared" si="355"/>
        <v>0.9752935545569259</v>
      </c>
      <c r="L251" s="156">
        <f t="shared" ref="L251" si="356">IF(L33=0,0,L33/L$31)</f>
        <v>0.97523774653374229</v>
      </c>
      <c r="M251" s="156">
        <f t="shared" ref="M251:V251" si="357">IF(M33=0,0,M33/M$31)</f>
        <v>0.97518966918637628</v>
      </c>
      <c r="N251" s="156">
        <f t="shared" si="357"/>
        <v>0.97506403622749882</v>
      </c>
      <c r="O251" s="156">
        <f t="shared" si="357"/>
        <v>0.97505176560257845</v>
      </c>
      <c r="P251" s="156">
        <f t="shared" si="357"/>
        <v>0.97504180721773792</v>
      </c>
      <c r="Q251" s="156">
        <f t="shared" si="357"/>
        <v>0.9751315119696693</v>
      </c>
      <c r="R251" s="156">
        <f t="shared" si="357"/>
        <v>0.97581139007960804</v>
      </c>
      <c r="S251" s="156">
        <f t="shared" si="357"/>
        <v>0.97578898186297414</v>
      </c>
      <c r="T251" s="156">
        <f t="shared" si="357"/>
        <v>0.97579158644984232</v>
      </c>
      <c r="U251" s="156">
        <f t="shared" si="357"/>
        <v>0.97756492124308214</v>
      </c>
      <c r="V251" s="156">
        <f t="shared" si="357"/>
        <v>0.97826372443742782</v>
      </c>
      <c r="W251" s="156">
        <f t="shared" ref="W251:Y251" si="358">IF(W33=0,0,W33/W$31)</f>
        <v>0.97730497318291865</v>
      </c>
      <c r="X251" s="156">
        <f t="shared" si="358"/>
        <v>0.97530150218896838</v>
      </c>
      <c r="Y251" s="156">
        <f t="shared" si="358"/>
        <v>0.97397907580395238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0.75677590932627681</v>
      </c>
      <c r="C252" s="103">
        <f t="shared" si="359"/>
        <v>0.74491475834069454</v>
      </c>
      <c r="D252" s="103">
        <f t="shared" si="359"/>
        <v>0.72344559096309313</v>
      </c>
      <c r="E252" s="103">
        <f t="shared" si="359"/>
        <v>0.66067943837199283</v>
      </c>
      <c r="F252" s="103">
        <f t="shared" si="359"/>
        <v>0.6195989806334522</v>
      </c>
      <c r="G252" s="103">
        <f t="shared" si="359"/>
        <v>0.57898484396665773</v>
      </c>
      <c r="H252" s="103">
        <f t="shared" si="359"/>
        <v>0.52972359505508149</v>
      </c>
      <c r="I252" s="103">
        <f t="shared" si="359"/>
        <v>0.49297561966673192</v>
      </c>
      <c r="J252" s="103">
        <f t="shared" si="359"/>
        <v>0.52959244739057709</v>
      </c>
      <c r="K252" s="103">
        <f t="shared" si="359"/>
        <v>0.52612413382591317</v>
      </c>
      <c r="L252" s="103">
        <f t="shared" ref="L252" si="360">IF(L34=0,0,L34/L$31)</f>
        <v>0.52417518000047714</v>
      </c>
      <c r="M252" s="103">
        <f t="shared" ref="M252:V252" si="361">IF(M34=0,0,M34/M$31)</f>
        <v>0.51093357791245964</v>
      </c>
      <c r="N252" s="103">
        <f t="shared" si="361"/>
        <v>0.49345968774992077</v>
      </c>
      <c r="O252" s="103">
        <f t="shared" si="361"/>
        <v>0.47561040999063742</v>
      </c>
      <c r="P252" s="103">
        <f t="shared" si="361"/>
        <v>0.42757678475728716</v>
      </c>
      <c r="Q252" s="103">
        <f t="shared" si="361"/>
        <v>0.41460081734326332</v>
      </c>
      <c r="R252" s="103">
        <f t="shared" si="361"/>
        <v>0.39088336299592935</v>
      </c>
      <c r="S252" s="103">
        <f t="shared" si="361"/>
        <v>0.37621029706249981</v>
      </c>
      <c r="T252" s="103">
        <f t="shared" si="361"/>
        <v>0.37305749323822907</v>
      </c>
      <c r="U252" s="103">
        <f t="shared" si="361"/>
        <v>0.35388214910111776</v>
      </c>
      <c r="V252" s="103">
        <f t="shared" si="361"/>
        <v>0.33973800295928525</v>
      </c>
      <c r="W252" s="103">
        <f t="shared" ref="W252:Y252" si="362">IF(W34=0,0,W34/W$31)</f>
        <v>0.32655103159379412</v>
      </c>
      <c r="X252" s="103">
        <f t="shared" si="362"/>
        <v>0.30618136025625031</v>
      </c>
      <c r="Y252" s="103">
        <f t="shared" si="362"/>
        <v>0.30775909652005162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0.19758116455690006</v>
      </c>
      <c r="C253" s="103">
        <f t="shared" si="363"/>
        <v>0.20983065348325416</v>
      </c>
      <c r="D253" s="103">
        <f t="shared" si="363"/>
        <v>0.2323435030877351</v>
      </c>
      <c r="E253" s="103">
        <f t="shared" si="363"/>
        <v>0.29556186689216879</v>
      </c>
      <c r="F253" s="103">
        <f t="shared" si="363"/>
        <v>0.33349011074738133</v>
      </c>
      <c r="G253" s="103">
        <f t="shared" si="363"/>
        <v>0.36879335765389171</v>
      </c>
      <c r="H253" s="103">
        <f t="shared" si="363"/>
        <v>0.40200903553161366</v>
      </c>
      <c r="I253" s="103">
        <f t="shared" si="363"/>
        <v>0.42681206782162845</v>
      </c>
      <c r="J253" s="103">
        <f t="shared" si="363"/>
        <v>0.38257762276568108</v>
      </c>
      <c r="K253" s="103">
        <f t="shared" si="363"/>
        <v>0.38029670056727405</v>
      </c>
      <c r="L253" s="103">
        <f t="shared" ref="L253" si="364">IF(L35=0,0,L35/L$31)</f>
        <v>0.39203556141909129</v>
      </c>
      <c r="M253" s="103">
        <f t="shared" ref="M253:V253" si="365">IF(M35=0,0,M35/M$31)</f>
        <v>0.40740825100072076</v>
      </c>
      <c r="N253" s="103">
        <f t="shared" si="365"/>
        <v>0.42422749653416336</v>
      </c>
      <c r="O253" s="103">
        <f t="shared" si="365"/>
        <v>0.4412842587504846</v>
      </c>
      <c r="P253" s="103">
        <f t="shared" si="365"/>
        <v>0.48512450543204055</v>
      </c>
      <c r="Q253" s="103">
        <f t="shared" si="365"/>
        <v>0.49420630095556078</v>
      </c>
      <c r="R253" s="103">
        <f t="shared" si="365"/>
        <v>0.52363014581339318</v>
      </c>
      <c r="S253" s="103">
        <f t="shared" si="365"/>
        <v>0.54042546855177276</v>
      </c>
      <c r="T253" s="103">
        <f t="shared" si="365"/>
        <v>0.54582985409417906</v>
      </c>
      <c r="U253" s="103">
        <f t="shared" si="365"/>
        <v>0.56798148177546459</v>
      </c>
      <c r="V253" s="103">
        <f t="shared" si="365"/>
        <v>0.58348692184707973</v>
      </c>
      <c r="W253" s="103">
        <f t="shared" ref="W253:Y253" si="366">IF(W35=0,0,W35/W$31)</f>
        <v>0.59750445856697865</v>
      </c>
      <c r="X253" s="103">
        <f t="shared" si="366"/>
        <v>0.62260734684148844</v>
      </c>
      <c r="Y253" s="103">
        <f t="shared" si="366"/>
        <v>0.62275162881459623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1.3040436994396621E-2</v>
      </c>
      <c r="C254" s="103">
        <f t="shared" si="367"/>
        <v>1.4699624174175559E-2</v>
      </c>
      <c r="D254" s="103">
        <f t="shared" si="367"/>
        <v>1.5225336989633438E-2</v>
      </c>
      <c r="E254" s="103">
        <f t="shared" si="367"/>
        <v>1.4817332630000358E-2</v>
      </c>
      <c r="F254" s="103">
        <f t="shared" si="367"/>
        <v>1.8672175080633513E-2</v>
      </c>
      <c r="G254" s="103">
        <f t="shared" si="367"/>
        <v>2.4003046347707939E-2</v>
      </c>
      <c r="H254" s="103">
        <f t="shared" si="367"/>
        <v>4.0177398595898625E-2</v>
      </c>
      <c r="I254" s="103">
        <f t="shared" si="367"/>
        <v>5.336459871241446E-2</v>
      </c>
      <c r="J254" s="103">
        <f t="shared" si="367"/>
        <v>6.3518637068147241E-2</v>
      </c>
      <c r="K254" s="103">
        <f t="shared" si="367"/>
        <v>6.8824607168591831E-2</v>
      </c>
      <c r="L254" s="103">
        <f t="shared" ref="L254" si="368">IF(L36=0,0,L36/L$31)</f>
        <v>5.8971209605484222E-2</v>
      </c>
      <c r="M254" s="103">
        <f t="shared" ref="M254:V254" si="369">IF(M36=0,0,M36/M$31)</f>
        <v>5.6792495905580491E-2</v>
      </c>
      <c r="N254" s="103">
        <f t="shared" si="369"/>
        <v>5.728544538685186E-2</v>
      </c>
      <c r="O254" s="103">
        <f t="shared" si="369"/>
        <v>5.8058401852816008E-2</v>
      </c>
      <c r="P254" s="103">
        <f t="shared" si="369"/>
        <v>6.2199694641330738E-2</v>
      </c>
      <c r="Q254" s="103">
        <f t="shared" si="369"/>
        <v>6.6112248669304055E-2</v>
      </c>
      <c r="R254" s="103">
        <f t="shared" si="369"/>
        <v>6.1043085393599483E-2</v>
      </c>
      <c r="S254" s="103">
        <f t="shared" si="369"/>
        <v>5.8841420084112063E-2</v>
      </c>
      <c r="T254" s="103">
        <f t="shared" si="369"/>
        <v>5.6494198970525079E-2</v>
      </c>
      <c r="U254" s="103">
        <f t="shared" si="369"/>
        <v>5.5083493617335028E-2</v>
      </c>
      <c r="V254" s="103">
        <f t="shared" si="369"/>
        <v>5.3835898274728948E-2</v>
      </c>
      <c r="W254" s="103">
        <f t="shared" ref="W254:Y254" si="370">IF(W36=0,0,W36/W$31)</f>
        <v>5.0782207960028851E-2</v>
      </c>
      <c r="X254" s="103">
        <f t="shared" si="370"/>
        <v>4.2510438744687587E-2</v>
      </c>
      <c r="Y254" s="103">
        <f t="shared" si="370"/>
        <v>3.757968863608107E-2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0</v>
      </c>
      <c r="J255" s="103">
        <f t="shared" si="371"/>
        <v>0</v>
      </c>
      <c r="K255" s="103">
        <f t="shared" si="371"/>
        <v>4.8112995147039822E-5</v>
      </c>
      <c r="L255" s="103">
        <f t="shared" ref="L255" si="372">IF(L37=0,0,L37/L$31)</f>
        <v>5.5795508689646121E-5</v>
      </c>
      <c r="M255" s="103">
        <f t="shared" ref="M255:V255" si="373">IF(M37=0,0,M37/M$31)</f>
        <v>5.5344367615434828E-5</v>
      </c>
      <c r="N255" s="103">
        <f t="shared" si="373"/>
        <v>6.8748834326276035E-5</v>
      </c>
      <c r="O255" s="103">
        <f t="shared" si="373"/>
        <v>7.259349358369391E-5</v>
      </c>
      <c r="P255" s="103">
        <f t="shared" si="373"/>
        <v>7.9994795795394622E-5</v>
      </c>
      <c r="Q255" s="103">
        <f t="shared" si="373"/>
        <v>7.4083985185705817E-5</v>
      </c>
      <c r="R255" s="103">
        <f t="shared" si="373"/>
        <v>7.4521971026412408E-5</v>
      </c>
      <c r="S255" s="103">
        <f t="shared" si="373"/>
        <v>9.7286431799404043E-5</v>
      </c>
      <c r="T255" s="103">
        <f t="shared" si="373"/>
        <v>1.0055280818740541E-4</v>
      </c>
      <c r="U255" s="103">
        <f t="shared" si="373"/>
        <v>9.8652332211803318E-5</v>
      </c>
      <c r="V255" s="103">
        <f t="shared" si="373"/>
        <v>9.682424786043608E-5</v>
      </c>
      <c r="W255" s="103">
        <f t="shared" ref="W255:Y255" si="374">IF(W37=0,0,W37/W$31)</f>
        <v>1.0006932537906957E-4</v>
      </c>
      <c r="X255" s="103">
        <f t="shared" si="374"/>
        <v>1.0438410037756436E-4</v>
      </c>
      <c r="Y255" s="103">
        <f t="shared" si="374"/>
        <v>9.3120651953328877E-5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0</v>
      </c>
      <c r="O256" s="103">
        <f t="shared" si="377"/>
        <v>0</v>
      </c>
      <c r="P256" s="103">
        <f t="shared" si="377"/>
        <v>3.1681594185766062E-6</v>
      </c>
      <c r="Q256" s="103">
        <f t="shared" si="377"/>
        <v>3.0369512196226794E-5</v>
      </c>
      <c r="R256" s="103">
        <f t="shared" si="377"/>
        <v>4.0332482326020133E-5</v>
      </c>
      <c r="S256" s="103">
        <f t="shared" si="377"/>
        <v>4.8414616288723499E-5</v>
      </c>
      <c r="T256" s="103">
        <f t="shared" si="377"/>
        <v>5.047819118541561E-5</v>
      </c>
      <c r="U256" s="103">
        <f t="shared" si="377"/>
        <v>9.6409106481937001E-5</v>
      </c>
      <c r="V256" s="103">
        <f t="shared" si="377"/>
        <v>2.8201728318770085E-4</v>
      </c>
      <c r="W256" s="103">
        <f t="shared" ref="W256:Y256" si="378">IF(W38=0,0,W38/W$31)</f>
        <v>5.0368127601224633E-4</v>
      </c>
      <c r="X256" s="103">
        <f t="shared" si="378"/>
        <v>9.1767509273936107E-4</v>
      </c>
      <c r="Y256" s="103">
        <f t="shared" si="378"/>
        <v>1.49263906772135E-3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0</v>
      </c>
      <c r="L257" s="103">
        <f t="shared" ref="L257" si="380">IF(L39=0,0,L39/L$31)</f>
        <v>0</v>
      </c>
      <c r="M257" s="103">
        <f t="shared" ref="M257:V257" si="381">IF(M39=0,0,M39/M$31)</f>
        <v>0</v>
      </c>
      <c r="N257" s="103">
        <f t="shared" si="381"/>
        <v>2.2657722236676989E-5</v>
      </c>
      <c r="O257" s="103">
        <f t="shared" si="381"/>
        <v>2.6101515056629995E-5</v>
      </c>
      <c r="P257" s="103">
        <f t="shared" si="381"/>
        <v>5.7659431865499394E-5</v>
      </c>
      <c r="Q257" s="103">
        <f t="shared" si="381"/>
        <v>1.0769150415915076E-4</v>
      </c>
      <c r="R257" s="103">
        <f t="shared" si="381"/>
        <v>1.3994142333376264E-4</v>
      </c>
      <c r="S257" s="103">
        <f t="shared" si="381"/>
        <v>1.6609511650122485E-4</v>
      </c>
      <c r="T257" s="103">
        <f t="shared" si="381"/>
        <v>2.5900914753624335E-4</v>
      </c>
      <c r="U257" s="103">
        <f t="shared" si="381"/>
        <v>4.2273531047114867E-4</v>
      </c>
      <c r="V257" s="103">
        <f t="shared" si="381"/>
        <v>8.2405982528567241E-4</v>
      </c>
      <c r="W257" s="103">
        <f t="shared" ref="W257:Y257" si="382">IF(W39=0,0,W39/W$31)</f>
        <v>1.863524460725957E-3</v>
      </c>
      <c r="X257" s="103">
        <f t="shared" si="382"/>
        <v>2.9802971534250832E-3</v>
      </c>
      <c r="Y257" s="103">
        <f t="shared" si="382"/>
        <v>4.3029021135486626E-3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2.3172750118490678E-2</v>
      </c>
      <c r="C258" s="156">
        <f t="shared" si="383"/>
        <v>2.1780684402210666E-2</v>
      </c>
      <c r="D258" s="156">
        <f t="shared" si="383"/>
        <v>2.0326314573912013E-2</v>
      </c>
      <c r="E258" s="156">
        <f t="shared" si="383"/>
        <v>1.9458498015009464E-2</v>
      </c>
      <c r="F258" s="156">
        <f t="shared" si="383"/>
        <v>1.8223755017874529E-2</v>
      </c>
      <c r="G258" s="156">
        <f t="shared" si="383"/>
        <v>1.7423422989425414E-2</v>
      </c>
      <c r="H258" s="156">
        <f t="shared" si="383"/>
        <v>1.6640057469709733E-2</v>
      </c>
      <c r="I258" s="156">
        <f t="shared" si="383"/>
        <v>1.5866755631405206E-2</v>
      </c>
      <c r="J258" s="156">
        <f t="shared" si="383"/>
        <v>1.4247029223643256E-2</v>
      </c>
      <c r="K258" s="156">
        <f t="shared" si="383"/>
        <v>1.4384046628886111E-2</v>
      </c>
      <c r="L258" s="156">
        <f t="shared" ref="L258" si="384">IF(L40=0,0,L40/L$31)</f>
        <v>1.4406285693879134E-2</v>
      </c>
      <c r="M258" s="156">
        <f t="shared" ref="M258:V258" si="385">IF(M40=0,0,M40/M$31)</f>
        <v>1.4284762979394336E-2</v>
      </c>
      <c r="N258" s="156">
        <f t="shared" si="385"/>
        <v>1.4103037024261852E-2</v>
      </c>
      <c r="O258" s="156">
        <f t="shared" si="385"/>
        <v>1.4148732880039608E-2</v>
      </c>
      <c r="P258" s="156">
        <f t="shared" si="385"/>
        <v>1.4343615256365766E-2</v>
      </c>
      <c r="Q258" s="156">
        <f t="shared" si="385"/>
        <v>1.45665132200781E-2</v>
      </c>
      <c r="R258" s="156">
        <f t="shared" si="385"/>
        <v>1.434695127285452E-2</v>
      </c>
      <c r="S258" s="156">
        <f t="shared" si="385"/>
        <v>1.4229282589304672E-2</v>
      </c>
      <c r="T258" s="156">
        <f t="shared" si="385"/>
        <v>1.4377585712530207E-2</v>
      </c>
      <c r="U258" s="156">
        <f t="shared" si="385"/>
        <v>1.1792252022137082E-2</v>
      </c>
      <c r="V258" s="156">
        <f t="shared" si="385"/>
        <v>1.0296130529639441E-2</v>
      </c>
      <c r="W258" s="156">
        <f t="shared" ref="W258:Y258" si="386">IF(W40=0,0,W40/W$31)</f>
        <v>1.0347991502088901E-2</v>
      </c>
      <c r="X258" s="156">
        <f t="shared" si="386"/>
        <v>1.1545835020791831E-2</v>
      </c>
      <c r="Y258" s="156">
        <f t="shared" si="386"/>
        <v>1.2194918930273042E-2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6.8603265919700573E-5</v>
      </c>
      <c r="C259" s="103">
        <f t="shared" si="387"/>
        <v>6.7163313743680796E-5</v>
      </c>
      <c r="D259" s="103">
        <f t="shared" si="387"/>
        <v>6.3917026934611095E-5</v>
      </c>
      <c r="E259" s="103">
        <f t="shared" si="387"/>
        <v>5.9346702787928707E-5</v>
      </c>
      <c r="F259" s="103">
        <f t="shared" si="387"/>
        <v>5.2696266959263653E-5</v>
      </c>
      <c r="G259" s="103">
        <f t="shared" si="387"/>
        <v>5.1462349424812025E-5</v>
      </c>
      <c r="H259" s="103">
        <f t="shared" si="387"/>
        <v>5.0110858200957469E-5</v>
      </c>
      <c r="I259" s="103">
        <f t="shared" si="387"/>
        <v>4.3393243150626752E-5</v>
      </c>
      <c r="J259" s="103">
        <f t="shared" si="387"/>
        <v>4.3627216774355594E-5</v>
      </c>
      <c r="K259" s="103">
        <f t="shared" si="387"/>
        <v>4.0920666801033505E-5</v>
      </c>
      <c r="L259" s="103">
        <f t="shared" ref="L259" si="388">IF(L41=0,0,L41/L$31)</f>
        <v>3.985770167497574E-5</v>
      </c>
      <c r="M259" s="103">
        <f t="shared" ref="M259:V259" si="389">IF(M41=0,0,M41/M$31)</f>
        <v>3.6633510748297022E-5</v>
      </c>
      <c r="N259" s="103">
        <f t="shared" si="389"/>
        <v>3.6858941988587012E-5</v>
      </c>
      <c r="O259" s="103">
        <f t="shared" si="389"/>
        <v>4.2155469450432668E-5</v>
      </c>
      <c r="P259" s="103">
        <f t="shared" si="389"/>
        <v>3.8829980320075324E-5</v>
      </c>
      <c r="Q259" s="103">
        <f t="shared" si="389"/>
        <v>3.5384797111331631E-5</v>
      </c>
      <c r="R259" s="103">
        <f t="shared" si="389"/>
        <v>3.3176964843957953E-5</v>
      </c>
      <c r="S259" s="103">
        <f t="shared" si="389"/>
        <v>3.1408237303890427E-5</v>
      </c>
      <c r="T259" s="103">
        <f t="shared" si="389"/>
        <v>3.0345173991075401E-5</v>
      </c>
      <c r="U259" s="103">
        <f t="shared" si="389"/>
        <v>2.2767547819946057E-5</v>
      </c>
      <c r="V259" s="103">
        <f t="shared" si="389"/>
        <v>1.9557250364370382E-5</v>
      </c>
      <c r="W259" s="103">
        <f t="shared" ref="W259:Y259" si="390">IF(W41=0,0,W41/W$31)</f>
        <v>1.8058813004312122E-5</v>
      </c>
      <c r="X259" s="103">
        <f t="shared" si="390"/>
        <v>1.7416638585055854E-5</v>
      </c>
      <c r="Y259" s="103">
        <f t="shared" si="390"/>
        <v>1.6751126675368924E-5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2.3104146852570978E-2</v>
      </c>
      <c r="C260" s="103">
        <f t="shared" si="391"/>
        <v>2.1713521088466983E-2</v>
      </c>
      <c r="D260" s="103">
        <f t="shared" si="391"/>
        <v>2.0262397546977402E-2</v>
      </c>
      <c r="E260" s="103">
        <f t="shared" si="391"/>
        <v>1.9399151312221533E-2</v>
      </c>
      <c r="F260" s="103">
        <f t="shared" si="391"/>
        <v>1.8171058750915264E-2</v>
      </c>
      <c r="G260" s="103">
        <f t="shared" si="391"/>
        <v>1.7371960640000603E-2</v>
      </c>
      <c r="H260" s="103">
        <f t="shared" si="391"/>
        <v>1.6589946611508775E-2</v>
      </c>
      <c r="I260" s="103">
        <f t="shared" si="391"/>
        <v>1.5822226469279117E-2</v>
      </c>
      <c r="J260" s="103">
        <f t="shared" si="391"/>
        <v>1.420236908230091E-2</v>
      </c>
      <c r="K260" s="103">
        <f t="shared" si="391"/>
        <v>1.4275689455017894E-2</v>
      </c>
      <c r="L260" s="103">
        <f t="shared" ref="L260" si="392">IF(L42=0,0,L42/L$31)</f>
        <v>1.4292665244777668E-2</v>
      </c>
      <c r="M260" s="103">
        <f t="shared" ref="M260:V260" si="393">IF(M42=0,0,M42/M$31)</f>
        <v>1.4172368271635356E-2</v>
      </c>
      <c r="N260" s="103">
        <f t="shared" si="393"/>
        <v>1.3979338575435615E-2</v>
      </c>
      <c r="O260" s="103">
        <f t="shared" si="393"/>
        <v>1.391775846777487E-2</v>
      </c>
      <c r="P260" s="103">
        <f t="shared" si="393"/>
        <v>1.3922569237612125E-2</v>
      </c>
      <c r="Q260" s="103">
        <f t="shared" si="393"/>
        <v>1.4155538323853016E-2</v>
      </c>
      <c r="R260" s="103">
        <f t="shared" si="393"/>
        <v>1.3965466288256826E-2</v>
      </c>
      <c r="S260" s="103">
        <f t="shared" si="393"/>
        <v>1.3803064296694069E-2</v>
      </c>
      <c r="T260" s="103">
        <f t="shared" si="393"/>
        <v>1.3968108069135341E-2</v>
      </c>
      <c r="U260" s="103">
        <f t="shared" si="393"/>
        <v>1.1400438682458465E-2</v>
      </c>
      <c r="V260" s="103">
        <f t="shared" si="393"/>
        <v>9.9297580906444922E-3</v>
      </c>
      <c r="W260" s="103">
        <f t="shared" ref="W260:Y260" si="394">IF(W42=0,0,W42/W$31)</f>
        <v>9.9258273477800928E-3</v>
      </c>
      <c r="X260" s="103">
        <f t="shared" si="394"/>
        <v>1.117595180037053E-2</v>
      </c>
      <c r="Y260" s="103">
        <f t="shared" si="394"/>
        <v>1.1895047352280478E-2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1.1359189754601105E-6</v>
      </c>
      <c r="J261" s="103">
        <f t="shared" si="395"/>
        <v>1.0329245679902103E-6</v>
      </c>
      <c r="K261" s="103">
        <f t="shared" si="395"/>
        <v>1.0609539777239994E-6</v>
      </c>
      <c r="L261" s="103">
        <f t="shared" ref="L261" si="396">IF(L43=0,0,L43/L$31)</f>
        <v>1.1085601678972547E-6</v>
      </c>
      <c r="M261" s="103">
        <f t="shared" ref="M261:V261" si="397">IF(M43=0,0,M43/M$31)</f>
        <v>2.2526389268831303E-6</v>
      </c>
      <c r="N261" s="103">
        <f t="shared" si="397"/>
        <v>2.3127560885414799E-6</v>
      </c>
      <c r="O261" s="103">
        <f t="shared" si="397"/>
        <v>1.5037699062358343E-5</v>
      </c>
      <c r="P261" s="103">
        <f t="shared" si="397"/>
        <v>1.7124021321153214E-5</v>
      </c>
      <c r="Q261" s="103">
        <f t="shared" si="397"/>
        <v>1.7214225621728899E-5</v>
      </c>
      <c r="R261" s="103">
        <f t="shared" si="397"/>
        <v>1.6256712773539394E-5</v>
      </c>
      <c r="S261" s="103">
        <f t="shared" si="397"/>
        <v>1.4478946131195055E-5</v>
      </c>
      <c r="T261" s="103">
        <f t="shared" si="397"/>
        <v>1.4112313764215835E-5</v>
      </c>
      <c r="U261" s="103">
        <f t="shared" si="397"/>
        <v>1.1812534419597556E-5</v>
      </c>
      <c r="V261" s="103">
        <f t="shared" si="397"/>
        <v>1.1633399638213122E-5</v>
      </c>
      <c r="W261" s="103">
        <f t="shared" ref="W261:Y261" si="398">IF(W43=0,0,W43/W$31)</f>
        <v>1.1253246307216529E-5</v>
      </c>
      <c r="X261" s="103">
        <f t="shared" si="398"/>
        <v>1.1165411932812562E-5</v>
      </c>
      <c r="Y261" s="103">
        <f t="shared" si="398"/>
        <v>1.1400991329589792E-5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0</v>
      </c>
      <c r="D262" s="103">
        <f t="shared" si="399"/>
        <v>0</v>
      </c>
      <c r="E262" s="103">
        <f t="shared" si="399"/>
        <v>0</v>
      </c>
      <c r="F262" s="103">
        <f t="shared" si="399"/>
        <v>0</v>
      </c>
      <c r="G262" s="103">
        <f t="shared" si="399"/>
        <v>0</v>
      </c>
      <c r="H262" s="103">
        <f t="shared" si="399"/>
        <v>0</v>
      </c>
      <c r="I262" s="103">
        <f t="shared" si="399"/>
        <v>0</v>
      </c>
      <c r="J262" s="103">
        <f t="shared" si="399"/>
        <v>0</v>
      </c>
      <c r="K262" s="103">
        <f t="shared" si="399"/>
        <v>6.637555308945908E-5</v>
      </c>
      <c r="L262" s="103">
        <f t="shared" ref="L262" si="400">IF(L44=0,0,L44/L$31)</f>
        <v>7.265418725859547E-5</v>
      </c>
      <c r="M262" s="103">
        <f t="shared" ref="M262:V262" si="401">IF(M44=0,0,M44/M$31)</f>
        <v>7.3508558083799756E-5</v>
      </c>
      <c r="N262" s="103">
        <f t="shared" si="401"/>
        <v>8.4526750749112451E-5</v>
      </c>
      <c r="O262" s="103">
        <f t="shared" si="401"/>
        <v>1.7378124375194676E-4</v>
      </c>
      <c r="P262" s="103">
        <f t="shared" si="401"/>
        <v>3.6509201711241139E-4</v>
      </c>
      <c r="Q262" s="103">
        <f t="shared" si="401"/>
        <v>3.541920607987692E-4</v>
      </c>
      <c r="R262" s="103">
        <f t="shared" si="401"/>
        <v>3.2632245965846937E-4</v>
      </c>
      <c r="S262" s="103">
        <f t="shared" si="401"/>
        <v>3.7476797331903049E-4</v>
      </c>
      <c r="T262" s="103">
        <f t="shared" si="401"/>
        <v>3.596552718698913E-4</v>
      </c>
      <c r="U262" s="103">
        <f t="shared" si="401"/>
        <v>3.5165756959448585E-4</v>
      </c>
      <c r="V262" s="103">
        <f t="shared" si="401"/>
        <v>3.2837111146130177E-4</v>
      </c>
      <c r="W262" s="103">
        <f t="shared" ref="W262:Y262" si="402">IF(W44=0,0,W44/W$31)</f>
        <v>3.8087337563557071E-4</v>
      </c>
      <c r="X262" s="103">
        <f t="shared" si="402"/>
        <v>3.2752215920593881E-4</v>
      </c>
      <c r="Y262" s="103">
        <f t="shared" si="402"/>
        <v>2.5619109866760513E-4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0</v>
      </c>
      <c r="G263" s="103">
        <f t="shared" si="403"/>
        <v>0</v>
      </c>
      <c r="H263" s="103">
        <f t="shared" si="403"/>
        <v>0</v>
      </c>
      <c r="I263" s="103">
        <f t="shared" si="403"/>
        <v>0</v>
      </c>
      <c r="J263" s="103">
        <f t="shared" si="403"/>
        <v>0</v>
      </c>
      <c r="K263" s="103">
        <f t="shared" si="403"/>
        <v>0</v>
      </c>
      <c r="L263" s="103">
        <f t="shared" ref="L263" si="404">IF(L45=0,0,L45/L$31)</f>
        <v>0</v>
      </c>
      <c r="M263" s="103">
        <f t="shared" ref="M263:V263" si="405">IF(M45=0,0,M45/M$31)</f>
        <v>0</v>
      </c>
      <c r="N263" s="103">
        <f t="shared" si="405"/>
        <v>0</v>
      </c>
      <c r="O263" s="103">
        <f t="shared" si="405"/>
        <v>0</v>
      </c>
      <c r="P263" s="103">
        <f t="shared" si="405"/>
        <v>0</v>
      </c>
      <c r="Q263" s="103">
        <f t="shared" si="405"/>
        <v>4.1838126932541258E-6</v>
      </c>
      <c r="R263" s="103">
        <f t="shared" si="405"/>
        <v>5.7288473217267815E-6</v>
      </c>
      <c r="S263" s="103">
        <f t="shared" si="405"/>
        <v>5.5631358564888775E-6</v>
      </c>
      <c r="T263" s="103">
        <f t="shared" si="405"/>
        <v>5.3648837696849083E-6</v>
      </c>
      <c r="U263" s="103">
        <f t="shared" si="405"/>
        <v>5.5756878445856828E-6</v>
      </c>
      <c r="V263" s="103">
        <f t="shared" si="405"/>
        <v>6.8106775310630453E-6</v>
      </c>
      <c r="W263" s="103">
        <f t="shared" ref="W263:Y263" si="406">IF(W45=0,0,W45/W$31)</f>
        <v>1.1978719361710388E-5</v>
      </c>
      <c r="X263" s="103">
        <f t="shared" si="406"/>
        <v>1.3779010697495627E-5</v>
      </c>
      <c r="Y263" s="103">
        <f t="shared" si="406"/>
        <v>1.5528361320002585E-5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0.60673536330838262</v>
      </c>
      <c r="C265" s="154">
        <f t="shared" si="411"/>
        <v>0.59792453989935812</v>
      </c>
      <c r="D265" s="154">
        <f t="shared" si="411"/>
        <v>0.58039821835058136</v>
      </c>
      <c r="E265" s="154">
        <f t="shared" si="411"/>
        <v>0.58015455312252973</v>
      </c>
      <c r="F265" s="154">
        <f t="shared" si="411"/>
        <v>0.57477212806538203</v>
      </c>
      <c r="G265" s="154">
        <f t="shared" si="411"/>
        <v>0.58944141813977635</v>
      </c>
      <c r="H265" s="154">
        <f t="shared" si="411"/>
        <v>0.59147187310758043</v>
      </c>
      <c r="I265" s="154">
        <f t="shared" si="411"/>
        <v>0.58717793206718993</v>
      </c>
      <c r="J265" s="154">
        <f t="shared" si="411"/>
        <v>0.60777926598711263</v>
      </c>
      <c r="K265" s="154">
        <f t="shared" si="411"/>
        <v>0.63748095575085151</v>
      </c>
      <c r="L265" s="154">
        <f t="shared" ref="L265" si="412">IF(L47=0,0,L47/L$46)</f>
        <v>0.63236607865517469</v>
      </c>
      <c r="M265" s="154">
        <f t="shared" ref="M265:V265" si="413">IF(M47=0,0,M47/M$46)</f>
        <v>0.63425467859587348</v>
      </c>
      <c r="N265" s="154">
        <f t="shared" si="413"/>
        <v>0.63420773893610738</v>
      </c>
      <c r="O265" s="154">
        <f t="shared" si="413"/>
        <v>0.62949521119956886</v>
      </c>
      <c r="P265" s="154">
        <f t="shared" si="413"/>
        <v>0.63481604891291254</v>
      </c>
      <c r="Q265" s="154">
        <f t="shared" si="413"/>
        <v>0.65508964635162403</v>
      </c>
      <c r="R265" s="154">
        <f t="shared" si="413"/>
        <v>0.66429179445569531</v>
      </c>
      <c r="S265" s="154">
        <f t="shared" si="413"/>
        <v>0.66275235169938773</v>
      </c>
      <c r="T265" s="154">
        <f t="shared" si="413"/>
        <v>0.68904963009649089</v>
      </c>
      <c r="U265" s="154">
        <f t="shared" si="413"/>
        <v>0.71011869895409097</v>
      </c>
      <c r="V265" s="154">
        <f t="shared" si="413"/>
        <v>0.7119718833729175</v>
      </c>
      <c r="W265" s="154">
        <f t="shared" ref="W265:Y265" si="414">IF(W47=0,0,W47/W$46)</f>
        <v>0.72298881611811683</v>
      </c>
      <c r="X265" s="154">
        <f t="shared" si="414"/>
        <v>0.73331356099168954</v>
      </c>
      <c r="Y265" s="154">
        <f t="shared" si="414"/>
        <v>0.73908045520404564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0.11370220485831598</v>
      </c>
      <c r="C266" s="103">
        <f t="shared" si="415"/>
        <v>0.10883905785199711</v>
      </c>
      <c r="D266" s="103">
        <f t="shared" si="415"/>
        <v>9.4059978380754847E-2</v>
      </c>
      <c r="E266" s="103">
        <f t="shared" si="415"/>
        <v>8.1661868574134724E-2</v>
      </c>
      <c r="F266" s="103">
        <f t="shared" si="415"/>
        <v>6.9926888831533529E-2</v>
      </c>
      <c r="G266" s="103">
        <f t="shared" si="415"/>
        <v>6.2802205773319186E-2</v>
      </c>
      <c r="H266" s="103">
        <f t="shared" si="415"/>
        <v>5.7387363026678684E-2</v>
      </c>
      <c r="I266" s="103">
        <f t="shared" si="415"/>
        <v>4.5663973208723049E-2</v>
      </c>
      <c r="J266" s="103">
        <f t="shared" si="415"/>
        <v>4.411974403878835E-2</v>
      </c>
      <c r="K266" s="103">
        <f t="shared" si="415"/>
        <v>4.1807330327848218E-2</v>
      </c>
      <c r="L266" s="103">
        <f t="shared" ref="L266" si="416">IF(L48=0,0,L48/L$46)</f>
        <v>3.8456062111696533E-2</v>
      </c>
      <c r="M266" s="103">
        <f t="shared" ref="M266:V266" si="417">IF(M48=0,0,M48/M$46)</f>
        <v>3.6380104362771615E-2</v>
      </c>
      <c r="N266" s="103">
        <f t="shared" si="417"/>
        <v>2.7712405672224372E-2</v>
      </c>
      <c r="O266" s="103">
        <f t="shared" si="417"/>
        <v>2.6249874377197814E-2</v>
      </c>
      <c r="P266" s="103">
        <f t="shared" si="417"/>
        <v>2.5618103606588196E-2</v>
      </c>
      <c r="Q266" s="103">
        <f t="shared" si="417"/>
        <v>2.1803793660701641E-2</v>
      </c>
      <c r="R266" s="103">
        <f t="shared" si="417"/>
        <v>2.0836035877515754E-2</v>
      </c>
      <c r="S266" s="103">
        <f t="shared" si="417"/>
        <v>2.0751526121405368E-2</v>
      </c>
      <c r="T266" s="103">
        <f t="shared" si="417"/>
        <v>2.0725566907410328E-2</v>
      </c>
      <c r="U266" s="103">
        <f t="shared" si="417"/>
        <v>2.0472492038339202E-2</v>
      </c>
      <c r="V266" s="103">
        <f t="shared" si="417"/>
        <v>1.9691300708545689E-2</v>
      </c>
      <c r="W266" s="103">
        <f t="shared" ref="W266:Y266" si="418">IF(W48=0,0,W48/W$46)</f>
        <v>1.9403030384740814E-2</v>
      </c>
      <c r="X266" s="103">
        <f t="shared" si="418"/>
        <v>1.9228842257546338E-2</v>
      </c>
      <c r="Y266" s="103">
        <f t="shared" si="418"/>
        <v>1.915696337788653E-2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0.49303315845006662</v>
      </c>
      <c r="C267" s="103">
        <f t="shared" si="419"/>
        <v>0.48908548204736102</v>
      </c>
      <c r="D267" s="103">
        <f t="shared" si="419"/>
        <v>0.4863382399698265</v>
      </c>
      <c r="E267" s="103">
        <f t="shared" si="419"/>
        <v>0.49848267509232563</v>
      </c>
      <c r="F267" s="103">
        <f t="shared" si="419"/>
        <v>0.5048361052137621</v>
      </c>
      <c r="G267" s="103">
        <f t="shared" si="419"/>
        <v>0.52662619551918</v>
      </c>
      <c r="H267" s="103">
        <f t="shared" si="419"/>
        <v>0.53407244974712242</v>
      </c>
      <c r="I267" s="103">
        <f t="shared" si="419"/>
        <v>0.54076785260031313</v>
      </c>
      <c r="J267" s="103">
        <f t="shared" si="419"/>
        <v>0.56176152832847193</v>
      </c>
      <c r="K267" s="103">
        <f t="shared" si="419"/>
        <v>0.59298996805641513</v>
      </c>
      <c r="L267" s="103">
        <f t="shared" ref="L267" si="420">IF(L49=0,0,L49/L$46)</f>
        <v>0.59097481270894681</v>
      </c>
      <c r="M267" s="103">
        <f t="shared" ref="M267:V267" si="421">IF(M49=0,0,M49/M$46)</f>
        <v>0.59504088299843438</v>
      </c>
      <c r="N267" s="103">
        <f t="shared" si="421"/>
        <v>0.60337751369644932</v>
      </c>
      <c r="O267" s="103">
        <f t="shared" si="421"/>
        <v>0.59984712185722222</v>
      </c>
      <c r="P267" s="103">
        <f t="shared" si="421"/>
        <v>0.60552020618016644</v>
      </c>
      <c r="Q267" s="103">
        <f t="shared" si="421"/>
        <v>0.62959084552026767</v>
      </c>
      <c r="R267" s="103">
        <f t="shared" si="421"/>
        <v>0.63969381825660532</v>
      </c>
      <c r="S267" s="103">
        <f t="shared" si="421"/>
        <v>0.63813992802982988</v>
      </c>
      <c r="T267" s="103">
        <f t="shared" si="421"/>
        <v>0.66431288802059685</v>
      </c>
      <c r="U267" s="103">
        <f t="shared" si="421"/>
        <v>0.68544782652535274</v>
      </c>
      <c r="V267" s="103">
        <f t="shared" si="421"/>
        <v>0.68802917077201819</v>
      </c>
      <c r="W267" s="103">
        <f t="shared" ref="W267:Y267" si="422">IF(W49=0,0,W49/W$46)</f>
        <v>0.69901058948956052</v>
      </c>
      <c r="X267" s="103">
        <f t="shared" si="422"/>
        <v>0.70934873729824455</v>
      </c>
      <c r="Y267" s="103">
        <f t="shared" si="422"/>
        <v>0.71488595486523243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0</v>
      </c>
      <c r="I268" s="103">
        <f t="shared" si="423"/>
        <v>7.3390669203190909E-4</v>
      </c>
      <c r="J268" s="103">
        <f t="shared" si="423"/>
        <v>1.8777697270512673E-3</v>
      </c>
      <c r="K268" s="103">
        <f t="shared" si="423"/>
        <v>2.5064514611847694E-3</v>
      </c>
      <c r="L268" s="103">
        <f t="shared" ref="L268" si="424">IF(L50=0,0,L50/L$46)</f>
        <v>2.7171926734643318E-3</v>
      </c>
      <c r="M268" s="103">
        <f t="shared" ref="M268:V268" si="425">IF(M50=0,0,M50/M$46)</f>
        <v>2.6120505650934676E-3</v>
      </c>
      <c r="N268" s="103">
        <f t="shared" si="425"/>
        <v>2.7800364797216635E-3</v>
      </c>
      <c r="O268" s="103">
        <f t="shared" si="425"/>
        <v>3.0564408861701291E-3</v>
      </c>
      <c r="P268" s="103">
        <f t="shared" si="425"/>
        <v>3.3264237634400549E-3</v>
      </c>
      <c r="Q268" s="103">
        <f t="shared" si="425"/>
        <v>3.2398734267854576E-3</v>
      </c>
      <c r="R268" s="103">
        <f t="shared" si="425"/>
        <v>3.266375265699068E-3</v>
      </c>
      <c r="S268" s="103">
        <f t="shared" si="425"/>
        <v>3.3136849382114529E-3</v>
      </c>
      <c r="T268" s="103">
        <f t="shared" si="425"/>
        <v>3.3824935626375133E-3</v>
      </c>
      <c r="U268" s="103">
        <f t="shared" si="425"/>
        <v>3.4710597165603027E-3</v>
      </c>
      <c r="V268" s="103">
        <f t="shared" si="425"/>
        <v>3.4140338908883591E-3</v>
      </c>
      <c r="W268" s="103">
        <f t="shared" ref="W268:Y268" si="426">IF(W50=0,0,W50/W$46)</f>
        <v>3.5459928024970241E-3</v>
      </c>
      <c r="X268" s="103">
        <f t="shared" si="426"/>
        <v>3.6337964778989209E-3</v>
      </c>
      <c r="Y268" s="103">
        <f t="shared" si="426"/>
        <v>3.542891245670296E-3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1.5084652536565609E-4</v>
      </c>
      <c r="L269" s="103">
        <f t="shared" ref="L269" si="428">IF(L51=0,0,L51/L$46)</f>
        <v>1.8991254732937695E-4</v>
      </c>
      <c r="M269" s="103">
        <f t="shared" ref="M269:V269" si="429">IF(M51=0,0,M51/M$46)</f>
        <v>1.9815523355762147E-4</v>
      </c>
      <c r="N269" s="103">
        <f t="shared" si="429"/>
        <v>3.0297347104940228E-4</v>
      </c>
      <c r="O269" s="103">
        <f t="shared" si="429"/>
        <v>3.0724080601348173E-4</v>
      </c>
      <c r="P269" s="103">
        <f t="shared" si="429"/>
        <v>3.1129787410028698E-4</v>
      </c>
      <c r="Q269" s="103">
        <f t="shared" si="429"/>
        <v>2.9482968695409943E-4</v>
      </c>
      <c r="R269" s="103">
        <f t="shared" si="429"/>
        <v>2.7076106445114712E-4</v>
      </c>
      <c r="S269" s="103">
        <f t="shared" si="429"/>
        <v>2.9982237013441828E-4</v>
      </c>
      <c r="T269" s="103">
        <f t="shared" si="429"/>
        <v>2.9255660210780656E-4</v>
      </c>
      <c r="U269" s="103">
        <f t="shared" si="429"/>
        <v>2.7425268730499444E-4</v>
      </c>
      <c r="V269" s="103">
        <f t="shared" si="429"/>
        <v>2.5622510308710115E-4</v>
      </c>
      <c r="W269" s="103">
        <f t="shared" ref="W269:Y269" si="430">IF(W51=0,0,W51/W$46)</f>
        <v>2.4047556184134532E-4</v>
      </c>
      <c r="X269" s="103">
        <f t="shared" si="430"/>
        <v>2.282045114602034E-4</v>
      </c>
      <c r="Y269" s="103">
        <f t="shared" si="430"/>
        <v>2.1189690421915337E-4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1.0009456069391276E-5</v>
      </c>
      <c r="F270" s="103">
        <f t="shared" si="431"/>
        <v>9.1340200863517452E-6</v>
      </c>
      <c r="G270" s="103">
        <f t="shared" si="431"/>
        <v>1.3016847277020266E-5</v>
      </c>
      <c r="H270" s="103">
        <f t="shared" si="431"/>
        <v>1.2060333779328027E-5</v>
      </c>
      <c r="I270" s="103">
        <f t="shared" si="431"/>
        <v>1.2199566121968168E-5</v>
      </c>
      <c r="J270" s="103">
        <f t="shared" si="431"/>
        <v>2.0223892801095948E-5</v>
      </c>
      <c r="K270" s="103">
        <f t="shared" si="431"/>
        <v>2.6359380037702147E-5</v>
      </c>
      <c r="L270" s="103">
        <f t="shared" ref="L270" si="432">IF(L52=0,0,L52/L$46)</f>
        <v>2.809861373760032E-5</v>
      </c>
      <c r="M270" s="103">
        <f t="shared" ref="M270:V270" si="433">IF(M52=0,0,M52/M$46)</f>
        <v>2.3485436016305475E-5</v>
      </c>
      <c r="N270" s="103">
        <f t="shared" si="433"/>
        <v>3.4809616662555179E-5</v>
      </c>
      <c r="O270" s="103">
        <f t="shared" si="433"/>
        <v>3.4533272965220342E-5</v>
      </c>
      <c r="P270" s="103">
        <f t="shared" si="433"/>
        <v>4.0017488617606194E-5</v>
      </c>
      <c r="Q270" s="103">
        <f t="shared" si="433"/>
        <v>1.6030405691522942E-4</v>
      </c>
      <c r="R270" s="103">
        <f t="shared" si="433"/>
        <v>2.2480399142408986E-4</v>
      </c>
      <c r="S270" s="103">
        <f t="shared" si="433"/>
        <v>2.4739023980655222E-4</v>
      </c>
      <c r="T270" s="103">
        <f t="shared" si="433"/>
        <v>3.3612500373835641E-4</v>
      </c>
      <c r="U270" s="103">
        <f t="shared" si="433"/>
        <v>4.5306798653378254E-4</v>
      </c>
      <c r="V270" s="103">
        <f t="shared" si="433"/>
        <v>5.8115289837828337E-4</v>
      </c>
      <c r="W270" s="103">
        <f t="shared" ref="W270:Y270" si="434">IF(W52=0,0,W52/W$46)</f>
        <v>7.8872787947709155E-4</v>
      </c>
      <c r="X270" s="103">
        <f t="shared" si="434"/>
        <v>8.7398044653956499E-4</v>
      </c>
      <c r="Y270" s="103">
        <f t="shared" si="434"/>
        <v>1.2827488110373098E-3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0.39326463669161743</v>
      </c>
      <c r="C271" s="156">
        <f t="shared" si="435"/>
        <v>0.40207546010064182</v>
      </c>
      <c r="D271" s="156">
        <f t="shared" si="435"/>
        <v>0.41960178164941869</v>
      </c>
      <c r="E271" s="156">
        <f t="shared" si="435"/>
        <v>0.41984544687747027</v>
      </c>
      <c r="F271" s="156">
        <f t="shared" si="435"/>
        <v>0.42522787193461808</v>
      </c>
      <c r="G271" s="156">
        <f t="shared" si="435"/>
        <v>0.41055858186022359</v>
      </c>
      <c r="H271" s="156">
        <f t="shared" si="435"/>
        <v>0.40852812689241952</v>
      </c>
      <c r="I271" s="156">
        <f t="shared" si="435"/>
        <v>0.41282206793281012</v>
      </c>
      <c r="J271" s="156">
        <f t="shared" si="435"/>
        <v>0.39222073401288726</v>
      </c>
      <c r="K271" s="156">
        <f t="shared" si="435"/>
        <v>0.36251904424914855</v>
      </c>
      <c r="L271" s="156">
        <f t="shared" ref="L271" si="436">IF(L53=0,0,L53/L$46)</f>
        <v>0.3676339213448252</v>
      </c>
      <c r="M271" s="156">
        <f t="shared" ref="M271:V271" si="437">IF(M53=0,0,M53/M$46)</f>
        <v>0.36574532140412652</v>
      </c>
      <c r="N271" s="156">
        <f t="shared" si="437"/>
        <v>0.36579226106389257</v>
      </c>
      <c r="O271" s="156">
        <f t="shared" si="437"/>
        <v>0.37050478880043131</v>
      </c>
      <c r="P271" s="156">
        <f t="shared" si="437"/>
        <v>0.3651839510870874</v>
      </c>
      <c r="Q271" s="156">
        <f t="shared" si="437"/>
        <v>0.34491035364837586</v>
      </c>
      <c r="R271" s="156">
        <f t="shared" si="437"/>
        <v>0.33570820554430464</v>
      </c>
      <c r="S271" s="156">
        <f t="shared" si="437"/>
        <v>0.33724764830061232</v>
      </c>
      <c r="T271" s="156">
        <f t="shared" si="437"/>
        <v>0.31095036990350911</v>
      </c>
      <c r="U271" s="156">
        <f t="shared" si="437"/>
        <v>0.28988130104590898</v>
      </c>
      <c r="V271" s="156">
        <f t="shared" si="437"/>
        <v>0.28802811662708244</v>
      </c>
      <c r="W271" s="156">
        <f t="shared" ref="W271:Y271" si="438">IF(W53=0,0,W53/W$46)</f>
        <v>0.27701118388188328</v>
      </c>
      <c r="X271" s="156">
        <f t="shared" si="438"/>
        <v>0.26668643900831046</v>
      </c>
      <c r="Y271" s="156">
        <f t="shared" si="438"/>
        <v>0.26091954479595431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0.15006255019659998</v>
      </c>
      <c r="C272" s="104">
        <f t="shared" si="439"/>
        <v>0.1971801697843823</v>
      </c>
      <c r="D272" s="104">
        <f t="shared" si="439"/>
        <v>0.23013694066692511</v>
      </c>
      <c r="E272" s="104">
        <f t="shared" si="439"/>
        <v>0.24499921690261051</v>
      </c>
      <c r="F272" s="104">
        <f t="shared" si="439"/>
        <v>0.23679463952049432</v>
      </c>
      <c r="G272" s="104">
        <f t="shared" si="439"/>
        <v>0.22543105762796967</v>
      </c>
      <c r="H272" s="104">
        <f t="shared" si="439"/>
        <v>0.25161413403436389</v>
      </c>
      <c r="I272" s="104">
        <f t="shared" si="439"/>
        <v>0.24625217823734302</v>
      </c>
      <c r="J272" s="104">
        <f t="shared" si="439"/>
        <v>0.28049019458026803</v>
      </c>
      <c r="K272" s="104">
        <f t="shared" si="439"/>
        <v>0.25712471418758109</v>
      </c>
      <c r="L272" s="104">
        <f t="shared" ref="L272" si="440">IF(L54=0,0,L54/L$46)</f>
        <v>0.25870272127940719</v>
      </c>
      <c r="M272" s="104">
        <f t="shared" ref="M272:V272" si="441">IF(M54=0,0,M54/M$46)</f>
        <v>0.25693499332696323</v>
      </c>
      <c r="N272" s="104">
        <f t="shared" si="441"/>
        <v>0.25338239876166158</v>
      </c>
      <c r="O272" s="104">
        <f t="shared" si="441"/>
        <v>0.25423236285543555</v>
      </c>
      <c r="P272" s="104">
        <f t="shared" si="441"/>
        <v>0.24000966539741844</v>
      </c>
      <c r="Q272" s="104">
        <f t="shared" si="441"/>
        <v>0.21612602951912088</v>
      </c>
      <c r="R272" s="104">
        <f t="shared" si="441"/>
        <v>0.20934157383867777</v>
      </c>
      <c r="S272" s="104">
        <f t="shared" si="441"/>
        <v>0.19771210108421505</v>
      </c>
      <c r="T272" s="104">
        <f t="shared" si="441"/>
        <v>0.18194477729258957</v>
      </c>
      <c r="U272" s="104">
        <f t="shared" si="441"/>
        <v>0.17822526501545746</v>
      </c>
      <c r="V272" s="104">
        <f t="shared" si="441"/>
        <v>0.17633588264654756</v>
      </c>
      <c r="W272" s="104">
        <f t="shared" ref="W272:Y272" si="442">IF(W54=0,0,W54/W$46)</f>
        <v>0.17998436142766119</v>
      </c>
      <c r="X272" s="104">
        <f t="shared" si="442"/>
        <v>0.17084972676622864</v>
      </c>
      <c r="Y272" s="104">
        <f t="shared" si="442"/>
        <v>0.16489717485104677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0.24320208649501746</v>
      </c>
      <c r="C273" s="105">
        <f t="shared" si="443"/>
        <v>0.20489529031625955</v>
      </c>
      <c r="D273" s="105">
        <f t="shared" si="443"/>
        <v>0.18946484098249355</v>
      </c>
      <c r="E273" s="105">
        <f t="shared" si="443"/>
        <v>0.17484622997485977</v>
      </c>
      <c r="F273" s="105">
        <f t="shared" si="443"/>
        <v>0.18843323241412377</v>
      </c>
      <c r="G273" s="105">
        <f t="shared" si="443"/>
        <v>0.1851275242322539</v>
      </c>
      <c r="H273" s="105">
        <f t="shared" si="443"/>
        <v>0.15691399285805563</v>
      </c>
      <c r="I273" s="105">
        <f t="shared" si="443"/>
        <v>0.16656988969546707</v>
      </c>
      <c r="J273" s="105">
        <f t="shared" si="443"/>
        <v>0.11173053943261925</v>
      </c>
      <c r="K273" s="105">
        <f t="shared" si="443"/>
        <v>0.1053943300615675</v>
      </c>
      <c r="L273" s="105">
        <f t="shared" ref="L273" si="444">IF(L55=0,0,L55/L$46)</f>
        <v>0.10893120006541802</v>
      </c>
      <c r="M273" s="105">
        <f t="shared" ref="M273:V273" si="445">IF(M55=0,0,M55/M$46)</f>
        <v>0.1088103280771633</v>
      </c>
      <c r="N273" s="105">
        <f t="shared" si="445"/>
        <v>0.11240986230223096</v>
      </c>
      <c r="O273" s="105">
        <f t="shared" si="445"/>
        <v>0.11627242594499568</v>
      </c>
      <c r="P273" s="105">
        <f t="shared" si="445"/>
        <v>0.12517428568966896</v>
      </c>
      <c r="Q273" s="105">
        <f t="shared" si="445"/>
        <v>0.12878432412925497</v>
      </c>
      <c r="R273" s="105">
        <f t="shared" si="445"/>
        <v>0.12636663170562687</v>
      </c>
      <c r="S273" s="105">
        <f t="shared" si="445"/>
        <v>0.13953554721639727</v>
      </c>
      <c r="T273" s="105">
        <f t="shared" si="445"/>
        <v>0.12900559261091954</v>
      </c>
      <c r="U273" s="105">
        <f t="shared" si="445"/>
        <v>0.11165603603045152</v>
      </c>
      <c r="V273" s="105">
        <f t="shared" si="445"/>
        <v>0.11169223398053491</v>
      </c>
      <c r="W273" s="105">
        <f t="shared" ref="W273:Y273" si="446">IF(W55=0,0,W55/W$46)</f>
        <v>9.7026822454222089E-2</v>
      </c>
      <c r="X273" s="105">
        <f t="shared" si="446"/>
        <v>9.5836712242081817E-2</v>
      </c>
      <c r="Y273" s="105">
        <f t="shared" si="446"/>
        <v>9.6022369944907524E-2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1391.7045571797075</v>
      </c>
      <c r="C4" s="145">
        <f t="shared" si="0"/>
        <v>1406.8032674118658</v>
      </c>
      <c r="D4" s="145">
        <f t="shared" si="0"/>
        <v>1499.0023215821152</v>
      </c>
      <c r="E4" s="145">
        <f t="shared" si="0"/>
        <v>1625.7182619897044</v>
      </c>
      <c r="F4" s="145">
        <f t="shared" si="0"/>
        <v>1673.0610827210446</v>
      </c>
      <c r="G4" s="145">
        <f t="shared" si="0"/>
        <v>1734.345180925148</v>
      </c>
      <c r="H4" s="145">
        <f t="shared" si="0"/>
        <v>1847.8030491512893</v>
      </c>
      <c r="I4" s="145">
        <f t="shared" si="0"/>
        <v>1990.8071767178374</v>
      </c>
      <c r="J4" s="145">
        <f t="shared" si="0"/>
        <v>1964.2788113279087</v>
      </c>
      <c r="K4" s="145">
        <f t="shared" si="0"/>
        <v>1957.9063329617261</v>
      </c>
      <c r="L4" s="145">
        <f t="shared" ref="L4" si="1">L5+L9+L10+L15</f>
        <v>1881.4719403610318</v>
      </c>
      <c r="M4" s="145">
        <f t="shared" ref="M4:V4" si="2">M5+M9+M10+M15</f>
        <v>1843.8792331520524</v>
      </c>
      <c r="N4" s="145">
        <f t="shared" si="2"/>
        <v>1810.1026875663697</v>
      </c>
      <c r="O4" s="145">
        <f t="shared" si="2"/>
        <v>1829.929485887418</v>
      </c>
      <c r="P4" s="145">
        <f t="shared" si="2"/>
        <v>1805.8079173759293</v>
      </c>
      <c r="Q4" s="145">
        <f t="shared" si="2"/>
        <v>1905.6945754290273</v>
      </c>
      <c r="R4" s="145">
        <f t="shared" si="2"/>
        <v>1951.3831678997876</v>
      </c>
      <c r="S4" s="145">
        <f t="shared" si="2"/>
        <v>2100.0437075115778</v>
      </c>
      <c r="T4" s="145">
        <f t="shared" si="2"/>
        <v>2048.9138044823562</v>
      </c>
      <c r="U4" s="145">
        <f t="shared" si="2"/>
        <v>2136.5392342521905</v>
      </c>
      <c r="V4" s="145">
        <f t="shared" si="2"/>
        <v>1886.3217136102248</v>
      </c>
      <c r="W4" s="145">
        <f t="shared" ref="W4:Y4" si="3">W5+W9+W10+W15</f>
        <v>2054.4746170220674</v>
      </c>
      <c r="X4" s="145">
        <f t="shared" si="3"/>
        <v>2138.6523461265037</v>
      </c>
      <c r="Y4" s="145">
        <f t="shared" si="3"/>
        <v>2395.6020127586967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1391.7045571797075</v>
      </c>
      <c r="C5" s="97">
        <f t="shared" si="4"/>
        <v>1406.8032674118658</v>
      </c>
      <c r="D5" s="97">
        <f t="shared" si="4"/>
        <v>1499.0023215821152</v>
      </c>
      <c r="E5" s="97">
        <f t="shared" si="4"/>
        <v>1625.7178847807395</v>
      </c>
      <c r="F5" s="97">
        <f t="shared" si="4"/>
        <v>1673.0607050730869</v>
      </c>
      <c r="G5" s="97">
        <f t="shared" si="4"/>
        <v>1734.3446259673256</v>
      </c>
      <c r="H5" s="97">
        <f t="shared" si="4"/>
        <v>1847.8024935511603</v>
      </c>
      <c r="I5" s="97">
        <f t="shared" si="4"/>
        <v>1988.1554600171964</v>
      </c>
      <c r="J5" s="97">
        <f t="shared" si="4"/>
        <v>1960.7429922613924</v>
      </c>
      <c r="K5" s="97">
        <f t="shared" si="4"/>
        <v>1948.9299226139296</v>
      </c>
      <c r="L5" s="97">
        <f t="shared" ref="L5" si="5">SUM(L6:L8)</f>
        <v>1876.7202063628547</v>
      </c>
      <c r="M5" s="97">
        <f t="shared" ref="M5:V5" si="6">SUM(M6:M8)</f>
        <v>1839.2938950988819</v>
      </c>
      <c r="N5" s="97">
        <f t="shared" si="6"/>
        <v>1772.3395528804813</v>
      </c>
      <c r="O5" s="97">
        <f t="shared" si="6"/>
        <v>1795.6398968185724</v>
      </c>
      <c r="P5" s="97">
        <f t="shared" si="6"/>
        <v>1772.7423043852104</v>
      </c>
      <c r="Q5" s="97">
        <f t="shared" si="6"/>
        <v>1878.0271711092005</v>
      </c>
      <c r="R5" s="97">
        <f t="shared" si="6"/>
        <v>1946.7687876182285</v>
      </c>
      <c r="S5" s="97">
        <f t="shared" si="6"/>
        <v>2095.1055889939817</v>
      </c>
      <c r="T5" s="97">
        <f t="shared" si="6"/>
        <v>2017.5294067067923</v>
      </c>
      <c r="U5" s="97">
        <f t="shared" si="6"/>
        <v>2069.7401547721406</v>
      </c>
      <c r="V5" s="97">
        <f t="shared" si="6"/>
        <v>1817.2895098882204</v>
      </c>
      <c r="W5" s="97">
        <f t="shared" ref="W5:Y5" si="7">SUM(W6:W8)</f>
        <v>1958.317196904557</v>
      </c>
      <c r="X5" s="97">
        <f t="shared" si="7"/>
        <v>2112.4726569217537</v>
      </c>
      <c r="Y5" s="97">
        <f t="shared" si="7"/>
        <v>2390.0447979363717</v>
      </c>
      <c r="DA5" s="175"/>
    </row>
    <row r="6" spans="1:105" ht="11.45" customHeight="1" x14ac:dyDescent="0.25">
      <c r="A6" s="128" t="s">
        <v>52</v>
      </c>
      <c r="B6" s="97">
        <v>11.19948409286328</v>
      </c>
      <c r="C6" s="97">
        <v>13.43938091143594</v>
      </c>
      <c r="D6" s="97">
        <v>14.783319002579541</v>
      </c>
      <c r="E6" s="97">
        <v>14.55932932072227</v>
      </c>
      <c r="F6" s="97">
        <v>18.703181427343079</v>
      </c>
      <c r="G6" s="97">
        <v>24.63886500429923</v>
      </c>
      <c r="H6" s="97">
        <v>41.43809114359415</v>
      </c>
      <c r="I6" s="97">
        <v>57.117368873602743</v>
      </c>
      <c r="J6" s="97">
        <v>77.276440240756656</v>
      </c>
      <c r="K6" s="97">
        <v>78.396388650042994</v>
      </c>
      <c r="L6" s="97">
        <v>66.076956147893384</v>
      </c>
      <c r="M6" s="97">
        <v>62.717110920034393</v>
      </c>
      <c r="N6" s="97">
        <v>61.597162510748063</v>
      </c>
      <c r="O6" s="97">
        <v>62.717110920034393</v>
      </c>
      <c r="P6" s="97">
        <v>68.31685296646603</v>
      </c>
      <c r="Q6" s="97">
        <v>75.036543422183996</v>
      </c>
      <c r="R6" s="97">
        <v>79.516337059329317</v>
      </c>
      <c r="S6" s="97">
        <v>79.180395528804809</v>
      </c>
      <c r="T6" s="97">
        <v>78.844368013757517</v>
      </c>
      <c r="U6" s="97">
        <v>73.916595012897673</v>
      </c>
      <c r="V6" s="97">
        <v>59.133276010318141</v>
      </c>
      <c r="W6" s="97">
        <v>61.933190025795348</v>
      </c>
      <c r="X6" s="97">
        <v>51.965606190885637</v>
      </c>
      <c r="Y6" s="97">
        <v>47.485812553740317</v>
      </c>
      <c r="DA6" s="175" t="s">
        <v>630</v>
      </c>
    </row>
    <row r="7" spans="1:105" ht="11.45" customHeight="1" x14ac:dyDescent="0.25">
      <c r="A7" s="128" t="s">
        <v>53</v>
      </c>
      <c r="B7" s="97">
        <v>813.15511607910571</v>
      </c>
      <c r="C7" s="97">
        <v>782.28993981083397</v>
      </c>
      <c r="D7" s="97">
        <v>789.74187446259668</v>
      </c>
      <c r="E7" s="97">
        <v>786.54789337919169</v>
      </c>
      <c r="F7" s="97">
        <v>751.42476354256223</v>
      </c>
      <c r="G7" s="97">
        <v>738.65210662080813</v>
      </c>
      <c r="H7" s="97">
        <v>739.71711092003432</v>
      </c>
      <c r="I7" s="97">
        <v>753.55477214101461</v>
      </c>
      <c r="J7" s="97">
        <v>721.62252794496976</v>
      </c>
      <c r="K7" s="97">
        <v>719.49458297506442</v>
      </c>
      <c r="L7" s="97">
        <v>677.98460877042135</v>
      </c>
      <c r="M7" s="97">
        <v>662.0190025795356</v>
      </c>
      <c r="N7" s="97">
        <v>615.18822012037833</v>
      </c>
      <c r="O7" s="97">
        <v>601.35262252794496</v>
      </c>
      <c r="P7" s="97">
        <v>554.52184006878758</v>
      </c>
      <c r="Q7" s="97">
        <v>553.45683576956151</v>
      </c>
      <c r="R7" s="97">
        <v>556.65081685296639</v>
      </c>
      <c r="S7" s="97">
        <v>534.38564058469467</v>
      </c>
      <c r="T7" s="97">
        <v>519.20490111779873</v>
      </c>
      <c r="U7" s="97">
        <v>495.20481513327599</v>
      </c>
      <c r="V7" s="97">
        <v>411.20189165950131</v>
      </c>
      <c r="W7" s="97">
        <v>460.57798796216679</v>
      </c>
      <c r="X7" s="97">
        <v>494.27291487532239</v>
      </c>
      <c r="Y7" s="97">
        <v>554.5527085124678</v>
      </c>
      <c r="DA7" s="175" t="s">
        <v>631</v>
      </c>
    </row>
    <row r="8" spans="1:105" ht="11.45" customHeight="1" x14ac:dyDescent="0.25">
      <c r="A8" s="128" t="s">
        <v>54</v>
      </c>
      <c r="B8" s="97">
        <v>567.34995700773857</v>
      </c>
      <c r="C8" s="97">
        <v>611.07394668959591</v>
      </c>
      <c r="D8" s="97">
        <v>694.47712811693896</v>
      </c>
      <c r="E8" s="97">
        <v>824.61066208082536</v>
      </c>
      <c r="F8" s="97">
        <v>902.93276010318141</v>
      </c>
      <c r="G8" s="97">
        <v>971.05365434221824</v>
      </c>
      <c r="H8" s="97">
        <v>1066.6472914875319</v>
      </c>
      <c r="I8" s="97">
        <v>1177.483319002579</v>
      </c>
      <c r="J8" s="97">
        <v>1161.8440240756661</v>
      </c>
      <c r="K8" s="97">
        <v>1151.0389509888221</v>
      </c>
      <c r="L8" s="97">
        <v>1132.6586414445401</v>
      </c>
      <c r="M8" s="97">
        <v>1114.557781599312</v>
      </c>
      <c r="N8" s="97">
        <v>1095.5541702493549</v>
      </c>
      <c r="O8" s="97">
        <v>1131.570163370593</v>
      </c>
      <c r="P8" s="97">
        <v>1149.9036113499569</v>
      </c>
      <c r="Q8" s="97">
        <v>1249.5337919174549</v>
      </c>
      <c r="R8" s="97">
        <v>1310.601633705933</v>
      </c>
      <c r="S8" s="97">
        <v>1481.539552880482</v>
      </c>
      <c r="T8" s="97">
        <v>1419.4801375752361</v>
      </c>
      <c r="U8" s="97">
        <v>1500.6187446259671</v>
      </c>
      <c r="V8" s="97">
        <v>1346.9543422184011</v>
      </c>
      <c r="W8" s="97">
        <v>1435.8060189165949</v>
      </c>
      <c r="X8" s="97">
        <v>1566.2341358555457</v>
      </c>
      <c r="Y8" s="97">
        <v>1788.0062768701637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1.139294926913156</v>
      </c>
      <c r="L9" s="97">
        <v>2.1066208082545139</v>
      </c>
      <c r="M9" s="97">
        <v>0.64488392089423896</v>
      </c>
      <c r="N9" s="97">
        <v>0.81685296646603611</v>
      </c>
      <c r="O9" s="97">
        <v>1.547721410146174</v>
      </c>
      <c r="P9" s="97">
        <v>3.224419604471195</v>
      </c>
      <c r="Q9" s="97">
        <v>3.310404127257093</v>
      </c>
      <c r="R9" s="97">
        <v>3.6558899398108342</v>
      </c>
      <c r="S9" s="97">
        <v>4.2268271711091998</v>
      </c>
      <c r="T9" s="97">
        <v>4.2195184866723991</v>
      </c>
      <c r="U9" s="97">
        <v>3.9713671539122948</v>
      </c>
      <c r="V9" s="97">
        <v>3.0727429062768699</v>
      </c>
      <c r="W9" s="97">
        <v>4.0126397248495271</v>
      </c>
      <c r="X9" s="97">
        <v>3.6254514187446261</v>
      </c>
      <c r="Y9" s="97">
        <v>2.916337059329321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0</v>
      </c>
      <c r="I10" s="97">
        <f t="shared" si="8"/>
        <v>2.6511607910576092</v>
      </c>
      <c r="J10" s="97">
        <f t="shared" si="8"/>
        <v>3.5349097162510739</v>
      </c>
      <c r="K10" s="97">
        <f t="shared" si="8"/>
        <v>7.8360275150472916</v>
      </c>
      <c r="L10" s="97">
        <f t="shared" si="8"/>
        <v>2.6440240756663802</v>
      </c>
      <c r="M10" s="97">
        <f t="shared" si="8"/>
        <v>3.9395528804815143</v>
      </c>
      <c r="N10" s="97">
        <f t="shared" si="8"/>
        <v>36.939810834049872</v>
      </c>
      <c r="O10" s="97">
        <f t="shared" si="8"/>
        <v>32.734565778159933</v>
      </c>
      <c r="P10" s="97">
        <f t="shared" si="8"/>
        <v>29.825107480653479</v>
      </c>
      <c r="Q10" s="97">
        <f t="shared" si="8"/>
        <v>24.285984522785903</v>
      </c>
      <c r="R10" s="97">
        <f t="shared" si="8"/>
        <v>0.85331040412725701</v>
      </c>
      <c r="S10" s="97">
        <f t="shared" si="8"/>
        <v>0.59260533104041269</v>
      </c>
      <c r="T10" s="97">
        <f t="shared" si="8"/>
        <v>27.003955288048147</v>
      </c>
      <c r="U10" s="97">
        <f t="shared" si="8"/>
        <v>62.581685296646604</v>
      </c>
      <c r="V10" s="97">
        <f t="shared" si="8"/>
        <v>65.554342218400677</v>
      </c>
      <c r="W10" s="97">
        <f t="shared" si="8"/>
        <v>91.192863284608762</v>
      </c>
      <c r="X10" s="97">
        <f t="shared" ref="X10:Y10" si="9">SUM(X11:X13)</f>
        <v>21.000601891659496</v>
      </c>
      <c r="Y10" s="97">
        <f t="shared" si="9"/>
        <v>0.28108340498710233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2.5479793637145312</v>
      </c>
      <c r="L12" s="97">
        <v>0</v>
      </c>
      <c r="M12" s="97">
        <v>1.2740326741186589</v>
      </c>
      <c r="N12" s="97">
        <v>1.2740326741186589</v>
      </c>
      <c r="O12" s="97">
        <v>1.2740326741186589</v>
      </c>
      <c r="P12" s="97">
        <v>0</v>
      </c>
      <c r="Q12" s="97">
        <v>0</v>
      </c>
      <c r="R12" s="97">
        <v>0</v>
      </c>
      <c r="S12" s="97">
        <v>0.2631126397248495</v>
      </c>
      <c r="T12" s="97">
        <v>0.40318142734307821</v>
      </c>
      <c r="U12" s="97">
        <v>0.95743766122098017</v>
      </c>
      <c r="V12" s="97">
        <v>0.75803955288048153</v>
      </c>
      <c r="W12" s="97">
        <v>0.80326741186586414</v>
      </c>
      <c r="X12" s="97">
        <v>0.17136715391229579</v>
      </c>
      <c r="Y12" s="97">
        <v>0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2.6511607910576092</v>
      </c>
      <c r="J13" s="97">
        <v>3.5349097162510739</v>
      </c>
      <c r="K13" s="97">
        <v>5.2880481513327604</v>
      </c>
      <c r="L13" s="97">
        <v>2.6440240756663802</v>
      </c>
      <c r="M13" s="97">
        <v>2.6655202063628551</v>
      </c>
      <c r="N13" s="97">
        <v>35.665778159931214</v>
      </c>
      <c r="O13" s="97">
        <v>31.460533104041271</v>
      </c>
      <c r="P13" s="97">
        <v>29.825107480653479</v>
      </c>
      <c r="Q13" s="97">
        <v>24.285984522785903</v>
      </c>
      <c r="R13" s="97">
        <v>0.85331040412725701</v>
      </c>
      <c r="S13" s="97">
        <v>0.32949269131556319</v>
      </c>
      <c r="T13" s="97">
        <v>26.600773860705068</v>
      </c>
      <c r="U13" s="97">
        <v>61.624247635425625</v>
      </c>
      <c r="V13" s="97">
        <v>64.796302665520201</v>
      </c>
      <c r="W13" s="97">
        <v>90.389595872742902</v>
      </c>
      <c r="X13" s="97">
        <v>20.8292347377472</v>
      </c>
      <c r="Y13" s="97">
        <v>0.28108340498710233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3.7720896491212175E-4</v>
      </c>
      <c r="F15" s="98">
        <v>3.7764795779888095E-4</v>
      </c>
      <c r="G15" s="98">
        <v>5.5495782248175438E-4</v>
      </c>
      <c r="H15" s="98">
        <v>5.5560012891624948E-4</v>
      </c>
      <c r="I15" s="98">
        <v>5.5590958317147557E-4</v>
      </c>
      <c r="J15" s="98">
        <v>9.0935026524041141E-4</v>
      </c>
      <c r="K15" s="98">
        <v>1.0879058358767273E-3</v>
      </c>
      <c r="L15" s="98">
        <v>1.0891142559977126E-3</v>
      </c>
      <c r="M15" s="98">
        <v>9.0125179477038562E-4</v>
      </c>
      <c r="N15" s="98">
        <v>6.470885372514704E-3</v>
      </c>
      <c r="O15" s="98">
        <v>7.3018805393513719E-3</v>
      </c>
      <c r="P15" s="98">
        <v>1.6085905594136356E-2</v>
      </c>
      <c r="Q15" s="98">
        <v>7.1015669783971655E-2</v>
      </c>
      <c r="R15" s="98">
        <v>0.10517993762095193</v>
      </c>
      <c r="S15" s="98">
        <v>0.11868601544683452</v>
      </c>
      <c r="T15" s="98">
        <v>0.1609240008431656</v>
      </c>
      <c r="U15" s="98">
        <v>0.24602702949075528</v>
      </c>
      <c r="V15" s="98">
        <v>0.4051185973266439</v>
      </c>
      <c r="W15" s="98">
        <v>0.95191710805186769</v>
      </c>
      <c r="X15" s="98">
        <v>1.5536358943459958</v>
      </c>
      <c r="Y15" s="98">
        <v>2.359794358009073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1391.7045571797075</v>
      </c>
      <c r="C17" s="79">
        <f t="shared" si="10"/>
        <v>1406.8032674118656</v>
      </c>
      <c r="D17" s="79">
        <f t="shared" si="10"/>
        <v>1499.0023215821152</v>
      </c>
      <c r="E17" s="79">
        <f t="shared" si="10"/>
        <v>1625.7182619897044</v>
      </c>
      <c r="F17" s="79">
        <f t="shared" si="10"/>
        <v>1673.0610827210442</v>
      </c>
      <c r="G17" s="79">
        <f t="shared" si="10"/>
        <v>1734.3451809251483</v>
      </c>
      <c r="H17" s="79">
        <f t="shared" si="10"/>
        <v>1847.8030491512891</v>
      </c>
      <c r="I17" s="79">
        <f t="shared" si="10"/>
        <v>1990.8071767178374</v>
      </c>
      <c r="J17" s="79">
        <f t="shared" si="10"/>
        <v>1964.2788113279089</v>
      </c>
      <c r="K17" s="79">
        <f t="shared" si="10"/>
        <v>1957.9063329617256</v>
      </c>
      <c r="L17" s="79">
        <f t="shared" ref="L17" si="11">L18+L42</f>
        <v>1881.4719403610316</v>
      </c>
      <c r="M17" s="79">
        <f t="shared" ref="M17:V17" si="12">M18+M42</f>
        <v>1843.8792331520522</v>
      </c>
      <c r="N17" s="79">
        <f t="shared" si="12"/>
        <v>1810.1026875663699</v>
      </c>
      <c r="O17" s="79">
        <f t="shared" si="12"/>
        <v>1829.929485887418</v>
      </c>
      <c r="P17" s="79">
        <f t="shared" si="12"/>
        <v>1805.8079173759293</v>
      </c>
      <c r="Q17" s="79">
        <f t="shared" si="12"/>
        <v>1905.6945754290273</v>
      </c>
      <c r="R17" s="79">
        <f t="shared" si="12"/>
        <v>1951.3831678997878</v>
      </c>
      <c r="S17" s="79">
        <f t="shared" si="12"/>
        <v>2100.0437075115778</v>
      </c>
      <c r="T17" s="79">
        <f t="shared" si="12"/>
        <v>2048.9138044823562</v>
      </c>
      <c r="U17" s="79">
        <f t="shared" si="12"/>
        <v>2136.53923425219</v>
      </c>
      <c r="V17" s="79">
        <f t="shared" si="12"/>
        <v>1886.3217136102248</v>
      </c>
      <c r="W17" s="79">
        <f t="shared" ref="W17:Y17" si="13">W18+W42</f>
        <v>2054.4746170220669</v>
      </c>
      <c r="X17" s="79">
        <f t="shared" si="13"/>
        <v>2138.6523461265037</v>
      </c>
      <c r="Y17" s="79">
        <f t="shared" si="13"/>
        <v>2395.6020127586971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1168.7882759450777</v>
      </c>
      <c r="C18" s="32">
        <f t="shared" si="14"/>
        <v>1165.0056320653177</v>
      </c>
      <c r="D18" s="32">
        <f t="shared" si="14"/>
        <v>1181.8071126086043</v>
      </c>
      <c r="E18" s="32">
        <f t="shared" si="14"/>
        <v>1266.8406828361422</v>
      </c>
      <c r="F18" s="32">
        <f t="shared" si="14"/>
        <v>1277.0245292856716</v>
      </c>
      <c r="G18" s="32">
        <f t="shared" si="14"/>
        <v>1325.3189978639737</v>
      </c>
      <c r="H18" s="32">
        <f t="shared" si="14"/>
        <v>1410.1077033693837</v>
      </c>
      <c r="I18" s="32">
        <f t="shared" si="14"/>
        <v>1542.0856323066816</v>
      </c>
      <c r="J18" s="32">
        <f t="shared" si="14"/>
        <v>1516.3005927939278</v>
      </c>
      <c r="K18" s="32">
        <f t="shared" si="14"/>
        <v>1543.4943722896569</v>
      </c>
      <c r="L18" s="32">
        <f t="shared" ref="L18" si="15">L19+L21+L33</f>
        <v>1476.6430467374623</v>
      </c>
      <c r="M18" s="32">
        <f t="shared" ref="M18:V18" si="16">M19+M21+M33</f>
        <v>1454.0515348328622</v>
      </c>
      <c r="N18" s="32">
        <f t="shared" si="16"/>
        <v>1450.3494701502796</v>
      </c>
      <c r="O18" s="32">
        <f t="shared" si="16"/>
        <v>1424.7095675782132</v>
      </c>
      <c r="P18" s="32">
        <f t="shared" si="16"/>
        <v>1440.193361860235</v>
      </c>
      <c r="Q18" s="32">
        <f t="shared" si="16"/>
        <v>1516.9523629751809</v>
      </c>
      <c r="R18" s="32">
        <f t="shared" si="16"/>
        <v>1578.427929749228</v>
      </c>
      <c r="S18" s="32">
        <f t="shared" si="16"/>
        <v>1629.1235277608112</v>
      </c>
      <c r="T18" s="32">
        <f t="shared" si="16"/>
        <v>1598.5775373739539</v>
      </c>
      <c r="U18" s="32">
        <f t="shared" si="16"/>
        <v>1620.1897103347746</v>
      </c>
      <c r="V18" s="32">
        <f t="shared" si="16"/>
        <v>1375.6011666216609</v>
      </c>
      <c r="W18" s="32">
        <f t="shared" ref="W18:Y18" si="17">W19+W21+W33</f>
        <v>1529.9359007942573</v>
      </c>
      <c r="X18" s="32">
        <f t="shared" si="17"/>
        <v>1596.1510291389986</v>
      </c>
      <c r="Y18" s="32">
        <f t="shared" si="17"/>
        <v>1777.2767601363785</v>
      </c>
      <c r="DA18" s="173" t="s">
        <v>391</v>
      </c>
    </row>
    <row r="19" spans="1:105" ht="11.45" customHeight="1" x14ac:dyDescent="0.25">
      <c r="A19" s="107" t="s">
        <v>174</v>
      </c>
      <c r="B19" s="129">
        <v>5.8762532934582836</v>
      </c>
      <c r="C19" s="129">
        <v>5.8408710443356711</v>
      </c>
      <c r="D19" s="129">
        <v>5.9913013136938433</v>
      </c>
      <c r="E19" s="129">
        <v>6.5464447087780941</v>
      </c>
      <c r="F19" s="129">
        <v>7.0832126676179588</v>
      </c>
      <c r="G19" s="129">
        <v>7.6669458749260864</v>
      </c>
      <c r="H19" s="129">
        <v>8.2182686164777081</v>
      </c>
      <c r="I19" s="129">
        <v>8.1985614154081965</v>
      </c>
      <c r="J19" s="129">
        <v>8.1844155412446522</v>
      </c>
      <c r="K19" s="129">
        <v>8.1479189400378651</v>
      </c>
      <c r="L19" s="129">
        <v>8.0996633112709553</v>
      </c>
      <c r="M19" s="129">
        <v>8.0857345747520721</v>
      </c>
      <c r="N19" s="129">
        <v>8.0725635393616511</v>
      </c>
      <c r="O19" s="129">
        <v>7.9922017803894976</v>
      </c>
      <c r="P19" s="129">
        <v>7.9144603260569699</v>
      </c>
      <c r="Q19" s="129">
        <v>7.8830220199185366</v>
      </c>
      <c r="R19" s="129">
        <v>8.1705851129296576</v>
      </c>
      <c r="S19" s="129">
        <v>8.498590151056467</v>
      </c>
      <c r="T19" s="129">
        <v>8.5887620095487147</v>
      </c>
      <c r="U19" s="129">
        <v>8.8583407818741495</v>
      </c>
      <c r="V19" s="129">
        <v>7.7594904738970856</v>
      </c>
      <c r="W19" s="129">
        <v>9.4997290222478714</v>
      </c>
      <c r="X19" s="129">
        <v>10.154512718129544</v>
      </c>
      <c r="Y19" s="129">
        <v>10.803549027508694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2.8752777743723121E-2</v>
      </c>
      <c r="L20" s="97">
        <v>0</v>
      </c>
      <c r="M20" s="97">
        <v>1.5530827997531468E-2</v>
      </c>
      <c r="N20" s="97">
        <v>1.6683437901386329E-2</v>
      </c>
      <c r="O20" s="97">
        <v>1.6896574551537809E-2</v>
      </c>
      <c r="P20" s="97">
        <v>0</v>
      </c>
      <c r="Q20" s="97">
        <v>0</v>
      </c>
      <c r="R20" s="97">
        <v>0</v>
      </c>
      <c r="S20" s="97">
        <v>4.1823467745850601E-3</v>
      </c>
      <c r="T20" s="97">
        <v>6.6643099721587122E-3</v>
      </c>
      <c r="U20" s="97">
        <v>1.7093821693866033E-2</v>
      </c>
      <c r="V20" s="97">
        <v>1.4278089308595636E-2</v>
      </c>
      <c r="W20" s="97">
        <v>1.6539082713583425E-2</v>
      </c>
      <c r="X20" s="97">
        <v>3.519405536919895E-3</v>
      </c>
      <c r="Y20" s="97">
        <v>0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985.92020200899947</v>
      </c>
      <c r="C21" s="130">
        <f t="shared" si="18"/>
        <v>988.2182424266075</v>
      </c>
      <c r="D21" s="130">
        <f t="shared" si="18"/>
        <v>1006.7678281402343</v>
      </c>
      <c r="E21" s="130">
        <f t="shared" si="18"/>
        <v>1090.4956355326422</v>
      </c>
      <c r="F21" s="130">
        <f t="shared" si="18"/>
        <v>1104.4755269754671</v>
      </c>
      <c r="G21" s="130">
        <f t="shared" si="18"/>
        <v>1154.2932381373773</v>
      </c>
      <c r="H21" s="130">
        <f t="shared" si="18"/>
        <v>1239.4826850766319</v>
      </c>
      <c r="I21" s="130">
        <f t="shared" si="18"/>
        <v>1366.1119980058954</v>
      </c>
      <c r="J21" s="130">
        <f t="shared" si="18"/>
        <v>1341.1481965139963</v>
      </c>
      <c r="K21" s="130">
        <f t="shared" si="18"/>
        <v>1364.325827083909</v>
      </c>
      <c r="L21" s="130">
        <f t="shared" ref="L21" si="19">L22+L24+L26+L27+L29+L32</f>
        <v>1297.7137224207383</v>
      </c>
      <c r="M21" s="130">
        <f t="shared" ref="M21:V21" si="20">M22+M24+M26+M27+M29+M32</f>
        <v>1282.3161671951002</v>
      </c>
      <c r="N21" s="130">
        <f t="shared" si="20"/>
        <v>1281.8169333198309</v>
      </c>
      <c r="O21" s="130">
        <f t="shared" si="20"/>
        <v>1254.7763673903146</v>
      </c>
      <c r="P21" s="130">
        <f t="shared" si="20"/>
        <v>1268.2457723972695</v>
      </c>
      <c r="Q21" s="130">
        <f t="shared" si="20"/>
        <v>1334.6392744180232</v>
      </c>
      <c r="R21" s="130">
        <f t="shared" si="20"/>
        <v>1387.8668428449719</v>
      </c>
      <c r="S21" s="130">
        <f t="shared" si="20"/>
        <v>1428.2259799708656</v>
      </c>
      <c r="T21" s="130">
        <f t="shared" si="20"/>
        <v>1394.5916116872017</v>
      </c>
      <c r="U21" s="130">
        <f t="shared" si="20"/>
        <v>1446.7036347476135</v>
      </c>
      <c r="V21" s="130">
        <f t="shared" si="20"/>
        <v>1248.5523903751357</v>
      </c>
      <c r="W21" s="130">
        <f t="shared" ref="W21:Y21" si="21">W22+W24+W26+W27+W29+W32</f>
        <v>1386.9778782527594</v>
      </c>
      <c r="X21" s="130">
        <f t="shared" si="21"/>
        <v>1438.2059919281678</v>
      </c>
      <c r="Y21" s="130">
        <f t="shared" si="21"/>
        <v>1601.7369666593202</v>
      </c>
      <c r="DA21" s="176" t="s">
        <v>393</v>
      </c>
    </row>
    <row r="22" spans="1:105" ht="11.45" customHeight="1" x14ac:dyDescent="0.25">
      <c r="A22" s="111" t="s">
        <v>110</v>
      </c>
      <c r="B22" s="96">
        <v>794.30490723854746</v>
      </c>
      <c r="C22" s="96">
        <v>761.00665280128601</v>
      </c>
      <c r="D22" s="96">
        <v>768.64877453453244</v>
      </c>
      <c r="E22" s="96">
        <v>765.5528617856454</v>
      </c>
      <c r="F22" s="96">
        <v>730.83002639556332</v>
      </c>
      <c r="G22" s="96">
        <v>718.25485826364991</v>
      </c>
      <c r="H22" s="96">
        <v>719.009260163514</v>
      </c>
      <c r="I22" s="96">
        <v>735.66943535086887</v>
      </c>
      <c r="J22" s="96">
        <v>704.08885400132715</v>
      </c>
      <c r="K22" s="96">
        <v>705.80843439315925</v>
      </c>
      <c r="L22" s="96">
        <v>662.95786662676585</v>
      </c>
      <c r="M22" s="96">
        <v>648.70740510470978</v>
      </c>
      <c r="N22" s="96">
        <v>603.7131176680482</v>
      </c>
      <c r="O22" s="96">
        <v>590.15040945434248</v>
      </c>
      <c r="P22" s="96">
        <v>542.29282190987533</v>
      </c>
      <c r="Q22" s="96">
        <v>541.45423274251891</v>
      </c>
      <c r="R22" s="96">
        <v>544.3665298530351</v>
      </c>
      <c r="S22" s="96">
        <v>521.58667994585755</v>
      </c>
      <c r="T22" s="96">
        <v>506.13843223824477</v>
      </c>
      <c r="U22" s="96">
        <v>482.34328073782154</v>
      </c>
      <c r="V22" s="96">
        <v>399.2917281552991</v>
      </c>
      <c r="W22" s="96">
        <v>446.68973521414694</v>
      </c>
      <c r="X22" s="96">
        <v>478.73145783688125</v>
      </c>
      <c r="Y22" s="96">
        <v>537.50868915184708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2.4906915732837884</v>
      </c>
      <c r="L23" s="96">
        <v>0</v>
      </c>
      <c r="M23" s="96">
        <v>1.2460170484529087</v>
      </c>
      <c r="N23" s="96">
        <v>1.2476842405459316</v>
      </c>
      <c r="O23" s="96">
        <v>1.2476562359114891</v>
      </c>
      <c r="P23" s="96">
        <v>0</v>
      </c>
      <c r="Q23" s="96">
        <v>0</v>
      </c>
      <c r="R23" s="96">
        <v>0</v>
      </c>
      <c r="S23" s="96">
        <v>0.25668450057765269</v>
      </c>
      <c r="T23" s="96">
        <v>0.39272987160524947</v>
      </c>
      <c r="U23" s="96">
        <v>0.93077137572283408</v>
      </c>
      <c r="V23" s="96">
        <v>0.7347290358772165</v>
      </c>
      <c r="W23" s="96">
        <v>0.77768939100405099</v>
      </c>
      <c r="X23" s="96">
        <v>0.16592131894234324</v>
      </c>
      <c r="Y23" s="96">
        <v>0</v>
      </c>
      <c r="DA23" s="171" t="s">
        <v>642</v>
      </c>
    </row>
    <row r="24" spans="1:105" ht="11.45" customHeight="1" x14ac:dyDescent="0.25">
      <c r="A24" s="111" t="s">
        <v>111</v>
      </c>
      <c r="B24" s="96">
        <v>180.41581067758872</v>
      </c>
      <c r="C24" s="96">
        <v>213.77220871388559</v>
      </c>
      <c r="D24" s="96">
        <v>223.33573460312235</v>
      </c>
      <c r="E24" s="96">
        <v>310.38344442627442</v>
      </c>
      <c r="F24" s="96">
        <v>354.94231915256086</v>
      </c>
      <c r="G24" s="96">
        <v>411.39951486942817</v>
      </c>
      <c r="H24" s="96">
        <v>479.03533376952373</v>
      </c>
      <c r="I24" s="96">
        <v>573.45820154284752</v>
      </c>
      <c r="J24" s="96">
        <v>560.10252706606013</v>
      </c>
      <c r="K24" s="96">
        <v>580.44101385695512</v>
      </c>
      <c r="L24" s="96">
        <v>568.99405045603498</v>
      </c>
      <c r="M24" s="96">
        <v>571.20309907881688</v>
      </c>
      <c r="N24" s="96">
        <v>616.79928199748417</v>
      </c>
      <c r="O24" s="96">
        <v>602.35283722298993</v>
      </c>
      <c r="P24" s="96">
        <v>658.11044962600397</v>
      </c>
      <c r="Q24" s="96">
        <v>718.64181664809723</v>
      </c>
      <c r="R24" s="96">
        <v>764.47456710891254</v>
      </c>
      <c r="S24" s="96">
        <v>827.97255858006679</v>
      </c>
      <c r="T24" s="96">
        <v>810.14180210498603</v>
      </c>
      <c r="U24" s="96">
        <v>890.89273780330655</v>
      </c>
      <c r="V24" s="96">
        <v>790.38061728784623</v>
      </c>
      <c r="W24" s="96">
        <v>878.10064751276457</v>
      </c>
      <c r="X24" s="96">
        <v>906.57915690479115</v>
      </c>
      <c r="Y24" s="96">
        <v>1014.7795658614203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1.2882683501516377</v>
      </c>
      <c r="J25" s="96">
        <v>1.6989425564613101</v>
      </c>
      <c r="K25" s="96">
        <v>2.65443947306116</v>
      </c>
      <c r="L25" s="96">
        <v>1.325139114006521</v>
      </c>
      <c r="M25" s="96">
        <v>1.3628013308269655</v>
      </c>
      <c r="N25" s="96">
        <v>19.446816149115335</v>
      </c>
      <c r="O25" s="96">
        <v>16.293930532710029</v>
      </c>
      <c r="P25" s="96">
        <v>16.637905461598788</v>
      </c>
      <c r="Q25" s="96">
        <v>13.701250647336932</v>
      </c>
      <c r="R25" s="96">
        <v>0.49741251480612864</v>
      </c>
      <c r="S25" s="96">
        <v>0.18409920058537393</v>
      </c>
      <c r="T25" s="96">
        <v>14.902623153706887</v>
      </c>
      <c r="U25" s="96">
        <v>35.142160958919099</v>
      </c>
      <c r="V25" s="96">
        <v>36.276761681915104</v>
      </c>
      <c r="W25" s="96">
        <v>52.005890919315959</v>
      </c>
      <c r="X25" s="96">
        <v>11.898296197498194</v>
      </c>
      <c r="Y25" s="96">
        <v>0.15950327783996307</v>
      </c>
      <c r="DA25" s="171" t="s">
        <v>644</v>
      </c>
    </row>
    <row r="26" spans="1:105" ht="11.45" customHeight="1" x14ac:dyDescent="0.25">
      <c r="A26" s="111" t="s">
        <v>112</v>
      </c>
      <c r="B26" s="96">
        <v>11.19948409286328</v>
      </c>
      <c r="C26" s="96">
        <v>13.43938091143594</v>
      </c>
      <c r="D26" s="96">
        <v>14.783319002579541</v>
      </c>
      <c r="E26" s="96">
        <v>14.55932932072227</v>
      </c>
      <c r="F26" s="96">
        <v>18.703181427343079</v>
      </c>
      <c r="G26" s="96">
        <v>24.63886500429923</v>
      </c>
      <c r="H26" s="96">
        <v>41.43809114359415</v>
      </c>
      <c r="I26" s="96">
        <v>56.984361112178895</v>
      </c>
      <c r="J26" s="96">
        <v>76.956815446609056</v>
      </c>
      <c r="K26" s="96">
        <v>78.006945916271576</v>
      </c>
      <c r="L26" s="96">
        <v>65.681878216116829</v>
      </c>
      <c r="M26" s="96">
        <v>62.327708614875029</v>
      </c>
      <c r="N26" s="96">
        <v>61.205772111804322</v>
      </c>
      <c r="O26" s="96">
        <v>62.169487654730617</v>
      </c>
      <c r="P26" s="96">
        <v>67.718169495109379</v>
      </c>
      <c r="Q26" s="96">
        <v>74.391648937501799</v>
      </c>
      <c r="R26" s="96">
        <v>78.841152470542681</v>
      </c>
      <c r="S26" s="96">
        <v>78.430976092318673</v>
      </c>
      <c r="T26" s="96">
        <v>78.026258383290113</v>
      </c>
      <c r="U26" s="96">
        <v>73.083226017010858</v>
      </c>
      <c r="V26" s="96">
        <v>58.307759784409136</v>
      </c>
      <c r="W26" s="96">
        <v>60.996322063438285</v>
      </c>
      <c r="X26" s="96">
        <v>50.947917565044442</v>
      </c>
      <c r="Y26" s="96">
        <v>46.412610852217895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6.9432917523156876E-2</v>
      </c>
      <c r="L27" s="96">
        <v>7.9927121820813338E-2</v>
      </c>
      <c r="M27" s="96">
        <v>7.7954396698579759E-2</v>
      </c>
      <c r="N27" s="96">
        <v>9.3555962398495604E-2</v>
      </c>
      <c r="O27" s="96">
        <v>9.7596593978366231E-2</v>
      </c>
      <c r="P27" s="96">
        <v>0.10826834199229626</v>
      </c>
      <c r="Q27" s="96">
        <v>0.10293571246870557</v>
      </c>
      <c r="R27" s="96">
        <v>0.11277177519277647</v>
      </c>
      <c r="S27" s="96">
        <v>0.14618907172135021</v>
      </c>
      <c r="T27" s="96">
        <v>0.1556430048568927</v>
      </c>
      <c r="U27" s="96">
        <v>0.14609601058834726</v>
      </c>
      <c r="V27" s="96">
        <v>0.11705409957175249</v>
      </c>
      <c r="W27" s="96">
        <v>0.13682472594459677</v>
      </c>
      <c r="X27" s="96">
        <v>0.14311362958786644</v>
      </c>
      <c r="Y27" s="96">
        <v>0.1287685016062029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0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0</v>
      </c>
      <c r="P29" s="96">
        <v>2.2328866227882497E-3</v>
      </c>
      <c r="Q29" s="96">
        <v>2.2628292688724808E-2</v>
      </c>
      <c r="R29" s="96">
        <v>3.5134407792657966E-2</v>
      </c>
      <c r="S29" s="96">
        <v>4.4416652887444591E-2</v>
      </c>
      <c r="T29" s="96">
        <v>4.9550921768733776E-2</v>
      </c>
      <c r="U29" s="96">
        <v>9.527798590901608E-2</v>
      </c>
      <c r="V29" s="96">
        <v>0.21490170273366688</v>
      </c>
      <c r="W29" s="96">
        <v>0.43641218086540512</v>
      </c>
      <c r="X29" s="96">
        <v>0.79754512857002458</v>
      </c>
      <c r="Y29" s="96">
        <v>1.4164990820257177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0</v>
      </c>
      <c r="Q30" s="96">
        <v>0</v>
      </c>
      <c r="R30" s="96">
        <v>0</v>
      </c>
      <c r="S30" s="96">
        <v>1.4068836378500399E-5</v>
      </c>
      <c r="T30" s="96">
        <v>2.4509417673675077E-5</v>
      </c>
      <c r="U30" s="96">
        <v>1.2100259204891021E-4</v>
      </c>
      <c r="V30" s="96">
        <v>2.4017451908559285E-4</v>
      </c>
      <c r="W30" s="96">
        <v>4.2943137649686534E-4</v>
      </c>
      <c r="X30" s="96">
        <v>1.5141864787099164E-4</v>
      </c>
      <c r="Y30" s="96">
        <v>0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0</v>
      </c>
      <c r="P31" s="96">
        <v>7.982010295365735E-4</v>
      </c>
      <c r="Q31" s="96">
        <v>7.9806488807883068E-3</v>
      </c>
      <c r="R31" s="96">
        <v>1.2732692503255434E-2</v>
      </c>
      <c r="S31" s="96">
        <v>1.5828570471679158E-2</v>
      </c>
      <c r="T31" s="96">
        <v>1.7963922323743213E-2</v>
      </c>
      <c r="U31" s="96">
        <v>3.2572160666672678E-2</v>
      </c>
      <c r="V31" s="96">
        <v>8.4377803307184404E-2</v>
      </c>
      <c r="W31" s="96">
        <v>0.18975510918750152</v>
      </c>
      <c r="X31" s="96">
        <v>0.36065811187412478</v>
      </c>
      <c r="Y31" s="96">
        <v>0.62059702511378101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5.2055800954591792E-3</v>
      </c>
      <c r="O32" s="96">
        <v>6.0364642733101992E-3</v>
      </c>
      <c r="P32" s="96">
        <v>1.3830137665812663E-2</v>
      </c>
      <c r="Q32" s="96">
        <v>2.6012084747996083E-2</v>
      </c>
      <c r="R32" s="96">
        <v>3.668722949606585E-2</v>
      </c>
      <c r="S32" s="96">
        <v>4.5159628013755067E-2</v>
      </c>
      <c r="T32" s="96">
        <v>7.9925034055071356E-2</v>
      </c>
      <c r="U32" s="96">
        <v>0.14301619297736368</v>
      </c>
      <c r="V32" s="96">
        <v>0.24032934527567018</v>
      </c>
      <c r="W32" s="96">
        <v>0.61793655559975524</v>
      </c>
      <c r="X32" s="96">
        <v>1.0068008632930669</v>
      </c>
      <c r="Y32" s="96">
        <v>1.490833210202934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176.99182064261993</v>
      </c>
      <c r="C33" s="130">
        <f t="shared" si="22"/>
        <v>170.9465185943746</v>
      </c>
      <c r="D33" s="130">
        <f t="shared" si="22"/>
        <v>169.04798315467602</v>
      </c>
      <c r="E33" s="130">
        <f t="shared" si="22"/>
        <v>169.79860259472196</v>
      </c>
      <c r="F33" s="130">
        <f t="shared" si="22"/>
        <v>165.4657896425866</v>
      </c>
      <c r="G33" s="130">
        <f t="shared" si="22"/>
        <v>163.35881385167016</v>
      </c>
      <c r="H33" s="130">
        <f t="shared" si="22"/>
        <v>162.4067496762741</v>
      </c>
      <c r="I33" s="130">
        <f t="shared" si="22"/>
        <v>167.77507288537791</v>
      </c>
      <c r="J33" s="130">
        <f t="shared" si="22"/>
        <v>166.96798073868692</v>
      </c>
      <c r="K33" s="130">
        <f t="shared" si="22"/>
        <v>171.02062626571009</v>
      </c>
      <c r="L33" s="130">
        <f t="shared" ref="L33" si="23">L34+L36+L38+L39+L41</f>
        <v>170.82966100545315</v>
      </c>
      <c r="M33" s="130">
        <f t="shared" ref="M33:V33" si="24">M34+M36+M38+M39+M41</f>
        <v>163.64963306301013</v>
      </c>
      <c r="N33" s="130">
        <f t="shared" si="24"/>
        <v>160.45997329108695</v>
      </c>
      <c r="O33" s="130">
        <f t="shared" si="24"/>
        <v>161.94099840750906</v>
      </c>
      <c r="P33" s="130">
        <f t="shared" si="24"/>
        <v>164.03312913690846</v>
      </c>
      <c r="Q33" s="130">
        <f t="shared" si="24"/>
        <v>174.43006653723901</v>
      </c>
      <c r="R33" s="130">
        <f t="shared" si="24"/>
        <v>182.39050179132641</v>
      </c>
      <c r="S33" s="130">
        <f t="shared" si="24"/>
        <v>192.39895763888887</v>
      </c>
      <c r="T33" s="130">
        <f t="shared" si="24"/>
        <v>195.39716367720345</v>
      </c>
      <c r="U33" s="130">
        <f t="shared" si="24"/>
        <v>164.6277348052871</v>
      </c>
      <c r="V33" s="130">
        <f t="shared" si="24"/>
        <v>119.28928577262812</v>
      </c>
      <c r="W33" s="130">
        <f t="shared" ref="W33:Y33" si="25">W34+W36+W38+W39+W41</f>
        <v>133.45829351925008</v>
      </c>
      <c r="X33" s="130">
        <f t="shared" si="25"/>
        <v>147.79052449270128</v>
      </c>
      <c r="Y33" s="130">
        <f t="shared" si="25"/>
        <v>164.73624444954953</v>
      </c>
      <c r="DA33" s="176" t="s">
        <v>394</v>
      </c>
    </row>
    <row r="34" spans="1:105" ht="11.45" customHeight="1" x14ac:dyDescent="0.25">
      <c r="A34" s="111" t="s">
        <v>110</v>
      </c>
      <c r="B34" s="97">
        <v>0.18215788854531437</v>
      </c>
      <c r="C34" s="97">
        <v>0.18767641067595422</v>
      </c>
      <c r="D34" s="97">
        <v>0.18580897544418909</v>
      </c>
      <c r="E34" s="97">
        <v>0.1771629007335237</v>
      </c>
      <c r="F34" s="97">
        <v>0.16457297763196735</v>
      </c>
      <c r="G34" s="97">
        <v>0.16387463562523263</v>
      </c>
      <c r="H34" s="97">
        <v>0.16296162314166948</v>
      </c>
      <c r="I34" s="97">
        <v>0.1479607507179525</v>
      </c>
      <c r="J34" s="97">
        <v>0.16218898476563201</v>
      </c>
      <c r="K34" s="97">
        <v>0.14820688085075281</v>
      </c>
      <c r="L34" s="97">
        <v>0.14327680032904641</v>
      </c>
      <c r="M34" s="97">
        <v>0.12896791479296238</v>
      </c>
      <c r="N34" s="97">
        <v>0.12546468262631572</v>
      </c>
      <c r="O34" s="97">
        <v>0.14158567452982848</v>
      </c>
      <c r="P34" s="97">
        <v>0.13195558425220147</v>
      </c>
      <c r="Q34" s="97">
        <v>0.12289273115144468</v>
      </c>
      <c r="R34" s="97">
        <v>0.12619655139098707</v>
      </c>
      <c r="S34" s="97">
        <v>0.12301736836830916</v>
      </c>
      <c r="T34" s="97">
        <v>0.1232351745602521</v>
      </c>
      <c r="U34" s="97">
        <v>8.8964359844230984E-2</v>
      </c>
      <c r="V34" s="97">
        <v>6.2556829570680886E-2</v>
      </c>
      <c r="W34" s="97">
        <v>6.56538217376713E-2</v>
      </c>
      <c r="X34" s="97">
        <v>6.3849953901066514E-2</v>
      </c>
      <c r="Y34" s="97">
        <v>6.2425789803865851E-2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5.2299974221053632E-4</v>
      </c>
      <c r="L35" s="97">
        <v>0</v>
      </c>
      <c r="M35" s="97">
        <v>2.4771756769065214E-4</v>
      </c>
      <c r="N35" s="97">
        <v>2.5929585208056517E-4</v>
      </c>
      <c r="O35" s="97">
        <v>2.9933089414647219E-4</v>
      </c>
      <c r="P35" s="97">
        <v>0</v>
      </c>
      <c r="Q35" s="97">
        <v>0</v>
      </c>
      <c r="R35" s="97">
        <v>0</v>
      </c>
      <c r="S35" s="97">
        <v>6.0539605354328314E-5</v>
      </c>
      <c r="T35" s="97">
        <v>9.5622326224610409E-5</v>
      </c>
      <c r="U35" s="97">
        <v>1.7167333496561171E-4</v>
      </c>
      <c r="V35" s="97">
        <v>1.1510961995217015E-4</v>
      </c>
      <c r="W35" s="97">
        <v>1.1430368020384513E-4</v>
      </c>
      <c r="X35" s="97">
        <v>2.2129459830238483E-5</v>
      </c>
      <c r="Y35" s="97">
        <v>0</v>
      </c>
      <c r="DA35" s="175" t="s">
        <v>653</v>
      </c>
    </row>
    <row r="36" spans="1:105" ht="11.45" customHeight="1" x14ac:dyDescent="0.25">
      <c r="A36" s="111" t="s">
        <v>111</v>
      </c>
      <c r="B36" s="97">
        <v>176.80966275407462</v>
      </c>
      <c r="C36" s="97">
        <v>170.75884218369865</v>
      </c>
      <c r="D36" s="97">
        <v>168.86217417923183</v>
      </c>
      <c r="E36" s="97">
        <v>169.62143969398844</v>
      </c>
      <c r="F36" s="97">
        <v>165.30121666495464</v>
      </c>
      <c r="G36" s="97">
        <v>163.19493921604493</v>
      </c>
      <c r="H36" s="97">
        <v>162.24378805313242</v>
      </c>
      <c r="I36" s="97">
        <v>167.61733719975436</v>
      </c>
      <c r="J36" s="97">
        <v>166.79601919981835</v>
      </c>
      <c r="K36" s="97">
        <v>169.82448994678296</v>
      </c>
      <c r="L36" s="97">
        <v>168.68696372767175</v>
      </c>
      <c r="M36" s="97">
        <v>162.97191732631413</v>
      </c>
      <c r="N36" s="97">
        <v>159.64605665206975</v>
      </c>
      <c r="O36" s="97">
        <v>160.26670331699486</v>
      </c>
      <c r="P36" s="97">
        <v>160.68016210765867</v>
      </c>
      <c r="Q36" s="97">
        <v>170.96305334715564</v>
      </c>
      <c r="R36" s="97">
        <v>178.56050662332572</v>
      </c>
      <c r="S36" s="97">
        <v>188.06402901468942</v>
      </c>
      <c r="T36" s="97">
        <v>191.08036873317491</v>
      </c>
      <c r="U36" s="97">
        <v>160.61359054457932</v>
      </c>
      <c r="V36" s="97">
        <v>116.19433438752428</v>
      </c>
      <c r="W36" s="97">
        <v>129.38580111293362</v>
      </c>
      <c r="X36" s="97">
        <v>144.09932679972607</v>
      </c>
      <c r="Y36" s="97">
        <v>161.72261114535323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0.37655074052507731</v>
      </c>
      <c r="J37" s="97">
        <v>0.50593746961167874</v>
      </c>
      <c r="K37" s="97">
        <v>0.77663159364254009</v>
      </c>
      <c r="L37" s="97">
        <v>0.39285769944234061</v>
      </c>
      <c r="M37" s="97">
        <v>0.388825526643505</v>
      </c>
      <c r="N37" s="97">
        <v>5.0334162234915114</v>
      </c>
      <c r="O37" s="97">
        <v>4.3352904961695016</v>
      </c>
      <c r="P37" s="97">
        <v>4.0622077163808044</v>
      </c>
      <c r="Q37" s="97">
        <v>3.259492547022822</v>
      </c>
      <c r="R37" s="97">
        <v>0.11618206081133266</v>
      </c>
      <c r="S37" s="97">
        <v>4.1815923778735747E-2</v>
      </c>
      <c r="T37" s="97">
        <v>3.5149386439546308</v>
      </c>
      <c r="U37" s="97">
        <v>6.335564778566753</v>
      </c>
      <c r="V37" s="97">
        <v>5.3330687584787633</v>
      </c>
      <c r="W37" s="97">
        <v>7.6629300732746826</v>
      </c>
      <c r="X37" s="97">
        <v>1.8912154102206999</v>
      </c>
      <c r="Y37" s="97">
        <v>2.5419595985483448E-2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9.7749349055973201E-3</v>
      </c>
      <c r="J38" s="97">
        <v>9.7725541029498389E-3</v>
      </c>
      <c r="K38" s="97">
        <v>9.8069066970246695E-3</v>
      </c>
      <c r="L38" s="97">
        <v>1.020997541120636E-2</v>
      </c>
      <c r="M38" s="97">
        <v>2.0815233280130706E-2</v>
      </c>
      <c r="N38" s="97">
        <v>2.0781924739745015E-2</v>
      </c>
      <c r="O38" s="97">
        <v>0.13945146776512016</v>
      </c>
      <c r="P38" s="97">
        <v>0.16163673657386265</v>
      </c>
      <c r="Q38" s="97">
        <v>0.16702837098749243</v>
      </c>
      <c r="R38" s="97">
        <v>0.17279522274598175</v>
      </c>
      <c r="S38" s="97">
        <v>0.15896021999665252</v>
      </c>
      <c r="T38" s="97">
        <v>0.16066048551122283</v>
      </c>
      <c r="U38" s="97">
        <v>0.12882973498320152</v>
      </c>
      <c r="V38" s="97">
        <v>0.10241530856433742</v>
      </c>
      <c r="W38" s="97">
        <v>0.11265383436325122</v>
      </c>
      <c r="X38" s="97">
        <v>0.11258371114366711</v>
      </c>
      <c r="Y38" s="97">
        <v>0.11690257814607234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1.0381225313793299</v>
      </c>
      <c r="L39" s="97">
        <v>1.9892105020411324</v>
      </c>
      <c r="M39" s="97">
        <v>0.52793258862291281</v>
      </c>
      <c r="N39" s="97">
        <v>0.66767003165115435</v>
      </c>
      <c r="O39" s="97">
        <v>1.3932579482192353</v>
      </c>
      <c r="P39" s="97">
        <v>3.0593747084237268</v>
      </c>
      <c r="Q39" s="97">
        <v>3.1472498633372572</v>
      </c>
      <c r="R39" s="97">
        <v>3.4859255648252074</v>
      </c>
      <c r="S39" s="97">
        <v>4.0078732067959475</v>
      </c>
      <c r="T39" s="97">
        <v>3.9878214549185684</v>
      </c>
      <c r="U39" s="97">
        <v>3.7512723368418128</v>
      </c>
      <c r="V39" s="97">
        <v>2.8849014179303101</v>
      </c>
      <c r="W39" s="97">
        <v>3.8038256805003998</v>
      </c>
      <c r="X39" s="97">
        <v>3.4108190501451632</v>
      </c>
      <c r="Y39" s="97">
        <v>2.7156174252958047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X40" s="97">
        <v>0</v>
      </c>
      <c r="Y40" s="97">
        <v>0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0</v>
      </c>
      <c r="Q41" s="97">
        <v>2.9842224607199229E-2</v>
      </c>
      <c r="R41" s="97">
        <v>4.5077829038516849E-2</v>
      </c>
      <c r="S41" s="97">
        <v>4.5077829038516849E-2</v>
      </c>
      <c r="T41" s="97">
        <v>4.5077829038516849E-2</v>
      </c>
      <c r="U41" s="97">
        <v>4.5077829038516849E-2</v>
      </c>
      <c r="V41" s="97">
        <v>4.5077829038516849E-2</v>
      </c>
      <c r="W41" s="97">
        <v>9.0359069715137769E-2</v>
      </c>
      <c r="X41" s="97">
        <v>0.10394497778531039</v>
      </c>
      <c r="Y41" s="97">
        <v>0.11868751095055266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222.91628123462982</v>
      </c>
      <c r="C42" s="32">
        <f t="shared" si="26"/>
        <v>241.79763534654791</v>
      </c>
      <c r="D42" s="32">
        <f t="shared" si="26"/>
        <v>317.19520897351106</v>
      </c>
      <c r="E42" s="32">
        <f t="shared" si="26"/>
        <v>358.87757915356212</v>
      </c>
      <c r="F42" s="32">
        <f t="shared" si="26"/>
        <v>396.03655343537258</v>
      </c>
      <c r="G42" s="32">
        <f t="shared" si="26"/>
        <v>409.02618306117449</v>
      </c>
      <c r="H42" s="32">
        <f t="shared" si="26"/>
        <v>437.69534578190553</v>
      </c>
      <c r="I42" s="32">
        <f t="shared" si="26"/>
        <v>448.72154441115572</v>
      </c>
      <c r="J42" s="32">
        <f t="shared" si="26"/>
        <v>447.97821853398102</v>
      </c>
      <c r="K42" s="32">
        <f t="shared" si="26"/>
        <v>414.41196067206886</v>
      </c>
      <c r="L42" s="32">
        <f t="shared" ref="L42" si="27">L43+L52</f>
        <v>404.82889362356912</v>
      </c>
      <c r="M42" s="32">
        <f t="shared" ref="M42:V42" si="28">M43+M52</f>
        <v>389.82769831919006</v>
      </c>
      <c r="N42" s="32">
        <f t="shared" si="28"/>
        <v>359.75321741609031</v>
      </c>
      <c r="O42" s="32">
        <f t="shared" si="28"/>
        <v>405.21991830920473</v>
      </c>
      <c r="P42" s="32">
        <f t="shared" si="28"/>
        <v>365.61455551569424</v>
      </c>
      <c r="Q42" s="32">
        <f t="shared" si="28"/>
        <v>388.74221245384638</v>
      </c>
      <c r="R42" s="32">
        <f t="shared" si="28"/>
        <v>372.95523815055981</v>
      </c>
      <c r="S42" s="32">
        <f t="shared" si="28"/>
        <v>470.92017975076681</v>
      </c>
      <c r="T42" s="32">
        <f t="shared" si="28"/>
        <v>450.33626710840224</v>
      </c>
      <c r="U42" s="32">
        <f t="shared" si="28"/>
        <v>516.34952391741547</v>
      </c>
      <c r="V42" s="32">
        <f t="shared" si="28"/>
        <v>510.72054698856397</v>
      </c>
      <c r="W42" s="32">
        <f t="shared" ref="W42:Y42" si="29">W43+W52</f>
        <v>524.5387162278098</v>
      </c>
      <c r="X42" s="32">
        <f t="shared" si="29"/>
        <v>542.50131698750511</v>
      </c>
      <c r="Y42" s="32">
        <f t="shared" si="29"/>
        <v>618.32525262231877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79.509587751664682</v>
      </c>
      <c r="C43" s="141">
        <f t="shared" si="30"/>
        <v>89.730472482247578</v>
      </c>
      <c r="D43" s="141">
        <f t="shared" si="30"/>
        <v>101.03308896445098</v>
      </c>
      <c r="E43" s="141">
        <f t="shared" si="30"/>
        <v>110.82498595186597</v>
      </c>
      <c r="F43" s="141">
        <f t="shared" si="30"/>
        <v>119.04424061382225</v>
      </c>
      <c r="G43" s="141">
        <f t="shared" si="30"/>
        <v>129.96454794130076</v>
      </c>
      <c r="H43" s="141">
        <f t="shared" si="30"/>
        <v>135.79369445479941</v>
      </c>
      <c r="I43" s="141">
        <f t="shared" si="30"/>
        <v>132.87165902634112</v>
      </c>
      <c r="J43" s="141">
        <f t="shared" si="30"/>
        <v>137.71295979682486</v>
      </c>
      <c r="K43" s="141">
        <f t="shared" si="30"/>
        <v>133.27192619511223</v>
      </c>
      <c r="L43" s="141">
        <f t="shared" ref="L43" si="31">L44+L46+L48+L49+L51</f>
        <v>123.63343508558616</v>
      </c>
      <c r="M43" s="141">
        <f t="shared" ref="M43:V43" si="32">M44+M46+M48+M49+M51</f>
        <v>121.92599854273615</v>
      </c>
      <c r="N43" s="141">
        <f t="shared" si="32"/>
        <v>115.04909118202404</v>
      </c>
      <c r="O43" s="141">
        <f t="shared" si="32"/>
        <v>113.08846026305913</v>
      </c>
      <c r="P43" s="141">
        <f t="shared" si="32"/>
        <v>108.61144507408051</v>
      </c>
      <c r="Q43" s="141">
        <f t="shared" si="32"/>
        <v>122.58486702956573</v>
      </c>
      <c r="R43" s="141">
        <f t="shared" si="32"/>
        <v>126.71617375040591</v>
      </c>
      <c r="S43" s="141">
        <f t="shared" si="32"/>
        <v>145.52336046335677</v>
      </c>
      <c r="T43" s="141">
        <f t="shared" si="32"/>
        <v>158.19799165047633</v>
      </c>
      <c r="U43" s="141">
        <f t="shared" si="32"/>
        <v>171.43769354310325</v>
      </c>
      <c r="V43" s="141">
        <f t="shared" si="32"/>
        <v>176.1385570698439</v>
      </c>
      <c r="W43" s="141">
        <f t="shared" ref="W43:Y43" si="33">W44+W46+W48+W49+W51</f>
        <v>193.58090062038386</v>
      </c>
      <c r="X43" s="141">
        <f t="shared" si="33"/>
        <v>207.219775697655</v>
      </c>
      <c r="Y43" s="141">
        <f t="shared" si="33"/>
        <v>229.80941391440481</v>
      </c>
      <c r="DA43" s="174" t="s">
        <v>400</v>
      </c>
    </row>
    <row r="44" spans="1:105" ht="11.45" customHeight="1" x14ac:dyDescent="0.25">
      <c r="A44" s="111" t="s">
        <v>110</v>
      </c>
      <c r="B44" s="96">
        <v>12.791797658554628</v>
      </c>
      <c r="C44" s="96">
        <v>15.254739554536329</v>
      </c>
      <c r="D44" s="96">
        <v>14.915989638926289</v>
      </c>
      <c r="E44" s="96">
        <v>14.271423984034733</v>
      </c>
      <c r="F44" s="96">
        <v>13.346951501748896</v>
      </c>
      <c r="G44" s="96">
        <v>12.566427846606844</v>
      </c>
      <c r="H44" s="96">
        <v>12.326620516900912</v>
      </c>
      <c r="I44" s="96">
        <v>9.5388146240195155</v>
      </c>
      <c r="J44" s="96">
        <v>9.1870694176322871</v>
      </c>
      <c r="K44" s="96">
        <v>7.9380021247310992</v>
      </c>
      <c r="L44" s="96">
        <v>6.7838020320554513</v>
      </c>
      <c r="M44" s="96">
        <v>6.3709276593995412</v>
      </c>
      <c r="N44" s="96">
        <v>4.5511069044607764</v>
      </c>
      <c r="O44" s="96">
        <v>4.3424582928017976</v>
      </c>
      <c r="P44" s="96">
        <v>4.1811675630098541</v>
      </c>
      <c r="Q44" s="96">
        <v>3.9820406321646957</v>
      </c>
      <c r="R44" s="96">
        <v>3.965103620321194</v>
      </c>
      <c r="S44" s="96">
        <v>4.4118776767213532</v>
      </c>
      <c r="T44" s="96">
        <v>4.7260661233430517</v>
      </c>
      <c r="U44" s="96">
        <v>4.8089610897146731</v>
      </c>
      <c r="V44" s="96">
        <v>4.7156318541883806</v>
      </c>
      <c r="W44" s="96">
        <v>4.8794802442223109</v>
      </c>
      <c r="X44" s="96">
        <v>5.057574503626947</v>
      </c>
      <c r="Y44" s="96">
        <v>5.3821424863962584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2.8012012944809012E-2</v>
      </c>
      <c r="L45" s="96">
        <v>0</v>
      </c>
      <c r="M45" s="96">
        <v>1.2237080100528026E-2</v>
      </c>
      <c r="N45" s="96">
        <v>9.4056998192603922E-3</v>
      </c>
      <c r="O45" s="96">
        <v>9.1805327614855829E-3</v>
      </c>
      <c r="P45" s="96">
        <v>0</v>
      </c>
      <c r="Q45" s="96">
        <v>0</v>
      </c>
      <c r="R45" s="96">
        <v>0</v>
      </c>
      <c r="S45" s="96">
        <v>2.1711839308788876E-3</v>
      </c>
      <c r="T45" s="96">
        <v>3.6671140217717454E-3</v>
      </c>
      <c r="U45" s="96">
        <v>9.2797878772654992E-3</v>
      </c>
      <c r="V45" s="96">
        <v>8.6771435556315044E-3</v>
      </c>
      <c r="W45" s="96">
        <v>8.4952030915291226E-3</v>
      </c>
      <c r="X45" s="96">
        <v>1.7528813253314094E-3</v>
      </c>
      <c r="Y45" s="96">
        <v>0</v>
      </c>
      <c r="DA45" s="171" t="s">
        <v>661</v>
      </c>
    </row>
    <row r="46" spans="1:105" ht="11.45" customHeight="1" x14ac:dyDescent="0.25">
      <c r="A46" s="111" t="s">
        <v>111</v>
      </c>
      <c r="B46" s="96">
        <v>66.717790093110054</v>
      </c>
      <c r="C46" s="96">
        <v>74.475732927711249</v>
      </c>
      <c r="D46" s="96">
        <v>86.117099325524691</v>
      </c>
      <c r="E46" s="96">
        <v>96.553184758866323</v>
      </c>
      <c r="F46" s="96">
        <v>105.69691146411556</v>
      </c>
      <c r="G46" s="96">
        <v>117.39756513687142</v>
      </c>
      <c r="H46" s="96">
        <v>123.46651833776959</v>
      </c>
      <c r="I46" s="96">
        <v>123.20905566622018</v>
      </c>
      <c r="J46" s="96">
        <v>128.21512878888268</v>
      </c>
      <c r="K46" s="96">
        <v>124.9214608594602</v>
      </c>
      <c r="L46" s="96">
        <v>116.42619279851678</v>
      </c>
      <c r="M46" s="96">
        <v>115.14658562408987</v>
      </c>
      <c r="N46" s="96">
        <v>110.07048352566582</v>
      </c>
      <c r="O46" s="96">
        <v>108.27969788850407</v>
      </c>
      <c r="P46" s="96">
        <v>103.9349966553339</v>
      </c>
      <c r="Q46" s="96">
        <v>118.05756102070721</v>
      </c>
      <c r="R46" s="96">
        <v>122.1808059776681</v>
      </c>
      <c r="S46" s="96">
        <v>140.43563868963116</v>
      </c>
      <c r="T46" s="96">
        <v>152.72046513985433</v>
      </c>
      <c r="U46" s="96">
        <v>165.8248335391946</v>
      </c>
      <c r="V46" s="96">
        <v>170.59370328983073</v>
      </c>
      <c r="W46" s="96">
        <v>187.75135055621374</v>
      </c>
      <c r="X46" s="96">
        <v>201.10334559892542</v>
      </c>
      <c r="Y46" s="96">
        <v>223.26934456046311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0.27678796194704541</v>
      </c>
      <c r="J47" s="96">
        <v>0.38891118706898636</v>
      </c>
      <c r="K47" s="96">
        <v>0.57128364264682219</v>
      </c>
      <c r="L47" s="96">
        <v>0.27114677534593984</v>
      </c>
      <c r="M47" s="96">
        <v>0.2747217590061396</v>
      </c>
      <c r="N47" s="96">
        <v>3.4703679447159002</v>
      </c>
      <c r="O47" s="96">
        <v>2.9290172909818519</v>
      </c>
      <c r="P47" s="96">
        <v>2.6276146344215463</v>
      </c>
      <c r="Q47" s="96">
        <v>2.2508239805784291</v>
      </c>
      <c r="R47" s="96">
        <v>7.9498082182416469E-2</v>
      </c>
      <c r="S47" s="96">
        <v>3.1225779826321826E-2</v>
      </c>
      <c r="T47" s="96">
        <v>2.8093051536465961</v>
      </c>
      <c r="U47" s="96">
        <v>6.5411275049667559</v>
      </c>
      <c r="V47" s="96">
        <v>7.8298821900723867</v>
      </c>
      <c r="W47" s="96">
        <v>11.11965500155125</v>
      </c>
      <c r="X47" s="96">
        <v>2.6393582446934083</v>
      </c>
      <c r="Y47" s="96">
        <v>3.509352523111136E-2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0.12323282651824816</v>
      </c>
      <c r="J48" s="96">
        <v>0.30985224004464523</v>
      </c>
      <c r="K48" s="96">
        <v>0.37963582707440002</v>
      </c>
      <c r="L48" s="96">
        <v>0.38486795636535848</v>
      </c>
      <c r="M48" s="96">
        <v>0.36858707187923584</v>
      </c>
      <c r="N48" s="96">
        <v>0.37060847420399534</v>
      </c>
      <c r="O48" s="96">
        <v>0.40817179753865729</v>
      </c>
      <c r="P48" s="96">
        <v>0.43704673478278572</v>
      </c>
      <c r="Q48" s="96">
        <v>0.47786611369470117</v>
      </c>
      <c r="R48" s="96">
        <v>0.50238936604065509</v>
      </c>
      <c r="S48" s="96">
        <v>0.59045921648947319</v>
      </c>
      <c r="T48" s="96">
        <v>0.65744914495617413</v>
      </c>
      <c r="U48" s="96">
        <v>0.70453926090361774</v>
      </c>
      <c r="V48" s="96">
        <v>0.72310091734466841</v>
      </c>
      <c r="W48" s="96">
        <v>0.82421412799380978</v>
      </c>
      <c r="X48" s="96">
        <v>0.90510491469753196</v>
      </c>
      <c r="Y48" s="96">
        <v>0.95629912337634559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3.1739478010669266E-2</v>
      </c>
      <c r="L49" s="96">
        <v>3.7483184392568189E-2</v>
      </c>
      <c r="M49" s="96">
        <v>3.8996935572746368E-2</v>
      </c>
      <c r="N49" s="96">
        <v>5.5626972416386186E-2</v>
      </c>
      <c r="O49" s="96">
        <v>5.6866867948572423E-2</v>
      </c>
      <c r="P49" s="96">
        <v>5.6776554055172089E-2</v>
      </c>
      <c r="Q49" s="96">
        <v>6.0218551451130323E-2</v>
      </c>
      <c r="R49" s="96">
        <v>5.719259979285022E-2</v>
      </c>
      <c r="S49" s="96">
        <v>7.2764892591901983E-2</v>
      </c>
      <c r="T49" s="96">
        <v>7.6054026896938284E-2</v>
      </c>
      <c r="U49" s="96">
        <v>7.3998806482134666E-2</v>
      </c>
      <c r="V49" s="96">
        <v>7.0787388774807308E-2</v>
      </c>
      <c r="W49" s="96">
        <v>7.1989318404530586E-2</v>
      </c>
      <c r="X49" s="96">
        <v>7.1518739011596499E-2</v>
      </c>
      <c r="Y49" s="96">
        <v>7.1951132427313408E-2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X50" s="96">
        <v>0</v>
      </c>
      <c r="Y50" s="96">
        <v>0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3.7720896491212175E-4</v>
      </c>
      <c r="F51" s="96">
        <v>3.7764795779888095E-4</v>
      </c>
      <c r="G51" s="96">
        <v>5.5495782248175438E-4</v>
      </c>
      <c r="H51" s="96">
        <v>5.5560012891624948E-4</v>
      </c>
      <c r="I51" s="96">
        <v>5.5590958317147557E-4</v>
      </c>
      <c r="J51" s="96">
        <v>9.0935026524041141E-4</v>
      </c>
      <c r="K51" s="96">
        <v>1.0879058358767273E-3</v>
      </c>
      <c r="L51" s="96">
        <v>1.0891142559977126E-3</v>
      </c>
      <c r="M51" s="96">
        <v>9.0125179477038562E-4</v>
      </c>
      <c r="N51" s="96">
        <v>1.2653052770555248E-3</v>
      </c>
      <c r="O51" s="96">
        <v>1.2654162660411729E-3</v>
      </c>
      <c r="P51" s="96">
        <v>1.4575668987871187E-3</v>
      </c>
      <c r="Q51" s="96">
        <v>7.1807115479880371E-3</v>
      </c>
      <c r="R51" s="96">
        <v>1.0682186583113812E-2</v>
      </c>
      <c r="S51" s="96">
        <v>1.2619987922883436E-2</v>
      </c>
      <c r="T51" s="96">
        <v>1.7957215425834207E-2</v>
      </c>
      <c r="U51" s="96">
        <v>2.5360846808202088E-2</v>
      </c>
      <c r="V51" s="96">
        <v>3.5333619705272497E-2</v>
      </c>
      <c r="W51" s="96">
        <v>5.3866373549473157E-2</v>
      </c>
      <c r="X51" s="96">
        <v>8.2231941393493685E-2</v>
      </c>
      <c r="Y51" s="96">
        <v>0.12967661174180553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143.40669348296515</v>
      </c>
      <c r="C52" s="130">
        <f t="shared" si="34"/>
        <v>152.06716286430034</v>
      </c>
      <c r="D52" s="130">
        <f t="shared" si="34"/>
        <v>216.16212000906009</v>
      </c>
      <c r="E52" s="130">
        <f t="shared" si="34"/>
        <v>248.05259320169614</v>
      </c>
      <c r="F52" s="130">
        <f t="shared" si="34"/>
        <v>276.99231282155034</v>
      </c>
      <c r="G52" s="130">
        <f t="shared" si="34"/>
        <v>279.06163511987376</v>
      </c>
      <c r="H52" s="130">
        <f t="shared" si="34"/>
        <v>301.90165132710615</v>
      </c>
      <c r="I52" s="130">
        <f t="shared" si="34"/>
        <v>315.84988538481463</v>
      </c>
      <c r="J52" s="130">
        <f t="shared" si="34"/>
        <v>310.26525873715616</v>
      </c>
      <c r="K52" s="130">
        <f t="shared" si="34"/>
        <v>281.1400344769566</v>
      </c>
      <c r="L52" s="130">
        <f t="shared" ref="L52" si="35">L53+L55</f>
        <v>281.19545853798297</v>
      </c>
      <c r="M52" s="130">
        <f t="shared" ref="M52:V52" si="36">M53+M55</f>
        <v>267.90169977645394</v>
      </c>
      <c r="N52" s="130">
        <f t="shared" si="36"/>
        <v>244.70412623406628</v>
      </c>
      <c r="O52" s="130">
        <f t="shared" si="36"/>
        <v>292.13145804614561</v>
      </c>
      <c r="P52" s="130">
        <f t="shared" si="36"/>
        <v>257.00311044161373</v>
      </c>
      <c r="Q52" s="130">
        <f t="shared" si="36"/>
        <v>266.15734542428066</v>
      </c>
      <c r="R52" s="130">
        <f t="shared" si="36"/>
        <v>246.23906440015389</v>
      </c>
      <c r="S52" s="130">
        <f t="shared" si="36"/>
        <v>325.39681928741004</v>
      </c>
      <c r="T52" s="130">
        <f t="shared" si="36"/>
        <v>292.13827545792594</v>
      </c>
      <c r="U52" s="130">
        <f t="shared" si="36"/>
        <v>344.91183037431222</v>
      </c>
      <c r="V52" s="130">
        <f t="shared" si="36"/>
        <v>334.58198991872007</v>
      </c>
      <c r="W52" s="130">
        <f t="shared" ref="W52:Y52" si="37">W53+W55</f>
        <v>330.95781560742591</v>
      </c>
      <c r="X52" s="130">
        <f t="shared" si="37"/>
        <v>335.28154128985017</v>
      </c>
      <c r="Y52" s="130">
        <f t="shared" si="37"/>
        <v>388.51583870791399</v>
      </c>
      <c r="DA52" s="176" t="s">
        <v>401</v>
      </c>
    </row>
    <row r="53" spans="1:105" ht="11.45" customHeight="1" x14ac:dyDescent="0.25">
      <c r="A53" s="128" t="s">
        <v>27</v>
      </c>
      <c r="B53" s="97">
        <v>61.158234495359451</v>
      </c>
      <c r="C53" s="97">
        <v>96.726760180559609</v>
      </c>
      <c r="D53" s="97">
        <v>133.81215138970524</v>
      </c>
      <c r="E53" s="97">
        <v>158.95111626872756</v>
      </c>
      <c r="F53" s="97">
        <v>168.50172604545787</v>
      </c>
      <c r="G53" s="97">
        <v>168.39410754770205</v>
      </c>
      <c r="H53" s="97">
        <v>203.05652896587821</v>
      </c>
      <c r="I53" s="97">
        <v>198.57559554748536</v>
      </c>
      <c r="J53" s="97">
        <v>229.87140909950415</v>
      </c>
      <c r="K53" s="97">
        <v>196.72653430256267</v>
      </c>
      <c r="L53" s="97">
        <v>188.61431656433535</v>
      </c>
      <c r="M53" s="97">
        <v>184.50795901915569</v>
      </c>
      <c r="N53" s="97">
        <v>169.99053348065215</v>
      </c>
      <c r="O53" s="97">
        <v>179.6187599856525</v>
      </c>
      <c r="P53" s="97">
        <v>161.36820963389493</v>
      </c>
      <c r="Q53" s="97">
        <v>160.93301967848288</v>
      </c>
      <c r="R53" s="97">
        <v>158.17232798773259</v>
      </c>
      <c r="S53" s="97">
        <v>173.20817163571232</v>
      </c>
      <c r="T53" s="97">
        <v>164.76862736090314</v>
      </c>
      <c r="U53" s="97">
        <v>177.18435289413637</v>
      </c>
      <c r="V53" s="97">
        <v>176.17755607788052</v>
      </c>
      <c r="W53" s="97">
        <v>188.51929796630733</v>
      </c>
      <c r="X53" s="97">
        <v>187.56197656046055</v>
      </c>
      <c r="Y53" s="97">
        <v>199.83185172616109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0.44609817100544813</v>
      </c>
      <c r="J54" s="97">
        <v>0.69726219854532823</v>
      </c>
      <c r="K54" s="97">
        <v>0.89965847620122497</v>
      </c>
      <c r="L54" s="97">
        <v>0.4392668221059387</v>
      </c>
      <c r="M54" s="97">
        <v>0.44020715662254634</v>
      </c>
      <c r="N54" s="97">
        <v>5.359563067230944</v>
      </c>
      <c r="O54" s="97">
        <v>4.8587728266884227</v>
      </c>
      <c r="P54" s="97">
        <v>4.0796024708648151</v>
      </c>
      <c r="Q54" s="97">
        <v>3.0682651481822014</v>
      </c>
      <c r="R54" s="97">
        <v>0.10291630202252233</v>
      </c>
      <c r="S54" s="97">
        <v>3.851273282253994E-2</v>
      </c>
      <c r="T54" s="97">
        <v>3.0309320599591647</v>
      </c>
      <c r="U54" s="97">
        <v>6.9892151822461068</v>
      </c>
      <c r="V54" s="97">
        <v>8.0861689618230166</v>
      </c>
      <c r="W54" s="97">
        <v>11.165137019306524</v>
      </c>
      <c r="X54" s="97">
        <v>2.4616360695119583</v>
      </c>
      <c r="Y54" s="97">
        <v>3.1409614895127794E-2</v>
      </c>
      <c r="DA54" s="175" t="s">
        <v>669</v>
      </c>
    </row>
    <row r="55" spans="1:105" ht="11.45" customHeight="1" x14ac:dyDescent="0.25">
      <c r="A55" s="128" t="s">
        <v>116</v>
      </c>
      <c r="B55" s="97">
        <v>82.248458987605702</v>
      </c>
      <c r="C55" s="97">
        <v>55.340402683740741</v>
      </c>
      <c r="D55" s="97">
        <v>82.349968619354854</v>
      </c>
      <c r="E55" s="97">
        <v>89.101476932968595</v>
      </c>
      <c r="F55" s="97">
        <v>108.49058677609247</v>
      </c>
      <c r="G55" s="97">
        <v>110.66752757217171</v>
      </c>
      <c r="H55" s="97">
        <v>98.845122361227936</v>
      </c>
      <c r="I55" s="97">
        <v>117.27428983732926</v>
      </c>
      <c r="J55" s="97">
        <v>80.393849637651982</v>
      </c>
      <c r="K55" s="97">
        <v>84.413500174393945</v>
      </c>
      <c r="L55" s="97">
        <v>92.581141973647647</v>
      </c>
      <c r="M55" s="97">
        <v>83.393740757298232</v>
      </c>
      <c r="N55" s="97">
        <v>74.713592753414133</v>
      </c>
      <c r="O55" s="97">
        <v>112.51269806049309</v>
      </c>
      <c r="P55" s="97">
        <v>95.634900807718807</v>
      </c>
      <c r="Q55" s="97">
        <v>105.22432574579778</v>
      </c>
      <c r="R55" s="97">
        <v>88.066736412421321</v>
      </c>
      <c r="S55" s="97">
        <v>152.18864765169769</v>
      </c>
      <c r="T55" s="97">
        <v>127.3696480970228</v>
      </c>
      <c r="U55" s="97">
        <v>167.72747748017582</v>
      </c>
      <c r="V55" s="97">
        <v>158.40443384083952</v>
      </c>
      <c r="W55" s="97">
        <v>142.43851764111855</v>
      </c>
      <c r="X55" s="97">
        <v>147.71956472938962</v>
      </c>
      <c r="Y55" s="97">
        <v>188.68398698175287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0.26345556742840093</v>
      </c>
      <c r="J56" s="98">
        <v>0.24385630456377053</v>
      </c>
      <c r="K56" s="98">
        <v>0.38603496578101321</v>
      </c>
      <c r="L56" s="98">
        <v>0.21561366476564006</v>
      </c>
      <c r="M56" s="98">
        <v>0.19896443326369856</v>
      </c>
      <c r="N56" s="98">
        <v>2.3556147753775218</v>
      </c>
      <c r="O56" s="98">
        <v>3.0435219574914676</v>
      </c>
      <c r="P56" s="98">
        <v>2.4177771973875237</v>
      </c>
      <c r="Q56" s="98">
        <v>2.0061521996655176</v>
      </c>
      <c r="R56" s="98">
        <v>5.730144430485689E-2</v>
      </c>
      <c r="S56" s="98">
        <v>3.3839054302591688E-2</v>
      </c>
      <c r="T56" s="98">
        <v>2.3429748494377893</v>
      </c>
      <c r="U56" s="98">
        <v>6.6161792107269042</v>
      </c>
      <c r="V56" s="98">
        <v>7.2704210732309242</v>
      </c>
      <c r="W56" s="98">
        <v>8.4359828592944872</v>
      </c>
      <c r="X56" s="98">
        <v>1.9387288158229403</v>
      </c>
      <c r="Y56" s="98">
        <v>2.9657391035416661E-2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8.9075941771331077</v>
      </c>
      <c r="C60" s="79">
        <f>IF(C17=0,0,C17/TrRoad_act!C30*100)</f>
        <v>8.2847141846380303</v>
      </c>
      <c r="D60" s="79">
        <f>IF(D17=0,0,D17/TrRoad_act!D30*100)</f>
        <v>8.3137768328872443</v>
      </c>
      <c r="E60" s="79">
        <f>IF(E17=0,0,E17/TrRoad_act!E30*100)</f>
        <v>8.6824437227779274</v>
      </c>
      <c r="F60" s="79">
        <f>IF(F17=0,0,F17/TrRoad_act!F30*100)</f>
        <v>8.4635188685026321</v>
      </c>
      <c r="G60" s="79">
        <f>IF(G17=0,0,G17/TrRoad_act!G30*100)</f>
        <v>8.5096522385066464</v>
      </c>
      <c r="H60" s="79">
        <f>IF(H17=0,0,H17/TrRoad_act!H30*100)</f>
        <v>8.7484179667117719</v>
      </c>
      <c r="I60" s="79">
        <f>IF(I17=0,0,I17/TrRoad_act!I30*100)</f>
        <v>9.0287948933117654</v>
      </c>
      <c r="J60" s="79">
        <f>IF(J17=0,0,J17/TrRoad_act!J30*100)</f>
        <v>8.1824905154847301</v>
      </c>
      <c r="K60" s="79">
        <f>IF(K17=0,0,K17/TrRoad_act!K30*100)</f>
        <v>8.3980418741403184</v>
      </c>
      <c r="L60" s="79">
        <f>IF(L17=0,0,L17/TrRoad_act!L30*100)</f>
        <v>8.1461879596267899</v>
      </c>
      <c r="M60" s="79">
        <f>IF(M17=0,0,M17/TrRoad_act!M30*100)</f>
        <v>8.1069982067605046</v>
      </c>
      <c r="N60" s="79">
        <f>IF(N17=0,0,N17/TrRoad_act!N30*100)</f>
        <v>8.2059440671850705</v>
      </c>
      <c r="O60" s="79">
        <f>IF(O17=0,0,O17/TrRoad_act!O30*100)</f>
        <v>8.2875328772807784</v>
      </c>
      <c r="P60" s="79">
        <f>IF(P17=0,0,P17/TrRoad_act!P30*100)</f>
        <v>8.0772977719063768</v>
      </c>
      <c r="Q60" s="79">
        <f>IF(Q17=0,0,Q17/TrRoad_act!Q30*100)</f>
        <v>8.2217764466092405</v>
      </c>
      <c r="R60" s="79">
        <f>IF(R17=0,0,R17/TrRoad_act!R30*100)</f>
        <v>7.7178946858127819</v>
      </c>
      <c r="S60" s="79">
        <f>IF(S17=0,0,S17/TrRoad_act!S30*100)</f>
        <v>8.0035694591030424</v>
      </c>
      <c r="T60" s="79">
        <f>IF(T17=0,0,T17/TrRoad_act!T30*100)</f>
        <v>7.5025725886692722</v>
      </c>
      <c r="U60" s="79">
        <f>IF(U17=0,0,U17/TrRoad_act!U30*100)</f>
        <v>8.0631941973912689</v>
      </c>
      <c r="V60" s="79">
        <f>IF(V17=0,0,V17/TrRoad_act!V30*100)</f>
        <v>8.4486545122487495</v>
      </c>
      <c r="W60" s="79">
        <f>IF(W17=0,0,W17/TrRoad_act!W30*100)</f>
        <v>8.1594777746512186</v>
      </c>
      <c r="X60" s="79">
        <f>IF(X17=0,0,X17/TrRoad_act!X30*100)</f>
        <v>8.3708133998945851</v>
      </c>
      <c r="Y60" s="79">
        <f>IF(Y17=0,0,Y17/TrRoad_act!Y30*100)</f>
        <v>9.1415329289936818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8.14194208588858</v>
      </c>
      <c r="C61" s="32">
        <f>IF(C18=0,0,C18/TrRoad_act!C31*100)</f>
        <v>7.5816179118509766</v>
      </c>
      <c r="D61" s="32">
        <f>IF(D18=0,0,D18/TrRoad_act!D31*100)</f>
        <v>7.2980686249998286</v>
      </c>
      <c r="E61" s="32">
        <f>IF(E18=0,0,E18/TrRoad_act!E31*100)</f>
        <v>7.5905762624792859</v>
      </c>
      <c r="F61" s="32">
        <f>IF(F18=0,0,F18/TrRoad_act!F31*100)</f>
        <v>7.2823979098802223</v>
      </c>
      <c r="G61" s="32">
        <f>IF(G18=0,0,G18/TrRoad_act!G31*100)</f>
        <v>7.3511424069651401</v>
      </c>
      <c r="H61" s="32">
        <f>IF(H18=0,0,H18/TrRoad_act!H31*100)</f>
        <v>7.5894219688356284</v>
      </c>
      <c r="I61" s="32">
        <f>IF(I18=0,0,I18/TrRoad_act!I31*100)</f>
        <v>7.8937676008448507</v>
      </c>
      <c r="J61" s="32">
        <f>IF(J18=0,0,J18/TrRoad_act!J31*100)</f>
        <v>7.0597316527329017</v>
      </c>
      <c r="K61" s="32">
        <f>IF(K18=0,0,K18/TrRoad_act!K31*100)</f>
        <v>7.3554952137516212</v>
      </c>
      <c r="L61" s="32">
        <f>IF(L18=0,0,L18/TrRoad_act!L31*100)</f>
        <v>7.0624024671679555</v>
      </c>
      <c r="M61" s="32">
        <f>IF(M18=0,0,M18/TrRoad_act!M31*100)</f>
        <v>7.0719396380669899</v>
      </c>
      <c r="N61" s="32">
        <f>IF(N18=0,0,N18/TrRoad_act!N31*100)</f>
        <v>7.2537931929546131</v>
      </c>
      <c r="O61" s="32">
        <f>IF(O18=0,0,O18/TrRoad_act!O31*100)</f>
        <v>7.1236419142475897</v>
      </c>
      <c r="P61" s="32">
        <f>IF(P18=0,0,P18/TrRoad_act!P31*100)</f>
        <v>7.0936747130516178</v>
      </c>
      <c r="Q61" s="32">
        <f>IF(Q18=0,0,Q18/TrRoad_act!Q31*100)</f>
        <v>7.2686535031271999</v>
      </c>
      <c r="R61" s="32">
        <f>IF(R18=0,0,R18/TrRoad_act!R31*100)</f>
        <v>6.9041550597026866</v>
      </c>
      <c r="S61" s="32">
        <f>IF(S18=0,0,S18/TrRoad_act!S31*100)</f>
        <v>6.9197788207144839</v>
      </c>
      <c r="T61" s="32">
        <f>IF(T18=0,0,T18/TrRoad_act!T31*100)</f>
        <v>6.5480585645924458</v>
      </c>
      <c r="U61" s="32">
        <f>IF(U18=0,0,U18/TrRoad_act!U31*100)</f>
        <v>6.897359345827053</v>
      </c>
      <c r="V61" s="32">
        <f>IF(V18=0,0,V18/TrRoad_act!V31*100)</f>
        <v>7.1532167516469247</v>
      </c>
      <c r="W61" s="32">
        <f>IF(W18=0,0,W18/TrRoad_act!W31*100)</f>
        <v>6.996360221030173</v>
      </c>
      <c r="X61" s="32">
        <f>IF(X18=0,0,X18/TrRoad_act!X31*100)</f>
        <v>7.2391849132963992</v>
      </c>
      <c r="Y61" s="32">
        <f>IF(Y18=0,0,Y18/TrRoad_act!Y31*100)</f>
        <v>7.9266573691562332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4.3410321015710425</v>
      </c>
      <c r="C62" s="141">
        <f>IF(C19=0,0,C19/TrRoad_act!C32*100)</f>
        <v>4.3321154027500146</v>
      </c>
      <c r="D62" s="141">
        <f>IF(D19=0,0,D19/TrRoad_act!D32*100)</f>
        <v>4.2726961245389701</v>
      </c>
      <c r="E62" s="141">
        <f>IF(E19=0,0,E19/TrRoad_act!E32*100)</f>
        <v>4.136363757425543</v>
      </c>
      <c r="F62" s="141">
        <f>IF(F19=0,0,F19/TrRoad_act!F32*100)</f>
        <v>4.0332526225962964</v>
      </c>
      <c r="G62" s="141">
        <f>IF(G19=0,0,G19/TrRoad_act!G32*100)</f>
        <v>3.9393169591948412</v>
      </c>
      <c r="H62" s="141">
        <f>IF(H19=0,0,H19/TrRoad_act!H32*100)</f>
        <v>3.8630875181916697</v>
      </c>
      <c r="I62" s="141">
        <f>IF(I19=0,0,I19/TrRoad_act!I32*100)</f>
        <v>3.8218466979698982</v>
      </c>
      <c r="J62" s="141">
        <f>IF(J19=0,0,J19/TrRoad_act!J32*100)</f>
        <v>3.7862436584461832</v>
      </c>
      <c r="K62" s="141">
        <f>IF(K19=0,0,K19/TrRoad_act!K32*100)</f>
        <v>3.7616027757101165</v>
      </c>
      <c r="L62" s="141">
        <f>IF(L19=0,0,L19/TrRoad_act!L32*100)</f>
        <v>3.7407028852128885</v>
      </c>
      <c r="M62" s="141">
        <f>IF(M19=0,0,M19/TrRoad_act!M32*100)</f>
        <v>3.7362221637574029</v>
      </c>
      <c r="N62" s="141">
        <f>IF(N19=0,0,N19/TrRoad_act!N32*100)</f>
        <v>3.7269895456417874</v>
      </c>
      <c r="O62" s="141">
        <f>IF(O19=0,0,O19/TrRoad_act!O32*100)</f>
        <v>3.70031307262918</v>
      </c>
      <c r="P62" s="141">
        <f>IF(P19=0,0,P19/TrRoad_act!P32*100)</f>
        <v>3.6725613366099155</v>
      </c>
      <c r="Q62" s="141">
        <f>IF(Q19=0,0,Q19/TrRoad_act!Q32*100)</f>
        <v>3.6665218697295519</v>
      </c>
      <c r="R62" s="141">
        <f>IF(R19=0,0,R19/TrRoad_act!R32*100)</f>
        <v>3.63137116130207</v>
      </c>
      <c r="S62" s="141">
        <f>IF(S19=0,0,S19/TrRoad_act!S32*100)</f>
        <v>3.6164213408750925</v>
      </c>
      <c r="T62" s="141">
        <f>IF(T19=0,0,T19/TrRoad_act!T32*100)</f>
        <v>3.5786508373119648</v>
      </c>
      <c r="U62" s="141">
        <f>IF(U19=0,0,U19/TrRoad_act!U32*100)</f>
        <v>3.54333631274966</v>
      </c>
      <c r="V62" s="141">
        <f>IF(V19=0,0,V19/TrRoad_act!V32*100)</f>
        <v>3.5270411244986755</v>
      </c>
      <c r="W62" s="141">
        <f>IF(W19=0,0,W19/TrRoad_act!W32*100)</f>
        <v>3.5184181563881007</v>
      </c>
      <c r="X62" s="141">
        <f>IF(X19=0,0,X19/TrRoad_act!X32*100)</f>
        <v>3.5015561096998424</v>
      </c>
      <c r="Y62" s="141">
        <f>IF(Y19=0,0,Y19/TrRoad_act!Y32*100)</f>
        <v>3.4850158153253852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7.0995195973296958</v>
      </c>
      <c r="C63" s="130">
        <f>IF(C21=0,0,C21/TrRoad_act!C33*100)</f>
        <v>6.6338178750374706</v>
      </c>
      <c r="D63" s="130">
        <f>IF(D21=0,0,D21/TrRoad_act!D33*100)</f>
        <v>6.4027270477905311</v>
      </c>
      <c r="E63" s="130">
        <f>IF(E21=0,0,E21/TrRoad_act!E33*100)</f>
        <v>6.7287008766084648</v>
      </c>
      <c r="F63" s="130">
        <f>IF(F21=0,0,F21/TrRoad_act!F33*100)</f>
        <v>6.4814425880939064</v>
      </c>
      <c r="G63" s="130">
        <f>IF(G21=0,0,G21/TrRoad_act!G33*100)</f>
        <v>6.5884317245284079</v>
      </c>
      <c r="H63" s="130">
        <f>IF(H21=0,0,H21/TrRoad_act!H33*100)</f>
        <v>6.863897912707011</v>
      </c>
      <c r="I63" s="130">
        <f>IF(I21=0,0,I21/TrRoad_act!I33*100)</f>
        <v>7.1859028878328095</v>
      </c>
      <c r="J63" s="130">
        <f>IF(J21=0,0,J21/TrRoad_act!J33*100)</f>
        <v>6.3998291492364787</v>
      </c>
      <c r="K63" s="130">
        <f>IF(K21=0,0,K21/TrRoad_act!K33*100)</f>
        <v>6.6663730531035279</v>
      </c>
      <c r="L63" s="130">
        <f>IF(L21=0,0,L21/TrRoad_act!L33*100)</f>
        <v>6.3642221860857102</v>
      </c>
      <c r="M63" s="130">
        <f>IF(M21=0,0,M21/TrRoad_act!M33*100)</f>
        <v>6.39535669573372</v>
      </c>
      <c r="N63" s="130">
        <f>IF(N21=0,0,N21/TrRoad_act!N33*100)</f>
        <v>6.5748428216281951</v>
      </c>
      <c r="O63" s="130">
        <f>IF(O21=0,0,O21/TrRoad_act!O33*100)</f>
        <v>6.4344939557230223</v>
      </c>
      <c r="P63" s="130">
        <f>IF(P21=0,0,P21/TrRoad_act!P33*100)</f>
        <v>6.4066448630296424</v>
      </c>
      <c r="Q63" s="130">
        <f>IF(Q21=0,0,Q21/TrRoad_act!Q33*100)</f>
        <v>6.5581709520203857</v>
      </c>
      <c r="R63" s="130">
        <f>IF(R21=0,0,R21/TrRoad_act!R33*100)</f>
        <v>6.2211073685282718</v>
      </c>
      <c r="S63" s="130">
        <f>IF(S21=0,0,S21/TrRoad_act!S33*100)</f>
        <v>6.2169763634303976</v>
      </c>
      <c r="T63" s="130">
        <f>IF(T21=0,0,T21/TrRoad_act!T33*100)</f>
        <v>5.8542171592947767</v>
      </c>
      <c r="U63" s="130">
        <f>IF(U21=0,0,U21/TrRoad_act!U33*100)</f>
        <v>6.3001508284963359</v>
      </c>
      <c r="V63" s="130">
        <f>IF(V21=0,0,V21/TrRoad_act!V33*100)</f>
        <v>6.6368143654999487</v>
      </c>
      <c r="W63" s="130">
        <f>IF(W21=0,0,W21/TrRoad_act!W33*100)</f>
        <v>6.4899051809744197</v>
      </c>
      <c r="X63" s="130">
        <f>IF(X21=0,0,X21/TrRoad_act!X33*100)</f>
        <v>6.6880250106489525</v>
      </c>
      <c r="Y63" s="130">
        <f>IF(Y21=0,0,Y21/TrRoad_act!Y33*100)</f>
        <v>7.3346027338148936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7.3115947003523587</v>
      </c>
      <c r="C64" s="96">
        <f>IF(C22=0,0,C22/TrRoad_act!C34*100)</f>
        <v>6.6483786095362474</v>
      </c>
      <c r="D64" s="96">
        <f>IF(D22=0,0,D22/TrRoad_act!D34*100)</f>
        <v>6.5612019956136223</v>
      </c>
      <c r="E64" s="96">
        <f>IF(E22=0,0,E22/TrRoad_act!E34*100)</f>
        <v>6.9428397242631297</v>
      </c>
      <c r="F64" s="96">
        <f>IF(F22=0,0,F22/TrRoad_act!F34*100)</f>
        <v>6.7263715533725152</v>
      </c>
      <c r="G64" s="96">
        <f>IF(G22=0,0,G22/TrRoad_act!G34*100)</f>
        <v>6.8809086053561579</v>
      </c>
      <c r="H64" s="96">
        <f>IF(H22=0,0,H22/TrRoad_act!H34*100)</f>
        <v>7.3053593026684283</v>
      </c>
      <c r="I64" s="96">
        <f>IF(I22=0,0,I22/TrRoad_act!I34*100)</f>
        <v>7.6389403142511787</v>
      </c>
      <c r="J64" s="96">
        <f>IF(J22=0,0,J22/TrRoad_act!J34*100)</f>
        <v>6.1899704397148625</v>
      </c>
      <c r="K64" s="96">
        <f>IF(K22=0,0,K22/TrRoad_act!K34*100)</f>
        <v>6.3930115193216484</v>
      </c>
      <c r="L64" s="96">
        <f>IF(L22=0,0,L22/TrRoad_act!L34*100)</f>
        <v>6.0490394070968563</v>
      </c>
      <c r="M64" s="96">
        <f>IF(M22=0,0,M22/TrRoad_act!M34*100)</f>
        <v>6.1750880788863363</v>
      </c>
      <c r="N64" s="96">
        <f>IF(N22=0,0,N22/TrRoad_act!N34*100)</f>
        <v>6.118873035385743</v>
      </c>
      <c r="O64" s="96">
        <f>IF(O22=0,0,O22/TrRoad_act!O34*100)</f>
        <v>6.20421873464554</v>
      </c>
      <c r="P64" s="96">
        <f>IF(P22=0,0,P22/TrRoad_act!P34*100)</f>
        <v>6.2469812652404668</v>
      </c>
      <c r="Q64" s="96">
        <f>IF(Q22=0,0,Q22/TrRoad_act!Q34*100)</f>
        <v>6.2576839206914121</v>
      </c>
      <c r="R64" s="96">
        <f>IF(R22=0,0,R22/TrRoad_act!R34*100)</f>
        <v>6.0915807892674128</v>
      </c>
      <c r="S64" s="96">
        <f>IF(S22=0,0,S22/TrRoad_act!S34*100)</f>
        <v>5.8888977166016385</v>
      </c>
      <c r="T64" s="96">
        <f>IF(T22=0,0,T22/TrRoad_act!T34*100)</f>
        <v>5.5574094694159131</v>
      </c>
      <c r="U64" s="96">
        <f>IF(U22=0,0,U22/TrRoad_act!U34*100)</f>
        <v>5.8024921309173019</v>
      </c>
      <c r="V64" s="96">
        <f>IF(V22=0,0,V22/TrRoad_act!V34*100)</f>
        <v>6.1116015613606844</v>
      </c>
      <c r="W64" s="96">
        <f>IF(W22=0,0,W22/TrRoad_act!W34*100)</f>
        <v>6.2553820382538099</v>
      </c>
      <c r="X64" s="96">
        <f>IF(X22=0,0,X22/TrRoad_act!X34*100)</f>
        <v>7.0913497564597154</v>
      </c>
      <c r="Y64" s="96">
        <f>IF(Y22=0,0,Y22/TrRoad_act!Y34*100)</f>
        <v>7.7895005988658701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6.3609387770536179</v>
      </c>
      <c r="C65" s="96">
        <f>IF(C24=0,0,C24/TrRoad_act!C35*100)</f>
        <v>6.6300404798957864</v>
      </c>
      <c r="D65" s="96">
        <f>IF(D24=0,0,D24/TrRoad_act!D35*100)</f>
        <v>5.9359335125594814</v>
      </c>
      <c r="E65" s="96">
        <f>IF(E24=0,0,E24/TrRoad_act!E35*100)</f>
        <v>6.2922054352543224</v>
      </c>
      <c r="F65" s="96">
        <f>IF(F24=0,0,F24/TrRoad_act!F35*100)</f>
        <v>6.0694590885637894</v>
      </c>
      <c r="G65" s="96">
        <f>IF(G24=0,0,G24/TrRoad_act!G35*100)</f>
        <v>6.1874983688729621</v>
      </c>
      <c r="H65" s="96">
        <f>IF(H24=0,0,H24/TrRoad_act!H35*100)</f>
        <v>6.4133973626646901</v>
      </c>
      <c r="I65" s="96">
        <f>IF(I24=0,0,I24/TrRoad_act!I35*100)</f>
        <v>6.8776634994463803</v>
      </c>
      <c r="J65" s="96">
        <f>IF(J24=0,0,J24/TrRoad_act!J35*100)</f>
        <v>6.8163339032996646</v>
      </c>
      <c r="K65" s="96">
        <f>IF(K24=0,0,K24/TrRoad_act!K35*100)</f>
        <v>7.2734825522609725</v>
      </c>
      <c r="L65" s="96">
        <f>IF(L24=0,0,L24/TrRoad_act!L35*100)</f>
        <v>6.941593859792099</v>
      </c>
      <c r="M65" s="96">
        <f>IF(M24=0,0,M24/TrRoad_act!M35*100)</f>
        <v>6.8189810064091683</v>
      </c>
      <c r="N65" s="96">
        <f>IF(N24=0,0,N24/TrRoad_act!N35*100)</f>
        <v>7.2717268056143256</v>
      </c>
      <c r="O65" s="96">
        <f>IF(O24=0,0,O24/TrRoad_act!O35*100)</f>
        <v>6.8250881397351391</v>
      </c>
      <c r="P65" s="96">
        <f>IF(P24=0,0,P24/TrRoad_act!P35*100)</f>
        <v>6.6818394835810651</v>
      </c>
      <c r="Q65" s="96">
        <f>IF(Q24=0,0,Q24/TrRoad_act!Q35*100)</f>
        <v>6.9676484443638902</v>
      </c>
      <c r="R65" s="96">
        <f>IF(R24=0,0,R24/TrRoad_act!R35*100)</f>
        <v>6.3859303869041861</v>
      </c>
      <c r="S65" s="96">
        <f>IF(S24=0,0,S24/TrRoad_act!S35*100)</f>
        <v>6.5075622752079028</v>
      </c>
      <c r="T65" s="96">
        <f>IF(T24=0,0,T24/TrRoad_act!T35*100)</f>
        <v>6.0797063718819038</v>
      </c>
      <c r="U65" s="96">
        <f>IF(U24=0,0,U24/TrRoad_act!U35*100)</f>
        <v>6.6774128044289629</v>
      </c>
      <c r="V65" s="96">
        <f>IF(V24=0,0,V24/TrRoad_act!V35*100)</f>
        <v>7.0439133442539257</v>
      </c>
      <c r="W65" s="96">
        <f>IF(W24=0,0,W24/TrRoad_act!W35*100)</f>
        <v>6.7205075484944299</v>
      </c>
      <c r="X65" s="96">
        <f>IF(X24=0,0,X24/TrRoad_act!X35*100)</f>
        <v>6.6040017056519797</v>
      </c>
      <c r="Y65" s="96">
        <f>IF(Y24=0,0,Y24/TrRoad_act!Y35*100)</f>
        <v>7.2676142109801685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5.9827111382144658</v>
      </c>
      <c r="C66" s="96">
        <f>IF(C26=0,0,C26/TrRoad_act!C36*100)</f>
        <v>5.9498621078527512</v>
      </c>
      <c r="D66" s="96">
        <f>IF(D26=0,0,D26/TrRoad_act!D36*100)</f>
        <v>5.9960656326345498</v>
      </c>
      <c r="E66" s="96">
        <f>IF(E26=0,0,E26/TrRoad_act!E36*100)</f>
        <v>5.8874073471429069</v>
      </c>
      <c r="F66" s="96">
        <f>IF(F26=0,0,F26/TrRoad_act!F36*100)</f>
        <v>5.7120992058792508</v>
      </c>
      <c r="G66" s="96">
        <f>IF(G26=0,0,G26/TrRoad_act!G36*100)</f>
        <v>5.6936235209711317</v>
      </c>
      <c r="H66" s="96">
        <f>IF(H26=0,0,H26/TrRoad_act!H36*100)</f>
        <v>5.5510398187838987</v>
      </c>
      <c r="I66" s="96">
        <f>IF(I26=0,0,I26/TrRoad_act!I36*100)</f>
        <v>5.4661089140390517</v>
      </c>
      <c r="J66" s="96">
        <f>IF(J26=0,0,J26/TrRoad_act!J36*100)</f>
        <v>5.6409052597550353</v>
      </c>
      <c r="K66" s="96">
        <f>IF(K26=0,0,K26/TrRoad_act!K36*100)</f>
        <v>5.4012763822750696</v>
      </c>
      <c r="L66" s="96">
        <f>IF(L26=0,0,L26/TrRoad_act!L36*100)</f>
        <v>5.3269971652118704</v>
      </c>
      <c r="M66" s="96">
        <f>IF(M26=0,0,M26/TrRoad_act!M36*100)</f>
        <v>5.337635973263068</v>
      </c>
      <c r="N66" s="96">
        <f>IF(N26=0,0,N26/TrRoad_act!N36*100)</f>
        <v>5.3436818807620119</v>
      </c>
      <c r="O66" s="96">
        <f>IF(O26=0,0,O26/TrRoad_act!O36*100)</f>
        <v>5.354118155619199</v>
      </c>
      <c r="P66" s="96">
        <f>IF(P26=0,0,P26/TrRoad_act!P36*100)</f>
        <v>5.3625014455614197</v>
      </c>
      <c r="Q66" s="96">
        <f>IF(Q26=0,0,Q26/TrRoad_act!Q36*100)</f>
        <v>5.3916821267626025</v>
      </c>
      <c r="R66" s="96">
        <f>IF(R26=0,0,R26/TrRoad_act!R36*100)</f>
        <v>5.6493992361874286</v>
      </c>
      <c r="S66" s="96">
        <f>IF(S26=0,0,S26/TrRoad_act!S36*100)</f>
        <v>5.6616454870263251</v>
      </c>
      <c r="T66" s="96">
        <f>IF(T26=0,0,T26/TrRoad_act!T36*100)</f>
        <v>5.6573855292393702</v>
      </c>
      <c r="U66" s="96">
        <f>IF(U26=0,0,U26/TrRoad_act!U36*100)</f>
        <v>5.6482409566926011</v>
      </c>
      <c r="V66" s="96">
        <f>IF(V26=0,0,V26/TrRoad_act!V36*100)</f>
        <v>5.6320077212406723</v>
      </c>
      <c r="W66" s="96">
        <f>IF(W26=0,0,W26/TrRoad_act!W36*100)</f>
        <v>5.4927647041606891</v>
      </c>
      <c r="X66" s="96">
        <f>IF(X26=0,0,X26/TrRoad_act!X36*100)</f>
        <v>5.4355880853618057</v>
      </c>
      <c r="Y66" s="96">
        <f>IF(Y26=0,0,Y26/TrRoad_act!Y36*100)</f>
        <v>5.5083033083015573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6.8771720216468575</v>
      </c>
      <c r="L67" s="96">
        <f>IF(L27=0,0,L27/TrRoad_act!L37*100)</f>
        <v>6.8512824389918192</v>
      </c>
      <c r="M67" s="96">
        <f>IF(M27=0,0,M27/TrRoad_act!M37*100)</f>
        <v>6.8505577439980136</v>
      </c>
      <c r="N67" s="96">
        <f>IF(N27=0,0,N27/TrRoad_act!N37*100)</f>
        <v>6.8061049366054407</v>
      </c>
      <c r="O67" s="96">
        <f>IF(O27=0,0,O27/TrRoad_act!O37*100)</f>
        <v>6.7222197237693102</v>
      </c>
      <c r="P67" s="96">
        <f>IF(P27=0,0,P27/TrRoad_act!P37*100)</f>
        <v>6.6663823162286393</v>
      </c>
      <c r="Q67" s="96">
        <f>IF(Q27=0,0,Q27/TrRoad_act!Q37*100)</f>
        <v>6.6576929580903581</v>
      </c>
      <c r="R67" s="96">
        <f>IF(R27=0,0,R27/TrRoad_act!R37*100)</f>
        <v>6.6191445212596438</v>
      </c>
      <c r="S67" s="96">
        <f>IF(S27=0,0,S27/TrRoad_act!S37*100)</f>
        <v>6.3826470723295738</v>
      </c>
      <c r="T67" s="96">
        <f>IF(T27=0,0,T27/TrRoad_act!T37*100)</f>
        <v>6.3403648808238104</v>
      </c>
      <c r="U67" s="96">
        <f>IF(U27=0,0,U27/TrRoad_act!U37*100)</f>
        <v>6.3044613035451027</v>
      </c>
      <c r="V67" s="96">
        <f>IF(V27=0,0,V27/TrRoad_act!V37*100)</f>
        <v>6.2865351180626527</v>
      </c>
      <c r="W67" s="96">
        <f>IF(W27=0,0,W27/TrRoad_act!W37*100)</f>
        <v>6.2526272802217289</v>
      </c>
      <c r="X67" s="96">
        <f>IF(X27=0,0,X27/TrRoad_act!X37*100)</f>
        <v>6.218166281857771</v>
      </c>
      <c r="Y67" s="96">
        <f>IF(Y27=0,0,Y27/TrRoad_act!Y37*100)</f>
        <v>6.1673508920710489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0</v>
      </c>
      <c r="P68" s="96">
        <f>IF(P29=0,0,P29/TrRoad_act!P38*100)</f>
        <v>3.47144356949683</v>
      </c>
      <c r="Q68" s="96">
        <f>IF(Q29=0,0,Q29/TrRoad_act!Q38*100)</f>
        <v>3.5702283565578448</v>
      </c>
      <c r="R68" s="96">
        <f>IF(R29=0,0,R29/TrRoad_act!R38*100)</f>
        <v>3.8103376769750152</v>
      </c>
      <c r="S68" s="96">
        <f>IF(S29=0,0,S29/TrRoad_act!S38*100)</f>
        <v>3.896794749833596</v>
      </c>
      <c r="T68" s="96">
        <f>IF(T29=0,0,T29/TrRoad_act!T38*100)</f>
        <v>4.0209326845302469</v>
      </c>
      <c r="U68" s="96">
        <f>IF(U29=0,0,U29/TrRoad_act!U38*100)</f>
        <v>4.2071838757618885</v>
      </c>
      <c r="V68" s="96">
        <f>IF(V29=0,0,V29/TrRoad_act!V38*100)</f>
        <v>3.9625338162842709</v>
      </c>
      <c r="W68" s="96">
        <f>IF(W29=0,0,W29/TrRoad_act!W38*100)</f>
        <v>3.9622327508226425</v>
      </c>
      <c r="X68" s="96">
        <f>IF(X29=0,0,X29/TrRoad_act!X38*100)</f>
        <v>3.9416858669206869</v>
      </c>
      <c r="Y68" s="96">
        <f>IF(Y29=0,0,Y29/TrRoad_act!Y38*100)</f>
        <v>4.2324956170393992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0</v>
      </c>
      <c r="N69" s="96">
        <f>IF(N32=0,0,N32/TrRoad_act!N39*100)</f>
        <v>1.1490671093109648</v>
      </c>
      <c r="O69" s="96">
        <f>IF(O32=0,0,O32/TrRoad_act!O39*100)</f>
        <v>1.1563589278475663</v>
      </c>
      <c r="P69" s="96">
        <f>IF(P32=0,0,P32/TrRoad_act!P39*100)</f>
        <v>1.1814262306145211</v>
      </c>
      <c r="Q69" s="96">
        <f>IF(Q32=0,0,Q32/TrRoad_act!Q39*100)</f>
        <v>1.1573793811177195</v>
      </c>
      <c r="R69" s="96">
        <f>IF(R32=0,0,R32/TrRoad_act!R39*100)</f>
        <v>1.1467121371934594</v>
      </c>
      <c r="S69" s="96">
        <f>IF(S32=0,0,S32/TrRoad_act!S39*100)</f>
        <v>1.1548662501911757</v>
      </c>
      <c r="T69" s="96">
        <f>IF(T32=0,0,T32/TrRoad_act!T39*100)</f>
        <v>1.2639985517660357</v>
      </c>
      <c r="U69" s="96">
        <f>IF(U32=0,0,U32/TrRoad_act!U39*100)</f>
        <v>1.4402360289512008</v>
      </c>
      <c r="V69" s="96">
        <f>IF(V32=0,0,V32/TrRoad_act!V39*100)</f>
        <v>1.5165506199583307</v>
      </c>
      <c r="W69" s="96">
        <f>IF(W32=0,0,W32/TrRoad_act!W39*100)</f>
        <v>1.516378842431352</v>
      </c>
      <c r="X69" s="96">
        <f>IF(X32=0,0,X32/TrRoad_act!X39*100)</f>
        <v>1.5321444033950742</v>
      </c>
      <c r="Y69" s="96">
        <f>IF(Y32=0,0,Y32/TrRoad_act!Y39*100)</f>
        <v>1.5452637486112486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53.206878466096555</v>
      </c>
      <c r="C70" s="130">
        <f>IF(C33=0,0,C33/TrRoad_act!C40*100)</f>
        <v>51.076673755284716</v>
      </c>
      <c r="D70" s="130">
        <f>IF(D33=0,0,D33/TrRoad_act!D40*100)</f>
        <v>51.358542992693259</v>
      </c>
      <c r="E70" s="130">
        <f>IF(E33=0,0,E33/TrRoad_act!E40*100)</f>
        <v>52.285051925176894</v>
      </c>
      <c r="F70" s="130">
        <f>IF(F33=0,0,F33/TrRoad_act!F40*100)</f>
        <v>51.778028878658709</v>
      </c>
      <c r="G70" s="130">
        <f>IF(G33=0,0,G33/TrRoad_act!G40*100)</f>
        <v>52.004808775101473</v>
      </c>
      <c r="H70" s="130">
        <f>IF(H33=0,0,H33/TrRoad_act!H40*100)</f>
        <v>52.529790383446304</v>
      </c>
      <c r="I70" s="130">
        <f>IF(I33=0,0,I33/TrRoad_act!I40*100)</f>
        <v>54.127148509144462</v>
      </c>
      <c r="J70" s="130">
        <f>IF(J33=0,0,J33/TrRoad_act!J40*100)</f>
        <v>54.564699587806174</v>
      </c>
      <c r="K70" s="130">
        <f>IF(K33=0,0,K33/TrRoad_act!K40*100)</f>
        <v>56.65970083270313</v>
      </c>
      <c r="L70" s="130">
        <f>IF(L33=0,0,L33/TrRoad_act!L40*100)</f>
        <v>56.713727799491679</v>
      </c>
      <c r="M70" s="130">
        <f>IF(M33=0,0,M33/TrRoad_act!M40*100)</f>
        <v>55.718670232420976</v>
      </c>
      <c r="N70" s="130">
        <f>IF(N33=0,0,N33/TrRoad_act!N40*100)</f>
        <v>56.904495649868103</v>
      </c>
      <c r="O70" s="130">
        <f>IF(O33=0,0,O33/TrRoad_act!O40*100)</f>
        <v>57.228848136669619</v>
      </c>
      <c r="P70" s="130">
        <f>IF(P33=0,0,P33/TrRoad_act!P40*100)</f>
        <v>56.327880114905668</v>
      </c>
      <c r="Q70" s="130">
        <f>IF(Q33=0,0,Q33/TrRoad_act!Q40*100)</f>
        <v>57.378311360933886</v>
      </c>
      <c r="R70" s="130">
        <f>IF(R33=0,0,R33/TrRoad_act!R40*100)</f>
        <v>55.606860302233663</v>
      </c>
      <c r="S70" s="130">
        <f>IF(S33=0,0,S33/TrRoad_act!S40*100)</f>
        <v>57.432524668325044</v>
      </c>
      <c r="T70" s="130">
        <f>IF(T33=0,0,T33/TrRoad_act!T40*100)</f>
        <v>55.66870760034287</v>
      </c>
      <c r="U70" s="130">
        <f>IF(U33=0,0,U33/TrRoad_act!U40*100)</f>
        <v>59.432395236565739</v>
      </c>
      <c r="V70" s="130">
        <f>IF(V33=0,0,V33/TrRoad_act!V40*100)</f>
        <v>60.247114026579851</v>
      </c>
      <c r="W70" s="130">
        <f>IF(W33=0,0,W33/TrRoad_act!W40*100)</f>
        <v>58.977781226941332</v>
      </c>
      <c r="X70" s="130">
        <f>IF(X33=0,0,X33/TrRoad_act!X40*100)</f>
        <v>58.054639250780539</v>
      </c>
      <c r="Y70" s="130">
        <f>IF(Y33=0,0,Y33/TrRoad_act!Y40*100)</f>
        <v>60.248365263680626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18.496746933921614</v>
      </c>
      <c r="C71" s="97">
        <f>IF(C34=0,0,C34/TrRoad_act!C41*100)</f>
        <v>18.184921984232673</v>
      </c>
      <c r="D71" s="97">
        <f>IF(D34=0,0,D34/TrRoad_act!D41*100)</f>
        <v>17.951943229922552</v>
      </c>
      <c r="E71" s="97">
        <f>IF(E34=0,0,E34/TrRoad_act!E41*100)</f>
        <v>17.886646894913728</v>
      </c>
      <c r="F71" s="97">
        <f>IF(F34=0,0,F34/TrRoad_act!F41*100)</f>
        <v>17.809586741678764</v>
      </c>
      <c r="G71" s="97">
        <f>IF(G34=0,0,G34/TrRoad_act!G41*100)</f>
        <v>17.662677623942578</v>
      </c>
      <c r="H71" s="97">
        <f>IF(H34=0,0,H34/TrRoad_act!H41*100)</f>
        <v>17.502896154838645</v>
      </c>
      <c r="I71" s="97">
        <f>IF(I34=0,0,I34/TrRoad_act!I41*100)</f>
        <v>17.454212604090934</v>
      </c>
      <c r="J71" s="97">
        <f>IF(J34=0,0,J34/TrRoad_act!J41*100)</f>
        <v>17.308791089202007</v>
      </c>
      <c r="K71" s="97">
        <f>IF(K34=0,0,K34/TrRoad_act!K41*100)</f>
        <v>17.25967176205598</v>
      </c>
      <c r="L71" s="97">
        <f>IF(L34=0,0,L34/TrRoad_act!L41*100)</f>
        <v>17.192560467921737</v>
      </c>
      <c r="M71" s="97">
        <f>IF(M34=0,0,M34/TrRoad_act!M41*100)</f>
        <v>17.122291364690792</v>
      </c>
      <c r="N71" s="97">
        <f>IF(N34=0,0,N34/TrRoad_act!N41*100)</f>
        <v>17.024373407445299</v>
      </c>
      <c r="O71" s="97">
        <f>IF(O34=0,0,O34/TrRoad_act!O41*100)</f>
        <v>16.793496337652897</v>
      </c>
      <c r="P71" s="97">
        <f>IF(P34=0,0,P34/TrRoad_act!P41*100)</f>
        <v>16.73828924080216</v>
      </c>
      <c r="Q71" s="97">
        <f>IF(Q34=0,0,Q34/TrRoad_act!Q41*100)</f>
        <v>16.641463238182098</v>
      </c>
      <c r="R71" s="97">
        <f>IF(R34=0,0,R34/TrRoad_act!R41*100)</f>
        <v>16.637827375147616</v>
      </c>
      <c r="S71" s="97">
        <f>IF(S34=0,0,S34/TrRoad_act!S41*100)</f>
        <v>16.636465587690729</v>
      </c>
      <c r="T71" s="97">
        <f>IF(T34=0,0,T34/TrRoad_act!T41*100)</f>
        <v>16.635041992153848</v>
      </c>
      <c r="U71" s="97">
        <f>IF(U34=0,0,U34/TrRoad_act!U41*100)</f>
        <v>16.634769363494513</v>
      </c>
      <c r="V71" s="97">
        <f>IF(V34=0,0,V34/TrRoad_act!V41*100)</f>
        <v>16.633199028856396</v>
      </c>
      <c r="W71" s="97">
        <f>IF(W34=0,0,W34/TrRoad_act!W41*100)</f>
        <v>16.625309417575863</v>
      </c>
      <c r="X71" s="97">
        <f>IF(X34=0,0,X34/TrRoad_act!X41*100)</f>
        <v>16.626924933994573</v>
      </c>
      <c r="Y71" s="97">
        <f>IF(Y34=0,0,Y34/TrRoad_act!Y41*100)</f>
        <v>16.62091953333422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53.309943443946814</v>
      </c>
      <c r="C72" s="97">
        <f>IF(C36=0,0,C36/TrRoad_act!C42*100)</f>
        <v>51.178413083272012</v>
      </c>
      <c r="D72" s="97">
        <f>IF(D36=0,0,D36/TrRoad_act!D42*100)</f>
        <v>51.463922947453312</v>
      </c>
      <c r="E72" s="97">
        <f>IF(E36=0,0,E36/TrRoad_act!E42*100)</f>
        <v>52.390284978255032</v>
      </c>
      <c r="F72" s="97">
        <f>IF(F36=0,0,F36/TrRoad_act!F42*100)</f>
        <v>51.876537728339819</v>
      </c>
      <c r="G72" s="97">
        <f>IF(G36=0,0,G36/TrRoad_act!G42*100)</f>
        <v>52.106543218893854</v>
      </c>
      <c r="H72" s="97">
        <f>IF(H36=0,0,H36/TrRoad_act!H42*100)</f>
        <v>52.635591069308184</v>
      </c>
      <c r="I72" s="97">
        <f>IF(I36=0,0,I36/TrRoad_act!I42*100)</f>
        <v>54.2284493507712</v>
      </c>
      <c r="J72" s="97">
        <f>IF(J36=0,0,J36/TrRoad_act!J42*100)</f>
        <v>54.679908032956469</v>
      </c>
      <c r="K72" s="97">
        <f>IF(K36=0,0,K36/TrRoad_act!K42*100)</f>
        <v>56.690474724234029</v>
      </c>
      <c r="L72" s="97">
        <f>IF(L36=0,0,L36/TrRoad_act!L42*100)</f>
        <v>56.447568296635872</v>
      </c>
      <c r="M72" s="97">
        <f>IF(M36=0,0,M36/TrRoad_act!M42*100)</f>
        <v>55.927974601451233</v>
      </c>
      <c r="N72" s="97">
        <f>IF(N36=0,0,N36/TrRoad_act!N42*100)</f>
        <v>57.116828052639768</v>
      </c>
      <c r="O72" s="97">
        <f>IF(O36=0,0,O36/TrRoad_act!O42*100)</f>
        <v>57.577094843539143</v>
      </c>
      <c r="P72" s="97">
        <f>IF(P36=0,0,P36/TrRoad_act!P42*100)</f>
        <v>56.845139901198138</v>
      </c>
      <c r="Q72" s="97">
        <f>IF(Q36=0,0,Q36/TrRoad_act!Q42*100)</f>
        <v>57.870588578679452</v>
      </c>
      <c r="R72" s="97">
        <f>IF(R36=0,0,R36/TrRoad_act!R42*100)</f>
        <v>55.926256249064053</v>
      </c>
      <c r="S72" s="97">
        <f>IF(S36=0,0,S36/TrRoad_act!S42*100)</f>
        <v>57.871990805761556</v>
      </c>
      <c r="T72" s="97">
        <f>IF(T36=0,0,T36/TrRoad_act!T42*100)</f>
        <v>56.034736381520808</v>
      </c>
      <c r="U72" s="97">
        <f>IF(U36=0,0,U36/TrRoad_act!U42*100)</f>
        <v>59.976029450416078</v>
      </c>
      <c r="V72" s="97">
        <f>IF(V36=0,0,V36/TrRoad_act!V42*100)</f>
        <v>60.84923653746521</v>
      </c>
      <c r="W72" s="97">
        <f>IF(W36=0,0,W36/TrRoad_act!W42*100)</f>
        <v>59.609959755451705</v>
      </c>
      <c r="X72" s="97">
        <f>IF(X36=0,0,X36/TrRoad_act!X42*100)</f>
        <v>58.478081964456784</v>
      </c>
      <c r="Y72" s="97">
        <f>IF(Y36=0,0,Y36/TrRoad_act!Y42*100)</f>
        <v>60.637263480754221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44.049640149002911</v>
      </c>
      <c r="J73" s="97">
        <f>IF(J38=0,0,J38/TrRoad_act!J43*100)</f>
        <v>44.049640149002911</v>
      </c>
      <c r="K73" s="97">
        <f>IF(K38=0,0,K38/TrRoad_act!K43*100)</f>
        <v>44.049640149002919</v>
      </c>
      <c r="L73" s="97">
        <f>IF(L38=0,0,L38/TrRoad_act!L43*100)</f>
        <v>44.049640149002911</v>
      </c>
      <c r="M73" s="97">
        <f>IF(M38=0,0,M38/TrRoad_act!M43*100)</f>
        <v>44.941591073640595</v>
      </c>
      <c r="N73" s="97">
        <f>IF(N38=0,0,N38/TrRoad_act!N43*100)</f>
        <v>44.941591073640602</v>
      </c>
      <c r="O73" s="97">
        <f>IF(O38=0,0,O38/TrRoad_act!O43*100)</f>
        <v>46.367901378200862</v>
      </c>
      <c r="P73" s="97">
        <f>IF(P38=0,0,P38/TrRoad_act!P43*100)</f>
        <v>46.492701114531428</v>
      </c>
      <c r="Q73" s="97">
        <f>IF(Q38=0,0,Q38/TrRoad_act!Q43*100)</f>
        <v>46.492701114531428</v>
      </c>
      <c r="R73" s="97">
        <f>IF(R38=0,0,R38/TrRoad_act!R43*100)</f>
        <v>46.492701114531428</v>
      </c>
      <c r="S73" s="97">
        <f>IF(S38=0,0,S38/TrRoad_act!S43*100)</f>
        <v>46.63260751564885</v>
      </c>
      <c r="T73" s="97">
        <f>IF(T38=0,0,T38/TrRoad_act!T43*100)</f>
        <v>46.632607515648836</v>
      </c>
      <c r="U73" s="97">
        <f>IF(U38=0,0,U38/TrRoad_act!U43*100)</f>
        <v>46.429072678567486</v>
      </c>
      <c r="V73" s="97">
        <f>IF(V38=0,0,V38/TrRoad_act!V43*100)</f>
        <v>45.77908201641872</v>
      </c>
      <c r="W73" s="97">
        <f>IF(W38=0,0,W38/TrRoad_act!W43*100)</f>
        <v>45.77908201641872</v>
      </c>
      <c r="X73" s="97">
        <f>IF(X38=0,0,X38/TrRoad_act!X43*100)</f>
        <v>45.731610702424931</v>
      </c>
      <c r="Y73" s="97">
        <f>IF(Y38=0,0,Y38/TrRoad_act!Y43*100)</f>
        <v>45.731610702424902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74.532781832511716</v>
      </c>
      <c r="L74" s="97">
        <f>IF(L39=0,0,L39/TrRoad_act!L44*100)</f>
        <v>130.94744618544348</v>
      </c>
      <c r="M74" s="97">
        <f>IF(M39=0,0,M39/TrRoad_act!M44*100)</f>
        <v>34.930058532413327</v>
      </c>
      <c r="N74" s="97">
        <f>IF(N39=0,0,N39/TrRoad_act!N44*100)</f>
        <v>39.50574148954707</v>
      </c>
      <c r="O74" s="97">
        <f>IF(O39=0,0,O39/TrRoad_act!O44*100)</f>
        <v>40.087074935339679</v>
      </c>
      <c r="P74" s="97">
        <f>IF(P39=0,0,P39/TrRoad_act!P44*100)</f>
        <v>41.274402959923165</v>
      </c>
      <c r="Q74" s="97">
        <f>IF(Q39=0,0,Q39/TrRoad_act!Q44*100)</f>
        <v>42.57693796890441</v>
      </c>
      <c r="R74" s="97">
        <f>IF(R39=0,0,R39/TrRoad_act!R44*100)</f>
        <v>46.725819084513134</v>
      </c>
      <c r="S74" s="97">
        <f>IF(S39=0,0,S39/TrRoad_act!S44*100)</f>
        <v>45.424452446677073</v>
      </c>
      <c r="T74" s="97">
        <f>IF(T39=0,0,T39/TrRoad_act!T44*100)</f>
        <v>45.418012326402454</v>
      </c>
      <c r="U74" s="97">
        <f>IF(U39=0,0,U39/TrRoad_act!U44*100)</f>
        <v>45.412520551765276</v>
      </c>
      <c r="V74" s="97">
        <f>IF(V39=0,0,V39/TrRoad_act!V44*100)</f>
        <v>45.685131956014487</v>
      </c>
      <c r="W74" s="97">
        <f>IF(W39=0,0,W39/TrRoad_act!W44*100)</f>
        <v>45.670831357243344</v>
      </c>
      <c r="X74" s="97">
        <f>IF(X39=0,0,X39/TrRoad_act!X44*100)</f>
        <v>47.231711097833809</v>
      </c>
      <c r="Y74" s="97">
        <f>IF(Y39=0,0,Y39/TrRoad_act!Y44*100)</f>
        <v>47.275874894395393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0</v>
      </c>
      <c r="Q75" s="97">
        <f>IF(Q41=0,0,Q41/TrRoad_act!Q45*100)</f>
        <v>34.177554561263221</v>
      </c>
      <c r="R75" s="97">
        <f>IF(R41=0,0,R41/TrRoad_act!R45*100)</f>
        <v>34.417674547751027</v>
      </c>
      <c r="S75" s="97">
        <f>IF(S41=0,0,S41/TrRoad_act!S45*100)</f>
        <v>34.417674547751027</v>
      </c>
      <c r="T75" s="97">
        <f>IF(T41=0,0,T41/TrRoad_act!T45*100)</f>
        <v>34.417674547751027</v>
      </c>
      <c r="U75" s="97">
        <f>IF(U41=0,0,U41/TrRoad_act!U45*100)</f>
        <v>34.417674547751027</v>
      </c>
      <c r="V75" s="97">
        <f>IF(V41=0,0,V41/TrRoad_act!V45*100)</f>
        <v>34.417674547751027</v>
      </c>
      <c r="W75" s="97">
        <f>IF(W41=0,0,W41/TrRoad_act!W45*100)</f>
        <v>34.495328637453404</v>
      </c>
      <c r="X75" s="97">
        <f>IF(X41=0,0,X41/TrRoad_act!X45*100)</f>
        <v>34.213788101929211</v>
      </c>
      <c r="Y75" s="97">
        <f>IF(Y41=0,0,Y41/TrRoad_act!Y45*100)</f>
        <v>34.089012326406184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17.571210185818046</v>
      </c>
      <c r="C76" s="32">
        <f>IF(C42=0,0,C42/TrRoad_act!C46*100)</f>
        <v>14.976421351277644</v>
      </c>
      <c r="D76" s="32">
        <f>IF(D42=0,0,D42/TrRoad_act!D46*100)</f>
        <v>17.267791256903312</v>
      </c>
      <c r="E76" s="32">
        <f>IF(E42=0,0,E42/TrRoad_act!E46*100)</f>
        <v>17.639157184573431</v>
      </c>
      <c r="F76" s="32">
        <f>IF(F42=0,0,F42/TrRoad_act!F46*100)</f>
        <v>17.742431033645325</v>
      </c>
      <c r="G76" s="32">
        <f>IF(G42=0,0,G42/TrRoad_act!G46*100)</f>
        <v>17.389323529845093</v>
      </c>
      <c r="H76" s="32">
        <f>IF(H42=0,0,H42/TrRoad_act!H46*100)</f>
        <v>17.220853190321208</v>
      </c>
      <c r="I76" s="32">
        <f>IF(I42=0,0,I42/TrRoad_act!I46*100)</f>
        <v>17.84854803615746</v>
      </c>
      <c r="J76" s="32">
        <f>IF(J42=0,0,J42/TrRoad_act!J46*100)</f>
        <v>17.72263719101808</v>
      </c>
      <c r="K76" s="32">
        <f>IF(K42=0,0,K42/TrRoad_act!K46*100)</f>
        <v>17.788907670070248</v>
      </c>
      <c r="L76" s="32">
        <f>IF(L42=0,0,L42/TrRoad_act!L46*100)</f>
        <v>18.503593009354944</v>
      </c>
      <c r="M76" s="32">
        <f>IF(M42=0,0,M42/TrRoad_act!M46*100)</f>
        <v>17.853899655313107</v>
      </c>
      <c r="N76" s="32">
        <f>IF(N42=0,0,N42/TrRoad_act!N46*100)</f>
        <v>17.429279768855551</v>
      </c>
      <c r="O76" s="32">
        <f>IF(O42=0,0,O42/TrRoad_act!O46*100)</f>
        <v>19.474483423031323</v>
      </c>
      <c r="P76" s="32">
        <f>IF(P42=0,0,P42/TrRoad_act!P46*100)</f>
        <v>17.799396984532994</v>
      </c>
      <c r="Q76" s="32">
        <f>IF(Q42=0,0,Q42/TrRoad_act!Q46*100)</f>
        <v>16.837136449725122</v>
      </c>
      <c r="R76" s="32">
        <f>IF(R42=0,0,R42/TrRoad_act!R46*100)</f>
        <v>15.39941548832684</v>
      </c>
      <c r="S76" s="32">
        <f>IF(S42=0,0,S42/TrRoad_act!S46*100)</f>
        <v>17.46840866444284</v>
      </c>
      <c r="T76" s="32">
        <f>IF(T42=0,0,T42/TrRoad_act!T46*100)</f>
        <v>15.547691048541628</v>
      </c>
      <c r="U76" s="32">
        <f>IF(U42=0,0,U42/TrRoad_act!U46*100)</f>
        <v>17.169128869549752</v>
      </c>
      <c r="V76" s="32">
        <f>IF(V42=0,0,V42/TrRoad_act!V46*100)</f>
        <v>16.494204842299631</v>
      </c>
      <c r="W76" s="32">
        <f>IF(W42=0,0,W42/TrRoad_act!W46*100)</f>
        <v>15.840396960460994</v>
      </c>
      <c r="X76" s="32">
        <f>IF(X42=0,0,X42/TrRoad_act!X46*100)</f>
        <v>15.499364845758269</v>
      </c>
      <c r="Y76" s="32">
        <f>IF(Y42=0,0,Y42/TrRoad_act!Y46*100)</f>
        <v>16.339757579564129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10.329518498573361</v>
      </c>
      <c r="C77" s="141">
        <f>IF(C43=0,0,C43/TrRoad_act!C47*100)</f>
        <v>9.2950039211953648</v>
      </c>
      <c r="D77" s="141">
        <f>IF(D43=0,0,D43/TrRoad_act!D47*100)</f>
        <v>9.4764948660060515</v>
      </c>
      <c r="E77" s="141">
        <f>IF(E43=0,0,E43/TrRoad_act!E47*100)</f>
        <v>9.389132838655188</v>
      </c>
      <c r="F77" s="141">
        <f>IF(F43=0,0,F43/TrRoad_act!F47*100)</f>
        <v>9.2787728338675084</v>
      </c>
      <c r="G77" s="141">
        <f>IF(G43=0,0,G43/TrRoad_act!G47*100)</f>
        <v>9.373803161821364</v>
      </c>
      <c r="H77" s="141">
        <f>IF(H43=0,0,H43/TrRoad_act!H47*100)</f>
        <v>9.0329216413374827</v>
      </c>
      <c r="I77" s="141">
        <f>IF(I43=0,0,I43/TrRoad_act!I47*100)</f>
        <v>9.0009552628953404</v>
      </c>
      <c r="J77" s="141">
        <f>IF(J43=0,0,J43/TrRoad_act!J47*100)</f>
        <v>8.9639697172296646</v>
      </c>
      <c r="K77" s="141">
        <f>IF(K43=0,0,K43/TrRoad_act!K47*100)</f>
        <v>8.9740494673632156</v>
      </c>
      <c r="L77" s="141">
        <f>IF(L43=0,0,L43/TrRoad_act!L47*100)</f>
        <v>8.9361805824886158</v>
      </c>
      <c r="M77" s="141">
        <f>IF(M43=0,0,M43/TrRoad_act!M47*100)</f>
        <v>8.8042636114583601</v>
      </c>
      <c r="N77" s="141">
        <f>IF(N43=0,0,N43/TrRoad_act!N47*100)</f>
        <v>8.7887358060799325</v>
      </c>
      <c r="O77" s="141">
        <f>IF(O43=0,0,O43/TrRoad_act!O47*100)</f>
        <v>8.6337808780365641</v>
      </c>
      <c r="P77" s="141">
        <f>IF(P43=0,0,P43/TrRoad_act!P47*100)</f>
        <v>8.3293192167735874</v>
      </c>
      <c r="Q77" s="141">
        <f>IF(Q43=0,0,Q43/TrRoad_act!Q47*100)</f>
        <v>8.104806567087163</v>
      </c>
      <c r="R77" s="141">
        <f>IF(R43=0,0,R43/TrRoad_act!R47*100)</f>
        <v>7.8762716855616786</v>
      </c>
      <c r="S77" s="141">
        <f>IF(S43=0,0,S43/TrRoad_act!S47*100)</f>
        <v>8.1449323200410575</v>
      </c>
      <c r="T77" s="141">
        <f>IF(T43=0,0,T43/TrRoad_act!T47*100)</f>
        <v>7.9264630663317446</v>
      </c>
      <c r="U77" s="141">
        <f>IF(U43=0,0,U43/TrRoad_act!U47*100)</f>
        <v>8.0274913452510734</v>
      </c>
      <c r="V77" s="141">
        <f>IF(V43=0,0,V43/TrRoad_act!V47*100)</f>
        <v>7.9898687358398375</v>
      </c>
      <c r="W77" s="141">
        <f>IF(W43=0,0,W43/TrRoad_act!W47*100)</f>
        <v>8.085733786540354</v>
      </c>
      <c r="X77" s="141">
        <f>IF(X43=0,0,X43/TrRoad_act!X47*100)</f>
        <v>8.0733649989136733</v>
      </c>
      <c r="Y77" s="141">
        <f>IF(Y43=0,0,Y43/TrRoad_act!Y47*100)</f>
        <v>8.2168379661182609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8.8679365909377275</v>
      </c>
      <c r="C78" s="96">
        <f>IF(C44=0,0,C44/TrRoad_act!C48*100)</f>
        <v>8.6811252926986562</v>
      </c>
      <c r="D78" s="96">
        <f>IF(D44=0,0,D44/TrRoad_act!D48*100)</f>
        <v>8.6329131041349605</v>
      </c>
      <c r="E78" s="96">
        <f>IF(E44=0,0,E44/TrRoad_act!E48*100)</f>
        <v>8.5897297262955856</v>
      </c>
      <c r="F78" s="96">
        <f>IF(F44=0,0,F44/TrRoad_act!F48*100)</f>
        <v>8.5509768299509901</v>
      </c>
      <c r="G78" s="96">
        <f>IF(G44=0,0,G44/TrRoad_act!G48*100)</f>
        <v>8.5068450558358304</v>
      </c>
      <c r="H78" s="96">
        <f>IF(H44=0,0,H44/TrRoad_act!H48*100)</f>
        <v>8.4510465271852908</v>
      </c>
      <c r="I78" s="96">
        <f>IF(I44=0,0,I44/TrRoad_act!I48*100)</f>
        <v>8.3089602797369437</v>
      </c>
      <c r="J78" s="96">
        <f>IF(J44=0,0,J44/TrRoad_act!J48*100)</f>
        <v>8.237880016899549</v>
      </c>
      <c r="K78" s="96">
        <f>IF(K44=0,0,K44/TrRoad_act!K48*100)</f>
        <v>8.1503409069464592</v>
      </c>
      <c r="L78" s="96">
        <f>IF(L44=0,0,L44/TrRoad_act!L48*100)</f>
        <v>8.0629305860477345</v>
      </c>
      <c r="M78" s="96">
        <f>IF(M44=0,0,M44/TrRoad_act!M48*100)</f>
        <v>8.0204572642113821</v>
      </c>
      <c r="N78" s="96">
        <f>IF(N44=0,0,N44/TrRoad_act!N48*100)</f>
        <v>7.9564174945483543</v>
      </c>
      <c r="O78" s="96">
        <f>IF(O44=0,0,O44/TrRoad_act!O48*100)</f>
        <v>7.9503013103622173</v>
      </c>
      <c r="P78" s="96">
        <f>IF(P44=0,0,P44/TrRoad_act!P48*100)</f>
        <v>7.9457044517364617</v>
      </c>
      <c r="Q78" s="96">
        <f>IF(Q44=0,0,Q44/TrRoad_act!Q48*100)</f>
        <v>7.9100668377683263</v>
      </c>
      <c r="R78" s="96">
        <f>IF(R44=0,0,R44/TrRoad_act!R48*100)</f>
        <v>7.8575466887604488</v>
      </c>
      <c r="S78" s="96">
        <f>IF(S44=0,0,S44/TrRoad_act!S48*100)</f>
        <v>7.8864120375657709</v>
      </c>
      <c r="T78" s="96">
        <f>IF(T44=0,0,T44/TrRoad_act!T48*100)</f>
        <v>7.8726755480078499</v>
      </c>
      <c r="U78" s="96">
        <f>IF(U44=0,0,U44/TrRoad_act!U48*100)</f>
        <v>7.810611413357309</v>
      </c>
      <c r="V78" s="96">
        <f>IF(V44=0,0,V44/TrRoad_act!V48*100)</f>
        <v>7.7341669336876375</v>
      </c>
      <c r="W78" s="96">
        <f>IF(W44=0,0,W44/TrRoad_act!W48*100)</f>
        <v>7.5943832854080977</v>
      </c>
      <c r="X78" s="96">
        <f>IF(X44=0,0,X44/TrRoad_act!X48*100)</f>
        <v>7.5145375157713801</v>
      </c>
      <c r="Y78" s="96">
        <f>IF(Y44=0,0,Y44/TrRoad_act!Y48*100)</f>
        <v>7.4243279493028131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10.666585250841356</v>
      </c>
      <c r="C79" s="96">
        <f>IF(C46=0,0,C46/TrRoad_act!C49*100)</f>
        <v>9.4316139290847172</v>
      </c>
      <c r="D79" s="96">
        <f>IF(D46=0,0,D46/TrRoad_act!D49*100)</f>
        <v>9.6396473302024006</v>
      </c>
      <c r="E79" s="96">
        <f>IF(E46=0,0,E46/TrRoad_act!E49*100)</f>
        <v>9.5202430960748359</v>
      </c>
      <c r="F79" s="96">
        <f>IF(F46=0,0,F46/TrRoad_act!F49*100)</f>
        <v>9.3797171672992778</v>
      </c>
      <c r="G79" s="96">
        <f>IF(G46=0,0,G46/TrRoad_act!G49*100)</f>
        <v>9.4773781562700599</v>
      </c>
      <c r="H79" s="96">
        <f>IF(H46=0,0,H46/TrRoad_act!H49*100)</f>
        <v>9.0956085646824167</v>
      </c>
      <c r="I79" s="96">
        <f>IF(I46=0,0,I46/TrRoad_act!I49*100)</f>
        <v>9.0627027084070662</v>
      </c>
      <c r="J79" s="96">
        <f>IF(J46=0,0,J46/TrRoad_act!J49*100)</f>
        <v>9.0293965743345801</v>
      </c>
      <c r="K79" s="96">
        <f>IF(K46=0,0,K46/TrRoad_act!K49*100)</f>
        <v>9.0428787490404279</v>
      </c>
      <c r="L79" s="96">
        <f>IF(L46=0,0,L46/TrRoad_act!L49*100)</f>
        <v>9.0046386633039806</v>
      </c>
      <c r="M79" s="96">
        <f>IF(M46=0,0,M46/TrRoad_act!M49*100)</f>
        <v>8.8626715568336589</v>
      </c>
      <c r="N79" s="96">
        <f>IF(N46=0,0,N46/TrRoad_act!N49*100)</f>
        <v>8.8380510862789841</v>
      </c>
      <c r="O79" s="96">
        <f>IF(O46=0,0,O46/TrRoad_act!O49*100)</f>
        <v>8.6752423856714653</v>
      </c>
      <c r="P79" s="96">
        <f>IF(P46=0,0,P46/TrRoad_act!P49*100)</f>
        <v>8.3563183808342636</v>
      </c>
      <c r="Q79" s="96">
        <f>IF(Q46=0,0,Q46/TrRoad_act!Q49*100)</f>
        <v>8.1216062748197047</v>
      </c>
      <c r="R79" s="96">
        <f>IF(R46=0,0,R46/TrRoad_act!R49*100)</f>
        <v>7.8863919468893648</v>
      </c>
      <c r="S79" s="96">
        <f>IF(S46=0,0,S46/TrRoad_act!S49*100)</f>
        <v>8.1633319548037484</v>
      </c>
      <c r="T79" s="96">
        <f>IF(T46=0,0,T46/TrRoad_act!T49*100)</f>
        <v>7.9369480654679609</v>
      </c>
      <c r="U79" s="96">
        <f>IF(U46=0,0,U46/TrRoad_act!U49*100)</f>
        <v>8.0441404700062673</v>
      </c>
      <c r="V79" s="96">
        <f>IF(V46=0,0,V46/TrRoad_act!V49*100)</f>
        <v>8.007633701868679</v>
      </c>
      <c r="W79" s="96">
        <f>IF(W46=0,0,W46/TrRoad_act!W49*100)</f>
        <v>8.1112507342155755</v>
      </c>
      <c r="X79" s="96">
        <f>IF(X46=0,0,X46/TrRoad_act!X49*100)</f>
        <v>8.0997683847711084</v>
      </c>
      <c r="Y79" s="96">
        <f>IF(Y46=0,0,Y46/TrRoad_act!Y49*100)</f>
        <v>8.2531731779112114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6.679001371152971</v>
      </c>
      <c r="J80" s="96">
        <f>IF(J48=0,0,J48/TrRoad_act!J50*100)</f>
        <v>6.5280542599612552</v>
      </c>
      <c r="K80" s="96">
        <f>IF(K48=0,0,K48/TrRoad_act!K50*100)</f>
        <v>6.5016695407337819</v>
      </c>
      <c r="L80" s="96">
        <f>IF(L48=0,0,L48/TrRoad_act!L50*100)</f>
        <v>6.4740475484278122</v>
      </c>
      <c r="M80" s="96">
        <f>IF(M48=0,0,M48/TrRoad_act!M50*100)</f>
        <v>6.4627731843500555</v>
      </c>
      <c r="N80" s="96">
        <f>IF(N48=0,0,N48/TrRoad_act!N50*100)</f>
        <v>6.4586180971896585</v>
      </c>
      <c r="O80" s="96">
        <f>IF(O48=0,0,O48/TrRoad_act!O50*100)</f>
        <v>6.4180360944575634</v>
      </c>
      <c r="P80" s="96">
        <f>IF(P48=0,0,P48/TrRoad_act!P50*100)</f>
        <v>6.3963484954574215</v>
      </c>
      <c r="Q80" s="96">
        <f>IF(Q48=0,0,Q48/TrRoad_act!Q50*100)</f>
        <v>6.3882914372953303</v>
      </c>
      <c r="R80" s="96">
        <f>IF(R48=0,0,R48/TrRoad_act!R50*100)</f>
        <v>6.3507042093719752</v>
      </c>
      <c r="S80" s="96">
        <f>IF(S48=0,0,S48/TrRoad_act!S50*100)</f>
        <v>6.6097454488718359</v>
      </c>
      <c r="T80" s="96">
        <f>IF(T48=0,0,T48/TrRoad_act!T50*100)</f>
        <v>6.7104889359886286</v>
      </c>
      <c r="U80" s="96">
        <f>IF(U48=0,0,U48/TrRoad_act!U50*100)</f>
        <v>6.7491268926894765</v>
      </c>
      <c r="V80" s="96">
        <f>IF(V48=0,0,V48/TrRoad_act!V50*100)</f>
        <v>6.8403628204425155</v>
      </c>
      <c r="W80" s="96">
        <f>IF(W48=0,0,W48/TrRoad_act!W50*100)</f>
        <v>7.0192500961580802</v>
      </c>
      <c r="X80" s="96">
        <f>IF(X48=0,0,X48/TrRoad_act!X50*100)</f>
        <v>7.1162537891892192</v>
      </c>
      <c r="Y80" s="96">
        <f>IF(Y48=0,0,Y48/TrRoad_act!Y50*100)</f>
        <v>7.132874154092411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9.0319488335678351</v>
      </c>
      <c r="L81" s="96">
        <f>IF(L49=0,0,L49/TrRoad_act!L51*100)</f>
        <v>9.0212638728412688</v>
      </c>
      <c r="M81" s="96">
        <f>IF(M49=0,0,M49/TrRoad_act!M51*100)</f>
        <v>9.0133311989952052</v>
      </c>
      <c r="N81" s="96">
        <f>IF(N49=0,0,N49/TrRoad_act!N51*100)</f>
        <v>8.8951970943151402</v>
      </c>
      <c r="O81" s="96">
        <f>IF(O49=0,0,O49/TrRoad_act!O51*100)</f>
        <v>8.8951970943151366</v>
      </c>
      <c r="P81" s="96">
        <f>IF(P49=0,0,P49/TrRoad_act!P51*100)</f>
        <v>8.879217363999123</v>
      </c>
      <c r="Q81" s="96">
        <f>IF(Q49=0,0,Q49/TrRoad_act!Q51*100)</f>
        <v>8.8463806474995526</v>
      </c>
      <c r="R81" s="96">
        <f>IF(R49=0,0,R49/TrRoad_act!R51*100)</f>
        <v>8.7217001450622149</v>
      </c>
      <c r="S81" s="96">
        <f>IF(S49=0,0,S49/TrRoad_act!S51*100)</f>
        <v>9.0025160013956764</v>
      </c>
      <c r="T81" s="96">
        <f>IF(T49=0,0,T49/TrRoad_act!T51*100)</f>
        <v>8.9751411882820022</v>
      </c>
      <c r="U81" s="96">
        <f>IF(U49=0,0,U49/TrRoad_act!U51*100)</f>
        <v>8.9717735391540945</v>
      </c>
      <c r="V81" s="96">
        <f>IF(V49=0,0,V49/TrRoad_act!V51*100)</f>
        <v>8.9224119124786903</v>
      </c>
      <c r="W81" s="96">
        <f>IF(W49=0,0,W49/TrRoad_act!W51*100)</f>
        <v>9.0403579257919571</v>
      </c>
      <c r="X81" s="96">
        <f>IF(X49=0,0,X49/TrRoad_act!X51*100)</f>
        <v>8.9538275830861558</v>
      </c>
      <c r="Y81" s="96">
        <f>IF(Y49=0,0,Y49/TrRoad_act!Y51*100)</f>
        <v>8.9730822198280844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1.8522646210307518</v>
      </c>
      <c r="F82" s="96">
        <f>IF(F51=0,0,F51/TrRoad_act!F52*100)</f>
        <v>1.8522646210307514</v>
      </c>
      <c r="G82" s="96">
        <f>IF(G51=0,0,G51/TrRoad_act!G52*100)</f>
        <v>1.8125322648658941</v>
      </c>
      <c r="H82" s="96">
        <f>IF(H51=0,0,H51/TrRoad_act!H52*100)</f>
        <v>1.8125322648658941</v>
      </c>
      <c r="I82" s="96">
        <f>IF(I51=0,0,I51/TrRoad_act!I52*100)</f>
        <v>1.8125322648658941</v>
      </c>
      <c r="J82" s="96">
        <f>IF(J51=0,0,J51/TrRoad_act!J52*100)</f>
        <v>1.7788441167805802</v>
      </c>
      <c r="K82" s="96">
        <f>IF(K51=0,0,K51/TrRoad_act!K52*100)</f>
        <v>1.7716303613859685</v>
      </c>
      <c r="L82" s="96">
        <f>IF(L51=0,0,L51/TrRoad_act!L52*100)</f>
        <v>1.7716303613859687</v>
      </c>
      <c r="M82" s="96">
        <f>IF(M51=0,0,M51/TrRoad_act!M52*100)</f>
        <v>1.7575508986490553</v>
      </c>
      <c r="N82" s="96">
        <f>IF(N51=0,0,N51/TrRoad_act!N52*100)</f>
        <v>1.7610465383993159</v>
      </c>
      <c r="O82" s="96">
        <f>IF(O51=0,0,O51/TrRoad_act!O52*100)</f>
        <v>1.7610465383993161</v>
      </c>
      <c r="P82" s="96">
        <f>IF(P51=0,0,P51/TrRoad_act!P52*100)</f>
        <v>1.773211254439043</v>
      </c>
      <c r="Q82" s="96">
        <f>IF(Q51=0,0,Q51/TrRoad_act!Q52*100)</f>
        <v>1.9401240411004117</v>
      </c>
      <c r="R82" s="96">
        <f>IF(R51=0,0,R51/TrRoad_act!R52*100)</f>
        <v>1.9620210705536656</v>
      </c>
      <c r="S82" s="96">
        <f>IF(S51=0,0,S51/TrRoad_act!S52*100)</f>
        <v>1.8922670194684699</v>
      </c>
      <c r="T82" s="96">
        <f>IF(T51=0,0,T51/TrRoad_act!T52*100)</f>
        <v>1.8444511232341883</v>
      </c>
      <c r="U82" s="96">
        <f>IF(U51=0,0,U51/TrRoad_act!U52*100)</f>
        <v>1.8612506132943609</v>
      </c>
      <c r="V82" s="96">
        <f>IF(V51=0,0,V51/TrRoad_act!V52*100)</f>
        <v>1.9635672304691099</v>
      </c>
      <c r="W82" s="96">
        <f>IF(W51=0,0,W51/TrRoad_act!W52*100)</f>
        <v>2.0624292436476113</v>
      </c>
      <c r="X82" s="96">
        <f>IF(X51=0,0,X51/TrRoad_act!X52*100)</f>
        <v>2.688140300229608</v>
      </c>
      <c r="Y82" s="96">
        <f>IF(Y51=0,0,Y51/TrRoad_act!Y52*100)</f>
        <v>2.671459896903758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28.743815161925102</v>
      </c>
      <c r="C83" s="130">
        <f>IF(C52=0,0,C52/TrRoad_act!C53*100)</f>
        <v>23.42523069171299</v>
      </c>
      <c r="D83" s="130">
        <f>IF(D52=0,0,D52/TrRoad_act!D53*100)</f>
        <v>28.04480589717075</v>
      </c>
      <c r="E83" s="130">
        <f>IF(E52=0,0,E52/TrRoad_act!E53*100)</f>
        <v>29.039278879957784</v>
      </c>
      <c r="F83" s="130">
        <f>IF(F52=0,0,F52/TrRoad_act!F53*100)</f>
        <v>29.182590900335086</v>
      </c>
      <c r="G83" s="130">
        <f>IF(G52=0,0,G52/TrRoad_act!G53*100)</f>
        <v>28.897254192136568</v>
      </c>
      <c r="H83" s="130">
        <f>IF(H52=0,0,H52/TrRoad_act!H53*100)</f>
        <v>29.075437713039719</v>
      </c>
      <c r="I83" s="130">
        <f>IF(I52=0,0,I52/TrRoad_act!I53*100)</f>
        <v>30.432931556134911</v>
      </c>
      <c r="J83" s="130">
        <f>IF(J52=0,0,J52/TrRoad_act!J53*100)</f>
        <v>31.294934692428111</v>
      </c>
      <c r="K83" s="130">
        <f>IF(K52=0,0,K52/TrRoad_act!K53*100)</f>
        <v>33.28962224220713</v>
      </c>
      <c r="L83" s="130">
        <f>IF(L52=0,0,L52/TrRoad_act!L53*100)</f>
        <v>34.960472334099038</v>
      </c>
      <c r="M83" s="130">
        <f>IF(M52=0,0,M52/TrRoad_act!M53*100)</f>
        <v>33.547262398462522</v>
      </c>
      <c r="N83" s="130">
        <f>IF(N52=0,0,N52/TrRoad_act!N53*100)</f>
        <v>32.410186783869719</v>
      </c>
      <c r="O83" s="130">
        <f>IF(O52=0,0,O52/TrRoad_act!O53*100)</f>
        <v>37.893058686815422</v>
      </c>
      <c r="P83" s="130">
        <f>IF(P52=0,0,P52/TrRoad_act!P53*100)</f>
        <v>34.261668487788029</v>
      </c>
      <c r="Q83" s="130">
        <f>IF(Q52=0,0,Q52/TrRoad_act!Q53*100)</f>
        <v>33.422486335959135</v>
      </c>
      <c r="R83" s="130">
        <f>IF(R52=0,0,R52/TrRoad_act!R53*100)</f>
        <v>30.286042071029073</v>
      </c>
      <c r="S83" s="130">
        <f>IF(S52=0,0,S52/TrRoad_act!S53*100)</f>
        <v>35.790718410419117</v>
      </c>
      <c r="T83" s="130">
        <f>IF(T52=0,0,T52/TrRoad_act!T53*100)</f>
        <v>32.435930556512972</v>
      </c>
      <c r="U83" s="130">
        <f>IF(U52=0,0,U52/TrRoad_act!U53*100)</f>
        <v>39.563287173802642</v>
      </c>
      <c r="V83" s="130">
        <f>IF(V52=0,0,V52/TrRoad_act!V53*100)</f>
        <v>37.515931003818281</v>
      </c>
      <c r="W83" s="130">
        <f>IF(W52=0,0,W52/TrRoad_act!W53*100)</f>
        <v>36.079777439403131</v>
      </c>
      <c r="X83" s="130">
        <f>IF(X52=0,0,X52/TrRoad_act!X53*100)</f>
        <v>35.918799789143812</v>
      </c>
      <c r="Y83" s="130">
        <f>IF(Y52=0,0,Y52/TrRoad_act!Y53*100)</f>
        <v>39.348731975048096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32.124953040780952</v>
      </c>
      <c r="C84" s="97">
        <f>IF(C53=0,0,C53/TrRoad_act!C54*100)</f>
        <v>30.383612320622888</v>
      </c>
      <c r="D84" s="97">
        <f>IF(D53=0,0,D53/TrRoad_act!D54*100)</f>
        <v>31.653328781188794</v>
      </c>
      <c r="E84" s="97">
        <f>IF(E53=0,0,E53/TrRoad_act!E54*100)</f>
        <v>31.888228222656977</v>
      </c>
      <c r="F84" s="97">
        <f>IF(F53=0,0,F53/TrRoad_act!F54*100)</f>
        <v>31.879414799796272</v>
      </c>
      <c r="G84" s="97">
        <f>IF(G53=0,0,G53/TrRoad_act!G54*100)</f>
        <v>31.757383983573234</v>
      </c>
      <c r="H84" s="97">
        <f>IF(H53=0,0,H53/TrRoad_act!H54*100)</f>
        <v>31.75153023881921</v>
      </c>
      <c r="I84" s="97">
        <f>IF(I53=0,0,I53/TrRoad_act!I54*100)</f>
        <v>32.07537655790604</v>
      </c>
      <c r="J84" s="97">
        <f>IF(J53=0,0,J53/TrRoad_act!J54*100)</f>
        <v>32.421919478068283</v>
      </c>
      <c r="K84" s="97">
        <f>IF(K53=0,0,K53/TrRoad_act!K54*100)</f>
        <v>32.842493205770062</v>
      </c>
      <c r="L84" s="97">
        <f>IF(L53=0,0,L53/TrRoad_act!L54*100)</f>
        <v>33.324084198645821</v>
      </c>
      <c r="M84" s="97">
        <f>IF(M53=0,0,M53/TrRoad_act!M54*100)</f>
        <v>32.889119254751456</v>
      </c>
      <c r="N84" s="97">
        <f>IF(N53=0,0,N53/TrRoad_act!N54*100)</f>
        <v>32.502970072782439</v>
      </c>
      <c r="O84" s="97">
        <f>IF(O53=0,0,O53/TrRoad_act!O54*100)</f>
        <v>33.954396972713141</v>
      </c>
      <c r="P84" s="97">
        <f>IF(P53=0,0,P53/TrRoad_act!P54*100)</f>
        <v>32.73188836387321</v>
      </c>
      <c r="Q84" s="97">
        <f>IF(Q53=0,0,Q53/TrRoad_act!Q54*100)</f>
        <v>32.251106147992559</v>
      </c>
      <c r="R84" s="97">
        <f>IF(R53=0,0,R53/TrRoad_act!R54*100)</f>
        <v>31.197697827955146</v>
      </c>
      <c r="S84" s="97">
        <f>IF(S53=0,0,S53/TrRoad_act!S54*100)</f>
        <v>32.496842708388805</v>
      </c>
      <c r="T84" s="97">
        <f>IF(T53=0,0,T53/TrRoad_act!T54*100)</f>
        <v>31.26539418612963</v>
      </c>
      <c r="U84" s="97">
        <f>IF(U53=0,0,U53/TrRoad_act!U54*100)</f>
        <v>33.056782256368727</v>
      </c>
      <c r="V84" s="97">
        <f>IF(V53=0,0,V53/TrRoad_act!V54*100)</f>
        <v>32.266951662615476</v>
      </c>
      <c r="W84" s="97">
        <f>IF(W53=0,0,W53/TrRoad_act!W54*100)</f>
        <v>31.630754692333447</v>
      </c>
      <c r="X84" s="97">
        <f>IF(X53=0,0,X53/TrRoad_act!X54*100)</f>
        <v>31.364879023488385</v>
      </c>
      <c r="Y84" s="97">
        <f>IF(Y53=0,0,Y53/TrRoad_act!Y54*100)</f>
        <v>32.02433521252582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26.657557679599485</v>
      </c>
      <c r="C85" s="98">
        <f>IF(C55=0,0,C55/TrRoad_act!C55*100)</f>
        <v>16.728859736113229</v>
      </c>
      <c r="D85" s="98">
        <f>IF(D55=0,0,D55/TrRoad_act!D55*100)</f>
        <v>23.661647457071371</v>
      </c>
      <c r="E85" s="98">
        <f>IF(E55=0,0,E55/TrRoad_act!E55*100)</f>
        <v>25.047254813686131</v>
      </c>
      <c r="F85" s="98">
        <f>IF(F55=0,0,F55/TrRoad_act!F55*100)</f>
        <v>25.79362688936002</v>
      </c>
      <c r="G85" s="98">
        <f>IF(G55=0,0,G55/TrRoad_act!G55*100)</f>
        <v>25.414454503053392</v>
      </c>
      <c r="H85" s="98">
        <f>IF(H55=0,0,H55/TrRoad_act!H55*100)</f>
        <v>24.784279918852771</v>
      </c>
      <c r="I85" s="98">
        <f>IF(I55=0,0,I55/TrRoad_act!I55*100)</f>
        <v>28.004787669742072</v>
      </c>
      <c r="J85" s="98">
        <f>IF(J55=0,0,J55/TrRoad_act!J55*100)</f>
        <v>28.465733442542014</v>
      </c>
      <c r="K85" s="98">
        <f>IF(K55=0,0,K55/TrRoad_act!K55*100)</f>
        <v>34.380458206833396</v>
      </c>
      <c r="L85" s="98">
        <f>IF(L55=0,0,L55/TrRoad_act!L55*100)</f>
        <v>38.846760775398231</v>
      </c>
      <c r="M85" s="98">
        <f>IF(M55=0,0,M55/TrRoad_act!M55*100)</f>
        <v>35.101342854112538</v>
      </c>
      <c r="N85" s="98">
        <f>IF(N55=0,0,N55/TrRoad_act!N55*100)</f>
        <v>32.2010445268808</v>
      </c>
      <c r="O85" s="98">
        <f>IF(O55=0,0,O55/TrRoad_act!O55*100)</f>
        <v>46.505034105115897</v>
      </c>
      <c r="P85" s="98">
        <f>IF(P55=0,0,P55/TrRoad_act!P55*100)</f>
        <v>37.194874885966989</v>
      </c>
      <c r="Q85" s="98">
        <f>IF(Q55=0,0,Q55/TrRoad_act!Q55*100)</f>
        <v>35.38829817520508</v>
      </c>
      <c r="R85" s="98">
        <f>IF(R55=0,0,R55/TrRoad_act!R55*100)</f>
        <v>28.77577430193497</v>
      </c>
      <c r="S85" s="98">
        <f>IF(S55=0,0,S55/TrRoad_act!S55*100)</f>
        <v>40.457909665624427</v>
      </c>
      <c r="T85" s="98">
        <f>IF(T55=0,0,T55/TrRoad_act!T55*100)</f>
        <v>34.086812312194681</v>
      </c>
      <c r="U85" s="98">
        <f>IF(U55=0,0,U55/TrRoad_act!U55*100)</f>
        <v>49.948964513429644</v>
      </c>
      <c r="V85" s="98">
        <f>IF(V55=0,0,V55/TrRoad_act!V55*100)</f>
        <v>45.802840237684933</v>
      </c>
      <c r="W85" s="98">
        <f>IF(W55=0,0,W55/TrRoad_act!W55*100)</f>
        <v>44.332696558611403</v>
      </c>
      <c r="X85" s="98">
        <f>IF(X55=0,0,X55/TrRoad_act!X55*100)</f>
        <v>44.037151309404429</v>
      </c>
      <c r="Y85" s="98">
        <f>IF(Y55=0,0,Y55/TrRoad_act!Y55*100)</f>
        <v>51.926762847656541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49.733382290449271</v>
      </c>
      <c r="C88" s="29">
        <f>IF(TrRoad_act!C4=0,0,C18/TrRoad_act!C4*1000)</f>
        <v>47.267619844593391</v>
      </c>
      <c r="D88" s="29">
        <f>IF(TrRoad_act!D4=0,0,D18/TrRoad_act!D4*1000)</f>
        <v>45.924507149601418</v>
      </c>
      <c r="E88" s="29">
        <f>IF(TrRoad_act!E4=0,0,E18/TrRoad_act!E4*1000)</f>
        <v>47.958090097776207</v>
      </c>
      <c r="F88" s="29">
        <f>IF(TrRoad_act!F4=0,0,F18/TrRoad_act!F4*1000)</f>
        <v>47.10390014132814</v>
      </c>
      <c r="G88" s="29">
        <f>IF(TrRoad_act!G4=0,0,G18/TrRoad_act!G4*1000)</f>
        <v>47.936018607288219</v>
      </c>
      <c r="H88" s="29">
        <f>IF(TrRoad_act!H4=0,0,H18/TrRoad_act!H4*1000)</f>
        <v>48.955185572269933</v>
      </c>
      <c r="I88" s="29">
        <f>IF(TrRoad_act!I4=0,0,I18/TrRoad_act!I4*1000)</f>
        <v>51.270163941786812</v>
      </c>
      <c r="J88" s="29">
        <f>IF(TrRoad_act!J4=0,0,J18/TrRoad_act!J4*1000)</f>
        <v>48.343159269035091</v>
      </c>
      <c r="K88" s="29">
        <f>IF(TrRoad_act!K4=0,0,K18/TrRoad_act!K4*1000)</f>
        <v>50.588860244182932</v>
      </c>
      <c r="L88" s="29">
        <f>IF(TrRoad_act!L4=0,0,L18/TrRoad_act!L4*1000)</f>
        <v>50.534641814159635</v>
      </c>
      <c r="M88" s="29">
        <f>IF(TrRoad_act!M4=0,0,M18/TrRoad_act!M4*1000)</f>
        <v>50.736943853056566</v>
      </c>
      <c r="N88" s="29">
        <f>IF(TrRoad_act!N4=0,0,N18/TrRoad_act!N4*1000)</f>
        <v>48.888882298269472</v>
      </c>
      <c r="O88" s="29">
        <f>IF(TrRoad_act!O4=0,0,O18/TrRoad_act!O4*1000)</f>
        <v>47.615284607522639</v>
      </c>
      <c r="P88" s="29">
        <f>IF(TrRoad_act!P4=0,0,P18/TrRoad_act!P4*1000)</f>
        <v>48.047695210015235</v>
      </c>
      <c r="Q88" s="29">
        <f>IF(TrRoad_act!Q4=0,0,Q18/TrRoad_act!Q4*1000)</f>
        <v>50.499293435486351</v>
      </c>
      <c r="R88" s="29">
        <f>IF(TrRoad_act!R4=0,0,R18/TrRoad_act!R4*1000)</f>
        <v>52.15393333753903</v>
      </c>
      <c r="S88" s="29">
        <f>IF(TrRoad_act!S4=0,0,S18/TrRoad_act!S4*1000)</f>
        <v>53.183776634151855</v>
      </c>
      <c r="T88" s="29">
        <f>IF(TrRoad_act!T4=0,0,T18/TrRoad_act!T4*1000)</f>
        <v>53.760084175822847</v>
      </c>
      <c r="U88" s="29">
        <f>IF(TrRoad_act!U4=0,0,U18/TrRoad_act!U4*1000)</f>
        <v>54.543524464129383</v>
      </c>
      <c r="V88" s="29">
        <f>IF(TrRoad_act!V4=0,0,V18/TrRoad_act!V4*1000)</f>
        <v>60.965880418191112</v>
      </c>
      <c r="W88" s="29">
        <f>IF(TrRoad_act!W4=0,0,W18/TrRoad_act!W4*1000)</f>
        <v>59.165499856305949</v>
      </c>
      <c r="X88" s="29">
        <f>IF(TrRoad_act!X4=0,0,X18/TrRoad_act!X4*1000)</f>
        <v>58.257267298114783</v>
      </c>
      <c r="Y88" s="29">
        <f>IF(TrRoad_act!Y4=0,0,Y18/TrRoad_act!Y4*1000)</f>
        <v>63.720438528537748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34.579496762363327</v>
      </c>
      <c r="C89" s="152">
        <f>IF(TrRoad_act!C5=0,0,C19/TrRoad_act!C5*1000)</f>
        <v>34.509130625429485</v>
      </c>
      <c r="D89" s="152">
        <f>IF(TrRoad_act!D5=0,0,D19/TrRoad_act!D5*1000)</f>
        <v>34.041718718498082</v>
      </c>
      <c r="E89" s="152">
        <f>IF(TrRoad_act!E5=0,0,E19/TrRoad_act!E5*1000)</f>
        <v>32.9416875922321</v>
      </c>
      <c r="F89" s="152">
        <f>IF(TrRoad_act!F5=0,0,F19/TrRoad_act!F5*1000)</f>
        <v>32.116217380060583</v>
      </c>
      <c r="G89" s="152">
        <f>IF(TrRoad_act!G5=0,0,G19/TrRoad_act!G5*1000)</f>
        <v>31.39665154683107</v>
      </c>
      <c r="H89" s="152">
        <f>IF(TrRoad_act!H5=0,0,H19/TrRoad_act!H5*1000)</f>
        <v>30.780511120536193</v>
      </c>
      <c r="I89" s="152">
        <f>IF(TrRoad_act!I5=0,0,I19/TrRoad_act!I5*1000)</f>
        <v>30.403111290079359</v>
      </c>
      <c r="J89" s="152">
        <f>IF(TrRoad_act!J5=0,0,J19/TrRoad_act!J5*1000)</f>
        <v>30.104043089919699</v>
      </c>
      <c r="K89" s="152">
        <f>IF(TrRoad_act!K5=0,0,K19/TrRoad_act!K5*1000)</f>
        <v>29.89378015660758</v>
      </c>
      <c r="L89" s="152">
        <f>IF(TrRoad_act!L5=0,0,L19/TrRoad_act!L5*1000)</f>
        <v>29.778846736808049</v>
      </c>
      <c r="M89" s="152">
        <f>IF(TrRoad_act!M5=0,0,M19/TrRoad_act!M5*1000)</f>
        <v>29.769254710843548</v>
      </c>
      <c r="N89" s="152">
        <f>IF(TrRoad_act!N5=0,0,N19/TrRoad_act!N5*1000)</f>
        <v>29.880105551245858</v>
      </c>
      <c r="O89" s="152">
        <f>IF(TrRoad_act!O5=0,0,O19/TrRoad_act!O5*1000)</f>
        <v>29.681503611185992</v>
      </c>
      <c r="P89" s="152">
        <f>IF(TrRoad_act!P5=0,0,P19/TrRoad_act!P5*1000)</f>
        <v>29.395072381013161</v>
      </c>
      <c r="Q89" s="152">
        <f>IF(TrRoad_act!Q5=0,0,Q19/TrRoad_act!Q5*1000)</f>
        <v>29.296099488540431</v>
      </c>
      <c r="R89" s="152">
        <f>IF(TrRoad_act!R5=0,0,R19/TrRoad_act!R5*1000)</f>
        <v>28.995121514045145</v>
      </c>
      <c r="S89" s="152">
        <f>IF(TrRoad_act!S5=0,0,S19/TrRoad_act!S5*1000)</f>
        <v>29.00899786160474</v>
      </c>
      <c r="T89" s="152">
        <f>IF(TrRoad_act!T5=0,0,T19/TrRoad_act!T5*1000)</f>
        <v>28.782839436583696</v>
      </c>
      <c r="U89" s="152">
        <f>IF(TrRoad_act!U5=0,0,U19/TrRoad_act!U5*1000)</f>
        <v>28.526603238276842</v>
      </c>
      <c r="V89" s="152">
        <f>IF(TrRoad_act!V5=0,0,V19/TrRoad_act!V5*1000)</f>
        <v>28.479439253828673</v>
      </c>
      <c r="W89" s="152">
        <f>IF(TrRoad_act!W5=0,0,W19/TrRoad_act!W5*1000)</f>
        <v>28.477984093219124</v>
      </c>
      <c r="X89" s="152">
        <f>IF(TrRoad_act!X5=0,0,X19/TrRoad_act!X5*1000)</f>
        <v>28.659466683873561</v>
      </c>
      <c r="Y89" s="152">
        <f>IF(TrRoad_act!Y5=0,0,Y19/TrRoad_act!Y5*1000)</f>
        <v>28.521599676547467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49.296010100449976</v>
      </c>
      <c r="C90" s="116">
        <f>IF(TrRoad_act!C6=0,0,C21/TrRoad_act!C6*1000)</f>
        <v>47.058011544124163</v>
      </c>
      <c r="D90" s="116">
        <f>IF(TrRoad_act!D6=0,0,D21/TrRoad_act!D6*1000)</f>
        <v>45.762174006374295</v>
      </c>
      <c r="E90" s="116">
        <f>IF(TrRoad_act!E6=0,0,E21/TrRoad_act!E6*1000)</f>
        <v>48.46647269033965</v>
      </c>
      <c r="F90" s="116">
        <f>IF(TrRoad_act!F6=0,0,F21/TrRoad_act!F6*1000)</f>
        <v>46.998958594700724</v>
      </c>
      <c r="G90" s="116">
        <f>IF(TrRoad_act!G6=0,0,G21/TrRoad_act!G6*1000)</f>
        <v>48.095551589057386</v>
      </c>
      <c r="H90" s="116">
        <f>IF(TrRoad_act!H6=0,0,H21/TrRoad_act!H6*1000)</f>
        <v>49.579307403065279</v>
      </c>
      <c r="I90" s="116">
        <f>IF(TrRoad_act!I6=0,0,I21/TrRoad_act!I6*1000)</f>
        <v>52.5427691540729</v>
      </c>
      <c r="J90" s="116">
        <f>IF(TrRoad_act!J6=0,0,J21/TrRoad_act!J6*1000)</f>
        <v>49.672155426444306</v>
      </c>
      <c r="K90" s="116">
        <f>IF(TrRoad_act!K6=0,0,K21/TrRoad_act!K6*1000)</f>
        <v>50.907680115071223</v>
      </c>
      <c r="L90" s="116">
        <f>IF(TrRoad_act!L6=0,0,L21/TrRoad_act!L6*1000)</f>
        <v>50.494697370456748</v>
      </c>
      <c r="M90" s="116">
        <f>IF(TrRoad_act!M6=0,0,M21/TrRoad_act!M6*1000)</f>
        <v>50.800894033559153</v>
      </c>
      <c r="N90" s="116">
        <f>IF(TrRoad_act!N6=0,0,N21/TrRoad_act!N6*1000)</f>
        <v>49.023480067305265</v>
      </c>
      <c r="O90" s="116">
        <f>IF(TrRoad_act!O6=0,0,O21/TrRoad_act!O6*1000)</f>
        <v>47.992976377522076</v>
      </c>
      <c r="P90" s="116">
        <f>IF(TrRoad_act!P6=0,0,P21/TrRoad_act!P6*1000)</f>
        <v>48.671979598467566</v>
      </c>
      <c r="Q90" s="116">
        <f>IF(TrRoad_act!Q6=0,0,Q21/TrRoad_act!Q6*1000)</f>
        <v>50.567926132611795</v>
      </c>
      <c r="R90" s="116">
        <f>IF(TrRoad_act!R6=0,0,R21/TrRoad_act!R6*1000)</f>
        <v>53.010459602191347</v>
      </c>
      <c r="S90" s="116">
        <f>IF(TrRoad_act!S6=0,0,S21/TrRoad_act!S6*1000)</f>
        <v>54.535338499784849</v>
      </c>
      <c r="T90" s="116">
        <f>IF(TrRoad_act!T6=0,0,T21/TrRoad_act!T6*1000)</f>
        <v>54.48900569224044</v>
      </c>
      <c r="U90" s="116">
        <f>IF(TrRoad_act!U6=0,0,U21/TrRoad_act!U6*1000)</f>
        <v>57.01969236747648</v>
      </c>
      <c r="V90" s="116">
        <f>IF(TrRoad_act!V6=0,0,V21/TrRoad_act!V6*1000)</f>
        <v>61.763660171908754</v>
      </c>
      <c r="W90" s="116">
        <f>IF(TrRoad_act!W6=0,0,W21/TrRoad_act!W6*1000)</f>
        <v>59.951496790696318</v>
      </c>
      <c r="X90" s="116">
        <f>IF(TrRoad_act!X6=0,0,X21/TrRoad_act!X6*1000)</f>
        <v>60.378085303449538</v>
      </c>
      <c r="Y90" s="116">
        <f>IF(TrRoad_act!Y6=0,0,Y21/TrRoad_act!Y6*1000)</f>
        <v>66.647400102330977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51.355027629628111</v>
      </c>
      <c r="C91" s="87">
        <f>IF(TrRoad_act!C7=0,0,C22/TrRoad_act!C7*1000)</f>
        <v>47.738339795918911</v>
      </c>
      <c r="D91" s="87">
        <f>IF(TrRoad_act!D7=0,0,D22/TrRoad_act!D7*1000)</f>
        <v>47.531024315557119</v>
      </c>
      <c r="E91" s="87">
        <f>IF(TrRoad_act!E7=0,0,E22/TrRoad_act!E7*1000)</f>
        <v>50.878665742645246</v>
      </c>
      <c r="F91" s="87">
        <f>IF(TrRoad_act!F7=0,0,F22/TrRoad_act!F7*1000)</f>
        <v>49.732226896240043</v>
      </c>
      <c r="G91" s="87">
        <f>IF(TrRoad_act!G7=0,0,G22/TrRoad_act!G7*1000)</f>
        <v>51.321357097594877</v>
      </c>
      <c r="H91" s="87">
        <f>IF(TrRoad_act!H7=0,0,H22/TrRoad_act!H7*1000)</f>
        <v>54.014149222473932</v>
      </c>
      <c r="I91" s="87">
        <f>IF(TrRoad_act!I7=0,0,I22/TrRoad_act!I7*1000)</f>
        <v>57.253782212021534</v>
      </c>
      <c r="J91" s="87">
        <f>IF(TrRoad_act!J7=0,0,J22/TrRoad_act!J7*1000)</f>
        <v>49.105423869496114</v>
      </c>
      <c r="K91" s="87">
        <f>IF(TrRoad_act!K7=0,0,K22/TrRoad_act!K7*1000)</f>
        <v>49.890626217089675</v>
      </c>
      <c r="L91" s="87">
        <f>IF(TrRoad_act!L7=0,0,L22/TrRoad_act!L7*1000)</f>
        <v>49.086375300834995</v>
      </c>
      <c r="M91" s="87">
        <f>IF(TrRoad_act!M7=0,0,M22/TrRoad_act!M7*1000)</f>
        <v>50.21600242910818</v>
      </c>
      <c r="N91" s="87">
        <f>IF(TrRoad_act!N7=0,0,N22/TrRoad_act!N7*1000)</f>
        <v>46.755204994814946</v>
      </c>
      <c r="O91" s="87">
        <f>IF(TrRoad_act!O7=0,0,O22/TrRoad_act!O7*1000)</f>
        <v>47.472561396657426</v>
      </c>
      <c r="P91" s="87">
        <f>IF(TrRoad_act!P7=0,0,P22/TrRoad_act!P7*1000)</f>
        <v>48.817078019396391</v>
      </c>
      <c r="Q91" s="87">
        <f>IF(TrRoad_act!Q7=0,0,Q22/TrRoad_act!Q7*1000)</f>
        <v>49.658674198543544</v>
      </c>
      <c r="R91" s="87">
        <f>IF(TrRoad_act!R7=0,0,R22/TrRoad_act!R7*1000)</f>
        <v>53.582705888235836</v>
      </c>
      <c r="S91" s="87">
        <f>IF(TrRoad_act!S7=0,0,S22/TrRoad_act!S7*1000)</f>
        <v>53.384332058722727</v>
      </c>
      <c r="T91" s="87">
        <f>IF(TrRoad_act!T7=0,0,T22/TrRoad_act!T7*1000)</f>
        <v>53.484080973260141</v>
      </c>
      <c r="U91" s="87">
        <f>IF(TrRoad_act!U7=0,0,U22/TrRoad_act!U7*1000)</f>
        <v>54.360471637672738</v>
      </c>
      <c r="V91" s="87">
        <f>IF(TrRoad_act!V7=0,0,V22/TrRoad_act!V7*1000)</f>
        <v>58.932963356498028</v>
      </c>
      <c r="W91" s="87">
        <f>IF(TrRoad_act!W7=0,0,W22/TrRoad_act!W7*1000)</f>
        <v>59.920063142574229</v>
      </c>
      <c r="X91" s="87">
        <f>IF(TrRoad_act!X7=0,0,X22/TrRoad_act!X7*1000)</f>
        <v>66.465094764833864</v>
      </c>
      <c r="Y91" s="87">
        <f>IF(TrRoad_act!Y7=0,0,Y22/TrRoad_act!Y7*1000)</f>
        <v>73.480371901830623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42.23657503522103</v>
      </c>
      <c r="C92" s="87">
        <f>IF(TrRoad_act!C8=0,0,C24/TrRoad_act!C8*1000)</f>
        <v>45.005373314167677</v>
      </c>
      <c r="D92" s="87">
        <f>IF(TrRoad_act!D8=0,0,D24/TrRoad_act!D8*1000)</f>
        <v>40.651765693754712</v>
      </c>
      <c r="E92" s="87">
        <f>IF(TrRoad_act!E8=0,0,E24/TrRoad_act!E8*1000)</f>
        <v>43.591126078321629</v>
      </c>
      <c r="F92" s="87">
        <f>IF(TrRoad_act!F8=0,0,F24/TrRoad_act!F8*1000)</f>
        <v>42.423223209446739</v>
      </c>
      <c r="G92" s="87">
        <f>IF(TrRoad_act!G8=0,0,G24/TrRoad_act!G8*1000)</f>
        <v>43.627875042575262</v>
      </c>
      <c r="H92" s="87">
        <f>IF(TrRoad_act!H8=0,0,H24/TrRoad_act!H8*1000)</f>
        <v>44.82814091698566</v>
      </c>
      <c r="I92" s="87">
        <f>IF(TrRoad_act!I8=0,0,I24/TrRoad_act!I8*1000)</f>
        <v>48.731368649012623</v>
      </c>
      <c r="J92" s="87">
        <f>IF(TrRoad_act!J8=0,0,J24/TrRoad_act!J8*1000)</f>
        <v>51.119708210386904</v>
      </c>
      <c r="K92" s="87">
        <f>IF(TrRoad_act!K8=0,0,K24/TrRoad_act!K8*1000)</f>
        <v>53.660225097560726</v>
      </c>
      <c r="L92" s="87">
        <f>IF(TrRoad_act!L8=0,0,L24/TrRoad_act!L8*1000)</f>
        <v>53.251319150332669</v>
      </c>
      <c r="M92" s="87">
        <f>IF(TrRoad_act!M8=0,0,M24/TrRoad_act!M8*1000)</f>
        <v>52.42218049657312</v>
      </c>
      <c r="N92" s="87">
        <f>IF(TrRoad_act!N8=0,0,N24/TrRoad_act!N8*1000)</f>
        <v>52.528221725352502</v>
      </c>
      <c r="O92" s="87">
        <f>IF(TrRoad_act!O8=0,0,O24/TrRoad_act!O8*1000)</f>
        <v>49.369695531952374</v>
      </c>
      <c r="P92" s="87">
        <f>IF(TrRoad_act!P8=0,0,P24/TrRoad_act!P8*1000)</f>
        <v>49.362169209153144</v>
      </c>
      <c r="Q92" s="87">
        <f>IF(TrRoad_act!Q8=0,0,Q24/TrRoad_act!Q8*1000)</f>
        <v>52.271426010316922</v>
      </c>
      <c r="R92" s="87">
        <f>IF(TrRoad_act!R8=0,0,R24/TrRoad_act!R8*1000)</f>
        <v>53.10255697382523</v>
      </c>
      <c r="S92" s="87">
        <f>IF(TrRoad_act!S8=0,0,S24/TrRoad_act!S8*1000)</f>
        <v>55.769243767525033</v>
      </c>
      <c r="T92" s="87">
        <f>IF(TrRoad_act!T8=0,0,T24/TrRoad_act!T8*1000)</f>
        <v>55.31352888296626</v>
      </c>
      <c r="U92" s="87">
        <f>IF(TrRoad_act!U8=0,0,U24/TrRoad_act!U8*1000)</f>
        <v>59.138935380292267</v>
      </c>
      <c r="V92" s="87">
        <f>IF(TrRoad_act!V8=0,0,V24/TrRoad_act!V8*1000)</f>
        <v>64.211656157572577</v>
      </c>
      <c r="W92" s="87">
        <f>IF(TrRoad_act!W8=0,0,W24/TrRoad_act!W8*1000)</f>
        <v>60.857921745210859</v>
      </c>
      <c r="X92" s="87">
        <f>IF(TrRoad_act!X8=0,0,X24/TrRoad_act!X8*1000)</f>
        <v>58.51517654360363</v>
      </c>
      <c r="Y92" s="87">
        <f>IF(TrRoad_act!Y8=0,0,Y24/TrRoad_act!Y8*1000)</f>
        <v>64.811222995300412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42.826157294004375</v>
      </c>
      <c r="C93" s="87">
        <f>IF(TrRoad_act!C9=0,0,C26/TrRoad_act!C9*1000)</f>
        <v>43.511614110974492</v>
      </c>
      <c r="D93" s="87">
        <f>IF(TrRoad_act!D9=0,0,D26/TrRoad_act!D9*1000)</f>
        <v>44.181077551810517</v>
      </c>
      <c r="E93" s="87">
        <f>IF(TrRoad_act!E9=0,0,E26/TrRoad_act!E9*1000)</f>
        <v>43.718227189785395</v>
      </c>
      <c r="F93" s="87">
        <f>IF(TrRoad_act!F9=0,0,F26/TrRoad_act!F9*1000)</f>
        <v>42.701247576036366</v>
      </c>
      <c r="G93" s="87">
        <f>IF(TrRoad_act!G9=0,0,G26/TrRoad_act!G9*1000)</f>
        <v>42.848919281535323</v>
      </c>
      <c r="H93" s="87">
        <f>IF(TrRoad_act!H9=0,0,H26/TrRoad_act!H9*1000)</f>
        <v>41.336361669113252</v>
      </c>
      <c r="I93" s="87">
        <f>IF(TrRoad_act!I9=0,0,I26/TrRoad_act!I9*1000)</f>
        <v>41.203884442821732</v>
      </c>
      <c r="J93" s="87">
        <f>IF(TrRoad_act!J9=0,0,J26/TrRoad_act!J9*1000)</f>
        <v>45.135857435443498</v>
      </c>
      <c r="K93" s="87">
        <f>IF(TrRoad_act!K9=0,0,K26/TrRoad_act!K9*1000)</f>
        <v>42.520819034951259</v>
      </c>
      <c r="L93" s="87">
        <f>IF(TrRoad_act!L9=0,0,L26/TrRoad_act!L9*1000)</f>
        <v>43.57072975196359</v>
      </c>
      <c r="M93" s="87">
        <f>IF(TrRoad_act!M9=0,0,M26/TrRoad_act!M9*1000)</f>
        <v>43.708694176015143</v>
      </c>
      <c r="N93" s="87">
        <f>IF(TrRoad_act!N9=0,0,N26/TrRoad_act!N9*1000)</f>
        <v>41.074306001656538</v>
      </c>
      <c r="O93" s="87">
        <f>IF(TrRoad_act!O9=0,0,O26/TrRoad_act!O9*1000)</f>
        <v>41.168228745940816</v>
      </c>
      <c r="P93" s="87">
        <f>IF(TrRoad_act!P9=0,0,P26/TrRoad_act!P9*1000)</f>
        <v>41.997823215831858</v>
      </c>
      <c r="Q93" s="87">
        <f>IF(TrRoad_act!Q9=0,0,Q26/TrRoad_act!Q9*1000)</f>
        <v>42.857634963198613</v>
      </c>
      <c r="R93" s="87">
        <f>IF(TrRoad_act!R9=0,0,R26/TrRoad_act!R9*1000)</f>
        <v>48.700723391762565</v>
      </c>
      <c r="S93" s="87">
        <f>IF(TrRoad_act!S9=0,0,S26/TrRoad_act!S9*1000)</f>
        <v>50.144299897774104</v>
      </c>
      <c r="T93" s="87">
        <f>IF(TrRoad_act!T9=0,0,T26/TrRoad_act!T9*1000)</f>
        <v>52.94288959196011</v>
      </c>
      <c r="U93" s="87">
        <f>IF(TrRoad_act!U9=0,0,U26/TrRoad_act!U9*1000)</f>
        <v>51.500993792136036</v>
      </c>
      <c r="V93" s="87">
        <f>IF(TrRoad_act!V9=0,0,V26/TrRoad_act!V9*1000)</f>
        <v>52.697895960344063</v>
      </c>
      <c r="W93" s="87">
        <f>IF(TrRoad_act!W9=0,0,W26/TrRoad_act!W9*1000)</f>
        <v>51.043795922066053</v>
      </c>
      <c r="X93" s="87">
        <f>IF(TrRoad_act!X9=0,0,X26/TrRoad_act!X9*1000)</f>
        <v>49.446330572229257</v>
      </c>
      <c r="Y93" s="87">
        <f>IF(TrRoad_act!Y9=0,0,Y26/TrRoad_act!Y9*1000)</f>
        <v>50.411482301021429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51.183485248564175</v>
      </c>
      <c r="L94" s="87">
        <f>IF(TrRoad_act!L10=0,0,L27/TrRoad_act!L10*1000)</f>
        <v>52.978418079613476</v>
      </c>
      <c r="M94" s="87">
        <f>IF(TrRoad_act!M10=0,0,M27/TrRoad_act!M10*1000)</f>
        <v>53.034631841242216</v>
      </c>
      <c r="N94" s="87">
        <f>IF(TrRoad_act!N10=0,0,N27/TrRoad_act!N10*1000)</f>
        <v>49.458737457762808</v>
      </c>
      <c r="O94" s="87">
        <f>IF(TrRoad_act!O10=0,0,O27/TrRoad_act!O10*1000)</f>
        <v>48.865425124291541</v>
      </c>
      <c r="P94" s="87">
        <f>IF(TrRoad_act!P10=0,0,P27/TrRoad_act!P10*1000)</f>
        <v>49.358769274413213</v>
      </c>
      <c r="Q94" s="87">
        <f>IF(TrRoad_act!Q10=0,0,Q27/TrRoad_act!Q10*1000)</f>
        <v>50.031374069351521</v>
      </c>
      <c r="R94" s="87">
        <f>IF(TrRoad_act!R10=0,0,R27/TrRoad_act!R10*1000)</f>
        <v>55.843343072762877</v>
      </c>
      <c r="S94" s="87">
        <f>IF(TrRoad_act!S10=0,0,S27/TrRoad_act!S10*1000)</f>
        <v>55.527229552565096</v>
      </c>
      <c r="T94" s="87">
        <f>IF(TrRoad_act!T10=0,0,T27/TrRoad_act!T10*1000)</f>
        <v>58.738729877868082</v>
      </c>
      <c r="U94" s="87">
        <f>IF(TrRoad_act!U10=0,0,U27/TrRoad_act!U10*1000)</f>
        <v>56.694477650456918</v>
      </c>
      <c r="V94" s="87">
        <f>IF(TrRoad_act!V10=0,0,V27/TrRoad_act!V10*1000)</f>
        <v>58.230532899359218</v>
      </c>
      <c r="W94" s="87">
        <f>IF(TrRoad_act!W10=0,0,W27/TrRoad_act!W10*1000)</f>
        <v>57.463196902467402</v>
      </c>
      <c r="X94" s="87">
        <f>IF(TrRoad_act!X10=0,0,X27/TrRoad_act!X10*1000)</f>
        <v>55.76943514505713</v>
      </c>
      <c r="Y94" s="87">
        <f>IF(TrRoad_act!Y10=0,0,Y27/TrRoad_act!Y10*1000)</f>
        <v>55.69674047663802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0</v>
      </c>
      <c r="P95" s="87">
        <f>IF(TrRoad_act!P11=0,0,P29/TrRoad_act!P11*1000)</f>
        <v>27.238271913715106</v>
      </c>
      <c r="Q95" s="87">
        <f>IF(TrRoad_act!Q11=0,0,Q29/TrRoad_act!Q11*1000)</f>
        <v>28.38811305023065</v>
      </c>
      <c r="R95" s="87">
        <f>IF(TrRoad_act!R11=0,0,R29/TrRoad_act!R11*1000)</f>
        <v>33.115655725463448</v>
      </c>
      <c r="S95" s="87">
        <f>IF(TrRoad_act!S11=0,0,S29/TrRoad_act!S11*1000)</f>
        <v>34.746833227246832</v>
      </c>
      <c r="T95" s="87">
        <f>IF(TrRoad_act!T11=0,0,T29/TrRoad_act!T11*1000)</f>
        <v>37.771181355099962</v>
      </c>
      <c r="U95" s="87">
        <f>IF(TrRoad_act!U11=0,0,U29/TrRoad_act!U11*1000)</f>
        <v>38.561302810819697</v>
      </c>
      <c r="V95" s="87">
        <f>IF(TrRoad_act!V11=0,0,V29/TrRoad_act!V11*1000)</f>
        <v>37.217597114607578</v>
      </c>
      <c r="W95" s="87">
        <f>IF(TrRoad_act!W11=0,0,W29/TrRoad_act!W11*1000)</f>
        <v>36.974404564065644</v>
      </c>
      <c r="X95" s="87">
        <f>IF(TrRoad_act!X11=0,0,X29/TrRoad_act!X11*1000)</f>
        <v>36.048066891489903</v>
      </c>
      <c r="Y95" s="87">
        <f>IF(TrRoad_act!Y11=0,0,Y29/TrRoad_act!Y11*1000)</f>
        <v>38.92952267031027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0</v>
      </c>
      <c r="N96" s="87">
        <f>IF(TrRoad_act!N12=0,0,N32/TrRoad_act!N12*1000)</f>
        <v>9.8645792534610663</v>
      </c>
      <c r="O96" s="87">
        <f>IF(TrRoad_act!O12=0,0,O32/TrRoad_act!O12*1000)</f>
        <v>9.929016344626179</v>
      </c>
      <c r="P96" s="87">
        <f>IF(TrRoad_act!P12=0,0,P32/TrRoad_act!P12*1000)</f>
        <v>10.248105778238987</v>
      </c>
      <c r="Q96" s="87">
        <f>IF(TrRoad_act!Q12=0,0,Q32/TrRoad_act!Q12*1000)</f>
        <v>10.121759501044426</v>
      </c>
      <c r="R96" s="87">
        <f>IF(TrRoad_act!R12=0,0,R32/TrRoad_act!R12*1000)</f>
        <v>10.579879879604622</v>
      </c>
      <c r="S96" s="87">
        <f>IF(TrRoad_act!S12=0,0,S32/TrRoad_act!S12*1000)</f>
        <v>10.816999651249779</v>
      </c>
      <c r="T96" s="87">
        <f>IF(TrRoad_act!T12=0,0,T32/TrRoad_act!T12*1000)</f>
        <v>12.201451920111404</v>
      </c>
      <c r="U96" s="87">
        <f>IF(TrRoad_act!U12=0,0,U32/TrRoad_act!U12*1000)</f>
        <v>13.707538377083127</v>
      </c>
      <c r="V96" s="87">
        <f>IF(TrRoad_act!V12=0,0,V32/TrRoad_act!V12*1000)</f>
        <v>14.63822513141251</v>
      </c>
      <c r="W96" s="87">
        <f>IF(TrRoad_act!W12=0,0,W32/TrRoad_act!W12*1000)</f>
        <v>14.582323924602173</v>
      </c>
      <c r="X96" s="87">
        <f>IF(TrRoad_act!X12=0,0,X32/TrRoad_act!X12*1000)</f>
        <v>14.563644113244683</v>
      </c>
      <c r="Y96" s="87">
        <f>IF(TrRoad_act!Y12=0,0,Y32/TrRoad_act!Y12*1000)</f>
        <v>14.7369615565954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53.13239573114604</v>
      </c>
      <c r="C97" s="116">
        <f>IF(TrRoad_act!C13=0,0,C33/TrRoad_act!C13*1000)</f>
        <v>49.154244702655923</v>
      </c>
      <c r="D97" s="116">
        <f>IF(TrRoad_act!D13=0,0,D33/TrRoad_act!D13*1000)</f>
        <v>47.516180613300811</v>
      </c>
      <c r="E97" s="116">
        <f>IF(TrRoad_act!E13=0,0,E33/TrRoad_act!E13*1000)</f>
        <v>45.683469226555268</v>
      </c>
      <c r="F97" s="116">
        <f>IF(TrRoad_act!F13=0,0,F33/TrRoad_act!F13*1000)</f>
        <v>48.806324968250621</v>
      </c>
      <c r="G97" s="116">
        <f>IF(TrRoad_act!G13=0,0,G33/TrRoad_act!G13*1000)</f>
        <v>47.997738146482362</v>
      </c>
      <c r="H97" s="116">
        <f>IF(TrRoad_act!H13=0,0,H33/TrRoad_act!H13*1000)</f>
        <v>45.915798244719362</v>
      </c>
      <c r="I97" s="116">
        <f>IF(TrRoad_act!I13=0,0,I33/TrRoad_act!I13*1000)</f>
        <v>44.058811465758197</v>
      </c>
      <c r="J97" s="116">
        <f>IF(TrRoad_act!J13=0,0,J33/TrRoad_act!J13*1000)</f>
        <v>40.78867214219629</v>
      </c>
      <c r="K97" s="116">
        <f>IF(TrRoad_act!K13=0,0,K33/TrRoad_act!K13*1000)</f>
        <v>49.744277266672228</v>
      </c>
      <c r="L97" s="116">
        <f>IF(TrRoad_act!L13=0,0,L33/TrRoad_act!L13*1000)</f>
        <v>52.588571115371579</v>
      </c>
      <c r="M97" s="116">
        <f>IF(TrRoad_act!M13=0,0,M33/TrRoad_act!M13*1000)</f>
        <v>52.034512031242443</v>
      </c>
      <c r="N97" s="116">
        <f>IF(TrRoad_act!N13=0,0,N33/TrRoad_act!N13*1000)</f>
        <v>49.386309990430192</v>
      </c>
      <c r="O97" s="116">
        <f>IF(TrRoad_act!O13=0,0,O33/TrRoad_act!O13*1000)</f>
        <v>46.17650368049874</v>
      </c>
      <c r="P97" s="116">
        <f>IF(TrRoad_act!P13=0,0,P33/TrRoad_act!P13*1000)</f>
        <v>44.965221802880606</v>
      </c>
      <c r="Q97" s="116">
        <f>IF(TrRoad_act!Q13=0,0,Q33/TrRoad_act!Q13*1000)</f>
        <v>51.652373863559077</v>
      </c>
      <c r="R97" s="116">
        <f>IF(TrRoad_act!R13=0,0,R33/TrRoad_act!R13*1000)</f>
        <v>47.972251917760751</v>
      </c>
      <c r="S97" s="116">
        <f>IF(TrRoad_act!S13=0,0,S33/TrRoad_act!S13*1000)</f>
        <v>46.361194611780455</v>
      </c>
      <c r="T97" s="116">
        <f>IF(TrRoad_act!T13=0,0,T33/TrRoad_act!T13*1000)</f>
        <v>50.8449554195169</v>
      </c>
      <c r="U97" s="116">
        <f>IF(TrRoad_act!U13=0,0,U33/TrRoad_act!U13*1000)</f>
        <v>40.93180875317929</v>
      </c>
      <c r="V97" s="116">
        <f>IF(TrRoad_act!V13=0,0,V33/TrRoad_act!V13*1000)</f>
        <v>57.46112031436806</v>
      </c>
      <c r="W97" s="116">
        <f>IF(TrRoad_act!W13=0,0,W33/TrRoad_act!W13*1000)</f>
        <v>55.840290175418453</v>
      </c>
      <c r="X97" s="116">
        <f>IF(TrRoad_act!X13=0,0,X33/TrRoad_act!X13*1000)</f>
        <v>45.840733403443323</v>
      </c>
      <c r="Y97" s="116">
        <f>IF(TrRoad_act!Y13=0,0,Y33/TrRoad_act!Y13*1000)</f>
        <v>47.338001278606185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28.968362137459355</v>
      </c>
      <c r="C98" s="101">
        <f>IF(TrRoad_act!C14=0,0,C34/TrRoad_act!C14*1000)</f>
        <v>28.415460190360079</v>
      </c>
      <c r="D98" s="101">
        <f>IF(TrRoad_act!D14=0,0,D34/TrRoad_act!D14*1000)</f>
        <v>27.981195444251892</v>
      </c>
      <c r="E98" s="101">
        <f>IF(TrRoad_act!E14=0,0,E34/TrRoad_act!E14*1000)</f>
        <v>27.773455395747519</v>
      </c>
      <c r="F98" s="101">
        <f>IF(TrRoad_act!F14=0,0,F34/TrRoad_act!F14*1000)</f>
        <v>27.792592097698442</v>
      </c>
      <c r="G98" s="101">
        <f>IF(TrRoad_act!G14=0,0,G34/TrRoad_act!G14*1000)</f>
        <v>27.526001312208244</v>
      </c>
      <c r="H98" s="101">
        <f>IF(TrRoad_act!H14=0,0,H34/TrRoad_act!H14*1000)</f>
        <v>27.178335333519929</v>
      </c>
      <c r="I98" s="101">
        <f>IF(TrRoad_act!I14=0,0,I34/TrRoad_act!I14*1000)</f>
        <v>26.966692081513393</v>
      </c>
      <c r="J98" s="101">
        <f>IF(TrRoad_act!J14=0,0,J34/TrRoad_act!J14*1000)</f>
        <v>26.569573530947054</v>
      </c>
      <c r="K98" s="101">
        <f>IF(TrRoad_act!K14=0,0,K34/TrRoad_act!K14*1000)</f>
        <v>26.808706826921306</v>
      </c>
      <c r="L98" s="101">
        <f>IF(TrRoad_act!L14=0,0,L34/TrRoad_act!L14*1000)</f>
        <v>26.801458441571079</v>
      </c>
      <c r="M98" s="101">
        <f>IF(TrRoad_act!M14=0,0,M34/TrRoad_act!M14*1000)</f>
        <v>26.704148366755316</v>
      </c>
      <c r="N98" s="101">
        <f>IF(TrRoad_act!N14=0,0,N34/TrRoad_act!N14*1000)</f>
        <v>26.422371885899778</v>
      </c>
      <c r="O98" s="101">
        <f>IF(TrRoad_act!O14=0,0,O34/TrRoad_act!O14*1000)</f>
        <v>25.929201883292933</v>
      </c>
      <c r="P98" s="101">
        <f>IF(TrRoad_act!P14=0,0,P34/TrRoad_act!P14*1000)</f>
        <v>25.823491240878099</v>
      </c>
      <c r="Q98" s="101">
        <f>IF(TrRoad_act!Q14=0,0,Q34/TrRoad_act!Q14*1000)</f>
        <v>25.892034691165783</v>
      </c>
      <c r="R98" s="101">
        <f>IF(TrRoad_act!R14=0,0,R34/TrRoad_act!R14*1000)</f>
        <v>25.811786766465136</v>
      </c>
      <c r="S98" s="101">
        <f>IF(TrRoad_act!S14=0,0,S34/TrRoad_act!S14*1000)</f>
        <v>25.687575832084072</v>
      </c>
      <c r="T98" s="101">
        <f>IF(TrRoad_act!T14=0,0,T34/TrRoad_act!T14*1000)</f>
        <v>25.90682319158962</v>
      </c>
      <c r="U98" s="101">
        <f>IF(TrRoad_act!U14=0,0,U34/TrRoad_act!U14*1000)</f>
        <v>25.363849971606779</v>
      </c>
      <c r="V98" s="101">
        <f>IF(TrRoad_act!V14=0,0,V34/TrRoad_act!V14*1000)</f>
        <v>25.976128079284287</v>
      </c>
      <c r="W98" s="101">
        <f>IF(TrRoad_act!W14=0,0,W34/TrRoad_act!W14*1000)</f>
        <v>25.951800869237641</v>
      </c>
      <c r="X98" s="101">
        <f>IF(TrRoad_act!X14=0,0,X34/TrRoad_act!X14*1000)</f>
        <v>25.630778747732116</v>
      </c>
      <c r="Y98" s="101">
        <f>IF(TrRoad_act!Y14=0,0,Y34/TrRoad_act!Y14*1000)</f>
        <v>25.611977298133546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53.178096158641395</v>
      </c>
      <c r="C99" s="101">
        <f>IF(TrRoad_act!C15=0,0,C36/TrRoad_act!C15*1000)</f>
        <v>49.193705388443327</v>
      </c>
      <c r="D99" s="101">
        <f>IF(TrRoad_act!D15=0,0,D36/TrRoad_act!D15*1000)</f>
        <v>47.552711180524597</v>
      </c>
      <c r="E99" s="101">
        <f>IF(TrRoad_act!E15=0,0,E36/TrRoad_act!E15*1000)</f>
        <v>45.714259229476617</v>
      </c>
      <c r="F99" s="101">
        <f>IF(TrRoad_act!F15=0,0,F36/TrRoad_act!F15*1000)</f>
        <v>48.843092102465199</v>
      </c>
      <c r="G99" s="101">
        <f>IF(TrRoad_act!G15=0,0,G36/TrRoad_act!G15*1000)</f>
        <v>48.033610663437948</v>
      </c>
      <c r="H99" s="101">
        <f>IF(TrRoad_act!H15=0,0,H36/TrRoad_act!H15*1000)</f>
        <v>45.947615900522948</v>
      </c>
      <c r="I99" s="101">
        <f>IF(TrRoad_act!I15=0,0,I36/TrRoad_act!I15*1000)</f>
        <v>44.084068508094134</v>
      </c>
      <c r="J99" s="101">
        <f>IF(TrRoad_act!J15=0,0,J36/TrRoad_act!J15*1000)</f>
        <v>40.810484667788593</v>
      </c>
      <c r="K99" s="101">
        <f>IF(TrRoad_act!K15=0,0,K36/TrRoad_act!K15*1000)</f>
        <v>49.7096358400144</v>
      </c>
      <c r="L99" s="101">
        <f>IF(TrRoad_act!L15=0,0,L36/TrRoad_act!L15*1000)</f>
        <v>52.282998867190877</v>
      </c>
      <c r="M99" s="101">
        <f>IF(TrRoad_act!M15=0,0,M36/TrRoad_act!M15*1000)</f>
        <v>52.176154347910824</v>
      </c>
      <c r="N99" s="101">
        <f>IF(TrRoad_act!N15=0,0,N36/TrRoad_act!N15*1000)</f>
        <v>49.513396420538662</v>
      </c>
      <c r="O99" s="101">
        <f>IF(TrRoad_act!O15=0,0,O36/TrRoad_act!O15*1000)</f>
        <v>46.391309459103503</v>
      </c>
      <c r="P99" s="101">
        <f>IF(TrRoad_act!P15=0,0,P36/TrRoad_act!P15*1000)</f>
        <v>45.318773651331092</v>
      </c>
      <c r="Q99" s="101">
        <f>IF(TrRoad_act!Q15=0,0,Q36/TrRoad_act!Q15*1000)</f>
        <v>52.04212046420357</v>
      </c>
      <c r="R99" s="101">
        <f>IF(TrRoad_act!R15=0,0,R36/TrRoad_act!R15*1000)</f>
        <v>48.19820372275224</v>
      </c>
      <c r="S99" s="101">
        <f>IF(TrRoad_act!S15=0,0,S36/TrRoad_act!S15*1000)</f>
        <v>46.66668050782927</v>
      </c>
      <c r="T99" s="101">
        <f>IF(TrRoad_act!T15=0,0,T36/TrRoad_act!T15*1000)</f>
        <v>51.134543311389649</v>
      </c>
      <c r="U99" s="101">
        <f>IF(TrRoad_act!U15=0,0,U36/TrRoad_act!U15*1000)</f>
        <v>41.262449792505222</v>
      </c>
      <c r="V99" s="101">
        <f>IF(TrRoad_act!V15=0,0,V36/TrRoad_act!V15*1000)</f>
        <v>57.992435721116983</v>
      </c>
      <c r="W99" s="101">
        <f>IF(TrRoad_act!W15=0,0,W36/TrRoad_act!W15*1000)</f>
        <v>56.40004380445469</v>
      </c>
      <c r="X99" s="101">
        <f>IF(TrRoad_act!X15=0,0,X36/TrRoad_act!X15*1000)</f>
        <v>46.141088056607884</v>
      </c>
      <c r="Y99" s="101">
        <f>IF(TrRoad_act!Y15=0,0,Y36/TrRoad_act!Y15*1000)</f>
        <v>47.611466967161256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35.809383770585754</v>
      </c>
      <c r="J100" s="101">
        <f>IF(TrRoad_act!J16=0,0,J38/TrRoad_act!J16*1000)</f>
        <v>32.876557927621107</v>
      </c>
      <c r="K100" s="101">
        <f>IF(TrRoad_act!K16=0,0,K38/TrRoad_act!K16*1000)</f>
        <v>38.625387798253236</v>
      </c>
      <c r="L100" s="101">
        <f>IF(TrRoad_act!L16=0,0,L38/TrRoad_act!L16*1000)</f>
        <v>40.799760831287053</v>
      </c>
      <c r="M100" s="101">
        <f>IF(TrRoad_act!M16=0,0,M38/TrRoad_act!M16*1000)</f>
        <v>41.926771158956235</v>
      </c>
      <c r="N100" s="101">
        <f>IF(TrRoad_act!N16=0,0,N38/TrRoad_act!N16*1000)</f>
        <v>38.958935404258085</v>
      </c>
      <c r="O100" s="101">
        <f>IF(TrRoad_act!O16=0,0,O38/TrRoad_act!O16*1000)</f>
        <v>37.359781136068968</v>
      </c>
      <c r="P100" s="101">
        <f>IF(TrRoad_act!P16=0,0,P38/TrRoad_act!P16*1000)</f>
        <v>37.065476519374862</v>
      </c>
      <c r="Q100" s="101">
        <f>IF(TrRoad_act!Q16=0,0,Q38/TrRoad_act!Q16*1000)</f>
        <v>41.810163185381384</v>
      </c>
      <c r="R100" s="101">
        <f>IF(TrRoad_act!R16=0,0,R38/TrRoad_act!R16*1000)</f>
        <v>40.068204636471037</v>
      </c>
      <c r="S100" s="101">
        <f>IF(TrRoad_act!S16=0,0,S38/TrRoad_act!S16*1000)</f>
        <v>37.603492913935298</v>
      </c>
      <c r="T100" s="101">
        <f>IF(TrRoad_act!T16=0,0,T38/TrRoad_act!T16*1000)</f>
        <v>42.554623126920873</v>
      </c>
      <c r="U100" s="101">
        <f>IF(TrRoad_act!U16=0,0,U38/TrRoad_act!U16*1000)</f>
        <v>31.942382612970327</v>
      </c>
      <c r="V100" s="101">
        <f>IF(TrRoad_act!V16=0,0,V38/TrRoad_act!V16*1000)</f>
        <v>43.629807410554854</v>
      </c>
      <c r="W100" s="101">
        <f>IF(TrRoad_act!W16=0,0,W38/TrRoad_act!W16*1000)</f>
        <v>43.313940181239673</v>
      </c>
      <c r="X100" s="101">
        <f>IF(TrRoad_act!X16=0,0,X38/TrRoad_act!X16*1000)</f>
        <v>36.083712144896118</v>
      </c>
      <c r="Y100" s="101">
        <f>IF(TrRoad_act!Y16=0,0,Y38/TrRoad_act!Y16*1000)</f>
        <v>35.90777266861086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65.354849488561214</v>
      </c>
      <c r="L101" s="101">
        <f>IF(TrRoad_act!L17=0,0,L39/TrRoad_act!L17*1000)</f>
        <v>121.28645019032828</v>
      </c>
      <c r="M101" s="101">
        <f>IF(TrRoad_act!M17=0,0,M39/TrRoad_act!M17*1000)</f>
        <v>32.586842959291893</v>
      </c>
      <c r="N101" s="101">
        <f>IF(TrRoad_act!N17=0,0,N39/TrRoad_act!N17*1000)</f>
        <v>34.246709874304067</v>
      </c>
      <c r="O101" s="101">
        <f>IF(TrRoad_act!O17=0,0,O39/TrRoad_act!O17*1000)</f>
        <v>32.299161735915455</v>
      </c>
      <c r="P101" s="101">
        <f>IF(TrRoad_act!P17=0,0,P39/TrRoad_act!P17*1000)</f>
        <v>32.905281411668462</v>
      </c>
      <c r="Q101" s="101">
        <f>IF(TrRoad_act!Q17=0,0,Q39/TrRoad_act!Q17*1000)</f>
        <v>38.288778275723018</v>
      </c>
      <c r="R101" s="101">
        <f>IF(TrRoad_act!R17=0,0,R39/TrRoad_act!R17*1000)</f>
        <v>40.269109688269516</v>
      </c>
      <c r="S101" s="101">
        <f>IF(TrRoad_act!S17=0,0,S39/TrRoad_act!S17*1000)</f>
        <v>36.629263656869412</v>
      </c>
      <c r="T101" s="101">
        <f>IF(TrRoad_act!T17=0,0,T39/TrRoad_act!T17*1000)</f>
        <v>41.446243319662486</v>
      </c>
      <c r="U101" s="101">
        <f>IF(TrRoad_act!U17=0,0,U39/TrRoad_act!U17*1000)</f>
        <v>31.243012690052737</v>
      </c>
      <c r="V101" s="101">
        <f>IF(TrRoad_act!V17=0,0,V39/TrRoad_act!V17*1000)</f>
        <v>43.5402681961124</v>
      </c>
      <c r="W101" s="101">
        <f>IF(TrRoad_act!W17=0,0,W39/TrRoad_act!W17*1000)</f>
        <v>43.211518674088857</v>
      </c>
      <c r="X101" s="101">
        <f>IF(TrRoad_act!X17=0,0,X39/TrRoad_act!X17*1000)</f>
        <v>37.267339618868057</v>
      </c>
      <c r="Y101" s="101">
        <f>IF(TrRoad_act!Y17=0,0,Y39/TrRoad_act!Y17*1000)</f>
        <v>37.120305677919717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0</v>
      </c>
      <c r="Q102" s="101">
        <f>IF(TrRoad_act!Q18=0,0,Q41/TrRoad_act!Q18*1000)</f>
        <v>30.73534338139504</v>
      </c>
      <c r="R102" s="101">
        <f>IF(TrRoad_act!R18=0,0,R41/TrRoad_act!R18*1000)</f>
        <v>29.661740312604071</v>
      </c>
      <c r="S102" s="101">
        <f>IF(TrRoad_act!S18=0,0,S41/TrRoad_act!S18*1000)</f>
        <v>27.753643853952926</v>
      </c>
      <c r="T102" s="101">
        <f>IF(TrRoad_act!T18=0,0,T41/TrRoad_act!T18*1000)</f>
        <v>31.407876319012722</v>
      </c>
      <c r="U102" s="101">
        <f>IF(TrRoad_act!U18=0,0,U41/TrRoad_act!U18*1000)</f>
        <v>23.678752678608827</v>
      </c>
      <c r="V102" s="101">
        <f>IF(TrRoad_act!V18=0,0,V41/TrRoad_act!V18*1000)</f>
        <v>32.801804795888415</v>
      </c>
      <c r="W102" s="101">
        <f>IF(TrRoad_act!W18=0,0,W41/TrRoad_act!W18*1000)</f>
        <v>32.637801706006023</v>
      </c>
      <c r="X102" s="101">
        <f>IF(TrRoad_act!X18=0,0,X41/TrRoad_act!X18*1000)</f>
        <v>26.995779555847189</v>
      </c>
      <c r="Y102" s="101">
        <f>IF(TrRoad_act!Y18=0,0,Y41/TrRoad_act!Y18*1000)</f>
        <v>26.766179592470845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34.530409350084867</v>
      </c>
      <c r="C103" s="29">
        <f>IF(TrRoad_act!C19=0,0,C42/TrRoad_act!C19*1000)</f>
        <v>29.801575143896844</v>
      </c>
      <c r="D103" s="29">
        <f>IF(TrRoad_act!D19=0,0,D42/TrRoad_act!D19*1000)</f>
        <v>35.795790487217317</v>
      </c>
      <c r="E103" s="29">
        <f>IF(TrRoad_act!E19=0,0,E42/TrRoad_act!E19*1000)</f>
        <v>38.076904942977187</v>
      </c>
      <c r="F103" s="29">
        <f>IF(TrRoad_act!F19=0,0,F42/TrRoad_act!F19*1000)</f>
        <v>37.68499945312734</v>
      </c>
      <c r="G103" s="29">
        <f>IF(TrRoad_act!G19=0,0,G42/TrRoad_act!G19*1000)</f>
        <v>38.036468729450931</v>
      </c>
      <c r="H103" s="29">
        <f>IF(TrRoad_act!H19=0,0,H42/TrRoad_act!H19*1000)</f>
        <v>39.070980303601843</v>
      </c>
      <c r="I103" s="29">
        <f>IF(TrRoad_act!I19=0,0,I42/TrRoad_act!I19*1000)</f>
        <v>39.636422697222415</v>
      </c>
      <c r="J103" s="29">
        <f>IF(TrRoad_act!J19=0,0,J42/TrRoad_act!J19*1000)</f>
        <v>41.964810463973265</v>
      </c>
      <c r="K103" s="29">
        <f>IF(TrRoad_act!K19=0,0,K42/TrRoad_act!K19*1000)</f>
        <v>47.155550864109443</v>
      </c>
      <c r="L103" s="29">
        <f>IF(TrRoad_act!L19=0,0,L42/TrRoad_act!L19*1000)</f>
        <v>49.373341916298216</v>
      </c>
      <c r="M103" s="29">
        <f>IF(TrRoad_act!M19=0,0,M42/TrRoad_act!M19*1000)</f>
        <v>48.695322909534944</v>
      </c>
      <c r="N103" s="29">
        <f>IF(TrRoad_act!N19=0,0,N42/TrRoad_act!N19*1000)</f>
        <v>46.897681877069964</v>
      </c>
      <c r="O103" s="29">
        <f>IF(TrRoad_act!O19=0,0,O42/TrRoad_act!O19*1000)</f>
        <v>50.942939256017873</v>
      </c>
      <c r="P103" s="29">
        <f>IF(TrRoad_act!P19=0,0,P42/TrRoad_act!P19*1000)</f>
        <v>46.730301141036733</v>
      </c>
      <c r="Q103" s="29">
        <f>IF(TrRoad_act!Q19=0,0,Q42/TrRoad_act!Q19*1000)</f>
        <v>45.629232829256601</v>
      </c>
      <c r="R103" s="29">
        <f>IF(TrRoad_act!R19=0,0,R42/TrRoad_act!R19*1000)</f>
        <v>43.515493999943466</v>
      </c>
      <c r="S103" s="29">
        <f>IF(TrRoad_act!S19=0,0,S42/TrRoad_act!S19*1000)</f>
        <v>47.935880359838627</v>
      </c>
      <c r="T103" s="29">
        <f>IF(TrRoad_act!T19=0,0,T42/TrRoad_act!T19*1000)</f>
        <v>45.42067690301662</v>
      </c>
      <c r="U103" s="29">
        <f>IF(TrRoad_act!U19=0,0,U42/TrRoad_act!U19*1000)</f>
        <v>54.605421319883938</v>
      </c>
      <c r="V103" s="29">
        <f>IF(TrRoad_act!V19=0,0,V42/TrRoad_act!V19*1000)</f>
        <v>52.552607647132447</v>
      </c>
      <c r="W103" s="29">
        <f>IF(TrRoad_act!W19=0,0,W42/TrRoad_act!W19*1000)</f>
        <v>53.591233409671048</v>
      </c>
      <c r="X103" s="29">
        <f>IF(TrRoad_act!X19=0,0,X42/TrRoad_act!X19*1000)</f>
        <v>53.965972525502693</v>
      </c>
      <c r="Y103" s="29">
        <f>IF(TrRoad_act!Y19=0,0,Y42/TrRoad_act!Y19*1000)</f>
        <v>57.548507972877189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527.57567212979814</v>
      </c>
      <c r="C104" s="152">
        <f>IF(TrRoad_act!C20=0,0,C43/TrRoad_act!C20*1000)</f>
        <v>476.76535143636244</v>
      </c>
      <c r="D104" s="152">
        <f>IF(TrRoad_act!D20=0,0,D43/TrRoad_act!D20*1000)</f>
        <v>485.83259298630418</v>
      </c>
      <c r="E104" s="152">
        <f>IF(TrRoad_act!E20=0,0,E43/TrRoad_act!E20*1000)</f>
        <v>481.02661883267365</v>
      </c>
      <c r="F104" s="152">
        <f>IF(TrRoad_act!F20=0,0,F43/TrRoad_act!F20*1000)</f>
        <v>475.27309425977421</v>
      </c>
      <c r="G104" s="152">
        <f>IF(TrRoad_act!G20=0,0,G43/TrRoad_act!G20*1000)</f>
        <v>480.51256265005435</v>
      </c>
      <c r="H104" s="152">
        <f>IF(TrRoad_act!H20=0,0,H43/TrRoad_act!H20*1000)</f>
        <v>464.04879548286351</v>
      </c>
      <c r="I104" s="152">
        <f>IF(TrRoad_act!I20=0,0,I43/TrRoad_act!I20*1000)</f>
        <v>461.42441926470144</v>
      </c>
      <c r="J104" s="152">
        <f>IF(TrRoad_act!J20=0,0,J43/TrRoad_act!J20*1000)</f>
        <v>458.97269187343278</v>
      </c>
      <c r="K104" s="152">
        <f>IF(TrRoad_act!K20=0,0,K43/TrRoad_act!K20*1000)</f>
        <v>456.9510735566833</v>
      </c>
      <c r="L104" s="152">
        <f>IF(TrRoad_act!L20=0,0,L43/TrRoad_act!L20*1000)</f>
        <v>452.5092965054539</v>
      </c>
      <c r="M104" s="152">
        <f>IF(TrRoad_act!M20=0,0,M43/TrRoad_act!M20*1000)</f>
        <v>447.14109404664487</v>
      </c>
      <c r="N104" s="152">
        <f>IF(TrRoad_act!N20=0,0,N43/TrRoad_act!N20*1000)</f>
        <v>446.51696670606452</v>
      </c>
      <c r="O104" s="152">
        <f>IF(TrRoad_act!O20=0,0,O43/TrRoad_act!O20*1000)</f>
        <v>438.61245324943576</v>
      </c>
      <c r="P104" s="152">
        <f>IF(TrRoad_act!P20=0,0,P43/TrRoad_act!P20*1000)</f>
        <v>421.41017319798954</v>
      </c>
      <c r="Q104" s="152">
        <f>IF(TrRoad_act!Q20=0,0,Q43/TrRoad_act!Q20*1000)</f>
        <v>408.41927243529574</v>
      </c>
      <c r="R104" s="152">
        <f>IF(TrRoad_act!R20=0,0,R43/TrRoad_act!R20*1000)</f>
        <v>395.46441590499694</v>
      </c>
      <c r="S104" s="152">
        <f>IF(TrRoad_act!S20=0,0,S43/TrRoad_act!S20*1000)</f>
        <v>410.94757613676649</v>
      </c>
      <c r="T104" s="152">
        <f>IF(TrRoad_act!T20=0,0,T43/TrRoad_act!T20*1000)</f>
        <v>401.73649421505132</v>
      </c>
      <c r="U104" s="152">
        <f>IF(TrRoad_act!U20=0,0,U43/TrRoad_act!U20*1000)</f>
        <v>406.23882481502972</v>
      </c>
      <c r="V104" s="152">
        <f>IF(TrRoad_act!V20=0,0,V43/TrRoad_act!V20*1000)</f>
        <v>402.81213621983693</v>
      </c>
      <c r="W104" s="152">
        <f>IF(TrRoad_act!W20=0,0,W43/TrRoad_act!W20*1000)</f>
        <v>409.46024847804961</v>
      </c>
      <c r="X104" s="152">
        <f>IF(TrRoad_act!X20=0,0,X43/TrRoad_act!X20*1000)</f>
        <v>410.61650705080734</v>
      </c>
      <c r="Y104" s="152">
        <f>IF(TrRoad_act!Y20=0,0,Y43/TrRoad_act!Y20*1000)</f>
        <v>419.80572789819843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568.55002277707115</v>
      </c>
      <c r="C105" s="87">
        <f>IF(TrRoad_act!C21=0,0,C44/TrRoad_act!C21*1000)</f>
        <v>558.2954888362832</v>
      </c>
      <c r="D105" s="87">
        <f>IF(TrRoad_act!D21=0,0,D44/TrRoad_act!D21*1000)</f>
        <v>556.2158696485277</v>
      </c>
      <c r="E105" s="87">
        <f>IF(TrRoad_act!E21=0,0,E44/TrRoad_act!E21*1000)</f>
        <v>554.46103211481864</v>
      </c>
      <c r="F105" s="87">
        <f>IF(TrRoad_act!F21=0,0,F44/TrRoad_act!F21*1000)</f>
        <v>552.88472303839319</v>
      </c>
      <c r="G105" s="87">
        <f>IF(TrRoad_act!G21=0,0,G44/TrRoad_act!G21*1000)</f>
        <v>550.92138121338337</v>
      </c>
      <c r="H105" s="87">
        <f>IF(TrRoad_act!H21=0,0,H44/TrRoad_act!H21*1000)</f>
        <v>548.21110778121545</v>
      </c>
      <c r="I105" s="87">
        <f>IF(TrRoad_act!I21=0,0,I44/TrRoad_act!I21*1000)</f>
        <v>538.58977529170932</v>
      </c>
      <c r="J105" s="87">
        <f>IF(TrRoad_act!J21=0,0,J44/TrRoad_act!J21*1000)</f>
        <v>532.26646913235697</v>
      </c>
      <c r="K105" s="87">
        <f>IF(TrRoad_act!K21=0,0,K44/TrRoad_act!K21*1000)</f>
        <v>522.90362437188423</v>
      </c>
      <c r="L105" s="87">
        <f>IF(TrRoad_act!L21=0,0,L44/TrRoad_act!L21*1000)</f>
        <v>513.47232931278097</v>
      </c>
      <c r="M105" s="87">
        <f>IF(TrRoad_act!M21=0,0,M44/TrRoad_act!M21*1000)</f>
        <v>511.21859369191759</v>
      </c>
      <c r="N105" s="87">
        <f>IF(TrRoad_act!N21=0,0,N44/TrRoad_act!N21*1000)</f>
        <v>507.29986129567061</v>
      </c>
      <c r="O105" s="87">
        <f>IF(TrRoad_act!O21=0,0,O44/TrRoad_act!O21*1000)</f>
        <v>505.58005581400334</v>
      </c>
      <c r="P105" s="87">
        <f>IF(TrRoad_act!P21=0,0,P44/TrRoad_act!P21*1000)</f>
        <v>501.87039626296314</v>
      </c>
      <c r="Q105" s="87">
        <f>IF(TrRoad_act!Q21=0,0,Q44/TrRoad_act!Q21*1000)</f>
        <v>496.95413322703888</v>
      </c>
      <c r="R105" s="87">
        <f>IF(TrRoad_act!R21=0,0,R44/TrRoad_act!R21*1000)</f>
        <v>493.51106062050366</v>
      </c>
      <c r="S105" s="87">
        <f>IF(TrRoad_act!S21=0,0,S44/TrRoad_act!S21*1000)</f>
        <v>499.17454783061828</v>
      </c>
      <c r="T105" s="87">
        <f>IF(TrRoad_act!T21=0,0,T44/TrRoad_act!T21*1000)</f>
        <v>502.1670776417281</v>
      </c>
      <c r="U105" s="87">
        <f>IF(TrRoad_act!U21=0,0,U44/TrRoad_act!U21*1000)</f>
        <v>499.0455666720971</v>
      </c>
      <c r="V105" s="87">
        <f>IF(TrRoad_act!V21=0,0,V44/TrRoad_act!V21*1000)</f>
        <v>493.87754344515827</v>
      </c>
      <c r="W105" s="87">
        <f>IF(TrRoad_act!W21=0,0,W44/TrRoad_act!W21*1000)</f>
        <v>488.61761822953827</v>
      </c>
      <c r="X105" s="87">
        <f>IF(TrRoad_act!X21=0,0,X44/TrRoad_act!X21*1000)</f>
        <v>487.07560915762122</v>
      </c>
      <c r="Y105" s="87">
        <f>IF(TrRoad_act!Y21=0,0,Y44/TrRoad_act!Y21*1000)</f>
        <v>484.8826355522844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520.3851860189742</v>
      </c>
      <c r="C106" s="87">
        <f>IF(TrRoad_act!C22=0,0,C46/TrRoad_act!C22*1000)</f>
        <v>462.91857517908056</v>
      </c>
      <c r="D106" s="87">
        <f>IF(TrRoad_act!D22=0,0,D46/TrRoad_act!D22*1000)</f>
        <v>475.41278672955372</v>
      </c>
      <c r="E106" s="87">
        <f>IF(TrRoad_act!E22=0,0,E46/TrRoad_act!E22*1000)</f>
        <v>471.79842115069988</v>
      </c>
      <c r="F106" s="87">
        <f>IF(TrRoad_act!F22=0,0,F46/TrRoad_act!F22*1000)</f>
        <v>467.00198538856574</v>
      </c>
      <c r="G106" s="87">
        <f>IF(TrRoad_act!G22=0,0,G46/TrRoad_act!G22*1000)</f>
        <v>474.03744295615797</v>
      </c>
      <c r="H106" s="87">
        <f>IF(TrRoad_act!H22=0,0,H46/TrRoad_act!H22*1000)</f>
        <v>457.05202834265356</v>
      </c>
      <c r="I106" s="87">
        <f>IF(TrRoad_act!I22=0,0,I46/TrRoad_act!I22*1000)</f>
        <v>456.41394401047415</v>
      </c>
      <c r="J106" s="87">
        <f>IF(TrRoad_act!J22=0,0,J46/TrRoad_act!J22*1000)</f>
        <v>454.62711136333388</v>
      </c>
      <c r="K106" s="87">
        <f>IF(TrRoad_act!K22=0,0,K46/TrRoad_act!K22*1000)</f>
        <v>453.44931592474768</v>
      </c>
      <c r="L106" s="87">
        <f>IF(TrRoad_act!L22=0,0,L46/TrRoad_act!L22*1000)</f>
        <v>449.53114685298351</v>
      </c>
      <c r="M106" s="87">
        <f>IF(TrRoad_act!M22=0,0,M46/TrRoad_act!M22*1000)</f>
        <v>444.15519891386032</v>
      </c>
      <c r="N106" s="87">
        <f>IF(TrRoad_act!N22=0,0,N46/TrRoad_act!N22*1000)</f>
        <v>444.38508961198784</v>
      </c>
      <c r="O106" s="87">
        <f>IF(TrRoad_act!O22=0,0,O46/TrRoad_act!O22*1000)</f>
        <v>436.35199162882611</v>
      </c>
      <c r="P106" s="87">
        <f>IF(TrRoad_act!P22=0,0,P46/TrRoad_act!P22*1000)</f>
        <v>418.71291661673064</v>
      </c>
      <c r="Q106" s="87">
        <f>IF(TrRoad_act!Q22=0,0,Q46/TrRoad_act!Q22*1000)</f>
        <v>405.98828504747127</v>
      </c>
      <c r="R106" s="87">
        <f>IF(TrRoad_act!R22=0,0,R46/TrRoad_act!R22*1000)</f>
        <v>392.94384075773883</v>
      </c>
      <c r="S106" s="87">
        <f>IF(TrRoad_act!S22=0,0,S46/TrRoad_act!S22*1000)</f>
        <v>408.68568521999805</v>
      </c>
      <c r="T106" s="87">
        <f>IF(TrRoad_act!T22=0,0,T46/TrRoad_act!T22*1000)</f>
        <v>399.24107194956196</v>
      </c>
      <c r="U106" s="87">
        <f>IF(TrRoad_act!U22=0,0,U46/TrRoad_act!U22*1000)</f>
        <v>404.10795400570254</v>
      </c>
      <c r="V106" s="87">
        <f>IF(TrRoad_act!V22=0,0,V46/TrRoad_act!V22*1000)</f>
        <v>400.8476212363185</v>
      </c>
      <c r="W106" s="87">
        <f>IF(TrRoad_act!W22=0,0,W46/TrRoad_act!W22*1000)</f>
        <v>407.88769389315274</v>
      </c>
      <c r="X106" s="87">
        <f>IF(TrRoad_act!X22=0,0,X46/TrRoad_act!X22*1000)</f>
        <v>409.11903193351492</v>
      </c>
      <c r="Y106" s="87">
        <f>IF(TrRoad_act!Y22=0,0,Y46/TrRoad_act!Y22*1000)</f>
        <v>418.78410654672797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421.19575130462931</v>
      </c>
      <c r="J107" s="87">
        <f>IF(TrRoad_act!J23=0,0,J48/TrRoad_act!J23*1000)</f>
        <v>411.57255696751088</v>
      </c>
      <c r="K107" s="87">
        <f>IF(TrRoad_act!K23=0,0,K48/TrRoad_act!K23*1000)</f>
        <v>408.15418843480205</v>
      </c>
      <c r="L107" s="87">
        <f>IF(TrRoad_act!L23=0,0,L48/TrRoad_act!L23*1000)</f>
        <v>404.52957458661143</v>
      </c>
      <c r="M107" s="87">
        <f>IF(TrRoad_act!M23=0,0,M48/TrRoad_act!M23*1000)</f>
        <v>405.46533844038299</v>
      </c>
      <c r="N107" s="87">
        <f>IF(TrRoad_act!N23=0,0,N48/TrRoad_act!N23*1000)</f>
        <v>406.61083290315622</v>
      </c>
      <c r="O107" s="87">
        <f>IF(TrRoad_act!O23=0,0,O48/TrRoad_act!O23*1000)</f>
        <v>404.20481929955344</v>
      </c>
      <c r="P107" s="87">
        <f>IF(TrRoad_act!P23=0,0,P48/TrRoad_act!P23*1000)</f>
        <v>401.23128301753775</v>
      </c>
      <c r="Q107" s="87">
        <f>IF(TrRoad_act!Q23=0,0,Q48/TrRoad_act!Q23*1000)</f>
        <v>401.34778872721813</v>
      </c>
      <c r="R107" s="87">
        <f>IF(TrRoad_act!R23=0,0,R48/TrRoad_act!R23*1000)</f>
        <v>396.01609811373822</v>
      </c>
      <c r="S107" s="87">
        <f>IF(TrRoad_act!S23=0,0,S48/TrRoad_act!S23*1000)</f>
        <v>414.23712811624631</v>
      </c>
      <c r="T107" s="87">
        <f>IF(TrRoad_act!T23=0,0,T48/TrRoad_act!T23*1000)</f>
        <v>422.65026233337034</v>
      </c>
      <c r="U107" s="87">
        <f>IF(TrRoad_act!U23=0,0,U48/TrRoad_act!U23*1000)</f>
        <v>424.50465223796391</v>
      </c>
      <c r="V107" s="87">
        <f>IF(TrRoad_act!V23=0,0,V48/TrRoad_act!V23*1000)</f>
        <v>428.64150926161903</v>
      </c>
      <c r="W107" s="87">
        <f>IF(TrRoad_act!W23=0,0,W48/TrRoad_act!W23*1000)</f>
        <v>441.95937600605919</v>
      </c>
      <c r="X107" s="87">
        <f>IF(TrRoad_act!X23=0,0,X48/TrRoad_act!X23*1000)</f>
        <v>450.15656173559177</v>
      </c>
      <c r="Y107" s="87">
        <f>IF(TrRoad_act!Y23=0,0,Y48/TrRoad_act!Y23*1000)</f>
        <v>453.38638745631494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794.08176853878604</v>
      </c>
      <c r="L108" s="87">
        <f>IF(TrRoad_act!L24=0,0,L49/TrRoad_act!L24*1000)</f>
        <v>792.64907086445544</v>
      </c>
      <c r="M108" s="87">
        <f>IF(TrRoad_act!M24=0,0,M49/TrRoad_act!M24*1000)</f>
        <v>798.38820090496574</v>
      </c>
      <c r="N108" s="87">
        <f>IF(TrRoad_act!N24=0,0,N49/TrRoad_act!N24*1000)</f>
        <v>793.85952603223961</v>
      </c>
      <c r="O108" s="87">
        <f>IF(TrRoad_act!O24=0,0,O49/TrRoad_act!O24*1000)</f>
        <v>797.36733013237324</v>
      </c>
      <c r="P108" s="87">
        <f>IF(TrRoad_act!P24=0,0,P49/TrRoad_act!P24*1000)</f>
        <v>795.96811629900151</v>
      </c>
      <c r="Q108" s="87">
        <f>IF(TrRoad_act!Q24=0,0,Q49/TrRoad_act!Q24*1000)</f>
        <v>794.25524514242727</v>
      </c>
      <c r="R108" s="87">
        <f>IF(TrRoad_act!R24=0,0,R49/TrRoad_act!R24*1000)</f>
        <v>777.23154993211188</v>
      </c>
      <c r="S108" s="87">
        <f>IF(TrRoad_act!S24=0,0,S49/TrRoad_act!S24*1000)</f>
        <v>803.02990710606889</v>
      </c>
      <c r="T108" s="87">
        <f>IF(TrRoad_act!T24=0,0,T49/TrRoad_act!T24*1000)</f>
        <v>801.3403527090336</v>
      </c>
      <c r="U108" s="87">
        <f>IF(TrRoad_act!U24=0,0,U49/TrRoad_act!U24*1000)</f>
        <v>796.72257676725837</v>
      </c>
      <c r="V108" s="87">
        <f>IF(TrRoad_act!V24=0,0,V49/TrRoad_act!V24*1000)</f>
        <v>786.20632315921512</v>
      </c>
      <c r="W108" s="87">
        <f>IF(TrRoad_act!W24=0,0,W49/TrRoad_act!W24*1000)</f>
        <v>797.18964958888739</v>
      </c>
      <c r="X108" s="87">
        <f>IF(TrRoad_act!X24=0,0,X49/TrRoad_act!X24*1000)</f>
        <v>790.04256476703438</v>
      </c>
      <c r="Y108" s="87">
        <f>IF(TrRoad_act!Y24=0,0,Y49/TrRoad_act!Y24*1000)</f>
        <v>792.35605885408813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91.544834107604757</v>
      </c>
      <c r="F109" s="87">
        <f>IF(TrRoad_act!F25=0,0,F51/TrRoad_act!F25*1000)</f>
        <v>91.566132029874026</v>
      </c>
      <c r="G109" s="87">
        <f>IF(TrRoad_act!G25=0,0,G51/TrRoad_act!G25*1000)</f>
        <v>89.622562297001863</v>
      </c>
      <c r="H109" s="87">
        <f>IF(TrRoad_act!H25=0,0,H51/TrRoad_act!H25*1000)</f>
        <v>89.643298473450542</v>
      </c>
      <c r="I109" s="87">
        <f>IF(TrRoad_act!I25=0,0,I51/TrRoad_act!I25*1000)</f>
        <v>89.653282028350077</v>
      </c>
      <c r="J109" s="87">
        <f>IF(TrRoad_act!J25=0,0,J51/TrRoad_act!J25*1000)</f>
        <v>87.988024445318757</v>
      </c>
      <c r="K109" s="87">
        <f>IF(TrRoad_act!K25=0,0,K51/TrRoad_act!K25*1000)</f>
        <v>87.649111384924879</v>
      </c>
      <c r="L109" s="87">
        <f>IF(TrRoad_act!L25=0,0,L51/TrRoad_act!L25*1000)</f>
        <v>87.668574451968595</v>
      </c>
      <c r="M109" s="87">
        <f>IF(TrRoad_act!M25=0,0,M51/TrRoad_act!M25*1000)</f>
        <v>86.988646034589436</v>
      </c>
      <c r="N109" s="87">
        <f>IF(TrRoad_act!N25=0,0,N51/TrRoad_act!N25*1000)</f>
        <v>87.17603996089565</v>
      </c>
      <c r="O109" s="87">
        <f>IF(TrRoad_act!O25=0,0,O51/TrRoad_act!O25*1000)</f>
        <v>87.177569274169812</v>
      </c>
      <c r="P109" s="87">
        <f>IF(TrRoad_act!P25=0,0,P51/TrRoad_act!P25*1000)</f>
        <v>87.796479136580231</v>
      </c>
      <c r="Q109" s="87">
        <f>IF(TrRoad_act!Q25=0,0,Q51/TrRoad_act!Q25*1000)</f>
        <v>96.072171837815631</v>
      </c>
      <c r="R109" s="87">
        <f>IF(TrRoad_act!R25=0,0,R51/TrRoad_act!R25*1000)</f>
        <v>97.140605518784852</v>
      </c>
      <c r="S109" s="87">
        <f>IF(TrRoad_act!S25=0,0,S51/TrRoad_act!S25*1000)</f>
        <v>93.664726057477523</v>
      </c>
      <c r="T109" s="87">
        <f>IF(TrRoad_act!T25=0,0,T51/TrRoad_act!T25*1000)</f>
        <v>91.276255031617623</v>
      </c>
      <c r="U109" s="87">
        <f>IF(TrRoad_act!U25=0,0,U51/TrRoad_act!U25*1000)</f>
        <v>92.101630718095606</v>
      </c>
      <c r="V109" s="87">
        <f>IF(TrRoad_act!V25=0,0,V51/TrRoad_act!V25*1000)</f>
        <v>96.906132387940914</v>
      </c>
      <c r="W109" s="87">
        <f>IF(TrRoad_act!W25=0,0,W51/TrRoad_act!W25*1000)</f>
        <v>102.05158932791028</v>
      </c>
      <c r="X109" s="87">
        <f>IF(TrRoad_act!X25=0,0,X51/TrRoad_act!X25*1000)</f>
        <v>132.98309341558175</v>
      </c>
      <c r="Y109" s="87">
        <f>IF(TrRoad_act!Y25=0,0,Y51/TrRoad_act!Y25*1000)</f>
        <v>132.12760137045697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22.745118363877523</v>
      </c>
      <c r="C110" s="116">
        <f>IF(TrRoad_act!C26=0,0,C52/TrRoad_act!C26*1000)</f>
        <v>19.187368013462763</v>
      </c>
      <c r="D110" s="116">
        <f>IF(TrRoad_act!D26=0,0,D52/TrRoad_act!D26*1000)</f>
        <v>24.980354679866593</v>
      </c>
      <c r="E110" s="116">
        <f>IF(TrRoad_act!E26=0,0,E52/TrRoad_act!E26*1000)</f>
        <v>26.977839799818643</v>
      </c>
      <c r="F110" s="116">
        <f>IF(TrRoad_act!F26=0,0,F52/TrRoad_act!F26*1000)</f>
        <v>27.000842544340273</v>
      </c>
      <c r="G110" s="116">
        <f>IF(TrRoad_act!G26=0,0,G52/TrRoad_act!G26*1000)</f>
        <v>26.620255891006231</v>
      </c>
      <c r="H110" s="116">
        <f>IF(TrRoad_act!H26=0,0,H52/TrRoad_act!H26*1000)</f>
        <v>27.672162266005621</v>
      </c>
      <c r="I110" s="116">
        <f>IF(TrRoad_act!I26=0,0,I52/TrRoad_act!I26*1000)</f>
        <v>28.62779518229619</v>
      </c>
      <c r="J110" s="116">
        <f>IF(TrRoad_act!J26=0,0,J52/TrRoad_act!J26*1000)</f>
        <v>29.904952420037962</v>
      </c>
      <c r="K110" s="116">
        <f>IF(TrRoad_act!K26=0,0,K52/TrRoad_act!K26*1000)</f>
        <v>33.088783872395481</v>
      </c>
      <c r="L110" s="116">
        <f>IF(TrRoad_act!L26=0,0,L52/TrRoad_act!L26*1000)</f>
        <v>35.477044651894275</v>
      </c>
      <c r="M110" s="116">
        <f>IF(TrRoad_act!M26=0,0,M52/TrRoad_act!M26*1000)</f>
        <v>34.645005780220266</v>
      </c>
      <c r="N110" s="116">
        <f>IF(TrRoad_act!N26=0,0,N52/TrRoad_act!N26*1000)</f>
        <v>33.008511334374042</v>
      </c>
      <c r="O110" s="116">
        <f>IF(TrRoad_act!O26=0,0,O52/TrRoad_act!O26*1000)</f>
        <v>37.956127328002317</v>
      </c>
      <c r="P110" s="116">
        <f>IF(TrRoad_act!P26=0,0,P52/TrRoad_act!P26*1000)</f>
        <v>33.967283359191093</v>
      </c>
      <c r="Q110" s="116">
        <f>IF(TrRoad_act!Q26=0,0,Q52/TrRoad_act!Q26*1000)</f>
        <v>32.381436502376985</v>
      </c>
      <c r="R110" s="116">
        <f>IF(TrRoad_act!R26=0,0,R52/TrRoad_act!R26*1000)</f>
        <v>29.846409692276396</v>
      </c>
      <c r="S110" s="116">
        <f>IF(TrRoad_act!S26=0,0,S52/TrRoad_act!S26*1000)</f>
        <v>34.361372157587752</v>
      </c>
      <c r="T110" s="116">
        <f>IF(TrRoad_act!T26=0,0,T52/TrRoad_act!T26*1000)</f>
        <v>30.683570576402264</v>
      </c>
      <c r="U110" s="116">
        <f>IF(TrRoad_act!U26=0,0,U52/TrRoad_act!U26*1000)</f>
        <v>38.179303782855015</v>
      </c>
      <c r="V110" s="116">
        <f>IF(TrRoad_act!V26=0,0,V52/TrRoad_act!V26*1000)</f>
        <v>36.05020902044177</v>
      </c>
      <c r="W110" s="116">
        <f>IF(TrRoad_act!W26=0,0,W52/TrRoad_act!W26*1000)</f>
        <v>35.529556157533641</v>
      </c>
      <c r="X110" s="116">
        <f>IF(TrRoad_act!X26=0,0,X52/TrRoad_act!X26*1000)</f>
        <v>35.115368798685601</v>
      </c>
      <c r="Y110" s="116">
        <f>IF(TrRoad_act!Y26=0,0,Y52/TrRoad_act!Y26*1000)</f>
        <v>38.100994283408255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32.087216419391105</v>
      </c>
      <c r="C111" s="101">
        <f>IF(TrRoad_act!C27=0,0,C53/TrRoad_act!C27*1000)</f>
        <v>30.104811758655345</v>
      </c>
      <c r="D111" s="101">
        <f>IF(TrRoad_act!D27=0,0,D53/TrRoad_act!D27*1000)</f>
        <v>36.530753860143385</v>
      </c>
      <c r="E111" s="101">
        <f>IF(TrRoad_act!E27=0,0,E53/TrRoad_act!E27*1000)</f>
        <v>38.542947688828221</v>
      </c>
      <c r="F111" s="101">
        <f>IF(TrRoad_act!F27=0,0,F53/TrRoad_act!F27*1000)</f>
        <v>38.532295002391464</v>
      </c>
      <c r="G111" s="101">
        <f>IF(TrRoad_act!G27=0,0,G53/TrRoad_act!G27*1000)</f>
        <v>38.38479770861683</v>
      </c>
      <c r="H111" s="101">
        <f>IF(TrRoad_act!H27=0,0,H53/TrRoad_act!H27*1000)</f>
        <v>38.377722352273331</v>
      </c>
      <c r="I111" s="101">
        <f>IF(TrRoad_act!I27=0,0,I53/TrRoad_act!I27*1000)</f>
        <v>38.769151805444231</v>
      </c>
      <c r="J111" s="101">
        <f>IF(TrRoad_act!J27=0,0,J53/TrRoad_act!J27*1000)</f>
        <v>35.666626702793501</v>
      </c>
      <c r="K111" s="101">
        <f>IF(TrRoad_act!K27=0,0,K53/TrRoad_act!K27*1000)</f>
        <v>38.385665229768321</v>
      </c>
      <c r="L111" s="101">
        <f>IF(TrRoad_act!L27=0,0,L53/TrRoad_act!L27*1000)</f>
        <v>41.481046088483694</v>
      </c>
      <c r="M111" s="101">
        <f>IF(TrRoad_act!M27=0,0,M53/TrRoad_act!M27*1000)</f>
        <v>42.173247775807013</v>
      </c>
      <c r="N111" s="101">
        <f>IF(TrRoad_act!N27=0,0,N53/TrRoad_act!N27*1000)</f>
        <v>41.010985158179047</v>
      </c>
      <c r="O111" s="101">
        <f>IF(TrRoad_act!O27=0,0,O53/TrRoad_act!O27*1000)</f>
        <v>41.927815122701325</v>
      </c>
      <c r="P111" s="101">
        <f>IF(TrRoad_act!P27=0,0,P53/TrRoad_act!P27*1000)</f>
        <v>41.05016780307681</v>
      </c>
      <c r="Q111" s="101">
        <f>IF(TrRoad_act!Q27=0,0,Q53/TrRoad_act!Q27*1000)</f>
        <v>39.687551092104293</v>
      </c>
      <c r="R111" s="101">
        <f>IF(TrRoad_act!R27=0,0,R53/TrRoad_act!R27*1000)</f>
        <v>39.68196888804129</v>
      </c>
      <c r="S111" s="101">
        <f>IF(TrRoad_act!S27=0,0,S53/TrRoad_act!S27*1000)</f>
        <v>41.249862261422322</v>
      </c>
      <c r="T111" s="101">
        <f>IF(TrRoad_act!T27=0,0,T53/TrRoad_act!T27*1000)</f>
        <v>38.906405516151864</v>
      </c>
      <c r="U111" s="101">
        <f>IF(TrRoad_act!U27=0,0,U53/TrRoad_act!U27*1000)</f>
        <v>41.09099093092216</v>
      </c>
      <c r="V111" s="101">
        <f>IF(TrRoad_act!V27=0,0,V53/TrRoad_act!V27*1000)</f>
        <v>39.263997342964238</v>
      </c>
      <c r="W111" s="101">
        <f>IF(TrRoad_act!W27=0,0,W53/TrRoad_act!W27*1000)</f>
        <v>39.258496036298908</v>
      </c>
      <c r="X111" s="101">
        <f>IF(TrRoad_act!X27=0,0,X53/TrRoad_act!X27*1000)</f>
        <v>38.640703864948613</v>
      </c>
      <c r="Y111" s="101">
        <f>IF(TrRoad_act!Y27=0,0,Y53/TrRoad_act!Y27*1000)</f>
        <v>38.659673384825126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18.697319706075053</v>
      </c>
      <c r="C112" s="88">
        <f>IF(TrRoad_act!C28=0,0,C55/TrRoad_act!C28*1000)</f>
        <v>11.743623143332321</v>
      </c>
      <c r="D112" s="88">
        <f>IF(TrRoad_act!D28=0,0,D55/TrRoad_act!D28*1000)</f>
        <v>16.502058337908419</v>
      </c>
      <c r="E112" s="88">
        <f>IF(TrRoad_act!E28=0,0,E55/TrRoad_act!E28*1000)</f>
        <v>17.571900415595813</v>
      </c>
      <c r="F112" s="88">
        <f>IF(TrRoad_act!F28=0,0,F55/TrRoad_act!F28*1000)</f>
        <v>18.433054161676711</v>
      </c>
      <c r="G112" s="88">
        <f>IF(TrRoad_act!G28=0,0,G55/TrRoad_act!G28*1000)</f>
        <v>18.153954998116969</v>
      </c>
      <c r="H112" s="88">
        <f>IF(TrRoad_act!H28=0,0,H55/TrRoad_act!H28*1000)</f>
        <v>17.591415604824881</v>
      </c>
      <c r="I112" s="88">
        <f>IF(TrRoad_act!I28=0,0,I55/TrRoad_act!I28*1000)</f>
        <v>19.840076299920263</v>
      </c>
      <c r="J112" s="88">
        <f>IF(TrRoad_act!J28=0,0,J55/TrRoad_act!J28*1000)</f>
        <v>20.456210548066835</v>
      </c>
      <c r="K112" s="88">
        <f>IF(TrRoad_act!K28=0,0,K55/TrRoad_act!K28*1000)</f>
        <v>25.037106797006285</v>
      </c>
      <c r="L112" s="88">
        <f>IF(TrRoad_act!L28=0,0,L55/TrRoad_act!L28*1000)</f>
        <v>27.39797038851842</v>
      </c>
      <c r="M112" s="88">
        <f>IF(TrRoad_act!M28=0,0,M55/TrRoad_act!M28*1000)</f>
        <v>24.83608364569616</v>
      </c>
      <c r="N112" s="88">
        <f>IF(TrRoad_act!N28=0,0,N55/TrRoad_act!N28*1000)</f>
        <v>22.85962678803288</v>
      </c>
      <c r="O112" s="88">
        <f>IF(TrRoad_act!O28=0,0,O55/TrRoad_act!O28*1000)</f>
        <v>32.970213336699835</v>
      </c>
      <c r="P112" s="88">
        <f>IF(TrRoad_act!P28=0,0,P55/TrRoad_act!P28*1000)</f>
        <v>26.308048014071073</v>
      </c>
      <c r="Q112" s="88">
        <f>IF(TrRoad_act!Q28=0,0,Q55/TrRoad_act!Q28*1000)</f>
        <v>25.267327746476749</v>
      </c>
      <c r="R112" s="88">
        <f>IF(TrRoad_act!R28=0,0,R55/TrRoad_act!R28*1000)</f>
        <v>20.652546206146862</v>
      </c>
      <c r="S112" s="88">
        <f>IF(TrRoad_act!S28=0,0,S55/TrRoad_act!S28*1000)</f>
        <v>28.873679429626161</v>
      </c>
      <c r="T112" s="88">
        <f>IF(TrRoad_act!T28=0,0,T55/TrRoad_act!T28*1000)</f>
        <v>24.095657982789028</v>
      </c>
      <c r="U112" s="88">
        <f>IF(TrRoad_act!U28=0,0,U55/TrRoad_act!U28*1000)</f>
        <v>35.520431486695429</v>
      </c>
      <c r="V112" s="88">
        <f>IF(TrRoad_act!V28=0,0,V55/TrRoad_act!V28*1000)</f>
        <v>33.042226499966524</v>
      </c>
      <c r="W112" s="88">
        <f>IF(TrRoad_act!W28=0,0,W55/TrRoad_act!W28*1000)</f>
        <v>31.561825313786521</v>
      </c>
      <c r="X112" s="88">
        <f>IF(TrRoad_act!X28=0,0,X55/TrRoad_act!X28*1000)</f>
        <v>31.469868924028464</v>
      </c>
      <c r="Y112" s="88">
        <f>IF(TrRoad_act!Y28=0,0,Y55/TrRoad_act!Y28*1000)</f>
        <v>37.526648166617512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72.063246305118568</v>
      </c>
      <c r="C116" s="152">
        <f>IF(C19=0,0,1000000*C19/TrRoad_act!C59)</f>
        <v>71.986874760724575</v>
      </c>
      <c r="D116" s="152">
        <f>IF(D19=0,0,1000000*D19/TrRoad_act!D59)</f>
        <v>70.485897808162875</v>
      </c>
      <c r="E116" s="152">
        <f>IF(E19=0,0,1000000*E19/TrRoad_act!E59)</f>
        <v>66.125704129071664</v>
      </c>
      <c r="F116" s="152">
        <f>IF(F19=0,0,1000000*F19/TrRoad_act!F59)</f>
        <v>62.683297943521758</v>
      </c>
      <c r="G116" s="152">
        <f>IF(G19=0,0,1000000*G19/TrRoad_act!G59)</f>
        <v>59.898014647860052</v>
      </c>
      <c r="H116" s="152">
        <f>IF(H19=0,0,1000000*H19/TrRoad_act!H59)</f>
        <v>57.071309836650755</v>
      </c>
      <c r="I116" s="152">
        <f>IF(I19=0,0,1000000*I19/TrRoad_act!I59)</f>
        <v>54.806881579037345</v>
      </c>
      <c r="J116" s="152">
        <f>IF(J19=0,0,1000000*J19/TrRoad_act!J59)</f>
        <v>52.663716652476062</v>
      </c>
      <c r="K116" s="152">
        <f>IF(K19=0,0,1000000*K19/TrRoad_act!K59)</f>
        <v>51.891623508373975</v>
      </c>
      <c r="L116" s="152">
        <f>IF(L19=0,0,1000000*L19/TrRoad_act!L59)</f>
        <v>51.67941677207763</v>
      </c>
      <c r="M116" s="152">
        <f>IF(M19=0,0,1000000*M19/TrRoad_act!M59)</f>
        <v>51.725528241760948</v>
      </c>
      <c r="N116" s="152">
        <f>IF(N19=0,0,1000000*N19/TrRoad_act!N59)</f>
        <v>50.770839870199062</v>
      </c>
      <c r="O116" s="152">
        <f>IF(O19=0,0,1000000*O19/TrRoad_act!O59)</f>
        <v>50.840978246752535</v>
      </c>
      <c r="P116" s="152">
        <f>IF(P19=0,0,1000000*P19/TrRoad_act!P59)</f>
        <v>50.835390820467666</v>
      </c>
      <c r="Q116" s="152">
        <f>IF(Q19=0,0,1000000*Q19/TrRoad_act!Q59)</f>
        <v>51.375943507596141</v>
      </c>
      <c r="R116" s="152">
        <f>IF(R19=0,0,1000000*R19/TrRoad_act!R59)</f>
        <v>53.446881482862622</v>
      </c>
      <c r="S116" s="152">
        <f>IF(S19=0,0,1000000*S19/TrRoad_act!S59)</f>
        <v>55.089422703566278</v>
      </c>
      <c r="T116" s="152">
        <f>IF(T19=0,0,1000000*T19/TrRoad_act!T59)</f>
        <v>54.580684991317398</v>
      </c>
      <c r="U116" s="152">
        <f>IF(U19=0,0,1000000*U19/TrRoad_act!U59)</f>
        <v>55.577212725388044</v>
      </c>
      <c r="V116" s="152">
        <f>IF(V19=0,0,1000000*V19/TrRoad_act!V59)</f>
        <v>48.827929861228242</v>
      </c>
      <c r="W116" s="152">
        <f>IF(W19=0,0,1000000*W19/TrRoad_act!W59)</f>
        <v>58.824401195394671</v>
      </c>
      <c r="X116" s="152">
        <f>IF(X19=0,0,1000000*X19/TrRoad_act!X59)</f>
        <v>60.437052685602396</v>
      </c>
      <c r="Y116" s="152">
        <f>IF(Y19=0,0,1000000*Y19/TrRoad_act!Y59)</f>
        <v>61.815809506830092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870.95424205742006</v>
      </c>
      <c r="C117" s="116">
        <f>IF(C21=0,0,1000000*C21/TrRoad_act!C60)</f>
        <v>833.93944508574475</v>
      </c>
      <c r="D117" s="116">
        <f>IF(D21=0,0,1000000*D21/TrRoad_act!D60)</f>
        <v>819.84350825751983</v>
      </c>
      <c r="E117" s="116">
        <f>IF(E21=0,0,1000000*E21/TrRoad_act!E60)</f>
        <v>850.62062054028252</v>
      </c>
      <c r="F117" s="116">
        <f>IF(F21=0,0,1000000*F21/TrRoad_act!F60)</f>
        <v>831.05758237431689</v>
      </c>
      <c r="G117" s="116">
        <f>IF(G21=0,0,1000000*G21/TrRoad_act!G60)</f>
        <v>840.09697098790195</v>
      </c>
      <c r="H117" s="116">
        <f>IF(H21=0,0,1000000*H21/TrRoad_act!H60)</f>
        <v>869.20244395275733</v>
      </c>
      <c r="I117" s="116">
        <f>IF(I21=0,0,1000000*I21/TrRoad_act!I60)</f>
        <v>904.7099324542354</v>
      </c>
      <c r="J117" s="116">
        <f>IF(J21=0,0,1000000*J21/TrRoad_act!J60)</f>
        <v>864.699030634427</v>
      </c>
      <c r="K117" s="116">
        <f>IF(K21=0,0,1000000*K21/TrRoad_act!K60)</f>
        <v>885.35095852297798</v>
      </c>
      <c r="L117" s="116">
        <f>IF(L21=0,0,1000000*L21/TrRoad_act!L60)</f>
        <v>853.19771362310223</v>
      </c>
      <c r="M117" s="116">
        <f>IF(M21=0,0,1000000*M21/TrRoad_act!M60)</f>
        <v>844.74055809953904</v>
      </c>
      <c r="N117" s="116">
        <f>IF(N21=0,0,1000000*N21/TrRoad_act!N60)</f>
        <v>887.07054208984835</v>
      </c>
      <c r="O117" s="116">
        <f>IF(O21=0,0,1000000*O21/TrRoad_act!O60)</f>
        <v>837.07562867932927</v>
      </c>
      <c r="P117" s="116">
        <f>IF(P21=0,0,1000000*P21/TrRoad_act!P60)</f>
        <v>831.07035429452947</v>
      </c>
      <c r="Q117" s="116">
        <f>IF(Q21=0,0,1000000*Q21/TrRoad_act!Q60)</f>
        <v>889.87698004004733</v>
      </c>
      <c r="R117" s="116">
        <f>IF(R21=0,0,1000000*R21/TrRoad_act!R60)</f>
        <v>893.72352884980137</v>
      </c>
      <c r="S117" s="116">
        <f>IF(S21=0,0,1000000*S21/TrRoad_act!S60)</f>
        <v>894.82965525742998</v>
      </c>
      <c r="T117" s="116">
        <f>IF(T21=0,0,1000000*T21/TrRoad_act!T60)</f>
        <v>836.88234050454582</v>
      </c>
      <c r="U117" s="116">
        <f>IF(U21=0,0,1000000*U21/TrRoad_act!U60)</f>
        <v>838.71739506499705</v>
      </c>
      <c r="V117" s="116">
        <f>IF(V21=0,0,1000000*V21/TrRoad_act!V60)</f>
        <v>714.97630133405244</v>
      </c>
      <c r="W117" s="116">
        <f>IF(W21=0,0,1000000*W21/TrRoad_act!W60)</f>
        <v>772.48951010059204</v>
      </c>
      <c r="X117" s="116">
        <f>IF(X21=0,0,1000000*X21/TrRoad_act!X60)</f>
        <v>781.30800472203589</v>
      </c>
      <c r="Y117" s="116">
        <f>IF(Y21=0,0,1000000*Y21/TrRoad_act!Y60)</f>
        <v>838.54822871275326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891.4757656998288</v>
      </c>
      <c r="C118" s="87">
        <f>IF(C22=0,0,1000000*C22/TrRoad_act!C61)</f>
        <v>834.10512351036368</v>
      </c>
      <c r="D118" s="87">
        <f>IF(D22=0,0,1000000*D22/TrRoad_act!D61)</f>
        <v>832.87330048124193</v>
      </c>
      <c r="E118" s="87">
        <f>IF(E22=0,0,1000000*E22/TrRoad_act!E61)</f>
        <v>819.12967653903399</v>
      </c>
      <c r="F118" s="87">
        <f>IF(F22=0,0,1000000*F22/TrRoad_act!F61)</f>
        <v>782.00188365638633</v>
      </c>
      <c r="G118" s="87">
        <f>IF(G22=0,0,1000000*G22/TrRoad_act!G61)</f>
        <v>767.57049499669245</v>
      </c>
      <c r="H118" s="87">
        <f>IF(H22=0,0,1000000*H22/TrRoad_act!H61)</f>
        <v>767.7162499236714</v>
      </c>
      <c r="I118" s="87">
        <f>IF(I22=0,0,1000000*I22/TrRoad_act!I61)</f>
        <v>774.63839442059111</v>
      </c>
      <c r="J118" s="87">
        <f>IF(J22=0,0,1000000*J22/TrRoad_act!J61)</f>
        <v>739.02477205046898</v>
      </c>
      <c r="K118" s="87">
        <f>IF(K22=0,0,1000000*K22/TrRoad_act!K61)</f>
        <v>764.25813207621616</v>
      </c>
      <c r="L118" s="87">
        <f>IF(L22=0,0,1000000*L22/TrRoad_act!L61)</f>
        <v>729.18540153585866</v>
      </c>
      <c r="M118" s="87">
        <f>IF(M22=0,0,1000000*M22/TrRoad_act!M61)</f>
        <v>723.96340059674094</v>
      </c>
      <c r="N118" s="87">
        <f>IF(N22=0,0,1000000*N22/TrRoad_act!N61)</f>
        <v>729.53711310183462</v>
      </c>
      <c r="O118" s="87">
        <f>IF(O22=0,0,1000000*O22/TrRoad_act!O61)</f>
        <v>697.84292538571708</v>
      </c>
      <c r="P118" s="87">
        <f>IF(P22=0,0,1000000*P22/TrRoad_act!P61)</f>
        <v>658.16469009520665</v>
      </c>
      <c r="Q118" s="87">
        <f>IF(Q22=0,0,1000000*Q22/TrRoad_act!Q61)</f>
        <v>700.04619886421176</v>
      </c>
      <c r="R118" s="87">
        <f>IF(R22=0,0,1000000*R22/TrRoad_act!R61)</f>
        <v>716.10591475268245</v>
      </c>
      <c r="S118" s="87">
        <f>IF(S22=0,0,1000000*S22/TrRoad_act!S61)</f>
        <v>700.91416800043203</v>
      </c>
      <c r="T118" s="87">
        <f>IF(T22=0,0,1000000*T22/TrRoad_act!T61)</f>
        <v>689.75641936928366</v>
      </c>
      <c r="U118" s="87">
        <f>IF(U22=0,0,1000000*U22/TrRoad_act!U61)</f>
        <v>669.1303483491339</v>
      </c>
      <c r="V118" s="87">
        <f>IF(V22=0,0,1000000*V22/TrRoad_act!V61)</f>
        <v>569.15323432736329</v>
      </c>
      <c r="W118" s="87">
        <f>IF(W22=0,0,1000000*W22/TrRoad_act!W61)</f>
        <v>639.27157603906835</v>
      </c>
      <c r="X118" s="87">
        <f>IF(X22=0,0,1000000*X22/TrRoad_act!X61)</f>
        <v>671.16528316474398</v>
      </c>
      <c r="Y118" s="87">
        <f>IF(Y22=0,0,1000000*Y22/TrRoad_act!Y61)</f>
        <v>716.49769478337737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791.29741525258214</v>
      </c>
      <c r="C119" s="87">
        <f>IF(C24=0,0,1000000*C24/TrRoad_act!C62)</f>
        <v>829.49718762299756</v>
      </c>
      <c r="D119" s="87">
        <f>IF(D24=0,0,1000000*D24/TrRoad_act!D62)</f>
        <v>772.24022614796547</v>
      </c>
      <c r="E119" s="87">
        <f>IF(E24=0,0,1000000*E24/TrRoad_act!E62)</f>
        <v>938.81765708423018</v>
      </c>
      <c r="F119" s="87">
        <f>IF(F24=0,0,1000000*F24/TrRoad_act!F62)</f>
        <v>951.99124334855196</v>
      </c>
      <c r="G119" s="87">
        <f>IF(G24=0,0,1000000*G24/TrRoad_act!G62)</f>
        <v>1005.5053926081046</v>
      </c>
      <c r="H119" s="87">
        <f>IF(H24=0,0,1000000*H24/TrRoad_act!H62)</f>
        <v>1088.0292310075083</v>
      </c>
      <c r="I119" s="87">
        <f>IF(I24=0,0,1000000*I24/TrRoad_act!I62)</f>
        <v>1169.4827420768092</v>
      </c>
      <c r="J119" s="87">
        <f>IF(J24=0,0,1000000*J24/TrRoad_act!J62)</f>
        <v>1105.2422840901086</v>
      </c>
      <c r="K119" s="87">
        <f>IF(K24=0,0,1000000*K24/TrRoad_act!K62)</f>
        <v>1141.0214090676784</v>
      </c>
      <c r="L119" s="87">
        <f>IF(L24=0,0,1000000*L24/TrRoad_act!L62)</f>
        <v>1095.2113365298858</v>
      </c>
      <c r="M119" s="87">
        <f>IF(M24=0,0,1000000*M24/TrRoad_act!M62)</f>
        <v>1075.6553309407732</v>
      </c>
      <c r="N119" s="87">
        <f>IF(N24=0,0,1000000*N24/TrRoad_act!N62)</f>
        <v>1156.8616190782686</v>
      </c>
      <c r="O119" s="87">
        <f>IF(O24=0,0,1000000*O24/TrRoad_act!O62)</f>
        <v>1055.1229973567133</v>
      </c>
      <c r="P119" s="87">
        <f>IF(P24=0,0,1000000*P24/TrRoad_act!P62)</f>
        <v>1071.1119297058419</v>
      </c>
      <c r="Q119" s="87">
        <f>IF(Q24=0,0,1000000*Q24/TrRoad_act!Q62)</f>
        <v>1134.2862772101548</v>
      </c>
      <c r="R119" s="87">
        <f>IF(R24=0,0,1000000*R24/TrRoad_act!R62)</f>
        <v>1102.1979338095687</v>
      </c>
      <c r="S119" s="87">
        <f>IF(S24=0,0,1000000*S24/TrRoad_act!S62)</f>
        <v>1108.8556827122154</v>
      </c>
      <c r="T119" s="87">
        <f>IF(T24=0,0,1000000*T24/TrRoad_act!T62)</f>
        <v>988.54199970835316</v>
      </c>
      <c r="U119" s="87">
        <f>IF(U24=0,0,1000000*U24/TrRoad_act!U62)</f>
        <v>1006.5595108766784</v>
      </c>
      <c r="V119" s="87">
        <f>IF(V24=0,0,1000000*V24/TrRoad_act!V62)</f>
        <v>858.81344937434187</v>
      </c>
      <c r="W119" s="87">
        <f>IF(W24=0,0,1000000*W24/TrRoad_act!W62)</f>
        <v>908.94572053926447</v>
      </c>
      <c r="X119" s="87">
        <f>IF(X24=0,0,1000000*X24/TrRoad_act!X62)</f>
        <v>901.3791008718614</v>
      </c>
      <c r="Y119" s="87">
        <f>IF(Y24=0,0,1000000*Y24/TrRoad_act!Y62)</f>
        <v>975.27882297335361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861.4987763740985</v>
      </c>
      <c r="C120" s="87">
        <f>IF(C26=0,0,1000000*C26/TrRoad_act!C63)</f>
        <v>900.52136903215887</v>
      </c>
      <c r="D120" s="87">
        <f>IF(D26=0,0,1000000*D26/TrRoad_act!D63)</f>
        <v>929.35933881810149</v>
      </c>
      <c r="E120" s="87">
        <f>IF(E26=0,0,1000000*E26/TrRoad_act!E63)</f>
        <v>866.83313412254529</v>
      </c>
      <c r="F120" s="87">
        <f>IF(F26=0,0,1000000*F26/TrRoad_act!F63)</f>
        <v>866.08851249562758</v>
      </c>
      <c r="G120" s="87">
        <f>IF(G26=0,0,1000000*G26/TrRoad_act!G63)</f>
        <v>846.63820370762255</v>
      </c>
      <c r="H120" s="87">
        <f>IF(H26=0,0,1000000*H26/TrRoad_act!H63)</f>
        <v>842.82006149766414</v>
      </c>
      <c r="I120" s="87">
        <f>IF(I26=0,0,1000000*I26/TrRoad_act!I63)</f>
        <v>814.59760860249435</v>
      </c>
      <c r="J120" s="87">
        <f>IF(J26=0,0,1000000*J26/TrRoad_act!J63)</f>
        <v>841.0213263530452</v>
      </c>
      <c r="K120" s="87">
        <f>IF(K26=0,0,1000000*K26/TrRoad_act!K63)</f>
        <v>717.5559820100043</v>
      </c>
      <c r="L120" s="87">
        <f>IF(L26=0,0,1000000*L26/TrRoad_act!L63)</f>
        <v>712.2148534635644</v>
      </c>
      <c r="M120" s="87">
        <f>IF(M26=0,0,1000000*M26/TrRoad_act!M63)</f>
        <v>686.04317635331506</v>
      </c>
      <c r="N120" s="87">
        <f>IF(N26=0,0,1000000*N26/TrRoad_act!N63)</f>
        <v>726.98711396472686</v>
      </c>
      <c r="O120" s="87">
        <f>IF(O26=0,0,1000000*O26/TrRoad_act!O63)</f>
        <v>755.25399259840879</v>
      </c>
      <c r="P120" s="87">
        <f>IF(P26=0,0,1000000*P26/TrRoad_act!P63)</f>
        <v>774.02808951066868</v>
      </c>
      <c r="Q120" s="87">
        <f>IF(Q26=0,0,1000000*Q26/TrRoad_act!Q63)</f>
        <v>804.39927052585722</v>
      </c>
      <c r="R120" s="87">
        <f>IF(R26=0,0,1000000*R26/TrRoad_act!R63)</f>
        <v>798.49653595453253</v>
      </c>
      <c r="S120" s="87">
        <f>IF(S26=0,0,1000000*S26/TrRoad_act!S63)</f>
        <v>748.80873862497651</v>
      </c>
      <c r="T120" s="87">
        <f>IF(T26=0,0,1000000*T26/TrRoad_act!T63)</f>
        <v>694.22702822497945</v>
      </c>
      <c r="U120" s="87">
        <f>IF(U26=0,0,1000000*U26/TrRoad_act!U63)</f>
        <v>619.8063488929198</v>
      </c>
      <c r="V120" s="87">
        <f>IF(V26=0,0,1000000*V26/TrRoad_act!V63)</f>
        <v>476.39393911800528</v>
      </c>
      <c r="W120" s="87">
        <f>IF(W26=0,0,1000000*W26/TrRoad_act!W63)</f>
        <v>481.79588050298008</v>
      </c>
      <c r="X120" s="87">
        <f>IF(X26=0,0,1000000*X26/TrRoad_act!X63)</f>
        <v>442.4636336915259</v>
      </c>
      <c r="Y120" s="87">
        <f>IF(Y26=0,0,1000000*Y26/TrRoad_act!Y63)</f>
        <v>423.36456792259185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1084.8893362993263</v>
      </c>
      <c r="L121" s="87">
        <f>IF(L27=0,0,1000000*L27/TrRoad_act!L64)</f>
        <v>1094.8920797371691</v>
      </c>
      <c r="M121" s="87">
        <f>IF(M27=0,0,1000000*M27/TrRoad_act!M64)</f>
        <v>1097.9492492757713</v>
      </c>
      <c r="N121" s="87">
        <f>IF(N27=0,0,1000000*N27/TrRoad_act!N64)</f>
        <v>1155.0118814629086</v>
      </c>
      <c r="O121" s="87">
        <f>IF(O27=0,0,1000000*O27/TrRoad_act!O64)</f>
        <v>1161.8642140281695</v>
      </c>
      <c r="P121" s="87">
        <f>IF(P27=0,0,1000000*P27/TrRoad_act!P64)</f>
        <v>1127.7952290864193</v>
      </c>
      <c r="Q121" s="87">
        <f>IF(Q27=0,0,1000000*Q27/TrRoad_act!Q64)</f>
        <v>1118.8664398772346</v>
      </c>
      <c r="R121" s="87">
        <f>IF(R27=0,0,1000000*R27/TrRoad_act!R64)</f>
        <v>1174.7059915914215</v>
      </c>
      <c r="S121" s="87">
        <f>IF(S27=0,0,1000000*S27/TrRoad_act!S64)</f>
        <v>1160.2307279472238</v>
      </c>
      <c r="T121" s="87">
        <f>IF(T27=0,0,1000000*T27/TrRoad_act!T64)</f>
        <v>1170.248156818742</v>
      </c>
      <c r="U121" s="87">
        <f>IF(U27=0,0,1000000*U27/TrRoad_act!U64)</f>
        <v>1098.4662450251674</v>
      </c>
      <c r="V121" s="87">
        <f>IF(V27=0,0,1000000*V27/TrRoad_act!V64)</f>
        <v>880.10601181768789</v>
      </c>
      <c r="W121" s="87">
        <f>IF(W27=0,0,1000000*W27/TrRoad_act!W64)</f>
        <v>1028.7573379292992</v>
      </c>
      <c r="X121" s="87">
        <f>IF(X27=0,0,1000000*X27/TrRoad_act!X64)</f>
        <v>1076.0423277283192</v>
      </c>
      <c r="Y121" s="87">
        <f>IF(Y27=0,0,1000000*Y27/TrRoad_act!Y64)</f>
        <v>1064.2024926132472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0</v>
      </c>
      <c r="P122" s="87">
        <f>IF(P29=0,0,1000000*P29/TrRoad_act!P65)</f>
        <v>446.57732455764989</v>
      </c>
      <c r="Q122" s="87">
        <f>IF(Q29=0,0,1000000*Q29/TrRoad_act!Q65)</f>
        <v>471.42276434843347</v>
      </c>
      <c r="R122" s="87">
        <f>IF(R29=0,0,1000000*R29/TrRoad_act!R65)</f>
        <v>494.85081398109804</v>
      </c>
      <c r="S122" s="87">
        <f>IF(S29=0,0,1000000*S29/TrRoad_act!S65)</f>
        <v>482.78970529831082</v>
      </c>
      <c r="T122" s="87">
        <f>IF(T29=0,0,1000000*T29/TrRoad_act!T65)</f>
        <v>490.60318582904728</v>
      </c>
      <c r="U122" s="87">
        <f>IF(U29=0,0,1000000*U29/TrRoad_act!U65)</f>
        <v>498.8376225602936</v>
      </c>
      <c r="V122" s="87">
        <f>IF(V29=0,0,1000000*V29/TrRoad_act!V65)</f>
        <v>388.6106740210974</v>
      </c>
      <c r="W122" s="87">
        <f>IF(W29=0,0,1000000*W29/TrRoad_act!W65)</f>
        <v>464.26827751638842</v>
      </c>
      <c r="X122" s="87">
        <f>IF(X29=0,0,1000000*X29/TrRoad_act!X65)</f>
        <v>488.09371393514357</v>
      </c>
      <c r="Y122" s="87">
        <f>IF(Y29=0,0,1000000*Y29/TrRoad_act!Y65)</f>
        <v>537.97914243285902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0</v>
      </c>
      <c r="N123" s="87">
        <f>IF(N32=0,0,1000000*N32/TrRoad_act!N66)</f>
        <v>157.7448513775509</v>
      </c>
      <c r="O123" s="87">
        <f>IF(O32=0,0,1000000*O32/TrRoad_act!O66)</f>
        <v>158.85432298184733</v>
      </c>
      <c r="P123" s="87">
        <f>IF(P32=0,0,1000000*P32/TrRoad_act!P66)</f>
        <v>162.7075019507372</v>
      </c>
      <c r="Q123" s="87">
        <f>IF(Q32=0,0,1000000*Q32/TrRoad_act!Q66)</f>
        <v>159.58334201224591</v>
      </c>
      <c r="R123" s="87">
        <f>IF(R32=0,0,1000000*R32/TrRoad_act!R66)</f>
        <v>157.45592058397358</v>
      </c>
      <c r="S123" s="87">
        <f>IF(S32=0,0,1000000*S32/TrRoad_act!S66)</f>
        <v>158.45483513598268</v>
      </c>
      <c r="T123" s="87">
        <f>IF(T32=0,0,1000000*T32/TrRoad_act!T66)</f>
        <v>173.37317582444982</v>
      </c>
      <c r="U123" s="87">
        <f>IF(U32=0,0,1000000*U32/TrRoad_act!U66)</f>
        <v>197.26371445153612</v>
      </c>
      <c r="V123" s="87">
        <f>IF(V32=0,0,1000000*V32/TrRoad_act!V66)</f>
        <v>180.15693049150687</v>
      </c>
      <c r="W123" s="87">
        <f>IF(W32=0,0,1000000*W32/TrRoad_act!W66)</f>
        <v>207.57022358070381</v>
      </c>
      <c r="X123" s="87">
        <f>IF(X32=0,0,1000000*X32/TrRoad_act!X66)</f>
        <v>209.70649100043053</v>
      </c>
      <c r="Y123" s="87">
        <f>IF(Y32=0,0,1000000*Y32/TrRoad_act!Y66)</f>
        <v>211.22601448043838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20492.279801160119</v>
      </c>
      <c r="C124" s="116">
        <f>IF(C33=0,0,1000000*C33/TrRoad_act!C67)</f>
        <v>19635.483413091501</v>
      </c>
      <c r="D124" s="116">
        <f>IF(D33=0,0,1000000*D33/TrRoad_act!D67)</f>
        <v>19359.594955872195</v>
      </c>
      <c r="E124" s="116">
        <f>IF(E33=0,0,1000000*E33/TrRoad_act!E67)</f>
        <v>19328.241615790772</v>
      </c>
      <c r="F124" s="116">
        <f>IF(F33=0,0,1000000*F33/TrRoad_act!F67)</f>
        <v>18768.805540220801</v>
      </c>
      <c r="G124" s="116">
        <f>IF(G33=0,0,1000000*G33/TrRoad_act!G67)</f>
        <v>18483.685658709004</v>
      </c>
      <c r="H124" s="116">
        <f>IF(H33=0,0,1000000*H33/TrRoad_act!H67)</f>
        <v>18307.603390404023</v>
      </c>
      <c r="I124" s="116">
        <f>IF(I33=0,0,1000000*I33/TrRoad_act!I67)</f>
        <v>18514.132960205021</v>
      </c>
      <c r="J124" s="116">
        <f>IF(J33=0,0,1000000*J33/TrRoad_act!J67)</f>
        <v>18303.878616387516</v>
      </c>
      <c r="K124" s="116">
        <f>IF(K33=0,0,1000000*K33/TrRoad_act!K67)</f>
        <v>18793.475413814296</v>
      </c>
      <c r="L124" s="116">
        <f>IF(L33=0,0,1000000*L33/TrRoad_act!L67)</f>
        <v>19174.953530750157</v>
      </c>
      <c r="M124" s="116">
        <f>IF(M33=0,0,1000000*M33/TrRoad_act!M67)</f>
        <v>18464.361171500634</v>
      </c>
      <c r="N124" s="116">
        <f>IF(N33=0,0,1000000*N33/TrRoad_act!N67)</f>
        <v>18469.149780281645</v>
      </c>
      <c r="O124" s="116">
        <f>IF(O33=0,0,1000000*O33/TrRoad_act!O67)</f>
        <v>18230.43998733638</v>
      </c>
      <c r="P124" s="116">
        <f>IF(P33=0,0,1000000*P33/TrRoad_act!P67)</f>
        <v>17632.283041697137</v>
      </c>
      <c r="Q124" s="116">
        <f>IF(Q33=0,0,1000000*Q33/TrRoad_act!Q67)</f>
        <v>18347.540395207638</v>
      </c>
      <c r="R124" s="116">
        <f>IF(R33=0,0,1000000*R33/TrRoad_act!R67)</f>
        <v>18722.079838978279</v>
      </c>
      <c r="S124" s="116">
        <f>IF(S33=0,0,1000000*S33/TrRoad_act!S67)</f>
        <v>19387.238778606294</v>
      </c>
      <c r="T124" s="116">
        <f>IF(T33=0,0,1000000*T33/TrRoad_act!T67)</f>
        <v>19352.001948816822</v>
      </c>
      <c r="U124" s="116">
        <f>IF(U33=0,0,1000000*U33/TrRoad_act!U67)</f>
        <v>16048.716592443663</v>
      </c>
      <c r="V124" s="116">
        <f>IF(V33=0,0,1000000*V33/TrRoad_act!V67)</f>
        <v>11991.283250163662</v>
      </c>
      <c r="W124" s="116">
        <f>IF(W33=0,0,1000000*W33/TrRoad_act!W67)</f>
        <v>13103.416153092792</v>
      </c>
      <c r="X124" s="116">
        <f>IF(X33=0,0,1000000*X33/TrRoad_act!X67)</f>
        <v>13935.928759330627</v>
      </c>
      <c r="Y124" s="116">
        <f>IF(Y33=0,0,1000000*Y33/TrRoad_act!Y67)</f>
        <v>15281.655329271756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4553.9472136328595</v>
      </c>
      <c r="C125" s="101">
        <f>IF(C34=0,0,1000000*C34/TrRoad_act!C68)</f>
        <v>4468.4859684751009</v>
      </c>
      <c r="D125" s="101">
        <f>IF(D34=0,0,1000000*D34/TrRoad_act!D68)</f>
        <v>4321.1389638183509</v>
      </c>
      <c r="E125" s="101">
        <f>IF(E34=0,0,1000000*E34/TrRoad_act!E68)</f>
        <v>4218.1643031791364</v>
      </c>
      <c r="F125" s="101">
        <f>IF(F34=0,0,1000000*F34/TrRoad_act!F68)</f>
        <v>4114.3244407991833</v>
      </c>
      <c r="G125" s="101">
        <f>IF(G34=0,0,1000000*G34/TrRoad_act!G68)</f>
        <v>3996.942332322747</v>
      </c>
      <c r="H125" s="101">
        <f>IF(H34=0,0,1000000*H34/TrRoad_act!H68)</f>
        <v>3880.0386462302258</v>
      </c>
      <c r="I125" s="101">
        <f>IF(I34=0,0,1000000*I34/TrRoad_act!I68)</f>
        <v>3793.8654030244229</v>
      </c>
      <c r="J125" s="101">
        <f>IF(J34=0,0,1000000*J34/TrRoad_act!J68)</f>
        <v>3686.1132901280002</v>
      </c>
      <c r="K125" s="101">
        <f>IF(K34=0,0,1000000*K34/TrRoad_act!K68)</f>
        <v>3614.8019719695808</v>
      </c>
      <c r="L125" s="101">
        <f>IF(L34=0,0,1000000*L34/TrRoad_act!L68)</f>
        <v>3673.76411100119</v>
      </c>
      <c r="M125" s="101">
        <f>IF(M34=0,0,1000000*M34/TrRoad_act!M68)</f>
        <v>3582.4420775822882</v>
      </c>
      <c r="N125" s="101">
        <f>IF(N34=0,0,1000000*N34/TrRoad_act!N68)</f>
        <v>3485.130072953214</v>
      </c>
      <c r="O125" s="101">
        <f>IF(O34=0,0,1000000*O34/TrRoad_act!O68)</f>
        <v>3371.08748880544</v>
      </c>
      <c r="P125" s="101">
        <f>IF(P34=0,0,1000000*P34/TrRoad_act!P68)</f>
        <v>3298.8896063050365</v>
      </c>
      <c r="Q125" s="101">
        <f>IF(Q34=0,0,1000000*Q34/TrRoad_act!Q68)</f>
        <v>3321.4251662552615</v>
      </c>
      <c r="R125" s="101">
        <f>IF(R34=0,0,1000000*R34/TrRoad_act!R68)</f>
        <v>3505.4597608607519</v>
      </c>
      <c r="S125" s="101">
        <f>IF(S34=0,0,1000000*S34/TrRoad_act!S68)</f>
        <v>3514.7819533802617</v>
      </c>
      <c r="T125" s="101">
        <f>IF(T34=0,0,1000000*T34/TrRoad_act!T68)</f>
        <v>3624.5639576544736</v>
      </c>
      <c r="U125" s="101">
        <f>IF(U34=0,0,1000000*U34/TrRoad_act!U68)</f>
        <v>2780.1362451322184</v>
      </c>
      <c r="V125" s="101">
        <f>IF(V34=0,0,1000000*V34/TrRoad_act!V68)</f>
        <v>2017.9622442155126</v>
      </c>
      <c r="W125" s="101">
        <f>IF(W34=0,0,1000000*W34/TrRoad_act!W68)</f>
        <v>2263.924887505907</v>
      </c>
      <c r="X125" s="101">
        <f>IF(X34=0,0,1000000*X34/TrRoad_act!X68)</f>
        <v>2455.7674577333278</v>
      </c>
      <c r="Y125" s="101">
        <f>IF(Y34=0,0,1000000*Y34/TrRoad_act!Y68)</f>
        <v>2601.0745751610771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20566.437449584115</v>
      </c>
      <c r="C126" s="101">
        <f>IF(C36=0,0,1000000*C36/TrRoad_act!C69)</f>
        <v>19709.007638931052</v>
      </c>
      <c r="D126" s="101">
        <f>IF(D36=0,0,1000000*D36/TrRoad_act!D69)</f>
        <v>19434.017053657706</v>
      </c>
      <c r="E126" s="101">
        <f>IF(E36=0,0,1000000*E36/TrRoad_act!E69)</f>
        <v>19400.828056043512</v>
      </c>
      <c r="F126" s="101">
        <f>IF(F36=0,0,1000000*F36/TrRoad_act!F69)</f>
        <v>18835.598981877236</v>
      </c>
      <c r="G126" s="101">
        <f>IF(G36=0,0,1000000*G36/TrRoad_act!G69)</f>
        <v>18551.203730367732</v>
      </c>
      <c r="H126" s="101">
        <f>IF(H36=0,0,1000000*H36/TrRoad_act!H69)</f>
        <v>18376.236046339611</v>
      </c>
      <c r="I126" s="101">
        <f>IF(I36=0,0,1000000*I36/TrRoad_act!I69)</f>
        <v>18578.733894896293</v>
      </c>
      <c r="J126" s="101">
        <f>IF(J36=0,0,1000000*J36/TrRoad_act!J69)</f>
        <v>18375.676897633395</v>
      </c>
      <c r="K126" s="101">
        <f>IF(K36=0,0,1000000*K36/TrRoad_act!K69)</f>
        <v>18869.387771864771</v>
      </c>
      <c r="L126" s="101">
        <f>IF(L36=0,0,1000000*L36/TrRoad_act!L69)</f>
        <v>19153.737223534885</v>
      </c>
      <c r="M126" s="101">
        <f>IF(M36=0,0,1000000*M36/TrRoad_act!M69)</f>
        <v>18599.853609485748</v>
      </c>
      <c r="N126" s="101">
        <f>IF(N36=0,0,1000000*N36/TrRoad_act!N69)</f>
        <v>18611.104762423613</v>
      </c>
      <c r="O126" s="101">
        <f>IF(O36=0,0,1000000*O36/TrRoad_act!O69)</f>
        <v>18470.28965275958</v>
      </c>
      <c r="P126" s="101">
        <f>IF(P36=0,0,1000000*P36/TrRoad_act!P69)</f>
        <v>18013.471088302544</v>
      </c>
      <c r="Q126" s="101">
        <f>IF(Q36=0,0,1000000*Q36/TrRoad_act!Q69)</f>
        <v>18725.41657690642</v>
      </c>
      <c r="R126" s="101">
        <f>IF(R36=0,0,1000000*R36/TrRoad_act!R69)</f>
        <v>19058.651576830584</v>
      </c>
      <c r="S126" s="101">
        <f>IF(S36=0,0,1000000*S36/TrRoad_act!S69)</f>
        <v>19719.411661391361</v>
      </c>
      <c r="T126" s="101">
        <f>IF(T36=0,0,1000000*T36/TrRoad_act!T69)</f>
        <v>19664.543453038481</v>
      </c>
      <c r="U126" s="101">
        <f>IF(U36=0,0,1000000*U36/TrRoad_act!U69)</f>
        <v>16244.926726467011</v>
      </c>
      <c r="V126" s="101">
        <f>IF(V36=0,0,1000000*V36/TrRoad_act!V69)</f>
        <v>12147.865592004629</v>
      </c>
      <c r="W126" s="101">
        <f>IF(W36=0,0,1000000*W36/TrRoad_act!W69)</f>
        <v>13187.830100186895</v>
      </c>
      <c r="X126" s="101">
        <f>IF(X36=0,0,1000000*X36/TrRoad_act!X69)</f>
        <v>14065.332044873214</v>
      </c>
      <c r="Y126" s="101">
        <f>IF(Y36=0,0,1000000*Y36/TrRoad_act!Y69)</f>
        <v>15499.579369882425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9774.9349055973198</v>
      </c>
      <c r="J127" s="101">
        <f>IF(J38=0,0,1000000*J38/TrRoad_act!J70)</f>
        <v>9772.5541029498381</v>
      </c>
      <c r="K127" s="101">
        <f>IF(K38=0,0,1000000*K38/TrRoad_act!K70)</f>
        <v>9806.9066970246695</v>
      </c>
      <c r="L127" s="101">
        <f>IF(L38=0,0,1000000*L38/TrRoad_act!L70)</f>
        <v>10209.97541120636</v>
      </c>
      <c r="M127" s="101">
        <f>IF(M38=0,0,1000000*M38/TrRoad_act!M70)</f>
        <v>10407.616640065353</v>
      </c>
      <c r="N127" s="101">
        <f>IF(N38=0,0,1000000*N38/TrRoad_act!N70)</f>
        <v>10390.962369872508</v>
      </c>
      <c r="O127" s="101">
        <f>IF(O38=0,0,1000000*O38/TrRoad_act!O70)</f>
        <v>10727.035981932318</v>
      </c>
      <c r="P127" s="101">
        <f>IF(P38=0,0,1000000*P38/TrRoad_act!P70)</f>
        <v>10775.782438257511</v>
      </c>
      <c r="Q127" s="101">
        <f>IF(Q38=0,0,1000000*Q38/TrRoad_act!Q70)</f>
        <v>11135.224732499495</v>
      </c>
      <c r="R127" s="101">
        <f>IF(R38=0,0,1000000*R38/TrRoad_act!R70)</f>
        <v>11519.681516398783</v>
      </c>
      <c r="S127" s="101">
        <f>IF(S38=0,0,1000000*S38/TrRoad_act!S70)</f>
        <v>11354.301428332325</v>
      </c>
      <c r="T127" s="101">
        <f>IF(T38=0,0,1000000*T38/TrRoad_act!T70)</f>
        <v>11475.748965087345</v>
      </c>
      <c r="U127" s="101">
        <f>IF(U38=0,0,1000000*U38/TrRoad_act!U70)</f>
        <v>8588.6489988801004</v>
      </c>
      <c r="V127" s="101">
        <f>IF(V38=0,0,1000000*V38/TrRoad_act!V70)</f>
        <v>6024.4299155492599</v>
      </c>
      <c r="W127" s="101">
        <f>IF(W38=0,0,1000000*W38/TrRoad_act!W70)</f>
        <v>6626.6961390147771</v>
      </c>
      <c r="X127" s="101">
        <f>IF(X38=0,0,1000000*X38/TrRoad_act!X70)</f>
        <v>7036.4819464791944</v>
      </c>
      <c r="Y127" s="101">
        <f>IF(Y38=0,0,1000000*Y38/TrRoad_act!Y70)</f>
        <v>7306.4111341295211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17898.664334126377</v>
      </c>
      <c r="L128" s="101">
        <f>IF(L39=0,0,1000000*L39/TrRoad_act!L71)</f>
        <v>32084.040355502137</v>
      </c>
      <c r="M128" s="101">
        <f>IF(M39=0,0,1000000*M39/TrRoad_act!M71)</f>
        <v>8379.8823590938537</v>
      </c>
      <c r="N128" s="101">
        <f>IF(N39=0,0,1000000*N39/TrRoad_act!N71)</f>
        <v>9273.1948840438108</v>
      </c>
      <c r="O128" s="101">
        <f>IF(O39=0,0,1000000*O39/TrRoad_act!O71)</f>
        <v>9226.8738292664584</v>
      </c>
      <c r="P128" s="101">
        <f>IF(P39=0,0,1000000*P39/TrRoad_act!P71)</f>
        <v>9327.3619159259961</v>
      </c>
      <c r="Q128" s="101">
        <f>IF(Q39=0,0,1000000*Q39/TrRoad_act!Q71)</f>
        <v>9743.8076264311367</v>
      </c>
      <c r="R128" s="101">
        <f>IF(R39=0,0,1000000*R39/TrRoad_act!R71)</f>
        <v>10927.666347414444</v>
      </c>
      <c r="S128" s="101">
        <f>IF(S39=0,0,1000000*S39/TrRoad_act!S71)</f>
        <v>11963.800617301336</v>
      </c>
      <c r="T128" s="101">
        <f>IF(T39=0,0,1000000*T39/TrRoad_act!T71)</f>
        <v>12121.037856895346</v>
      </c>
      <c r="U128" s="101">
        <f>IF(U39=0,0,1000000*U39/TrRoad_act!U71)</f>
        <v>11686.206656828077</v>
      </c>
      <c r="V128" s="101">
        <f>IF(V39=0,0,1000000*V39/TrRoad_act!V71)</f>
        <v>8689.46210219973</v>
      </c>
      <c r="W128" s="101">
        <f>IF(W39=0,0,1000000*W39/TrRoad_act!W71)</f>
        <v>11813.123231367701</v>
      </c>
      <c r="X128" s="101">
        <f>IF(X39=0,0,1000000*X39/TrRoad_act!X71)</f>
        <v>10967.263826833323</v>
      </c>
      <c r="Y128" s="101">
        <f>IF(Y39=0,0,1000000*Y39/TrRoad_act!Y71)</f>
        <v>9112.8101519993452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0</v>
      </c>
      <c r="Q129" s="101">
        <f>IF(Q41=0,0,1000000*Q41/TrRoad_act!Q72)</f>
        <v>14921.112303599615</v>
      </c>
      <c r="R129" s="101">
        <f>IF(R41=0,0,1000000*R41/TrRoad_act!R72)</f>
        <v>15025.94301283895</v>
      </c>
      <c r="S129" s="101">
        <f>IF(S41=0,0,1000000*S41/TrRoad_act!S72)</f>
        <v>15025.94301283895</v>
      </c>
      <c r="T129" s="101">
        <f>IF(T41=0,0,1000000*T41/TrRoad_act!T72)</f>
        <v>15025.94301283895</v>
      </c>
      <c r="U129" s="101">
        <f>IF(U41=0,0,1000000*U41/TrRoad_act!U72)</f>
        <v>15025.94301283895</v>
      </c>
      <c r="V129" s="101">
        <f>IF(V41=0,0,1000000*V41/TrRoad_act!V72)</f>
        <v>15025.94301283895</v>
      </c>
      <c r="W129" s="101">
        <f>IF(W41=0,0,1000000*W41/TrRoad_act!W72)</f>
        <v>15059.844952522961</v>
      </c>
      <c r="X129" s="101">
        <f>IF(X41=0,0,1000000*X41/TrRoad_act!X72)</f>
        <v>14849.282540758626</v>
      </c>
      <c r="Y129" s="101">
        <f>IF(Y41=0,0,1000000*Y41/TrRoad_act!Y72)</f>
        <v>14835.938868819083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1303.5213415906728</v>
      </c>
      <c r="C131" s="152">
        <f>IF(C43=0,0,1000000*C43/TrRoad_act!C74)</f>
        <v>1205.6172152881022</v>
      </c>
      <c r="D131" s="152">
        <f>IF(D43=0,0,1000000*D43/TrRoad_act!D74)</f>
        <v>1256.3179428556452</v>
      </c>
      <c r="E131" s="152">
        <f>IF(E43=0,0,1000000*E43/TrRoad_act!E74)</f>
        <v>1273.1479867643825</v>
      </c>
      <c r="F131" s="152">
        <f>IF(F43=0,0,1000000*F43/TrRoad_act!F74)</f>
        <v>1286.394577687968</v>
      </c>
      <c r="G131" s="152">
        <f>IF(G43=0,0,1000000*G43/TrRoad_act!G74)</f>
        <v>1328.6906571789393</v>
      </c>
      <c r="H131" s="152">
        <f>IF(H43=0,0,1000000*H43/TrRoad_act!H74)</f>
        <v>1309.2208371959334</v>
      </c>
      <c r="I131" s="152">
        <f>IF(I43=0,0,1000000*I43/TrRoad_act!I74)</f>
        <v>1318.8384899735097</v>
      </c>
      <c r="J131" s="152">
        <f>IF(J43=0,0,1000000*J43/TrRoad_act!J74)</f>
        <v>1309.5813898783247</v>
      </c>
      <c r="K131" s="152">
        <f>IF(K43=0,0,1000000*K43/TrRoad_act!K74)</f>
        <v>1283.3611905621037</v>
      </c>
      <c r="L131" s="152">
        <f>IF(L43=0,0,1000000*L43/TrRoad_act!L74)</f>
        <v>1249.1001544341789</v>
      </c>
      <c r="M131" s="152">
        <f>IF(M43=0,0,1000000*M43/TrRoad_act!M74)</f>
        <v>1254.2278581115104</v>
      </c>
      <c r="N131" s="152">
        <f>IF(N43=0,0,1000000*N43/TrRoad_act!N74)</f>
        <v>1274.5420938108505</v>
      </c>
      <c r="O131" s="152">
        <f>IF(O43=0,0,1000000*O43/TrRoad_act!O74)</f>
        <v>1253.4882925221864</v>
      </c>
      <c r="P131" s="152">
        <f>IF(P43=0,0,1000000*P43/TrRoad_act!P74)</f>
        <v>1185.6885774773532</v>
      </c>
      <c r="Q131" s="152">
        <f>IF(Q43=0,0,1000000*Q43/TrRoad_act!Q74)</f>
        <v>1141.5880558903877</v>
      </c>
      <c r="R131" s="152">
        <f>IF(R43=0,0,1000000*R43/TrRoad_act!R74)</f>
        <v>1092.3713911984028</v>
      </c>
      <c r="S131" s="152">
        <f>IF(S43=0,0,1000000*S43/TrRoad_act!S74)</f>
        <v>1157.4183014798002</v>
      </c>
      <c r="T131" s="152">
        <f>IF(T43=0,0,1000000*T43/TrRoad_act!T74)</f>
        <v>1154.3170081538453</v>
      </c>
      <c r="U131" s="152">
        <f>IF(U43=0,0,1000000*U43/TrRoad_act!U74)</f>
        <v>1162.2815678748161</v>
      </c>
      <c r="V131" s="152">
        <f>IF(V43=0,0,1000000*V43/TrRoad_act!V74)</f>
        <v>1137.2215325554048</v>
      </c>
      <c r="W131" s="152">
        <f>IF(W43=0,0,1000000*W43/TrRoad_act!W74)</f>
        <v>1177.8504579855544</v>
      </c>
      <c r="X131" s="152">
        <f>IF(X43=0,0,1000000*X43/TrRoad_act!X74)</f>
        <v>1202.9058299238097</v>
      </c>
      <c r="Y131" s="152">
        <f>IF(Y43=0,0,1000000*Y43/TrRoad_act!Y74)</f>
        <v>1253.0160787023517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1121.8906909800587</v>
      </c>
      <c r="C132" s="87">
        <f>IF(C44=0,0,1000000*C44/TrRoad_act!C75)</f>
        <v>1115.357136399527</v>
      </c>
      <c r="D132" s="87">
        <f>IF(D44=0,0,1000000*D44/TrRoad_act!D75)</f>
        <v>1119.398847198971</v>
      </c>
      <c r="E132" s="87">
        <f>IF(E44=0,0,1000000*E44/TrRoad_act!E75)</f>
        <v>1124.1767612473204</v>
      </c>
      <c r="F132" s="87">
        <f>IF(F44=0,0,1000000*F44/TrRoad_act!F75)</f>
        <v>1128.5153886656715</v>
      </c>
      <c r="G132" s="87">
        <f>IF(G44=0,0,1000000*G44/TrRoad_act!G75)</f>
        <v>1131.8047236428754</v>
      </c>
      <c r="H132" s="87">
        <f>IF(H44=0,0,1000000*H44/TrRoad_act!H75)</f>
        <v>1133.6908412490493</v>
      </c>
      <c r="I132" s="87">
        <f>IF(I44=0,0,1000000*I44/TrRoad_act!I75)</f>
        <v>1110.4557187449959</v>
      </c>
      <c r="J132" s="87">
        <f>IF(J44=0,0,1000000*J44/TrRoad_act!J75)</f>
        <v>1083.3808275509773</v>
      </c>
      <c r="K132" s="87">
        <f>IF(K44=0,0,1000000*K44/TrRoad_act!K75)</f>
        <v>1034.6718097928961</v>
      </c>
      <c r="L132" s="87">
        <f>IF(L44=0,0,1000000*L44/TrRoad_act!L75)</f>
        <v>986.30445362830062</v>
      </c>
      <c r="M132" s="87">
        <f>IF(M44=0,0,1000000*M44/TrRoad_act!M75)</f>
        <v>985.44898057224145</v>
      </c>
      <c r="N132" s="87">
        <f>IF(N44=0,0,1000000*N44/TrRoad_act!N75)</f>
        <v>979.1538090492204</v>
      </c>
      <c r="O132" s="87">
        <f>IF(O44=0,0,1000000*O44/TrRoad_act!O75)</f>
        <v>965.63448805910548</v>
      </c>
      <c r="P132" s="87">
        <f>IF(P44=0,0,1000000*P44/TrRoad_act!P75)</f>
        <v>932.879866802734</v>
      </c>
      <c r="Q132" s="87">
        <f>IF(Q44=0,0,1000000*Q44/TrRoad_act!Q75)</f>
        <v>904.18724617726969</v>
      </c>
      <c r="R132" s="87">
        <f>IF(R44=0,0,1000000*R44/TrRoad_act!R75)</f>
        <v>896.87935316018866</v>
      </c>
      <c r="S132" s="87">
        <f>IF(S44=0,0,1000000*S44/TrRoad_act!S75)</f>
        <v>935.7110661126942</v>
      </c>
      <c r="T132" s="87">
        <f>IF(T44=0,0,1000000*T44/TrRoad_act!T75)</f>
        <v>970.84349288065971</v>
      </c>
      <c r="U132" s="87">
        <f>IF(U44=0,0,1000000*U44/TrRoad_act!U75)</f>
        <v>971.31106639359189</v>
      </c>
      <c r="V132" s="87">
        <f>IF(V44=0,0,1000000*V44/TrRoad_act!V75)</f>
        <v>959.04654345909717</v>
      </c>
      <c r="W132" s="87">
        <f>IF(W44=0,0,1000000*W44/TrRoad_act!W75)</f>
        <v>977.85175234916062</v>
      </c>
      <c r="X132" s="87">
        <f>IF(X44=0,0,1000000*X44/TrRoad_act!X75)</f>
        <v>1004.0846741367773</v>
      </c>
      <c r="Y132" s="87">
        <f>IF(Y44=0,0,1000000*Y44/TrRoad_act!Y75)</f>
        <v>1030.272298314751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1345.279471168086</v>
      </c>
      <c r="C133" s="87">
        <f>IF(C46=0,0,1000000*C46/TrRoad_act!C76)</f>
        <v>1225.937990579609</v>
      </c>
      <c r="D133" s="87">
        <f>IF(D46=0,0,1000000*D46/TrRoad_act!D76)</f>
        <v>1283.509938527829</v>
      </c>
      <c r="E133" s="87">
        <f>IF(E46=0,0,1000000*E46/TrRoad_act!E76)</f>
        <v>1298.6131290616981</v>
      </c>
      <c r="F133" s="87">
        <f>IF(F46=0,0,1000000*F46/TrRoad_act!F76)</f>
        <v>1309.5563418589004</v>
      </c>
      <c r="G133" s="87">
        <f>IF(G46=0,0,1000000*G46/TrRoad_act!G76)</f>
        <v>1353.9415640641166</v>
      </c>
      <c r="H133" s="87">
        <f>IF(H46=0,0,1000000*H46/TrRoad_act!H76)</f>
        <v>1329.813326918731</v>
      </c>
      <c r="I133" s="87">
        <f>IF(I46=0,0,1000000*I46/TrRoad_act!I76)</f>
        <v>1339.8405322671238</v>
      </c>
      <c r="J133" s="87">
        <f>IF(J46=0,0,1000000*J46/TrRoad_act!J76)</f>
        <v>1333.310408253514</v>
      </c>
      <c r="K133" s="87">
        <f>IF(K46=0,0,1000000*K46/TrRoad_act!K76)</f>
        <v>1308.2973153560827</v>
      </c>
      <c r="L133" s="87">
        <f>IF(L46=0,0,1000000*L46/TrRoad_act!L76)</f>
        <v>1274.1580607224819</v>
      </c>
      <c r="M133" s="87">
        <f>IF(M46=0,0,1000000*M46/TrRoad_act!M76)</f>
        <v>1278.5115488501367</v>
      </c>
      <c r="N133" s="87">
        <f>IF(N46=0,0,1000000*N46/TrRoad_act!N76)</f>
        <v>1296.1667866894231</v>
      </c>
      <c r="O133" s="87">
        <f>IF(O46=0,0,1000000*O46/TrRoad_act!O76)</f>
        <v>1274.5235576645134</v>
      </c>
      <c r="P133" s="87">
        <f>IF(P46=0,0,1000000*P46/TrRoad_act!P76)</f>
        <v>1204.5127556014036</v>
      </c>
      <c r="Q133" s="87">
        <f>IF(Q46=0,0,1000000*Q46/TrRoad_act!Q76)</f>
        <v>1156.8826534641266</v>
      </c>
      <c r="R133" s="87">
        <f>IF(R46=0,0,1000000*R46/TrRoad_act!R76)</f>
        <v>1105.168569003999</v>
      </c>
      <c r="S133" s="87">
        <f>IF(S46=0,0,1000000*S46/TrRoad_act!S76)</f>
        <v>1171.566185781523</v>
      </c>
      <c r="T133" s="87">
        <f>IF(T46=0,0,1000000*T46/TrRoad_act!T76)</f>
        <v>1166.4105424178529</v>
      </c>
      <c r="U133" s="87">
        <f>IF(U46=0,0,1000000*U46/TrRoad_act!U76)</f>
        <v>1174.5132912554689</v>
      </c>
      <c r="V133" s="87">
        <f>IF(V46=0,0,1000000*V46/TrRoad_act!V76)</f>
        <v>1148.6012488963374</v>
      </c>
      <c r="W133" s="87">
        <f>IF(W46=0,0,1000000*W46/TrRoad_act!W76)</f>
        <v>1190.258340029249</v>
      </c>
      <c r="X133" s="87">
        <f>IF(X46=0,0,1000000*X46/TrRoad_act!X76)</f>
        <v>1215.1993812250009</v>
      </c>
      <c r="Y133" s="87">
        <f>IF(Y46=0,0,1000000*Y46/TrRoad_act!Y76)</f>
        <v>1266.9417544443422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622.38801271842499</v>
      </c>
      <c r="J134" s="87">
        <f>IF(J48=0,0,1000000*J48/TrRoad_act!J77)</f>
        <v>607.55341185224552</v>
      </c>
      <c r="K134" s="87">
        <f>IF(K48=0,0,1000000*K48/TrRoad_act!K77)</f>
        <v>592.25558045928244</v>
      </c>
      <c r="L134" s="87">
        <f>IF(L48=0,0,1000000*L48/TrRoad_act!L77)</f>
        <v>576.14963527748273</v>
      </c>
      <c r="M134" s="87">
        <f>IF(M48=0,0,1000000*M48/TrRoad_act!M77)</f>
        <v>586.92208897967498</v>
      </c>
      <c r="N134" s="87">
        <f>IF(N48=0,0,1000000*N48/TrRoad_act!N77)</f>
        <v>596.79303414492006</v>
      </c>
      <c r="O134" s="87">
        <f>IF(O48=0,0,1000000*O48/TrRoad_act!O77)</f>
        <v>594.13653207955929</v>
      </c>
      <c r="P134" s="87">
        <f>IF(P48=0,0,1000000*P48/TrRoad_act!P77)</f>
        <v>580.40735030914436</v>
      </c>
      <c r="Q134" s="87">
        <f>IF(Q48=0,0,1000000*Q48/TrRoad_act!Q77)</f>
        <v>584.18840304975697</v>
      </c>
      <c r="R134" s="87">
        <f>IF(R48=0,0,1000000*R48/TrRoad_act!R77)</f>
        <v>559.4536370163197</v>
      </c>
      <c r="S134" s="87">
        <f>IF(S48=0,0,1000000*S48/TrRoad_act!S77)</f>
        <v>597.02650807833493</v>
      </c>
      <c r="T134" s="87">
        <f>IF(T48=0,0,1000000*T48/TrRoad_act!T77)</f>
        <v>621.40750941037243</v>
      </c>
      <c r="U134" s="87">
        <f>IF(U48=0,0,1000000*U48/TrRoad_act!U77)</f>
        <v>620.73943691948693</v>
      </c>
      <c r="V134" s="87">
        <f>IF(V48=0,0,1000000*V48/TrRoad_act!V77)</f>
        <v>617.50718816794915</v>
      </c>
      <c r="W134" s="87">
        <f>IF(W48=0,0,1000000*W48/TrRoad_act!W77)</f>
        <v>648.98750235733053</v>
      </c>
      <c r="X134" s="87">
        <f>IF(X48=0,0,1000000*X48/TrRoad_act!X77)</f>
        <v>673.44115676899696</v>
      </c>
      <c r="Y134" s="87">
        <f>IF(Y48=0,0,1000000*Y48/TrRoad_act!Y77)</f>
        <v>691.467189715362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738.12739559695967</v>
      </c>
      <c r="L135" s="87">
        <f>IF(L49=0,0,1000000*L49/TrRoad_act!L78)</f>
        <v>734.96439985427821</v>
      </c>
      <c r="M135" s="87">
        <f>IF(M49=0,0,1000000*M49/TrRoad_act!M78)</f>
        <v>764.64579554404645</v>
      </c>
      <c r="N135" s="87">
        <f>IF(N49=0,0,1000000*N49/TrRoad_act!N78)</f>
        <v>783.47848473783358</v>
      </c>
      <c r="O135" s="87">
        <f>IF(O49=0,0,1000000*O49/TrRoad_act!O78)</f>
        <v>800.94180209256933</v>
      </c>
      <c r="P135" s="87">
        <f>IF(P49=0,0,1000000*P49/TrRoad_act!P78)</f>
        <v>799.66977542495908</v>
      </c>
      <c r="Q135" s="87">
        <f>IF(Q49=0,0,1000000*Q49/TrRoad_act!Q78)</f>
        <v>802.91401934840439</v>
      </c>
      <c r="R135" s="87">
        <f>IF(R49=0,0,1000000*R49/TrRoad_act!R78)</f>
        <v>762.56799723800293</v>
      </c>
      <c r="S135" s="87">
        <f>IF(S49=0,0,1000000*S49/TrRoad_act!S78)</f>
        <v>790.92274556415202</v>
      </c>
      <c r="T135" s="87">
        <f>IF(T49=0,0,1000000*T49/TrRoad_act!T78)</f>
        <v>792.22944684310721</v>
      </c>
      <c r="U135" s="87">
        <f>IF(U49=0,0,1000000*U49/TrRoad_act!U78)</f>
        <v>770.82090085556945</v>
      </c>
      <c r="V135" s="87">
        <f>IF(V49=0,0,1000000*V49/TrRoad_act!V78)</f>
        <v>737.36863307090937</v>
      </c>
      <c r="W135" s="87">
        <f>IF(W49=0,0,1000000*W49/TrRoad_act!W78)</f>
        <v>749.8887333805269</v>
      </c>
      <c r="X135" s="87">
        <f>IF(X49=0,0,1000000*X49/TrRoad_act!X78)</f>
        <v>744.9868647041302</v>
      </c>
      <c r="Y135" s="87">
        <f>IF(Y49=0,0,1000000*Y49/TrRoad_act!Y78)</f>
        <v>749.49096278451464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188.60448245606088</v>
      </c>
      <c r="F136" s="87">
        <f>IF(F51=0,0,1000000*F51/TrRoad_act!F79)</f>
        <v>188.82397889944048</v>
      </c>
      <c r="G136" s="87">
        <f>IF(G51=0,0,1000000*G51/TrRoad_act!G79)</f>
        <v>184.98594082725148</v>
      </c>
      <c r="H136" s="87">
        <f>IF(H51=0,0,1000000*H51/TrRoad_act!H79)</f>
        <v>185.20004297208314</v>
      </c>
      <c r="I136" s="87">
        <f>IF(I51=0,0,1000000*I51/TrRoad_act!I79)</f>
        <v>185.30319439049185</v>
      </c>
      <c r="J136" s="87">
        <f>IF(J51=0,0,1000000*J51/TrRoad_act!J79)</f>
        <v>181.8700530480823</v>
      </c>
      <c r="K136" s="87">
        <f>IF(K51=0,0,1000000*K51/TrRoad_act!K79)</f>
        <v>181.31763931278786</v>
      </c>
      <c r="L136" s="87">
        <f>IF(L51=0,0,1000000*L51/TrRoad_act!L79)</f>
        <v>181.51904266628546</v>
      </c>
      <c r="M136" s="87">
        <f>IF(M51=0,0,1000000*M51/TrRoad_act!M79)</f>
        <v>180.25035895407711</v>
      </c>
      <c r="N136" s="87">
        <f>IF(N51=0,0,1000000*N51/TrRoad_act!N79)</f>
        <v>180.75789672221782</v>
      </c>
      <c r="O136" s="87">
        <f>IF(O51=0,0,1000000*O51/TrRoad_act!O79)</f>
        <v>180.77375229159614</v>
      </c>
      <c r="P136" s="87">
        <f>IF(P51=0,0,1000000*P51/TrRoad_act!P79)</f>
        <v>182.19586234838985</v>
      </c>
      <c r="Q136" s="87">
        <f>IF(Q51=0,0,1000000*Q51/TrRoad_act!Q79)</f>
        <v>199.46420966633434</v>
      </c>
      <c r="R136" s="87">
        <f>IF(R51=0,0,1000000*R51/TrRoad_act!R79)</f>
        <v>201.55069024743042</v>
      </c>
      <c r="S136" s="87">
        <f>IF(S51=0,0,1000000*S51/TrRoad_act!S79)</f>
        <v>194.15366035205287</v>
      </c>
      <c r="T136" s="87">
        <f>IF(T51=0,0,1000000*T51/TrRoad_act!T79)</f>
        <v>189.02332027193901</v>
      </c>
      <c r="U136" s="87">
        <f>IF(U51=0,0,1000000*U51/TrRoad_act!U79)</f>
        <v>190.68305870828638</v>
      </c>
      <c r="V136" s="87">
        <f>IF(V51=0,0,1000000*V51/TrRoad_act!V79)</f>
        <v>198.50348149029492</v>
      </c>
      <c r="W136" s="87">
        <f>IF(W51=0,0,1000000*W51/TrRoad_act!W79)</f>
        <v>211.24068058616925</v>
      </c>
      <c r="X136" s="87">
        <f>IF(X51=0,0,1000000*X51/TrRoad_act!X79)</f>
        <v>275.02321536285513</v>
      </c>
      <c r="Y136" s="87">
        <f>IF(Y51=0,0,1000000*Y51/TrRoad_act!Y79)</f>
        <v>273.00339314064325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4162.5070673100299</v>
      </c>
      <c r="C137" s="116">
        <f>IF(C52=0,0,1000000*C52/TrRoad_act!C80)</f>
        <v>3274.6982549324953</v>
      </c>
      <c r="D137" s="116">
        <f>IF(D52=0,0,1000000*D52/TrRoad_act!D80)</f>
        <v>4256.8357622894855</v>
      </c>
      <c r="E137" s="116">
        <f>IF(E52=0,0,1000000*E52/TrRoad_act!E80)</f>
        <v>4474.0917211084761</v>
      </c>
      <c r="F137" s="116">
        <f>IF(F52=0,0,1000000*F52/TrRoad_act!F80)</f>
        <v>4784.6388589364742</v>
      </c>
      <c r="G137" s="116">
        <f>IF(G52=0,0,1000000*G52/TrRoad_act!G80)</f>
        <v>4870.7806384702108</v>
      </c>
      <c r="H137" s="116">
        <f>IF(H52=0,0,1000000*H52/TrRoad_act!H80)</f>
        <v>4570.7355123632678</v>
      </c>
      <c r="I137" s="116">
        <f>IF(I52=0,0,1000000*I52/TrRoad_act!I80)</f>
        <v>4812.4373077891059</v>
      </c>
      <c r="J137" s="116">
        <f>IF(J52=0,0,1000000*J52/TrRoad_act!J80)</f>
        <v>4467.2050384017648</v>
      </c>
      <c r="K137" s="116">
        <f>IF(K52=0,0,1000000*K52/TrRoad_act!K80)</f>
        <v>4684.4180631324416</v>
      </c>
      <c r="L137" s="116">
        <f>IF(L52=0,0,1000000*L52/TrRoad_act!L80)</f>
        <v>4619.2272449771335</v>
      </c>
      <c r="M137" s="116">
        <f>IF(M52=0,0,1000000*M52/TrRoad_act!M80)</f>
        <v>4349.3359922146556</v>
      </c>
      <c r="N137" s="116">
        <f>IF(N52=0,0,1000000*N52/TrRoad_act!N80)</f>
        <v>4073.9886162335183</v>
      </c>
      <c r="O137" s="116">
        <f>IF(O52=0,0,1000000*O52/TrRoad_act!O80)</f>
        <v>4715.3722668175169</v>
      </c>
      <c r="P137" s="116">
        <f>IF(P52=0,0,1000000*P52/TrRoad_act!P80)</f>
        <v>4048.3768952572141</v>
      </c>
      <c r="Q137" s="116">
        <f>IF(Q52=0,0,1000000*Q52/TrRoad_act!Q80)</f>
        <v>4113.0154907864298</v>
      </c>
      <c r="R137" s="116">
        <f>IF(R52=0,0,1000000*R52/TrRoad_act!R80)</f>
        <v>3912.7798957629489</v>
      </c>
      <c r="S137" s="116">
        <f>IF(S52=0,0,1000000*S52/TrRoad_act!S80)</f>
        <v>4980.0553916040717</v>
      </c>
      <c r="T137" s="116">
        <f>IF(T52=0,0,1000000*T52/TrRoad_act!T80)</f>
        <v>4372.6728851657826</v>
      </c>
      <c r="U137" s="116">
        <f>IF(U52=0,0,1000000*U52/TrRoad_act!U80)</f>
        <v>5062.1828777326227</v>
      </c>
      <c r="V137" s="116">
        <f>IF(V52=0,0,1000000*V52/TrRoad_act!V80)</f>
        <v>4794.2624794910307</v>
      </c>
      <c r="W137" s="116">
        <f>IF(W52=0,0,1000000*W52/TrRoad_act!W80)</f>
        <v>4669.7964726186074</v>
      </c>
      <c r="X137" s="116">
        <f>IF(X52=0,0,1000000*X52/TrRoad_act!X80)</f>
        <v>4589.0003187683087</v>
      </c>
      <c r="Y137" s="116">
        <f>IF(Y52=0,0,1000000*Y52/TrRoad_act!Y80)</f>
        <v>5139.6422730965442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1984.239650099262</v>
      </c>
      <c r="C138" s="101">
        <f>IF(C53=0,0,1000000*C53/TrRoad_act!C81)</f>
        <v>2273.5165161725131</v>
      </c>
      <c r="D138" s="101">
        <f>IF(D53=0,0,1000000*D53/TrRoad_act!D81)</f>
        <v>2866.2158118002235</v>
      </c>
      <c r="E138" s="101">
        <f>IF(E53=0,0,1000000*E53/TrRoad_act!E81)</f>
        <v>3101.0616358492998</v>
      </c>
      <c r="F138" s="101">
        <f>IF(F53=0,0,1000000*F53/TrRoad_act!F81)</f>
        <v>3182.6406400245141</v>
      </c>
      <c r="G138" s="101">
        <f>IF(G53=0,0,1000000*G53/TrRoad_act!G81)</f>
        <v>3227.7958126835738</v>
      </c>
      <c r="H138" s="101">
        <f>IF(H53=0,0,1000000*H53/TrRoad_act!H81)</f>
        <v>3309.3193983910792</v>
      </c>
      <c r="I138" s="101">
        <f>IF(I53=0,0,1000000*I53/TrRoad_act!I81)</f>
        <v>3271.1571624657831</v>
      </c>
      <c r="J138" s="101">
        <f>IF(J53=0,0,1000000*J53/TrRoad_act!J81)</f>
        <v>3476.0008029442188</v>
      </c>
      <c r="K138" s="101">
        <f>IF(K53=0,0,1000000*K53/TrRoad_act!K81)</f>
        <v>3443.6699687111645</v>
      </c>
      <c r="L138" s="101">
        <f>IF(L53=0,0,1000000*L53/TrRoad_act!L81)</f>
        <v>3247.9949813906314</v>
      </c>
      <c r="M138" s="101">
        <f>IF(M53=0,0,1000000*M53/TrRoad_act!M81)</f>
        <v>3137.837094933006</v>
      </c>
      <c r="N138" s="101">
        <f>IF(N53=0,0,1000000*N53/TrRoad_act!N81)</f>
        <v>2964.8649774248215</v>
      </c>
      <c r="O138" s="101">
        <f>IF(O53=0,0,1000000*O53/TrRoad_act!O81)</f>
        <v>3038.874583139941</v>
      </c>
      <c r="P138" s="101">
        <f>IF(P53=0,0,1000000*P53/TrRoad_act!P81)</f>
        <v>2669.0960606353983</v>
      </c>
      <c r="Q138" s="101">
        <f>IF(Q53=0,0,1000000*Q53/TrRoad_act!Q81)</f>
        <v>2629.0660428092542</v>
      </c>
      <c r="R138" s="101">
        <f>IF(R53=0,0,1000000*R53/TrRoad_act!R81)</f>
        <v>2665.9305925693579</v>
      </c>
      <c r="S138" s="101">
        <f>IF(S53=0,0,1000000*S53/TrRoad_act!S81)</f>
        <v>2843.4403945778927</v>
      </c>
      <c r="T138" s="101">
        <f>IF(T53=0,0,1000000*T53/TrRoad_act!T81)</f>
        <v>2639.9305822556339</v>
      </c>
      <c r="U138" s="101">
        <f>IF(U53=0,0,1000000*U53/TrRoad_act!U81)</f>
        <v>2760.5688784453505</v>
      </c>
      <c r="V138" s="101">
        <f>IF(V53=0,0,1000000*V53/TrRoad_act!V81)</f>
        <v>2680.7704937366748</v>
      </c>
      <c r="W138" s="101">
        <f>IF(W53=0,0,1000000*W53/TrRoad_act!W81)</f>
        <v>2809.8625464482702</v>
      </c>
      <c r="X138" s="101">
        <f>IF(X53=0,0,1000000*X53/TrRoad_act!X81)</f>
        <v>2713.7273071424929</v>
      </c>
      <c r="Y138" s="101">
        <f>IF(Y53=0,0,1000000*Y53/TrRoad_act!Y81)</f>
        <v>2802.0226835980352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22657.977682536006</v>
      </c>
      <c r="C139" s="88">
        <f>IF(C55=0,0,1000000*C55/TrRoad_act!C82)</f>
        <v>14219.014050293099</v>
      </c>
      <c r="D139" s="88">
        <f>IF(D55=0,0,1000000*D55/TrRoad_act!D82)</f>
        <v>20114.794484454043</v>
      </c>
      <c r="E139" s="88">
        <f>IF(E55=0,0,1000000*E55/TrRoad_act!E82)</f>
        <v>21290.675491748771</v>
      </c>
      <c r="F139" s="88">
        <f>IF(F55=0,0,1000000*F55/TrRoad_act!F82)</f>
        <v>21926.149308021922</v>
      </c>
      <c r="G139" s="88">
        <f>IF(G55=0,0,1000000*G55/TrRoad_act!G82)</f>
        <v>21602.094001985497</v>
      </c>
      <c r="H139" s="88">
        <f>IF(H55=0,0,1000000*H55/TrRoad_act!H82)</f>
        <v>21066.735371105697</v>
      </c>
      <c r="I139" s="88">
        <f>IF(I55=0,0,1000000*I55/TrRoad_act!I82)</f>
        <v>23802.372607535879</v>
      </c>
      <c r="J139" s="88">
        <f>IF(J55=0,0,1000000*J55/TrRoad_act!J82)</f>
        <v>24193.153667665356</v>
      </c>
      <c r="K139" s="88">
        <f>IF(K55=0,0,1000000*K55/TrRoad_act!K82)</f>
        <v>29218.933947523001</v>
      </c>
      <c r="L139" s="88">
        <f>IF(L55=0,0,1000000*L55/TrRoad_act!L82)</f>
        <v>33017.5256682053</v>
      </c>
      <c r="M139" s="88">
        <f>IF(M55=0,0,1000000*M55/TrRoad_act!M82)</f>
        <v>29836.758768264124</v>
      </c>
      <c r="N139" s="88">
        <f>IF(N55=0,0,1000000*N55/TrRoad_act!N82)</f>
        <v>27367.616393191991</v>
      </c>
      <c r="O139" s="88">
        <f>IF(O55=0,0,1000000*O55/TrRoad_act!O82)</f>
        <v>39533.625460468407</v>
      </c>
      <c r="P139" s="88">
        <f>IF(P55=0,0,1000000*P55/TrRoad_act!P82)</f>
        <v>31614.843242221094</v>
      </c>
      <c r="Q139" s="88">
        <f>IF(Q55=0,0,1000000*Q55/TrRoad_act!Q82)</f>
        <v>30081.282374441904</v>
      </c>
      <c r="R139" s="88">
        <f>IF(R55=0,0,1000000*R55/TrRoad_act!R82)</f>
        <v>24456.188950963988</v>
      </c>
      <c r="S139" s="88">
        <f>IF(S55=0,0,1000000*S55/TrRoad_act!S82)</f>
        <v>34392.914723547503</v>
      </c>
      <c r="T139" s="88">
        <f>IF(T55=0,0,1000000*T55/TrRoad_act!T82)</f>
        <v>28973.987283217197</v>
      </c>
      <c r="U139" s="88">
        <f>IF(U55=0,0,1000000*U55/TrRoad_act!U82)</f>
        <v>42451.905208852397</v>
      </c>
      <c r="V139" s="88">
        <f>IF(V55=0,0,1000000*V55/TrRoad_act!V82)</f>
        <v>38929.573320432421</v>
      </c>
      <c r="W139" s="88">
        <f>IF(W55=0,0,1000000*W55/TrRoad_act!W82)</f>
        <v>37682.147524105436</v>
      </c>
      <c r="X139" s="88">
        <f>IF(X55=0,0,1000000*X55/TrRoad_act!X82)</f>
        <v>37435.267290772834</v>
      </c>
      <c r="Y139" s="88">
        <f>IF(Y55=0,0,1000000*Y55/TrRoad_act!Y82)</f>
        <v>44136.605141930493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0.83982499727789195</v>
      </c>
      <c r="C142" s="46">
        <f t="shared" si="42"/>
        <v>0.82812263736678005</v>
      </c>
      <c r="D142" s="46">
        <f t="shared" si="42"/>
        <v>0.78839578537895216</v>
      </c>
      <c r="E142" s="46">
        <f t="shared" si="42"/>
        <v>0.77924983218535382</v>
      </c>
      <c r="F142" s="46">
        <f t="shared" si="42"/>
        <v>0.76328625563911634</v>
      </c>
      <c r="G142" s="46">
        <f t="shared" si="42"/>
        <v>0.76416102886566761</v>
      </c>
      <c r="H142" s="46">
        <f t="shared" si="42"/>
        <v>0.76312662435374679</v>
      </c>
      <c r="I142" s="46">
        <f t="shared" si="42"/>
        <v>0.77460321137130683</v>
      </c>
      <c r="J142" s="46">
        <f t="shared" si="42"/>
        <v>0.77193756000904223</v>
      </c>
      <c r="K142" s="46">
        <f t="shared" si="42"/>
        <v>0.78833923068976053</v>
      </c>
      <c r="L142" s="46">
        <f t="shared" ref="L142" si="43">IF(L18=0,0,L18/L$17)</f>
        <v>0.78483394573193188</v>
      </c>
      <c r="M142" s="46">
        <f t="shared" ref="M142:V142" si="44">IF(M18=0,0,M18/M$17)</f>
        <v>0.78858284679914092</v>
      </c>
      <c r="N142" s="46">
        <f t="shared" si="44"/>
        <v>0.80125259197323884</v>
      </c>
      <c r="O142" s="46">
        <f t="shared" si="44"/>
        <v>0.77855981805075136</v>
      </c>
      <c r="P142" s="46">
        <f t="shared" si="44"/>
        <v>0.79753408322243979</v>
      </c>
      <c r="Q142" s="46">
        <f t="shared" si="44"/>
        <v>0.79601022248471831</v>
      </c>
      <c r="R142" s="46">
        <f t="shared" si="44"/>
        <v>0.80887647065647295</v>
      </c>
      <c r="S142" s="46">
        <f t="shared" si="44"/>
        <v>0.77575696254970905</v>
      </c>
      <c r="T142" s="46">
        <f t="shared" si="44"/>
        <v>0.7802073146643782</v>
      </c>
      <c r="U142" s="46">
        <f t="shared" si="44"/>
        <v>0.75832434263808746</v>
      </c>
      <c r="V142" s="46">
        <f t="shared" si="44"/>
        <v>0.72925056033464331</v>
      </c>
      <c r="W142" s="46">
        <f t="shared" ref="W142:Y142" si="45">IF(W18=0,0,W18/W$17)</f>
        <v>0.74468474232691118</v>
      </c>
      <c r="X142" s="46">
        <f t="shared" si="45"/>
        <v>0.74633496745271588</v>
      </c>
      <c r="Y142" s="46">
        <f t="shared" si="45"/>
        <v>0.74189149561187939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4.2223424958573999E-3</v>
      </c>
      <c r="C143" s="154">
        <f t="shared" si="46"/>
        <v>4.1518748069737437E-3</v>
      </c>
      <c r="D143" s="154">
        <f t="shared" si="46"/>
        <v>3.9968592626129836E-3</v>
      </c>
      <c r="E143" s="154">
        <f t="shared" si="46"/>
        <v>4.0268014832815805E-3</v>
      </c>
      <c r="F143" s="154">
        <f t="shared" si="46"/>
        <v>4.2336844367319316E-3</v>
      </c>
      <c r="G143" s="154">
        <f t="shared" si="46"/>
        <v>4.4206574096376378E-3</v>
      </c>
      <c r="H143" s="154">
        <f t="shared" si="46"/>
        <v>4.4475890546086206E-3</v>
      </c>
      <c r="I143" s="154">
        <f t="shared" si="46"/>
        <v>4.118209694685163E-3</v>
      </c>
      <c r="J143" s="154">
        <f t="shared" si="46"/>
        <v>4.1666261907655324E-3</v>
      </c>
      <c r="K143" s="154">
        <f t="shared" si="46"/>
        <v>4.1615468538336586E-3</v>
      </c>
      <c r="L143" s="154">
        <f t="shared" ref="L143" si="47">IF(L19=0,0,L19/L$17)</f>
        <v>4.3049609922520176E-3</v>
      </c>
      <c r="M143" s="154">
        <f t="shared" ref="M143:V143" si="48">IF(M19=0,0,M19/M$17)</f>
        <v>4.3851757910032801E-3</v>
      </c>
      <c r="N143" s="154">
        <f t="shared" si="48"/>
        <v>4.459726840257321E-3</v>
      </c>
      <c r="O143" s="154">
        <f t="shared" si="48"/>
        <v>4.3674916667697213E-3</v>
      </c>
      <c r="P143" s="154">
        <f t="shared" si="48"/>
        <v>4.3827808317274944E-3</v>
      </c>
      <c r="Q143" s="154">
        <f t="shared" si="48"/>
        <v>4.136561084634372E-3</v>
      </c>
      <c r="R143" s="154">
        <f t="shared" si="48"/>
        <v>4.1870736856480118E-3</v>
      </c>
      <c r="S143" s="154">
        <f t="shared" si="48"/>
        <v>4.0468634632022833E-3</v>
      </c>
      <c r="T143" s="154">
        <f t="shared" si="48"/>
        <v>4.1918610684155188E-3</v>
      </c>
      <c r="U143" s="154">
        <f t="shared" si="48"/>
        <v>4.146116598216675E-3</v>
      </c>
      <c r="V143" s="154">
        <f t="shared" si="48"/>
        <v>4.1135562496633846E-3</v>
      </c>
      <c r="W143" s="154">
        <f t="shared" ref="W143:Y143" si="49">IF(W19=0,0,W19/W$17)</f>
        <v>4.6239213390806451E-3</v>
      </c>
      <c r="X143" s="154">
        <f t="shared" si="49"/>
        <v>4.7480894856619642E-3</v>
      </c>
      <c r="Y143" s="154">
        <f t="shared" si="49"/>
        <v>4.5097428412441843E-3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0.70842636601475895</v>
      </c>
      <c r="C144" s="156">
        <f t="shared" si="50"/>
        <v>0.70245660165735868</v>
      </c>
      <c r="D144" s="156">
        <f t="shared" si="50"/>
        <v>0.67162526277987733</v>
      </c>
      <c r="E144" s="156">
        <f t="shared" si="50"/>
        <v>0.6707777485368176</v>
      </c>
      <c r="F144" s="156">
        <f t="shared" si="50"/>
        <v>0.66015254217685992</v>
      </c>
      <c r="G144" s="156">
        <f t="shared" si="50"/>
        <v>0.66554988639668888</v>
      </c>
      <c r="H144" s="156">
        <f t="shared" si="50"/>
        <v>0.67078722791692347</v>
      </c>
      <c r="I144" s="156">
        <f t="shared" si="50"/>
        <v>0.68621010310910602</v>
      </c>
      <c r="J144" s="156">
        <f t="shared" si="50"/>
        <v>0.68276875399747428</v>
      </c>
      <c r="K144" s="156">
        <f t="shared" si="50"/>
        <v>0.69682895658245958</v>
      </c>
      <c r="L144" s="156">
        <f t="shared" ref="L144" si="51">IF(L21=0,0,L21/L$17)</f>
        <v>0.68973323204157</v>
      </c>
      <c r="M144" s="156">
        <f t="shared" ref="M144:V144" si="52">IF(M21=0,0,M21/M$17)</f>
        <v>0.69544476890876528</v>
      </c>
      <c r="N144" s="156">
        <f t="shared" si="52"/>
        <v>0.70814597543258517</v>
      </c>
      <c r="O144" s="156">
        <f t="shared" si="52"/>
        <v>0.68569656758211928</v>
      </c>
      <c r="P144" s="156">
        <f t="shared" si="52"/>
        <v>0.70231488088732796</v>
      </c>
      <c r="Q144" s="156">
        <f t="shared" si="52"/>
        <v>0.70034269479806699</v>
      </c>
      <c r="R144" s="156">
        <f t="shared" si="52"/>
        <v>0.71122210423629362</v>
      </c>
      <c r="S144" s="156">
        <f t="shared" si="52"/>
        <v>0.68009345465634397</v>
      </c>
      <c r="T144" s="156">
        <f t="shared" si="52"/>
        <v>0.68064923406552746</v>
      </c>
      <c r="U144" s="156">
        <f t="shared" si="52"/>
        <v>0.67712476867010318</v>
      </c>
      <c r="V144" s="156">
        <f t="shared" si="52"/>
        <v>0.66189790498967194</v>
      </c>
      <c r="W144" s="156">
        <f t="shared" ref="W144:Y144" si="53">IF(W21=0,0,W21/W$17)</f>
        <v>0.67510100478299651</v>
      </c>
      <c r="X144" s="156">
        <f t="shared" si="53"/>
        <v>0.67248236700697317</v>
      </c>
      <c r="Y144" s="156">
        <f t="shared" si="53"/>
        <v>0.66861563737576435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0.57074247773407327</v>
      </c>
      <c r="C145" s="103">
        <f t="shared" si="54"/>
        <v>0.54094745898716223</v>
      </c>
      <c r="D145" s="103">
        <f t="shared" si="54"/>
        <v>0.51277357177356842</v>
      </c>
      <c r="E145" s="103">
        <f t="shared" si="54"/>
        <v>0.47090131155240328</v>
      </c>
      <c r="F145" s="103">
        <f t="shared" si="54"/>
        <v>0.43682208255478105</v>
      </c>
      <c r="G145" s="103">
        <f t="shared" si="54"/>
        <v>0.41413604751997102</v>
      </c>
      <c r="H145" s="103">
        <f t="shared" si="54"/>
        <v>0.38911574504315316</v>
      </c>
      <c r="I145" s="103">
        <f t="shared" si="54"/>
        <v>0.36953324458260045</v>
      </c>
      <c r="J145" s="103">
        <f t="shared" si="54"/>
        <v>0.35844649442883458</v>
      </c>
      <c r="K145" s="103">
        <f t="shared" si="54"/>
        <v>0.36049142010051244</v>
      </c>
      <c r="L145" s="103">
        <f t="shared" ref="L145" si="55">IF(L22=0,0,L22/L$17)</f>
        <v>0.35236128288979546</v>
      </c>
      <c r="M145" s="103">
        <f t="shared" ref="M145:V145" si="56">IF(M22=0,0,M22/M$17)</f>
        <v>0.35181664473533081</v>
      </c>
      <c r="N145" s="103">
        <f t="shared" si="56"/>
        <v>0.33352423694797273</v>
      </c>
      <c r="O145" s="103">
        <f t="shared" si="56"/>
        <v>0.32249898917178826</v>
      </c>
      <c r="P145" s="103">
        <f t="shared" si="56"/>
        <v>0.30030482018148219</v>
      </c>
      <c r="Q145" s="103">
        <f t="shared" si="56"/>
        <v>0.28412435010506437</v>
      </c>
      <c r="R145" s="103">
        <f t="shared" si="56"/>
        <v>0.27896444881141391</v>
      </c>
      <c r="S145" s="103">
        <f t="shared" si="56"/>
        <v>0.2483694401598458</v>
      </c>
      <c r="T145" s="103">
        <f t="shared" si="56"/>
        <v>0.24702768419587914</v>
      </c>
      <c r="U145" s="103">
        <f t="shared" si="56"/>
        <v>0.22575914965897947</v>
      </c>
      <c r="V145" s="103">
        <f t="shared" si="56"/>
        <v>0.21167742770192471</v>
      </c>
      <c r="W145" s="103">
        <f t="shared" ref="W145:Y145" si="57">IF(W22=0,0,W22/W$17)</f>
        <v>0.21742285424855609</v>
      </c>
      <c r="X145" s="103">
        <f t="shared" si="57"/>
        <v>0.22384725535403299</v>
      </c>
      <c r="Y145" s="103">
        <f t="shared" si="57"/>
        <v>0.22437311635619708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0.12963657390272673</v>
      </c>
      <c r="C146" s="103">
        <f t="shared" si="58"/>
        <v>0.15195600811133184</v>
      </c>
      <c r="D146" s="103">
        <f t="shared" si="58"/>
        <v>0.14898958553139774</v>
      </c>
      <c r="E146" s="103">
        <f t="shared" si="58"/>
        <v>0.19092080816413937</v>
      </c>
      <c r="F146" s="103">
        <f t="shared" si="58"/>
        <v>0.21215144074434356</v>
      </c>
      <c r="G146" s="103">
        <f t="shared" si="58"/>
        <v>0.23720740219082348</v>
      </c>
      <c r="H146" s="103">
        <f t="shared" si="58"/>
        <v>0.25924588336919813</v>
      </c>
      <c r="I146" s="103">
        <f t="shared" si="58"/>
        <v>0.28805311144612444</v>
      </c>
      <c r="J146" s="103">
        <f t="shared" si="58"/>
        <v>0.2851441067510242</v>
      </c>
      <c r="K146" s="103">
        <f t="shared" si="58"/>
        <v>0.29646005229418804</v>
      </c>
      <c r="L146" s="103">
        <f t="shared" ref="L146" si="59">IF(L24=0,0,L24/L$17)</f>
        <v>0.30241963127382698</v>
      </c>
      <c r="M146" s="103">
        <f t="shared" ref="M146:V146" si="60">IF(M24=0,0,M24/M$17)</f>
        <v>0.30978335717918121</v>
      </c>
      <c r="N146" s="103">
        <f t="shared" si="60"/>
        <v>0.34075375183645118</v>
      </c>
      <c r="O146" s="103">
        <f t="shared" si="60"/>
        <v>0.32916723943102155</v>
      </c>
      <c r="P146" s="103">
        <f t="shared" si="60"/>
        <v>0.36444100354943781</v>
      </c>
      <c r="Q146" s="103">
        <f t="shared" si="60"/>
        <v>0.37710230480469836</v>
      </c>
      <c r="R146" s="103">
        <f t="shared" si="60"/>
        <v>0.39176035731193293</v>
      </c>
      <c r="S146" s="103">
        <f t="shared" si="60"/>
        <v>0.39426444107735414</v>
      </c>
      <c r="T146" s="103">
        <f t="shared" si="60"/>
        <v>0.39540062658207464</v>
      </c>
      <c r="U146" s="103">
        <f t="shared" si="60"/>
        <v>0.41697934843453877</v>
      </c>
      <c r="V146" s="103">
        <f t="shared" si="60"/>
        <v>0.41900626578439765</v>
      </c>
      <c r="W146" s="103">
        <f t="shared" ref="W146:Y146" si="61">IF(W24=0,0,W24/W$17)</f>
        <v>0.42740885686169222</v>
      </c>
      <c r="X146" s="103">
        <f t="shared" si="61"/>
        <v>0.42390207017366532</v>
      </c>
      <c r="Y146" s="103">
        <f t="shared" si="61"/>
        <v>0.42360106581010643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8.0473143779589678E-3</v>
      </c>
      <c r="C147" s="103">
        <f t="shared" si="62"/>
        <v>9.553134558864607E-3</v>
      </c>
      <c r="D147" s="103">
        <f t="shared" si="62"/>
        <v>9.8621054749111758E-3</v>
      </c>
      <c r="E147" s="103">
        <f t="shared" si="62"/>
        <v>8.9556288202749332E-3</v>
      </c>
      <c r="F147" s="103">
        <f t="shared" si="62"/>
        <v>1.117901887773546E-2</v>
      </c>
      <c r="G147" s="103">
        <f t="shared" si="62"/>
        <v>1.4206436685894426E-2</v>
      </c>
      <c r="H147" s="103">
        <f t="shared" si="62"/>
        <v>2.2425599504572201E-2</v>
      </c>
      <c r="I147" s="103">
        <f t="shared" si="62"/>
        <v>2.8623747080381078E-2</v>
      </c>
      <c r="J147" s="103">
        <f t="shared" si="62"/>
        <v>3.9178152817615559E-2</v>
      </c>
      <c r="K147" s="103">
        <f t="shared" si="62"/>
        <v>3.9842021348524083E-2</v>
      </c>
      <c r="L147" s="103">
        <f t="shared" ref="L147" si="63">IF(L26=0,0,L26/L$17)</f>
        <v>3.4909836711948666E-2</v>
      </c>
      <c r="M147" s="103">
        <f t="shared" ref="M147:V147" si="64">IF(M26=0,0,M26/M$17)</f>
        <v>3.3802489606831687E-2</v>
      </c>
      <c r="N147" s="103">
        <f t="shared" si="64"/>
        <v>3.3813425355493885E-2</v>
      </c>
      <c r="O147" s="103">
        <f t="shared" si="64"/>
        <v>3.3973706710661446E-2</v>
      </c>
      <c r="P147" s="103">
        <f t="shared" si="64"/>
        <v>3.7500206330644832E-2</v>
      </c>
      <c r="Q147" s="103">
        <f t="shared" si="64"/>
        <v>3.903650138729816E-2</v>
      </c>
      <c r="R147" s="103">
        <f t="shared" si="64"/>
        <v>4.0402701923168131E-2</v>
      </c>
      <c r="S147" s="103">
        <f t="shared" si="64"/>
        <v>3.7347306540231266E-2</v>
      </c>
      <c r="T147" s="103">
        <f t="shared" si="64"/>
        <v>3.8081767135637462E-2</v>
      </c>
      <c r="U147" s="103">
        <f t="shared" si="64"/>
        <v>3.4206358041719141E-2</v>
      </c>
      <c r="V147" s="103">
        <f t="shared" si="64"/>
        <v>3.0910824682611592E-2</v>
      </c>
      <c r="W147" s="103">
        <f t="shared" ref="W147:Y147" si="65">IF(W26=0,0,W26/W$17)</f>
        <v>2.9689498988238475E-2</v>
      </c>
      <c r="X147" s="103">
        <f t="shared" si="65"/>
        <v>2.3822440172345249E-2</v>
      </c>
      <c r="Y147" s="103">
        <f t="shared" si="65"/>
        <v>1.937409077343805E-2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0</v>
      </c>
      <c r="J148" s="103">
        <f t="shared" si="66"/>
        <v>0</v>
      </c>
      <c r="K148" s="103">
        <f t="shared" si="66"/>
        <v>3.5462839235074989E-5</v>
      </c>
      <c r="L148" s="103">
        <f t="shared" ref="L148" si="67">IF(L27=0,0,L27/L$17)</f>
        <v>4.2481165998933947E-5</v>
      </c>
      <c r="M148" s="103">
        <f t="shared" ref="M148:V148" si="68">IF(M27=0,0,M27/M$17)</f>
        <v>4.2277387421582501E-5</v>
      </c>
      <c r="N148" s="103">
        <f t="shared" si="68"/>
        <v>5.1685444721525086E-5</v>
      </c>
      <c r="O148" s="103">
        <f t="shared" si="68"/>
        <v>5.3333527182899676E-5</v>
      </c>
      <c r="P148" s="103">
        <f t="shared" si="68"/>
        <v>5.9955624820619937E-5</v>
      </c>
      <c r="Q148" s="103">
        <f t="shared" si="68"/>
        <v>5.4014800585519721E-5</v>
      </c>
      <c r="R148" s="103">
        <f t="shared" si="68"/>
        <v>5.7790687676244115E-5</v>
      </c>
      <c r="S148" s="103">
        <f t="shared" si="68"/>
        <v>6.9612394827046352E-5</v>
      </c>
      <c r="T148" s="103">
        <f t="shared" si="68"/>
        <v>7.5963666463858308E-5</v>
      </c>
      <c r="U148" s="103">
        <f t="shared" si="68"/>
        <v>6.8379746201797378E-5</v>
      </c>
      <c r="V148" s="103">
        <f t="shared" si="68"/>
        <v>6.2054154774968394E-5</v>
      </c>
      <c r="W148" s="103">
        <f t="shared" ref="W148:Y148" si="69">IF(W27=0,0,W27/W$17)</f>
        <v>6.6598401757293234E-5</v>
      </c>
      <c r="X148" s="103">
        <f t="shared" si="69"/>
        <v>6.6917668898861373E-5</v>
      </c>
      <c r="Y148" s="103">
        <f t="shared" si="69"/>
        <v>5.3752042668355119E-5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0</v>
      </c>
      <c r="O149" s="103">
        <f t="shared" si="72"/>
        <v>0</v>
      </c>
      <c r="P149" s="103">
        <f t="shared" si="72"/>
        <v>1.2365028424689381E-6</v>
      </c>
      <c r="Q149" s="103">
        <f t="shared" si="72"/>
        <v>1.1874039513194564E-5</v>
      </c>
      <c r="R149" s="103">
        <f t="shared" si="72"/>
        <v>1.800487386107364E-5</v>
      </c>
      <c r="S149" s="103">
        <f t="shared" si="72"/>
        <v>2.1150346884958687E-5</v>
      </c>
      <c r="T149" s="103">
        <f t="shared" si="72"/>
        <v>2.418399527609824E-5</v>
      </c>
      <c r="U149" s="103">
        <f t="shared" si="72"/>
        <v>4.4594540732767929E-5</v>
      </c>
      <c r="V149" s="103">
        <f t="shared" si="72"/>
        <v>1.1392632613148858E-4</v>
      </c>
      <c r="W149" s="103">
        <f t="shared" ref="W149:Y149" si="73">IF(W29=0,0,W29/W$17)</f>
        <v>2.1242033230762356E-4</v>
      </c>
      <c r="X149" s="103">
        <f t="shared" si="73"/>
        <v>3.7291948362459511E-4</v>
      </c>
      <c r="Y149" s="103">
        <f t="shared" si="73"/>
        <v>5.9129148935491312E-4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0</v>
      </c>
      <c r="L150" s="103">
        <f t="shared" ref="L150" si="75">IF(L32=0,0,L32/L$17)</f>
        <v>0</v>
      </c>
      <c r="M150" s="103">
        <f t="shared" ref="M150:V150" si="76">IF(M32=0,0,M32/M$17)</f>
        <v>0</v>
      </c>
      <c r="N150" s="103">
        <f t="shared" si="76"/>
        <v>2.8758479456532541E-6</v>
      </c>
      <c r="O150" s="103">
        <f t="shared" si="76"/>
        <v>3.2987414651023214E-6</v>
      </c>
      <c r="P150" s="103">
        <f t="shared" si="76"/>
        <v>7.6586981000225255E-6</v>
      </c>
      <c r="Q150" s="103">
        <f t="shared" si="76"/>
        <v>1.3649660907566998E-5</v>
      </c>
      <c r="R150" s="103">
        <f t="shared" si="76"/>
        <v>1.8800628241326464E-5</v>
      </c>
      <c r="S150" s="103">
        <f t="shared" si="76"/>
        <v>2.1504137200680666E-5</v>
      </c>
      <c r="T150" s="103">
        <f t="shared" si="76"/>
        <v>3.9008490196230514E-5</v>
      </c>
      <c r="U150" s="103">
        <f t="shared" si="76"/>
        <v>6.6938247931319059E-5</v>
      </c>
      <c r="V150" s="103">
        <f t="shared" si="76"/>
        <v>1.2740633983145146E-4</v>
      </c>
      <c r="W150" s="103">
        <f t="shared" ref="W150:Y150" si="77">IF(W32=0,0,W32/W$17)</f>
        <v>3.0077595044491031E-4</v>
      </c>
      <c r="X150" s="103">
        <f t="shared" si="77"/>
        <v>4.7076415440619425E-4</v>
      </c>
      <c r="Y150" s="103">
        <f t="shared" si="77"/>
        <v>6.2232090399946653E-4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0.12717628876727563</v>
      </c>
      <c r="C151" s="156">
        <f t="shared" si="78"/>
        <v>0.1215141609024477</v>
      </c>
      <c r="D151" s="156">
        <f t="shared" si="78"/>
        <v>0.11277366333646174</v>
      </c>
      <c r="E151" s="156">
        <f t="shared" si="78"/>
        <v>0.10444528216525459</v>
      </c>
      <c r="F151" s="156">
        <f t="shared" si="78"/>
        <v>9.890002902552443E-2</v>
      </c>
      <c r="G151" s="156">
        <f t="shared" si="78"/>
        <v>9.4190485059340953E-2</v>
      </c>
      <c r="H151" s="156">
        <f t="shared" si="78"/>
        <v>8.7891807382214707E-2</v>
      </c>
      <c r="I151" s="156">
        <f t="shared" si="78"/>
        <v>8.4274898567515633E-2</v>
      </c>
      <c r="J151" s="156">
        <f t="shared" si="78"/>
        <v>8.5002179820802409E-2</v>
      </c>
      <c r="K151" s="156">
        <f t="shared" si="78"/>
        <v>8.734872725346729E-2</v>
      </c>
      <c r="L151" s="156">
        <f t="shared" ref="L151" si="79">IF(L33=0,0,L33/L$17)</f>
        <v>9.0795752698109869E-2</v>
      </c>
      <c r="M151" s="156">
        <f t="shared" ref="M151:V151" si="80">IF(M33=0,0,M33/M$17)</f>
        <v>8.8752902099372505E-2</v>
      </c>
      <c r="N151" s="156">
        <f t="shared" si="80"/>
        <v>8.8646889700396331E-2</v>
      </c>
      <c r="O151" s="156">
        <f t="shared" si="80"/>
        <v>8.8495758801862431E-2</v>
      </c>
      <c r="P151" s="156">
        <f t="shared" si="80"/>
        <v>9.0836421503384293E-2</v>
      </c>
      <c r="Q151" s="156">
        <f t="shared" si="80"/>
        <v>9.1530966602016872E-2</v>
      </c>
      <c r="R151" s="156">
        <f t="shared" si="80"/>
        <v>9.3467292734531249E-2</v>
      </c>
      <c r="S151" s="156">
        <f t="shared" si="80"/>
        <v>9.1616644430162722E-2</v>
      </c>
      <c r="T151" s="156">
        <f t="shared" si="80"/>
        <v>9.5366219530435142E-2</v>
      </c>
      <c r="U151" s="156">
        <f t="shared" si="80"/>
        <v>7.7053457369767639E-2</v>
      </c>
      <c r="V151" s="156">
        <f t="shared" si="80"/>
        <v>6.3239099095307949E-2</v>
      </c>
      <c r="W151" s="156">
        <f t="shared" ref="W151:Y151" si="81">IF(W33=0,0,W33/W$17)</f>
        <v>6.4959816204833945E-2</v>
      </c>
      <c r="X151" s="156">
        <f t="shared" si="81"/>
        <v>6.9104510960080703E-2</v>
      </c>
      <c r="Y151" s="156">
        <f t="shared" si="81"/>
        <v>6.8766115394870889E-2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1.3088833230125922E-4</v>
      </c>
      <c r="C152" s="103">
        <f t="shared" si="82"/>
        <v>1.3340629427256566E-4</v>
      </c>
      <c r="D152" s="103">
        <f t="shared" si="82"/>
        <v>1.2395509517829022E-4</v>
      </c>
      <c r="E152" s="103">
        <f t="shared" si="82"/>
        <v>1.0897515570545129E-4</v>
      </c>
      <c r="F152" s="103">
        <f t="shared" si="82"/>
        <v>9.8366389208162118E-5</v>
      </c>
      <c r="G152" s="103">
        <f t="shared" si="82"/>
        <v>9.4487900925130321E-5</v>
      </c>
      <c r="H152" s="103">
        <f t="shared" si="82"/>
        <v>8.8192095589689103E-5</v>
      </c>
      <c r="I152" s="103">
        <f t="shared" si="82"/>
        <v>7.4321989818164791E-5</v>
      </c>
      <c r="J152" s="103">
        <f t="shared" si="82"/>
        <v>8.2569227866377895E-5</v>
      </c>
      <c r="K152" s="103">
        <f t="shared" si="82"/>
        <v>7.5696614468047721E-5</v>
      </c>
      <c r="L152" s="103">
        <f t="shared" ref="L152" si="83">IF(L34=0,0,L34/L$17)</f>
        <v>7.6151441462131685E-5</v>
      </c>
      <c r="M152" s="103">
        <f t="shared" ref="M152:V152" si="84">IF(M34=0,0,M34/M$17)</f>
        <v>6.9943797009143529E-5</v>
      </c>
      <c r="N152" s="103">
        <f t="shared" si="84"/>
        <v>6.9313571814535736E-5</v>
      </c>
      <c r="O152" s="103">
        <f t="shared" si="84"/>
        <v>7.7372202383616434E-5</v>
      </c>
      <c r="P152" s="103">
        <f t="shared" si="84"/>
        <v>7.3072879447748723E-5</v>
      </c>
      <c r="Q152" s="103">
        <f t="shared" si="84"/>
        <v>6.4487107606830409E-5</v>
      </c>
      <c r="R152" s="103">
        <f t="shared" si="84"/>
        <v>6.4670308459618636E-5</v>
      </c>
      <c r="S152" s="103">
        <f t="shared" si="84"/>
        <v>5.857848002319778E-5</v>
      </c>
      <c r="T152" s="103">
        <f t="shared" si="84"/>
        <v>6.0146588055902431E-5</v>
      </c>
      <c r="U152" s="103">
        <f t="shared" si="84"/>
        <v>4.1639469295947378E-5</v>
      </c>
      <c r="V152" s="103">
        <f t="shared" si="84"/>
        <v>3.3163393666795885E-5</v>
      </c>
      <c r="W152" s="103">
        <f t="shared" ref="W152:Y152" si="85">IF(W34=0,0,W34/W$17)</f>
        <v>3.1956501771161144E-5</v>
      </c>
      <c r="X152" s="103">
        <f t="shared" si="85"/>
        <v>2.9855228231325503E-5</v>
      </c>
      <c r="Y152" s="103">
        <f t="shared" si="85"/>
        <v>2.6058497810317979E-5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0.12704540043497436</v>
      </c>
      <c r="C153" s="103">
        <f t="shared" si="86"/>
        <v>0.12138075460817514</v>
      </c>
      <c r="D153" s="103">
        <f t="shared" si="86"/>
        <v>0.11264970824128345</v>
      </c>
      <c r="E153" s="103">
        <f t="shared" si="86"/>
        <v>0.10433630700954914</v>
      </c>
      <c r="F153" s="103">
        <f t="shared" si="86"/>
        <v>9.8801662636316276E-2</v>
      </c>
      <c r="G153" s="103">
        <f t="shared" si="86"/>
        <v>9.4095997158415823E-2</v>
      </c>
      <c r="H153" s="103">
        <f t="shared" si="86"/>
        <v>8.7803615286625003E-2</v>
      </c>
      <c r="I153" s="103">
        <f t="shared" si="86"/>
        <v>8.4195666541698036E-2</v>
      </c>
      <c r="J153" s="103">
        <f t="shared" si="86"/>
        <v>8.4914635456999843E-2</v>
      </c>
      <c r="K153" s="103">
        <f t="shared" si="86"/>
        <v>8.6737801031517889E-2</v>
      </c>
      <c r="L153" s="103">
        <f t="shared" ref="L153" si="87">IF(L36=0,0,L36/L$17)</f>
        <v>8.9656911755645302E-2</v>
      </c>
      <c r="M153" s="103">
        <f t="shared" ref="M153:V153" si="88">IF(M36=0,0,M36/M$17)</f>
        <v>8.8385353224960883E-2</v>
      </c>
      <c r="N153" s="103">
        <f t="shared" si="88"/>
        <v>8.8197237509607368E-2</v>
      </c>
      <c r="O153" s="103">
        <f t="shared" si="88"/>
        <v>8.7580808196701679E-2</v>
      </c>
      <c r="P153" s="103">
        <f t="shared" si="88"/>
        <v>8.8979653130077968E-2</v>
      </c>
      <c r="Q153" s="103">
        <f t="shared" si="88"/>
        <v>8.9711675496933652E-2</v>
      </c>
      <c r="R153" s="103">
        <f t="shared" si="88"/>
        <v>9.1504584830207777E-2</v>
      </c>
      <c r="S153" s="103">
        <f t="shared" si="88"/>
        <v>8.9552435666938421E-2</v>
      </c>
      <c r="T153" s="103">
        <f t="shared" si="88"/>
        <v>9.3259349571052363E-2</v>
      </c>
      <c r="U153" s="103">
        <f t="shared" si="88"/>
        <v>7.5174650654517783E-2</v>
      </c>
      <c r="V153" s="103">
        <f t="shared" si="88"/>
        <v>6.1598365511649829E-2</v>
      </c>
      <c r="W153" s="103">
        <f t="shared" ref="W153:Y153" si="89">IF(W36=0,0,W36/W$17)</f>
        <v>6.2977561290329581E-2</v>
      </c>
      <c r="X153" s="103">
        <f t="shared" si="89"/>
        <v>6.7378565319752268E-2</v>
      </c>
      <c r="Y153" s="103">
        <f t="shared" si="89"/>
        <v>6.7508129599172753E-2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4.9100359994245433E-6</v>
      </c>
      <c r="J154" s="103">
        <f t="shared" si="90"/>
        <v>4.9751359361980345E-6</v>
      </c>
      <c r="K154" s="103">
        <f t="shared" si="90"/>
        <v>5.0088742918512135E-6</v>
      </c>
      <c r="L154" s="103">
        <f t="shared" ref="L154" si="91">IF(L38=0,0,L38/L$17)</f>
        <v>5.4265892529054624E-6</v>
      </c>
      <c r="M154" s="103">
        <f t="shared" ref="M154:V154" si="92">IF(M38=0,0,M38/M$17)</f>
        <v>1.1288826787504805E-5</v>
      </c>
      <c r="N154" s="103">
        <f t="shared" si="92"/>
        <v>1.1481075014415733E-5</v>
      </c>
      <c r="O154" s="103">
        <f t="shared" si="92"/>
        <v>7.6205924239476178E-5</v>
      </c>
      <c r="P154" s="103">
        <f t="shared" si="92"/>
        <v>8.9509374180140702E-5</v>
      </c>
      <c r="Q154" s="103">
        <f t="shared" si="92"/>
        <v>8.7646978241457966E-5</v>
      </c>
      <c r="R154" s="103">
        <f t="shared" si="92"/>
        <v>8.8550124644129108E-5</v>
      </c>
      <c r="S154" s="103">
        <f t="shared" si="92"/>
        <v>7.5693767433540973E-5</v>
      </c>
      <c r="T154" s="103">
        <f t="shared" si="92"/>
        <v>7.8412515528837766E-5</v>
      </c>
      <c r="U154" s="103">
        <f t="shared" si="92"/>
        <v>6.0298323998853786E-5</v>
      </c>
      <c r="V154" s="103">
        <f t="shared" si="92"/>
        <v>5.4293659361172863E-5</v>
      </c>
      <c r="W154" s="103">
        <f t="shared" ref="W154:Y154" si="93">IF(W38=0,0,W38/W$17)</f>
        <v>5.4833402870920558E-5</v>
      </c>
      <c r="X154" s="103">
        <f t="shared" si="93"/>
        <v>5.2642362068606943E-5</v>
      </c>
      <c r="Y154" s="103">
        <f t="shared" si="93"/>
        <v>4.879883115954271E-5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0</v>
      </c>
      <c r="D155" s="103">
        <f t="shared" si="94"/>
        <v>0</v>
      </c>
      <c r="E155" s="103">
        <f t="shared" si="94"/>
        <v>0</v>
      </c>
      <c r="F155" s="103">
        <f t="shared" si="94"/>
        <v>0</v>
      </c>
      <c r="G155" s="103">
        <f t="shared" si="94"/>
        <v>0</v>
      </c>
      <c r="H155" s="103">
        <f t="shared" si="94"/>
        <v>0</v>
      </c>
      <c r="I155" s="103">
        <f t="shared" si="94"/>
        <v>0</v>
      </c>
      <c r="J155" s="103">
        <f t="shared" si="94"/>
        <v>0</v>
      </c>
      <c r="K155" s="103">
        <f t="shared" si="94"/>
        <v>5.3022073318949921E-4</v>
      </c>
      <c r="L155" s="103">
        <f t="shared" ref="L155" si="95">IF(L39=0,0,L39/L$17)</f>
        <v>1.0572629117495248E-3</v>
      </c>
      <c r="M155" s="103">
        <f t="shared" ref="M155:V155" si="96">IF(M39=0,0,M39/M$17)</f>
        <v>2.8631625061497604E-4</v>
      </c>
      <c r="N155" s="103">
        <f t="shared" si="96"/>
        <v>3.6885754396001543E-4</v>
      </c>
      <c r="O155" s="103">
        <f t="shared" si="96"/>
        <v>7.6137247853765239E-4</v>
      </c>
      <c r="P155" s="103">
        <f t="shared" si="96"/>
        <v>1.6941861196784378E-3</v>
      </c>
      <c r="Q155" s="103">
        <f t="shared" si="96"/>
        <v>1.6514975190233302E-3</v>
      </c>
      <c r="R155" s="103">
        <f t="shared" si="96"/>
        <v>1.7863870213541912E-3</v>
      </c>
      <c r="S155" s="103">
        <f t="shared" si="96"/>
        <v>1.9084713296491479E-3</v>
      </c>
      <c r="T155" s="103">
        <f t="shared" si="96"/>
        <v>1.9463100137226434E-3</v>
      </c>
      <c r="U155" s="103">
        <f t="shared" si="96"/>
        <v>1.7557703957422506E-3</v>
      </c>
      <c r="V155" s="103">
        <f t="shared" si="96"/>
        <v>1.5293793190817419E-3</v>
      </c>
      <c r="W155" s="103">
        <f t="shared" ref="W155:Y155" si="97">IF(W39=0,0,W39/W$17)</f>
        <v>1.8514834152655502E-3</v>
      </c>
      <c r="X155" s="103">
        <f t="shared" si="97"/>
        <v>1.5948450229990813E-3</v>
      </c>
      <c r="Y155" s="103">
        <f t="shared" si="97"/>
        <v>1.133584548198216E-3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0</v>
      </c>
      <c r="G156" s="103">
        <f t="shared" si="98"/>
        <v>0</v>
      </c>
      <c r="H156" s="103">
        <f t="shared" si="98"/>
        <v>0</v>
      </c>
      <c r="I156" s="103">
        <f t="shared" si="98"/>
        <v>0</v>
      </c>
      <c r="J156" s="103">
        <f t="shared" si="98"/>
        <v>0</v>
      </c>
      <c r="K156" s="103">
        <f t="shared" si="98"/>
        <v>0</v>
      </c>
      <c r="L156" s="103">
        <f t="shared" ref="L156" si="99">IF(L41=0,0,L41/L$17)</f>
        <v>0</v>
      </c>
      <c r="M156" s="103">
        <f t="shared" ref="M156:V156" si="100">IF(M41=0,0,M41/M$17)</f>
        <v>0</v>
      </c>
      <c r="N156" s="103">
        <f t="shared" si="100"/>
        <v>0</v>
      </c>
      <c r="O156" s="103">
        <f t="shared" si="100"/>
        <v>0</v>
      </c>
      <c r="P156" s="103">
        <f t="shared" si="100"/>
        <v>0</v>
      </c>
      <c r="Q156" s="103">
        <f t="shared" si="100"/>
        <v>1.5659500211612281E-5</v>
      </c>
      <c r="R156" s="103">
        <f t="shared" si="100"/>
        <v>2.3100449865534451E-5</v>
      </c>
      <c r="S156" s="103">
        <f t="shared" si="100"/>
        <v>2.1465186118402884E-5</v>
      </c>
      <c r="T156" s="103">
        <f t="shared" si="100"/>
        <v>2.2000842075396845E-5</v>
      </c>
      <c r="U156" s="103">
        <f t="shared" si="100"/>
        <v>2.1098526212786605E-5</v>
      </c>
      <c r="V156" s="103">
        <f t="shared" si="100"/>
        <v>2.3897211548417444E-5</v>
      </c>
      <c r="W156" s="103">
        <f t="shared" ref="W156:Y156" si="101">IF(W41=0,0,W41/W$17)</f>
        <v>4.3981594596730533E-5</v>
      </c>
      <c r="X156" s="103">
        <f t="shared" si="101"/>
        <v>4.8603027029415993E-5</v>
      </c>
      <c r="Y156" s="103">
        <f t="shared" si="101"/>
        <v>4.9543918530054998E-5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0.16017500272210805</v>
      </c>
      <c r="C157" s="46">
        <f t="shared" si="102"/>
        <v>0.17187736263321993</v>
      </c>
      <c r="D157" s="46">
        <f t="shared" si="102"/>
        <v>0.21160421462104795</v>
      </c>
      <c r="E157" s="46">
        <f t="shared" si="102"/>
        <v>0.22075016781464615</v>
      </c>
      <c r="F157" s="46">
        <f t="shared" si="102"/>
        <v>0.23671374436088372</v>
      </c>
      <c r="G157" s="46">
        <f t="shared" si="102"/>
        <v>0.23583897113433236</v>
      </c>
      <c r="H157" s="46">
        <f t="shared" si="102"/>
        <v>0.2368733756462533</v>
      </c>
      <c r="I157" s="46">
        <f t="shared" si="102"/>
        <v>0.22539678862869314</v>
      </c>
      <c r="J157" s="46">
        <f t="shared" si="102"/>
        <v>0.22806243999095774</v>
      </c>
      <c r="K157" s="46">
        <f t="shared" si="102"/>
        <v>0.21166076931023953</v>
      </c>
      <c r="L157" s="46">
        <f t="shared" ref="L157" si="103">IF(L42=0,0,L42/L$17)</f>
        <v>0.21516605426806812</v>
      </c>
      <c r="M157" s="46">
        <f t="shared" ref="M157:V157" si="104">IF(M42=0,0,M42/M$17)</f>
        <v>0.21141715320085913</v>
      </c>
      <c r="N157" s="46">
        <f t="shared" si="104"/>
        <v>0.19874740802676116</v>
      </c>
      <c r="O157" s="46">
        <f t="shared" si="104"/>
        <v>0.22144018194924858</v>
      </c>
      <c r="P157" s="46">
        <f t="shared" si="104"/>
        <v>0.20246591677756021</v>
      </c>
      <c r="Q157" s="46">
        <f t="shared" si="104"/>
        <v>0.20398977751528163</v>
      </c>
      <c r="R157" s="46">
        <f t="shared" si="104"/>
        <v>0.19112352934352703</v>
      </c>
      <c r="S157" s="46">
        <f t="shared" si="104"/>
        <v>0.22424303745029103</v>
      </c>
      <c r="T157" s="46">
        <f t="shared" si="104"/>
        <v>0.2197926853356218</v>
      </c>
      <c r="U157" s="46">
        <f t="shared" si="104"/>
        <v>0.24167565736191263</v>
      </c>
      <c r="V157" s="46">
        <f t="shared" si="104"/>
        <v>0.27074943966535675</v>
      </c>
      <c r="W157" s="46">
        <f t="shared" ref="W157:Y157" si="105">IF(W42=0,0,W42/W$17)</f>
        <v>0.25531525767308899</v>
      </c>
      <c r="X157" s="46">
        <f t="shared" si="105"/>
        <v>0.25366503254728412</v>
      </c>
      <c r="Y157" s="46">
        <f t="shared" si="105"/>
        <v>0.25810850438812061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5.7131082413634578E-2</v>
      </c>
      <c r="C158" s="154">
        <f t="shared" si="106"/>
        <v>6.3783241453033573E-2</v>
      </c>
      <c r="D158" s="154">
        <f t="shared" si="106"/>
        <v>6.7400221807405916E-2</v>
      </c>
      <c r="E158" s="154">
        <f t="shared" si="106"/>
        <v>6.8169859773998046E-2</v>
      </c>
      <c r="F158" s="154">
        <f t="shared" si="106"/>
        <v>7.1153553114875104E-2</v>
      </c>
      <c r="G158" s="154">
        <f t="shared" si="106"/>
        <v>7.4935802498078283E-2</v>
      </c>
      <c r="H158" s="154">
        <f t="shared" si="106"/>
        <v>7.348926852197292E-2</v>
      </c>
      <c r="I158" s="154">
        <f t="shared" si="106"/>
        <v>6.6742606004365129E-2</v>
      </c>
      <c r="J158" s="154">
        <f t="shared" si="106"/>
        <v>7.0108662274744465E-2</v>
      </c>
      <c r="K158" s="154">
        <f t="shared" si="106"/>
        <v>6.8068591408819712E-2</v>
      </c>
      <c r="L158" s="154">
        <f t="shared" ref="L158" si="107">IF(L43=0,0,L43/L$17)</f>
        <v>6.571101722721541E-2</v>
      </c>
      <c r="M158" s="154">
        <f t="shared" ref="M158:V158" si="108">IF(M43=0,0,M43/M$17)</f>
        <v>6.6124720291093897E-2</v>
      </c>
      <c r="N158" s="154">
        <f t="shared" si="108"/>
        <v>6.3559427855832962E-2</v>
      </c>
      <c r="O158" s="154">
        <f t="shared" si="108"/>
        <v>6.179935409271646E-2</v>
      </c>
      <c r="P158" s="154">
        <f t="shared" si="108"/>
        <v>6.0145624586643125E-2</v>
      </c>
      <c r="Q158" s="154">
        <f t="shared" si="108"/>
        <v>6.4325558045925754E-2</v>
      </c>
      <c r="R158" s="154">
        <f t="shared" si="108"/>
        <v>6.4936592584626279E-2</v>
      </c>
      <c r="S158" s="154">
        <f t="shared" si="108"/>
        <v>6.9295396063824288E-2</v>
      </c>
      <c r="T158" s="154">
        <f t="shared" si="108"/>
        <v>7.7210662207649064E-2</v>
      </c>
      <c r="U158" s="154">
        <f t="shared" si="108"/>
        <v>8.0240835644241351E-2</v>
      </c>
      <c r="V158" s="154">
        <f t="shared" si="108"/>
        <v>9.3376731974702712E-2</v>
      </c>
      <c r="W158" s="154">
        <f t="shared" ref="W158:Y158" si="109">IF(W43=0,0,W43/W$17)</f>
        <v>9.4224041035355671E-2</v>
      </c>
      <c r="X158" s="154">
        <f t="shared" si="109"/>
        <v>9.6892688553597062E-2</v>
      </c>
      <c r="Y158" s="154">
        <f t="shared" si="109"/>
        <v>9.592971315371529E-2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9.1914606390865287E-3</v>
      </c>
      <c r="C159" s="103">
        <f t="shared" si="110"/>
        <v>1.0843548567100566E-2</v>
      </c>
      <c r="D159" s="103">
        <f t="shared" si="110"/>
        <v>9.9506114327983664E-3</v>
      </c>
      <c r="E159" s="103">
        <f t="shared" si="110"/>
        <v>8.7785345823501084E-3</v>
      </c>
      <c r="F159" s="103">
        <f t="shared" si="110"/>
        <v>7.9775637838886259E-3</v>
      </c>
      <c r="G159" s="103">
        <f t="shared" si="110"/>
        <v>7.2456325216088526E-3</v>
      </c>
      <c r="H159" s="103">
        <f t="shared" si="110"/>
        <v>6.6709601559336255E-3</v>
      </c>
      <c r="I159" s="103">
        <f t="shared" si="110"/>
        <v>4.7914306998560101E-3</v>
      </c>
      <c r="J159" s="103">
        <f t="shared" si="110"/>
        <v>4.6770699580176017E-3</v>
      </c>
      <c r="K159" s="103">
        <f t="shared" si="110"/>
        <v>4.0543319111304372E-3</v>
      </c>
      <c r="L159" s="103">
        <f t="shared" ref="L159" si="111">IF(L44=0,0,L44/L$17)</f>
        <v>3.605582356308605E-3</v>
      </c>
      <c r="M159" s="103">
        <f t="shared" ref="M159:V159" si="112">IF(M44=0,0,M44/M$17)</f>
        <v>3.4551762094031753E-3</v>
      </c>
      <c r="N159" s="103">
        <f t="shared" si="112"/>
        <v>2.5142810602527786E-3</v>
      </c>
      <c r="O159" s="103">
        <f t="shared" si="112"/>
        <v>2.3730194667560853E-3</v>
      </c>
      <c r="P159" s="103">
        <f t="shared" si="112"/>
        <v>2.3153999507797194E-3</v>
      </c>
      <c r="Q159" s="103">
        <f t="shared" si="112"/>
        <v>2.0895481802314635E-3</v>
      </c>
      <c r="R159" s="103">
        <f t="shared" si="112"/>
        <v>2.0319451789618079E-3</v>
      </c>
      <c r="S159" s="103">
        <f t="shared" si="112"/>
        <v>2.1008504065608978E-3</v>
      </c>
      <c r="T159" s="103">
        <f t="shared" si="112"/>
        <v>2.3066202750959839E-3</v>
      </c>
      <c r="U159" s="103">
        <f t="shared" si="112"/>
        <v>2.2508180578288597E-3</v>
      </c>
      <c r="V159" s="103">
        <f t="shared" si="112"/>
        <v>2.499908589380095E-3</v>
      </c>
      <c r="W159" s="103">
        <f t="shared" ref="W159:Y159" si="113">IF(W44=0,0,W44/W$17)</f>
        <v>2.375050148487622E-3</v>
      </c>
      <c r="X159" s="103">
        <f t="shared" si="113"/>
        <v>2.3648418186280502E-3</v>
      </c>
      <c r="Y159" s="103">
        <f t="shared" si="113"/>
        <v>2.2466763918762779E-3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4.7939621774548045E-2</v>
      </c>
      <c r="C160" s="103">
        <f t="shared" si="114"/>
        <v>5.2939692885933004E-2</v>
      </c>
      <c r="D160" s="103">
        <f t="shared" si="114"/>
        <v>5.7449610374607551E-2</v>
      </c>
      <c r="E160" s="103">
        <f t="shared" si="114"/>
        <v>5.9391093165611364E-2</v>
      </c>
      <c r="F160" s="103">
        <f t="shared" si="114"/>
        <v>6.317576360823092E-2</v>
      </c>
      <c r="G160" s="103">
        <f t="shared" si="114"/>
        <v>6.7689849995286558E-2</v>
      </c>
      <c r="H160" s="103">
        <f t="shared" si="114"/>
        <v>6.6818007684573716E-2</v>
      </c>
      <c r="I160" s="103">
        <f t="shared" si="114"/>
        <v>6.1888995130784052E-2</v>
      </c>
      <c r="J160" s="103">
        <f t="shared" si="114"/>
        <v>6.5273385860231098E-2</v>
      </c>
      <c r="K160" s="103">
        <f t="shared" si="114"/>
        <v>6.3803594051657961E-2</v>
      </c>
      <c r="L160" s="103">
        <f t="shared" ref="L160" si="115">IF(L46=0,0,L46/L$17)</f>
        <v>6.1880376901170264E-2</v>
      </c>
      <c r="M160" s="103">
        <f t="shared" ref="M160:V160" si="116">IF(M46=0,0,M46/M$17)</f>
        <v>6.2448008282652269E-2</v>
      </c>
      <c r="N160" s="103">
        <f t="shared" si="116"/>
        <v>6.0808971933880927E-2</v>
      </c>
      <c r="O160" s="103">
        <f t="shared" si="116"/>
        <v>5.9171513833492992E-2</v>
      </c>
      <c r="P160" s="103">
        <f t="shared" si="116"/>
        <v>5.7555953573603109E-2</v>
      </c>
      <c r="Q160" s="103">
        <f t="shared" si="116"/>
        <v>6.1949885644255992E-2</v>
      </c>
      <c r="R160" s="103">
        <f t="shared" si="116"/>
        <v>6.2612411538410184E-2</v>
      </c>
      <c r="S160" s="103">
        <f t="shared" si="116"/>
        <v>6.6872721833032098E-2</v>
      </c>
      <c r="T160" s="103">
        <f t="shared" si="116"/>
        <v>7.4537281561455476E-2</v>
      </c>
      <c r="U160" s="103">
        <f t="shared" si="116"/>
        <v>7.7613755404419213E-2</v>
      </c>
      <c r="V160" s="103">
        <f t="shared" si="116"/>
        <v>9.0437226088720582E-2</v>
      </c>
      <c r="W160" s="103">
        <f t="shared" ref="W160:Y160" si="117">IF(W46=0,0,W46/W$17)</f>
        <v>9.1386551578990435E-2</v>
      </c>
      <c r="X160" s="103">
        <f t="shared" si="117"/>
        <v>9.4032742611561387E-2</v>
      </c>
      <c r="Y160" s="103">
        <f t="shared" si="117"/>
        <v>9.3199681487724839E-2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0</v>
      </c>
      <c r="I161" s="103">
        <f t="shared" si="118"/>
        <v>6.1900935439371431E-5</v>
      </c>
      <c r="J161" s="103">
        <f t="shared" si="118"/>
        <v>1.5774351291565183E-4</v>
      </c>
      <c r="K161" s="103">
        <f t="shared" si="118"/>
        <v>1.9389887079027156E-4</v>
      </c>
      <c r="L161" s="103">
        <f t="shared" ref="L161" si="119">IF(L48=0,0,L48/L$17)</f>
        <v>2.0455684090165438E-4</v>
      </c>
      <c r="M161" s="103">
        <f t="shared" ref="M161:V161" si="120">IF(M48=0,0,M48/M$17)</f>
        <v>1.9989762087029318E-4</v>
      </c>
      <c r="N161" s="103">
        <f t="shared" si="120"/>
        <v>2.0474444723479616E-4</v>
      </c>
      <c r="O161" s="103">
        <f t="shared" si="120"/>
        <v>2.2305329286538919E-4</v>
      </c>
      <c r="P161" s="103">
        <f t="shared" si="120"/>
        <v>2.420228256712213E-4</v>
      </c>
      <c r="Q161" s="103">
        <f t="shared" si="120"/>
        <v>2.5075692603423587E-4</v>
      </c>
      <c r="R161" s="103">
        <f t="shared" si="120"/>
        <v>2.5745295660275727E-4</v>
      </c>
      <c r="S161" s="103">
        <f t="shared" si="120"/>
        <v>2.8116520355146843E-4</v>
      </c>
      <c r="T161" s="103">
        <f t="shared" si="120"/>
        <v>3.2087691708547694E-4</v>
      </c>
      <c r="U161" s="103">
        <f t="shared" si="120"/>
        <v>3.2975723057583519E-4</v>
      </c>
      <c r="V161" s="103">
        <f t="shared" si="120"/>
        <v>3.8333912615612527E-4</v>
      </c>
      <c r="W161" s="103">
        <f t="shared" ref="W161:Y161" si="121">IF(W48=0,0,W48/W$17)</f>
        <v>4.0118000055337603E-4</v>
      </c>
      <c r="X161" s="103">
        <f t="shared" si="121"/>
        <v>4.2321273784252261E-4</v>
      </c>
      <c r="Y161" s="103">
        <f t="shared" si="121"/>
        <v>3.9918948067467296E-4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1.6210927701866589E-5</v>
      </c>
      <c r="L162" s="103">
        <f t="shared" ref="L162" si="123">IF(L49=0,0,L49/L$17)</f>
        <v>1.9922265960222412E-5</v>
      </c>
      <c r="M162" s="103">
        <f t="shared" ref="M162:V162" si="124">IF(M49=0,0,M49/M$17)</f>
        <v>2.114939789526365E-5</v>
      </c>
      <c r="N162" s="103">
        <f t="shared" si="124"/>
        <v>3.0731390433531162E-5</v>
      </c>
      <c r="O162" s="103">
        <f t="shared" si="124"/>
        <v>3.1075988658106699E-5</v>
      </c>
      <c r="P162" s="103">
        <f t="shared" si="124"/>
        <v>3.144108158395701E-5</v>
      </c>
      <c r="Q162" s="103">
        <f t="shared" si="124"/>
        <v>3.1599266864457216E-5</v>
      </c>
      <c r="R162" s="103">
        <f t="shared" si="124"/>
        <v>2.9308749165037028E-5</v>
      </c>
      <c r="S162" s="103">
        <f t="shared" si="124"/>
        <v>3.4649227695419675E-5</v>
      </c>
      <c r="T162" s="103">
        <f t="shared" si="124"/>
        <v>3.7119192974617495E-5</v>
      </c>
      <c r="U162" s="103">
        <f t="shared" si="124"/>
        <v>3.4634892397861812E-5</v>
      </c>
      <c r="V162" s="103">
        <f t="shared" si="124"/>
        <v>3.7526678648748397E-5</v>
      </c>
      <c r="W162" s="103">
        <f t="shared" ref="W162:Y162" si="125">IF(W49=0,0,W49/W$17)</f>
        <v>3.5040256914382384E-5</v>
      </c>
      <c r="X162" s="103">
        <f t="shared" si="125"/>
        <v>3.3441030816032445E-5</v>
      </c>
      <c r="Y162" s="103">
        <f t="shared" si="125"/>
        <v>3.003467689712651E-5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2.3202603657195713E-7</v>
      </c>
      <c r="F163" s="103">
        <f t="shared" si="126"/>
        <v>2.2572275555216392E-7</v>
      </c>
      <c r="G163" s="103">
        <f t="shared" si="126"/>
        <v>3.1998118286102904E-7</v>
      </c>
      <c r="H163" s="103">
        <f t="shared" si="126"/>
        <v>3.0068146557688665E-7</v>
      </c>
      <c r="I163" s="103">
        <f t="shared" si="126"/>
        <v>2.7923828569273142E-7</v>
      </c>
      <c r="J163" s="103">
        <f t="shared" si="126"/>
        <v>4.6294358010493659E-7</v>
      </c>
      <c r="K163" s="103">
        <f t="shared" si="126"/>
        <v>5.5564753919103568E-7</v>
      </c>
      <c r="L163" s="103">
        <f t="shared" ref="L163" si="127">IF(L51=0,0,L51/L$17)</f>
        <v>5.7886287466435714E-7</v>
      </c>
      <c r="M163" s="103">
        <f t="shared" ref="M163:V163" si="128">IF(M51=0,0,M51/M$17)</f>
        <v>4.8878027289765862E-7</v>
      </c>
      <c r="N163" s="103">
        <f t="shared" si="128"/>
        <v>6.9902403092759926E-7</v>
      </c>
      <c r="O163" s="103">
        <f t="shared" si="128"/>
        <v>6.9151094389165153E-7</v>
      </c>
      <c r="P163" s="103">
        <f t="shared" si="128"/>
        <v>8.0715500511546681E-7</v>
      </c>
      <c r="Q163" s="103">
        <f t="shared" si="128"/>
        <v>3.7680285396055401E-6</v>
      </c>
      <c r="R163" s="103">
        <f t="shared" si="128"/>
        <v>5.474161486496121E-6</v>
      </c>
      <c r="S163" s="103">
        <f t="shared" si="128"/>
        <v>6.0093929844142825E-6</v>
      </c>
      <c r="T163" s="103">
        <f t="shared" si="128"/>
        <v>8.7642610375066376E-6</v>
      </c>
      <c r="U163" s="103">
        <f t="shared" si="128"/>
        <v>1.1870059019570796E-5</v>
      </c>
      <c r="V163" s="103">
        <f t="shared" si="128"/>
        <v>1.873149179714822E-5</v>
      </c>
      <c r="W163" s="103">
        <f t="shared" ref="W163:Y163" si="129">IF(W51=0,0,W51/W$17)</f>
        <v>2.6219050409856967E-5</v>
      </c>
      <c r="X163" s="103">
        <f t="shared" si="129"/>
        <v>3.8450354749069427E-5</v>
      </c>
      <c r="Y163" s="103">
        <f t="shared" si="129"/>
        <v>5.4131116542381838E-5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0.10304392030847348</v>
      </c>
      <c r="C164" s="156">
        <f t="shared" si="130"/>
        <v>0.10809412118018638</v>
      </c>
      <c r="D164" s="156">
        <f t="shared" si="130"/>
        <v>0.14420399281364205</v>
      </c>
      <c r="E164" s="156">
        <f t="shared" si="130"/>
        <v>0.15258030804064809</v>
      </c>
      <c r="F164" s="156">
        <f t="shared" si="130"/>
        <v>0.16556019124600863</v>
      </c>
      <c r="G164" s="156">
        <f t="shared" si="130"/>
        <v>0.16090316863625409</v>
      </c>
      <c r="H164" s="156">
        <f t="shared" si="130"/>
        <v>0.16338410712428039</v>
      </c>
      <c r="I164" s="156">
        <f t="shared" si="130"/>
        <v>0.15865418262432801</v>
      </c>
      <c r="J164" s="156">
        <f t="shared" si="130"/>
        <v>0.15795377771621327</v>
      </c>
      <c r="K164" s="156">
        <f t="shared" si="130"/>
        <v>0.14359217790141982</v>
      </c>
      <c r="L164" s="156">
        <f t="shared" ref="L164" si="131">IF(L52=0,0,L52/L$17)</f>
        <v>0.1494550370408527</v>
      </c>
      <c r="M164" s="156">
        <f t="shared" ref="M164:V164" si="132">IF(M52=0,0,M52/M$17)</f>
        <v>0.14529243290976526</v>
      </c>
      <c r="N164" s="156">
        <f t="shared" si="132"/>
        <v>0.1351879801709282</v>
      </c>
      <c r="O164" s="156">
        <f t="shared" si="132"/>
        <v>0.15964082785653211</v>
      </c>
      <c r="P164" s="156">
        <f t="shared" si="132"/>
        <v>0.1423202921909171</v>
      </c>
      <c r="Q164" s="156">
        <f t="shared" si="132"/>
        <v>0.13966421946935589</v>
      </c>
      <c r="R164" s="156">
        <f t="shared" si="132"/>
        <v>0.12618693675890072</v>
      </c>
      <c r="S164" s="156">
        <f t="shared" si="132"/>
        <v>0.15494764138646674</v>
      </c>
      <c r="T164" s="156">
        <f t="shared" si="132"/>
        <v>0.14258202312797275</v>
      </c>
      <c r="U164" s="156">
        <f t="shared" si="132"/>
        <v>0.16143482171767129</v>
      </c>
      <c r="V164" s="156">
        <f t="shared" si="132"/>
        <v>0.17737270769065405</v>
      </c>
      <c r="W164" s="156">
        <f t="shared" ref="W164:Y164" si="133">IF(W52=0,0,W52/W$17)</f>
        <v>0.16109121663773329</v>
      </c>
      <c r="X164" s="156">
        <f t="shared" si="133"/>
        <v>0.15677234399368709</v>
      </c>
      <c r="Y164" s="156">
        <f t="shared" si="133"/>
        <v>0.16217879123440535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4.394484028944818E-2</v>
      </c>
      <c r="C165" s="104">
        <f t="shared" si="134"/>
        <v>6.8756422750218996E-2</v>
      </c>
      <c r="D165" s="104">
        <f t="shared" si="134"/>
        <v>8.9267474414898712E-2</v>
      </c>
      <c r="E165" s="104">
        <f t="shared" si="134"/>
        <v>9.7772855226580579E-2</v>
      </c>
      <c r="F165" s="104">
        <f t="shared" si="134"/>
        <v>0.10071462888336923</v>
      </c>
      <c r="G165" s="104">
        <f t="shared" si="134"/>
        <v>9.7093767376731727E-2</v>
      </c>
      <c r="H165" s="104">
        <f t="shared" si="134"/>
        <v>0.10989078574101484</v>
      </c>
      <c r="I165" s="104">
        <f t="shared" si="134"/>
        <v>9.9746272702748065E-2</v>
      </c>
      <c r="J165" s="104">
        <f t="shared" si="134"/>
        <v>0.11702585588860701</v>
      </c>
      <c r="K165" s="104">
        <f t="shared" si="134"/>
        <v>0.10047801112373664</v>
      </c>
      <c r="L165" s="104">
        <f t="shared" ref="L165" si="135">IF(L53=0,0,L53/L$17)</f>
        <v>0.10024827504370996</v>
      </c>
      <c r="M165" s="104">
        <f t="shared" ref="M165:V165" si="136">IF(M53=0,0,M53/M$17)</f>
        <v>0.10006509954762345</v>
      </c>
      <c r="N165" s="104">
        <f t="shared" si="136"/>
        <v>9.3912093854299203E-2</v>
      </c>
      <c r="O165" s="104">
        <f t="shared" si="136"/>
        <v>9.815611004188339E-2</v>
      </c>
      <c r="P165" s="104">
        <f t="shared" si="136"/>
        <v>8.9360672351234155E-2</v>
      </c>
      <c r="Q165" s="104">
        <f t="shared" si="136"/>
        <v>8.4448484953184161E-2</v>
      </c>
      <c r="R165" s="104">
        <f t="shared" si="136"/>
        <v>8.1056519595773938E-2</v>
      </c>
      <c r="S165" s="104">
        <f t="shared" si="136"/>
        <v>8.2478365100768933E-2</v>
      </c>
      <c r="T165" s="104">
        <f t="shared" si="136"/>
        <v>8.041754953304675E-2</v>
      </c>
      <c r="U165" s="104">
        <f t="shared" si="136"/>
        <v>8.293054021830433E-2</v>
      </c>
      <c r="V165" s="104">
        <f t="shared" si="136"/>
        <v>9.3397406607113098E-2</v>
      </c>
      <c r="W165" s="104">
        <f t="shared" ref="W165:Y165" si="137">IF(W53=0,0,W53/W$17)</f>
        <v>9.1760344179653827E-2</v>
      </c>
      <c r="X165" s="104">
        <f t="shared" si="137"/>
        <v>8.7701012696229055E-2</v>
      </c>
      <c r="Y165" s="104">
        <f t="shared" si="137"/>
        <v>8.3416131169484722E-2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5.9099080019025294E-2</v>
      </c>
      <c r="C166" s="105">
        <f t="shared" si="138"/>
        <v>3.9337698429967392E-2</v>
      </c>
      <c r="D166" s="105">
        <f t="shared" si="138"/>
        <v>5.4936518398743341E-2</v>
      </c>
      <c r="E166" s="105">
        <f t="shared" si="138"/>
        <v>5.4807452814067528E-2</v>
      </c>
      <c r="F166" s="105">
        <f t="shared" si="138"/>
        <v>6.48455623626394E-2</v>
      </c>
      <c r="G166" s="105">
        <f t="shared" si="138"/>
        <v>6.3809401259522364E-2</v>
      </c>
      <c r="H166" s="105">
        <f t="shared" si="138"/>
        <v>5.3493321383265548E-2</v>
      </c>
      <c r="I166" s="105">
        <f t="shared" si="138"/>
        <v>5.8907909921579953E-2</v>
      </c>
      <c r="J166" s="105">
        <f t="shared" si="138"/>
        <v>4.0927921827606253E-2</v>
      </c>
      <c r="K166" s="105">
        <f t="shared" si="138"/>
        <v>4.3114166777683184E-2</v>
      </c>
      <c r="L166" s="105">
        <f t="shared" ref="L166" si="139">IF(L55=0,0,L55/L$17)</f>
        <v>4.9206761997142752E-2</v>
      </c>
      <c r="M166" s="105">
        <f t="shared" ref="M166:V166" si="140">IF(M55=0,0,M55/M$17)</f>
        <v>4.522733336214179E-2</v>
      </c>
      <c r="N166" s="105">
        <f t="shared" si="140"/>
        <v>4.1275886316629012E-2</v>
      </c>
      <c r="O166" s="105">
        <f t="shared" si="140"/>
        <v>6.1484717814648718E-2</v>
      </c>
      <c r="P166" s="105">
        <f t="shared" si="140"/>
        <v>5.2959619839682948E-2</v>
      </c>
      <c r="Q166" s="105">
        <f t="shared" si="140"/>
        <v>5.521573451617174E-2</v>
      </c>
      <c r="R166" s="105">
        <f t="shared" si="140"/>
        <v>4.5130417163126796E-2</v>
      </c>
      <c r="S166" s="105">
        <f t="shared" si="140"/>
        <v>7.2469276285697812E-2</v>
      </c>
      <c r="T166" s="105">
        <f t="shared" si="140"/>
        <v>6.2164473594925995E-2</v>
      </c>
      <c r="U166" s="105">
        <f t="shared" si="140"/>
        <v>7.8504281499366946E-2</v>
      </c>
      <c r="V166" s="105">
        <f t="shared" si="140"/>
        <v>8.397530108354094E-2</v>
      </c>
      <c r="W166" s="105">
        <f t="shared" ref="W166:Y166" si="141">IF(W55=0,0,W55/W$17)</f>
        <v>6.9330872458079451E-2</v>
      </c>
      <c r="X166" s="105">
        <f t="shared" si="141"/>
        <v>6.907133129745803E-2</v>
      </c>
      <c r="Y166" s="105">
        <f t="shared" si="141"/>
        <v>7.8762660064920609E-2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4149.0756259199998</v>
      </c>
      <c r="C4" s="146">
        <f t="shared" si="0"/>
        <v>4201.0894317599996</v>
      </c>
      <c r="D4" s="146">
        <f t="shared" si="0"/>
        <v>4485.01297428</v>
      </c>
      <c r="E4" s="146">
        <f t="shared" si="0"/>
        <v>4878.8827606799996</v>
      </c>
      <c r="F4" s="146">
        <f t="shared" si="0"/>
        <v>5030.9101425600002</v>
      </c>
      <c r="G4" s="146">
        <f t="shared" si="0"/>
        <v>5220.8717385599994</v>
      </c>
      <c r="H4" s="146">
        <f t="shared" si="0"/>
        <v>5564.9146798799993</v>
      </c>
      <c r="I4" s="146">
        <f t="shared" si="0"/>
        <v>5990.3463967199987</v>
      </c>
      <c r="J4" s="146">
        <f t="shared" si="0"/>
        <v>5902.4345295599996</v>
      </c>
      <c r="K4" s="146">
        <f t="shared" si="0"/>
        <v>5868.3732656400007</v>
      </c>
      <c r="L4" s="146">
        <f t="shared" ref="L4" si="1">L5+L9+L10+L15</f>
        <v>5660.6363344800011</v>
      </c>
      <c r="M4" s="146">
        <f t="shared" ref="M4:V4" si="2">M5+M9+M10+M15</f>
        <v>5545.8468431999991</v>
      </c>
      <c r="N4" s="146">
        <f t="shared" si="2"/>
        <v>5348.4575569199997</v>
      </c>
      <c r="O4" s="146">
        <f t="shared" si="2"/>
        <v>5424.7263422399992</v>
      </c>
      <c r="P4" s="146">
        <f t="shared" si="2"/>
        <v>5364.4591047599997</v>
      </c>
      <c r="Q4" s="146">
        <f t="shared" si="2"/>
        <v>5688.4181047200009</v>
      </c>
      <c r="R4" s="146">
        <f t="shared" si="2"/>
        <v>5899.7898205199999</v>
      </c>
      <c r="S4" s="146">
        <f t="shared" si="2"/>
        <v>6365.9629857600021</v>
      </c>
      <c r="T4" s="146">
        <f t="shared" si="2"/>
        <v>6128.4775881599999</v>
      </c>
      <c r="U4" s="146">
        <f t="shared" si="2"/>
        <v>6296.9670248399998</v>
      </c>
      <c r="V4" s="146">
        <f t="shared" si="2"/>
        <v>5535.3389072400023</v>
      </c>
      <c r="W4" s="146">
        <f t="shared" ref="W4:Y4" si="3">W5+W9+W10+W15</f>
        <v>5963.8610484000001</v>
      </c>
      <c r="X4" s="146">
        <f t="shared" si="3"/>
        <v>6439.0200627599988</v>
      </c>
      <c r="Y4" s="146">
        <f t="shared" si="3"/>
        <v>7288.4484741600008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4149.0756259199998</v>
      </c>
      <c r="C5" s="101">
        <f t="shared" si="4"/>
        <v>4201.0894317599996</v>
      </c>
      <c r="D5" s="101">
        <f t="shared" si="4"/>
        <v>4485.01297428</v>
      </c>
      <c r="E5" s="101">
        <f t="shared" si="4"/>
        <v>4878.8827606799996</v>
      </c>
      <c r="F5" s="101">
        <f t="shared" si="4"/>
        <v>5030.9101425600002</v>
      </c>
      <c r="G5" s="101">
        <f t="shared" si="4"/>
        <v>5220.8717385599994</v>
      </c>
      <c r="H5" s="101">
        <f t="shared" si="4"/>
        <v>5564.9146798799993</v>
      </c>
      <c r="I5" s="101">
        <f t="shared" si="4"/>
        <v>5990.3463967199987</v>
      </c>
      <c r="J5" s="101">
        <f t="shared" si="4"/>
        <v>5902.4345295599996</v>
      </c>
      <c r="K5" s="101">
        <f t="shared" si="4"/>
        <v>5865.6972956400004</v>
      </c>
      <c r="L5" s="101">
        <f t="shared" ref="L5" si="5">SUM(L6:L8)</f>
        <v>5655.6883144800013</v>
      </c>
      <c r="M5" s="101">
        <f t="shared" ref="M5:V5" si="6">SUM(M6:M8)</f>
        <v>5544.3321431999993</v>
      </c>
      <c r="N5" s="101">
        <f t="shared" si="6"/>
        <v>5346.5389369199993</v>
      </c>
      <c r="O5" s="101">
        <f t="shared" si="6"/>
        <v>5421.0910622399988</v>
      </c>
      <c r="P5" s="101">
        <f t="shared" si="6"/>
        <v>5356.8856047599993</v>
      </c>
      <c r="Q5" s="101">
        <f t="shared" si="6"/>
        <v>5680.642644720001</v>
      </c>
      <c r="R5" s="101">
        <f t="shared" si="6"/>
        <v>5891.2028852399999</v>
      </c>
      <c r="S5" s="101">
        <f t="shared" si="6"/>
        <v>6356.0350360800021</v>
      </c>
      <c r="T5" s="101">
        <f t="shared" si="6"/>
        <v>6118.5668050799995</v>
      </c>
      <c r="U5" s="101">
        <f t="shared" si="6"/>
        <v>6287.6390983199999</v>
      </c>
      <c r="V5" s="101">
        <f t="shared" si="6"/>
        <v>5528.1216646800021</v>
      </c>
      <c r="W5" s="101">
        <f t="shared" ref="W5:Y5" si="7">SUM(W6:W8)</f>
        <v>5954.4361810800001</v>
      </c>
      <c r="X5" s="101">
        <f t="shared" si="7"/>
        <v>6430.5046213199985</v>
      </c>
      <c r="Y5" s="101">
        <f t="shared" si="7"/>
        <v>7281.5985968400009</v>
      </c>
      <c r="DA5" s="175"/>
    </row>
    <row r="6" spans="1:105" ht="11.45" customHeight="1" x14ac:dyDescent="0.25">
      <c r="A6" s="128" t="s">
        <v>52</v>
      </c>
      <c r="B6" s="101">
        <v>29.587589999999992</v>
      </c>
      <c r="C6" s="101">
        <v>35.505108</v>
      </c>
      <c r="D6" s="101">
        <v>39.055618800000019</v>
      </c>
      <c r="E6" s="101">
        <v>38.463867000000008</v>
      </c>
      <c r="F6" s="101">
        <v>49.411388880000011</v>
      </c>
      <c r="G6" s="101">
        <v>65.092698000000027</v>
      </c>
      <c r="H6" s="101">
        <v>109.47408300000001</v>
      </c>
      <c r="I6" s="101">
        <v>150.89670899999999</v>
      </c>
      <c r="J6" s="101">
        <v>204.15437100000003</v>
      </c>
      <c r="K6" s="101">
        <v>207.11313000000004</v>
      </c>
      <c r="L6" s="101">
        <v>174.56678100000005</v>
      </c>
      <c r="M6" s="101">
        <v>165.69050400000003</v>
      </c>
      <c r="N6" s="101">
        <v>162.73174500000002</v>
      </c>
      <c r="O6" s="101">
        <v>165.69050400000003</v>
      </c>
      <c r="P6" s="101">
        <v>180.48429900000002</v>
      </c>
      <c r="Q6" s="101">
        <v>198.236853</v>
      </c>
      <c r="R6" s="101">
        <v>210.07188900000003</v>
      </c>
      <c r="S6" s="101">
        <v>209.18437488000001</v>
      </c>
      <c r="T6" s="101">
        <v>208.29663360000001</v>
      </c>
      <c r="U6" s="101">
        <v>195.27809400000001</v>
      </c>
      <c r="V6" s="101">
        <v>156.22247520000002</v>
      </c>
      <c r="W6" s="101">
        <v>163.61948627999999</v>
      </c>
      <c r="X6" s="101">
        <v>137.28641760000002</v>
      </c>
      <c r="Y6" s="101">
        <v>125.45138159999999</v>
      </c>
      <c r="DA6" s="175" t="s">
        <v>741</v>
      </c>
    </row>
    <row r="7" spans="1:105" ht="11.45" customHeight="1" x14ac:dyDescent="0.25">
      <c r="A7" s="128" t="s">
        <v>53</v>
      </c>
      <c r="B7" s="101">
        <v>2359.3308631199998</v>
      </c>
      <c r="C7" s="101">
        <v>2269.7770233599999</v>
      </c>
      <c r="D7" s="101">
        <v>2291.3984570399998</v>
      </c>
      <c r="E7" s="101">
        <v>2282.1312729599999</v>
      </c>
      <c r="F7" s="101">
        <v>2180.2231835999996</v>
      </c>
      <c r="G7" s="101">
        <v>2143.1639275199996</v>
      </c>
      <c r="H7" s="101">
        <v>2146.2539867999999</v>
      </c>
      <c r="I7" s="101">
        <v>2186.4033021600003</v>
      </c>
      <c r="J7" s="101">
        <v>2093.7534155999997</v>
      </c>
      <c r="K7" s="101">
        <v>2087.5792845599999</v>
      </c>
      <c r="L7" s="101">
        <v>1967.1400702800001</v>
      </c>
      <c r="M7" s="101">
        <v>1920.81662388</v>
      </c>
      <c r="N7" s="101">
        <v>1784.9393377200001</v>
      </c>
      <c r="O7" s="101">
        <v>1744.7960098800002</v>
      </c>
      <c r="P7" s="101">
        <v>1608.9187237199999</v>
      </c>
      <c r="Q7" s="101">
        <v>1605.8286644400002</v>
      </c>
      <c r="R7" s="101">
        <v>1615.0958485199999</v>
      </c>
      <c r="S7" s="101">
        <v>1550.4944993999998</v>
      </c>
      <c r="T7" s="101">
        <v>1506.4483064399999</v>
      </c>
      <c r="U7" s="101">
        <v>1436.81319936</v>
      </c>
      <c r="V7" s="101">
        <v>1193.0827154400001</v>
      </c>
      <c r="W7" s="101">
        <v>1336.34510856</v>
      </c>
      <c r="X7" s="101">
        <v>1434.10933512</v>
      </c>
      <c r="Y7" s="101">
        <v>1609.0082870400001</v>
      </c>
      <c r="DA7" s="175" t="s">
        <v>742</v>
      </c>
    </row>
    <row r="8" spans="1:105" ht="11.45" customHeight="1" x14ac:dyDescent="0.25">
      <c r="A8" s="128" t="s">
        <v>54</v>
      </c>
      <c r="B8" s="101">
        <v>1760.1571727999999</v>
      </c>
      <c r="C8" s="101">
        <v>1895.8073004000003</v>
      </c>
      <c r="D8" s="101">
        <v>2154.5588984400001</v>
      </c>
      <c r="E8" s="101">
        <v>2558.2876207199997</v>
      </c>
      <c r="F8" s="101">
        <v>2801.2755700799999</v>
      </c>
      <c r="G8" s="101">
        <v>3012.6151130399994</v>
      </c>
      <c r="H8" s="101">
        <v>3309.1866100799989</v>
      </c>
      <c r="I8" s="101">
        <v>3653.0463855599987</v>
      </c>
      <c r="J8" s="101">
        <v>3604.5267429599994</v>
      </c>
      <c r="K8" s="101">
        <v>3571.0048810800004</v>
      </c>
      <c r="L8" s="101">
        <v>3513.9814632000007</v>
      </c>
      <c r="M8" s="101">
        <v>3457.8250153199997</v>
      </c>
      <c r="N8" s="101">
        <v>3398.8678541999993</v>
      </c>
      <c r="O8" s="101">
        <v>3510.6045483599992</v>
      </c>
      <c r="P8" s="101">
        <v>3567.4825820399997</v>
      </c>
      <c r="Q8" s="101">
        <v>3876.5771272800002</v>
      </c>
      <c r="R8" s="101">
        <v>4066.0351477200002</v>
      </c>
      <c r="S8" s="101">
        <v>4596.3561618000022</v>
      </c>
      <c r="T8" s="101">
        <v>4403.8218650399995</v>
      </c>
      <c r="U8" s="101">
        <v>4655.5478049599997</v>
      </c>
      <c r="V8" s="101">
        <v>4178.8164740400016</v>
      </c>
      <c r="W8" s="101">
        <v>4454.4715862399999</v>
      </c>
      <c r="X8" s="101">
        <v>4859.1088685999985</v>
      </c>
      <c r="Y8" s="101">
        <v>5547.1389282000009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2.6759700000000013</v>
      </c>
      <c r="L9" s="101">
        <v>4.9480199999999996</v>
      </c>
      <c r="M9" s="101">
        <v>1.5146999999999999</v>
      </c>
      <c r="N9" s="101">
        <v>1.9186200000000002</v>
      </c>
      <c r="O9" s="101">
        <v>3.6352800000000012</v>
      </c>
      <c r="P9" s="101">
        <v>7.5735000000000001</v>
      </c>
      <c r="Q9" s="101">
        <v>7.7754599999999989</v>
      </c>
      <c r="R9" s="101">
        <v>8.5869352800000023</v>
      </c>
      <c r="S9" s="101">
        <v>9.9279496799999993</v>
      </c>
      <c r="T9" s="101">
        <v>9.9107830800000016</v>
      </c>
      <c r="U9" s="101">
        <v>9.3279265199999983</v>
      </c>
      <c r="V9" s="101">
        <v>7.2172425599999999</v>
      </c>
      <c r="W9" s="101">
        <v>9.4248673200000006</v>
      </c>
      <c r="X9" s="101">
        <v>8.5154414400000018</v>
      </c>
      <c r="Y9" s="101">
        <v>6.8498773200000018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4149.0756259199998</v>
      </c>
      <c r="C17" s="79">
        <f t="shared" si="12"/>
        <v>4201.0894317599996</v>
      </c>
      <c r="D17" s="79">
        <f t="shared" si="12"/>
        <v>4485.01297428</v>
      </c>
      <c r="E17" s="79">
        <f t="shared" si="12"/>
        <v>4878.8827606800005</v>
      </c>
      <c r="F17" s="79">
        <f t="shared" si="12"/>
        <v>5030.9101425599993</v>
      </c>
      <c r="G17" s="79">
        <f t="shared" si="12"/>
        <v>5220.8717385599975</v>
      </c>
      <c r="H17" s="79">
        <f t="shared" si="12"/>
        <v>5564.9146798799984</v>
      </c>
      <c r="I17" s="79">
        <f t="shared" si="12"/>
        <v>5990.3463967199987</v>
      </c>
      <c r="J17" s="79">
        <f t="shared" si="12"/>
        <v>5902.4345295599996</v>
      </c>
      <c r="K17" s="79">
        <f t="shared" si="12"/>
        <v>5868.3732656400007</v>
      </c>
      <c r="L17" s="79">
        <f t="shared" ref="L17" si="13">SUM(L18,L33)</f>
        <v>5660.6363344800011</v>
      </c>
      <c r="M17" s="79">
        <f t="shared" ref="M17:V17" si="14">SUM(M18,M33)</f>
        <v>5545.8468432</v>
      </c>
      <c r="N17" s="79">
        <f t="shared" si="14"/>
        <v>5348.4575569199997</v>
      </c>
      <c r="O17" s="79">
        <f t="shared" si="14"/>
        <v>5424.7263422399992</v>
      </c>
      <c r="P17" s="79">
        <f t="shared" si="14"/>
        <v>5364.4591047599997</v>
      </c>
      <c r="Q17" s="79">
        <f t="shared" si="14"/>
        <v>5688.4181047200018</v>
      </c>
      <c r="R17" s="79">
        <f t="shared" si="14"/>
        <v>5899.7898205199999</v>
      </c>
      <c r="S17" s="79">
        <f t="shared" si="14"/>
        <v>6365.9629857600012</v>
      </c>
      <c r="T17" s="79">
        <f t="shared" si="14"/>
        <v>6128.4775881599999</v>
      </c>
      <c r="U17" s="79">
        <f t="shared" si="14"/>
        <v>6296.967024839998</v>
      </c>
      <c r="V17" s="79">
        <f t="shared" si="14"/>
        <v>5535.3389072400014</v>
      </c>
      <c r="W17" s="79">
        <f t="shared" ref="W17:Y17" si="15">SUM(W18,W33)</f>
        <v>5963.8610484000001</v>
      </c>
      <c r="X17" s="79">
        <f t="shared" si="15"/>
        <v>6439.020062759997</v>
      </c>
      <c r="Y17" s="79">
        <f t="shared" si="15"/>
        <v>7288.4484741600008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3460.0666857165647</v>
      </c>
      <c r="C18" s="32">
        <f t="shared" si="16"/>
        <v>3453.9975921565374</v>
      </c>
      <c r="D18" s="32">
        <f t="shared" si="16"/>
        <v>3503.9382074308232</v>
      </c>
      <c r="E18" s="32">
        <f t="shared" si="16"/>
        <v>3768.3634591766304</v>
      </c>
      <c r="F18" s="32">
        <f t="shared" si="16"/>
        <v>3804.9223541113001</v>
      </c>
      <c r="G18" s="32">
        <f t="shared" si="16"/>
        <v>3954.4283700155429</v>
      </c>
      <c r="H18" s="32">
        <f t="shared" si="16"/>
        <v>4209.4793707074468</v>
      </c>
      <c r="I18" s="32">
        <f t="shared" si="16"/>
        <v>4603.2597469396651</v>
      </c>
      <c r="J18" s="32">
        <f t="shared" si="16"/>
        <v>4518.7366067872535</v>
      </c>
      <c r="K18" s="32">
        <f t="shared" si="16"/>
        <v>4590.3336110498049</v>
      </c>
      <c r="L18" s="32">
        <f t="shared" ref="L18" si="17">SUM(L19,L20,L27)</f>
        <v>4409.1326820628165</v>
      </c>
      <c r="M18" s="32">
        <f t="shared" ref="M18:V18" si="18">SUM(M19,M20,M27)</f>
        <v>4340.7911279082773</v>
      </c>
      <c r="N18" s="32">
        <f t="shared" si="18"/>
        <v>4268.2130994675254</v>
      </c>
      <c r="O18" s="32">
        <f t="shared" si="18"/>
        <v>4202.3018056354931</v>
      </c>
      <c r="P18" s="32">
        <f t="shared" si="18"/>
        <v>4259.5680533982422</v>
      </c>
      <c r="Q18" s="32">
        <f t="shared" si="18"/>
        <v>4506.1909192349931</v>
      </c>
      <c r="R18" s="32">
        <f t="shared" si="18"/>
        <v>4744.5746463665137</v>
      </c>
      <c r="S18" s="32">
        <f t="shared" si="18"/>
        <v>4906.5515712220076</v>
      </c>
      <c r="T18" s="32">
        <f t="shared" si="18"/>
        <v>4758.1098719931033</v>
      </c>
      <c r="U18" s="32">
        <f t="shared" si="18"/>
        <v>4758.9897886110757</v>
      </c>
      <c r="V18" s="32">
        <f t="shared" si="18"/>
        <v>4024.2728773721683</v>
      </c>
      <c r="W18" s="32">
        <f t="shared" ref="W18:Y18" si="19">SUM(W19,W20,W27)</f>
        <v>4433.4372024879813</v>
      </c>
      <c r="X18" s="32">
        <f t="shared" si="19"/>
        <v>4779.5431075866172</v>
      </c>
      <c r="Y18" s="32">
        <f t="shared" si="19"/>
        <v>5372.423336439052</v>
      </c>
      <c r="DA18" s="173" t="s">
        <v>403</v>
      </c>
    </row>
    <row r="19" spans="1:105" ht="11.45" customHeight="1" x14ac:dyDescent="0.25">
      <c r="A19" s="136" t="s">
        <v>173</v>
      </c>
      <c r="B19" s="141">
        <v>17.049669221312438</v>
      </c>
      <c r="C19" s="141">
        <v>16.94700930967824</v>
      </c>
      <c r="D19" s="141">
        <v>17.383475575740157</v>
      </c>
      <c r="E19" s="141">
        <v>18.994197711751504</v>
      </c>
      <c r="F19" s="141">
        <v>20.551604394170528</v>
      </c>
      <c r="G19" s="141">
        <v>22.245278509474392</v>
      </c>
      <c r="H19" s="141">
        <v>23.844915201123928</v>
      </c>
      <c r="I19" s="141">
        <v>23.787735695283512</v>
      </c>
      <c r="J19" s="141">
        <v>23.746692114741595</v>
      </c>
      <c r="K19" s="141">
        <v>23.557374147587129</v>
      </c>
      <c r="L19" s="141">
        <v>23.500787553679061</v>
      </c>
      <c r="M19" s="141">
        <v>23.415312029509955</v>
      </c>
      <c r="N19" s="141">
        <v>23.37375265449413</v>
      </c>
      <c r="O19" s="141">
        <v>23.139968430211042</v>
      </c>
      <c r="P19" s="141">
        <v>22.963429907742778</v>
      </c>
      <c r="Q19" s="141">
        <v>22.872213158945488</v>
      </c>
      <c r="R19" s="141">
        <v>23.706563785314028</v>
      </c>
      <c r="S19" s="141">
        <v>24.6461199103124</v>
      </c>
      <c r="T19" s="141">
        <v>24.900547967470878</v>
      </c>
      <c r="U19" s="141">
        <v>25.652457211607789</v>
      </c>
      <c r="V19" s="141">
        <v>22.472365061773999</v>
      </c>
      <c r="W19" s="141">
        <v>27.515024209717616</v>
      </c>
      <c r="X19" s="141">
        <v>29.452623909205819</v>
      </c>
      <c r="Y19" s="141">
        <v>31.345983254382769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2893.9508723024528</v>
      </c>
      <c r="C20" s="130">
        <f t="shared" si="20"/>
        <v>2906.7406064177403</v>
      </c>
      <c r="D20" s="130">
        <f t="shared" si="20"/>
        <v>2962.1344321748156</v>
      </c>
      <c r="E20" s="130">
        <f t="shared" si="20"/>
        <v>3222.6184883516585</v>
      </c>
      <c r="F20" s="130">
        <f t="shared" si="20"/>
        <v>3271.0596468119757</v>
      </c>
      <c r="G20" s="130">
        <f t="shared" si="20"/>
        <v>3425.4085695625195</v>
      </c>
      <c r="H20" s="130">
        <f t="shared" si="20"/>
        <v>3681.8134518744973</v>
      </c>
      <c r="I20" s="130">
        <f t="shared" si="20"/>
        <v>4060.1659260161082</v>
      </c>
      <c r="J20" s="130">
        <f t="shared" si="20"/>
        <v>3978.592037414754</v>
      </c>
      <c r="K20" s="130">
        <f t="shared" si="20"/>
        <v>4039.4262399125059</v>
      </c>
      <c r="L20" s="130">
        <f t="shared" ref="L20" si="21">SUM(L21:L26)</f>
        <v>3858.3981645025788</v>
      </c>
      <c r="M20" s="130">
        <f t="shared" ref="M20:V20" si="22">SUM(M21:M26)</f>
        <v>3811.3065033162693</v>
      </c>
      <c r="N20" s="130">
        <f t="shared" si="22"/>
        <v>3763.1797839012252</v>
      </c>
      <c r="O20" s="130">
        <f t="shared" si="22"/>
        <v>3691.3464651740219</v>
      </c>
      <c r="P20" s="130">
        <f t="shared" si="22"/>
        <v>3742.7144077418752</v>
      </c>
      <c r="Q20" s="130">
        <f t="shared" si="22"/>
        <v>3954.8419473236395</v>
      </c>
      <c r="R20" s="130">
        <f t="shared" si="22"/>
        <v>4158.2486755250475</v>
      </c>
      <c r="S20" s="130">
        <f t="shared" si="22"/>
        <v>4288.3914251041851</v>
      </c>
      <c r="T20" s="130">
        <f t="shared" si="22"/>
        <v>4141.1545053953587</v>
      </c>
      <c r="U20" s="130">
        <f t="shared" si="22"/>
        <v>4245.29333560955</v>
      </c>
      <c r="V20" s="130">
        <f t="shared" si="22"/>
        <v>3650.6346564907221</v>
      </c>
      <c r="W20" s="130">
        <f t="shared" ref="W20:Y20" si="23">SUM(W21:W26)</f>
        <v>4018.8646721289092</v>
      </c>
      <c r="X20" s="130">
        <f t="shared" si="23"/>
        <v>4300.4079129665461</v>
      </c>
      <c r="Y20" s="130">
        <f t="shared" si="23"/>
        <v>4832.5570358612831</v>
      </c>
      <c r="DA20" s="176" t="s">
        <v>405</v>
      </c>
    </row>
    <row r="21" spans="1:105" ht="11.45" customHeight="1" x14ac:dyDescent="0.25">
      <c r="A21" s="111" t="s">
        <v>110</v>
      </c>
      <c r="B21" s="96">
        <v>2304.6378794390607</v>
      </c>
      <c r="C21" s="96">
        <v>2208.0245791862581</v>
      </c>
      <c r="D21" s="96">
        <v>2230.197831630278</v>
      </c>
      <c r="E21" s="96">
        <v>2221.2151881548293</v>
      </c>
      <c r="F21" s="96">
        <v>2120.4685340774704</v>
      </c>
      <c r="G21" s="96">
        <v>2083.9822823207264</v>
      </c>
      <c r="H21" s="96">
        <v>2086.1711435236521</v>
      </c>
      <c r="I21" s="96">
        <v>2134.5098488054236</v>
      </c>
      <c r="J21" s="96">
        <v>2042.8802952554004</v>
      </c>
      <c r="K21" s="96">
        <v>2040.6429528673104</v>
      </c>
      <c r="L21" s="96">
        <v>1923.5406932231099</v>
      </c>
      <c r="M21" s="96">
        <v>1878.5783982831579</v>
      </c>
      <c r="N21" s="96">
        <v>1748.0247777352668</v>
      </c>
      <c r="O21" s="96">
        <v>1708.6733066922245</v>
      </c>
      <c r="P21" s="96">
        <v>1573.4368096331805</v>
      </c>
      <c r="Q21" s="96">
        <v>1571.0036830809402</v>
      </c>
      <c r="R21" s="96">
        <v>1579.4535745217604</v>
      </c>
      <c r="S21" s="96">
        <v>1512.6141664766965</v>
      </c>
      <c r="T21" s="96">
        <v>1467.3970819213721</v>
      </c>
      <c r="U21" s="96">
        <v>1396.7954806786838</v>
      </c>
      <c r="V21" s="96">
        <v>1156.3941616318446</v>
      </c>
      <c r="W21" s="96">
        <v>1293.7925755424678</v>
      </c>
      <c r="X21" s="96">
        <v>1388.5351244872616</v>
      </c>
      <c r="Y21" s="96">
        <v>1559.5558761604807</v>
      </c>
      <c r="DA21" s="171" t="s">
        <v>751</v>
      </c>
    </row>
    <row r="22" spans="1:105" ht="11.45" customHeight="1" x14ac:dyDescent="0.25">
      <c r="A22" s="111" t="s">
        <v>111</v>
      </c>
      <c r="B22" s="96">
        <v>559.72540286339199</v>
      </c>
      <c r="C22" s="96">
        <v>663.21091923148253</v>
      </c>
      <c r="D22" s="96">
        <v>692.88098174453739</v>
      </c>
      <c r="E22" s="96">
        <v>962.93943319682899</v>
      </c>
      <c r="F22" s="96">
        <v>1101.1797238545048</v>
      </c>
      <c r="G22" s="96">
        <v>1276.3335892417933</v>
      </c>
      <c r="H22" s="96">
        <v>1486.1682253508454</v>
      </c>
      <c r="I22" s="96">
        <v>1775.110757531764</v>
      </c>
      <c r="J22" s="96">
        <v>1732.4017785699682</v>
      </c>
      <c r="K22" s="96">
        <v>1792.535930756191</v>
      </c>
      <c r="L22" s="96">
        <v>1761.1467027230424</v>
      </c>
      <c r="M22" s="96">
        <v>1767.8832527309617</v>
      </c>
      <c r="N22" s="96">
        <v>1853.2375202743376</v>
      </c>
      <c r="O22" s="96">
        <v>1818.20017002337</v>
      </c>
      <c r="P22" s="96">
        <v>1990.1164806994811</v>
      </c>
      <c r="Q22" s="96">
        <v>2187.0208648434</v>
      </c>
      <c r="R22" s="96">
        <v>2370.1770871832623</v>
      </c>
      <c r="S22" s="96">
        <v>2568.1464788019398</v>
      </c>
      <c r="T22" s="96">
        <v>2467.1649792750131</v>
      </c>
      <c r="U22" s="96">
        <v>2654.8966777128721</v>
      </c>
      <c r="V22" s="96">
        <v>2339.5459787843261</v>
      </c>
      <c r="W22" s="96">
        <v>2562.8919034369392</v>
      </c>
      <c r="X22" s="96">
        <v>2775.6716606452796</v>
      </c>
      <c r="Y22" s="96">
        <v>3147.7733156183967</v>
      </c>
      <c r="DA22" s="171" t="s">
        <v>752</v>
      </c>
    </row>
    <row r="23" spans="1:105" ht="11.45" customHeight="1" x14ac:dyDescent="0.25">
      <c r="A23" s="111" t="s">
        <v>112</v>
      </c>
      <c r="B23" s="96">
        <v>29.587589999999992</v>
      </c>
      <c r="C23" s="96">
        <v>35.505108</v>
      </c>
      <c r="D23" s="96">
        <v>39.055618800000019</v>
      </c>
      <c r="E23" s="96">
        <v>38.463867000000008</v>
      </c>
      <c r="F23" s="96">
        <v>49.411388880000011</v>
      </c>
      <c r="G23" s="96">
        <v>65.092698000000027</v>
      </c>
      <c r="H23" s="96">
        <v>109.47408300000001</v>
      </c>
      <c r="I23" s="96">
        <v>150.54531967892095</v>
      </c>
      <c r="J23" s="96">
        <v>203.30996358938546</v>
      </c>
      <c r="K23" s="96">
        <v>206.08427261337715</v>
      </c>
      <c r="L23" s="96">
        <v>173.52303614831516</v>
      </c>
      <c r="M23" s="96">
        <v>164.6617534205468</v>
      </c>
      <c r="N23" s="96">
        <v>161.69774213363019</v>
      </c>
      <c r="O23" s="96">
        <v>164.24375408599332</v>
      </c>
      <c r="P23" s="96">
        <v>178.90265461858024</v>
      </c>
      <c r="Q23" s="96">
        <v>196.53312509183706</v>
      </c>
      <c r="R23" s="96">
        <v>208.2881385502746</v>
      </c>
      <c r="S23" s="96">
        <v>207.20450555379483</v>
      </c>
      <c r="T23" s="96">
        <v>206.13529365606939</v>
      </c>
      <c r="U23" s="96">
        <v>193.07644078414131</v>
      </c>
      <c r="V23" s="96">
        <v>154.04156798784481</v>
      </c>
      <c r="W23" s="96">
        <v>161.14440216679338</v>
      </c>
      <c r="X23" s="96">
        <v>134.59781573589802</v>
      </c>
      <c r="Y23" s="96">
        <v>122.61612136223759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0.16308367562721976</v>
      </c>
      <c r="L24" s="96">
        <v>0.18773240811169292</v>
      </c>
      <c r="M24" s="96">
        <v>0.18309888160276133</v>
      </c>
      <c r="N24" s="96">
        <v>0.21974375799058202</v>
      </c>
      <c r="O24" s="96">
        <v>0.22923437243409794</v>
      </c>
      <c r="P24" s="96">
        <v>0.25430011867612712</v>
      </c>
      <c r="Q24" s="96">
        <v>0.24177486618079083</v>
      </c>
      <c r="R24" s="96">
        <v>0.26487775915956246</v>
      </c>
      <c r="S24" s="96">
        <v>0.34336813147593448</v>
      </c>
      <c r="T24" s="96">
        <v>0.36557348046424437</v>
      </c>
      <c r="U24" s="96">
        <v>0.343149549970655</v>
      </c>
      <c r="V24" s="96">
        <v>0.27493606039281449</v>
      </c>
      <c r="W24" s="96">
        <v>0.32137320481009402</v>
      </c>
      <c r="X24" s="96">
        <v>0.33614454898510687</v>
      </c>
      <c r="Y24" s="96">
        <v>0.30245078697644107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0</v>
      </c>
      <c r="P25" s="96">
        <v>4.1626719577854999E-3</v>
      </c>
      <c r="Q25" s="96">
        <v>4.2499441280882504E-2</v>
      </c>
      <c r="R25" s="96">
        <v>6.499751059055367E-2</v>
      </c>
      <c r="S25" s="96">
        <v>8.290614027754481E-2</v>
      </c>
      <c r="T25" s="96">
        <v>9.1577062439734666E-2</v>
      </c>
      <c r="U25" s="96">
        <v>0.18158688388227134</v>
      </c>
      <c r="V25" s="96">
        <v>0.37801202631350644</v>
      </c>
      <c r="W25" s="96">
        <v>0.7144177778988533</v>
      </c>
      <c r="X25" s="96">
        <v>1.2671675491218888</v>
      </c>
      <c r="Y25" s="96">
        <v>2.3092719331920755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549.0661441927997</v>
      </c>
      <c r="C27" s="130">
        <f t="shared" si="24"/>
        <v>530.30997642911893</v>
      </c>
      <c r="D27" s="130">
        <f t="shared" si="24"/>
        <v>524.42029968026748</v>
      </c>
      <c r="E27" s="130">
        <f t="shared" si="24"/>
        <v>526.75077311322025</v>
      </c>
      <c r="F27" s="130">
        <f t="shared" si="24"/>
        <v>513.31110290515392</v>
      </c>
      <c r="G27" s="130">
        <f t="shared" si="24"/>
        <v>506.77452194354896</v>
      </c>
      <c r="H27" s="130">
        <f t="shared" si="24"/>
        <v>503.82100363182576</v>
      </c>
      <c r="I27" s="130">
        <f t="shared" si="24"/>
        <v>519.30608522827367</v>
      </c>
      <c r="J27" s="130">
        <f t="shared" si="24"/>
        <v>516.39787725775761</v>
      </c>
      <c r="K27" s="130">
        <f t="shared" si="24"/>
        <v>527.34999698971137</v>
      </c>
      <c r="L27" s="130">
        <f t="shared" ref="L27" si="25">SUM(L28:L32)</f>
        <v>527.23373000655852</v>
      </c>
      <c r="M27" s="130">
        <f t="shared" ref="M27:V27" si="26">SUM(M28:M32)</f>
        <v>506.06931256249777</v>
      </c>
      <c r="N27" s="130">
        <f t="shared" si="26"/>
        <v>481.65956291180595</v>
      </c>
      <c r="O27" s="130">
        <f t="shared" si="26"/>
        <v>487.81537203126049</v>
      </c>
      <c r="P27" s="130">
        <f t="shared" si="26"/>
        <v>493.89021574862392</v>
      </c>
      <c r="Q27" s="130">
        <f t="shared" si="26"/>
        <v>528.4767587524077</v>
      </c>
      <c r="R27" s="130">
        <f t="shared" si="26"/>
        <v>562.61940705615223</v>
      </c>
      <c r="S27" s="130">
        <f t="shared" si="26"/>
        <v>593.5140262075106</v>
      </c>
      <c r="T27" s="130">
        <f t="shared" si="26"/>
        <v>592.0548186302741</v>
      </c>
      <c r="U27" s="130">
        <f t="shared" si="26"/>
        <v>488.04399578991843</v>
      </c>
      <c r="V27" s="130">
        <f t="shared" si="26"/>
        <v>351.16585581967229</v>
      </c>
      <c r="W27" s="130">
        <f t="shared" ref="W27:Y27" si="27">SUM(W28:W32)</f>
        <v>387.05750614935425</v>
      </c>
      <c r="X27" s="130">
        <f t="shared" si="27"/>
        <v>449.68257071086595</v>
      </c>
      <c r="Y27" s="130">
        <f t="shared" si="27"/>
        <v>508.5203173233856</v>
      </c>
      <c r="DA27" s="176" t="s">
        <v>406</v>
      </c>
    </row>
    <row r="28" spans="1:105" ht="11.45" customHeight="1" x14ac:dyDescent="0.25">
      <c r="A28" s="111" t="s">
        <v>110</v>
      </c>
      <c r="B28" s="97">
        <v>0.52852244289873485</v>
      </c>
      <c r="C28" s="97">
        <v>0.54453417217913302</v>
      </c>
      <c r="D28" s="97">
        <v>0.53911589774408353</v>
      </c>
      <c r="E28" s="97">
        <v>0.51402972352424414</v>
      </c>
      <c r="F28" s="97">
        <v>0.47750066092541793</v>
      </c>
      <c r="G28" s="97">
        <v>0.47547445483395667</v>
      </c>
      <c r="H28" s="97">
        <v>0.4728253925722925</v>
      </c>
      <c r="I28" s="97">
        <v>0.4293010752764051</v>
      </c>
      <c r="J28" s="97">
        <v>0.47058361910180646</v>
      </c>
      <c r="K28" s="97">
        <v>0.42849775128369466</v>
      </c>
      <c r="L28" s="97">
        <v>0.41571081617903249</v>
      </c>
      <c r="M28" s="97">
        <v>0.37347552516773802</v>
      </c>
      <c r="N28" s="97">
        <v>0.36327746994903287</v>
      </c>
      <c r="O28" s="97">
        <v>0.40993560082897434</v>
      </c>
      <c r="P28" s="97">
        <v>0.38286284662195219</v>
      </c>
      <c r="Q28" s="97">
        <v>0.35656740974191398</v>
      </c>
      <c r="R28" s="97">
        <v>0.36615328690510279</v>
      </c>
      <c r="S28" s="97">
        <v>0.35675338591066436</v>
      </c>
      <c r="T28" s="97">
        <v>0.35728354936434442</v>
      </c>
      <c r="U28" s="97">
        <v>0.25762775337475569</v>
      </c>
      <c r="V28" s="97">
        <v>0.18117167821116972</v>
      </c>
      <c r="W28" s="97">
        <v>0.19015979196268229</v>
      </c>
      <c r="X28" s="97">
        <v>0.18519339441180366</v>
      </c>
      <c r="Y28" s="97">
        <v>0.18112545764832211</v>
      </c>
      <c r="DA28" s="175" t="s">
        <v>757</v>
      </c>
    </row>
    <row r="29" spans="1:105" ht="11.45" customHeight="1" x14ac:dyDescent="0.25">
      <c r="A29" s="111" t="s">
        <v>111</v>
      </c>
      <c r="B29" s="97">
        <v>548.53762174990095</v>
      </c>
      <c r="C29" s="97">
        <v>529.76544225693976</v>
      </c>
      <c r="D29" s="97">
        <v>523.88118378252341</v>
      </c>
      <c r="E29" s="97">
        <v>526.23674338969602</v>
      </c>
      <c r="F29" s="97">
        <v>512.83360224422847</v>
      </c>
      <c r="G29" s="97">
        <v>506.29904748871502</v>
      </c>
      <c r="H29" s="97">
        <v>503.34817823925346</v>
      </c>
      <c r="I29" s="97">
        <v>518.85096003789829</v>
      </c>
      <c r="J29" s="97">
        <v>515.90147581332974</v>
      </c>
      <c r="K29" s="97">
        <v>524.45725385451988</v>
      </c>
      <c r="L29" s="97">
        <v>522.11879847117223</v>
      </c>
      <c r="M29" s="97">
        <v>504.40084056142399</v>
      </c>
      <c r="N29" s="97">
        <v>479.67316238326117</v>
      </c>
      <c r="O29" s="97">
        <v>483.76454664588965</v>
      </c>
      <c r="P29" s="97">
        <v>485.89448612104303</v>
      </c>
      <c r="Q29" s="97">
        <v>520.28667985327513</v>
      </c>
      <c r="R29" s="97">
        <v>553.6090272760465</v>
      </c>
      <c r="S29" s="97">
        <v>583.32364871084758</v>
      </c>
      <c r="T29" s="97">
        <v>581.90651653888278</v>
      </c>
      <c r="U29" s="97">
        <v>478.63504756336187</v>
      </c>
      <c r="V29" s="97">
        <v>343.93807467934465</v>
      </c>
      <c r="W29" s="97">
        <v>377.63532350341347</v>
      </c>
      <c r="X29" s="97">
        <v>441.18863164870618</v>
      </c>
      <c r="Y29" s="97">
        <v>501.65192227076432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2.5824115098998315E-2</v>
      </c>
      <c r="J30" s="97">
        <v>2.5817825326003376E-2</v>
      </c>
      <c r="K30" s="97">
        <v>2.5908580441193926E-2</v>
      </c>
      <c r="L30" s="97">
        <v>2.6973435907584081E-2</v>
      </c>
      <c r="M30" s="97">
        <v>5.4991156997965543E-2</v>
      </c>
      <c r="N30" s="97">
        <v>5.4903160137729966E-2</v>
      </c>
      <c r="O30" s="97">
        <v>0.36841276070581225</v>
      </c>
      <c r="P30" s="97">
        <v>0.42702337456177986</v>
      </c>
      <c r="Q30" s="97">
        <v>0.44126737608342348</v>
      </c>
      <c r="R30" s="97">
        <v>0.45650265335210505</v>
      </c>
      <c r="S30" s="97">
        <v>0.41995236357073246</v>
      </c>
      <c r="T30" s="97">
        <v>0.42444424538592274</v>
      </c>
      <c r="U30" s="97">
        <v>0.34035151502385863</v>
      </c>
      <c r="V30" s="97">
        <v>0.270568013169113</v>
      </c>
      <c r="W30" s="97">
        <v>0.29761687551231003</v>
      </c>
      <c r="X30" s="97">
        <v>0.29743161902608878</v>
      </c>
      <c r="Y30" s="97">
        <v>0.30884150764882673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2.4383368034666071</v>
      </c>
      <c r="L31" s="97">
        <v>4.672247283299602</v>
      </c>
      <c r="M31" s="97">
        <v>1.2400053189080369</v>
      </c>
      <c r="N31" s="97">
        <v>1.5682198984580669</v>
      </c>
      <c r="O31" s="97">
        <v>3.2724770238360095</v>
      </c>
      <c r="P31" s="97">
        <v>7.1858434063971668</v>
      </c>
      <c r="Q31" s="97">
        <v>7.3922441133072612</v>
      </c>
      <c r="R31" s="97">
        <v>8.1877238398485126</v>
      </c>
      <c r="S31" s="97">
        <v>9.4136717471816471</v>
      </c>
      <c r="T31" s="97">
        <v>9.3665742966411685</v>
      </c>
      <c r="U31" s="97">
        <v>8.8109689581578987</v>
      </c>
      <c r="V31" s="97">
        <v>6.77604144894734</v>
      </c>
      <c r="W31" s="97">
        <v>8.9344059784658008</v>
      </c>
      <c r="X31" s="97">
        <v>8.0113140487218999</v>
      </c>
      <c r="Y31" s="97">
        <v>6.3784280873241759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689.00894020343469</v>
      </c>
      <c r="C33" s="32">
        <f t="shared" si="28"/>
        <v>747.09183960346206</v>
      </c>
      <c r="D33" s="32">
        <f t="shared" si="28"/>
        <v>981.07476684917719</v>
      </c>
      <c r="E33" s="32">
        <f t="shared" si="28"/>
        <v>1110.5193015033699</v>
      </c>
      <c r="F33" s="32">
        <f t="shared" si="28"/>
        <v>1225.9877884486991</v>
      </c>
      <c r="G33" s="32">
        <f t="shared" si="28"/>
        <v>1266.4433685444551</v>
      </c>
      <c r="H33" s="32">
        <f t="shared" si="28"/>
        <v>1355.4353091725516</v>
      </c>
      <c r="I33" s="32">
        <f t="shared" si="28"/>
        <v>1387.0866497803331</v>
      </c>
      <c r="J33" s="32">
        <f t="shared" si="28"/>
        <v>1383.6979227727461</v>
      </c>
      <c r="K33" s="32">
        <f t="shared" si="28"/>
        <v>1278.0396545901958</v>
      </c>
      <c r="L33" s="32">
        <f t="shared" ref="L33" si="29">L34+L40</f>
        <v>1251.5036524171842</v>
      </c>
      <c r="M33" s="32">
        <f t="shared" ref="M33:V33" si="30">M34+M40</f>
        <v>1205.0557152917229</v>
      </c>
      <c r="N33" s="32">
        <f t="shared" si="30"/>
        <v>1080.2444574524741</v>
      </c>
      <c r="O33" s="32">
        <f t="shared" si="30"/>
        <v>1222.4245366045063</v>
      </c>
      <c r="P33" s="32">
        <f t="shared" si="30"/>
        <v>1104.8910513617573</v>
      </c>
      <c r="Q33" s="32">
        <f t="shared" si="30"/>
        <v>1182.2271854850085</v>
      </c>
      <c r="R33" s="32">
        <f t="shared" si="30"/>
        <v>1155.2151741534867</v>
      </c>
      <c r="S33" s="32">
        <f t="shared" si="30"/>
        <v>1459.4114145379936</v>
      </c>
      <c r="T33" s="32">
        <f t="shared" si="30"/>
        <v>1370.3677161668961</v>
      </c>
      <c r="U33" s="32">
        <f t="shared" si="30"/>
        <v>1537.9772362289227</v>
      </c>
      <c r="V33" s="32">
        <f t="shared" si="30"/>
        <v>1511.0660298678333</v>
      </c>
      <c r="W33" s="32">
        <f t="shared" ref="W33:Y33" si="31">W34+W40</f>
        <v>1530.4238459120188</v>
      </c>
      <c r="X33" s="32">
        <f t="shared" si="31"/>
        <v>1659.4769551733802</v>
      </c>
      <c r="Y33" s="32">
        <f t="shared" si="31"/>
        <v>1916.0251377209493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244.10131829604609</v>
      </c>
      <c r="C34" s="141">
        <f t="shared" si="32"/>
        <v>275.31581467059482</v>
      </c>
      <c r="D34" s="141">
        <f t="shared" si="32"/>
        <v>310.44934188521296</v>
      </c>
      <c r="E34" s="141">
        <f t="shared" si="32"/>
        <v>340.95627296567545</v>
      </c>
      <c r="F34" s="141">
        <f t="shared" si="32"/>
        <v>366.64162969564052</v>
      </c>
      <c r="G34" s="141">
        <f t="shared" si="32"/>
        <v>400.67730538981868</v>
      </c>
      <c r="H34" s="141">
        <f t="shared" si="32"/>
        <v>418.80995034429253</v>
      </c>
      <c r="I34" s="141">
        <f t="shared" si="32"/>
        <v>409.38936024236637</v>
      </c>
      <c r="J34" s="141">
        <f t="shared" si="32"/>
        <v>424.04489481680207</v>
      </c>
      <c r="K34" s="141">
        <f t="shared" si="32"/>
        <v>409.81428570167998</v>
      </c>
      <c r="L34" s="141">
        <f t="shared" ref="L34" si="33">SUM(L35:L39)</f>
        <v>381.14928890854861</v>
      </c>
      <c r="M34" s="141">
        <f t="shared" ref="M34:V34" si="34">SUM(M35:M39)</f>
        <v>375.89542331018538</v>
      </c>
      <c r="N34" s="141">
        <f t="shared" si="34"/>
        <v>345.00548857058544</v>
      </c>
      <c r="O34" s="141">
        <f t="shared" si="34"/>
        <v>340.62663699231456</v>
      </c>
      <c r="P34" s="141">
        <f t="shared" si="34"/>
        <v>327.71736270274232</v>
      </c>
      <c r="Q34" s="141">
        <f t="shared" si="34"/>
        <v>372.23860106163511</v>
      </c>
      <c r="R34" s="141">
        <f t="shared" si="34"/>
        <v>391.77553401233814</v>
      </c>
      <c r="S34" s="141">
        <f t="shared" si="34"/>
        <v>450.11867046512066</v>
      </c>
      <c r="T34" s="141">
        <f t="shared" si="34"/>
        <v>480.7045480118108</v>
      </c>
      <c r="U34" s="141">
        <f t="shared" si="34"/>
        <v>510.12592067941949</v>
      </c>
      <c r="V34" s="141">
        <f t="shared" si="34"/>
        <v>520.69514783122963</v>
      </c>
      <c r="W34" s="141">
        <f t="shared" ref="W34:Y34" si="35">SUM(W35:W39)</f>
        <v>564.46497957703275</v>
      </c>
      <c r="X34" s="141">
        <f t="shared" si="35"/>
        <v>632.94610521094035</v>
      </c>
      <c r="Y34" s="141">
        <f t="shared" si="35"/>
        <v>710.87691546468659</v>
      </c>
      <c r="DA34" s="174" t="s">
        <v>412</v>
      </c>
    </row>
    <row r="35" spans="1:105" ht="11.45" customHeight="1" x14ac:dyDescent="0.25">
      <c r="A35" s="111" t="s">
        <v>110</v>
      </c>
      <c r="B35" s="96">
        <v>37.114792016727705</v>
      </c>
      <c r="C35" s="96">
        <v>44.260900691884366</v>
      </c>
      <c r="D35" s="96">
        <v>43.278033936237819</v>
      </c>
      <c r="E35" s="96">
        <v>41.40785736989514</v>
      </c>
      <c r="F35" s="96">
        <v>38.725544467432933</v>
      </c>
      <c r="G35" s="96">
        <v>36.460892234964255</v>
      </c>
      <c r="H35" s="96">
        <v>35.765102682651396</v>
      </c>
      <c r="I35" s="96">
        <v>27.676416584016525</v>
      </c>
      <c r="J35" s="96">
        <v>26.655844610755803</v>
      </c>
      <c r="K35" s="96">
        <v>22.950459793818602</v>
      </c>
      <c r="L35" s="96">
        <v>19.682878687032169</v>
      </c>
      <c r="M35" s="96">
        <v>18.449438042164513</v>
      </c>
      <c r="N35" s="96">
        <v>13.177529860290019</v>
      </c>
      <c r="O35" s="96">
        <v>12.57279915673559</v>
      </c>
      <c r="P35" s="96">
        <v>12.131458660497094</v>
      </c>
      <c r="Q35" s="96">
        <v>11.553701349091774</v>
      </c>
      <c r="R35" s="96">
        <v>11.504559415429618</v>
      </c>
      <c r="S35" s="96">
        <v>12.794553486802505</v>
      </c>
      <c r="T35" s="96">
        <v>13.701815939352851</v>
      </c>
      <c r="U35" s="96">
        <v>13.92604683245127</v>
      </c>
      <c r="V35" s="96">
        <v>13.657005041856696</v>
      </c>
      <c r="W35" s="96">
        <v>14.132931237953006</v>
      </c>
      <c r="X35" s="96">
        <v>14.669225779998916</v>
      </c>
      <c r="Y35" s="96">
        <v>15.616030234296392</v>
      </c>
      <c r="DA35" s="171" t="s">
        <v>762</v>
      </c>
    </row>
    <row r="36" spans="1:105" ht="11.45" customHeight="1" x14ac:dyDescent="0.25">
      <c r="A36" s="111" t="s">
        <v>111</v>
      </c>
      <c r="B36" s="96">
        <v>206.98652627931838</v>
      </c>
      <c r="C36" s="96">
        <v>231.05491397871043</v>
      </c>
      <c r="D36" s="96">
        <v>267.17130794897514</v>
      </c>
      <c r="E36" s="96">
        <v>299.54841559578034</v>
      </c>
      <c r="F36" s="96">
        <v>327.91608522820758</v>
      </c>
      <c r="G36" s="96">
        <v>364.21641315485442</v>
      </c>
      <c r="H36" s="96">
        <v>383.04484766164114</v>
      </c>
      <c r="I36" s="96">
        <v>381.38737845236983</v>
      </c>
      <c r="J36" s="96">
        <v>396.57046062075773</v>
      </c>
      <c r="K36" s="96">
        <v>385.7863275807735</v>
      </c>
      <c r="L36" s="96">
        <v>360.36159849715045</v>
      </c>
      <c r="M36" s="96">
        <v>356.38063004607642</v>
      </c>
      <c r="N36" s="96">
        <v>330.71820266051196</v>
      </c>
      <c r="O36" s="96">
        <v>326.84193207854821</v>
      </c>
      <c r="P36" s="96">
        <v>314.2979265604605</v>
      </c>
      <c r="Q36" s="96">
        <v>359.28099815995188</v>
      </c>
      <c r="R36" s="96">
        <v>378.80939311954324</v>
      </c>
      <c r="S36" s="96">
        <v>435.59329021434132</v>
      </c>
      <c r="T36" s="96">
        <v>465.08720107101868</v>
      </c>
      <c r="U36" s="96">
        <v>494.16476413426187</v>
      </c>
      <c r="V36" s="96">
        <v>504.96153853972697</v>
      </c>
      <c r="W36" s="96">
        <v>547.98549296466138</v>
      </c>
      <c r="X36" s="96">
        <v>615.71772634357251</v>
      </c>
      <c r="Y36" s="96">
        <v>692.5654680545772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0.32556520598002547</v>
      </c>
      <c r="J37" s="96">
        <v>0.81858958528853909</v>
      </c>
      <c r="K37" s="96">
        <v>1.0029488061817069</v>
      </c>
      <c r="L37" s="96">
        <v>1.0167714157773149</v>
      </c>
      <c r="M37" s="96">
        <v>0.97375942245525449</v>
      </c>
      <c r="N37" s="96">
        <v>0.97909970623208864</v>
      </c>
      <c r="O37" s="96">
        <v>1.0783371533008907</v>
      </c>
      <c r="P37" s="96">
        <v>1.1546210068579861</v>
      </c>
      <c r="Q37" s="96">
        <v>1.2624605320795113</v>
      </c>
      <c r="R37" s="96">
        <v>1.3272477963733185</v>
      </c>
      <c r="S37" s="96">
        <v>1.559916962634418</v>
      </c>
      <c r="T37" s="96">
        <v>1.736895698544684</v>
      </c>
      <c r="U37" s="96">
        <v>1.8613017008348496</v>
      </c>
      <c r="V37" s="96">
        <v>1.9103391989860934</v>
      </c>
      <c r="W37" s="96">
        <v>2.1774672376943092</v>
      </c>
      <c r="X37" s="96">
        <v>2.3911702450759007</v>
      </c>
      <c r="Y37" s="96">
        <v>2.5264187301135652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7.4549520906174324E-2</v>
      </c>
      <c r="L38" s="96">
        <v>8.8040308588705332E-2</v>
      </c>
      <c r="M38" s="96">
        <v>9.1595799489201699E-2</v>
      </c>
      <c r="N38" s="96">
        <v>0.13065634355135133</v>
      </c>
      <c r="O38" s="96">
        <v>0.1335686037298936</v>
      </c>
      <c r="P38" s="96">
        <v>0.13335647492670713</v>
      </c>
      <c r="Q38" s="96">
        <v>0.14144102051194737</v>
      </c>
      <c r="R38" s="96">
        <v>0.13433368099192772</v>
      </c>
      <c r="S38" s="96">
        <v>0.17090980134241793</v>
      </c>
      <c r="T38" s="96">
        <v>0.17863530289458879</v>
      </c>
      <c r="U38" s="96">
        <v>0.17380801187144421</v>
      </c>
      <c r="V38" s="96">
        <v>0.16626505065984579</v>
      </c>
      <c r="W38" s="96">
        <v>0.16908813672410575</v>
      </c>
      <c r="X38" s="96">
        <v>0.16798284229299501</v>
      </c>
      <c r="Y38" s="96">
        <v>0.16899844569938513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444.9076219073886</v>
      </c>
      <c r="C40" s="130">
        <f t="shared" si="36"/>
        <v>471.77602493286724</v>
      </c>
      <c r="D40" s="130">
        <f t="shared" si="36"/>
        <v>670.62542496396429</v>
      </c>
      <c r="E40" s="130">
        <f t="shared" si="36"/>
        <v>769.56302853769444</v>
      </c>
      <c r="F40" s="130">
        <f t="shared" si="36"/>
        <v>859.34615875305872</v>
      </c>
      <c r="G40" s="130">
        <f t="shared" si="36"/>
        <v>865.76606315463653</v>
      </c>
      <c r="H40" s="130">
        <f t="shared" si="36"/>
        <v>936.6253588282591</v>
      </c>
      <c r="I40" s="130">
        <f t="shared" si="36"/>
        <v>977.69728953796675</v>
      </c>
      <c r="J40" s="130">
        <f t="shared" si="36"/>
        <v>959.65302795594391</v>
      </c>
      <c r="K40" s="130">
        <f t="shared" si="36"/>
        <v>868.22536888851596</v>
      </c>
      <c r="L40" s="130">
        <f t="shared" ref="L40" si="37">SUM(L41:L42)</f>
        <v>870.35436350863552</v>
      </c>
      <c r="M40" s="130">
        <f t="shared" ref="M40:V40" si="38">SUM(M41:M42)</f>
        <v>829.16029198153751</v>
      </c>
      <c r="N40" s="130">
        <f t="shared" si="38"/>
        <v>735.23896888188858</v>
      </c>
      <c r="O40" s="130">
        <f t="shared" si="38"/>
        <v>881.79789961219171</v>
      </c>
      <c r="P40" s="130">
        <f t="shared" si="38"/>
        <v>777.17368865901494</v>
      </c>
      <c r="Q40" s="130">
        <f t="shared" si="38"/>
        <v>809.98858442337337</v>
      </c>
      <c r="R40" s="130">
        <f t="shared" si="38"/>
        <v>763.43964014114863</v>
      </c>
      <c r="S40" s="130">
        <f t="shared" si="38"/>
        <v>1009.2927440728729</v>
      </c>
      <c r="T40" s="130">
        <f t="shared" si="38"/>
        <v>889.66316815508526</v>
      </c>
      <c r="U40" s="130">
        <f t="shared" si="38"/>
        <v>1027.8513155495032</v>
      </c>
      <c r="V40" s="130">
        <f t="shared" si="38"/>
        <v>990.37088203660369</v>
      </c>
      <c r="W40" s="130">
        <f t="shared" ref="W40:Y40" si="39">SUM(W41:W42)</f>
        <v>965.95886633498617</v>
      </c>
      <c r="X40" s="130">
        <f t="shared" si="39"/>
        <v>1026.5308499624398</v>
      </c>
      <c r="Y40" s="130">
        <f t="shared" si="39"/>
        <v>1205.1482222562627</v>
      </c>
      <c r="DA40" s="176" t="s">
        <v>413</v>
      </c>
    </row>
    <row r="41" spans="1:105" ht="11.45" customHeight="1" x14ac:dyDescent="0.25">
      <c r="A41" s="128" t="s">
        <v>27</v>
      </c>
      <c r="B41" s="97">
        <v>189.73845647321167</v>
      </c>
      <c r="C41" s="97">
        <v>300.08691924725952</v>
      </c>
      <c r="D41" s="97">
        <v>415.14133413986769</v>
      </c>
      <c r="E41" s="97">
        <v>493.13293139308627</v>
      </c>
      <c r="F41" s="97">
        <v>522.76292271587806</v>
      </c>
      <c r="G41" s="97">
        <v>522.42904506521268</v>
      </c>
      <c r="H41" s="97">
        <v>629.96639292648513</v>
      </c>
      <c r="I41" s="97">
        <v>614.68067749534202</v>
      </c>
      <c r="J41" s="97">
        <v>710.99418181949636</v>
      </c>
      <c r="K41" s="97">
        <v>607.53698110896926</v>
      </c>
      <c r="L41" s="97">
        <v>583.79781201122773</v>
      </c>
      <c r="M41" s="97">
        <v>571.05525385205794</v>
      </c>
      <c r="N41" s="97">
        <v>510.75421767284178</v>
      </c>
      <c r="O41" s="97">
        <v>542.1786696497287</v>
      </c>
      <c r="P41" s="97">
        <v>487.97513188839935</v>
      </c>
      <c r="Q41" s="97">
        <v>489.76258231218998</v>
      </c>
      <c r="R41" s="97">
        <v>490.39751451868665</v>
      </c>
      <c r="S41" s="97">
        <v>537.24480536991268</v>
      </c>
      <c r="T41" s="97">
        <v>501.77806657032039</v>
      </c>
      <c r="U41" s="97">
        <v>528.01659490595728</v>
      </c>
      <c r="V41" s="97">
        <v>521.4898795069347</v>
      </c>
      <c r="W41" s="97">
        <v>550.22688318020118</v>
      </c>
      <c r="X41" s="97">
        <v>574.25814280898908</v>
      </c>
      <c r="Y41" s="97">
        <v>619.86404893781878</v>
      </c>
      <c r="DA41" s="175" t="s">
        <v>767</v>
      </c>
    </row>
    <row r="42" spans="1:105" ht="11.45" customHeight="1" x14ac:dyDescent="0.25">
      <c r="A42" s="138" t="s">
        <v>116</v>
      </c>
      <c r="B42" s="98">
        <v>255.1691654341769</v>
      </c>
      <c r="C42" s="98">
        <v>171.68910568560773</v>
      </c>
      <c r="D42" s="98">
        <v>255.48409082409657</v>
      </c>
      <c r="E42" s="98">
        <v>276.43009714460811</v>
      </c>
      <c r="F42" s="98">
        <v>336.58323603718065</v>
      </c>
      <c r="G42" s="98">
        <v>343.33701808942385</v>
      </c>
      <c r="H42" s="98">
        <v>306.65896590177397</v>
      </c>
      <c r="I42" s="98">
        <v>363.01661204262473</v>
      </c>
      <c r="J42" s="98">
        <v>248.65884613644755</v>
      </c>
      <c r="K42" s="98">
        <v>260.6883877795467</v>
      </c>
      <c r="L42" s="98">
        <v>286.55655149740778</v>
      </c>
      <c r="M42" s="98">
        <v>258.10503812947962</v>
      </c>
      <c r="N42" s="98">
        <v>224.48475120904681</v>
      </c>
      <c r="O42" s="98">
        <v>339.61922996246301</v>
      </c>
      <c r="P42" s="98">
        <v>289.19855677061565</v>
      </c>
      <c r="Q42" s="98">
        <v>320.22600211118339</v>
      </c>
      <c r="R42" s="98">
        <v>273.04212562246192</v>
      </c>
      <c r="S42" s="98">
        <v>472.04793870296027</v>
      </c>
      <c r="T42" s="98">
        <v>387.88510158476487</v>
      </c>
      <c r="U42" s="98">
        <v>499.83472064354584</v>
      </c>
      <c r="V42" s="98">
        <v>468.88100252966893</v>
      </c>
      <c r="W42" s="98">
        <v>415.73198315478493</v>
      </c>
      <c r="X42" s="98">
        <v>452.2727071534506</v>
      </c>
      <c r="Y42" s="98">
        <v>585.28417331844378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2.9812905364972799</v>
      </c>
      <c r="C47" s="145">
        <f>IF(C4=0,0,C4/TrRoad_ene!C4)</f>
        <v>2.9862664731287252</v>
      </c>
      <c r="D47" s="145">
        <f>IF(D4=0,0,D4/TrRoad_ene!D4)</f>
        <v>2.9919986845292632</v>
      </c>
      <c r="E47" s="145">
        <f>IF(E4=0,0,E4/TrRoad_ene!E4)</f>
        <v>3.0010628992435451</v>
      </c>
      <c r="F47" s="145">
        <f>IF(F4=0,0,F4/TrRoad_ene!F4)</f>
        <v>3.0070092446223144</v>
      </c>
      <c r="G47" s="145">
        <f>IF(G4=0,0,G4/TrRoad_ene!G4)</f>
        <v>3.0102841095190986</v>
      </c>
      <c r="H47" s="145">
        <f>IF(H4=0,0,H4/TrRoad_ene!H4)</f>
        <v>3.0116384332388719</v>
      </c>
      <c r="I47" s="145">
        <f>IF(I4=0,0,I4/TrRoad_ene!I4)</f>
        <v>3.0090038185395929</v>
      </c>
      <c r="J47" s="145">
        <f>IF(J4=0,0,J4/TrRoad_ene!J4)</f>
        <v>3.0048863203741352</v>
      </c>
      <c r="K47" s="145">
        <f>IF(K4=0,0,K4/TrRoad_ene!K4)</f>
        <v>2.9972696685458433</v>
      </c>
      <c r="L47" s="145">
        <f>IF(L4=0,0,L4/TrRoad_ene!L4)</f>
        <v>3.0086211827287701</v>
      </c>
      <c r="M47" s="145">
        <f>IF(M4=0,0,M4/TrRoad_ene!M4)</f>
        <v>3.0077061140927066</v>
      </c>
      <c r="N47" s="145">
        <f>IF(N4=0,0,N4/TrRoad_ene!N4)</f>
        <v>2.9547812915027736</v>
      </c>
      <c r="O47" s="145">
        <f>IF(O4=0,0,O4/TrRoad_ene!O4)</f>
        <v>2.9644455614688874</v>
      </c>
      <c r="P47" s="145">
        <f>IF(P4=0,0,P4/TrRoad_ene!P4)</f>
        <v>2.9706698332319017</v>
      </c>
      <c r="Q47" s="145">
        <f>IF(Q4=0,0,Q4/TrRoad_ene!Q4)</f>
        <v>2.9849579140662521</v>
      </c>
      <c r="R47" s="145">
        <f>IF(R4=0,0,R4/TrRoad_ene!R4)</f>
        <v>3.0233887006772524</v>
      </c>
      <c r="S47" s="145">
        <f>IF(S4=0,0,S4/TrRoad_ene!S4)</f>
        <v>3.0313478538517065</v>
      </c>
      <c r="T47" s="145">
        <f>IF(T4=0,0,T4/TrRoad_ene!T4)</f>
        <v>2.9910860938868615</v>
      </c>
      <c r="U47" s="145">
        <f>IF(U4=0,0,U4/TrRoad_ene!U4)</f>
        <v>2.9472742292251888</v>
      </c>
      <c r="V47" s="145">
        <f>IF(V4=0,0,V4/TrRoad_ene!V4)</f>
        <v>2.9344617449405996</v>
      </c>
      <c r="W47" s="145">
        <f>IF(W4=0,0,W4/TrRoad_ene!W4)</f>
        <v>2.9028643133321035</v>
      </c>
      <c r="X47" s="145">
        <f>IF(X4=0,0,X4/TrRoad_ene!X4)</f>
        <v>3.0107839053047867</v>
      </c>
      <c r="Y47" s="145">
        <f>IF(Y4=0,0,Y4/TrRoad_ene!Y4)</f>
        <v>3.0424287654387396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2.9014523999999997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2.9014523999999997</v>
      </c>
      <c r="G48" s="97">
        <f>IF(G7=0,0,(G7+G12)/(TrRoad_ene!G7+TrRoad_ene!G12))</f>
        <v>2.9014523999999997</v>
      </c>
      <c r="H48" s="97">
        <f>IF(H7=0,0,(H7+H12)/(TrRoad_ene!H7+TrRoad_ene!H12))</f>
        <v>2.9014524000000002</v>
      </c>
      <c r="I48" s="97">
        <f>IF(I7=0,0,(I7+I12)/(TrRoad_ene!I7+TrRoad_ene!I12))</f>
        <v>2.9014524000000006</v>
      </c>
      <c r="J48" s="97">
        <f>IF(J7=0,0,(J7+J12)/(TrRoad_ene!J7+TrRoad_ene!J12))</f>
        <v>2.9014524000000002</v>
      </c>
      <c r="K48" s="97">
        <f>IF(K7=0,0,(K7+K12)/(TrRoad_ene!K7+TrRoad_ene!K12))</f>
        <v>2.8912136118376326</v>
      </c>
      <c r="L48" s="97">
        <f>IF(L7=0,0,(L7+L12)/(TrRoad_ene!L7+TrRoad_ene!L12))</f>
        <v>2.9014524000000002</v>
      </c>
      <c r="M48" s="97">
        <f>IF(M7=0,0,(M7+M12)/(TrRoad_ene!M7+TrRoad_ene!M12))</f>
        <v>2.8958793802884539</v>
      </c>
      <c r="N48" s="97">
        <f>IF(N7=0,0,(N7+N12)/(TrRoad_ene!N7+TrRoad_ene!N12))</f>
        <v>2.8954560147497386</v>
      </c>
      <c r="O48" s="97">
        <f>IF(O7=0,0,(O7+O12)/(TrRoad_ene!O7+TrRoad_ene!O12))</f>
        <v>2.8953183448132771</v>
      </c>
      <c r="P48" s="97">
        <f>IF(P7=0,0,(P7+P12)/(TrRoad_ene!P7+TrRoad_ene!P12))</f>
        <v>2.9014524000000002</v>
      </c>
      <c r="Q48" s="97">
        <f>IF(Q7=0,0,(Q7+Q12)/(TrRoad_ene!Q7+TrRoad_ene!Q12))</f>
        <v>2.9014524000000002</v>
      </c>
      <c r="R48" s="97">
        <f>IF(R7=0,0,(R7+R12)/(TrRoad_ene!R7+TrRoad_ene!R12))</f>
        <v>2.9014524000000002</v>
      </c>
      <c r="S48" s="97">
        <f>IF(S7=0,0,(S7+S12)/(TrRoad_ene!S7+TrRoad_ene!S12))</f>
        <v>2.9000245302155934</v>
      </c>
      <c r="T48" s="97">
        <f>IF(T7=0,0,(T7+T12)/(TrRoad_ene!T7+TrRoad_ene!T12))</f>
        <v>2.8992010652742777</v>
      </c>
      <c r="U48" s="97">
        <f>IF(U7=0,0,(U7+U12)/(TrRoad_ene!U7+TrRoad_ene!U12))</f>
        <v>2.8958535061213264</v>
      </c>
      <c r="V48" s="97">
        <f>IF(V7=0,0,(V7+V12)/(TrRoad_ene!V7+TrRoad_ene!V12))</f>
        <v>2.8961134931953332</v>
      </c>
      <c r="W48" s="97">
        <f>IF(W7=0,0,(W7+W12)/(TrRoad_ene!W7+TrRoad_ene!W12))</f>
        <v>2.8964009547302729</v>
      </c>
      <c r="X48" s="97">
        <f>IF(X7=0,0,(X7+X12)/(TrRoad_ene!X7+TrRoad_ene!X12))</f>
        <v>2.9004467990494556</v>
      </c>
      <c r="Y48" s="97">
        <f>IF(Y7=0,0,(Y7+Y12)/(TrRoad_ene!Y7+TrRoad_ene!Y12))</f>
        <v>2.9014524000000002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3.1024187999999997</v>
      </c>
      <c r="G49" s="97">
        <f>IF(G8=0,0,(G8+G13+G14)/(TrRoad_ene!G8+TrRoad_ene!G13+TrRoad_ene!G14))</f>
        <v>3.1024187999999997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3.0954492459188088</v>
      </c>
      <c r="J49" s="97">
        <f>IF(J8=0,0,(J8+J13+J14)/(TrRoad_ene!J8+TrRoad_ene!J13+TrRoad_ene!J14))</f>
        <v>3.0930083241092818</v>
      </c>
      <c r="K49" s="97">
        <f>IF(K8=0,0,(K8+K13+K14)/(TrRoad_ene!K8+TrRoad_ene!K13+TrRoad_ene!K14))</f>
        <v>3.0882309967123494</v>
      </c>
      <c r="L49" s="97">
        <f>IF(L8=0,0,(L8+L13+L14)/(TrRoad_ene!L8+TrRoad_ene!L13+TrRoad_ene!L14))</f>
        <v>3.0951935284938847</v>
      </c>
      <c r="M49" s="97">
        <f>IF(M8=0,0,(M8+M13+M14)/(TrRoad_ene!M8+TrRoad_ene!M13+TrRoad_ene!M14))</f>
        <v>3.0950169135672394</v>
      </c>
      <c r="N49" s="97">
        <f>IF(N8=0,0,(N8+N13+N14)/(TrRoad_ene!N8+TrRoad_ene!N13+TrRoad_ene!N14))</f>
        <v>3.0046038871392464</v>
      </c>
      <c r="O49" s="97">
        <f>IF(O8=0,0,(O8+O13+O14)/(TrRoad_ene!O8+TrRoad_ene!O13+TrRoad_ene!O14))</f>
        <v>3.0184968969445984</v>
      </c>
      <c r="P49" s="97">
        <f>IF(P8=0,0,(P8+P13+P14)/(TrRoad_ene!P8+TrRoad_ene!P13+TrRoad_ene!P14))</f>
        <v>3.0239855359088121</v>
      </c>
      <c r="Q49" s="97">
        <f>IF(Q8=0,0,(Q8+Q13+Q14)/(TrRoad_ene!Q8+TrRoad_ene!Q13+TrRoad_ene!Q14))</f>
        <v>3.0432696987271681</v>
      </c>
      <c r="R49" s="97">
        <f>IF(R8=0,0,(R8+R13+R14)/(TrRoad_ene!R8+TrRoad_ene!R13+TrRoad_ene!R14))</f>
        <v>3.1004001822412355</v>
      </c>
      <c r="S49" s="97">
        <f>IF(S8=0,0,(S8+S13+S14)/(TrRoad_ene!S8+TrRoad_ene!S13+TrRoad_ene!S14))</f>
        <v>3.1017289790451361</v>
      </c>
      <c r="T49" s="97">
        <f>IF(T8=0,0,(T8+T13+T14)/(TrRoad_ene!T8+TrRoad_ene!T13+TrRoad_ene!T14))</f>
        <v>3.0453495583916235</v>
      </c>
      <c r="U49" s="97">
        <f>IF(U8=0,0,(U8+U13+U14)/(TrRoad_ene!U8+TrRoad_ene!U13+TrRoad_ene!U14))</f>
        <v>2.9800407670390361</v>
      </c>
      <c r="V49" s="97">
        <f>IF(V8=0,0,(V8+V13+V14)/(TrRoad_ene!V8+TrRoad_ene!V13+TrRoad_ene!V14))</f>
        <v>2.9600244839155696</v>
      </c>
      <c r="W49" s="97">
        <f>IF(W8=0,0,(W8+W13+W14)/(TrRoad_ene!W8+TrRoad_ene!W13+TrRoad_ene!W14))</f>
        <v>2.9186767037427606</v>
      </c>
      <c r="X49" s="97">
        <f>IF(X8=0,0,(X8+X13+X14)/(TrRoad_ene!X8+TrRoad_ene!X13+TrRoad_ene!X14))</f>
        <v>3.0616980762296309</v>
      </c>
      <c r="Y49" s="97">
        <f>IF(Y8=0,0,(Y8+Y13+Y14)/(TrRoad_ene!Y8+TrRoad_ene!Y13+TrRoad_ene!Y14))</f>
        <v>3.1019281640208556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2.6418708000000009</v>
      </c>
      <c r="H50" s="97">
        <f>IF(H6=0,0,H6/TrRoad_ene!H6)</f>
        <v>2.6418708000000004</v>
      </c>
      <c r="I50" s="97">
        <f>IF(I6=0,0,I6/TrRoad_ene!I6)</f>
        <v>2.6418708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2.3487948000000007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X51" s="97">
        <f>IF(X9=0,0,(X9+X11)/(TrRoad_ene!X9+TrRoad_ene!X11))</f>
        <v>2.3487948000000003</v>
      </c>
      <c r="Y51" s="97">
        <f>IF(Y9=0,0,(Y9+Y11)/(TrRoad_ene!Y9+TrRoad_ene!Y11))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265.56126223245207</v>
      </c>
      <c r="C54" s="62">
        <f>IF(TrRoad_act!C30=0,0,C17/TrRoad_act!C30*1000
)</f>
        <v>247.40364209038535</v>
      </c>
      <c r="D54" s="62">
        <f>IF(TrRoad_act!D30=0,0,D17/TrRoad_act!D30*1000
)</f>
        <v>248.74809347468496</v>
      </c>
      <c r="E54" s="62">
        <f>IF(TrRoad_act!E30=0,0,E17/TrRoad_act!E30*1000
)</f>
        <v>260.56559731198854</v>
      </c>
      <c r="F54" s="62">
        <f>IF(TrRoad_act!F30=0,0,F17/TrRoad_act!F30*1000
)</f>
        <v>254.49879479622811</v>
      </c>
      <c r="G54" s="62">
        <f>IF(TrRoad_act!G30=0,0,G17/TrRoad_act!G30*1000
)</f>
        <v>256.16470911110173</v>
      </c>
      <c r="H54" s="62">
        <f>IF(TrRoad_act!H30=0,0,H17/TrRoad_act!H30*1000
)</f>
        <v>263.47071778586638</v>
      </c>
      <c r="I54" s="62">
        <f>IF(TrRoad_act!I30=0,0,I17/TrRoad_act!I30*1000
)</f>
        <v>271.67678310785874</v>
      </c>
      <c r="J54" s="62">
        <f>IF(TrRoad_act!J30=0,0,J17/TrRoad_act!J30*1000
)</f>
        <v>245.87453816571173</v>
      </c>
      <c r="K54" s="62">
        <f>IF(TrRoad_act!K30=0,0,K17/TrRoad_act!K30*1000
)</f>
        <v>251.7119618453867</v>
      </c>
      <c r="L54" s="62">
        <f>IF(TrRoad_act!L30=0,0,L17/TrRoad_act!L30*1000
)</f>
        <v>245.08793653823219</v>
      </c>
      <c r="M54" s="62">
        <f>IF(TrRoad_act!M30=0,0,M17/TrRoad_act!M30*1000
)</f>
        <v>243.83468073412183</v>
      </c>
      <c r="N54" s="62">
        <f>IF(TrRoad_act!N30=0,0,N17/TrRoad_act!N30*1000
)</f>
        <v>242.46770008836626</v>
      </c>
      <c r="O54" s="62">
        <f>IF(TrRoad_act!O30=0,0,O17/TrRoad_act!O30*1000
)</f>
        <v>245.67940053582481</v>
      </c>
      <c r="P54" s="62">
        <f>IF(TrRoad_act!P30=0,0,P17/TrRoad_act!P30*1000
)</f>
        <v>239.94984825033532</v>
      </c>
      <c r="Q54" s="62">
        <f>IF(TrRoad_act!Q30=0,0,Q17/TrRoad_act!Q30*1000
)</f>
        <v>245.41656671989762</v>
      </c>
      <c r="R54" s="62">
        <f>IF(TrRoad_act!R30=0,0,R17/TrRoad_act!R30*1000
)</f>
        <v>233.3419558610338</v>
      </c>
      <c r="S54" s="62">
        <f>IF(TrRoad_act!S30=0,0,S17/TrRoad_act!S30*1000
)</f>
        <v>242.61603103005064</v>
      </c>
      <c r="T54" s="62">
        <f>IF(TrRoad_act!T30=0,0,T17/TrRoad_act!T30*1000
)</f>
        <v>224.40840538345412</v>
      </c>
      <c r="U54" s="62">
        <f>IF(TrRoad_act!U30=0,0,U17/TrRoad_act!U30*1000
)</f>
        <v>237.64444463209367</v>
      </c>
      <c r="V54" s="62">
        <f>IF(TrRoad_act!V30=0,0,V17/TrRoad_act!V30*1000
)</f>
        <v>247.92253462413734</v>
      </c>
      <c r="W54" s="62">
        <f>IF(TrRoad_act!W30=0,0,W17/TrRoad_act!W30*1000
)</f>
        <v>236.85856847461474</v>
      </c>
      <c r="X54" s="62">
        <f>IF(TrRoad_act!X30=0,0,X17/TrRoad_act!X30*1000
)</f>
        <v>252.02710258712247</v>
      </c>
      <c r="Y54" s="62">
        <f>IF(TrRoad_act!Y30=0,0,Y17/TrRoad_act!Y30*1000
)</f>
        <v>278.12462743375823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241.0330694465361</v>
      </c>
      <c r="C55" s="29">
        <f>IF(TrRoad_act!C31=0,0,C18/TrRoad_act!C31*1000
)</f>
        <v>224.77908510845674</v>
      </c>
      <c r="D55" s="29">
        <f>IF(TrRoad_act!D31=0,0,D18/TrRoad_act!D31*1000
)</f>
        <v>216.38033163587895</v>
      </c>
      <c r="E55" s="29">
        <f>IF(TrRoad_act!E31=0,0,E18/TrRoad_act!E31*1000
)</f>
        <v>225.7904297609316</v>
      </c>
      <c r="F55" s="29">
        <f>IF(TrRoad_act!F31=0,0,F18/TrRoad_act!F31*1000
)</f>
        <v>216.98062929406856</v>
      </c>
      <c r="G55" s="29">
        <f>IF(TrRoad_act!G31=0,0,G18/TrRoad_act!G31*1000
)</f>
        <v>219.34014477253345</v>
      </c>
      <c r="H55" s="29">
        <f>IF(TrRoad_act!H31=0,0,H18/TrRoad_act!H31*1000
)</f>
        <v>226.56081614950719</v>
      </c>
      <c r="I55" s="29">
        <f>IF(TrRoad_act!I31=0,0,I18/TrRoad_act!I31*1000
)</f>
        <v>235.635829083706</v>
      </c>
      <c r="J55" s="29">
        <f>IF(TrRoad_act!J31=0,0,J18/TrRoad_act!J31*1000
)</f>
        <v>210.38749180014563</v>
      </c>
      <c r="K55" s="29">
        <f>IF(TrRoad_act!K31=0,0,K18/TrRoad_act!K31*1000
)</f>
        <v>218.75153879254796</v>
      </c>
      <c r="L55" s="29">
        <f>IF(TrRoad_act!L31=0,0,L18/TrRoad_act!L31*1000
)</f>
        <v>210.87743311202291</v>
      </c>
      <c r="M55" s="29">
        <f>IF(TrRoad_act!M31=0,0,M18/TrRoad_act!M31*1000
)</f>
        <v>211.1191529504672</v>
      </c>
      <c r="N55" s="29">
        <f>IF(TrRoad_act!N31=0,0,N18/TrRoad_act!N31*1000
)</f>
        <v>213.47086177643251</v>
      </c>
      <c r="O55" s="29">
        <f>IF(TrRoad_act!O31=0,0,O18/TrRoad_act!O31*1000
)</f>
        <v>210.11786514376678</v>
      </c>
      <c r="P55" s="29">
        <f>IF(TrRoad_act!P31=0,0,P18/TrRoad_act!P31*1000
)</f>
        <v>209.80509276813311</v>
      </c>
      <c r="Q55" s="29">
        <f>IF(TrRoad_act!Q31=0,0,Q18/TrRoad_act!Q31*1000
)</f>
        <v>215.91937367510664</v>
      </c>
      <c r="R55" s="29">
        <f>IF(TrRoad_act!R31=0,0,R18/TrRoad_act!R31*1000
)</f>
        <v>207.53104043244312</v>
      </c>
      <c r="S55" s="29">
        <f>IF(TrRoad_act!S31=0,0,S18/TrRoad_act!S31*1000
)</f>
        <v>208.40808610720836</v>
      </c>
      <c r="T55" s="29">
        <f>IF(TrRoad_act!T31=0,0,T18/TrRoad_act!T31*1000
)</f>
        <v>194.90066243366664</v>
      </c>
      <c r="U55" s="29">
        <f>IF(TrRoad_act!U31=0,0,U18/TrRoad_act!U31*1000
)</f>
        <v>202.59641501111437</v>
      </c>
      <c r="V55" s="29">
        <f>IF(TrRoad_act!V31=0,0,V18/TrRoad_act!V31*1000
)</f>
        <v>209.26484258743196</v>
      </c>
      <c r="W55" s="29">
        <f>IF(TrRoad_act!W31=0,0,W18/TrRoad_act!W31*1000
)</f>
        <v>202.74002113303851</v>
      </c>
      <c r="X55" s="29">
        <f>IF(TrRoad_act!X31=0,0,X18/TrRoad_act!X31*1000
)</f>
        <v>216.77144408793748</v>
      </c>
      <c r="Y55" s="29">
        <f>IF(TrRoad_act!Y31=0,0,Y18/TrRoad_act!Y31*1000
)</f>
        <v>239.61017206314992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125.95298009580341</v>
      </c>
      <c r="C56" s="152">
        <f>IF(TrRoad_act!C32=0,0,C19/TrRoad_act!C32*1000
)</f>
        <v>125.69426632385996</v>
      </c>
      <c r="D56" s="152">
        <f>IF(TrRoad_act!D32=0,0,D19/TrRoad_act!D32*1000
)</f>
        <v>123.97024425014295</v>
      </c>
      <c r="E56" s="152">
        <f>IF(TrRoad_act!E32=0,0,E19/TrRoad_act!E32*1000
)</f>
        <v>120.01462551255359</v>
      </c>
      <c r="F56" s="152">
        <f>IF(TrRoad_act!F32=0,0,F19/TrRoad_act!F32*1000
)</f>
        <v>117.02290501638319</v>
      </c>
      <c r="G56" s="152">
        <f>IF(TrRoad_act!G32=0,0,G19/TrRoad_act!G32*1000
)</f>
        <v>114.29740645616573</v>
      </c>
      <c r="H56" s="152">
        <f>IF(TrRoad_act!H32=0,0,H19/TrRoad_act!H32*1000
)</f>
        <v>112.08564551067265</v>
      </c>
      <c r="I56" s="152">
        <f>IF(TrRoad_act!I32=0,0,I19/TrRoad_act!I32*1000
)</f>
        <v>110.88906274256838</v>
      </c>
      <c r="J56" s="152">
        <f>IF(TrRoad_act!J32=0,0,J19/TrRoad_act!J32*1000
)</f>
        <v>109.85605749783458</v>
      </c>
      <c r="K56" s="152">
        <f>IF(TrRoad_act!K32=0,0,K19/TrRoad_act!K32*1000
)</f>
        <v>108.75597147459308</v>
      </c>
      <c r="L56" s="152">
        <f>IF(TrRoad_act!L32=0,0,L19/TrRoad_act!L32*1000
)</f>
        <v>108.53471363987859</v>
      </c>
      <c r="M56" s="152">
        <f>IF(TrRoad_act!M32=0,0,M19/TrRoad_act!M32*1000
)</f>
        <v>108.19648724201775</v>
      </c>
      <c r="N56" s="152">
        <f>IF(TrRoad_act!N32=0,0,N19/TrRoad_act!N32*1000
)</f>
        <v>107.91334296837907</v>
      </c>
      <c r="O56" s="152">
        <f>IF(TrRoad_act!O32=0,0,O19/TrRoad_act!O32*1000
)</f>
        <v>107.13584320735647</v>
      </c>
      <c r="P56" s="152">
        <f>IF(TrRoad_act!P32=0,0,P19/TrRoad_act!P32*1000
)</f>
        <v>106.55761904254048</v>
      </c>
      <c r="Q56" s="152">
        <f>IF(TrRoad_act!Q32=0,0,Q19/TrRoad_act!Q32*1000
)</f>
        <v>106.38238678579297</v>
      </c>
      <c r="R56" s="152">
        <f>IF(TrRoad_act!R32=0,0,R19/TrRoad_act!R32*1000
)</f>
        <v>105.36250571250679</v>
      </c>
      <c r="S56" s="152">
        <f>IF(TrRoad_act!S32=0,0,S19/TrRoad_act!S32*1000
)</f>
        <v>104.87710600132937</v>
      </c>
      <c r="T56" s="152">
        <f>IF(TrRoad_act!T32=0,0,T19/TrRoad_act!T32*1000
)</f>
        <v>103.75228319779532</v>
      </c>
      <c r="U56" s="152">
        <f>IF(TrRoad_act!U32=0,0,U19/TrRoad_act!U32*1000
)</f>
        <v>102.60982884643116</v>
      </c>
      <c r="V56" s="152">
        <f>IF(TrRoad_act!V32=0,0,V19/TrRoad_act!V32*1000
)</f>
        <v>102.14711391715454</v>
      </c>
      <c r="W56" s="152">
        <f>IF(TrRoad_act!W32=0,0,W19/TrRoad_act!W32*1000
)</f>
        <v>101.90749707302821</v>
      </c>
      <c r="X56" s="152">
        <f>IF(TrRoad_act!X32=0,0,X19/TrRoad_act!X32*1000
)</f>
        <v>101.56077210070973</v>
      </c>
      <c r="Y56" s="152">
        <f>IF(TrRoad_act!Y32=0,0,Y19/TrRoad_act!Y32*1000
)</f>
        <v>101.11607501413796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208.39070839358953</v>
      </c>
      <c r="C57" s="116">
        <f>IF(TrRoad_act!C33=0,0,C20/TrRoad_act!C33*1000
)</f>
        <v>195.12681475704844</v>
      </c>
      <c r="D57" s="116">
        <f>IF(TrRoad_act!D33=0,0,D20/TrRoad_act!D33*1000
)</f>
        <v>188.38244248539465</v>
      </c>
      <c r="E57" s="116">
        <f>IF(TrRoad_act!E33=0,0,E20/TrRoad_act!E33*1000
)</f>
        <v>198.84569127097046</v>
      </c>
      <c r="F57" s="116">
        <f>IF(TrRoad_act!F33=0,0,F20/TrRoad_act!F33*1000
)</f>
        <v>191.95704010844486</v>
      </c>
      <c r="G57" s="116">
        <f>IF(TrRoad_act!G33=0,0,G20/TrRoad_act!G33*1000
)</f>
        <v>195.51418776041774</v>
      </c>
      <c r="H57" s="116">
        <f>IF(TrRoad_act!H33=0,0,H20/TrRoad_act!H33*1000
)</f>
        <v>203.88821862191259</v>
      </c>
      <c r="I57" s="116">
        <f>IF(TrRoad_act!I33=0,0,I20/TrRoad_act!I33*1000
)</f>
        <v>213.56929809142645</v>
      </c>
      <c r="J57" s="116">
        <f>IF(TrRoad_act!J33=0,0,J20/TrRoad_act!J33*1000
)</f>
        <v>189.85455418089114</v>
      </c>
      <c r="K57" s="116">
        <f>IF(TrRoad_act!K33=0,0,K20/TrRoad_act!K33*1000
)</f>
        <v>197.37456919149773</v>
      </c>
      <c r="L57" s="116">
        <f>IF(TrRoad_act!L33=0,0,L20/TrRoad_act!L33*1000
)</f>
        <v>189.22280605520456</v>
      </c>
      <c r="M57" s="116">
        <f>IF(TrRoad_act!M33=0,0,M20/TrRoad_act!M33*1000
)</f>
        <v>190.08311046092149</v>
      </c>
      <c r="N57" s="116">
        <f>IF(TrRoad_act!N33=0,0,N20/TrRoad_act!N33*1000
)</f>
        <v>193.02534508260987</v>
      </c>
      <c r="O57" s="116">
        <f>IF(TrRoad_act!O33=0,0,O20/TrRoad_act!O33*1000
)</f>
        <v>189.29226861389745</v>
      </c>
      <c r="P57" s="116">
        <f>IF(TrRoad_act!P33=0,0,P20/TrRoad_act!P33*1000
)</f>
        <v>189.06620905837713</v>
      </c>
      <c r="Q57" s="116">
        <f>IF(TrRoad_act!Q33=0,0,Q20/TrRoad_act!Q33*1000
)</f>
        <v>194.33363063648335</v>
      </c>
      <c r="R57" s="116">
        <f>IF(TrRoad_act!R33=0,0,R20/TrRoad_act!R33*1000
)</f>
        <v>186.39332446658517</v>
      </c>
      <c r="S57" s="116">
        <f>IF(TrRoad_act!S33=0,0,S20/TrRoad_act!S33*1000
)</f>
        <v>186.6709365387274</v>
      </c>
      <c r="T57" s="116">
        <f>IF(TrRoad_act!T33=0,0,T20/TrRoad_act!T33*1000
)</f>
        <v>173.83739842982786</v>
      </c>
      <c r="U57" s="116">
        <f>IF(TrRoad_act!U33=0,0,U20/TrRoad_act!U33*1000
)</f>
        <v>184.87537933238474</v>
      </c>
      <c r="V57" s="116">
        <f>IF(TrRoad_act!V33=0,0,V20/TrRoad_act!V33*1000
)</f>
        <v>194.0534071150187</v>
      </c>
      <c r="W57" s="116">
        <f>IF(TrRoad_act!W33=0,0,W20/TrRoad_act!W33*1000
)</f>
        <v>188.04950725054999</v>
      </c>
      <c r="X57" s="116">
        <f>IF(TrRoad_act!X33=0,0,X20/TrRoad_act!X33*1000
)</f>
        <v>199.97994612269301</v>
      </c>
      <c r="Y57" s="116">
        <f>IF(TrRoad_act!Y33=0,0,Y20/TrRoad_act!Y33*1000
)</f>
        <v>221.29030411572865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212.14243991164628</v>
      </c>
      <c r="C58" s="87">
        <f>IF(TrRoad_act!C34=0,0,C21/TrRoad_act!C34*1000
)</f>
        <v>192.89954072747605</v>
      </c>
      <c r="D58" s="87">
        <f>IF(TrRoad_act!D34=0,0,D21/TrRoad_act!D34*1000
)</f>
        <v>190.37015277057932</v>
      </c>
      <c r="E58" s="87">
        <f>IF(TrRoad_act!E34=0,0,E21/TrRoad_act!E34*1000
)</f>
        <v>201.44318980778598</v>
      </c>
      <c r="F58" s="87">
        <f>IF(TrRoad_act!F34=0,0,F21/TrRoad_act!F34*1000
)</f>
        <v>195.16246886824413</v>
      </c>
      <c r="G58" s="87">
        <f>IF(TrRoad_act!G34=0,0,G21/TrRoad_act!G34*1000
)</f>
        <v>199.64628787191273</v>
      </c>
      <c r="H58" s="87">
        <f>IF(TrRoad_act!H34=0,0,H21/TrRoad_act!H34*1000
)</f>
        <v>211.96152281589636</v>
      </c>
      <c r="I58" s="87">
        <f>IF(TrRoad_act!I34=0,0,I21/TrRoad_act!I34*1000
)</f>
        <v>221.64021708240841</v>
      </c>
      <c r="J58" s="87">
        <f>IF(TrRoad_act!J34=0,0,J21/TrRoad_act!J34*1000
)</f>
        <v>179.59904588239743</v>
      </c>
      <c r="K58" s="87">
        <f>IF(TrRoad_act!K34=0,0,K21/TrRoad_act!K34*1000
)</f>
        <v>184.83561925297531</v>
      </c>
      <c r="L58" s="87">
        <f>IF(TrRoad_act!L34=0,0,L21/TrRoad_act!L34*1000
)</f>
        <v>175.50999905415753</v>
      </c>
      <c r="M58" s="87">
        <f>IF(TrRoad_act!M34=0,0,M21/TrRoad_act!M34*1000
)</f>
        <v>178.82310239111982</v>
      </c>
      <c r="N58" s="87">
        <f>IF(TrRoad_act!N34=0,0,N21/TrRoad_act!N34*1000
)</f>
        <v>177.16927733797638</v>
      </c>
      <c r="O58" s="87">
        <f>IF(TrRoad_act!O34=0,0,O21/TrRoad_act!O34*1000
)</f>
        <v>179.63188317653447</v>
      </c>
      <c r="P58" s="87">
        <f>IF(TrRoad_act!P34=0,0,P21/TrRoad_act!P34*1000
)</f>
        <v>181.25318784786992</v>
      </c>
      <c r="Q58" s="87">
        <f>IF(TrRoad_act!Q34=0,0,Q21/TrRoad_act!Q34*1000
)</f>
        <v>181.5637203013151</v>
      </c>
      <c r="R58" s="87">
        <f>IF(TrRoad_act!R34=0,0,R21/TrRoad_act!R34*1000
)</f>
        <v>176.7443170081383</v>
      </c>
      <c r="S58" s="87">
        <f>IF(TrRoad_act!S34=0,0,S21/TrRoad_act!S34*1000
)</f>
        <v>170.77947834075346</v>
      </c>
      <c r="T58" s="87">
        <f>IF(TrRoad_act!T34=0,0,T21/TrRoad_act!T34*1000
)</f>
        <v>161.12047453895974</v>
      </c>
      <c r="U58" s="87">
        <f>IF(TrRoad_act!U34=0,0,U21/TrRoad_act!U34*1000
)</f>
        <v>168.03167181558277</v>
      </c>
      <c r="V58" s="87">
        <f>IF(TrRoad_act!V34=0,0,V21/TrRoad_act!V34*1000
)</f>
        <v>176.99891746890341</v>
      </c>
      <c r="W58" s="87">
        <f>IF(TrRoad_act!W34=0,0,W21/TrRoad_act!W34*1000
)</f>
        <v>181.18094507800933</v>
      </c>
      <c r="X58" s="87">
        <f>IF(TrRoad_act!X34=0,0,X21/TrRoad_act!X34*1000
)</f>
        <v>205.68082702063717</v>
      </c>
      <c r="Y58" s="87">
        <f>IF(TrRoad_act!Y34=0,0,Y21/TrRoad_act!Y34*1000
)</f>
        <v>226.00865207380815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197.34296047580153</v>
      </c>
      <c r="C59" s="87">
        <f>IF(TrRoad_act!C35=0,0,C22/TrRoad_act!C35*1000
)</f>
        <v>205.69162229589713</v>
      </c>
      <c r="D59" s="87">
        <f>IF(TrRoad_act!D35=0,0,D22/TrRoad_act!D35*1000
)</f>
        <v>184.15751724914571</v>
      </c>
      <c r="E59" s="87">
        <f>IF(TrRoad_act!E35=0,0,E22/TrRoad_act!E35*1000
)</f>
        <v>195.21056435795188</v>
      </c>
      <c r="F59" s="87">
        <f>IF(TrRoad_act!F35=0,0,F22/TrRoad_act!F35*1000
)</f>
        <v>188.30003982191164</v>
      </c>
      <c r="G59" s="87">
        <f>IF(TrRoad_act!G35=0,0,G22/TrRoad_act!G35*1000
)</f>
        <v>191.96211264560807</v>
      </c>
      <c r="H59" s="87">
        <f>IF(TrRoad_act!H35=0,0,H22/TrRoad_act!H35*1000
)</f>
        <v>198.9704454980135</v>
      </c>
      <c r="I59" s="87">
        <f>IF(TrRoad_act!I35=0,0,I22/TrRoad_act!I35*1000
)</f>
        <v>212.89458293044621</v>
      </c>
      <c r="J59" s="87">
        <f>IF(TrRoad_act!J35=0,0,J22/TrRoad_act!J35*1000
)</f>
        <v>210.82977502814177</v>
      </c>
      <c r="K59" s="87">
        <f>IF(TrRoad_act!K35=0,0,K22/TrRoad_act!K35*1000
)</f>
        <v>224.62194271938782</v>
      </c>
      <c r="L59" s="87">
        <f>IF(TrRoad_act!L35=0,0,L22/TrRoad_act!L35*1000
)</f>
        <v>214.85576392261387</v>
      </c>
      <c r="M59" s="87">
        <f>IF(TrRoad_act!M35=0,0,M22/TrRoad_act!M35*1000
)</f>
        <v>211.04861548130131</v>
      </c>
      <c r="N59" s="87">
        <f>IF(TrRoad_act!N35=0,0,N22/TrRoad_act!N35*1000
)</f>
        <v>218.48658626363465</v>
      </c>
      <c r="O59" s="87">
        <f>IF(TrRoad_act!O35=0,0,O22/TrRoad_act!O35*1000
)</f>
        <v>206.01507371163899</v>
      </c>
      <c r="P59" s="87">
        <f>IF(TrRoad_act!P35=0,0,P22/TrRoad_act!P35*1000
)</f>
        <v>202.05785951613547</v>
      </c>
      <c r="Q59" s="87">
        <f>IF(TrRoad_act!Q35=0,0,Q22/TrRoad_act!Q35*1000
)</f>
        <v>212.04433382116119</v>
      </c>
      <c r="R59" s="87">
        <f>IF(TrRoad_act!R35=0,0,R22/TrRoad_act!R35*1000
)</f>
        <v>197.98939735337586</v>
      </c>
      <c r="S59" s="87">
        <f>IF(TrRoad_act!S35=0,0,S22/TrRoad_act!S35*1000
)</f>
        <v>201.84694491953255</v>
      </c>
      <c r="T59" s="87">
        <f>IF(TrRoad_act!T35=0,0,T22/TrRoad_act!T35*1000
)</f>
        <v>185.14831114761296</v>
      </c>
      <c r="U59" s="87">
        <f>IF(TrRoad_act!U35=0,0,U22/TrRoad_act!U35*1000
)</f>
        <v>198.98962375546765</v>
      </c>
      <c r="V59" s="87">
        <f>IF(TrRoad_act!V35=0,0,V22/TrRoad_act!V35*1000
)</f>
        <v>208.50155961571218</v>
      </c>
      <c r="W59" s="87">
        <f>IF(TrRoad_act!W35=0,0,W22/TrRoad_act!W35*1000
)</f>
        <v>196.14988819118059</v>
      </c>
      <c r="X59" s="87">
        <f>IF(TrRoad_act!X35=0,0,X22/TrRoad_act!X35*1000
)</f>
        <v>202.19459317611867</v>
      </c>
      <c r="Y59" s="87">
        <f>IF(TrRoad_act!Y35=0,0,Y22/TrRoad_act!Y35*1000
)</f>
        <v>225.43617206277597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158.05549860883565</v>
      </c>
      <c r="C60" s="87">
        <f>IF(TrRoad_act!C36=0,0,C23/TrRoad_act!C36*1000
)</f>
        <v>157.18766966762635</v>
      </c>
      <c r="D60" s="87">
        <f>IF(TrRoad_act!D36=0,0,D23/TrRoad_act!D36*1000
)</f>
        <v>158.40830709740746</v>
      </c>
      <c r="E60" s="87">
        <f>IF(TrRoad_act!E36=0,0,E23/TrRoad_act!E36*1000
)</f>
        <v>155.53769558122309</v>
      </c>
      <c r="F60" s="87">
        <f>IF(TrRoad_act!F36=0,0,F23/TrRoad_act!F36*1000
)</f>
        <v>150.90628098715584</v>
      </c>
      <c r="G60" s="87">
        <f>IF(TrRoad_act!G36=0,0,G23/TrRoad_act!G36*1000
)</f>
        <v>150.41817726246822</v>
      </c>
      <c r="H60" s="87">
        <f>IF(TrRoad_act!H36=0,0,H23/TrRoad_act!H36*1000
)</f>
        <v>146.65130006882472</v>
      </c>
      <c r="I60" s="87">
        <f>IF(TrRoad_act!I36=0,0,I23/TrRoad_act!I36*1000
)</f>
        <v>144.40753529619479</v>
      </c>
      <c r="J60" s="87">
        <f>IF(TrRoad_act!J36=0,0,J23/TrRoad_act!J36*1000
)</f>
        <v>149.02542891313249</v>
      </c>
      <c r="K60" s="87">
        <f>IF(TrRoad_act!K36=0,0,K23/TrRoad_act!K36*1000
)</f>
        <v>142.69474357062145</v>
      </c>
      <c r="L60" s="87">
        <f>IF(TrRoad_act!L36=0,0,L23/TrRoad_act!L36*1000
)</f>
        <v>140.73238262456016</v>
      </c>
      <c r="M60" s="87">
        <f>IF(TrRoad_act!M36=0,0,M23/TrRoad_act!M36*1000
)</f>
        <v>141.0134461879328</v>
      </c>
      <c r="N60" s="87">
        <f>IF(TrRoad_act!N36=0,0,N23/TrRoad_act!N36*1000
)</f>
        <v>141.17317125274243</v>
      </c>
      <c r="O60" s="87">
        <f>IF(TrRoad_act!O36=0,0,O23/TrRoad_act!O36*1000
)</f>
        <v>141.4488841508022</v>
      </c>
      <c r="P60" s="87">
        <f>IF(TrRoad_act!P36=0,0,P23/TrRoad_act!P36*1000
)</f>
        <v>141.67035983986506</v>
      </c>
      <c r="Q60" s="87">
        <f>IF(TrRoad_act!Q36=0,0,Q23/TrRoad_act!Q36*1000
)</f>
        <v>142.4412757357602</v>
      </c>
      <c r="R60" s="87">
        <f>IF(TrRoad_act!R36=0,0,R23/TrRoad_act!R36*1000
)</f>
        <v>149.24982879625873</v>
      </c>
      <c r="S60" s="87">
        <f>IF(TrRoad_act!S36=0,0,S23/TrRoad_act!S36*1000
)</f>
        <v>149.57335892126628</v>
      </c>
      <c r="T60" s="87">
        <f>IF(TrRoad_act!T36=0,0,T23/TrRoad_act!T36*1000
)</f>
        <v>149.46081634040041</v>
      </c>
      <c r="U60" s="87">
        <f>IF(TrRoad_act!U36=0,0,U23/TrRoad_act!U36*1000
)</f>
        <v>149.21922854850251</v>
      </c>
      <c r="V60" s="87">
        <f>IF(TrRoad_act!V36=0,0,V23/TrRoad_act!V36*1000
)</f>
        <v>148.79036744120276</v>
      </c>
      <c r="W60" s="87">
        <f>IF(TrRoad_act!W36=0,0,W23/TrRoad_act!W36*1000
)</f>
        <v>145.11174683192766</v>
      </c>
      <c r="X60" s="87">
        <f>IF(TrRoad_act!X36=0,0,X23/TrRoad_act!X36*1000
)</f>
        <v>143.60121443545262</v>
      </c>
      <c r="Y60" s="87">
        <f>IF(TrRoad_act!Y36=0,0,Y23/TrRoad_act!Y36*1000
)</f>
        <v>145.52225667745287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161.53065883149628</v>
      </c>
      <c r="L61" s="87">
        <f>IF(TrRoad_act!L37=0,0,L24/TrRoad_act!L37*1000
)</f>
        <v>160.92256566035303</v>
      </c>
      <c r="M61" s="87">
        <f>IF(TrRoad_act!M37=0,0,M24/TrRoad_act!M37*1000
)</f>
        <v>160.90554406202267</v>
      </c>
      <c r="N61" s="87">
        <f>IF(TrRoad_act!N37=0,0,N24/TrRoad_act!N37*1000
)</f>
        <v>159.86143883353191</v>
      </c>
      <c r="O61" s="87">
        <f>IF(TrRoad_act!O37=0,0,O24/TrRoad_act!O37*1000
)</f>
        <v>157.89114731646794</v>
      </c>
      <c r="P61" s="87">
        <f>IF(TrRoad_act!P37=0,0,P24/TrRoad_act!P37*1000
)</f>
        <v>156.57964119169785</v>
      </c>
      <c r="Q61" s="87">
        <f>IF(TrRoad_act!Q37=0,0,Q24/TrRoad_act!Q37*1000
)</f>
        <v>156.37554599959253</v>
      </c>
      <c r="R61" s="87">
        <f>IF(TrRoad_act!R37=0,0,R24/TrRoad_act!R37*1000
)</f>
        <v>155.47012231983149</v>
      </c>
      <c r="S61" s="87">
        <f>IF(TrRoad_act!S37=0,0,S24/TrRoad_act!S37*1000
)</f>
        <v>149.9152825372293</v>
      </c>
      <c r="T61" s="87">
        <f>IF(TrRoad_act!T37=0,0,T24/TrRoad_act!T37*1000
)</f>
        <v>148.92216062181589</v>
      </c>
      <c r="U61" s="87">
        <f>IF(TrRoad_act!U37=0,0,U24/TrRoad_act!U37*1000
)</f>
        <v>148.0788592656796</v>
      </c>
      <c r="V61" s="87">
        <f>IF(TrRoad_act!V37=0,0,V24/TrRoad_act!V37*1000
)</f>
        <v>147.65780995322947</v>
      </c>
      <c r="W61" s="87">
        <f>IF(TrRoad_act!W37=0,0,W24/TrRoad_act!W37*1000
)</f>
        <v>146.86138442122942</v>
      </c>
      <c r="X61" s="87">
        <f>IF(TrRoad_act!X37=0,0,X24/TrRoad_act!X37*1000
)</f>
        <v>146.05196628362867</v>
      </c>
      <c r="Y61" s="87">
        <f>IF(TrRoad_act!Y37=0,0,Y24/TrRoad_act!Y37*1000
)</f>
        <v>144.85841705071843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0</v>
      </c>
      <c r="P62" s="87">
        <f>IF(TrRoad_act!P38=0,0,P25/TrRoad_act!P38*1000
)</f>
        <v>64.716589961628472</v>
      </c>
      <c r="Q62" s="87">
        <f>IF(TrRoad_act!Q38=0,0,Q25/TrRoad_act!Q38*1000
)</f>
        <v>67.054422746828308</v>
      </c>
      <c r="R62" s="87">
        <f>IF(TrRoad_act!R38=0,0,R25/TrRoad_act!R38*1000
)</f>
        <v>70.490006541258168</v>
      </c>
      <c r="S62" s="87">
        <f>IF(TrRoad_act!S38=0,0,S25/TrRoad_act!S38*1000
)</f>
        <v>72.735830180897551</v>
      </c>
      <c r="T62" s="87">
        <f>IF(TrRoad_act!T38=0,0,T25/TrRoad_act!T38*1000
)</f>
        <v>74.312483072624374</v>
      </c>
      <c r="U62" s="87">
        <f>IF(TrRoad_act!U38=0,0,U25/TrRoad_act!U38*1000
)</f>
        <v>80.183203142946013</v>
      </c>
      <c r="V62" s="87">
        <f>IF(TrRoad_act!V38=0,0,V25/TrRoad_act!V38*1000
)</f>
        <v>69.700957143451589</v>
      </c>
      <c r="W62" s="87">
        <f>IF(TrRoad_act!W38=0,0,W25/TrRoad_act!W38*1000
)</f>
        <v>64.862752266619083</v>
      </c>
      <c r="X62" s="87">
        <f>IF(TrRoad_act!X38=0,0,X25/TrRoad_act!X38*1000
)</f>
        <v>62.626881419861014</v>
      </c>
      <c r="Y62" s="87">
        <f>IF(TrRoad_act!Y38=0,0,Y25/TrRoad_act!Y38*1000
)</f>
        <v>69.000986021183351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1650.5901514456614</v>
      </c>
      <c r="C64" s="116">
        <f>IF(TrRoad_act!C40=0,0,C27/TrRoad_act!C40*1000
)</f>
        <v>1584.4996363754076</v>
      </c>
      <c r="D64" s="116">
        <f>IF(TrRoad_act!D40=0,0,D27/TrRoad_act!D40*1000
)</f>
        <v>1593.2436462567223</v>
      </c>
      <c r="E64" s="116">
        <f>IF(TrRoad_act!E40=0,0,E27/TrRoad_act!E40*1000
)</f>
        <v>1621.991647928196</v>
      </c>
      <c r="F64" s="116">
        <f>IF(TrRoad_act!F40=0,0,F27/TrRoad_act!F40*1000
)</f>
        <v>1606.267807222833</v>
      </c>
      <c r="G64" s="116">
        <f>IF(TrRoad_act!G40=0,0,G27/TrRoad_act!G40*1000
)</f>
        <v>1613.3021221430888</v>
      </c>
      <c r="H64" s="116">
        <f>IF(TrRoad_act!H40=0,0,H27/TrRoad_act!H40*1000
)</f>
        <v>1629.588164550509</v>
      </c>
      <c r="I64" s="116">
        <f>IF(TrRoad_act!I40=0,0,I27/TrRoad_act!I40*1000
)</f>
        <v>1675.3715026580055</v>
      </c>
      <c r="J64" s="116">
        <f>IF(TrRoad_act!J40=0,0,J27/TrRoad_act!J40*1000
)</f>
        <v>1687.5747622802533</v>
      </c>
      <c r="K64" s="116">
        <f>IF(TrRoad_act!K40=0,0,K27/TrRoad_act!K40*1000
)</f>
        <v>1747.1280345530361</v>
      </c>
      <c r="L64" s="116">
        <f>IF(TrRoad_act!L40=0,0,L27/TrRoad_act!L40*1000
)</f>
        <v>1750.3629097143819</v>
      </c>
      <c r="M64" s="116">
        <f>IF(TrRoad_act!M40=0,0,M27/TrRoad_act!M40*1000
)</f>
        <v>1723.0413911506225</v>
      </c>
      <c r="N64" s="116">
        <f>IF(TrRoad_act!N40=0,0,N27/TrRoad_act!N40*1000
)</f>
        <v>1708.1265776301045</v>
      </c>
      <c r="O64" s="116">
        <f>IF(TrRoad_act!O40=0,0,O27/TrRoad_act!O40*1000
)</f>
        <v>1723.9063683218287</v>
      </c>
      <c r="P64" s="116">
        <f>IF(TrRoad_act!P40=0,0,P27/TrRoad_act!P40*1000
)</f>
        <v>1695.9859882569149</v>
      </c>
      <c r="Q64" s="116">
        <f>IF(TrRoad_act!Q40=0,0,Q27/TrRoad_act!Q40*1000
)</f>
        <v>1738.4103906329201</v>
      </c>
      <c r="R64" s="116">
        <f>IF(TrRoad_act!R40=0,0,R27/TrRoad_act!R40*1000
)</f>
        <v>1715.3030702931471</v>
      </c>
      <c r="S64" s="116">
        <f>IF(TrRoad_act!S40=0,0,S27/TrRoad_act!S40*1000
)</f>
        <v>1771.6836603209274</v>
      </c>
      <c r="T64" s="116">
        <f>IF(TrRoad_act!T40=0,0,T27/TrRoad_act!T40*1000
)</f>
        <v>1686.7658650435162</v>
      </c>
      <c r="U64" s="116">
        <f>IF(TrRoad_act!U40=0,0,U27/TrRoad_act!U40*1000
)</f>
        <v>1761.891681552052</v>
      </c>
      <c r="V64" s="116">
        <f>IF(TrRoad_act!V40=0,0,V27/TrRoad_act!V40*1000
)</f>
        <v>1773.5649283821831</v>
      </c>
      <c r="W64" s="116">
        <f>IF(TrRoad_act!W40=0,0,W27/TrRoad_act!W40*1000
)</f>
        <v>1710.481403437803</v>
      </c>
      <c r="X64" s="116">
        <f>IF(TrRoad_act!X40=0,0,X27/TrRoad_act!X40*1000
)</f>
        <v>1766.4298512772516</v>
      </c>
      <c r="Y64" s="116">
        <f>IF(TrRoad_act!Y40=0,0,Y27/TrRoad_act!Y40*1000
)</f>
        <v>1859.7921741189657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536.67430783619511</v>
      </c>
      <c r="C65" s="101">
        <f>IF(TrRoad_act!C41=0,0,C28/TrRoad_act!C41*1000
)</f>
        <v>527.62685534964646</v>
      </c>
      <c r="D65" s="101">
        <f>IF(TrRoad_act!D41=0,0,D28/TrRoad_act!D41*1000
)</f>
        <v>520.86708769122549</v>
      </c>
      <c r="E65" s="101">
        <f>IF(TrRoad_act!E41=0,0,E28/TrRoad_act!E41*1000
)</f>
        <v>518.97254561199986</v>
      </c>
      <c r="F65" s="101">
        <f>IF(TrRoad_act!F41=0,0,F28/TrRoad_act!F41*1000
)</f>
        <v>516.73668194652021</v>
      </c>
      <c r="G65" s="101">
        <f>IF(TrRoad_act!G41=0,0,G28/TrRoad_act!G41*1000
)</f>
        <v>512.47418382414492</v>
      </c>
      <c r="H65" s="101">
        <f>IF(TrRoad_act!H41=0,0,H28/TrRoad_act!H41*1000
)</f>
        <v>507.83820055407358</v>
      </c>
      <c r="I65" s="101">
        <f>IF(TrRoad_act!I41=0,0,I28/TrRoad_act!I41*1000
)</f>
        <v>506.42567050249897</v>
      </c>
      <c r="J65" s="101">
        <f>IF(TrRoad_act!J41=0,0,J28/TrRoad_act!J41*1000
)</f>
        <v>502.20633446863769</v>
      </c>
      <c r="K65" s="101">
        <f>IF(TrRoad_act!K41=0,0,K28/TrRoad_act!K41*1000
)</f>
        <v>499.01397934305862</v>
      </c>
      <c r="L65" s="101">
        <f>IF(TrRoad_act!L41=0,0,L28/TrRoad_act!L41*1000
)</f>
        <v>498.83395831796656</v>
      </c>
      <c r="M65" s="101">
        <f>IF(TrRoad_act!M41=0,0,M28/TrRoad_act!M41*1000
)</f>
        <v>495.84090506299123</v>
      </c>
      <c r="N65" s="101">
        <f>IF(TrRoad_act!N41=0,0,N28/TrRoad_act!N41*1000
)</f>
        <v>492.93324379932989</v>
      </c>
      <c r="O65" s="101">
        <f>IF(TrRoad_act!O41=0,0,O28/TrRoad_act!O41*1000
)</f>
        <v>486.22518019961012</v>
      </c>
      <c r="P65" s="101">
        <f>IF(TrRoad_act!P41=0,0,P28/TrRoad_act!P41*1000
)</f>
        <v>485.65349489619609</v>
      </c>
      <c r="Q65" s="101">
        <f>IF(TrRoad_act!Q41=0,0,Q28/TrRoad_act!Q41*1000
)</f>
        <v>482.84413451935228</v>
      </c>
      <c r="R65" s="101">
        <f>IF(TrRoad_act!R41=0,0,R28/TrRoad_act!R41*1000
)</f>
        <v>482.73864168407749</v>
      </c>
      <c r="S65" s="101">
        <f>IF(TrRoad_act!S41=0,0,S28/TrRoad_act!S41*1000
)</f>
        <v>482.46158300390692</v>
      </c>
      <c r="T65" s="101">
        <f>IF(TrRoad_act!T41=0,0,T28/TrRoad_act!T41*1000
)</f>
        <v>482.28331464534779</v>
      </c>
      <c r="U65" s="101">
        <f>IF(TrRoad_act!U41=0,0,U28/TrRoad_act!U41*1000
)</f>
        <v>481.71855184795214</v>
      </c>
      <c r="V65" s="101">
        <f>IF(TrRoad_act!V41=0,0,V28/TrRoad_act!V41*1000
)</f>
        <v>481.71632142474516</v>
      </c>
      <c r="W65" s="101">
        <f>IF(TrRoad_act!W41=0,0,W28/TrRoad_act!W41*1000
)</f>
        <v>481.53562069752928</v>
      </c>
      <c r="X65" s="101">
        <f>IF(TrRoad_act!X41=0,0,X28/TrRoad_act!X41*1000
)</f>
        <v>482.2551120284013</v>
      </c>
      <c r="Y65" s="101">
        <f>IF(TrRoad_act!Y41=0,0,Y28/TrRoad_act!Y41*1000
)</f>
        <v>482.24806870199455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1653.8977076743738</v>
      </c>
      <c r="C66" s="101">
        <f>IF(TrRoad_act!C42=0,0,C29/TrRoad_act!C42*1000
)</f>
        <v>1587.7687090370907</v>
      </c>
      <c r="D66" s="101">
        <f>IF(TrRoad_act!D42=0,0,D29/TrRoad_act!D42*1000
)</f>
        <v>1596.6264207393058</v>
      </c>
      <c r="E66" s="101">
        <f>IF(TrRoad_act!E42=0,0,E29/TrRoad_act!E42*1000
)</f>
        <v>1625.3660505389601</v>
      </c>
      <c r="F66" s="101">
        <f>IF(TrRoad_act!F42=0,0,F29/TrRoad_act!F42*1000
)</f>
        <v>1609.4274592731072</v>
      </c>
      <c r="G66" s="101">
        <f>IF(TrRoad_act!G42=0,0,G29/TrRoad_act!G42*1000
)</f>
        <v>1616.5631928530881</v>
      </c>
      <c r="H66" s="101">
        <f>IF(TrRoad_act!H42=0,0,H29/TrRoad_act!H42*1000
)</f>
        <v>1632.9764728253385</v>
      </c>
      <c r="I66" s="101">
        <f>IF(TrRoad_act!I42=0,0,I29/TrRoad_act!I42*1000
)</f>
        <v>1678.6141265019103</v>
      </c>
      <c r="J66" s="101">
        <f>IF(TrRoad_act!J42=0,0,J29/TrRoad_act!J42*1000
)</f>
        <v>1691.2541070746433</v>
      </c>
      <c r="K66" s="101">
        <f>IF(TrRoad_act!K42=0,0,K29/TrRoad_act!K42*1000
)</f>
        <v>1750.7328126171749</v>
      </c>
      <c r="L66" s="101">
        <f>IF(TrRoad_act!L42=0,0,L29/TrRoad_act!L42*1000
)</f>
        <v>1747.1614809096393</v>
      </c>
      <c r="M66" s="101">
        <f>IF(TrRoad_act!M42=0,0,M29/TrRoad_act!M42*1000
)</f>
        <v>1730.9802733305053</v>
      </c>
      <c r="N66" s="101">
        <f>IF(TrRoad_act!N42=0,0,N29/TrRoad_act!N42*1000
)</f>
        <v>1716.1344358802542</v>
      </c>
      <c r="O66" s="101">
        <f>IF(TrRoad_act!O42=0,0,O29/TrRoad_act!O42*1000
)</f>
        <v>1737.9628212030777</v>
      </c>
      <c r="P66" s="101">
        <f>IF(TrRoad_act!P42=0,0,P29/TrRoad_act!P42*1000
)</f>
        <v>1718.9888084793604</v>
      </c>
      <c r="Q66" s="101">
        <f>IF(TrRoad_act!Q42=0,0,Q29/TrRoad_act!Q42*1000
)</f>
        <v>1761.1580866900172</v>
      </c>
      <c r="R66" s="101">
        <f>IF(TrRoad_act!R42=0,0,R29/TrRoad_act!R42*1000
)</f>
        <v>1733.9377506666829</v>
      </c>
      <c r="S66" s="101">
        <f>IF(TrRoad_act!S42=0,0,S29/TrRoad_act!S42*1000
)</f>
        <v>1795.0323095726433</v>
      </c>
      <c r="T66" s="101">
        <f>IF(TrRoad_act!T42=0,0,T29/TrRoad_act!T42*1000
)</f>
        <v>1706.4535969405542</v>
      </c>
      <c r="U66" s="101">
        <f>IF(TrRoad_act!U42=0,0,U29/TrRoad_act!U42*1000
)</f>
        <v>1787.3101280737376</v>
      </c>
      <c r="V66" s="101">
        <f>IF(TrRoad_act!V42=0,0,V29/TrRoad_act!V42*1000
)</f>
        <v>1801.1522997846685</v>
      </c>
      <c r="W66" s="101">
        <f>IF(TrRoad_act!W42=0,0,W29/TrRoad_act!W42*1000
)</f>
        <v>1739.8220084928037</v>
      </c>
      <c r="X66" s="101">
        <f>IF(TrRoad_act!X42=0,0,X29/TrRoad_act!X42*1000
)</f>
        <v>1790.4223105217598</v>
      </c>
      <c r="Y66" s="101">
        <f>IF(TrRoad_act!Y42=0,0,Y29/TrRoad_act!Y42*1000
)</f>
        <v>1880.9243538010483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1163.7345806015844</v>
      </c>
      <c r="J67" s="101">
        <f>IF(TrRoad_act!J43=0,0,J30/TrRoad_act!J43*1000
)</f>
        <v>1163.7345806015844</v>
      </c>
      <c r="K67" s="101">
        <f>IF(TrRoad_act!K43=0,0,K30/TrRoad_act!K43*1000
)</f>
        <v>1163.7345806015846</v>
      </c>
      <c r="L67" s="101">
        <f>IF(TrRoad_act!L43=0,0,L30/TrRoad_act!L43*1000
)</f>
        <v>1163.7345806015846</v>
      </c>
      <c r="M67" s="101">
        <f>IF(TrRoad_act!M43=0,0,M30/TrRoad_act!M43*1000
)</f>
        <v>1187.2987716299176</v>
      </c>
      <c r="N67" s="101">
        <f>IF(TrRoad_act!N43=0,0,N30/TrRoad_act!N43*1000
)</f>
        <v>1187.2987716299176</v>
      </c>
      <c r="O67" s="101">
        <f>IF(TrRoad_act!O43=0,0,O30/TrRoad_act!O43*1000
)</f>
        <v>1224.9800470834862</v>
      </c>
      <c r="P67" s="101">
        <f>IF(TrRoad_act!P43=0,0,P30/TrRoad_act!P43*1000
)</f>
        <v>1228.2770948760804</v>
      </c>
      <c r="Q67" s="101">
        <f>IF(TrRoad_act!Q43=0,0,Q30/TrRoad_act!Q43*1000
)</f>
        <v>1228.2770948760804</v>
      </c>
      <c r="R67" s="101">
        <f>IF(TrRoad_act!R43=0,0,R30/TrRoad_act!R43*1000
)</f>
        <v>1228.2770948760804</v>
      </c>
      <c r="S67" s="101">
        <f>IF(TrRoad_act!S43=0,0,S30/TrRoad_act!S43*1000
)</f>
        <v>1231.9732412345325</v>
      </c>
      <c r="T67" s="101">
        <f>IF(TrRoad_act!T43=0,0,T30/TrRoad_act!T43*1000
)</f>
        <v>1231.9732412345322</v>
      </c>
      <c r="U67" s="101">
        <f>IF(TrRoad_act!U43=0,0,U30/TrRoad_act!U43*1000
)</f>
        <v>1226.5961138058524</v>
      </c>
      <c r="V67" s="101">
        <f>IF(TrRoad_act!V43=0,0,V30/TrRoad_act!V43*1000
)</f>
        <v>1209.4242002998174</v>
      </c>
      <c r="W67" s="101">
        <f>IF(TrRoad_act!W43=0,0,W30/TrRoad_act!W43*1000
)</f>
        <v>1209.4242002998176</v>
      </c>
      <c r="X67" s="101">
        <f>IF(TrRoad_act!X43=0,0,X30/TrRoad_act!X43*1000
)</f>
        <v>1208.1700695170391</v>
      </c>
      <c r="Y67" s="101">
        <f>IF(TrRoad_act!Y43=0,0,Y30/TrRoad_act!Y43*1000
)</f>
        <v>1208.1700695170387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1750.6221039773802</v>
      </c>
      <c r="L68" s="101">
        <f>IF(TrRoad_act!L44=0,0,L31/TrRoad_act!L44*1000
)</f>
        <v>3075.6868067364949</v>
      </c>
      <c r="M68" s="101">
        <f>IF(TrRoad_act!M44=0,0,M31/TrRoad_act!M44*1000
)</f>
        <v>820.43539844628071</v>
      </c>
      <c r="N68" s="101">
        <f>IF(TrRoad_act!N44=0,0,N31/TrRoad_act!N44*1000
)</f>
        <v>927.90880180792408</v>
      </c>
      <c r="O68" s="101">
        <f>IF(TrRoad_act!O44=0,0,O31/TrRoad_act!O44*1000
)</f>
        <v>941.56313155336193</v>
      </c>
      <c r="P68" s="101">
        <f>IF(TrRoad_act!P44=0,0,P31/TrRoad_act!P44*1000
)</f>
        <v>969.45103045372161</v>
      </c>
      <c r="Q68" s="101">
        <f>IF(TrRoad_act!Q44=0,0,Q31/TrRoad_act!Q44*1000
)</f>
        <v>1000.0449050128526</v>
      </c>
      <c r="R68" s="101">
        <f>IF(TrRoad_act!R44=0,0,R31/TrRoad_act!R44*1000
)</f>
        <v>1097.4936089144526</v>
      </c>
      <c r="S68" s="101">
        <f>IF(TrRoad_act!S44=0,0,S31/TrRoad_act!S44*1000
)</f>
        <v>1066.9271769960239</v>
      </c>
      <c r="T68" s="101">
        <f>IF(TrRoad_act!T44=0,0,T31/TrRoad_act!T44*1000
)</f>
        <v>1066.7759117859</v>
      </c>
      <c r="U68" s="101">
        <f>IF(TrRoad_act!U44=0,0,U31/TrRoad_act!U44*1000
)</f>
        <v>1066.6469212687941</v>
      </c>
      <c r="V68" s="101">
        <f>IF(TrRoad_act!V44=0,0,V31/TrRoad_act!V44*1000
)</f>
        <v>1073.0500037560066</v>
      </c>
      <c r="W68" s="101">
        <f>IF(TrRoad_act!W44=0,0,W31/TrRoad_act!W44*1000
)</f>
        <v>1072.7141120357012</v>
      </c>
      <c r="X68" s="101">
        <f>IF(TrRoad_act!X44=0,0,X31/TrRoad_act!X44*1000
)</f>
        <v>1109.3759742169439</v>
      </c>
      <c r="Y68" s="101">
        <f>IF(TrRoad_act!Y44=0,0,Y31/TrRoad_act!Y44*1000
)</f>
        <v>1110.4132911740646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543.10617605716277</v>
      </c>
      <c r="C70" s="29">
        <f>IF(TrRoad_act!C46=0,0,C33/TrRoad_act!C46*1000
)</f>
        <v>462.73248958645456</v>
      </c>
      <c r="D70" s="29">
        <f>IF(TrRoad_act!D46=0,0,D33/TrRoad_act!D46*1000
)</f>
        <v>534.08733177875388</v>
      </c>
      <c r="E70" s="29">
        <f>IF(TrRoad_act!E46=0,0,E33/TrRoad_act!E46*1000
)</f>
        <v>545.8302678568491</v>
      </c>
      <c r="F70" s="29">
        <f>IF(TrRoad_act!F46=0,0,F33/TrRoad_act!F46*1000
)</f>
        <v>549.24232614280652</v>
      </c>
      <c r="G70" s="29">
        <f>IF(TrRoad_act!G46=0,0,G33/TrRoad_act!G46*1000
)</f>
        <v>538.41525016878063</v>
      </c>
      <c r="H70" s="29">
        <f>IF(TrRoad_act!H46=0,0,H33/TrRoad_act!H46*1000
)</f>
        <v>533.28765528772283</v>
      </c>
      <c r="I70" s="29">
        <f>IF(TrRoad_act!I46=0,0,I33/TrRoad_act!I46*1000
)</f>
        <v>551.73376467594221</v>
      </c>
      <c r="J70" s="29">
        <f>IF(TrRoad_act!J46=0,0,J33/TrRoad_act!J46*1000
)</f>
        <v>547.41001353856166</v>
      </c>
      <c r="K70" s="29">
        <f>IF(TrRoad_act!K46=0,0,K33/TrRoad_act!K46*1000
)</f>
        <v>548.60697981118358</v>
      </c>
      <c r="L70" s="29">
        <f>IF(TrRoad_act!L46=0,0,L33/TrRoad_act!L46*1000
)</f>
        <v>572.0272094901818</v>
      </c>
      <c r="M70" s="29">
        <f>IF(TrRoad_act!M46=0,0,M33/TrRoad_act!M46*1000
)</f>
        <v>551.90905912138635</v>
      </c>
      <c r="N70" s="29">
        <f>IF(TrRoad_act!N46=0,0,N33/TrRoad_act!N46*1000
)</f>
        <v>523.35551028355178</v>
      </c>
      <c r="O70" s="29">
        <f>IF(TrRoad_act!O46=0,0,O33/TrRoad_act!O46*1000
)</f>
        <v>587.48559235051903</v>
      </c>
      <c r="P70" s="29">
        <f>IF(TrRoad_act!P46=0,0,P33/TrRoad_act!P46*1000
)</f>
        <v>537.89965829196194</v>
      </c>
      <c r="Q70" s="29">
        <f>IF(TrRoad_act!Q46=0,0,Q33/TrRoad_act!Q46*1000
)</f>
        <v>512.04422362412845</v>
      </c>
      <c r="R70" s="29">
        <f>IF(TrRoad_act!R46=0,0,R33/TrRoad_act!R46*1000
)</f>
        <v>476.99124788878333</v>
      </c>
      <c r="S70" s="29">
        <f>IF(TrRoad_act!S46=0,0,S33/TrRoad_act!S46*1000
)</f>
        <v>541.35703023375811</v>
      </c>
      <c r="T70" s="29">
        <f>IF(TrRoad_act!T46=0,0,T33/TrRoad_act!T46*1000
)</f>
        <v>473.11432433954559</v>
      </c>
      <c r="U70" s="29">
        <f>IF(TrRoad_act!U46=0,0,U33/TrRoad_act!U46*1000
)</f>
        <v>511.39253827358323</v>
      </c>
      <c r="V70" s="29">
        <f>IF(TrRoad_act!V46=0,0,V33/TrRoad_act!V46*1000
)</f>
        <v>488.01311742483296</v>
      </c>
      <c r="W70" s="29">
        <f>IF(TrRoad_act!W46=0,0,W33/TrRoad_act!W46*1000
)</f>
        <v>462.16838694654371</v>
      </c>
      <c r="X70" s="29">
        <f>IF(TrRoad_act!X46=0,0,X33/TrRoad_act!X46*1000
)</f>
        <v>474.11569292010881</v>
      </c>
      <c r="Y70" s="29">
        <f>IF(TrRoad_act!Y46=0,0,Y33/TrRoad_act!Y46*1000
)</f>
        <v>506.32553229771202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317.12516114917986</v>
      </c>
      <c r="C71" s="152">
        <f>IF(TrRoad_act!C47=0,0,C34/TrRoad_act!C47*1000
)</f>
        <v>285.19426078320987</v>
      </c>
      <c r="D71" s="152">
        <f>IF(TrRoad_act!D47=0,0,D34/TrRoad_act!D47*1000
)</f>
        <v>291.18891886650385</v>
      </c>
      <c r="E71" s="152">
        <f>IF(TrRoad_act!E47=0,0,E34/TrRoad_act!E47*1000
)</f>
        <v>288.85938595452677</v>
      </c>
      <c r="F71" s="152">
        <f>IF(TrRoad_act!F47=0,0,F34/TrRoad_act!F47*1000
)</f>
        <v>285.77479900273437</v>
      </c>
      <c r="G71" s="152">
        <f>IF(TrRoad_act!G47=0,0,G34/TrRoad_act!G47*1000
)</f>
        <v>288.99190214776939</v>
      </c>
      <c r="H71" s="152">
        <f>IF(TrRoad_act!H47=0,0,H34/TrRoad_act!H47*1000
)</f>
        <v>278.59006850510872</v>
      </c>
      <c r="I71" s="152">
        <f>IF(TrRoad_act!I47=0,0,I34/TrRoad_act!I47*1000
)</f>
        <v>277.32741079994884</v>
      </c>
      <c r="J71" s="152">
        <f>IF(TrRoad_act!J47=0,0,J34/TrRoad_act!J47*1000
)</f>
        <v>276.01800160940934</v>
      </c>
      <c r="K71" s="152">
        <f>IF(TrRoad_act!K47=0,0,K34/TrRoad_act!K47*1000
)</f>
        <v>275.95411706849615</v>
      </c>
      <c r="L71" s="152">
        <f>IF(TrRoad_act!L47=0,0,L34/TrRoad_act!L47*1000
)</f>
        <v>275.49334629552868</v>
      </c>
      <c r="M71" s="152">
        <f>IF(TrRoad_act!M47=0,0,M34/TrRoad_act!M47*1000
)</f>
        <v>271.43369229849685</v>
      </c>
      <c r="N71" s="152">
        <f>IF(TrRoad_act!N47=0,0,N34/TrRoad_act!N47*1000
)</f>
        <v>263.55376296689667</v>
      </c>
      <c r="O71" s="152">
        <f>IF(TrRoad_act!O47=0,0,O34/TrRoad_act!O47*1000
)</f>
        <v>260.05268249061174</v>
      </c>
      <c r="P71" s="152">
        <f>IF(TrRoad_act!P47=0,0,P34/TrRoad_act!P47*1000
)</f>
        <v>251.32365423998297</v>
      </c>
      <c r="Q71" s="152">
        <f>IF(TrRoad_act!Q47=0,0,Q34/TrRoad_act!Q47*1000
)</f>
        <v>246.10883313027861</v>
      </c>
      <c r="R71" s="152">
        <f>IF(TrRoad_act!R47=0,0,R34/TrRoad_act!R47*1000
)</f>
        <v>243.5151294668334</v>
      </c>
      <c r="S71" s="152">
        <f>IF(TrRoad_act!S47=0,0,S34/TrRoad_act!S47*1000
)</f>
        <v>251.93110544258141</v>
      </c>
      <c r="T71" s="152">
        <f>IF(TrRoad_act!T47=0,0,T34/TrRoad_act!T47*1000
)</f>
        <v>240.8555763496534</v>
      </c>
      <c r="U71" s="152">
        <f>IF(TrRoad_act!U47=0,0,U34/TrRoad_act!U47*1000
)</f>
        <v>238.86412192151278</v>
      </c>
      <c r="V71" s="152">
        <f>IF(TrRoad_act!V47=0,0,V34/TrRoad_act!V47*1000
)</f>
        <v>236.19393458018243</v>
      </c>
      <c r="W71" s="152">
        <f>IF(TrRoad_act!W47=0,0,W34/TrRoad_act!W47*1000
)</f>
        <v>235.77292708412105</v>
      </c>
      <c r="X71" s="152">
        <f>IF(TrRoad_act!X47=0,0,X34/TrRoad_act!X47*1000
)</f>
        <v>246.5983236785525</v>
      </c>
      <c r="Y71" s="152">
        <f>IF(TrRoad_act!Y47=0,0,Y34/TrRoad_act!Y47*1000
)</f>
        <v>254.17411448614052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257.29895904824093</v>
      </c>
      <c r="C72" s="87">
        <f>IF(TrRoad_act!C48=0,0,C35/TrRoad_act!C48*1000
)</f>
        <v>251.87871815201223</v>
      </c>
      <c r="D72" s="87">
        <f>IF(TrRoad_act!D48=0,0,D35/TrRoad_act!D48*1000
)</f>
        <v>250.47986444983832</v>
      </c>
      <c r="E72" s="87">
        <f>IF(TrRoad_act!E48=0,0,E35/TrRoad_act!E48*1000
)</f>
        <v>249.22691929711672</v>
      </c>
      <c r="F72" s="87">
        <f>IF(TrRoad_act!F48=0,0,F35/TrRoad_act!F48*1000
)</f>
        <v>248.10252245605687</v>
      </c>
      <c r="G72" s="87">
        <f>IF(TrRoad_act!G48=0,0,G35/TrRoad_act!G48*1000
)</f>
        <v>246.82206003682998</v>
      </c>
      <c r="H72" s="87">
        <f>IF(TrRoad_act!H48=0,0,H35/TrRoad_act!H48*1000
)</f>
        <v>245.20309228813434</v>
      </c>
      <c r="I72" s="87">
        <f>IF(TrRoad_act!I48=0,0,I35/TrRoad_act!I48*1000
)</f>
        <v>241.0805274514743</v>
      </c>
      <c r="J72" s="87">
        <f>IF(TrRoad_act!J48=0,0,J35/TrRoad_act!J48*1000
)</f>
        <v>239.0181674594524</v>
      </c>
      <c r="K72" s="87">
        <f>IF(TrRoad_act!K48=0,0,K35/TrRoad_act!K48*1000
)</f>
        <v>235.64376571280675</v>
      </c>
      <c r="L72" s="87">
        <f>IF(TrRoad_act!L48=0,0,L35/TrRoad_act!L48*1000
)</f>
        <v>233.94209299921607</v>
      </c>
      <c r="M72" s="87">
        <f>IF(TrRoad_act!M48=0,0,M35/TrRoad_act!M48*1000
)</f>
        <v>232.26276811914485</v>
      </c>
      <c r="N72" s="87">
        <f>IF(TrRoad_act!N48=0,0,N35/TrRoad_act!N48*1000
)</f>
        <v>230.37456890450076</v>
      </c>
      <c r="O72" s="87">
        <f>IF(TrRoad_act!O48=0,0,O35/TrRoad_act!O48*1000
)</f>
        <v>230.18653230684762</v>
      </c>
      <c r="P72" s="87">
        <f>IF(TrRoad_act!P48=0,0,P35/TrRoad_act!P48*1000
)</f>
        <v>230.54083251181441</v>
      </c>
      <c r="Q72" s="87">
        <f>IF(TrRoad_act!Q48=0,0,Q35/TrRoad_act!Q48*1000
)</f>
        <v>229.50682410603321</v>
      </c>
      <c r="R72" s="87">
        <f>IF(TrRoad_act!R48=0,0,R35/TrRoad_act!R48*1000
)</f>
        <v>227.98297698216061</v>
      </c>
      <c r="S72" s="87">
        <f>IF(TrRoad_act!S48=0,0,S35/TrRoad_act!S48*1000
)</f>
        <v>228.70788364328274</v>
      </c>
      <c r="T72" s="87">
        <f>IF(TrRoad_act!T48=0,0,T35/TrRoad_act!T48*1000
)</f>
        <v>228.24469335343116</v>
      </c>
      <c r="U72" s="87">
        <f>IF(TrRoad_act!U48=0,0,U35/TrRoad_act!U48*1000
)</f>
        <v>226.18386446322009</v>
      </c>
      <c r="V72" s="87">
        <f>IF(TrRoad_act!V48=0,0,V35/TrRoad_act!V48*1000
)</f>
        <v>223.99025215277939</v>
      </c>
      <c r="W72" s="87">
        <f>IF(TrRoad_act!W48=0,0,W35/TrRoad_act!W48*1000
)</f>
        <v>219.9637899844364</v>
      </c>
      <c r="X72" s="87">
        <f>IF(TrRoad_act!X48=0,0,X35/TrRoad_act!X48*1000
)</f>
        <v>217.95516283956144</v>
      </c>
      <c r="Y72" s="87">
        <f>IF(TrRoad_act!Y48=0,0,Y35/TrRoad_act!Y48*1000
)</f>
        <v>215.41334146891725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330.92214614012937</v>
      </c>
      <c r="C73" s="87">
        <f>IF(TrRoad_act!C49=0,0,C36/TrRoad_act!C49*1000
)</f>
        <v>292.60816367934297</v>
      </c>
      <c r="D73" s="87">
        <f>IF(TrRoad_act!D49=0,0,D36/TrRoad_act!D49*1000
)</f>
        <v>299.0622310258974</v>
      </c>
      <c r="E73" s="87">
        <f>IF(TrRoad_act!E49=0,0,E36/TrRoad_act!E49*1000
)</f>
        <v>295.35781161832779</v>
      </c>
      <c r="F73" s="87">
        <f>IF(TrRoad_act!F49=0,0,F36/TrRoad_act!F49*1000
)</f>
        <v>290.99810878512017</v>
      </c>
      <c r="G73" s="87">
        <f>IF(TrRoad_act!G49=0,0,G36/TrRoad_act!G49*1000
)</f>
        <v>294.02796166721566</v>
      </c>
      <c r="H73" s="87">
        <f>IF(TrRoad_act!H49=0,0,H36/TrRoad_act!H49*1000
)</f>
        <v>282.18387008511746</v>
      </c>
      <c r="I73" s="87">
        <f>IF(TrRoad_act!I49=0,0,I36/TrRoad_act!I49*1000
)</f>
        <v>280.53136264725003</v>
      </c>
      <c r="J73" s="87">
        <f>IF(TrRoad_act!J49=0,0,J36/TrRoad_act!J49*1000
)</f>
        <v>279.27998766100694</v>
      </c>
      <c r="K73" s="87">
        <f>IF(TrRoad_act!K49=0,0,K36/TrRoad_act!K49*1000
)</f>
        <v>279.26498452298046</v>
      </c>
      <c r="L73" s="87">
        <f>IF(TrRoad_act!L49=0,0,L36/TrRoad_act!L49*1000
)</f>
        <v>278.71099317084304</v>
      </c>
      <c r="M73" s="87">
        <f>IF(TrRoad_act!M49=0,0,M36/TrRoad_act!M49*1000
)</f>
        <v>274.30118367791465</v>
      </c>
      <c r="N73" s="87">
        <f>IF(TrRoad_act!N49=0,0,N36/TrRoad_act!N49*1000
)</f>
        <v>265.54842648569075</v>
      </c>
      <c r="O73" s="87">
        <f>IF(TrRoad_act!O49=0,0,O36/TrRoad_act!O49*1000
)</f>
        <v>261.86192221391582</v>
      </c>
      <c r="P73" s="87">
        <f>IF(TrRoad_act!P49=0,0,P36/TrRoad_act!P49*1000
)</f>
        <v>252.69385917091759</v>
      </c>
      <c r="Q73" s="87">
        <f>IF(TrRoad_act!Q49=0,0,Q36/TrRoad_act!Q49*1000
)</f>
        <v>247.1623828115124</v>
      </c>
      <c r="R73" s="87">
        <f>IF(TrRoad_act!R49=0,0,R36/TrRoad_act!R49*1000
)</f>
        <v>244.50971029361602</v>
      </c>
      <c r="S73" s="87">
        <f>IF(TrRoad_act!S49=0,0,S36/TrRoad_act!S49*1000
)</f>
        <v>253.20443289779971</v>
      </c>
      <c r="T73" s="87">
        <f>IF(TrRoad_act!T49=0,0,T36/TrRoad_act!T49*1000
)</f>
        <v>241.70781286150103</v>
      </c>
      <c r="U73" s="87">
        <f>IF(TrRoad_act!U49=0,0,U36/TrRoad_act!U49*1000
)</f>
        <v>239.71866536407225</v>
      </c>
      <c r="V73" s="87">
        <f>IF(TrRoad_act!V49=0,0,V36/TrRoad_act!V49*1000
)</f>
        <v>237.02791815758755</v>
      </c>
      <c r="W73" s="87">
        <f>IF(TrRoad_act!W49=0,0,W36/TrRoad_act!W49*1000
)</f>
        <v>236.74118556171359</v>
      </c>
      <c r="X73" s="87">
        <f>IF(TrRoad_act!X49=0,0,X36/TrRoad_act!X49*1000
)</f>
        <v>247.99045281559287</v>
      </c>
      <c r="Y73" s="87">
        <f>IF(TrRoad_act!Y49=0,0,Y36/TrRoad_act!Y49*1000
)</f>
        <v>256.00750323104296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176.45058695608995</v>
      </c>
      <c r="J74" s="87">
        <f>IF(TrRoad_act!J50=0,0,J37/TrRoad_act!J50*1000
)</f>
        <v>172.46275930207253</v>
      </c>
      <c r="K74" s="87">
        <f>IF(TrRoad_act!K50=0,0,K37/TrRoad_act!K50*1000
)</f>
        <v>171.76570910913992</v>
      </c>
      <c r="L74" s="87">
        <f>IF(TrRoad_act!L50=0,0,L37/TrRoad_act!L50*1000
)</f>
        <v>171.03597176003026</v>
      </c>
      <c r="M74" s="87">
        <f>IF(TrRoad_act!M50=0,0,M37/TrRoad_act!M50*1000
)</f>
        <v>170.73811762757433</v>
      </c>
      <c r="N74" s="87">
        <f>IF(TrRoad_act!N50=0,0,N37/TrRoad_act!N50*1000
)</f>
        <v>170.62834559316923</v>
      </c>
      <c r="O74" s="87">
        <f>IF(TrRoad_act!O50=0,0,O37/TrRoad_act!O50*1000
)</f>
        <v>169.55622151293483</v>
      </c>
      <c r="P74" s="87">
        <f>IF(TrRoad_act!P50=0,0,P37/TrRoad_act!P50*1000
)</f>
        <v>168.98326316772898</v>
      </c>
      <c r="Q74" s="87">
        <f>IF(TrRoad_act!Q50=0,0,Q37/TrRoad_act!Q50*1000
)</f>
        <v>168.77040610080567</v>
      </c>
      <c r="R74" s="87">
        <f>IF(TrRoad_act!R50=0,0,R37/TrRoad_act!R50*1000
)</f>
        <v>167.77740010176908</v>
      </c>
      <c r="S74" s="87">
        <f>IF(TrRoad_act!S50=0,0,S37/TrRoad_act!S50*1000
)</f>
        <v>174.62093496807398</v>
      </c>
      <c r="T74" s="87">
        <f>IF(TrRoad_act!T50=0,0,T37/TrRoad_act!T50*1000
)</f>
        <v>177.2824477371143</v>
      </c>
      <c r="U74" s="87">
        <f>IF(TrRoad_act!U50=0,0,U37/TrRoad_act!U50*1000
)</f>
        <v>178.30321263291063</v>
      </c>
      <c r="V74" s="87">
        <f>IF(TrRoad_act!V50=0,0,V37/TrRoad_act!V50*1000
)</f>
        <v>180.71354796732732</v>
      </c>
      <c r="W74" s="87">
        <f>IF(TrRoad_act!W50=0,0,W37/TrRoad_act!W50*1000
)</f>
        <v>185.43951866937229</v>
      </c>
      <c r="X74" s="87">
        <f>IF(TrRoad_act!X50=0,0,X37/TrRoad_act!X50*1000
)</f>
        <v>188.00223091048358</v>
      </c>
      <c r="Y74" s="87">
        <f>IF(TrRoad_act!Y50=0,0,Y37/TrRoad_act!Y50*1000
)</f>
        <v>188.44131947771447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212.14194454150197</v>
      </c>
      <c r="L75" s="87">
        <f>IF(TrRoad_act!L51=0,0,L38/TrRoad_act!L51*1000
)</f>
        <v>211.89097673957434</v>
      </c>
      <c r="M75" s="87">
        <f>IF(TrRoad_act!M51=0,0,M38/TrRoad_act!M51*1000
)</f>
        <v>211.70465450877705</v>
      </c>
      <c r="N75" s="87">
        <f>IF(TrRoad_act!N51=0,0,N38/TrRoad_act!N51*1000
)</f>
        <v>208.92992680102512</v>
      </c>
      <c r="O75" s="87">
        <f>IF(TrRoad_act!O51=0,0,O38/TrRoad_act!O51*1000
)</f>
        <v>208.92992680102506</v>
      </c>
      <c r="P75" s="87">
        <f>IF(TrRoad_act!P51=0,0,P38/TrRoad_act!P51*1000
)</f>
        <v>208.55459572630849</v>
      </c>
      <c r="Q75" s="87">
        <f>IF(TrRoad_act!Q51=0,0,Q38/TrRoad_act!Q51*1000
)</f>
        <v>207.78332863667583</v>
      </c>
      <c r="R75" s="87">
        <f>IF(TrRoad_act!R51=0,0,R38/TrRoad_act!R51*1000
)</f>
        <v>204.85483947881383</v>
      </c>
      <c r="S75" s="87">
        <f>IF(TrRoad_act!S51=0,0,S38/TrRoad_act!S51*1000
)</f>
        <v>211.45062770994963</v>
      </c>
      <c r="T75" s="87">
        <f>IF(TrRoad_act!T51=0,0,T38/TrRoad_act!T51*1000
)</f>
        <v>210.8076495230259</v>
      </c>
      <c r="U75" s="87">
        <f>IF(TrRoad_act!U51=0,0,U38/TrRoad_act!U51*1000
)</f>
        <v>210.72855035542733</v>
      </c>
      <c r="V75" s="87">
        <f>IF(TrRoad_act!V51=0,0,V38/TrRoad_act!V51*1000
)</f>
        <v>209.56914703488005</v>
      </c>
      <c r="W75" s="87">
        <f>IF(TrRoad_act!W51=0,0,W38/TrRoad_act!W51*1000
)</f>
        <v>212.3394568623894</v>
      </c>
      <c r="X75" s="87">
        <f>IF(TrRoad_act!X51=0,0,X38/TrRoad_act!X51*1000
)</f>
        <v>210.30703667249335</v>
      </c>
      <c r="Y75" s="87">
        <f>IF(TrRoad_act!Y51=0,0,Y38/TrRoad_act!Y51*1000
)</f>
        <v>210.75928857904665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891.75352542081498</v>
      </c>
      <c r="C77" s="116">
        <f>IF(TrRoad_act!C53=0,0,C40/TrRoad_act!C53*1000
)</f>
        <v>726.74876092307386</v>
      </c>
      <c r="D77" s="116">
        <f>IF(TrRoad_act!D53=0,0,D40/TrRoad_act!D53*1000
)</f>
        <v>870.06733057733413</v>
      </c>
      <c r="E77" s="116">
        <f>IF(TrRoad_act!E53=0,0,E40/TrRoad_act!E53*1000
)</f>
        <v>900.92004735623993</v>
      </c>
      <c r="F77" s="116">
        <f>IF(TrRoad_act!F53=0,0,F40/TrRoad_act!F53*1000
)</f>
        <v>905.3661864190849</v>
      </c>
      <c r="G77" s="116">
        <f>IF(TrRoad_act!G53=0,0,G40/TrRoad_act!G53*1000
)</f>
        <v>896.51384674063297</v>
      </c>
      <c r="H77" s="116">
        <f>IF(TrRoad_act!H53=0,0,H40/TrRoad_act!H53*1000
)</f>
        <v>902.04184579163427</v>
      </c>
      <c r="I77" s="116">
        <f>IF(TrRoad_act!I53=0,0,I40/TrRoad_act!I53*1000
)</f>
        <v>942.03595036536547</v>
      </c>
      <c r="J77" s="116">
        <f>IF(TrRoad_act!J53=0,0,J40/TrRoad_act!J53*1000
)</f>
        <v>967.95493506136484</v>
      </c>
      <c r="K77" s="116">
        <f>IF(TrRoad_act!K53=0,0,K40/TrRoad_act!K53*1000
)</f>
        <v>1028.060432772289</v>
      </c>
      <c r="L77" s="116">
        <f>IF(TrRoad_act!L53=0,0,L40/TrRoad_act!L53*1000
)</f>
        <v>1082.0942772159285</v>
      </c>
      <c r="M77" s="116">
        <f>IF(TrRoad_act!M53=0,0,M40/TrRoad_act!M53*1000
)</f>
        <v>1038.2934452711977</v>
      </c>
      <c r="N77" s="116">
        <f>IF(TrRoad_act!N53=0,0,N40/TrRoad_act!N53*1000
)</f>
        <v>973.79773193723997</v>
      </c>
      <c r="O77" s="116">
        <f>IF(TrRoad_act!O53=0,0,O40/TrRoad_act!O53*1000
)</f>
        <v>1143.8008006189193</v>
      </c>
      <c r="P77" s="116">
        <f>IF(TrRoad_act!P53=0,0,P40/TrRoad_act!P53*1000
)</f>
        <v>1036.0678994317377</v>
      </c>
      <c r="Q77" s="116">
        <f>IF(TrRoad_act!Q53=0,0,Q40/TrRoad_act!Q53*1000
)</f>
        <v>1017.1363992234723</v>
      </c>
      <c r="R77" s="116">
        <f>IF(TrRoad_act!R53=0,0,R40/TrRoad_act!R53*1000
)</f>
        <v>938.98850356384287</v>
      </c>
      <c r="S77" s="116">
        <f>IF(TrRoad_act!S53=0,0,S40/TrRoad_act!S53*1000
)</f>
        <v>1110.1310847444124</v>
      </c>
      <c r="T77" s="116">
        <f>IF(TrRoad_act!T53=0,0,T40/TrRoad_act!T53*1000
)</f>
        <v>987.78746796298151</v>
      </c>
      <c r="U77" s="116">
        <f>IF(TrRoad_act!U53=0,0,U40/TrRoad_act!U53*1000
)</f>
        <v>1179.0020865600447</v>
      </c>
      <c r="V77" s="116">
        <f>IF(TrRoad_act!V53=0,0,V40/TrRoad_act!V53*1000
)</f>
        <v>1110.4807430818933</v>
      </c>
      <c r="W77" s="116">
        <f>IF(TrRoad_act!W53=0,0,W40/TrRoad_act!W53*1000
)</f>
        <v>1053.0520588860957</v>
      </c>
      <c r="X77" s="116">
        <f>IF(TrRoad_act!X53=0,0,X40/TrRoad_act!X53*1000
)</f>
        <v>1099.7252021489887</v>
      </c>
      <c r="Y77" s="116">
        <f>IF(TrRoad_act!Y53=0,0,Y40/TrRoad_act!Y53*1000
)</f>
        <v>1220.5693993190969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996.65058262835987</v>
      </c>
      <c r="C78" s="101">
        <f>IF(TrRoad_act!C54=0,0,C41/TrRoad_act!C54*1000
)</f>
        <v>942.6269007541207</v>
      </c>
      <c r="D78" s="101">
        <f>IF(TrRoad_act!D54=0,0,D41/TrRoad_act!D54*1000
)</f>
        <v>982.01882293341214</v>
      </c>
      <c r="E78" s="101">
        <f>IF(TrRoad_act!E54=0,0,E41/TrRoad_act!E54*1000
)</f>
        <v>989.30638736661592</v>
      </c>
      <c r="F78" s="101">
        <f>IF(TrRoad_act!F54=0,0,F41/TrRoad_act!F54*1000
)</f>
        <v>989.03295807886184</v>
      </c>
      <c r="G78" s="101">
        <f>IF(TrRoad_act!G54=0,0,G41/TrRoad_act!G54*1000
)</f>
        <v>985.24705109456488</v>
      </c>
      <c r="H78" s="101">
        <f>IF(TrRoad_act!H54=0,0,H41/TrRoad_act!H54*1000
)</f>
        <v>985.06544341681217</v>
      </c>
      <c r="I78" s="101">
        <f>IF(TrRoad_act!I54=0,0,I41/TrRoad_act!I54*1000
)</f>
        <v>992.87700178732121</v>
      </c>
      <c r="J78" s="101">
        <f>IF(TrRoad_act!J54=0,0,J41/TrRoad_act!J54*1000
)</f>
        <v>1002.8126682926605</v>
      </c>
      <c r="K78" s="101">
        <f>IF(TrRoad_act!K54=0,0,K41/TrRoad_act!K54*1000
)</f>
        <v>1014.2520552737384</v>
      </c>
      <c r="L78" s="101">
        <f>IF(TrRoad_act!L54=0,0,L41/TrRoad_act!L54*1000
)</f>
        <v>1031.4448975463388</v>
      </c>
      <c r="M78" s="101">
        <f>IF(TrRoad_act!M54=0,0,M41/TrRoad_act!M54*1000
)</f>
        <v>1017.9238036578573</v>
      </c>
      <c r="N78" s="101">
        <f>IF(TrRoad_act!N54=0,0,N41/TrRoad_act!N54*1000
)</f>
        <v>976.58550224252724</v>
      </c>
      <c r="O78" s="101">
        <f>IF(TrRoad_act!O54=0,0,O41/TrRoad_act!O54*1000
)</f>
        <v>1024.9124189975969</v>
      </c>
      <c r="P78" s="101">
        <f>IF(TrRoad_act!P54=0,0,P41/TrRoad_act!P54*1000
)</f>
        <v>989.80756975334555</v>
      </c>
      <c r="Q78" s="101">
        <f>IF(TrRoad_act!Q54=0,0,Q41/TrRoad_act!Q54*1000
)</f>
        <v>981.48814090619226</v>
      </c>
      <c r="R78" s="101">
        <f>IF(TrRoad_act!R54=0,0,R41/TrRoad_act!R54*1000
)</f>
        <v>967.25348031299143</v>
      </c>
      <c r="S78" s="101">
        <f>IF(TrRoad_act!S54=0,0,S41/TrRoad_act!S54*1000
)</f>
        <v>1007.9639875608117</v>
      </c>
      <c r="T78" s="101">
        <f>IF(TrRoad_act!T54=0,0,T41/TrRoad_act!T54*1000
)</f>
        <v>952.14054377669902</v>
      </c>
      <c r="U78" s="101">
        <f>IF(TrRoad_act!U54=0,0,U41/TrRoad_act!U54*1000
)</f>
        <v>985.10558751111432</v>
      </c>
      <c r="V78" s="101">
        <f>IF(TrRoad_act!V54=0,0,V41/TrRoad_act!V54*1000
)</f>
        <v>955.10966942662037</v>
      </c>
      <c r="W78" s="101">
        <f>IF(TrRoad_act!W54=0,0,W41/TrRoad_act!W54*1000
)</f>
        <v>923.19946842315642</v>
      </c>
      <c r="X78" s="101">
        <f>IF(TrRoad_act!X54=0,0,X41/TrRoad_act!X54*1000
)</f>
        <v>960.29789767389468</v>
      </c>
      <c r="Y78" s="101">
        <f>IF(TrRoad_act!Y54=0,0,Y41/TrRoad_act!Y54*1000
)</f>
        <v>993.37187329778658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827.02908107273834</v>
      </c>
      <c r="C79" s="88">
        <f>IF(TrRoad_act!C55=0,0,C42/TrRoad_act!C55*1000
)</f>
        <v>518.99928947880721</v>
      </c>
      <c r="D79" s="88">
        <f>IF(TrRoad_act!D55=0,0,D42/TrRoad_act!D55*1000
)</f>
        <v>734.08339909790425</v>
      </c>
      <c r="E79" s="88">
        <f>IF(TrRoad_act!E55=0,0,E42/TrRoad_act!E55*1000
)</f>
        <v>777.07074222370352</v>
      </c>
      <c r="F79" s="88">
        <f>IF(TrRoad_act!F55=0,0,F42/TrRoad_act!F55*1000
)</f>
        <v>800.22632981736058</v>
      </c>
      <c r="G79" s="88">
        <f>IF(TrRoad_act!G55=0,0,G42/TrRoad_act!G55*1000
)</f>
        <v>788.46281442017494</v>
      </c>
      <c r="H79" s="88">
        <f>IF(TrRoad_act!H55=0,0,H42/TrRoad_act!H55*1000
)</f>
        <v>768.91215964711319</v>
      </c>
      <c r="I79" s="88">
        <f>IF(TrRoad_act!I55=0,0,I42/TrRoad_act!I55*1000
)</f>
        <v>866.87398874419466</v>
      </c>
      <c r="J79" s="88">
        <f>IF(TrRoad_act!J55=0,0,J42/TrRoad_act!J55*1000
)</f>
        <v>880.44750489658406</v>
      </c>
      <c r="K79" s="88">
        <f>IF(TrRoad_act!K55=0,0,K42/TrRoad_act!K55*1000
)</f>
        <v>1061.7479671551639</v>
      </c>
      <c r="L79" s="88">
        <f>IF(TrRoad_act!L55=0,0,L42/TrRoad_act!L55*1000
)</f>
        <v>1202.382425549627</v>
      </c>
      <c r="M79" s="88">
        <f>IF(TrRoad_act!M55=0,0,M42/TrRoad_act!M55*1000
)</f>
        <v>1086.3924982240085</v>
      </c>
      <c r="N79" s="88">
        <f>IF(TrRoad_act!N55=0,0,N42/TrRoad_act!N55*1000
)</f>
        <v>967.5138355541003</v>
      </c>
      <c r="O79" s="88">
        <f>IF(TrRoad_act!O55=0,0,O42/TrRoad_act!O55*1000
)</f>
        <v>1403.7530113859509</v>
      </c>
      <c r="P79" s="88">
        <f>IF(TrRoad_act!P55=0,0,P42/TrRoad_act!P55*1000
)</f>
        <v>1124.7676366510209</v>
      </c>
      <c r="Q79" s="88">
        <f>IF(TrRoad_act!Q55=0,0,Q42/TrRoad_act!Q55*1000
)</f>
        <v>1076.9613552612354</v>
      </c>
      <c r="R79" s="88">
        <f>IF(TrRoad_act!R55=0,0,R42/TrRoad_act!R55*1000
)</f>
        <v>892.16415889851839</v>
      </c>
      <c r="S79" s="88">
        <f>IF(TrRoad_act!S55=0,0,S42/TrRoad_act!S55*1000
)</f>
        <v>1254.8947084145761</v>
      </c>
      <c r="T79" s="88">
        <f>IF(TrRoad_act!T55=0,0,T42/TrRoad_act!T55*1000
)</f>
        <v>1038.0625882192023</v>
      </c>
      <c r="U79" s="88">
        <f>IF(TrRoad_act!U55=0,0,U42/TrRoad_act!U55*1000
)</f>
        <v>1488.4995052140648</v>
      </c>
      <c r="V79" s="88">
        <f>IF(TrRoad_act!V55=0,0,V42/TrRoad_act!V55*1000
)</f>
        <v>1355.7752853642062</v>
      </c>
      <c r="W79" s="88">
        <f>IF(TrRoad_act!W55=0,0,W42/TrRoad_act!W55*1000
)</f>
        <v>1293.9280865971593</v>
      </c>
      <c r="X79" s="88">
        <f>IF(TrRoad_act!X55=0,0,X42/TrRoad_act!X55*1000
)</f>
        <v>1348.284614466367</v>
      </c>
      <c r="Y79" s="88">
        <f>IF(TrRoad_act!Y55=0,0,Y42/TrRoad_act!Y55*1000
)</f>
        <v>1610.7308814357766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147.23010383728035</v>
      </c>
      <c r="C82" s="29">
        <f>IF(TrRoad_act!C4=0,0,C18/TrRoad_act!C4*1000)</f>
        <v>140.13858872146861</v>
      </c>
      <c r="D82" s="29">
        <f>IF(TrRoad_act!D4=0,0,D18/TrRoad_act!D4*1000)</f>
        <v>136.16150515774689</v>
      </c>
      <c r="E82" s="29">
        <f>IF(TrRoad_act!E4=0,0,E18/TrRoad_act!E4*1000)</f>
        <v>142.65686028630319</v>
      </c>
      <c r="F82" s="29">
        <f>IF(TrRoad_act!F4=0,0,F18/TrRoad_act!F4*1000)</f>
        <v>140.34709475300352</v>
      </c>
      <c r="G82" s="29">
        <f>IF(TrRoad_act!G4=0,0,G18/TrRoad_act!G4*1000)</f>
        <v>143.02937800768569</v>
      </c>
      <c r="H82" s="29">
        <f>IF(TrRoad_act!H4=0,0,H18/TrRoad_act!H4*1000)</f>
        <v>146.14191757354203</v>
      </c>
      <c r="I82" s="29">
        <f>IF(TrRoad_act!I4=0,0,I18/TrRoad_act!I4*1000)</f>
        <v>153.04589897462211</v>
      </c>
      <c r="J82" s="29">
        <f>IF(TrRoad_act!J4=0,0,J18/TrRoad_act!J4*1000)</f>
        <v>144.06774258013087</v>
      </c>
      <c r="K82" s="29">
        <f>IF(TrRoad_act!K4=0,0,K18/TrRoad_act!K4*1000)</f>
        <v>150.45065903226697</v>
      </c>
      <c r="L82" s="29">
        <f>IF(TrRoad_act!L4=0,0,L18/TrRoad_act!L4*1000)</f>
        <v>150.89221548257106</v>
      </c>
      <c r="M82" s="29">
        <f>IF(TrRoad_act!M4=0,0,M18/TrRoad_act!M4*1000)</f>
        <v>151.46538513839118</v>
      </c>
      <c r="N82" s="29">
        <f>IF(TrRoad_act!N4=0,0,N18/TrRoad_act!N4*1000)</f>
        <v>143.87440554046492</v>
      </c>
      <c r="O82" s="29">
        <f>IF(TrRoad_act!O4=0,0,O18/TrRoad_act!O4*1000)</f>
        <v>140.44532375968313</v>
      </c>
      <c r="P82" s="29">
        <f>IF(TrRoad_act!P4=0,0,P18/TrRoad_act!P4*1000)</f>
        <v>142.10760372596295</v>
      </c>
      <c r="Q82" s="29">
        <f>IF(TrRoad_act!Q4=0,0,Q18/TrRoad_act!Q4*1000)</f>
        <v>150.01094501112888</v>
      </c>
      <c r="R82" s="29">
        <f>IF(TrRoad_act!R4=0,0,R18/TrRoad_act!R4*1000)</f>
        <v>156.76878567454781</v>
      </c>
      <c r="S82" s="29">
        <f>IF(TrRoad_act!S4=0,0,S18/TrRoad_act!S4*1000)</f>
        <v>160.17750548755853</v>
      </c>
      <c r="T82" s="29">
        <f>IF(TrRoad_act!T4=0,0,T18/TrRoad_act!T4*1000)</f>
        <v>160.01500162223579</v>
      </c>
      <c r="U82" s="29">
        <f>IF(TrRoad_act!U4=0,0,U18/TrRoad_act!U4*1000)</f>
        <v>160.21091499588377</v>
      </c>
      <c r="V82" s="29">
        <f>IF(TrRoad_act!V4=0,0,V18/TrRoad_act!V4*1000)</f>
        <v>178.35354095735485</v>
      </c>
      <c r="W82" s="29">
        <f>IF(TrRoad_act!W4=0,0,W18/TrRoad_act!W4*1000)</f>
        <v>171.44935812707527</v>
      </c>
      <c r="X82" s="29">
        <f>IF(TrRoad_act!X4=0,0,X18/TrRoad_act!X4*1000)</f>
        <v>174.44660016397978</v>
      </c>
      <c r="Y82" s="29">
        <f>IF(TrRoad_act!Y4=0,0,Y18/TrRoad_act!Y4*1000)</f>
        <v>192.61669236735955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100.33076387195128</v>
      </c>
      <c r="C83" s="152">
        <f>IF(TrRoad_act!C5=0,0,C19/TrRoad_act!C5*1000)</f>
        <v>100.12659987506589</v>
      </c>
      <c r="D83" s="152">
        <f>IF(TrRoad_act!D5=0,0,D19/TrRoad_act!D5*1000)</f>
        <v>98.770426475911194</v>
      </c>
      <c r="E83" s="152">
        <f>IF(TrRoad_act!E5=0,0,E19/TrRoad_act!E5*1000)</f>
        <v>95.578738524532071</v>
      </c>
      <c r="F83" s="152">
        <f>IF(TrRoad_act!F5=0,0,F19/TrRoad_act!F5*1000)</f>
        <v>93.18367599629849</v>
      </c>
      <c r="G83" s="152">
        <f>IF(TrRoad_act!G5=0,0,G19/TrRoad_act!G5*1000)</f>
        <v>91.095889982516738</v>
      </c>
      <c r="H83" s="152">
        <f>IF(TrRoad_act!H5=0,0,H19/TrRoad_act!H5*1000)</f>
        <v>89.308187863906426</v>
      </c>
      <c r="I83" s="152">
        <f>IF(TrRoad_act!I5=0,0,I19/TrRoad_act!I5*1000)</f>
        <v>88.213180220067869</v>
      </c>
      <c r="J83" s="152">
        <f>IF(TrRoad_act!J5=0,0,J19/TrRoad_act!J5*1000)</f>
        <v>87.34544807295093</v>
      </c>
      <c r="K83" s="152">
        <f>IF(TrRoad_act!K5=0,0,K19/TrRoad_act!K5*1000)</f>
        <v>86.429304098065543</v>
      </c>
      <c r="L83" s="152">
        <f>IF(TrRoad_act!L5=0,0,L19/TrRoad_act!L5*1000)</f>
        <v>86.401906333743881</v>
      </c>
      <c r="M83" s="152">
        <f>IF(TrRoad_act!M5=0,0,M19/TrRoad_act!M5*1000)</f>
        <v>86.208170883686748</v>
      </c>
      <c r="N83" s="152">
        <f>IF(TrRoad_act!N5=0,0,N19/TrRoad_act!N5*1000)</f>
        <v>86.516531339711861</v>
      </c>
      <c r="O83" s="152">
        <f>IF(TrRoad_act!O5=0,0,O19/TrRoad_act!O5*1000)</f>
        <v>85.93740190710831</v>
      </c>
      <c r="P83" s="152">
        <f>IF(TrRoad_act!P5=0,0,P19/TrRoad_act!P5*1000)</f>
        <v>85.288403308064346</v>
      </c>
      <c r="Q83" s="152">
        <f>IF(TrRoad_act!Q5=0,0,Q19/TrRoad_act!Q5*1000)</f>
        <v>85.001238171664426</v>
      </c>
      <c r="R83" s="152">
        <f>IF(TrRoad_act!R5=0,0,R19/TrRoad_act!R5*1000)</f>
        <v>84.127964905217922</v>
      </c>
      <c r="S83" s="152">
        <f>IF(TrRoad_act!S5=0,0,S19/TrRoad_act!S5*1000)</f>
        <v>84.126805395625453</v>
      </c>
      <c r="T83" s="152">
        <f>IF(TrRoad_act!T5=0,0,T19/TrRoad_act!T5*1000)</f>
        <v>83.447238756161937</v>
      </c>
      <c r="U83" s="152">
        <f>IF(TrRoad_act!U5=0,0,U19/TrRoad_act!U5*1000)</f>
        <v>82.60886400529597</v>
      </c>
      <c r="V83" s="152">
        <f>IF(TrRoad_act!V5=0,0,V19/TrRoad_act!V5*1000)</f>
        <v>82.479688301650043</v>
      </c>
      <c r="W83" s="152">
        <f>IF(TrRoad_act!W5=0,0,W19/TrRoad_act!W5*1000)</f>
        <v>82.483660316393397</v>
      </c>
      <c r="X83" s="152">
        <f>IF(TrRoad_act!X5=0,0,X19/TrRoad_act!X5*1000)</f>
        <v>83.12525840570558</v>
      </c>
      <c r="Y83" s="152">
        <f>IF(TrRoad_act!Y5=0,0,Y19/TrRoad_act!Y5*1000)</f>
        <v>82.754063833357876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144.69754361512264</v>
      </c>
      <c r="C84" s="116">
        <f>IF(TrRoad_act!C6=0,0,C20/TrRoad_act!C6*1000)</f>
        <v>138.41621935322573</v>
      </c>
      <c r="D84" s="116">
        <f>IF(TrRoad_act!D6=0,0,D20/TrRoad_act!D6*1000)</f>
        <v>134.64247418976439</v>
      </c>
      <c r="E84" s="116">
        <f>IF(TrRoad_act!E6=0,0,E20/TrRoad_act!E6*1000)</f>
        <v>143.22748837118482</v>
      </c>
      <c r="F84" s="116">
        <f>IF(TrRoad_act!F6=0,0,F20/TrRoad_act!F6*1000)</f>
        <v>139.19402752391386</v>
      </c>
      <c r="G84" s="116">
        <f>IF(TrRoad_act!G6=0,0,G20/TrRoad_act!G6*1000)</f>
        <v>142.72535706510499</v>
      </c>
      <c r="H84" s="116">
        <f>IF(TrRoad_act!H6=0,0,H20/TrRoad_act!H6*1000)</f>
        <v>147.27253807497991</v>
      </c>
      <c r="I84" s="116">
        <f>IF(TrRoad_act!I6=0,0,I20/TrRoad_act!I6*1000)</f>
        <v>156.16022792369645</v>
      </c>
      <c r="J84" s="116">
        <f>IF(TrRoad_act!J6=0,0,J20/TrRoad_act!J6*1000)</f>
        <v>147.35526064499089</v>
      </c>
      <c r="K84" s="116">
        <f>IF(TrRoad_act!K6=0,0,K20/TrRoad_act!K6*1000)</f>
        <v>150.72485969822782</v>
      </c>
      <c r="L84" s="116">
        <f>IF(TrRoad_act!L6=0,0,L20/TrRoad_act!L6*1000)</f>
        <v>150.13222429971123</v>
      </c>
      <c r="M84" s="116">
        <f>IF(TrRoad_act!M6=0,0,M20/TrRoad_act!M6*1000)</f>
        <v>150.99067044276481</v>
      </c>
      <c r="N84" s="116">
        <f>IF(TrRoad_act!N6=0,0,N20/TrRoad_act!N6*1000)</f>
        <v>143.92396006812348</v>
      </c>
      <c r="O84" s="116">
        <f>IF(TrRoad_act!O6=0,0,O20/TrRoad_act!O6*1000)</f>
        <v>141.18747237230912</v>
      </c>
      <c r="P84" s="116">
        <f>IF(TrRoad_act!P6=0,0,P20/TrRoad_act!P6*1000)</f>
        <v>143.63566058033828</v>
      </c>
      <c r="Q84" s="116">
        <f>IF(TrRoad_act!Q6=0,0,Q20/TrRoad_act!Q6*1000)</f>
        <v>149.84435067342247</v>
      </c>
      <c r="R84" s="116">
        <f>IF(TrRoad_act!R6=0,0,R20/TrRoad_act!R6*1000)</f>
        <v>158.82696136606879</v>
      </c>
      <c r="S84" s="116">
        <f>IF(TrRoad_act!S6=0,0,S20/TrRoad_act!S6*1000)</f>
        <v>163.74781110787674</v>
      </c>
      <c r="T84" s="116">
        <f>IF(TrRoad_act!T6=0,0,T20/TrRoad_act!T6*1000)</f>
        <v>161.8017701568867</v>
      </c>
      <c r="U84" s="116">
        <f>IF(TrRoad_act!U6=0,0,U20/TrRoad_act!U6*1000)</f>
        <v>167.32198232735098</v>
      </c>
      <c r="V84" s="116">
        <f>IF(TrRoad_act!V6=0,0,V20/TrRoad_act!V6*1000)</f>
        <v>180.59038617317444</v>
      </c>
      <c r="W84" s="116">
        <f>IF(TrRoad_act!W6=0,0,W20/TrRoad_act!W6*1000)</f>
        <v>173.71362317393167</v>
      </c>
      <c r="X84" s="116">
        <f>IF(TrRoad_act!X6=0,0,X20/TrRoad_act!X6*1000)</f>
        <v>180.53769575846124</v>
      </c>
      <c r="Y84" s="116">
        <f>IF(TrRoad_act!Y6=0,0,Y20/TrRoad_act!Y6*1000)</f>
        <v>201.08005808102541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149.00416816805077</v>
      </c>
      <c r="C85" s="87">
        <f>IF(TrRoad_act!C7=0,0,C21/TrRoad_act!C7*1000)</f>
        <v>138.51052057288445</v>
      </c>
      <c r="D85" s="87">
        <f>IF(TrRoad_act!D7=0,0,D21/TrRoad_act!D7*1000)</f>
        <v>137.90900457483158</v>
      </c>
      <c r="E85" s="87">
        <f>IF(TrRoad_act!E7=0,0,E21/TrRoad_act!E7*1000)</f>
        <v>147.62202682779585</v>
      </c>
      <c r="F85" s="87">
        <f>IF(TrRoad_act!F7=0,0,F21/TrRoad_act!F7*1000)</f>
        <v>144.29568908544022</v>
      </c>
      <c r="G85" s="87">
        <f>IF(TrRoad_act!G7=0,0,G21/TrRoad_act!G7*1000)</f>
        <v>148.90647472207365</v>
      </c>
      <c r="H85" s="87">
        <f>IF(TrRoad_act!H7=0,0,H21/TrRoad_act!H7*1000)</f>
        <v>156.71948289550511</v>
      </c>
      <c r="I85" s="87">
        <f>IF(TrRoad_act!I7=0,0,I21/TrRoad_act!I7*1000)</f>
        <v>166.11912380814724</v>
      </c>
      <c r="J85" s="87">
        <f>IF(TrRoad_act!J7=0,0,J21/TrRoad_act!J7*1000)</f>
        <v>142.47704993916679</v>
      </c>
      <c r="K85" s="87">
        <f>IF(TrRoad_act!K7=0,0,K21/TrRoad_act!K7*1000)</f>
        <v>144.2444576219531</v>
      </c>
      <c r="L85" s="87">
        <f>IF(TrRoad_act!L7=0,0,L21/TrRoad_act!L7*1000)</f>
        <v>142.42178142390844</v>
      </c>
      <c r="M85" s="87">
        <f>IF(TrRoad_act!M7=0,0,M21/TrRoad_act!M7*1000)</f>
        <v>145.41948599496928</v>
      </c>
      <c r="N85" s="87">
        <f>IF(TrRoad_act!N7=0,0,N21/TrRoad_act!N7*1000)</f>
        <v>135.37763952309396</v>
      </c>
      <c r="O85" s="87">
        <f>IF(TrRoad_act!O7=0,0,O21/TrRoad_act!O7*1000)</f>
        <v>137.44817788701684</v>
      </c>
      <c r="P85" s="87">
        <f>IF(TrRoad_act!P7=0,0,P21/TrRoad_act!P7*1000)</f>
        <v>141.64042818036492</v>
      </c>
      <c r="Q85" s="87">
        <f>IF(TrRoad_act!Q7=0,0,Q21/TrRoad_act!Q7*1000)</f>
        <v>144.08227943418223</v>
      </c>
      <c r="R85" s="87">
        <f>IF(TrRoad_act!R7=0,0,R21/TrRoad_act!R7*1000)</f>
        <v>155.467670597916</v>
      </c>
      <c r="S85" s="87">
        <f>IF(TrRoad_act!S7=0,0,S21/TrRoad_act!S7*1000)</f>
        <v>154.81587249947063</v>
      </c>
      <c r="T85" s="87">
        <f>IF(TrRoad_act!T7=0,0,T21/TrRoad_act!T7*1000)</f>
        <v>155.06110453289153</v>
      </c>
      <c r="U85" s="87">
        <f>IF(TrRoad_act!U7=0,0,U21/TrRoad_act!U7*1000)</f>
        <v>157.41996238636355</v>
      </c>
      <c r="V85" s="87">
        <f>IF(TrRoad_act!V7=0,0,V21/TrRoad_act!V7*1000)</f>
        <v>170.67655037074007</v>
      </c>
      <c r="W85" s="87">
        <f>IF(TrRoad_act!W7=0,0,W21/TrRoad_act!W7*1000)</f>
        <v>173.55252809365021</v>
      </c>
      <c r="X85" s="87">
        <f>IF(TrRoad_act!X7=0,0,X21/TrRoad_act!X7*1000)</f>
        <v>192.77847135918111</v>
      </c>
      <c r="Y85" s="87">
        <f>IF(TrRoad_act!Y7=0,0,Y21/TrRoad_act!Y7*1000)</f>
        <v>213.19980140745906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131.0355444368804</v>
      </c>
      <c r="C86" s="87">
        <f>IF(TrRoad_act!C8=0,0,C22/TrRoad_act!C8*1000)</f>
        <v>139.62551627089212</v>
      </c>
      <c r="D86" s="87">
        <f>IF(TrRoad_act!D8=0,0,D22/TrRoad_act!D8*1000)</f>
        <v>126.11880214149967</v>
      </c>
      <c r="E86" s="87">
        <f>IF(TrRoad_act!E8=0,0,E22/TrRoad_act!E8*1000)</f>
        <v>135.23792905855527</v>
      </c>
      <c r="F86" s="87">
        <f>IF(TrRoad_act!F8=0,0,F22/TrRoad_act!F8*1000)</f>
        <v>131.61460524158389</v>
      </c>
      <c r="G86" s="87">
        <f>IF(TrRoad_act!G8=0,0,G22/TrRoad_act!G8*1000)</f>
        <v>135.35193973613627</v>
      </c>
      <c r="H86" s="87">
        <f>IF(TrRoad_act!H8=0,0,H22/TrRoad_act!H8*1000)</f>
        <v>139.07566714990557</v>
      </c>
      <c r="I86" s="87">
        <f>IF(TrRoad_act!I8=0,0,I22/TrRoad_act!I8*1000)</f>
        <v>150.84547833717761</v>
      </c>
      <c r="J86" s="87">
        <f>IF(TrRoad_act!J8=0,0,J22/TrRoad_act!J8*1000)</f>
        <v>158.11368302076428</v>
      </c>
      <c r="K86" s="87">
        <f>IF(TrRoad_act!K8=0,0,K22/TrRoad_act!K8*1000)</f>
        <v>165.71517043684898</v>
      </c>
      <c r="L86" s="87">
        <f>IF(TrRoad_act!L8=0,0,L22/TrRoad_act!L8*1000)</f>
        <v>164.82313841787214</v>
      </c>
      <c r="M86" s="87">
        <f>IF(TrRoad_act!M8=0,0,M22/TrRoad_act!M8*1000)</f>
        <v>162.24753528296844</v>
      </c>
      <c r="N86" s="87">
        <f>IF(TrRoad_act!N8=0,0,N22/TrRoad_act!N8*1000)</f>
        <v>157.82649918050637</v>
      </c>
      <c r="O86" s="87">
        <f>IF(TrRoad_act!O8=0,0,O22/TrRoad_act!O8*1000)</f>
        <v>149.02227276629785</v>
      </c>
      <c r="P86" s="87">
        <f>IF(TrRoad_act!P8=0,0,P22/TrRoad_act!P8*1000)</f>
        <v>149.27048570956245</v>
      </c>
      <c r="Q86" s="87">
        <f>IF(TrRoad_act!Q8=0,0,Q22/TrRoad_act!Q8*1000)</f>
        <v>159.07604688645668</v>
      </c>
      <c r="R86" s="87">
        <f>IF(TrRoad_act!R8=0,0,R22/TrRoad_act!R8*1000)</f>
        <v>164.63917731912338</v>
      </c>
      <c r="S86" s="87">
        <f>IF(TrRoad_act!S8=0,0,S22/TrRoad_act!S8*1000)</f>
        <v>172.98107953316475</v>
      </c>
      <c r="T86" s="87">
        <f>IF(TrRoad_act!T8=0,0,T22/TrRoad_act!T8*1000)</f>
        <v>168.44903075682362</v>
      </c>
      <c r="U86" s="87">
        <f>IF(TrRoad_act!U8=0,0,U22/TrRoad_act!U8*1000)</f>
        <v>176.23643835255814</v>
      </c>
      <c r="V86" s="87">
        <f>IF(TrRoad_act!V8=0,0,V22/TrRoad_act!V8*1000)</f>
        <v>190.06807437918272</v>
      </c>
      <c r="W86" s="87">
        <f>IF(TrRoad_act!W8=0,0,W22/TrRoad_act!W8*1000)</f>
        <v>177.62459843594692</v>
      </c>
      <c r="X86" s="87">
        <f>IF(TrRoad_act!X8=0,0,X22/TrRoad_act!X8*1000)</f>
        <v>179.15580345378845</v>
      </c>
      <c r="Y86" s="87">
        <f>IF(TrRoad_act!Y8=0,0,Y22/TrRoad_act!Y8*1000)</f>
        <v>201.03975795375848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113.14117443123718</v>
      </c>
      <c r="C87" s="87">
        <f>IF(TrRoad_act!C9=0,0,C23/TrRoad_act!C9*1000)</f>
        <v>114.95206278065147</v>
      </c>
      <c r="D87" s="87">
        <f>IF(TrRoad_act!D9=0,0,D23/TrRoad_act!D9*1000)</f>
        <v>116.72069869666372</v>
      </c>
      <c r="E87" s="87">
        <f>IF(TrRoad_act!E9=0,0,E23/TrRoad_act!E9*1000)</f>
        <v>115.4979078404601</v>
      </c>
      <c r="F87" s="87">
        <f>IF(TrRoad_act!F9=0,0,F23/TrRoad_act!F9*1000)</f>
        <v>112.81117909470127</v>
      </c>
      <c r="G87" s="87">
        <f>IF(TrRoad_act!G9=0,0,G23/TrRoad_act!G9*1000)</f>
        <v>113.20130866144518</v>
      </c>
      <c r="H87" s="87">
        <f>IF(TrRoad_act!H9=0,0,H23/TrRoad_act!H9*1000)</f>
        <v>109.20532687186959</v>
      </c>
      <c r="I87" s="87">
        <f>IF(TrRoad_act!I9=0,0,I23/TrRoad_act!I9*1000)</f>
        <v>108.855339156065</v>
      </c>
      <c r="J87" s="87">
        <f>IF(TrRoad_act!J9=0,0,J23/TrRoad_act!J9*1000)</f>
        <v>119.24310379166107</v>
      </c>
      <c r="K87" s="87">
        <f>IF(TrRoad_act!K9=0,0,K23/TrRoad_act!K9*1000)</f>
        <v>112.33451020052192</v>
      </c>
      <c r="L87" s="87">
        <f>IF(TrRoad_act!L9=0,0,L23/TrRoad_act!L9*1000)</f>
        <v>115.10823866640386</v>
      </c>
      <c r="M87" s="87">
        <f>IF(TrRoad_act!M9=0,0,M23/TrRoad_act!M9*1000)</f>
        <v>115.47272284974449</v>
      </c>
      <c r="N87" s="87">
        <f>IF(TrRoad_act!N9=0,0,N23/TrRoad_act!N9*1000)</f>
        <v>108.51300965604119</v>
      </c>
      <c r="O87" s="87">
        <f>IF(TrRoad_act!O9=0,0,O23/TrRoad_act!O9*1000)</f>
        <v>108.76114141162168</v>
      </c>
      <c r="P87" s="87">
        <f>IF(TrRoad_act!P9=0,0,P23/TrRoad_act!P9*1000)</f>
        <v>110.95282281746829</v>
      </c>
      <c r="Q87" s="87">
        <f>IF(TrRoad_act!Q9=0,0,Q23/TrRoad_act!Q9*1000)</f>
        <v>113.22433436633351</v>
      </c>
      <c r="R87" s="87">
        <f>IF(TrRoad_act!R9=0,0,R23/TrRoad_act!R9*1000)</f>
        <v>128.66101906757453</v>
      </c>
      <c r="S87" s="87">
        <f>IF(TrRoad_act!S9=0,0,S23/TrRoad_act!S9*1000)</f>
        <v>132.4747616863724</v>
      </c>
      <c r="T87" s="87">
        <f>IF(TrRoad_act!T9=0,0,T23/TrRoad_act!T9*1000)</f>
        <v>139.86827408062337</v>
      </c>
      <c r="U87" s="87">
        <f>IF(TrRoad_act!U9=0,0,U23/TrRoad_act!U9*1000)</f>
        <v>136.05897167042551</v>
      </c>
      <c r="V87" s="87">
        <f>IF(TrRoad_act!V9=0,0,V23/TrRoad_act!V9*1000)</f>
        <v>139.22103255907098</v>
      </c>
      <c r="W87" s="87">
        <f>IF(TrRoad_act!W9=0,0,W23/TrRoad_act!W9*1000)</f>
        <v>134.85111396766541</v>
      </c>
      <c r="X87" s="87">
        <f>IF(TrRoad_act!X9=0,0,X23/TrRoad_act!X9*1000)</f>
        <v>130.6308169059198</v>
      </c>
      <c r="Y87" s="87">
        <f>IF(TrRoad_act!Y9=0,0,Y23/TrRoad_act!Y9*1000)</f>
        <v>133.18062307578535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120.21950399770425</v>
      </c>
      <c r="L88" s="87">
        <f>IF(TrRoad_act!L10=0,0,L24/TrRoad_act!L10*1000)</f>
        <v>124.43543289762212</v>
      </c>
      <c r="M88" s="87">
        <f>IF(TrRoad_act!M10=0,0,M24/TrRoad_act!M10*1000)</f>
        <v>124.56746748862416</v>
      </c>
      <c r="N88" s="87">
        <f>IF(TrRoad_act!N10=0,0,N24/TrRoad_act!N10*1000)</f>
        <v>116.16842535535852</v>
      </c>
      <c r="O88" s="87">
        <f>IF(TrRoad_act!O10=0,0,O24/TrRoad_act!O10*1000)</f>
        <v>114.77485643172534</v>
      </c>
      <c r="P88" s="87">
        <f>IF(TrRoad_act!P10=0,0,P24/TrRoad_act!P10*1000)</f>
        <v>115.93362060614153</v>
      </c>
      <c r="Q88" s="87">
        <f>IF(TrRoad_act!Q10=0,0,Q24/TrRoad_act!Q10*1000)</f>
        <v>117.51343125094769</v>
      </c>
      <c r="R88" s="87">
        <f>IF(TrRoad_act!R10=0,0,R24/TrRoad_act!R10*1000)</f>
        <v>131.16455382392149</v>
      </c>
      <c r="S88" s="87">
        <f>IF(TrRoad_act!S10=0,0,S24/TrRoad_act!S10*1000)</f>
        <v>130.42206803147124</v>
      </c>
      <c r="T88" s="87">
        <f>IF(TrRoad_act!T10=0,0,T24/TrRoad_act!T10*1000)</f>
        <v>137.9652232957412</v>
      </c>
      <c r="U88" s="87">
        <f>IF(TrRoad_act!U10=0,0,U24/TrRoad_act!U10*1000)</f>
        <v>133.16369429410943</v>
      </c>
      <c r="V88" s="87">
        <f>IF(TrRoad_act!V10=0,0,V24/TrRoad_act!V10*1000)</f>
        <v>136.77157287524389</v>
      </c>
      <c r="W88" s="87">
        <f>IF(TrRoad_act!W10=0,0,W24/TrRoad_act!W10*1000)</f>
        <v>134.96925807589156</v>
      </c>
      <c r="X88" s="87">
        <f>IF(TrRoad_act!X10=0,0,X24/TrRoad_act!X10*1000)</f>
        <v>130.99095926764744</v>
      </c>
      <c r="Y88" s="87">
        <f>IF(TrRoad_act!Y10=0,0,Y24/TrRoad_act!Y10*1000)</f>
        <v>130.82021440847694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0</v>
      </c>
      <c r="P89" s="87">
        <f>IF(TrRoad_act!P11=0,0,P25/TrRoad_act!P11*1000)</f>
        <v>50.779107867184685</v>
      </c>
      <c r="Q89" s="87">
        <f>IF(TrRoad_act!Q11=0,0,Q25/TrRoad_act!Q11*1000)</f>
        <v>53.317276749495747</v>
      </c>
      <c r="R89" s="87">
        <f>IF(TrRoad_act!R11=0,0,R25/TrRoad_act!R11*1000)</f>
        <v>61.262884988166327</v>
      </c>
      <c r="S89" s="87">
        <f>IF(TrRoad_act!S11=0,0,S25/TrRoad_act!S11*1000)</f>
        <v>64.856886831130083</v>
      </c>
      <c r="T89" s="87">
        <f>IF(TrRoad_act!T11=0,0,T25/TrRoad_act!T11*1000)</f>
        <v>69.806447789657781</v>
      </c>
      <c r="U89" s="87">
        <f>IF(TrRoad_act!U11=0,0,U25/TrRoad_act!U11*1000)</f>
        <v>73.492599041126496</v>
      </c>
      <c r="V89" s="87">
        <f>IF(TrRoad_act!V11=0,0,V25/TrRoad_act!V11*1000)</f>
        <v>65.465741410379678</v>
      </c>
      <c r="W89" s="87">
        <f>IF(TrRoad_act!W11=0,0,W25/TrRoad_act!W11*1000)</f>
        <v>60.528035435243176</v>
      </c>
      <c r="X89" s="87">
        <f>IF(TrRoad_act!X11=0,0,X25/TrRoad_act!X11*1000)</f>
        <v>57.27442741123901</v>
      </c>
      <c r="Y89" s="87">
        <f>IF(TrRoad_act!Y11=0,0,Y25/TrRoad_act!Y11*1000)</f>
        <v>63.465522297796966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164.82795391281132</v>
      </c>
      <c r="C91" s="116">
        <f>IF(TrRoad_act!C13=0,0,C27/TrRoad_act!C13*1000)</f>
        <v>152.48620775664281</v>
      </c>
      <c r="D91" s="116">
        <f>IF(TrRoad_act!D13=0,0,D27/TrRoad_act!D13*1000)</f>
        <v>147.4045960908565</v>
      </c>
      <c r="E91" s="116">
        <f>IF(TrRoad_act!E13=0,0,E27/TrRoad_act!E13*1000)</f>
        <v>141.71967475502649</v>
      </c>
      <c r="F91" s="116">
        <f>IF(TrRoad_act!F13=0,0,F27/TrRoad_act!F13*1000)</f>
        <v>151.4079046328265</v>
      </c>
      <c r="G91" s="116">
        <f>IF(TrRoad_act!G13=0,0,G27/TrRoad_act!G13*1000)</f>
        <v>148.89940879248465</v>
      </c>
      <c r="H91" s="116">
        <f>IF(TrRoad_act!H13=0,0,H27/TrRoad_act!H13*1000)</f>
        <v>142.44077663226869</v>
      </c>
      <c r="I91" s="116">
        <f>IF(TrRoad_act!I13=0,0,I27/TrRoad_act!I13*1000)</f>
        <v>136.37311257629338</v>
      </c>
      <c r="J91" s="116">
        <f>IF(TrRoad_act!J13=0,0,J27/TrRoad_act!J13*1000)</f>
        <v>126.15103576869454</v>
      </c>
      <c r="K91" s="116">
        <f>IF(TrRoad_act!K13=0,0,K27/TrRoad_act!K13*1000)</f>
        <v>153.38877560931172</v>
      </c>
      <c r="L91" s="116">
        <f>IF(TrRoad_act!L13=0,0,L27/TrRoad_act!L13*1000)</f>
        <v>162.30476804603299</v>
      </c>
      <c r="M91" s="116">
        <f>IF(TrRoad_act!M13=0,0,M27/TrRoad_act!M13*1000)</f>
        <v>160.9112665901111</v>
      </c>
      <c r="N91" s="116">
        <f>IF(TrRoad_act!N13=0,0,N27/TrRoad_act!N13*1000)</f>
        <v>148.24499840010179</v>
      </c>
      <c r="O91" s="116">
        <f>IF(TrRoad_act!O13=0,0,O27/TrRoad_act!O13*1000)</f>
        <v>139.09762532970078</v>
      </c>
      <c r="P91" s="116">
        <f>IF(TrRoad_act!P13=0,0,P27/TrRoad_act!P13*1000)</f>
        <v>135.38657229951315</v>
      </c>
      <c r="Q91" s="116">
        <f>IF(TrRoad_act!Q13=0,0,Q27/TrRoad_act!Q13*1000)</f>
        <v>156.49296972235939</v>
      </c>
      <c r="R91" s="116">
        <f>IF(TrRoad_act!R13=0,0,R27/TrRoad_act!R13*1000)</f>
        <v>147.97985456500581</v>
      </c>
      <c r="S91" s="116">
        <f>IF(TrRoad_act!S13=0,0,S27/TrRoad_act!S13*1000)</f>
        <v>143.01542800180977</v>
      </c>
      <c r="T91" s="116">
        <f>IF(TrRoad_act!T13=0,0,T27/TrRoad_act!T13*1000)</f>
        <v>154.06058252153889</v>
      </c>
      <c r="U91" s="116">
        <f>IF(TrRoad_act!U13=0,0,U27/TrRoad_act!U13*1000)</f>
        <v>121.34360909744368</v>
      </c>
      <c r="V91" s="116">
        <f>IF(TrRoad_act!V13=0,0,V27/TrRoad_act!V13*1000)</f>
        <v>169.1550365220001</v>
      </c>
      <c r="W91" s="116">
        <f>IF(TrRoad_act!W13=0,0,W27/TrRoad_act!W13*1000)</f>
        <v>161.94874734282607</v>
      </c>
      <c r="X91" s="116">
        <f>IF(TrRoad_act!X13=0,0,X27/TrRoad_act!X13*1000)</f>
        <v>139.47970555547951</v>
      </c>
      <c r="Y91" s="116">
        <f>IF(TrRoad_act!Y13=0,0,Y27/TrRoad_act!Y13*1000)</f>
        <v>146.1265279664901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84.050323847800556</v>
      </c>
      <c r="C92" s="101">
        <f>IF(TrRoad_act!C14=0,0,C28/TrRoad_act!C14*1000)</f>
        <v>82.446105166424715</v>
      </c>
      <c r="D92" s="101">
        <f>IF(TrRoad_act!D14=0,0,D28/TrRoad_act!D14*1000)</f>
        <v>81.186106676593724</v>
      </c>
      <c r="E92" s="101">
        <f>IF(TrRoad_act!E14=0,0,E28/TrRoad_act!E14*1000)</f>
        <v>80.583358814284594</v>
      </c>
      <c r="F92" s="101">
        <f>IF(TrRoad_act!F14=0,0,F28/TrRoad_act!F14*1000)</f>
        <v>80.638883044088161</v>
      </c>
      <c r="G92" s="101">
        <f>IF(TrRoad_act!G14=0,0,G28/TrRoad_act!G14*1000)</f>
        <v>79.865382569709737</v>
      </c>
      <c r="H92" s="101">
        <f>IF(TrRoad_act!H14=0,0,H28/TrRoad_act!H14*1000)</f>
        <v>78.856646281446203</v>
      </c>
      <c r="I92" s="101">
        <f>IF(TrRoad_act!I14=0,0,I28/TrRoad_act!I14*1000)</f>
        <v>78.242573459968042</v>
      </c>
      <c r="J92" s="101">
        <f>IF(TrRoad_act!J14=0,0,J28/TrRoad_act!J14*1000)</f>
        <v>77.090352888342807</v>
      </c>
      <c r="K92" s="101">
        <f>IF(TrRoad_act!K14=0,0,K28/TrRoad_act!K14*1000)</f>
        <v>77.509698093759326</v>
      </c>
      <c r="L92" s="101">
        <f>IF(TrRoad_act!L14=0,0,L28/TrRoad_act!L14*1000)</f>
        <v>77.76315591879667</v>
      </c>
      <c r="M92" s="101">
        <f>IF(TrRoad_act!M14=0,0,M28/TrRoad_act!M14*1000)</f>
        <v>77.331992623450319</v>
      </c>
      <c r="N92" s="101">
        <f>IF(TrRoad_act!N14=0,0,N28/TrRoad_act!N14*1000)</f>
        <v>76.504815600982909</v>
      </c>
      <c r="O92" s="101">
        <f>IF(TrRoad_act!O14=0,0,O28/TrRoad_act!O14*1000)</f>
        <v>75.073293879065005</v>
      </c>
      <c r="P92" s="101">
        <f>IF(TrRoad_act!P14=0,0,P28/TrRoad_act!P14*1000)</f>
        <v>74.925630637224742</v>
      </c>
      <c r="Q92" s="101">
        <f>IF(TrRoad_act!Q14=0,0,Q28/TrRoad_act!Q14*1000)</f>
        <v>75.124506195566227</v>
      </c>
      <c r="R92" s="101">
        <f>IF(TrRoad_act!R14=0,0,R28/TrRoad_act!R14*1000)</f>
        <v>74.891670661848508</v>
      </c>
      <c r="S92" s="101">
        <f>IF(TrRoad_act!S14=0,0,S28/TrRoad_act!S14*1000)</f>
        <v>74.494600034817026</v>
      </c>
      <c r="T92" s="101">
        <f>IF(TrRoad_act!T14=0,0,T28/TrRoad_act!T14*1000)</f>
        <v>75.109089394929001</v>
      </c>
      <c r="U92" s="101">
        <f>IF(TrRoad_act!U14=0,0,U28/TrRoad_act!U14*1000)</f>
        <v>73.449993869012815</v>
      </c>
      <c r="V92" s="101">
        <f>IF(TrRoad_act!V14=0,0,V28/TrRoad_act!V14*1000)</f>
        <v>75.229815031385399</v>
      </c>
      <c r="W92" s="101">
        <f>IF(TrRoad_act!W14=0,0,W28/TrRoad_act!W14*1000)</f>
        <v>75.166820814629816</v>
      </c>
      <c r="X92" s="101">
        <f>IF(TrRoad_act!X14=0,0,X28/TrRoad_act!X14*1000)</f>
        <v>74.340710176004421</v>
      </c>
      <c r="Y92" s="101">
        <f>IF(TrRoad_act!Y14=0,0,Y28/TrRoad_act!Y14*1000)</f>
        <v>74.311933000415095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164.98072527077684</v>
      </c>
      <c r="C93" s="101">
        <f>IF(TrRoad_act!C15=0,0,C29/TrRoad_act!C15*1000)</f>
        <v>152.61947643876789</v>
      </c>
      <c r="D93" s="101">
        <f>IF(TrRoad_act!D15=0,0,D29/TrRoad_act!D15*1000)</f>
        <v>147.52842515742969</v>
      </c>
      <c r="E93" s="101">
        <f>IF(TrRoad_act!E15=0,0,E29/TrRoad_act!E15*1000)</f>
        <v>141.82477726160178</v>
      </c>
      <c r="F93" s="101">
        <f>IF(TrRoad_act!F15=0,0,F29/TrRoad_act!F15*1000)</f>
        <v>151.53172718881953</v>
      </c>
      <c r="G93" s="101">
        <f>IF(TrRoad_act!G15=0,0,G29/TrRoad_act!G15*1000)</f>
        <v>149.02037675413035</v>
      </c>
      <c r="H93" s="101">
        <f>IF(TrRoad_act!H15=0,0,H29/TrRoad_act!H15*1000)</f>
        <v>142.54874738496133</v>
      </c>
      <c r="I93" s="101">
        <f>IF(TrRoad_act!I15=0,0,I29/TrRoad_act!I15*1000)</f>
        <v>136.45999662041308</v>
      </c>
      <c r="J93" s="101">
        <f>IF(TrRoad_act!J15=0,0,J29/TrRoad_act!J15*1000)</f>
        <v>126.22716878840434</v>
      </c>
      <c r="K93" s="101">
        <f>IF(TrRoad_act!K15=0,0,K29/TrRoad_act!K15*1000)</f>
        <v>153.51483823641559</v>
      </c>
      <c r="L93" s="101">
        <f>IF(TrRoad_act!L15=0,0,L29/TrRoad_act!L15*1000)</f>
        <v>161.82599974398232</v>
      </c>
      <c r="M93" s="101">
        <f>IF(TrRoad_act!M15=0,0,M29/TrRoad_act!M15*1000)</f>
        <v>161.48608019167881</v>
      </c>
      <c r="N93" s="101">
        <f>IF(TrRoad_act!N15=0,0,N29/TrRoad_act!N15*1000)</f>
        <v>148.76814335061695</v>
      </c>
      <c r="O93" s="101">
        <f>IF(TrRoad_act!O15=0,0,O29/TrRoad_act!O15*1000)</f>
        <v>140.03202364750052</v>
      </c>
      <c r="P93" s="101">
        <f>IF(TrRoad_act!P15=0,0,P29/TrRoad_act!P15*1000)</f>
        <v>137.04331602675063</v>
      </c>
      <c r="Q93" s="101">
        <f>IF(TrRoad_act!Q15=0,0,Q29/TrRoad_act!Q15*1000)</f>
        <v>158.37820826621979</v>
      </c>
      <c r="R93" s="101">
        <f>IF(TrRoad_act!R15=0,0,R29/TrRoad_act!R15*1000)</f>
        <v>149.43371960572128</v>
      </c>
      <c r="S93" s="101">
        <f>IF(TrRoad_act!S15=0,0,S29/TrRoad_act!S15*1000)</f>
        <v>144.74739528697486</v>
      </c>
      <c r="T93" s="101">
        <f>IF(TrRoad_act!T15=0,0,T29/TrRoad_act!T15*1000)</f>
        <v>155.72255889189779</v>
      </c>
      <c r="U93" s="101">
        <f>IF(TrRoad_act!U15=0,0,U29/TrRoad_act!U15*1000)</f>
        <v>122.96378252956698</v>
      </c>
      <c r="V93" s="101">
        <f>IF(TrRoad_act!V15=0,0,V29/TrRoad_act!V15*1000)</f>
        <v>171.65902961640612</v>
      </c>
      <c r="W93" s="101">
        <f>IF(TrRoad_act!W15=0,0,W29/TrRoad_act!W15*1000)</f>
        <v>164.61349394213309</v>
      </c>
      <c r="X93" s="101">
        <f>IF(TrRoad_act!X15=0,0,X29/TrRoad_act!X15*1000)</f>
        <v>141.27008053805835</v>
      </c>
      <c r="Y93" s="101">
        <f>IF(TrRoad_act!Y15=0,0,Y29/TrRoad_act!Y15*1000)</f>
        <v>147.68735031578615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94.6037653495044</v>
      </c>
      <c r="J94" s="101">
        <f>IF(TrRoad_act!J16=0,0,J30/TrRoad_act!J16*1000)</f>
        <v>86.855618393490715</v>
      </c>
      <c r="K94" s="101">
        <f>IF(TrRoad_act!K16=0,0,K30/TrRoad_act!K16*1000)</f>
        <v>102.04328416288153</v>
      </c>
      <c r="L94" s="101">
        <f>IF(TrRoad_act!L16=0,0,L30/TrRoad_act!L16*1000)</f>
        <v>107.78769678716102</v>
      </c>
      <c r="M94" s="101">
        <f>IF(TrRoad_act!M16=0,0,M30/TrRoad_act!M16*1000)</f>
        <v>110.76511246312867</v>
      </c>
      <c r="N94" s="101">
        <f>IF(TrRoad_act!N16=0,0,N30/TrRoad_act!N16*1000)</f>
        <v>102.92447384359565</v>
      </c>
      <c r="O94" s="101">
        <f>IF(TrRoad_act!O16=0,0,O30/TrRoad_act!O16*1000)</f>
        <v>98.699714877771441</v>
      </c>
      <c r="P94" s="101">
        <f>IF(TrRoad_act!P16=0,0,P30/TrRoad_act!P16*1000)</f>
        <v>97.922200104622107</v>
      </c>
      <c r="Q94" s="101">
        <f>IF(TrRoad_act!Q16=0,0,Q30/TrRoad_act!Q16*1000)</f>
        <v>110.45704926269407</v>
      </c>
      <c r="R94" s="101">
        <f>IF(TrRoad_act!R16=0,0,R30/TrRoad_act!R16*1000)</f>
        <v>105.85501983751746</v>
      </c>
      <c r="S94" s="101">
        <f>IF(TrRoad_act!S16=0,0,S30/TrRoad_act!S16*1000)</f>
        <v>99.343569907332594</v>
      </c>
      <c r="T94" s="101">
        <f>IF(TrRoad_act!T16=0,0,T30/TrRoad_act!T16*1000)</f>
        <v>112.42381624401698</v>
      </c>
      <c r="U94" s="101">
        <f>IF(TrRoad_act!U16=0,0,U30/TrRoad_act!U16*1000)</f>
        <v>84.387647907634019</v>
      </c>
      <c r="V94" s="101">
        <f>IF(TrRoad_act!V16=0,0,V30/TrRoad_act!V16*1000)</f>
        <v>115.2643142075685</v>
      </c>
      <c r="W94" s="101">
        <f>IF(TrRoad_act!W16=0,0,W30/TrRoad_act!W16*1000)</f>
        <v>114.42983379776382</v>
      </c>
      <c r="X94" s="101">
        <f>IF(TrRoad_act!X16=0,0,X30/TrRoad_act!X16*1000)</f>
        <v>95.328505471206441</v>
      </c>
      <c r="Y94" s="101">
        <f>IF(TrRoad_act!Y16=0,0,Y30/TrRoad_act!Y16*1000)</f>
        <v>94.863696106241136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153.50513063351525</v>
      </c>
      <c r="L95" s="101">
        <f>IF(TrRoad_act!L17=0,0,L31/TrRoad_act!L17*1000)</f>
        <v>284.87698351750214</v>
      </c>
      <c r="M95" s="101">
        <f>IF(TrRoad_act!M17=0,0,M31/TrRoad_act!M17*1000)</f>
        <v>76.539807291201413</v>
      </c>
      <c r="N95" s="101">
        <f>IF(TrRoad_act!N17=0,0,N31/TrRoad_act!N17*1000)</f>
        <v>80.438494069874054</v>
      </c>
      <c r="O95" s="101">
        <f>IF(TrRoad_act!O17=0,0,O31/TrRoad_act!O17*1000)</f>
        <v>75.86410312967719</v>
      </c>
      <c r="P95" s="101">
        <f>IF(TrRoad_act!P17=0,0,P31/TrRoad_act!P17*1000)</f>
        <v>77.287753872263551</v>
      </c>
      <c r="Q95" s="101">
        <f>IF(TrRoad_act!Q17=0,0,Q31/TrRoad_act!Q17*1000)</f>
        <v>89.93248331237119</v>
      </c>
      <c r="R95" s="101">
        <f>IF(TrRoad_act!R17=0,0,R31/TrRoad_act!R17*1000)</f>
        <v>94.583875436437083</v>
      </c>
      <c r="S95" s="101">
        <f>IF(TrRoad_act!S17=0,0,S31/TrRoad_act!S17*1000)</f>
        <v>86.034624005083884</v>
      </c>
      <c r="T95" s="101">
        <f>IF(TrRoad_act!T17=0,0,T31/TrRoad_act!T17*1000)</f>
        <v>97.348720788757987</v>
      </c>
      <c r="U95" s="101">
        <f>IF(TrRoad_act!U17=0,0,U31/TrRoad_act!U17*1000)</f>
        <v>73.383425742729884</v>
      </c>
      <c r="V95" s="101">
        <f>IF(TrRoad_act!V17=0,0,V31/TrRoad_act!V17*1000)</f>
        <v>102.26715552963419</v>
      </c>
      <c r="W95" s="101">
        <f>IF(TrRoad_act!W17=0,0,W31/TrRoad_act!W17*1000)</f>
        <v>101.49499036180282</v>
      </c>
      <c r="X95" s="101">
        <f>IF(TrRoad_act!X17=0,0,X31/TrRoad_act!X17*1000)</f>
        <v>87.53333350663128</v>
      </c>
      <c r="Y95" s="101">
        <f>IF(TrRoad_act!Y17=0,0,Y31/TrRoad_act!Y17*1000)</f>
        <v>87.187980950708322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106.72957856340159</v>
      </c>
      <c r="C97" s="29">
        <f>IF(TrRoad_act!C19=0,0,C33/TrRoad_act!C19*1000)</f>
        <v>92.079120481988483</v>
      </c>
      <c r="D97" s="29">
        <f>IF(TrRoad_act!D19=0,0,D33/TrRoad_act!D19*1000)</f>
        <v>110.71524983014939</v>
      </c>
      <c r="E97" s="29">
        <f>IF(TrRoad_act!E19=0,0,E33/TrRoad_act!E19*1000)</f>
        <v>117.82607868794059</v>
      </c>
      <c r="F97" s="29">
        <f>IF(TrRoad_act!F19=0,0,F33/TrRoad_act!F19*1000)</f>
        <v>116.65930514863298</v>
      </c>
      <c r="G97" s="29">
        <f>IF(TrRoad_act!G19=0,0,G33/TrRoad_act!G19*1000)</f>
        <v>117.77004891165402</v>
      </c>
      <c r="H97" s="29">
        <f>IF(TrRoad_act!H19=0,0,H33/TrRoad_act!H19*1000)</f>
        <v>120.99325884510363</v>
      </c>
      <c r="I97" s="29">
        <f>IF(TrRoad_act!I19=0,0,I33/TrRoad_act!I19*1000)</f>
        <v>122.52398721018609</v>
      </c>
      <c r="J97" s="29">
        <f>IF(TrRoad_act!J19=0,0,J33/TrRoad_act!J19*1000)</f>
        <v>129.61929546167704</v>
      </c>
      <c r="K97" s="29">
        <f>IF(TrRoad_act!K19=0,0,K33/TrRoad_act!K19*1000)</f>
        <v>145.42694144406431</v>
      </c>
      <c r="L97" s="29">
        <f>IF(TrRoad_act!L19=0,0,L33/TrRoad_act!L19*1000)</f>
        <v>152.63465309308202</v>
      </c>
      <c r="M97" s="29">
        <f>IF(TrRoad_act!M19=0,0,M33/TrRoad_act!M19*1000)</f>
        <v>150.52952223026369</v>
      </c>
      <c r="N97" s="29">
        <f>IF(TrRoad_act!N19=0,0,N33/TrRoad_act!N19*1000)</f>
        <v>140.82142552871107</v>
      </c>
      <c r="O97" s="29">
        <f>IF(TrRoad_act!O19=0,0,O33/TrRoad_act!O19*1000)</f>
        <v>153.67926427000265</v>
      </c>
      <c r="P97" s="29">
        <f>IF(TrRoad_act!P19=0,0,P33/TrRoad_act!P19*1000)</f>
        <v>141.21946399356429</v>
      </c>
      <c r="Q97" s="29">
        <f>IF(TrRoad_act!Q19=0,0,Q33/TrRoad_act!Q19*1000)</f>
        <v>138.76578816347794</v>
      </c>
      <c r="R97" s="29">
        <f>IF(TrRoad_act!R19=0,0,R33/TrRoad_act!R19*1000)</f>
        <v>134.7876469809122</v>
      </c>
      <c r="S97" s="29">
        <f>IF(TrRoad_act!S19=0,0,S33/TrRoad_act!S19*1000)</f>
        <v>148.5563243437588</v>
      </c>
      <c r="T97" s="29">
        <f>IF(TrRoad_act!T19=0,0,T33/TrRoad_act!T19*1000)</f>
        <v>138.21456058603115</v>
      </c>
      <c r="U97" s="29">
        <f>IF(TrRoad_act!U19=0,0,U33/TrRoad_act!U19*1000)</f>
        <v>162.64543894128386</v>
      </c>
      <c r="V97" s="29">
        <f>IF(TrRoad_act!V19=0,0,V33/TrRoad_act!V19*1000)</f>
        <v>155.48710672557397</v>
      </c>
      <c r="W97" s="29">
        <f>IF(TrRoad_act!W19=0,0,W33/TrRoad_act!W19*1000)</f>
        <v>156.36081571217503</v>
      </c>
      <c r="X97" s="29">
        <f>IF(TrRoad_act!X19=0,0,X33/TrRoad_act!X19*1000)</f>
        <v>165.0784707157755</v>
      </c>
      <c r="Y97" s="29">
        <f>IF(TrRoad_act!Y19=0,0,Y33/TrRoad_act!Y19*1000)</f>
        <v>178.32748613571198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1619.7029906636642</v>
      </c>
      <c r="C98" s="152">
        <f>IF(TrRoad_act!C20=0,0,C34/TrRoad_act!C20*1000)</f>
        <v>1462.8368435637456</v>
      </c>
      <c r="D98" s="152">
        <f>IF(TrRoad_act!D20=0,0,D34/TrRoad_act!D20*1000)</f>
        <v>1492.8417046820543</v>
      </c>
      <c r="E98" s="152">
        <f>IF(TrRoad_act!E20=0,0,E34/TrRoad_act!E20*1000)</f>
        <v>1479.8922981655253</v>
      </c>
      <c r="F98" s="152">
        <f>IF(TrRoad_act!F20=0,0,F34/TrRoad_act!F20*1000)</f>
        <v>1463.7827158322905</v>
      </c>
      <c r="G98" s="152">
        <f>IF(TrRoad_act!G20=0,0,G34/TrRoad_act!G20*1000)</f>
        <v>1481.4076750802667</v>
      </c>
      <c r="H98" s="152">
        <f>IF(TrRoad_act!H20=0,0,H34/TrRoad_act!H20*1000)</f>
        <v>1431.2023380304895</v>
      </c>
      <c r="I98" s="152">
        <f>IF(TrRoad_act!I20=0,0,I34/TrRoad_act!I20*1000)</f>
        <v>1421.6895400209662</v>
      </c>
      <c r="J98" s="152">
        <f>IF(TrRoad_act!J20=0,0,J34/TrRoad_act!J20*1000)</f>
        <v>1413.2658766204343</v>
      </c>
      <c r="K98" s="152">
        <f>IF(TrRoad_act!K20=0,0,K34/TrRoad_act!K20*1000)</f>
        <v>1405.1352235735599</v>
      </c>
      <c r="L98" s="152">
        <f>IF(TrRoad_act!L20=0,0,L34/TrRoad_act!L20*1000)</f>
        <v>1395.0400752690018</v>
      </c>
      <c r="M98" s="152">
        <f>IF(TrRoad_act!M20=0,0,M34/TrRoad_act!M20*1000)</f>
        <v>1378.5270806466272</v>
      </c>
      <c r="N98" s="152">
        <f>IF(TrRoad_act!N20=0,0,N34/TrRoad_act!N20*1000)</f>
        <v>1339.0006185251068</v>
      </c>
      <c r="O98" s="152">
        <f>IF(TrRoad_act!O20=0,0,O34/TrRoad_act!O20*1000)</f>
        <v>1321.1169782113241</v>
      </c>
      <c r="P98" s="152">
        <f>IF(TrRoad_act!P20=0,0,P34/TrRoad_act!P20*1000)</f>
        <v>1271.536627492203</v>
      </c>
      <c r="Q98" s="152">
        <f>IF(TrRoad_act!Q20=0,0,Q34/TrRoad_act!Q20*1000)</f>
        <v>1240.1972796630596</v>
      </c>
      <c r="R98" s="152">
        <f>IF(TrRoad_act!R20=0,0,R34/TrRoad_act!R20*1000)</f>
        <v>1222.6796164886669</v>
      </c>
      <c r="S98" s="152">
        <f>IF(TrRoad_act!S20=0,0,S34/TrRoad_act!S20*1000)</f>
        <v>1271.1029762683536</v>
      </c>
      <c r="T98" s="152">
        <f>IF(TrRoad_act!T20=0,0,T34/TrRoad_act!T20*1000)</f>
        <v>1220.7270007458039</v>
      </c>
      <c r="U98" s="152">
        <f>IF(TrRoad_act!U20=0,0,U34/TrRoad_act!U20*1000)</f>
        <v>1208.7945786110888</v>
      </c>
      <c r="V98" s="152">
        <f>IF(TrRoad_act!V20=0,0,V34/TrRoad_act!V20*1000)</f>
        <v>1190.7803056092519</v>
      </c>
      <c r="W98" s="152">
        <f>IF(TrRoad_act!W20=0,0,W34/TrRoad_act!W20*1000)</f>
        <v>1193.9502815311921</v>
      </c>
      <c r="X98" s="152">
        <f>IF(TrRoad_act!X20=0,0,X34/TrRoad_act!X20*1000)</f>
        <v>1254.2148450750894</v>
      </c>
      <c r="Y98" s="152">
        <f>IF(TrRoad_act!Y20=0,0,Y34/TrRoad_act!Y20*1000)</f>
        <v>1298.598677310202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1649.6208281065876</v>
      </c>
      <c r="C99" s="87">
        <f>IF(TrRoad_act!C21=0,0,C35/TrRoad_act!C21*1000)</f>
        <v>1619.8677859932072</v>
      </c>
      <c r="D99" s="87">
        <f>IF(TrRoad_act!D21=0,0,D35/TrRoad_act!D21*1000)</f>
        <v>1613.8338699098076</v>
      </c>
      <c r="E99" s="87">
        <f>IF(TrRoad_act!E21=0,0,E35/TrRoad_act!E21*1000)</f>
        <v>1608.7422923360177</v>
      </c>
      <c r="F99" s="87">
        <f>IF(TrRoad_act!F21=0,0,F35/TrRoad_act!F21*1000)</f>
        <v>1604.1687065830811</v>
      </c>
      <c r="G99" s="87">
        <f>IF(TrRoad_act!G21=0,0,G35/TrRoad_act!G21*1000)</f>
        <v>1598.472163732886</v>
      </c>
      <c r="H99" s="87">
        <f>IF(TrRoad_act!H21=0,0,H35/TrRoad_act!H21*1000)</f>
        <v>1590.6084343784662</v>
      </c>
      <c r="I99" s="87">
        <f>IF(TrRoad_act!I21=0,0,I35/TrRoad_act!I21*1000)</f>
        <v>1562.692596135591</v>
      </c>
      <c r="J99" s="87">
        <f>IF(TrRoad_act!J21=0,0,J35/TrRoad_act!J21*1000)</f>
        <v>1544.3458243036032</v>
      </c>
      <c r="K99" s="87">
        <f>IF(TrRoad_act!K21=0,0,K35/TrRoad_act!K21*1000)</f>
        <v>1511.8260764632241</v>
      </c>
      <c r="L99" s="87">
        <f>IF(TrRoad_act!L21=0,0,L35/TrRoad_act!L21*1000)</f>
        <v>1489.815522218159</v>
      </c>
      <c r="M99" s="87">
        <f>IF(TrRoad_act!M21=0,0,M35/TrRoad_act!M21*1000)</f>
        <v>1480.4273842924852</v>
      </c>
      <c r="N99" s="87">
        <f>IF(TrRoad_act!N21=0,0,N35/TrRoad_act!N21*1000)</f>
        <v>1468.8644346702574</v>
      </c>
      <c r="O99" s="87">
        <f>IF(TrRoad_act!O21=0,0,O35/TrRoad_act!O21*1000)</f>
        <v>1463.8152103700043</v>
      </c>
      <c r="P99" s="87">
        <f>IF(TrRoad_act!P21=0,0,P35/TrRoad_act!P21*1000)</f>
        <v>1456.1530657261258</v>
      </c>
      <c r="Q99" s="87">
        <f>IF(TrRoad_act!Q21=0,0,Q35/TrRoad_act!Q21*1000)</f>
        <v>1441.8887625415118</v>
      </c>
      <c r="R99" s="87">
        <f>IF(TrRoad_act!R21=0,0,R35/TrRoad_act!R21*1000)</f>
        <v>1431.898851263906</v>
      </c>
      <c r="S99" s="87">
        <f>IF(TrRoad_act!S21=0,0,S35/TrRoad_act!S21*1000)</f>
        <v>1447.6184335680698</v>
      </c>
      <c r="T99" s="87">
        <f>IF(TrRoad_act!T21=0,0,T35/TrRoad_act!T21*1000)</f>
        <v>1455.8833264445689</v>
      </c>
      <c r="U99" s="87">
        <f>IF(TrRoad_act!U21=0,0,U35/TrRoad_act!U21*1000)</f>
        <v>1445.1628539616966</v>
      </c>
      <c r="V99" s="87">
        <f>IF(TrRoad_act!V21=0,0,V35/TrRoad_act!V21*1000)</f>
        <v>1430.3254175576872</v>
      </c>
      <c r="W99" s="87">
        <f>IF(TrRoad_act!W21=0,0,W35/TrRoad_act!W21*1000)</f>
        <v>1415.2325359380666</v>
      </c>
      <c r="X99" s="87">
        <f>IF(TrRoad_act!X21=0,0,X35/TrRoad_act!X21*1000)</f>
        <v>1412.736891476286</v>
      </c>
      <c r="Y99" s="87">
        <f>IF(TrRoad_act!Y21=0,0,Y35/TrRoad_act!Y21*1000)</f>
        <v>1406.863886641501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1614.4527843467629</v>
      </c>
      <c r="C100" s="87">
        <f>IF(TrRoad_act!C22=0,0,C36/TrRoad_act!C22*1000)</f>
        <v>1436.1672905047931</v>
      </c>
      <c r="D100" s="87">
        <f>IF(TrRoad_act!D22=0,0,D36/TrRoad_act!D22*1000)</f>
        <v>1474.9295673101581</v>
      </c>
      <c r="E100" s="87">
        <f>IF(TrRoad_act!E22=0,0,E36/TrRoad_act!E22*1000)</f>
        <v>1463.7162915882489</v>
      </c>
      <c r="F100" s="87">
        <f>IF(TrRoad_act!F22=0,0,F36/TrRoad_act!F22*1000)</f>
        <v>1448.8357391068114</v>
      </c>
      <c r="G100" s="87">
        <f>IF(TrRoad_act!G22=0,0,G36/TrRoad_act!G22*1000)</f>
        <v>1470.6626749311117</v>
      </c>
      <c r="H100" s="87">
        <f>IF(TrRoad_act!H22=0,0,H36/TrRoad_act!H22*1000)</f>
        <v>1417.9668053083815</v>
      </c>
      <c r="I100" s="87">
        <f>IF(TrRoad_act!I22=0,0,I36/TrRoad_act!I22*1000)</f>
        <v>1412.8061988140516</v>
      </c>
      <c r="J100" s="87">
        <f>IF(TrRoad_act!J22=0,0,J36/TrRoad_act!J22*1000)</f>
        <v>1406.1654398125493</v>
      </c>
      <c r="K100" s="87">
        <f>IF(TrRoad_act!K22=0,0,K36/TrRoad_act!K22*1000)</f>
        <v>1400.3562328768164</v>
      </c>
      <c r="L100" s="87">
        <f>IF(TrRoad_act!L22=0,0,L36/TrRoad_act!L22*1000)</f>
        <v>1391.3858965957888</v>
      </c>
      <c r="M100" s="87">
        <f>IF(TrRoad_act!M22=0,0,M36/TrRoad_act!M22*1000)</f>
        <v>1374.6678528872189</v>
      </c>
      <c r="N100" s="87">
        <f>IF(TrRoad_act!N22=0,0,N36/TrRoad_act!N22*1000)</f>
        <v>1335.2011676349014</v>
      </c>
      <c r="O100" s="87">
        <f>IF(TrRoad_act!O22=0,0,O36/TrRoad_act!O22*1000)</f>
        <v>1317.1271327072075</v>
      </c>
      <c r="P100" s="87">
        <f>IF(TrRoad_act!P22=0,0,P36/TrRoad_act!P22*1000)</f>
        <v>1266.1818035471858</v>
      </c>
      <c r="Q100" s="87">
        <f>IF(TrRoad_act!Q22=0,0,Q36/TrRoad_act!Q22*1000)</f>
        <v>1235.5318459231773</v>
      </c>
      <c r="R100" s="87">
        <f>IF(TrRoad_act!R22=0,0,R36/TrRoad_act!R22*1000)</f>
        <v>1218.2831554958643</v>
      </c>
      <c r="S100" s="87">
        <f>IF(TrRoad_act!S22=0,0,S36/TrRoad_act!S22*1000)</f>
        <v>1267.6322331677866</v>
      </c>
      <c r="T100" s="87">
        <f>IF(TrRoad_act!T22=0,0,T36/TrRoad_act!T22*1000)</f>
        <v>1215.8286221533967</v>
      </c>
      <c r="U100" s="87">
        <f>IF(TrRoad_act!U22=0,0,U36/TrRoad_act!U22*1000)</f>
        <v>1204.2581772217291</v>
      </c>
      <c r="V100" s="87">
        <f>IF(TrRoad_act!V22=0,0,V36/TrRoad_act!V22*1000)</f>
        <v>1186.5187731788171</v>
      </c>
      <c r="W100" s="87">
        <f>IF(TrRoad_act!W22=0,0,W36/TrRoad_act!W22*1000)</f>
        <v>1190.4923099093032</v>
      </c>
      <c r="X100" s="87">
        <f>IF(TrRoad_act!X22=0,0,X36/TrRoad_act!X22*1000)</f>
        <v>1252.5989530197714</v>
      </c>
      <c r="Y100" s="87">
        <f>IF(TrRoad_act!Y22=0,0,Y36/TrRoad_act!Y22*1000)</f>
        <v>1299.0382147416065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1112.7447564557622</v>
      </c>
      <c r="J101" s="87">
        <f>IF(TrRoad_act!J23=0,0,J37/TrRoad_act!J23*1000)</f>
        <v>1087.3215203338038</v>
      </c>
      <c r="K101" s="87">
        <f>IF(TrRoad_act!K23=0,0,K37/TrRoad_act!K23*1000)</f>
        <v>1078.2906323236011</v>
      </c>
      <c r="L101" s="87">
        <f>IF(TrRoad_act!L23=0,0,L37/TrRoad_act!L23*1000)</f>
        <v>1068.7148708367911</v>
      </c>
      <c r="M101" s="87">
        <f>IF(TrRoad_act!M23=0,0,M37/TrRoad_act!M23*1000)</f>
        <v>1071.1870380377657</v>
      </c>
      <c r="N101" s="87">
        <f>IF(TrRoad_act!N23=0,0,N37/TrRoad_act!N23*1000)</f>
        <v>1074.2132864105279</v>
      </c>
      <c r="O101" s="87">
        <f>IF(TrRoad_act!O23=0,0,O37/TrRoad_act!O23*1000)</f>
        <v>1067.856909326767</v>
      </c>
      <c r="P101" s="87">
        <f>IF(TrRoad_act!P23=0,0,P37/TrRoad_act!P23*1000)</f>
        <v>1060.001210650569</v>
      </c>
      <c r="Q101" s="87">
        <f>IF(TrRoad_act!Q23=0,0,Q37/TrRoad_act!Q23*1000)</f>
        <v>1060.3090036830067</v>
      </c>
      <c r="R101" s="87">
        <f>IF(TrRoad_act!R23=0,0,R37/TrRoad_act!R23*1000)</f>
        <v>1046.2233659366202</v>
      </c>
      <c r="S101" s="87">
        <f>IF(TrRoad_act!S23=0,0,S37/TrRoad_act!S23*1000)</f>
        <v>1094.3609730461703</v>
      </c>
      <c r="T101" s="87">
        <f>IF(TrRoad_act!T23=0,0,T37/TrRoad_act!T23*1000)</f>
        <v>1116.5873866708712</v>
      </c>
      <c r="U101" s="87">
        <f>IF(TrRoad_act!U23=0,0,U37/TrRoad_act!U23*1000)</f>
        <v>1121.4864452116315</v>
      </c>
      <c r="V101" s="87">
        <f>IF(TrRoad_act!V23=0,0,V37/TrRoad_act!V23*1000)</f>
        <v>1132.4154869862011</v>
      </c>
      <c r="W101" s="87">
        <f>IF(TrRoad_act!W23=0,0,W37/TrRoad_act!W23*1000)</f>
        <v>1167.5995702566286</v>
      </c>
      <c r="X101" s="87">
        <f>IF(TrRoad_act!X23=0,0,X37/TrRoad_act!X23*1000)</f>
        <v>1189.2554758776575</v>
      </c>
      <c r="Y101" s="87">
        <f>IF(TrRoad_act!Y23=0,0,Y37/TrRoad_act!Y23*1000)</f>
        <v>1197.7882581383249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1865.1351287187047</v>
      </c>
      <c r="L102" s="87">
        <f>IF(TrRoad_act!L24=0,0,L38/TrRoad_act!L24*1000)</f>
        <v>1861.7700158712648</v>
      </c>
      <c r="M102" s="87">
        <f>IF(TrRoad_act!M24=0,0,M38/TrRoad_act!M24*1000)</f>
        <v>1875.2500546669391</v>
      </c>
      <c r="N102" s="87">
        <f>IF(TrRoad_act!N24=0,0,N38/TrRoad_act!N24*1000)</f>
        <v>1864.6131266749894</v>
      </c>
      <c r="O102" s="87">
        <f>IF(TrRoad_act!O24=0,0,O38/TrRoad_act!O24*1000)</f>
        <v>1872.8522387048019</v>
      </c>
      <c r="P102" s="87">
        <f>IF(TrRoad_act!P24=0,0,P38/TrRoad_act!P24*1000)</f>
        <v>1869.5657725288904</v>
      </c>
      <c r="Q102" s="87">
        <f>IF(TrRoad_act!Q24=0,0,Q38/TrRoad_act!Q24*1000)</f>
        <v>1865.5425896632587</v>
      </c>
      <c r="R102" s="87">
        <f>IF(TrRoad_act!R24=0,0,R38/TrRoad_act!R24*1000)</f>
        <v>1825.5574228764854</v>
      </c>
      <c r="S102" s="87">
        <f>IF(TrRoad_act!S24=0,0,S38/TrRoad_act!S24*1000)</f>
        <v>1886.1524700552181</v>
      </c>
      <c r="T102" s="87">
        <f>IF(TrRoad_act!T24=0,0,T38/TrRoad_act!T24*1000)</f>
        <v>1882.1840534731441</v>
      </c>
      <c r="U102" s="87">
        <f>IF(TrRoad_act!U24=0,0,U38/TrRoad_act!U24*1000)</f>
        <v>1871.3378453535374</v>
      </c>
      <c r="V102" s="87">
        <f>IF(TrRoad_act!V24=0,0,V38/TrRoad_act!V24*1000)</f>
        <v>1846.6373235634844</v>
      </c>
      <c r="W102" s="87">
        <f>IF(TrRoad_act!W24=0,0,W38/TrRoad_act!W24*1000)</f>
        <v>1872.4349035682008</v>
      </c>
      <c r="X102" s="87">
        <f>IF(TrRoad_act!X24=0,0,X38/TrRoad_act!X24*1000)</f>
        <v>1855.6478679034738</v>
      </c>
      <c r="Y102" s="87">
        <f>IF(TrRoad_act!Y24=0,0,Y38/TrRoad_act!Y24*1000)</f>
        <v>1861.0817907849762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70.564882820318857</v>
      </c>
      <c r="C104" s="116">
        <f>IF(TrRoad_act!C26=0,0,C40/TrRoad_act!C26*1000)</f>
        <v>59.52725124748553</v>
      </c>
      <c r="D104" s="116">
        <f>IF(TrRoad_act!D26=0,0,D40/TrRoad_act!D26*1000)</f>
        <v>77.499521989486126</v>
      </c>
      <c r="E104" s="116">
        <f>IF(TrRoad_act!E26=0,0,E40/TrRoad_act!E26*1000)</f>
        <v>83.696557378345616</v>
      </c>
      <c r="F104" s="116">
        <f>IF(TrRoad_act!F26=0,0,F40/TrRoad_act!F26*1000)</f>
        <v>83.767921525401078</v>
      </c>
      <c r="G104" s="116">
        <f>IF(TrRoad_act!G26=0,0,G40/TrRoad_act!G26*1000)</f>
        <v>82.587182337068484</v>
      </c>
      <c r="H104" s="116">
        <f>IF(TrRoad_act!H26=0,0,H40/TrRoad_act!H26*1000)</f>
        <v>85.850636450706432</v>
      </c>
      <c r="I104" s="116">
        <f>IF(TrRoad_act!I26=0,0,I40/TrRoad_act!I26*1000)</f>
        <v>88.615887009356868</v>
      </c>
      <c r="J104" s="116">
        <f>IF(TrRoad_act!J26=0,0,J40/TrRoad_act!J26*1000)</f>
        <v>92.496266767269404</v>
      </c>
      <c r="K104" s="116">
        <f>IF(TrRoad_act!K26=0,0,K40/TrRoad_act!K26*1000)</f>
        <v>102.1858079982474</v>
      </c>
      <c r="L104" s="116">
        <f>IF(TrRoad_act!L26=0,0,L40/TrRoad_act!L26*1000)</f>
        <v>109.80831901663176</v>
      </c>
      <c r="M104" s="116">
        <f>IF(TrRoad_act!M26=0,0,M40/TrRoad_act!M26*1000)</f>
        <v>107.22687886041651</v>
      </c>
      <c r="N104" s="116">
        <f>IF(TrRoad_act!N26=0,0,N40/TrRoad_act!N26*1000)</f>
        <v>99.177501463940132</v>
      </c>
      <c r="O104" s="116">
        <f>IF(TrRoad_act!O26=0,0,O40/TrRoad_act!O26*1000)</f>
        <v>114.57045255960907</v>
      </c>
      <c r="P104" s="116">
        <f>IF(TrRoad_act!P26=0,0,P40/TrRoad_act!P26*1000)</f>
        <v>102.71657357230995</v>
      </c>
      <c r="Q104" s="116">
        <f>IF(TrRoad_act!Q26=0,0,Q40/TrRoad_act!Q26*1000)</f>
        <v>98.545444508941713</v>
      </c>
      <c r="R104" s="116">
        <f>IF(TrRoad_act!R26=0,0,R40/TrRoad_act!R26*1000)</f>
        <v>92.535814049180331</v>
      </c>
      <c r="S104" s="116">
        <f>IF(TrRoad_act!S26=0,0,S40/TrRoad_act!S26*1000)</f>
        <v>106.57966378094459</v>
      </c>
      <c r="T104" s="116">
        <f>IF(TrRoad_act!T26=0,0,T40/TrRoad_act!T26*1000)</f>
        <v>93.442198104724838</v>
      </c>
      <c r="U104" s="116">
        <f>IF(TrRoad_act!U26=0,0,U40/TrRoad_act!U26*1000)</f>
        <v>113.77588173007562</v>
      </c>
      <c r="V104" s="116">
        <f>IF(TrRoad_act!V26=0,0,V40/TrRoad_act!V26*1000)</f>
        <v>106.70950135078157</v>
      </c>
      <c r="W104" s="116">
        <f>IF(TrRoad_act!W26=0,0,W40/TrRoad_act!W26*1000)</f>
        <v>103.6992878513136</v>
      </c>
      <c r="X104" s="116">
        <f>IF(TrRoad_act!X26=0,0,X40/TrRoad_act!X26*1000)</f>
        <v>107.51265709702973</v>
      </c>
      <c r="Y104" s="116">
        <f>IF(TrRoad_act!Y26=0,0,Y40/TrRoad_act!Y26*1000)</f>
        <v>118.1865472449017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99.547983459187648</v>
      </c>
      <c r="C105" s="101">
        <f>IF(TrRoad_act!C27=0,0,C41/TrRoad_act!C27*1000)</f>
        <v>93.3977339705134</v>
      </c>
      <c r="D105" s="101">
        <f>IF(TrRoad_act!D27=0,0,D41/TrRoad_act!D27*1000)</f>
        <v>113.33369755388144</v>
      </c>
      <c r="E105" s="101">
        <f>IF(TrRoad_act!E27=0,0,E41/TrRoad_act!E27*1000)</f>
        <v>119.57636551723722</v>
      </c>
      <c r="F105" s="101">
        <f>IF(TrRoad_act!F27=0,0,F41/TrRoad_act!F27*1000)</f>
        <v>119.5433164225653</v>
      </c>
      <c r="G105" s="101">
        <f>IF(TrRoad_act!G27=0,0,G41/TrRoad_act!G27*1000)</f>
        <v>119.08571804540978</v>
      </c>
      <c r="H105" s="101">
        <f>IF(TrRoad_act!H27=0,0,H41/TrRoad_act!H27*1000)</f>
        <v>119.06376732687302</v>
      </c>
      <c r="I105" s="101">
        <f>IF(TrRoad_act!I27=0,0,I41/TrRoad_act!I27*1000)</f>
        <v>120.00794172107419</v>
      </c>
      <c r="J105" s="101">
        <f>IF(TrRoad_act!J27=0,0,J41/TrRoad_act!J27*1000)</f>
        <v>110.3171732846387</v>
      </c>
      <c r="K105" s="101">
        <f>IF(TrRoad_act!K27=0,0,K41/TrRoad_act!K27*1000)</f>
        <v>118.54380119199398</v>
      </c>
      <c r="L105" s="101">
        <f>IF(TrRoad_act!L27=0,0,L41/TrRoad_act!L27*1000)</f>
        <v>128.3918654082313</v>
      </c>
      <c r="M105" s="101">
        <f>IF(TrRoad_act!M27=0,0,M41/TrRoad_act!M27*1000)</f>
        <v>130.52691516618466</v>
      </c>
      <c r="N105" s="101">
        <f>IF(TrRoad_act!N27=0,0,N41/TrRoad_act!N27*1000)</f>
        <v>123.22176542167473</v>
      </c>
      <c r="O105" s="101">
        <f>IF(TrRoad_act!O27=0,0,O41/TrRoad_act!O27*1000)</f>
        <v>126.55897984354078</v>
      </c>
      <c r="P105" s="101">
        <f>IF(TrRoad_act!P27=0,0,P41/TrRoad_act!P27*1000)</f>
        <v>124.13511368313391</v>
      </c>
      <c r="Q105" s="101">
        <f>IF(TrRoad_act!Q27=0,0,Q41/TrRoad_act!Q27*1000)</f>
        <v>120.77992165528731</v>
      </c>
      <c r="R105" s="101">
        <f>IF(TrRoad_act!R27=0,0,R41/TrRoad_act!R27*1000)</f>
        <v>123.02998357217427</v>
      </c>
      <c r="S105" s="101">
        <f>IF(TrRoad_act!S27=0,0,S41/TrRoad_act!S27*1000)</f>
        <v>127.94589315787394</v>
      </c>
      <c r="T105" s="101">
        <f>IF(TrRoad_act!T27=0,0,T41/TrRoad_act!T27*1000)</f>
        <v>118.48360485721851</v>
      </c>
      <c r="U105" s="101">
        <f>IF(TrRoad_act!U27=0,0,U41/TrRoad_act!U27*1000)</f>
        <v>122.45282813217933</v>
      </c>
      <c r="V105" s="101">
        <f>IF(TrRoad_act!V27=0,0,V41/TrRoad_act!V27*1000)</f>
        <v>116.22239347157003</v>
      </c>
      <c r="W105" s="101">
        <f>IF(TrRoad_act!W27=0,0,W41/TrRoad_act!W27*1000)</f>
        <v>114.58285780512311</v>
      </c>
      <c r="X105" s="101">
        <f>IF(TrRoad_act!X27=0,0,X41/TrRoad_act!X27*1000)</f>
        <v>118.306168687472</v>
      </c>
      <c r="Y105" s="101">
        <f>IF(TrRoad_act!Y27=0,0,Y41/TrRoad_act!Y27*1000)</f>
        <v>119.91952968423655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58.006916165737714</v>
      </c>
      <c r="C106" s="88">
        <f>IF(TrRoad_act!C28=0,0,C42/TrRoad_act!C28*1000)</f>
        <v>36.433637219989286</v>
      </c>
      <c r="D106" s="88">
        <f>IF(TrRoad_act!D28=0,0,D42/TrRoad_act!D28*1000)</f>
        <v>51.196296026223841</v>
      </c>
      <c r="E106" s="88">
        <f>IF(TrRoad_act!E28=0,0,E42/TrRoad_act!E28*1000)</f>
        <v>54.515394201072255</v>
      </c>
      <c r="F106" s="88">
        <f>IF(TrRoad_act!F28=0,0,F42/TrRoad_act!F28*1000)</f>
        <v>57.18705377260406</v>
      </c>
      <c r="G106" s="88">
        <f>IF(TrRoad_act!G28=0,0,G42/TrRoad_act!G28*1000)</f>
        <v>56.32117128051204</v>
      </c>
      <c r="H106" s="88">
        <f>IF(TrRoad_act!H28=0,0,H42/TrRoad_act!H28*1000)</f>
        <v>54.575938491022086</v>
      </c>
      <c r="I106" s="88">
        <f>IF(TrRoad_act!I28=0,0,I42/TrRoad_act!I28*1000)</f>
        <v>61.413949221559818</v>
      </c>
      <c r="J106" s="88">
        <f>IF(TrRoad_act!J28=0,0,J42/TrRoad_act!J28*1000)</f>
        <v>63.271229504902813</v>
      </c>
      <c r="K106" s="88">
        <f>IF(TrRoad_act!K28=0,0,K42/TrRoad_act!K28*1000)</f>
        <v>77.32036927851226</v>
      </c>
      <c r="L106" s="88">
        <f>IF(TrRoad_act!L28=0,0,L42/TrRoad_act!L28*1000)</f>
        <v>84.80202064040931</v>
      </c>
      <c r="M106" s="88">
        <f>IF(TrRoad_act!M28=0,0,M42/TrRoad_act!M28*1000)</f>
        <v>76.86809895020032</v>
      </c>
      <c r="N106" s="88">
        <f>IF(TrRoad_act!N28=0,0,N42/TrRoad_act!N28*1000)</f>
        <v>68.684123505876059</v>
      </c>
      <c r="O106" s="88">
        <f>IF(TrRoad_act!O28=0,0,O42/TrRoad_act!O28*1000)</f>
        <v>99.52048664842988</v>
      </c>
      <c r="P106" s="88">
        <f>IF(TrRoad_act!P28=0,0,P42/TrRoad_act!P28*1000)</f>
        <v>79.555156672545465</v>
      </c>
      <c r="Q106" s="88">
        <f>IF(TrRoad_act!Q28=0,0,Q42/TrRoad_act!Q28*1000)</f>
        <v>76.895292898660898</v>
      </c>
      <c r="R106" s="88">
        <f>IF(TrRoad_act!R28=0,0,R42/TrRoad_act!R28*1000)</f>
        <v>64.031158021283261</v>
      </c>
      <c r="S106" s="88">
        <f>IF(TrRoad_act!S28=0,0,S42/TrRoad_act!S28*1000)</f>
        <v>89.558328218530903</v>
      </c>
      <c r="T106" s="88">
        <f>IF(TrRoad_act!T28=0,0,T42/TrRoad_act!T28*1000)</f>
        <v>73.379701397042169</v>
      </c>
      <c r="U106" s="88">
        <f>IF(TrRoad_act!U28=0,0,U42/TrRoad_act!U28*1000)</f>
        <v>105.85233389316937</v>
      </c>
      <c r="V106" s="88">
        <f>IF(TrRoad_act!V28=0,0,V42/TrRoad_act!V28*1000)</f>
        <v>97.805799442984764</v>
      </c>
      <c r="W106" s="88">
        <f>IF(TrRoad_act!W28=0,0,W42/TrRoad_act!W28*1000)</f>
        <v>92.118764270947239</v>
      </c>
      <c r="X106" s="88">
        <f>IF(TrRoad_act!X28=0,0,X42/TrRoad_act!X28*1000)</f>
        <v>96.351237143896597</v>
      </c>
      <c r="Y106" s="88">
        <f>IF(TrRoad_act!Y28=0,0,Y42/TrRoad_act!Y28*1000)</f>
        <v>116.4049668493325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209.08807894377736</v>
      </c>
      <c r="C110" s="152">
        <f>IF(C19=0,0,1000000*C19/TrRoad_act!C59)</f>
        <v>208.86649054300378</v>
      </c>
      <c r="D110" s="152">
        <f>IF(D19=0,0,1000000*D19/TrRoad_act!D59)</f>
        <v>204.51147736164887</v>
      </c>
      <c r="E110" s="152">
        <f>IF(E19=0,0,1000000*E19/TrRoad_act!E59)</f>
        <v>191.86058294698486</v>
      </c>
      <c r="F110" s="152">
        <f>IF(F19=0,0,1000000*F19/TrRoad_act!F59)</f>
        <v>181.87260525814628</v>
      </c>
      <c r="G110" s="152">
        <f>IF(G19=0,0,1000000*G19/TrRoad_act!G59)</f>
        <v>173.79123835526869</v>
      </c>
      <c r="H110" s="152">
        <f>IF(H19=0,0,1000000*H19/TrRoad_act!H59)</f>
        <v>165.58968889669393</v>
      </c>
      <c r="I110" s="152">
        <f>IF(I19=0,0,1000000*I19/TrRoad_act!I59)</f>
        <v>159.01955809401372</v>
      </c>
      <c r="J110" s="152">
        <f>IF(J19=0,0,1000000*J19/TrRoad_act!J59)</f>
        <v>152.80126707424662</v>
      </c>
      <c r="K110" s="152">
        <f>IF(K19=0,0,1000000*K19/TrRoad_act!K59)</f>
        <v>150.02976822776452</v>
      </c>
      <c r="L110" s="152">
        <f>IF(L19=0,0,1000000*L19/TrRoad_act!L59)</f>
        <v>149.94536782394491</v>
      </c>
      <c r="M110" s="152">
        <f>IF(M19=0,0,1000000*M19/TrRoad_act!M59)</f>
        <v>149.79089066984361</v>
      </c>
      <c r="N110" s="152">
        <f>IF(N19=0,0,1000000*N19/TrRoad_act!N59)</f>
        <v>147.00473367606369</v>
      </c>
      <c r="O110" s="152">
        <f>IF(O19=0,0,1000000*O19/TrRoad_act!O59)</f>
        <v>147.20081698607532</v>
      </c>
      <c r="P110" s="152">
        <f>IF(P19=0,0,1000000*P19/TrRoad_act!P59)</f>
        <v>147.49646670098389</v>
      </c>
      <c r="Q110" s="152">
        <f>IF(Q19=0,0,1000000*Q19/TrRoad_act!Q59)</f>
        <v>149.06485459237928</v>
      </c>
      <c r="R110" s="152">
        <f>IF(R19=0,0,1000000*R19/TrRoad_act!R59)</f>
        <v>155.07358255096733</v>
      </c>
      <c r="S110" s="152">
        <f>IF(S19=0,0,1000000*S19/TrRoad_act!S59)</f>
        <v>159.76067719575806</v>
      </c>
      <c r="T110" s="152">
        <f>IF(T19=0,0,1000000*T19/TrRoad_act!T59)</f>
        <v>158.24038007022716</v>
      </c>
      <c r="U110" s="152">
        <f>IF(U19=0,0,1000000*U19/TrRoad_act!U59)</f>
        <v>160.94346633126577</v>
      </c>
      <c r="V110" s="152">
        <f>IF(V19=0,0,1000000*V19/TrRoad_act!V59)</f>
        <v>141.41122651589845</v>
      </c>
      <c r="W110" s="152">
        <f>IF(W19=0,0,1000000*W19/TrRoad_act!W59)</f>
        <v>170.37905178377773</v>
      </c>
      <c r="X110" s="152">
        <f>IF(X19=0,0,1000000*X19/TrRoad_act!X59)</f>
        <v>175.29445600593877</v>
      </c>
      <c r="Y110" s="152">
        <f>IF(Y19=0,0,1000000*Y19/TrRoad_act!Y59)</f>
        <v>179.35562885153499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2556.4937034473965</v>
      </c>
      <c r="C111" s="116">
        <f>IF(C20=0,0,1000000*C20/TrRoad_act!C60)</f>
        <v>2452.9456594242533</v>
      </c>
      <c r="D111" s="116">
        <f>IF(D20=0,0,1000000*D20/TrRoad_act!D60)</f>
        <v>2412.1615897189054</v>
      </c>
      <c r="E111" s="116">
        <f>IF(E20=0,0,1000000*E20/TrRoad_act!E60)</f>
        <v>2513.7429706331191</v>
      </c>
      <c r="F111" s="116">
        <f>IF(F20=0,0,1000000*F20/TrRoad_act!F60)</f>
        <v>2461.2939404153312</v>
      </c>
      <c r="G111" s="116">
        <f>IF(G20=0,0,1000000*G20/TrRoad_act!G60)</f>
        <v>2493.0193373817465</v>
      </c>
      <c r="H111" s="116">
        <f>IF(H20=0,0,1000000*H20/TrRoad_act!H60)</f>
        <v>2581.916866672158</v>
      </c>
      <c r="I111" s="116">
        <f>IF(I20=0,0,1000000*I20/TrRoad_act!I60)</f>
        <v>2688.851606633184</v>
      </c>
      <c r="J111" s="116">
        <f>IF(J20=0,0,1000000*J20/TrRoad_act!J60)</f>
        <v>2565.178618578178</v>
      </c>
      <c r="K111" s="116">
        <f>IF(K20=0,0,1000000*K20/TrRoad_act!K60)</f>
        <v>2621.3019077952667</v>
      </c>
      <c r="L111" s="116">
        <f>IF(L20=0,0,1000000*L20/TrRoad_act!L60)</f>
        <v>2536.7509299819717</v>
      </c>
      <c r="M111" s="116">
        <f>IF(M20=0,0,1000000*M20/TrRoad_act!M60)</f>
        <v>2510.7420970462908</v>
      </c>
      <c r="N111" s="116">
        <f>IF(N20=0,0,1000000*N20/TrRoad_act!N60)</f>
        <v>2604.2766670596711</v>
      </c>
      <c r="O111" s="116">
        <f>IF(O20=0,0,1000000*O20/TrRoad_act!O60)</f>
        <v>2462.5393363402413</v>
      </c>
      <c r="P111" s="116">
        <f>IF(P20=0,0,1000000*P20/TrRoad_act!P60)</f>
        <v>2452.5679931783361</v>
      </c>
      <c r="Q111" s="116">
        <f>IF(Q20=0,0,1000000*Q20/TrRoad_act!Q60)</f>
        <v>2636.9093702526329</v>
      </c>
      <c r="R111" s="116">
        <f>IF(R20=0,0,1000000*R20/TrRoad_act!R60)</f>
        <v>2677.7242350622109</v>
      </c>
      <c r="S111" s="116">
        <f>IF(S20=0,0,1000000*S20/TrRoad_act!S60)</f>
        <v>2686.8155840528648</v>
      </c>
      <c r="T111" s="116">
        <f>IF(T20=0,0,1000000*T20/TrRoad_act!T60)</f>
        <v>2485.0709310329185</v>
      </c>
      <c r="U111" s="116">
        <f>IF(U20=0,0,1000000*U20/TrRoad_act!U60)</f>
        <v>2461.1822920804393</v>
      </c>
      <c r="V111" s="116">
        <f>IF(V20=0,0,1000000*V20/TrRoad_act!V60)</f>
        <v>2090.5148108646194</v>
      </c>
      <c r="W111" s="116">
        <f>IF(W20=0,0,1000000*W20/TrRoad_act!W60)</f>
        <v>2238.3419738780253</v>
      </c>
      <c r="X111" s="116">
        <f>IF(X20=0,0,1000000*X20/TrRoad_act!X60)</f>
        <v>2336.2043718550726</v>
      </c>
      <c r="Y111" s="116">
        <f>IF(Y20=0,0,1000000*Y20/TrRoad_act!Y60)</f>
        <v>2529.9610528603971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2586.5744999316057</v>
      </c>
      <c r="C112" s="87">
        <f>IF(C21=0,0,1000000*C21/TrRoad_act!C61)</f>
        <v>2420.1163124614413</v>
      </c>
      <c r="D112" s="87">
        <f>IF(D21=0,0,1000000*D21/TrRoad_act!D61)</f>
        <v>2416.5422365772206</v>
      </c>
      <c r="E112" s="87">
        <f>IF(E21=0,0,1000000*E21/TrRoad_act!E61)</f>
        <v>2376.6657659054044</v>
      </c>
      <c r="F112" s="87">
        <f>IF(F21=0,0,1000000*F21/TrRoad_act!F61)</f>
        <v>2268.9412421393426</v>
      </c>
      <c r="G112" s="87">
        <f>IF(G21=0,0,1000000*G21/TrRoad_act!G61)</f>
        <v>2227.0692548773409</v>
      </c>
      <c r="H112" s="87">
        <f>IF(H21=0,0,1000000*H21/TrRoad_act!H61)</f>
        <v>2227.4921558600363</v>
      </c>
      <c r="I112" s="87">
        <f>IF(I21=0,0,1000000*I21/TrRoad_act!I61)</f>
        <v>2247.5764286237713</v>
      </c>
      <c r="J112" s="87">
        <f>IF(J21=0,0,1000000*J21/TrRoad_act!J61)</f>
        <v>2144.2451985252865</v>
      </c>
      <c r="K112" s="87">
        <f>IF(K21=0,0,1000000*K21/TrRoad_act!K61)</f>
        <v>2209.633514416359</v>
      </c>
      <c r="L112" s="87">
        <f>IF(L21=0,0,1000000*L21/TrRoad_act!L61)</f>
        <v>2115.6967333311813</v>
      </c>
      <c r="M112" s="87">
        <f>IF(M21=0,0,1000000*M21/TrRoad_act!M61)</f>
        <v>2096.5106838716119</v>
      </c>
      <c r="N112" s="87">
        <f>IF(N21=0,0,1000000*N21/TrRoad_act!N61)</f>
        <v>2112.3426221138675</v>
      </c>
      <c r="O112" s="87">
        <f>IF(O21=0,0,1000000*O21/TrRoad_act!O61)</f>
        <v>2020.4774236674295</v>
      </c>
      <c r="P112" s="87">
        <f>IF(P21=0,0,1000000*P21/TrRoad_act!P61)</f>
        <v>1909.633519671994</v>
      </c>
      <c r="Q112" s="87">
        <f>IF(Q21=0,0,1000000*Q21/TrRoad_act!Q61)</f>
        <v>2031.1507238054446</v>
      </c>
      <c r="R112" s="87">
        <f>IF(R21=0,0,1000000*R21/TrRoad_act!R61)</f>
        <v>2077.747225013366</v>
      </c>
      <c r="S112" s="87">
        <f>IF(S21=0,0,1000000*S21/TrRoad_act!S61)</f>
        <v>2032.6682807769064</v>
      </c>
      <c r="T112" s="87">
        <f>IF(T21=0,0,1000000*T21/TrRoad_act!T61)</f>
        <v>1999.7425458151988</v>
      </c>
      <c r="U112" s="87">
        <f>IF(U21=0,0,1000000*U21/TrRoad_act!U61)</f>
        <v>1937.703465319024</v>
      </c>
      <c r="V112" s="87">
        <f>IF(V21=0,0,1000000*V21/TrRoad_act!V61)</f>
        <v>1648.3323616312423</v>
      </c>
      <c r="W112" s="87">
        <f>IF(W21=0,0,1000000*W21/TrRoad_act!W61)</f>
        <v>1851.5868031714836</v>
      </c>
      <c r="X112" s="87">
        <f>IF(X21=0,0,1000000*X21/TrRoad_act!X61)</f>
        <v>1946.6791971883031</v>
      </c>
      <c r="Y112" s="87">
        <f>IF(Y21=0,0,1000000*Y21/TrRoad_act!Y61)</f>
        <v>2078.8839561236978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2454.9359774710174</v>
      </c>
      <c r="C113" s="87">
        <f>IF(C22=0,0,1000000*C22/TrRoad_act!C62)</f>
        <v>2573.4476694287155</v>
      </c>
      <c r="D113" s="87">
        <f>IF(D22=0,0,1000000*D22/TrRoad_act!D62)</f>
        <v>2395.8125957176999</v>
      </c>
      <c r="E113" s="87">
        <f>IF(E22=0,0,1000000*E22/TrRoad_act!E62)</f>
        <v>2912.6055491100688</v>
      </c>
      <c r="F113" s="87">
        <f>IF(F22=0,0,1000000*F22/TrRoad_act!F62)</f>
        <v>2953.475530799923</v>
      </c>
      <c r="G113" s="87">
        <f>IF(G22=0,0,1000000*G22/TrRoad_act!G62)</f>
        <v>3119.4988335287644</v>
      </c>
      <c r="H113" s="87">
        <f>IF(H22=0,0,1000000*H22/TrRoad_act!H62)</f>
        <v>3375.5223412272367</v>
      </c>
      <c r="I113" s="87">
        <f>IF(I22=0,0,1000000*I22/TrRoad_act!I62)</f>
        <v>3620.0744720767207</v>
      </c>
      <c r="J113" s="87">
        <f>IF(J22=0,0,1000000*J22/TrRoad_act!J62)</f>
        <v>3418.5235848482607</v>
      </c>
      <c r="K113" s="87">
        <f>IF(K22=0,0,1000000*K22/TrRoad_act!K62)</f>
        <v>3523.7376833952053</v>
      </c>
      <c r="L113" s="87">
        <f>IF(L22=0,0,1000000*L22/TrRoad_act!L62)</f>
        <v>3389.8910411604406</v>
      </c>
      <c r="M113" s="87">
        <f>IF(M22=0,0,1000000*M22/TrRoad_act!M62)</f>
        <v>3329.1714424304587</v>
      </c>
      <c r="N113" s="87">
        <f>IF(N22=0,0,1000000*N22/TrRoad_act!N62)</f>
        <v>3475.9109175647686</v>
      </c>
      <c r="O113" s="87">
        <f>IF(O22=0,0,1000000*O22/TrRoad_act!O62)</f>
        <v>3184.8854934161232</v>
      </c>
      <c r="P113" s="87">
        <f>IF(P22=0,0,1000000*P22/TrRoad_act!P62)</f>
        <v>3239.0269827698426</v>
      </c>
      <c r="Q113" s="87">
        <f>IF(Q22=0,0,1000000*Q22/TrRoad_act!Q62)</f>
        <v>3451.9390571157091</v>
      </c>
      <c r="R113" s="87">
        <f>IF(R22=0,0,1000000*R22/TrRoad_act!R62)</f>
        <v>3417.2546748491004</v>
      </c>
      <c r="S113" s="87">
        <f>IF(S22=0,0,1000000*S22/TrRoad_act!S62)</f>
        <v>3439.3698046473573</v>
      </c>
      <c r="T113" s="87">
        <f>IF(T22=0,0,1000000*T22/TrRoad_act!T62)</f>
        <v>3010.4559422634052</v>
      </c>
      <c r="U113" s="87">
        <f>IF(U22=0,0,1000000*U22/TrRoad_act!U62)</f>
        <v>2999.5883768633726</v>
      </c>
      <c r="V113" s="87">
        <f>IF(V22=0,0,1000000*V22/TrRoad_act!V62)</f>
        <v>2542.1088372640361</v>
      </c>
      <c r="W113" s="87">
        <f>IF(W22=0,0,1000000*W22/TrRoad_act!W62)</f>
        <v>2652.9186995046289</v>
      </c>
      <c r="X113" s="87">
        <f>IF(X22=0,0,1000000*X22/TrRoad_act!X62)</f>
        <v>2759.750659092972</v>
      </c>
      <c r="Y113" s="87">
        <f>IF(Y22=0,0,1000000*Y22/TrRoad_act!Y62)</f>
        <v>3025.244848754156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2275.9684615384608</v>
      </c>
      <c r="C114" s="87">
        <f>IF(C23=0,0,1000000*C23/TrRoad_act!C63)</f>
        <v>2379.061109622085</v>
      </c>
      <c r="D114" s="87">
        <f>IF(D23=0,0,1000000*D23/TrRoad_act!D63)</f>
        <v>2455.2472999308493</v>
      </c>
      <c r="E114" s="87">
        <f>IF(E23=0,0,1000000*E23/TrRoad_act!E63)</f>
        <v>2290.0611455108365</v>
      </c>
      <c r="F114" s="87">
        <f>IF(F23=0,0,1000000*F23/TrRoad_act!F63)</f>
        <v>2288.0939513776343</v>
      </c>
      <c r="G114" s="87">
        <f>IF(G23=0,0,1000000*G23/TrRoad_act!G63)</f>
        <v>2236.7087485396205</v>
      </c>
      <c r="H114" s="87">
        <f>IF(H23=0,0,1000000*H23/TrRoad_act!H63)</f>
        <v>2226.6217101248831</v>
      </c>
      <c r="I114" s="87">
        <f>IF(I23=0,0,1000000*I23/TrRoad_act!I63)</f>
        <v>2152.0616359167589</v>
      </c>
      <c r="J114" s="87">
        <f>IF(J23=0,0,1000000*J23/TrRoad_act!J63)</f>
        <v>2221.8696842693812</v>
      </c>
      <c r="K114" s="87">
        <f>IF(K23=0,0,1000000*K23/TrRoad_act!K63)</f>
        <v>1895.6901962375557</v>
      </c>
      <c r="L114" s="87">
        <f>IF(L23=0,0,1000000*L23/TrRoad_act!L63)</f>
        <v>1881.5796246916698</v>
      </c>
      <c r="M114" s="87">
        <f>IF(M23=0,0,1000000*M23/TrRoad_act!M63)</f>
        <v>1812.4374351470738</v>
      </c>
      <c r="N114" s="87">
        <f>IF(N23=0,0,1000000*N23/TrRoad_act!N63)</f>
        <v>1920.6060283596844</v>
      </c>
      <c r="O114" s="87">
        <f>IF(O23=0,0,1000000*O23/TrRoad_act!O63)</f>
        <v>1995.2834696291525</v>
      </c>
      <c r="P114" s="87">
        <f>IF(P23=0,0,1000000*P23/TrRoad_act!P63)</f>
        <v>2044.8822080580223</v>
      </c>
      <c r="Q114" s="87">
        <f>IF(Q23=0,0,1000000*Q23/TrRoad_act!Q63)</f>
        <v>2125.1189443435633</v>
      </c>
      <c r="R114" s="87">
        <f>IF(R23=0,0,1000000*R23/TrRoad_act!R63)</f>
        <v>2109.5246822394301</v>
      </c>
      <c r="S114" s="87">
        <f>IF(S23=0,0,1000000*S23/TrRoad_act!S63)</f>
        <v>1978.255941358158</v>
      </c>
      <c r="T114" s="87">
        <f>IF(T23=0,0,1000000*T23/TrRoad_act!T63)</f>
        <v>1834.0581144383493</v>
      </c>
      <c r="U114" s="87">
        <f>IF(U23=0,0,1000000*U23/TrRoad_act!U63)</f>
        <v>1637.4482947948175</v>
      </c>
      <c r="V114" s="87">
        <f>IF(V23=0,0,1000000*V23/TrRoad_act!V63)</f>
        <v>1258.5712370528361</v>
      </c>
      <c r="W114" s="87">
        <f>IF(W23=0,0,1000000*W23/TrRoad_act!W63)</f>
        <v>1272.8424682611126</v>
      </c>
      <c r="X114" s="87">
        <f>IF(X23=0,0,1000000*X23/TrRoad_act!X63)</f>
        <v>1168.9317539115386</v>
      </c>
      <c r="Y114" s="87">
        <f>IF(Y23=0,0,1000000*Y23/TrRoad_act!Y63)</f>
        <v>1118.4744897493122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2548.1824316753086</v>
      </c>
      <c r="L115" s="87">
        <f>IF(L24=0,0,1000000*L24/TrRoad_act!L64)</f>
        <v>2571.6768234478482</v>
      </c>
      <c r="M115" s="87">
        <f>IF(M24=0,0,1000000*M24/TrRoad_act!M64)</f>
        <v>2578.8574873628359</v>
      </c>
      <c r="N115" s="87">
        <f>IF(N24=0,0,1000000*N24/TrRoad_act!N64)</f>
        <v>2712.8859011182967</v>
      </c>
      <c r="O115" s="87">
        <f>IF(O24=0,0,1000000*O24/TrRoad_act!O64)</f>
        <v>2728.9806242154518</v>
      </c>
      <c r="P115" s="87">
        <f>IF(P24=0,0,1000000*P24/TrRoad_act!P64)</f>
        <v>2648.9595695429907</v>
      </c>
      <c r="Q115" s="87">
        <f>IF(Q24=0,0,1000000*Q24/TrRoad_act!Q64)</f>
        <v>2627.9876758781611</v>
      </c>
      <c r="R115" s="87">
        <f>IF(R24=0,0,1000000*R24/TrRoad_act!R64)</f>
        <v>2759.1433245787757</v>
      </c>
      <c r="S115" s="87">
        <f>IF(S24=0,0,1000000*S24/TrRoad_act!S64)</f>
        <v>2725.1439006026544</v>
      </c>
      <c r="T115" s="87">
        <f>IF(T24=0,0,1000000*T24/TrRoad_act!T64)</f>
        <v>2748.6727854454466</v>
      </c>
      <c r="U115" s="87">
        <f>IF(U24=0,0,1000000*U24/TrRoad_act!U64)</f>
        <v>2580.0718042906392</v>
      </c>
      <c r="V115" s="87">
        <f>IF(V24=0,0,1000000*V24/TrRoad_act!V64)</f>
        <v>2067.188424006124</v>
      </c>
      <c r="W115" s="87">
        <f>IF(W24=0,0,1000000*W24/TrRoad_act!W64)</f>
        <v>2416.3398857901807</v>
      </c>
      <c r="X115" s="87">
        <f>IF(X24=0,0,1000000*X24/TrRoad_act!X64)</f>
        <v>2527.4026239481718</v>
      </c>
      <c r="Y115" s="87">
        <f>IF(Y24=0,0,1000000*Y24/TrRoad_act!Y64)</f>
        <v>2499.5932807970335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0</v>
      </c>
      <c r="P116" s="87">
        <f>IF(P25=0,0,1000000*P25/TrRoad_act!P65)</f>
        <v>832.53439155709998</v>
      </c>
      <c r="Q116" s="87">
        <f>IF(Q25=0,0,1000000*Q25/TrRoad_act!Q65)</f>
        <v>885.40502668505223</v>
      </c>
      <c r="R116" s="87">
        <f>IF(R25=0,0,1000000*R25/TrRoad_act!R65)</f>
        <v>915.457895641601</v>
      </c>
      <c r="S116" s="87">
        <f>IF(S25=0,0,1000000*S25/TrRoad_act!S65)</f>
        <v>901.15369866896526</v>
      </c>
      <c r="T116" s="87">
        <f>IF(T25=0,0,1000000*T25/TrRoad_act!T65)</f>
        <v>906.70358851222443</v>
      </c>
      <c r="U116" s="87">
        <f>IF(U25=0,0,1000000*U25/TrRoad_act!U65)</f>
        <v>950.71666954068758</v>
      </c>
      <c r="V116" s="87">
        <f>IF(V25=0,0,1000000*V25/TrRoad_act!V65)</f>
        <v>683.56605119983078</v>
      </c>
      <c r="W116" s="87">
        <f>IF(W25=0,0,1000000*W25/TrRoad_act!W65)</f>
        <v>760.01891265835457</v>
      </c>
      <c r="X116" s="87">
        <f>IF(X25=0,0,1000000*X25/TrRoad_act!X65)</f>
        <v>775.50033605990745</v>
      </c>
      <c r="Y116" s="87">
        <f>IF(Y25=0,0,1000000*Y25/TrRoad_act!Y65)</f>
        <v>877.0497277599984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63571.395645802906</v>
      </c>
      <c r="C118" s="116">
        <f>IF(C27=0,0,1000000*C27/TrRoad_act!C67)</f>
        <v>60913.16062820112</v>
      </c>
      <c r="D118" s="116">
        <f>IF(D27=0,0,1000000*D27/TrRoad_act!D67)</f>
        <v>60057.29497025509</v>
      </c>
      <c r="E118" s="116">
        <f>IF(E27=0,0,1000000*E27/TrRoad_act!E67)</f>
        <v>59960.247366331278</v>
      </c>
      <c r="F118" s="116">
        <f>IF(F27=0,0,1000000*F27/TrRoad_act!F67)</f>
        <v>58224.943614468459</v>
      </c>
      <c r="G118" s="116">
        <f>IF(G27=0,0,1000000*G27/TrRoad_act!G67)</f>
        <v>57340.407551883793</v>
      </c>
      <c r="H118" s="116">
        <f>IF(H27=0,0,1000000*H27/TrRoad_act!H67)</f>
        <v>56794.16115791069</v>
      </c>
      <c r="I118" s="116">
        <f>IF(I27=0,0,1000000*I27/TrRoad_act!I67)</f>
        <v>57305.902143927793</v>
      </c>
      <c r="J118" s="116">
        <f>IF(J27=0,0,1000000*J27/TrRoad_act!J67)</f>
        <v>56610.159752001491</v>
      </c>
      <c r="K118" s="116">
        <f>IF(K27=0,0,1000000*K27/TrRoad_act!K67)</f>
        <v>57950.549119748503</v>
      </c>
      <c r="L118" s="116">
        <f>IF(L27=0,0,1000000*L27/TrRoad_act!L67)</f>
        <v>59179.900101757608</v>
      </c>
      <c r="M118" s="116">
        <f>IF(M27=0,0,1000000*M27/TrRoad_act!M67)</f>
        <v>57099.098788502517</v>
      </c>
      <c r="N118" s="116">
        <f>IF(N27=0,0,1000000*N27/TrRoad_act!N67)</f>
        <v>55439.636615078954</v>
      </c>
      <c r="O118" s="116">
        <f>IF(O27=0,0,1000000*O27/TrRoad_act!O67)</f>
        <v>54915.610945768378</v>
      </c>
      <c r="P118" s="116">
        <f>IF(P27=0,0,1000000*P27/TrRoad_act!P67)</f>
        <v>53089.349215158974</v>
      </c>
      <c r="Q118" s="116">
        <f>IF(Q27=0,0,1000000*Q27/TrRoad_act!Q67)</f>
        <v>55588.172793984195</v>
      </c>
      <c r="R118" s="116">
        <f>IF(R27=0,0,1000000*R27/TrRoad_act!R67)</f>
        <v>57751.940777679352</v>
      </c>
      <c r="S118" s="116">
        <f>IF(S27=0,0,1000000*S27/TrRoad_act!S67)</f>
        <v>59805.927671051046</v>
      </c>
      <c r="T118" s="116">
        <f>IF(T27=0,0,1000000*T27/TrRoad_act!T67)</f>
        <v>58636.705816606322</v>
      </c>
      <c r="U118" s="116">
        <f>IF(U27=0,0,1000000*U27/TrRoad_act!U67)</f>
        <v>47576.915167666055</v>
      </c>
      <c r="V118" s="116">
        <f>IF(V27=0,0,1000000*V27/TrRoad_act!V67)</f>
        <v>35300.146342950575</v>
      </c>
      <c r="W118" s="116">
        <f>IF(W27=0,0,1000000*W27/TrRoad_act!W67)</f>
        <v>38002.700652857566</v>
      </c>
      <c r="X118" s="116">
        <f>IF(X27=0,0,1000000*X27/TrRoad_act!X67)</f>
        <v>42402.882669577179</v>
      </c>
      <c r="Y118" s="116">
        <f>IF(Y27=0,0,1000000*Y27/TrRoad_act!Y67)</f>
        <v>47172.571180276958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13213.06107246837</v>
      </c>
      <c r="C119" s="101">
        <f>IF(C28=0,0,1000000*C28/TrRoad_act!C68)</f>
        <v>12965.099337598405</v>
      </c>
      <c r="D119" s="101">
        <f>IF(D28=0,0,1000000*D28/TrRoad_act!D68)</f>
        <v>12537.579017304268</v>
      </c>
      <c r="E119" s="101">
        <f>IF(E28=0,0,1000000*E28/TrRoad_act!E68)</f>
        <v>12238.802941053433</v>
      </c>
      <c r="F119" s="101">
        <f>IF(F28=0,0,1000000*F28/TrRoad_act!F68)</f>
        <v>11937.516523135448</v>
      </c>
      <c r="G119" s="101">
        <f>IF(G28=0,0,1000000*G28/TrRoad_act!G68)</f>
        <v>11596.937922779431</v>
      </c>
      <c r="H119" s="101">
        <f>IF(H28=0,0,1000000*H28/TrRoad_act!H68)</f>
        <v>11257.74744219744</v>
      </c>
      <c r="I119" s="101">
        <f>IF(I28=0,0,1000000*I28/TrRoad_act!I68)</f>
        <v>11007.719878882182</v>
      </c>
      <c r="J119" s="101">
        <f>IF(J28=0,0,1000000*J28/TrRoad_act!J68)</f>
        <v>10695.082252313783</v>
      </c>
      <c r="K119" s="101">
        <f>IF(K28=0,0,1000000*K28/TrRoad_act!K68)</f>
        <v>10451.164665455966</v>
      </c>
      <c r="L119" s="101">
        <f>IF(L28=0,0,1000000*L28/TrRoad_act!L68)</f>
        <v>10659.251696898269</v>
      </c>
      <c r="M119" s="101">
        <f>IF(M28=0,0,1000000*M28/TrRoad_act!M68)</f>
        <v>10374.320143548279</v>
      </c>
      <c r="N119" s="101">
        <f>IF(N28=0,0,1000000*N28/TrRoad_act!N68)</f>
        <v>10091.04083191758</v>
      </c>
      <c r="O119" s="101">
        <f>IF(O28=0,0,1000000*O28/TrRoad_act!O68)</f>
        <v>9760.3714483089134</v>
      </c>
      <c r="P119" s="101">
        <f>IF(P28=0,0,1000000*P28/TrRoad_act!P68)</f>
        <v>9571.5711655488049</v>
      </c>
      <c r="Q119" s="101">
        <f>IF(Q28=0,0,1000000*Q28/TrRoad_act!Q68)</f>
        <v>9636.9570200517283</v>
      </c>
      <c r="R119" s="101">
        <f>IF(R28=0,0,1000000*R28/TrRoad_act!R68)</f>
        <v>10170.924636252856</v>
      </c>
      <c r="S119" s="101">
        <f>IF(S28=0,0,1000000*S28/TrRoad_act!S68)</f>
        <v>10192.953883161837</v>
      </c>
      <c r="T119" s="101">
        <f>IF(T28=0,0,1000000*T28/TrRoad_act!T68)</f>
        <v>10508.339687186601</v>
      </c>
      <c r="U119" s="101">
        <f>IF(U28=0,0,1000000*U28/TrRoad_act!U68)</f>
        <v>8050.8672929611148</v>
      </c>
      <c r="V119" s="101">
        <f>IF(V28=0,0,1000000*V28/TrRoad_act!V68)</f>
        <v>5844.2476842312817</v>
      </c>
      <c r="W119" s="101">
        <f>IF(W28=0,0,1000000*W28/TrRoad_act!W68)</f>
        <v>6557.2342056097341</v>
      </c>
      <c r="X119" s="101">
        <f>IF(X28=0,0,1000000*X28/TrRoad_act!X68)</f>
        <v>7122.8228619924485</v>
      </c>
      <c r="Y119" s="101">
        <f>IF(Y28=0,0,1000000*Y28/TrRoad_act!Y68)</f>
        <v>7546.8940686800879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63805.702192613811</v>
      </c>
      <c r="C120" s="101">
        <f>IF(C29=0,0,1000000*C29/TrRoad_act!C69)</f>
        <v>61145.595828363315</v>
      </c>
      <c r="D120" s="101">
        <f>IF(D29=0,0,1000000*D29/TrRoad_act!D69)</f>
        <v>60292.459866788282</v>
      </c>
      <c r="E120" s="101">
        <f>IF(E29=0,0,1000000*E29/TrRoad_act!E69)</f>
        <v>60189.493696636855</v>
      </c>
      <c r="F120" s="101">
        <f>IF(F29=0,0,1000000*F29/TrRoad_act!F69)</f>
        <v>58435.91639063679</v>
      </c>
      <c r="G120" s="101">
        <f>IF(G29=0,0,1000000*G29/TrRoad_act!G69)</f>
        <v>57553.603215722971</v>
      </c>
      <c r="H120" s="101">
        <f>IF(H29=0,0,1000000*H29/TrRoad_act!H69)</f>
        <v>57010.780183401686</v>
      </c>
      <c r="I120" s="101">
        <f>IF(I29=0,0,1000000*I29/TrRoad_act!I69)</f>
        <v>57509.527825082943</v>
      </c>
      <c r="J120" s="101">
        <f>IF(J29=0,0,1000000*J29/TrRoad_act!J69)</f>
        <v>56836.12160552272</v>
      </c>
      <c r="K120" s="101">
        <f>IF(K29=0,0,1000000*K29/TrRoad_act!K69)</f>
        <v>58273.028206057767</v>
      </c>
      <c r="L120" s="101">
        <f>IF(L29=0,0,1000000*L29/TrRoad_act!L69)</f>
        <v>59284.523500757605</v>
      </c>
      <c r="M120" s="101">
        <f>IF(M29=0,0,1000000*M29/TrRoad_act!M69)</f>
        <v>57566.861511233052</v>
      </c>
      <c r="N120" s="101">
        <f>IF(N29=0,0,1000000*N29/TrRoad_act!N69)</f>
        <v>55918.997713133729</v>
      </c>
      <c r="O120" s="101">
        <f>IF(O29=0,0,1000000*O29/TrRoad_act!O69)</f>
        <v>55752.512002522722</v>
      </c>
      <c r="P120" s="101">
        <f>IF(P29=0,0,1000000*P29/TrRoad_act!P69)</f>
        <v>54472.476022538453</v>
      </c>
      <c r="Q120" s="101">
        <f>IF(Q29=0,0,1000000*Q29/TrRoad_act!Q69)</f>
        <v>56986.492864542728</v>
      </c>
      <c r="R120" s="101">
        <f>IF(R29=0,0,1000000*R29/TrRoad_act!R69)</f>
        <v>59089.446822077756</v>
      </c>
      <c r="S120" s="101">
        <f>IF(S29=0,0,1000000*S29/TrRoad_act!S69)</f>
        <v>61164.270599858195</v>
      </c>
      <c r="T120" s="101">
        <f>IF(T29=0,0,1000000*T29/TrRoad_act!T69)</f>
        <v>59885.408720683619</v>
      </c>
      <c r="U120" s="101">
        <f>IF(U29=0,0,1000000*U29/TrRoad_act!U69)</f>
        <v>48410.543902433688</v>
      </c>
      <c r="V120" s="101">
        <f>IF(V29=0,0,1000000*V29/TrRoad_act!V69)</f>
        <v>35957.979579649204</v>
      </c>
      <c r="W120" s="101">
        <f>IF(W29=0,0,1000000*W29/TrRoad_act!W69)</f>
        <v>38491.012486333042</v>
      </c>
      <c r="X120" s="101">
        <f>IF(X29=0,0,1000000*X29/TrRoad_act!X69)</f>
        <v>43063.800063319301</v>
      </c>
      <c r="Y120" s="101">
        <f>IF(Y29=0,0,1000000*Y29/TrRoad_act!Y69)</f>
        <v>48078.581777914922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25824.115098998314</v>
      </c>
      <c r="J121" s="101">
        <f>IF(J30=0,0,1000000*J30/TrRoad_act!J70)</f>
        <v>25817.825326003378</v>
      </c>
      <c r="K121" s="101">
        <f>IF(K30=0,0,1000000*K30/TrRoad_act!K70)</f>
        <v>25908.580441193924</v>
      </c>
      <c r="L121" s="101">
        <f>IF(L30=0,0,1000000*L30/TrRoad_act!L70)</f>
        <v>26973.43590758408</v>
      </c>
      <c r="M121" s="101">
        <f>IF(M30=0,0,1000000*M30/TrRoad_act!M70)</f>
        <v>27495.57849898277</v>
      </c>
      <c r="N121" s="101">
        <f>IF(N30=0,0,1000000*N30/TrRoad_act!N70)</f>
        <v>27451.580068864983</v>
      </c>
      <c r="O121" s="101">
        <f>IF(O30=0,0,1000000*O30/TrRoad_act!O70)</f>
        <v>28339.443131216329</v>
      </c>
      <c r="P121" s="101">
        <f>IF(P30=0,0,1000000*P30/TrRoad_act!P70)</f>
        <v>28468.224970785323</v>
      </c>
      <c r="Q121" s="101">
        <f>IF(Q30=0,0,1000000*Q30/TrRoad_act!Q70)</f>
        <v>29417.825072228232</v>
      </c>
      <c r="R121" s="101">
        <f>IF(R30=0,0,1000000*R30/TrRoad_act!R70)</f>
        <v>30433.51022347367</v>
      </c>
      <c r="S121" s="101">
        <f>IF(S30=0,0,1000000*S30/TrRoad_act!S70)</f>
        <v>29996.597397909463</v>
      </c>
      <c r="T121" s="101">
        <f>IF(T30=0,0,1000000*T30/TrRoad_act!T70)</f>
        <v>30317.446098994482</v>
      </c>
      <c r="U121" s="101">
        <f>IF(U30=0,0,1000000*U30/TrRoad_act!U70)</f>
        <v>22690.101001590574</v>
      </c>
      <c r="V121" s="101">
        <f>IF(V30=0,0,1000000*V30/TrRoad_act!V70)</f>
        <v>15915.76548053606</v>
      </c>
      <c r="W121" s="101">
        <f>IF(W30=0,0,1000000*W30/TrRoad_act!W70)</f>
        <v>17506.875030135881</v>
      </c>
      <c r="X121" s="101">
        <f>IF(X30=0,0,1000000*X30/TrRoad_act!X70)</f>
        <v>18589.47618913055</v>
      </c>
      <c r="Y121" s="101">
        <f>IF(Y30=0,0,1000000*Y30/TrRoad_act!Y70)</f>
        <v>19302.594228051672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42040.2897149415</v>
      </c>
      <c r="L122" s="101">
        <f>IF(L31=0,0,1000000*L31/TrRoad_act!L71)</f>
        <v>75358.82714999358</v>
      </c>
      <c r="M122" s="101">
        <f>IF(M31=0,0,1000000*M31/TrRoad_act!M71)</f>
        <v>19682.62410965138</v>
      </c>
      <c r="N122" s="101">
        <f>IF(N31=0,0,1000000*N31/TrRoad_act!N71)</f>
        <v>21780.831923028705</v>
      </c>
      <c r="O122" s="101">
        <f>IF(O31=0,0,1000000*O31/TrRoad_act!O71)</f>
        <v>21672.03327043715</v>
      </c>
      <c r="P122" s="101">
        <f>IF(P31=0,0,1000000*P31/TrRoad_act!P71)</f>
        <v>21908.059165845021</v>
      </c>
      <c r="Q122" s="101">
        <f>IF(Q31=0,0,1000000*Q31/TrRoad_act!Q71)</f>
        <v>22886.2046851618</v>
      </c>
      <c r="R122" s="101">
        <f>IF(R31=0,0,1000000*R31/TrRoad_act!R71)</f>
        <v>25666.845892942045</v>
      </c>
      <c r="S122" s="101">
        <f>IF(S31=0,0,1000000*S31/TrRoad_act!S71)</f>
        <v>28100.512678154169</v>
      </c>
      <c r="T122" s="101">
        <f>IF(T31=0,0,1000000*T31/TrRoad_act!T71)</f>
        <v>28469.830688878934</v>
      </c>
      <c r="U122" s="101">
        <f>IF(U31=0,0,1000000*U31/TrRoad_act!U71)</f>
        <v>27448.501427283172</v>
      </c>
      <c r="V122" s="101">
        <f>IF(V31=0,0,1000000*V31/TrRoad_act!V71)</f>
        <v>20409.763400443797</v>
      </c>
      <c r="W122" s="101">
        <f>IF(W31=0,0,1000000*W31/TrRoad_act!W71)</f>
        <v>27746.602417595655</v>
      </c>
      <c r="X122" s="101">
        <f>IF(X31=0,0,1000000*X31/TrRoad_act!X71)</f>
        <v>25759.852246694212</v>
      </c>
      <c r="Y122" s="101">
        <f>IF(Y31=0,0,1000000*Y31/TrRoad_act!Y71)</f>
        <v>21404.121098403277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4001.9233768779277</v>
      </c>
      <c r="C125" s="152">
        <f>IF(C34=0,0,1000000*C34/TrRoad_act!C74)</f>
        <v>3699.1389505232619</v>
      </c>
      <c r="D125" s="152">
        <f>IF(D34=0,0,1000000*D34/TrRoad_act!D74)</f>
        <v>3860.3499363990668</v>
      </c>
      <c r="E125" s="152">
        <f>IF(E34=0,0,1000000*E34/TrRoad_act!E74)</f>
        <v>3916.8765849379133</v>
      </c>
      <c r="F125" s="152">
        <f>IF(F34=0,0,1000000*F34/TrRoad_act!F74)</f>
        <v>3961.9371921163647</v>
      </c>
      <c r="G125" s="152">
        <f>IF(G34=0,0,1000000*G34/TrRoad_act!G74)</f>
        <v>4096.3185780135627</v>
      </c>
      <c r="H125" s="152">
        <f>IF(H34=0,0,1000000*H34/TrRoad_act!H74)</f>
        <v>4037.8510653030007</v>
      </c>
      <c r="I125" s="152">
        <f>IF(I34=0,0,1000000*I34/TrRoad_act!I74)</f>
        <v>4063.4582997584725</v>
      </c>
      <c r="J125" s="152">
        <f>IF(J34=0,0,1000000*J34/TrRoad_act!J74)</f>
        <v>4032.4549232279246</v>
      </c>
      <c r="K125" s="152">
        <f>IF(K34=0,0,1000000*K34/TrRoad_act!K74)</f>
        <v>3946.3656347060069</v>
      </c>
      <c r="L125" s="152">
        <f>IF(L34=0,0,1000000*L34/TrRoad_act!L74)</f>
        <v>3850.8485613828184</v>
      </c>
      <c r="M125" s="152">
        <f>IF(M34=0,0,1000000*M34/TrRoad_act!M74)</f>
        <v>3866.7594876166045</v>
      </c>
      <c r="N125" s="152">
        <f>IF(N34=0,0,1000000*N34/TrRoad_act!N74)</f>
        <v>3822.0555526447697</v>
      </c>
      <c r="O125" s="152">
        <f>IF(O34=0,0,1000000*O34/TrRoad_act!O74)</f>
        <v>3775.5532314957445</v>
      </c>
      <c r="P125" s="152">
        <f>IF(P34=0,0,1000000*P34/TrRoad_act!P74)</f>
        <v>3577.6223521619872</v>
      </c>
      <c r="Q125" s="152">
        <f>IF(Q34=0,0,1000000*Q34/TrRoad_act!Q74)</f>
        <v>3466.5220202981454</v>
      </c>
      <c r="R125" s="152">
        <f>IF(R34=0,0,1000000*R34/TrRoad_act!R74)</f>
        <v>3377.3461781565516</v>
      </c>
      <c r="S125" s="152">
        <f>IF(S34=0,0,1000000*S34/TrRoad_act!S74)</f>
        <v>3580.0134450940554</v>
      </c>
      <c r="T125" s="152">
        <f>IF(T34=0,0,1000000*T34/TrRoad_act!T74)</f>
        <v>3507.5378004349595</v>
      </c>
      <c r="U125" s="152">
        <f>IF(U34=0,0,1000000*U34/TrRoad_act!U74)</f>
        <v>3458.4573709969391</v>
      </c>
      <c r="V125" s="152">
        <f>IF(V34=0,0,1000000*V34/TrRoad_act!V74)</f>
        <v>3361.8177863009951</v>
      </c>
      <c r="W125" s="152">
        <f>IF(W34=0,0,1000000*W34/TrRoad_act!W74)</f>
        <v>3434.5089447404202</v>
      </c>
      <c r="X125" s="152">
        <f>IF(X34=0,0,1000000*X34/TrRoad_act!X74)</f>
        <v>3674.2369661508387</v>
      </c>
      <c r="Y125" s="152">
        <f>IF(Y34=0,0,1000000*Y34/TrRoad_act!Y74)</f>
        <v>3875.9952861955053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3255.1124378817494</v>
      </c>
      <c r="C126" s="87">
        <f>IF(C35=0,0,1000000*C35/TrRoad_act!C75)</f>
        <v>3236.1556402635351</v>
      </c>
      <c r="D126" s="87">
        <f>IF(D35=0,0,1000000*D35/TrRoad_act!D75)</f>
        <v>3247.8824717626881</v>
      </c>
      <c r="E126" s="87">
        <f>IF(E35=0,0,1000000*E35/TrRoad_act!E75)</f>
        <v>3261.7453619452649</v>
      </c>
      <c r="F126" s="87">
        <f>IF(F35=0,0,1000000*F35/TrRoad_act!F75)</f>
        <v>3274.3336828809447</v>
      </c>
      <c r="G126" s="87">
        <f>IF(G35=0,0,1000000*G35/TrRoad_act!G75)</f>
        <v>3283.8775317449572</v>
      </c>
      <c r="H126" s="87">
        <f>IF(H35=0,0,1000000*H35/TrRoad_act!H75)</f>
        <v>3289.3500122000728</v>
      </c>
      <c r="I126" s="87">
        <f>IF(I35=0,0,1000000*I35/TrRoad_act!I75)</f>
        <v>3221.9344102463938</v>
      </c>
      <c r="J126" s="87">
        <f>IF(J35=0,0,1000000*J35/TrRoad_act!J75)</f>
        <v>3143.3779022117697</v>
      </c>
      <c r="K126" s="87">
        <f>IF(K35=0,0,1000000*K35/TrRoad_act!K75)</f>
        <v>2991.4572202578993</v>
      </c>
      <c r="L126" s="87">
        <f>IF(L35=0,0,1000000*L35/TrRoad_act!L75)</f>
        <v>2861.7154241105213</v>
      </c>
      <c r="M126" s="87">
        <f>IF(M35=0,0,1000000*M35/TrRoad_act!M75)</f>
        <v>2853.7413831654312</v>
      </c>
      <c r="N126" s="87">
        <f>IF(N35=0,0,1000000*N35/TrRoad_act!N75)</f>
        <v>2835.0967857766823</v>
      </c>
      <c r="O126" s="87">
        <f>IF(O35=0,0,1000000*O35/TrRoad_act!O75)</f>
        <v>2795.8192476619056</v>
      </c>
      <c r="P126" s="87">
        <f>IF(P35=0,0,1000000*P35/TrRoad_act!P75)</f>
        <v>2706.7065284464734</v>
      </c>
      <c r="Q126" s="87">
        <f>IF(Q35=0,0,1000000*Q35/TrRoad_act!Q75)</f>
        <v>2623.4562554704298</v>
      </c>
      <c r="R126" s="87">
        <f>IF(R35=0,0,1000000*R35/TrRoad_act!R75)</f>
        <v>2602.2527517370772</v>
      </c>
      <c r="S126" s="87">
        <f>IF(S35=0,0,1000000*S35/TrRoad_act!S75)</f>
        <v>2713.5850449209979</v>
      </c>
      <c r="T126" s="87">
        <f>IF(T35=0,0,1000000*T35/TrRoad_act!T75)</f>
        <v>2814.6704887742094</v>
      </c>
      <c r="U126" s="87">
        <f>IF(U35=0,0,1000000*U35/TrRoad_act!U75)</f>
        <v>2812.7745571503274</v>
      </c>
      <c r="V126" s="87">
        <f>IF(V35=0,0,1000000*V35/TrRoad_act!V75)</f>
        <v>2777.5076351142352</v>
      </c>
      <c r="W126" s="87">
        <f>IF(W35=0,0,1000000*W35/TrRoad_act!W75)</f>
        <v>2832.2507490887788</v>
      </c>
      <c r="X126" s="87">
        <f>IF(X35=0,0,1000000*X35/TrRoad_act!X75)</f>
        <v>2912.2941790746308</v>
      </c>
      <c r="Y126" s="87">
        <f>IF(Y35=0,0,1000000*Y35/TrRoad_act!Y75)</f>
        <v>2989.2860325988499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4173.6203226059279</v>
      </c>
      <c r="C127" s="87">
        <f>IF(C36=0,0,1000000*C36/TrRoad_act!C76)</f>
        <v>3803.3730696084021</v>
      </c>
      <c r="D127" s="87">
        <f>IF(D36=0,0,1000000*D36/TrRoad_act!D76)</f>
        <v>3981.9853632755817</v>
      </c>
      <c r="E127" s="87">
        <f>IF(E36=0,0,1000000*E36/TrRoad_act!E76)</f>
        <v>4028.8417855278385</v>
      </c>
      <c r="F127" s="87">
        <f>IF(F36=0,0,1000000*F36/TrRoad_act!F76)</f>
        <v>4062.7922146422784</v>
      </c>
      <c r="G127" s="87">
        <f>IF(G36=0,0,1000000*G36/TrRoad_act!G76)</f>
        <v>4200.4937624539189</v>
      </c>
      <c r="H127" s="87">
        <f>IF(H36=0,0,1000000*H36/TrRoad_act!H76)</f>
        <v>4125.6378659232178</v>
      </c>
      <c r="I127" s="87">
        <f>IF(I36=0,0,1000000*I36/TrRoad_act!I76)</f>
        <v>4147.4083652577247</v>
      </c>
      <c r="J127" s="87">
        <f>IF(J36=0,0,1000000*J36/TrRoad_act!J76)</f>
        <v>4123.940191349664</v>
      </c>
      <c r="K127" s="87">
        <f>IF(K36=0,0,1000000*K36/TrRoad_act!K76)</f>
        <v>4040.3243221982057</v>
      </c>
      <c r="L127" s="87">
        <f>IF(L36=0,0,1000000*L36/TrRoad_act!L76)</f>
        <v>3943.7657838265441</v>
      </c>
      <c r="M127" s="87">
        <f>IF(M36=0,0,1000000*M36/TrRoad_act!M76)</f>
        <v>3957.0148678822202</v>
      </c>
      <c r="N127" s="87">
        <f>IF(N36=0,0,1000000*N36/TrRoad_act!N76)</f>
        <v>3894.4677656678282</v>
      </c>
      <c r="O127" s="87">
        <f>IF(O36=0,0,1000000*O36/TrRoad_act!O76)</f>
        <v>3847.1454038931247</v>
      </c>
      <c r="P127" s="87">
        <f>IF(P36=0,0,1000000*P36/TrRoad_act!P76)</f>
        <v>3642.4291507563103</v>
      </c>
      <c r="Q127" s="87">
        <f>IF(Q36=0,0,1000000*Q36/TrRoad_act!Q76)</f>
        <v>3520.7059242704595</v>
      </c>
      <c r="R127" s="87">
        <f>IF(R36=0,0,1000000*R36/TrRoad_act!R76)</f>
        <v>3426.4648327472842</v>
      </c>
      <c r="S127" s="87">
        <f>IF(S36=0,0,1000000*S36/TrRoad_act!S76)</f>
        <v>3633.8807893079279</v>
      </c>
      <c r="T127" s="87">
        <f>IF(T36=0,0,1000000*T36/TrRoad_act!T76)</f>
        <v>3552.1278302555424</v>
      </c>
      <c r="U127" s="87">
        <f>IF(U36=0,0,1000000*U36/TrRoad_act!U76)</f>
        <v>3500.0974893704888</v>
      </c>
      <c r="V127" s="87">
        <f>IF(V36=0,0,1000000*V36/TrRoad_act!V76)</f>
        <v>3399.8878189891598</v>
      </c>
      <c r="W127" s="87">
        <f>IF(W36=0,0,1000000*W36/TrRoad_act!W76)</f>
        <v>3473.9792884788981</v>
      </c>
      <c r="X127" s="87">
        <f>IF(X36=0,0,1000000*X36/TrRoad_act!X76)</f>
        <v>3720.573607732023</v>
      </c>
      <c r="Y127" s="87">
        <f>IF(Y36=0,0,1000000*Y36/TrRoad_act!Y76)</f>
        <v>3929.9623102849009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1644.2687170708357</v>
      </c>
      <c r="J128" s="87">
        <f>IF(J37=0,0,1000000*J37/TrRoad_act!J77)</f>
        <v>1605.0776182128218</v>
      </c>
      <c r="K128" s="87">
        <f>IF(K37=0,0,1000000*K37/TrRoad_act!K77)</f>
        <v>1564.6627241524288</v>
      </c>
      <c r="L128" s="87">
        <f>IF(L37=0,0,1000000*L37/TrRoad_act!L77)</f>
        <v>1522.112897870232</v>
      </c>
      <c r="M128" s="87">
        <f>IF(M37=0,0,1000000*M37/TrRoad_act!M77)</f>
        <v>1550.5723287504052</v>
      </c>
      <c r="N128" s="87">
        <f>IF(N37=0,0,1000000*N37/TrRoad_act!N77)</f>
        <v>1576.6500905508674</v>
      </c>
      <c r="O128" s="87">
        <f>IF(O37=0,0,1000000*O37/TrRoad_act!O77)</f>
        <v>1569.6319553142514</v>
      </c>
      <c r="P128" s="87">
        <f>IF(P37=0,0,1000000*P37/TrRoad_act!P77)</f>
        <v>1533.3612308870997</v>
      </c>
      <c r="Q128" s="87">
        <f>IF(Q37=0,0,1000000*Q37/TrRoad_act!Q77)</f>
        <v>1543.3502837157839</v>
      </c>
      <c r="R128" s="87">
        <f>IF(R37=0,0,1000000*R37/TrRoad_act!R77)</f>
        <v>1478.0042275872142</v>
      </c>
      <c r="S128" s="87">
        <f>IF(S37=0,0,1000000*S37/TrRoad_act!S77)</f>
        <v>1577.2668985181172</v>
      </c>
      <c r="T128" s="87">
        <f>IF(T37=0,0,1000000*T37/TrRoad_act!T77)</f>
        <v>1641.6783540119886</v>
      </c>
      <c r="U128" s="87">
        <f>IF(U37=0,0,1000000*U37/TrRoad_act!U77)</f>
        <v>1639.9133928060348</v>
      </c>
      <c r="V128" s="87">
        <f>IF(V37=0,0,1000000*V37/TrRoad_act!V77)</f>
        <v>1631.3742092110106</v>
      </c>
      <c r="W128" s="87">
        <f>IF(W37=0,0,1000000*W37/TrRoad_act!W77)</f>
        <v>1714.5411320427631</v>
      </c>
      <c r="X128" s="87">
        <f>IF(X37=0,0,1000000*X37/TrRoad_act!X77)</f>
        <v>1779.1445275862357</v>
      </c>
      <c r="Y128" s="87">
        <f>IF(Y37=0,0,1000000*Y37/TrRoad_act!Y77)</f>
        <v>1826.7669776670753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1733.709788515682</v>
      </c>
      <c r="L129" s="87">
        <f>IF(L38=0,0,1000000*L38/TrRoad_act!L78)</f>
        <v>1726.2805605628496</v>
      </c>
      <c r="M129" s="87">
        <f>IF(M38=0,0,1000000*M38/TrRoad_act!M78)</f>
        <v>1795.9960684157197</v>
      </c>
      <c r="N129" s="87">
        <f>IF(N38=0,0,1000000*N38/TrRoad_act!N78)</f>
        <v>1840.2301908641034</v>
      </c>
      <c r="O129" s="87">
        <f>IF(O38=0,0,1000000*O38/TrRoad_act!O78)</f>
        <v>1881.2479398576563</v>
      </c>
      <c r="P129" s="87">
        <f>IF(P38=0,0,1000000*P38/TrRoad_act!P78)</f>
        <v>1878.2602102353117</v>
      </c>
      <c r="Q129" s="87">
        <f>IF(Q38=0,0,1000000*Q38/TrRoad_act!Q78)</f>
        <v>1885.8802734926317</v>
      </c>
      <c r="R129" s="87">
        <f>IF(R38=0,0,1000000*R38/TrRoad_act!R78)</f>
        <v>1791.1157465590361</v>
      </c>
      <c r="S129" s="87">
        <f>IF(S38=0,0,1000000*S38/TrRoad_act!S78)</f>
        <v>1857.7152319828035</v>
      </c>
      <c r="T129" s="87">
        <f>IF(T38=0,0,1000000*T38/TrRoad_act!T78)</f>
        <v>1860.7844051519667</v>
      </c>
      <c r="U129" s="87">
        <f>IF(U38=0,0,1000000*U38/TrRoad_act!U78)</f>
        <v>1810.5001236608771</v>
      </c>
      <c r="V129" s="87">
        <f>IF(V38=0,0,1000000*V38/TrRoad_act!V78)</f>
        <v>1731.9276110400604</v>
      </c>
      <c r="W129" s="87">
        <f>IF(W38=0,0,1000000*W38/TrRoad_act!W78)</f>
        <v>1761.3347575427681</v>
      </c>
      <c r="X129" s="87">
        <f>IF(X38=0,0,1000000*X38/TrRoad_act!X78)</f>
        <v>1749.8212738853647</v>
      </c>
      <c r="Y129" s="87">
        <f>IF(Y38=0,0,1000000*Y38/TrRoad_act!Y78)</f>
        <v>1760.4004760352618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12913.840180755504</v>
      </c>
      <c r="C131" s="116">
        <f>IF(C40=0,0,1000000*C40/TrRoad_act!C80)</f>
        <v>10159.485430429766</v>
      </c>
      <c r="D131" s="116">
        <f>IF(D40=0,0,1000000*D40/TrRoad_act!D80)</f>
        <v>13206.487297439235</v>
      </c>
      <c r="E131" s="116">
        <f>IF(E40=0,0,1000000*E40/TrRoad_act!E80)</f>
        <v>13880.506268491295</v>
      </c>
      <c r="F131" s="116">
        <f>IF(F40=0,0,1000000*F40/TrRoad_act!F80)</f>
        <v>14843.953547175062</v>
      </c>
      <c r="G131" s="116">
        <f>IF(G40=0,0,1000000*G40/TrRoad_act!G80)</f>
        <v>15111.201423465982</v>
      </c>
      <c r="H131" s="116">
        <f>IF(H40=0,0,1000000*H40/TrRoad_act!H80)</f>
        <v>14180.335783383432</v>
      </c>
      <c r="I131" s="116">
        <f>IF(I40=0,0,1000000*I40/TrRoad_act!I80)</f>
        <v>14896.655435427334</v>
      </c>
      <c r="J131" s="116">
        <f>IF(J40=0,0,1000000*J40/TrRoad_act!J80)</f>
        <v>13817.102369279581</v>
      </c>
      <c r="K131" s="116">
        <f>IF(K40=0,0,1000000*K40/TrRoad_act!K80)</f>
        <v>14466.565064124832</v>
      </c>
      <c r="L131" s="116">
        <f>IF(L40=0,0,1000000*L40/TrRoad_act!L80)</f>
        <v>14297.402275295861</v>
      </c>
      <c r="M131" s="116">
        <f>IF(M40=0,0,1000000*M40/TrRoad_act!M80)</f>
        <v>13461.268458691107</v>
      </c>
      <c r="N131" s="116">
        <f>IF(N40=0,0,1000000*N40/TrRoad_act!N80)</f>
        <v>12240.722032496273</v>
      </c>
      <c r="O131" s="116">
        <f>IF(O40=0,0,1000000*O40/TrRoad_act!O80)</f>
        <v>14233.336555327291</v>
      </c>
      <c r="P131" s="116">
        <f>IF(P40=0,0,1000000*P40/TrRoad_act!P80)</f>
        <v>12242.23317516524</v>
      </c>
      <c r="Q131" s="116">
        <f>IF(Q40=0,0,1000000*Q40/TrRoad_act!Q80)</f>
        <v>12517.015413505793</v>
      </c>
      <c r="R131" s="116">
        <f>IF(R40=0,0,1000000*R40/TrRoad_act!R80)</f>
        <v>12131.183501893292</v>
      </c>
      <c r="S131" s="116">
        <f>IF(S40=0,0,1000000*S40/TrRoad_act!S80)</f>
        <v>15446.782125388321</v>
      </c>
      <c r="T131" s="116">
        <f>IF(T40=0,0,1000000*T40/TrRoad_act!T80)</f>
        <v>13316.317439830642</v>
      </c>
      <c r="U131" s="116">
        <f>IF(U40=0,0,1000000*U40/TrRoad_act!U80)</f>
        <v>15085.511345850198</v>
      </c>
      <c r="V131" s="116">
        <f>IF(V40=0,0,1000000*V40/TrRoad_act!V80)</f>
        <v>14191.134321611218</v>
      </c>
      <c r="W131" s="116">
        <f>IF(W40=0,0,1000000*W40/TrRoad_act!W80)</f>
        <v>13629.626175852047</v>
      </c>
      <c r="X131" s="116">
        <f>IF(X40=0,0,1000000*X40/TrRoad_act!X80)</f>
        <v>14050.133447790093</v>
      </c>
      <c r="Y131" s="116">
        <f>IF(Y40=0,0,1000000*Y40/TrRoad_act!Y80)</f>
        <v>15942.801119910344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6155.9423941733721</v>
      </c>
      <c r="C132" s="101">
        <f>IF(C41=0,0,1000000*C41/TrRoad_act!C81)</f>
        <v>7053.4003818841084</v>
      </c>
      <c r="D132" s="101">
        <f>IF(D41=0,0,1000000*D41/TrRoad_act!D81)</f>
        <v>8892.2018193862768</v>
      </c>
      <c r="E132" s="101">
        <f>IF(E41=0,0,1000000*E41/TrRoad_act!E81)</f>
        <v>9620.7919190176217</v>
      </c>
      <c r="F132" s="101">
        <f>IF(F41=0,0,1000000*F41/TrRoad_act!F81)</f>
        <v>9873.8841552560825</v>
      </c>
      <c r="G132" s="101">
        <f>IF(G41=0,0,1000000*G41/TrRoad_act!G81)</f>
        <v>10013.974411830797</v>
      </c>
      <c r="H132" s="101">
        <f>IF(H41=0,0,1000000*H41/TrRoad_act!H81)</f>
        <v>10266.894716773173</v>
      </c>
      <c r="I132" s="101">
        <f>IF(I41=0,0,1000000*I41/TrRoad_act!I81)</f>
        <v>10125.700971836621</v>
      </c>
      <c r="J132" s="101">
        <f>IF(J41=0,0,1000000*J41/TrRoad_act!J81)</f>
        <v>10751.299418117016</v>
      </c>
      <c r="K132" s="101">
        <f>IF(K41=0,0,1000000*K41/TrRoad_act!K81)</f>
        <v>10634.848339821261</v>
      </c>
      <c r="L132" s="101">
        <f>IF(L41=0,0,1000000*L41/TrRoad_act!L81)</f>
        <v>10053.173046980897</v>
      </c>
      <c r="M132" s="101">
        <f>IF(M41=0,0,1000000*M41/TrRoad_act!M81)</f>
        <v>9711.6588808363449</v>
      </c>
      <c r="N132" s="101">
        <f>IF(N41=0,0,1000000*N41/TrRoad_act!N81)</f>
        <v>8908.244836013635</v>
      </c>
      <c r="O132" s="101">
        <f>IF(O41=0,0,1000000*O41/TrRoad_act!O81)</f>
        <v>9172.8334994117213</v>
      </c>
      <c r="P132" s="101">
        <f>IF(P41=0,0,1000000*P41/TrRoad_act!P81)</f>
        <v>8071.3078813126358</v>
      </c>
      <c r="Q132" s="101">
        <f>IF(Q41=0,0,1000000*Q41/TrRoad_act!Q81)</f>
        <v>8000.9570240339472</v>
      </c>
      <c r="R132" s="101">
        <f>IF(R41=0,0,1000000*R41/TrRoad_act!R81)</f>
        <v>8265.4516950445231</v>
      </c>
      <c r="S132" s="101">
        <f>IF(S41=0,0,1000000*S41/TrRoad_act!S81)</f>
        <v>8819.5814720497838</v>
      </c>
      <c r="T132" s="101">
        <f>IF(T41=0,0,1000000*T41/TrRoad_act!T81)</f>
        <v>8039.511432856737</v>
      </c>
      <c r="U132" s="101">
        <f>IF(U41=0,0,1000000*U41/TrRoad_act!U81)</f>
        <v>8226.6077979863712</v>
      </c>
      <c r="V132" s="101">
        <f>IF(V41=0,0,1000000*V41/TrRoad_act!V81)</f>
        <v>7935.1462972189884</v>
      </c>
      <c r="W132" s="101">
        <f>IF(W41=0,0,1000000*W41/TrRoad_act!W81)</f>
        <v>8201.0803550378751</v>
      </c>
      <c r="X132" s="101">
        <f>IF(X41=0,0,1000000*X41/TrRoad_act!X81)</f>
        <v>8308.613675689985</v>
      </c>
      <c r="Y132" s="101">
        <f>IF(Y41=0,0,1000000*Y41/TrRoad_act!Y81)</f>
        <v>8691.6730784780448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70294.535932280138</v>
      </c>
      <c r="C133" s="88">
        <f>IF(C42=0,0,1000000*C42/TrRoad_act!C82)</f>
        <v>44113.33650709346</v>
      </c>
      <c r="D133" s="88">
        <f>IF(D42=0,0,1000000*D42/TrRoad_act!D82)</f>
        <v>62404.516566706538</v>
      </c>
      <c r="E133" s="88">
        <f>IF(E42=0,0,1000000*E42/TrRoad_act!E82)</f>
        <v>66052.591910300631</v>
      </c>
      <c r="F133" s="88">
        <f>IF(F42=0,0,1000000*F42/TrRoad_act!F82)</f>
        <v>68024.097824814206</v>
      </c>
      <c r="G133" s="88">
        <f>IF(G42=0,0,1000000*G42/TrRoad_act!G82)</f>
        <v>67018.742551127041</v>
      </c>
      <c r="H133" s="88">
        <f>IF(H42=0,0,1000000*H42/TrRoad_act!H82)</f>
        <v>65357.835869943308</v>
      </c>
      <c r="I133" s="88">
        <f>IF(I42=0,0,1000000*I42/TrRoad_act!I82)</f>
        <v>73679.03633907545</v>
      </c>
      <c r="J133" s="88">
        <f>IF(J42=0,0,1000000*J42/TrRoad_act!J82)</f>
        <v>74829.625680543948</v>
      </c>
      <c r="K133" s="88">
        <f>IF(K42=0,0,1000000*K42/TrRoad_act!K82)</f>
        <v>90234.817507631262</v>
      </c>
      <c r="L133" s="88">
        <f>IF(L42=0,0,1000000*L42/TrRoad_act!L82)</f>
        <v>102195.63177510977</v>
      </c>
      <c r="M133" s="88">
        <f>IF(M42=0,0,1000000*M42/TrRoad_act!M82)</f>
        <v>92345.273033803081</v>
      </c>
      <c r="N133" s="88">
        <f>IF(N42=0,0,1000000*N42/TrRoad_act!N82)</f>
        <v>82228.846596720439</v>
      </c>
      <c r="O133" s="88">
        <f>IF(O42=0,0,1000000*O42/TrRoad_act!O82)</f>
        <v>119332.1257773939</v>
      </c>
      <c r="P133" s="88">
        <f>IF(P42=0,0,1000000*P42/TrRoad_act!P82)</f>
        <v>95602.828684501044</v>
      </c>
      <c r="Q133" s="88">
        <f>IF(Q42=0,0,1000000*Q42/TrRoad_act!Q82)</f>
        <v>91545.45514899469</v>
      </c>
      <c r="R133" s="88">
        <f>IF(R42=0,0,1000000*R42/TrRoad_act!R82)</f>
        <v>75823.972680494844</v>
      </c>
      <c r="S133" s="88">
        <f>IF(S42=0,0,1000000*S42/TrRoad_act!S82)</f>
        <v>106677.50027185543</v>
      </c>
      <c r="T133" s="88">
        <f>IF(T42=0,0,1000000*T42/TrRoad_act!T82)</f>
        <v>88235.919377790007</v>
      </c>
      <c r="U133" s="88">
        <f>IF(U42=0,0,1000000*U42/TrRoad_act!U82)</f>
        <v>126508.40816085695</v>
      </c>
      <c r="V133" s="88">
        <f>IF(V42=0,0,1000000*V42/TrRoad_act!V82)</f>
        <v>115232.49017686628</v>
      </c>
      <c r="W133" s="88">
        <f>IF(W42=0,0,1000000*W42/TrRoad_act!W82)</f>
        <v>109982.00612560447</v>
      </c>
      <c r="X133" s="88">
        <f>IF(X42=0,0,1000000*X42/TrRoad_act!X82)</f>
        <v>114615.48584730121</v>
      </c>
      <c r="Y133" s="88">
        <f>IF(Y42=0,0,1000000*Y42/TrRoad_act!Y82)</f>
        <v>136908.57855402192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0.83393676029931196</v>
      </c>
      <c r="C136" s="46">
        <f t="shared" si="40"/>
        <v>0.8221671183775594</v>
      </c>
      <c r="D136" s="46">
        <f t="shared" si="40"/>
        <v>0.78125486537601974</v>
      </c>
      <c r="E136" s="46">
        <f t="shared" si="40"/>
        <v>0.77238245803869443</v>
      </c>
      <c r="F136" s="46">
        <f t="shared" si="40"/>
        <v>0.75630894734588716</v>
      </c>
      <c r="G136" s="46">
        <f t="shared" si="40"/>
        <v>0.75742683751626494</v>
      </c>
      <c r="H136" s="46">
        <f t="shared" si="40"/>
        <v>0.7564319693753544</v>
      </c>
      <c r="I136" s="46">
        <f t="shared" si="40"/>
        <v>0.76844633717011257</v>
      </c>
      <c r="J136" s="46">
        <f t="shared" si="40"/>
        <v>0.76557166100817475</v>
      </c>
      <c r="K136" s="46">
        <f t="shared" si="40"/>
        <v>0.78221568452823809</v>
      </c>
      <c r="L136" s="46">
        <f t="shared" si="41"/>
        <v>0.77891113675788703</v>
      </c>
      <c r="M136" s="46">
        <f t="shared" si="40"/>
        <v>0.78271024257200805</v>
      </c>
      <c r="N136" s="46">
        <f t="shared" si="40"/>
        <v>0.79802691786254887</v>
      </c>
      <c r="O136" s="46">
        <f t="shared" si="40"/>
        <v>0.77465692101627048</v>
      </c>
      <c r="P136" s="46">
        <f t="shared" si="40"/>
        <v>0.79403495678038372</v>
      </c>
      <c r="Q136" s="46">
        <f t="shared" si="40"/>
        <v>0.79216942852635108</v>
      </c>
      <c r="R136" s="46">
        <f t="shared" si="40"/>
        <v>0.80419384261189375</v>
      </c>
      <c r="S136" s="46">
        <f t="shared" si="40"/>
        <v>0.77074773796163354</v>
      </c>
      <c r="T136" s="46">
        <f t="shared" si="40"/>
        <v>0.77639345229647272</v>
      </c>
      <c r="U136" s="46">
        <f t="shared" si="40"/>
        <v>0.75575904555923867</v>
      </c>
      <c r="V136" s="46">
        <f t="shared" si="40"/>
        <v>0.72701472209923423</v>
      </c>
      <c r="W136" s="46">
        <f t="shared" si="42"/>
        <v>0.74338371845155504</v>
      </c>
      <c r="X136" s="46">
        <f t="shared" si="42"/>
        <v>0.74227802693597011</v>
      </c>
      <c r="Y136" s="46">
        <f t="shared" si="42"/>
        <v>0.73711481332221773</v>
      </c>
      <c r="DA136" s="211"/>
    </row>
    <row r="137" spans="1:105" ht="11.45" customHeight="1" x14ac:dyDescent="0.25">
      <c r="A137" s="153" t="s">
        <v>173</v>
      </c>
      <c r="B137" s="154">
        <f t="shared" si="40"/>
        <v>4.1092693309324564E-3</v>
      </c>
      <c r="C137" s="154">
        <f t="shared" si="40"/>
        <v>4.0339558547741938E-3</v>
      </c>
      <c r="D137" s="154">
        <f t="shared" si="40"/>
        <v>3.8759030744009849E-3</v>
      </c>
      <c r="E137" s="154">
        <f t="shared" si="40"/>
        <v>3.8931449357279008E-3</v>
      </c>
      <c r="F137" s="154">
        <f t="shared" si="40"/>
        <v>4.0850668789152254E-3</v>
      </c>
      <c r="G137" s="154">
        <f t="shared" si="40"/>
        <v>4.2608360487342688E-3</v>
      </c>
      <c r="H137" s="154">
        <f t="shared" si="40"/>
        <v>4.2848662688999431E-3</v>
      </c>
      <c r="I137" s="154">
        <f t="shared" si="40"/>
        <v>3.9710117111605488E-3</v>
      </c>
      <c r="J137" s="154">
        <f t="shared" si="40"/>
        <v>4.0232029674900612E-3</v>
      </c>
      <c r="K137" s="154">
        <f t="shared" si="40"/>
        <v>4.0142937542024231E-3</v>
      </c>
      <c r="L137" s="154">
        <f t="shared" si="41"/>
        <v>4.1516158546577777E-3</v>
      </c>
      <c r="M137" s="154">
        <f t="shared" si="40"/>
        <v>4.2221346336349828E-3</v>
      </c>
      <c r="N137" s="154">
        <f t="shared" si="40"/>
        <v>4.3701856854510227E-3</v>
      </c>
      <c r="O137" s="154">
        <f t="shared" si="40"/>
        <v>4.2656471442679257E-3</v>
      </c>
      <c r="P137" s="154">
        <f t="shared" si="40"/>
        <v>4.280660819534785E-3</v>
      </c>
      <c r="Q137" s="154">
        <f t="shared" si="40"/>
        <v>4.0208389639937196E-3</v>
      </c>
      <c r="R137" s="154">
        <f t="shared" si="40"/>
        <v>4.0182048016118247E-3</v>
      </c>
      <c r="S137" s="154">
        <f t="shared" si="40"/>
        <v>3.8715462162508978E-3</v>
      </c>
      <c r="T137" s="154">
        <f t="shared" si="40"/>
        <v>4.0630886887108551E-3</v>
      </c>
      <c r="U137" s="154">
        <f t="shared" si="40"/>
        <v>4.0737798229552591E-3</v>
      </c>
      <c r="V137" s="154">
        <f t="shared" si="40"/>
        <v>4.0597993073885766E-3</v>
      </c>
      <c r="W137" s="154">
        <f t="shared" si="42"/>
        <v>4.61362596921996E-3</v>
      </c>
      <c r="X137" s="154">
        <f t="shared" si="42"/>
        <v>4.5740848175865687E-3</v>
      </c>
      <c r="Y137" s="154">
        <f t="shared" si="42"/>
        <v>4.3007758599810115E-3</v>
      </c>
      <c r="DA137" s="212"/>
    </row>
    <row r="138" spans="1:105" ht="11.45" customHeight="1" x14ac:dyDescent="0.25">
      <c r="A138" s="155" t="s">
        <v>20</v>
      </c>
      <c r="B138" s="156">
        <f t="shared" si="40"/>
        <v>0.69749291968153981</v>
      </c>
      <c r="C138" s="156">
        <f t="shared" si="40"/>
        <v>0.69190162543147615</v>
      </c>
      <c r="D138" s="156">
        <f t="shared" si="40"/>
        <v>0.66045169750046062</v>
      </c>
      <c r="E138" s="156">
        <f t="shared" si="40"/>
        <v>0.66052386302935095</v>
      </c>
      <c r="F138" s="156">
        <f t="shared" si="40"/>
        <v>0.65019242127578203</v>
      </c>
      <c r="G138" s="156">
        <f t="shared" si="40"/>
        <v>0.65609896988339034</v>
      </c>
      <c r="H138" s="156">
        <f t="shared" si="40"/>
        <v>0.66161184199034151</v>
      </c>
      <c r="I138" s="156">
        <f t="shared" si="40"/>
        <v>0.67778483198221118</v>
      </c>
      <c r="J138" s="156">
        <f t="shared" si="40"/>
        <v>0.67405949485581851</v>
      </c>
      <c r="K138" s="156">
        <f t="shared" si="40"/>
        <v>0.68833832768679015</v>
      </c>
      <c r="L138" s="156">
        <f t="shared" si="41"/>
        <v>0.68161915666624784</v>
      </c>
      <c r="M138" s="156">
        <f t="shared" si="40"/>
        <v>0.68723616267720689</v>
      </c>
      <c r="N138" s="156">
        <f t="shared" si="40"/>
        <v>0.70360094360893022</v>
      </c>
      <c r="O138" s="156">
        <f t="shared" si="40"/>
        <v>0.68046685349472891</v>
      </c>
      <c r="P138" s="156">
        <f t="shared" si="40"/>
        <v>0.69768719169112214</v>
      </c>
      <c r="Q138" s="156">
        <f t="shared" si="40"/>
        <v>0.69524459604016864</v>
      </c>
      <c r="R138" s="156">
        <f t="shared" si="40"/>
        <v>0.70481301911167826</v>
      </c>
      <c r="S138" s="156">
        <f t="shared" si="40"/>
        <v>0.67364378880255382</v>
      </c>
      <c r="T138" s="156">
        <f t="shared" si="40"/>
        <v>0.67572320300165922</v>
      </c>
      <c r="U138" s="156">
        <f t="shared" si="40"/>
        <v>0.67418065218745848</v>
      </c>
      <c r="V138" s="156">
        <f t="shared" si="40"/>
        <v>0.65951420819343842</v>
      </c>
      <c r="W138" s="156">
        <f t="shared" si="42"/>
        <v>0.67386960217778724</v>
      </c>
      <c r="X138" s="156">
        <f t="shared" si="42"/>
        <v>0.6678668292770058</v>
      </c>
      <c r="Y138" s="156">
        <f t="shared" si="42"/>
        <v>0.66304331477327749</v>
      </c>
      <c r="DA138" s="213"/>
    </row>
    <row r="139" spans="1:105" ht="11.45" customHeight="1" x14ac:dyDescent="0.25">
      <c r="A139" s="157" t="s">
        <v>110</v>
      </c>
      <c r="B139" s="103">
        <f t="shared" si="40"/>
        <v>0.55545815194150372</v>
      </c>
      <c r="C139" s="103">
        <f t="shared" si="40"/>
        <v>0.5255838074985304</v>
      </c>
      <c r="D139" s="103">
        <f t="shared" si="40"/>
        <v>0.49725560314311062</v>
      </c>
      <c r="E139" s="103">
        <f t="shared" si="40"/>
        <v>0.45527127769006787</v>
      </c>
      <c r="F139" s="103">
        <f t="shared" si="40"/>
        <v>0.42148805563807212</v>
      </c>
      <c r="G139" s="103">
        <f t="shared" si="40"/>
        <v>0.39916366206221399</v>
      </c>
      <c r="H139" s="103">
        <f t="shared" si="40"/>
        <v>0.37487926833204172</v>
      </c>
      <c r="I139" s="103">
        <f t="shared" si="40"/>
        <v>0.35632494474345755</v>
      </c>
      <c r="J139" s="103">
        <f t="shared" si="40"/>
        <v>0.34610808218616329</v>
      </c>
      <c r="K139" s="103">
        <f t="shared" si="40"/>
        <v>0.34773571149870597</v>
      </c>
      <c r="L139" s="103">
        <f t="shared" si="41"/>
        <v>0.33980997533907303</v>
      </c>
      <c r="M139" s="103">
        <f t="shared" si="40"/>
        <v>0.33873607609387252</v>
      </c>
      <c r="N139" s="103">
        <f t="shared" si="40"/>
        <v>0.3268278301047034</v>
      </c>
      <c r="O139" s="103">
        <f t="shared" si="40"/>
        <v>0.31497871024156998</v>
      </c>
      <c r="P139" s="103">
        <f t="shared" si="40"/>
        <v>0.29330763435907942</v>
      </c>
      <c r="Q139" s="103">
        <f t="shared" si="40"/>
        <v>0.27617584610691498</v>
      </c>
      <c r="R139" s="103">
        <f t="shared" si="40"/>
        <v>0.26771353261234471</v>
      </c>
      <c r="S139" s="103">
        <f t="shared" si="40"/>
        <v>0.23760963892819634</v>
      </c>
      <c r="T139" s="103">
        <f t="shared" si="40"/>
        <v>0.23943908757312435</v>
      </c>
      <c r="U139" s="103">
        <f t="shared" si="40"/>
        <v>0.22182035814522555</v>
      </c>
      <c r="V139" s="103">
        <f t="shared" si="40"/>
        <v>0.20891117617375285</v>
      </c>
      <c r="W139" s="103">
        <f t="shared" si="42"/>
        <v>0.21693875243615374</v>
      </c>
      <c r="X139" s="103">
        <f t="shared" si="42"/>
        <v>0.21564385744312856</v>
      </c>
      <c r="Y139" s="103">
        <f t="shared" si="42"/>
        <v>0.2139763876618776</v>
      </c>
      <c r="DA139" s="191"/>
    </row>
    <row r="140" spans="1:105" ht="11.45" customHeight="1" x14ac:dyDescent="0.25">
      <c r="A140" s="157" t="s">
        <v>111</v>
      </c>
      <c r="B140" s="103">
        <f t="shared" si="40"/>
        <v>0.13490363958822291</v>
      </c>
      <c r="C140" s="103">
        <f t="shared" si="40"/>
        <v>0.15786641298746115</v>
      </c>
      <c r="D140" s="103">
        <f t="shared" si="40"/>
        <v>0.15448806630392609</v>
      </c>
      <c r="E140" s="103">
        <f t="shared" si="40"/>
        <v>0.19736884045613304</v>
      </c>
      <c r="F140" s="103">
        <f t="shared" si="40"/>
        <v>0.21888280502942256</v>
      </c>
      <c r="G140" s="103">
        <f t="shared" si="40"/>
        <v>0.24446752442032357</v>
      </c>
      <c r="H140" s="103">
        <f t="shared" si="40"/>
        <v>0.26706037933054044</v>
      </c>
      <c r="I140" s="103">
        <f t="shared" si="40"/>
        <v>0.29632856599139612</v>
      </c>
      <c r="J140" s="103">
        <f t="shared" si="40"/>
        <v>0.29350630996310451</v>
      </c>
      <c r="K140" s="103">
        <f t="shared" si="40"/>
        <v>0.30545704058255713</v>
      </c>
      <c r="L140" s="103">
        <f t="shared" si="41"/>
        <v>0.31112168290966979</v>
      </c>
      <c r="M140" s="103">
        <f t="shared" si="40"/>
        <v>0.31877606841931433</v>
      </c>
      <c r="N140" s="103">
        <f t="shared" si="40"/>
        <v>0.34649943475321432</v>
      </c>
      <c r="O140" s="103">
        <f t="shared" si="40"/>
        <v>0.33516901228101242</v>
      </c>
      <c r="P140" s="103">
        <f t="shared" si="40"/>
        <v>0.37098176010580602</v>
      </c>
      <c r="Q140" s="103">
        <f t="shared" si="40"/>
        <v>0.38446907814822984</v>
      </c>
      <c r="R140" s="103">
        <f t="shared" si="40"/>
        <v>0.40173924144544493</v>
      </c>
      <c r="S140" s="103">
        <f t="shared" si="40"/>
        <v>0.40341838061996543</v>
      </c>
      <c r="T140" s="103">
        <f t="shared" si="40"/>
        <v>0.40257387642919473</v>
      </c>
      <c r="U140" s="103">
        <f t="shared" si="40"/>
        <v>0.42161514698107083</v>
      </c>
      <c r="V140" s="103">
        <f t="shared" si="40"/>
        <v>0.42265632113768026</v>
      </c>
      <c r="W140" s="103">
        <f t="shared" si="42"/>
        <v>0.42973702482966442</v>
      </c>
      <c r="X140" s="103">
        <f t="shared" si="42"/>
        <v>0.43107050973460181</v>
      </c>
      <c r="Y140" s="103">
        <f t="shared" si="42"/>
        <v>0.43188523960597525</v>
      </c>
      <c r="DA140" s="191"/>
    </row>
    <row r="141" spans="1:105" ht="11.45" customHeight="1" x14ac:dyDescent="0.25">
      <c r="A141" s="157" t="s">
        <v>112</v>
      </c>
      <c r="B141" s="103">
        <f t="shared" si="40"/>
        <v>7.1311281518131779E-3</v>
      </c>
      <c r="C141" s="103">
        <f t="shared" si="40"/>
        <v>8.4514049454847071E-3</v>
      </c>
      <c r="D141" s="103">
        <f t="shared" si="40"/>
        <v>8.7080280534238136E-3</v>
      </c>
      <c r="E141" s="103">
        <f t="shared" si="40"/>
        <v>7.8837448831500633E-3</v>
      </c>
      <c r="F141" s="103">
        <f t="shared" si="40"/>
        <v>9.8215606082872366E-3</v>
      </c>
      <c r="G141" s="103">
        <f t="shared" si="40"/>
        <v>1.2467783400852837E-2</v>
      </c>
      <c r="H141" s="103">
        <f t="shared" si="40"/>
        <v>1.9672194327759344E-2</v>
      </c>
      <c r="I141" s="103">
        <f t="shared" si="40"/>
        <v>2.5131321247357535E-2</v>
      </c>
      <c r="J141" s="103">
        <f t="shared" si="40"/>
        <v>3.4445102706550698E-2</v>
      </c>
      <c r="K141" s="103">
        <f t="shared" si="40"/>
        <v>3.5117785335848389E-2</v>
      </c>
      <c r="L141" s="103">
        <f t="shared" si="41"/>
        <v>3.0654333876096878E-2</v>
      </c>
      <c r="M141" s="103">
        <f t="shared" si="40"/>
        <v>2.9691002668500596E-2</v>
      </c>
      <c r="N141" s="103">
        <f t="shared" si="40"/>
        <v>3.023259330616182E-2</v>
      </c>
      <c r="O141" s="103">
        <f t="shared" si="40"/>
        <v>3.0276873656666918E-2</v>
      </c>
      <c r="P141" s="103">
        <f t="shared" si="40"/>
        <v>3.3349616638858534E-2</v>
      </c>
      <c r="Q141" s="103">
        <f t="shared" si="40"/>
        <v>3.4549697556296437E-2</v>
      </c>
      <c r="R141" s="103">
        <f t="shared" si="40"/>
        <v>3.5304331999392535E-2</v>
      </c>
      <c r="S141" s="103">
        <f t="shared" si="40"/>
        <v>3.2548807779324167E-2</v>
      </c>
      <c r="T141" s="103">
        <f t="shared" si="40"/>
        <v>3.3635644528473993E-2</v>
      </c>
      <c r="U141" s="103">
        <f t="shared" si="40"/>
        <v>3.0661815445833188E-2</v>
      </c>
      <c r="V141" s="103">
        <f t="shared" si="40"/>
        <v>2.7828750970670398E-2</v>
      </c>
      <c r="W141" s="103">
        <f t="shared" si="42"/>
        <v>2.7020146991859513E-2</v>
      </c>
      <c r="X141" s="103">
        <f t="shared" si="42"/>
        <v>2.0903462704572554E-2</v>
      </c>
      <c r="Y141" s="103">
        <f t="shared" si="42"/>
        <v>1.6823350236604258E-2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2.779026967866775E-5</v>
      </c>
      <c r="L142" s="103">
        <f t="shared" si="41"/>
        <v>3.3164541408212272E-5</v>
      </c>
      <c r="M142" s="103">
        <f t="shared" si="40"/>
        <v>3.3015495519366297E-5</v>
      </c>
      <c r="N142" s="103">
        <f t="shared" si="40"/>
        <v>4.1085444850594496E-5</v>
      </c>
      <c r="O142" s="103">
        <f t="shared" si="40"/>
        <v>4.2257315479519948E-5</v>
      </c>
      <c r="P142" s="103">
        <f t="shared" si="40"/>
        <v>4.7404615024556933E-5</v>
      </c>
      <c r="Q142" s="103">
        <f t="shared" si="40"/>
        <v>4.2503005533326845E-5</v>
      </c>
      <c r="R142" s="103">
        <f t="shared" si="40"/>
        <v>4.4896134814547762E-5</v>
      </c>
      <c r="S142" s="103">
        <f t="shared" si="40"/>
        <v>5.3938128802195889E-5</v>
      </c>
      <c r="T142" s="103">
        <f t="shared" si="40"/>
        <v>5.965159784063163E-5</v>
      </c>
      <c r="U142" s="103">
        <f t="shared" si="40"/>
        <v>5.4494417489723826E-5</v>
      </c>
      <c r="V142" s="103">
        <f t="shared" si="40"/>
        <v>4.9669237060301607E-5</v>
      </c>
      <c r="W142" s="103">
        <f t="shared" si="42"/>
        <v>5.3886769359979112E-5</v>
      </c>
      <c r="X142" s="103">
        <f t="shared" si="42"/>
        <v>5.2204302162249076E-5</v>
      </c>
      <c r="Y142" s="103">
        <f t="shared" si="42"/>
        <v>4.1497279983350468E-5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0</v>
      </c>
      <c r="P143" s="103">
        <f t="shared" si="40"/>
        <v>7.7597235368834698E-7</v>
      </c>
      <c r="Q143" s="103">
        <f t="shared" si="40"/>
        <v>7.4712231939523423E-6</v>
      </c>
      <c r="R143" s="103">
        <f t="shared" si="40"/>
        <v>1.1016919681526023E-5</v>
      </c>
      <c r="S143" s="103">
        <f t="shared" si="40"/>
        <v>1.3023346265599917E-5</v>
      </c>
      <c r="T143" s="103">
        <f t="shared" si="40"/>
        <v>1.4942873025538721E-5</v>
      </c>
      <c r="U143" s="103">
        <f t="shared" si="40"/>
        <v>2.8837197839206621E-5</v>
      </c>
      <c r="V143" s="103">
        <f t="shared" si="40"/>
        <v>6.8290674274538437E-5</v>
      </c>
      <c r="W143" s="103">
        <f t="shared" si="42"/>
        <v>1.1979115074965053E-4</v>
      </c>
      <c r="X143" s="103">
        <f t="shared" si="42"/>
        <v>1.9679509254063964E-4</v>
      </c>
      <c r="Y143" s="103">
        <f t="shared" si="42"/>
        <v>3.1683998883702346E-4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0.13233457128683981</v>
      </c>
      <c r="C145" s="156">
        <f t="shared" si="40"/>
        <v>0.12623153709130908</v>
      </c>
      <c r="D145" s="156">
        <f t="shared" si="40"/>
        <v>0.11692726480115816</v>
      </c>
      <c r="E145" s="156">
        <f t="shared" si="40"/>
        <v>0.10796545007361556</v>
      </c>
      <c r="F145" s="156">
        <f t="shared" si="40"/>
        <v>0.1020314591911899</v>
      </c>
      <c r="G145" s="156">
        <f t="shared" si="40"/>
        <v>9.7067031584140345E-2</v>
      </c>
      <c r="H145" s="156">
        <f t="shared" si="40"/>
        <v>9.0535261116112944E-2</v>
      </c>
      <c r="I145" s="156">
        <f t="shared" si="40"/>
        <v>8.6690493476740946E-2</v>
      </c>
      <c r="J145" s="156">
        <f t="shared" si="40"/>
        <v>8.7488963184866153E-2</v>
      </c>
      <c r="K145" s="156">
        <f t="shared" si="40"/>
        <v>8.9863063087245343E-2</v>
      </c>
      <c r="L145" s="156">
        <f t="shared" si="41"/>
        <v>9.3140364236981396E-2</v>
      </c>
      <c r="M145" s="156">
        <f t="shared" si="40"/>
        <v>9.1251945261166201E-2</v>
      </c>
      <c r="N145" s="156">
        <f t="shared" si="40"/>
        <v>9.005578856816765E-2</v>
      </c>
      <c r="O145" s="156">
        <f t="shared" si="40"/>
        <v>8.9924420377273787E-2</v>
      </c>
      <c r="P145" s="156">
        <f t="shared" si="40"/>
        <v>9.2067104269726752E-2</v>
      </c>
      <c r="Q145" s="156">
        <f t="shared" si="40"/>
        <v>9.2903993522188658E-2</v>
      </c>
      <c r="R145" s="156">
        <f t="shared" si="40"/>
        <v>9.5362618698603685E-2</v>
      </c>
      <c r="S145" s="156">
        <f t="shared" si="40"/>
        <v>9.3232402942828904E-2</v>
      </c>
      <c r="T145" s="156">
        <f t="shared" si="40"/>
        <v>9.6607160606102707E-2</v>
      </c>
      <c r="U145" s="156">
        <f t="shared" si="40"/>
        <v>7.7504613548825013E-2</v>
      </c>
      <c r="V145" s="156">
        <f t="shared" si="40"/>
        <v>6.3440714598407236E-2</v>
      </c>
      <c r="W145" s="156">
        <f t="shared" si="42"/>
        <v>6.4900490304547767E-2</v>
      </c>
      <c r="X145" s="156">
        <f t="shared" si="42"/>
        <v>6.9837112841377877E-2</v>
      </c>
      <c r="Y145" s="156">
        <f t="shared" si="42"/>
        <v>6.9770722688959244E-2</v>
      </c>
      <c r="DA145" s="213"/>
    </row>
    <row r="146" spans="1:105" ht="11.45" customHeight="1" x14ac:dyDescent="0.25">
      <c r="A146" s="157" t="s">
        <v>110</v>
      </c>
      <c r="B146" s="103">
        <f t="shared" si="40"/>
        <v>1.273831789415847E-4</v>
      </c>
      <c r="C146" s="103">
        <f t="shared" si="40"/>
        <v>1.2961737211840464E-4</v>
      </c>
      <c r="D146" s="103">
        <f t="shared" si="40"/>
        <v>1.2020386581615861E-4</v>
      </c>
      <c r="E146" s="103">
        <f t="shared" si="40"/>
        <v>1.0535808067923333E-4</v>
      </c>
      <c r="F146" s="103">
        <f t="shared" si="40"/>
        <v>9.4913374994696242E-5</v>
      </c>
      <c r="G146" s="103">
        <f t="shared" si="40"/>
        <v>9.1071851338968231E-5</v>
      </c>
      <c r="H146" s="103">
        <f t="shared" si="40"/>
        <v>8.4965434291705703E-5</v>
      </c>
      <c r="I146" s="103">
        <f t="shared" si="40"/>
        <v>7.166548423835189E-5</v>
      </c>
      <c r="J146" s="103">
        <f t="shared" si="40"/>
        <v>7.9727037503774965E-5</v>
      </c>
      <c r="K146" s="103">
        <f t="shared" si="40"/>
        <v>7.3018148622651225E-5</v>
      </c>
      <c r="L146" s="103">
        <f t="shared" si="41"/>
        <v>7.3438884184603013E-5</v>
      </c>
      <c r="M146" s="103">
        <f t="shared" si="40"/>
        <v>6.7343281509057963E-5</v>
      </c>
      <c r="N146" s="103">
        <f t="shared" si="40"/>
        <v>6.7921913202622925E-5</v>
      </c>
      <c r="O146" s="103">
        <f t="shared" si="40"/>
        <v>7.5567977989411748E-5</v>
      </c>
      <c r="P146" s="103">
        <f t="shared" si="40"/>
        <v>7.1370261035680148E-5</v>
      </c>
      <c r="Q146" s="103">
        <f t="shared" si="40"/>
        <v>6.268305233155239E-5</v>
      </c>
      <c r="R146" s="103">
        <f t="shared" si="40"/>
        <v>6.2062090014052489E-5</v>
      </c>
      <c r="S146" s="103">
        <f t="shared" si="40"/>
        <v>5.6040757181385542E-5</v>
      </c>
      <c r="T146" s="103">
        <f t="shared" si="40"/>
        <v>5.8298907718060923E-5</v>
      </c>
      <c r="U146" s="103">
        <f t="shared" si="40"/>
        <v>4.091299070782443E-5</v>
      </c>
      <c r="V146" s="103">
        <f t="shared" si="40"/>
        <v>3.2730006463417156E-5</v>
      </c>
      <c r="W146" s="103">
        <f t="shared" si="42"/>
        <v>3.1885349175547753E-5</v>
      </c>
      <c r="X146" s="103">
        <f t="shared" si="42"/>
        <v>2.8761114673778958E-5</v>
      </c>
      <c r="Y146" s="103">
        <f t="shared" si="42"/>
        <v>2.4851030818214977E-5</v>
      </c>
      <c r="DA146" s="191"/>
    </row>
    <row r="147" spans="1:105" ht="11.45" customHeight="1" x14ac:dyDescent="0.25">
      <c r="A147" s="157" t="s">
        <v>111</v>
      </c>
      <c r="B147" s="103">
        <f t="shared" si="40"/>
        <v>0.13220718810789822</v>
      </c>
      <c r="C147" s="103">
        <f t="shared" si="40"/>
        <v>0.12610191971919066</v>
      </c>
      <c r="D147" s="103">
        <f t="shared" si="40"/>
        <v>0.116807060935342</v>
      </c>
      <c r="E147" s="103">
        <f t="shared" si="40"/>
        <v>0.10786009199293634</v>
      </c>
      <c r="F147" s="103">
        <f t="shared" si="40"/>
        <v>0.1019365458161952</v>
      </c>
      <c r="G147" s="103">
        <f t="shared" si="40"/>
        <v>9.6975959732801376E-2</v>
      </c>
      <c r="H147" s="103">
        <f t="shared" si="40"/>
        <v>9.0450295681821238E-2</v>
      </c>
      <c r="I147" s="103">
        <f t="shared" si="40"/>
        <v>8.6614517037277516E-2</v>
      </c>
      <c r="J147" s="103">
        <f t="shared" si="40"/>
        <v>8.7404862049657986E-2</v>
      </c>
      <c r="K147" s="103">
        <f t="shared" si="40"/>
        <v>8.9370125265425315E-2</v>
      </c>
      <c r="L147" s="103">
        <f t="shared" si="41"/>
        <v>9.2236767674130277E-2</v>
      </c>
      <c r="M147" s="103">
        <f t="shared" si="40"/>
        <v>9.0951094543819111E-2</v>
      </c>
      <c r="N147" s="103">
        <f t="shared" si="40"/>
        <v>8.9684391673379785E-2</v>
      </c>
      <c r="O147" s="103">
        <f t="shared" si="40"/>
        <v>8.9177686785603213E-2</v>
      </c>
      <c r="P147" s="103">
        <f t="shared" si="40"/>
        <v>9.0576603648613599E-2</v>
      </c>
      <c r="Q147" s="103">
        <f t="shared" si="40"/>
        <v>9.1464212066543399E-2</v>
      </c>
      <c r="R147" s="103">
        <f t="shared" ref="R147:V147" si="43">IF(R29=0,0,R29/R$17)</f>
        <v>9.3835381279269395E-2</v>
      </c>
      <c r="S147" s="103">
        <f t="shared" si="43"/>
        <v>9.1631643164699836E-2</v>
      </c>
      <c r="T147" s="103">
        <f t="shared" si="43"/>
        <v>9.4951235142493692E-2</v>
      </c>
      <c r="U147" s="103">
        <f t="shared" si="43"/>
        <v>7.6010410357123262E-2</v>
      </c>
      <c r="V147" s="103">
        <f t="shared" si="43"/>
        <v>6.2134962365084354E-2</v>
      </c>
      <c r="W147" s="103">
        <f t="shared" ref="W147:Y147" si="44">IF(W29=0,0,W29/W$17)</f>
        <v>6.3320610664583887E-2</v>
      </c>
      <c r="X147" s="103">
        <f t="shared" si="44"/>
        <v>6.8517977479262082E-2</v>
      </c>
      <c r="Y147" s="103">
        <f t="shared" si="44"/>
        <v>6.8828355451683434E-2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4.3109552250831858E-6</v>
      </c>
      <c r="J148" s="103">
        <f t="shared" si="45"/>
        <v>4.3740977043802944E-6</v>
      </c>
      <c r="K148" s="103">
        <f t="shared" si="45"/>
        <v>4.414951004035759E-6</v>
      </c>
      <c r="L148" s="103">
        <f t="shared" ref="L148:L150" si="46">IF(L30=0,0,L30/L$17)</f>
        <v>4.7650889959639001E-6</v>
      </c>
      <c r="M148" s="103">
        <f t="shared" ref="M148:V148" si="47">IF(M30=0,0,M30/M$17)</f>
        <v>9.9157366859837735E-6</v>
      </c>
      <c r="N148" s="103">
        <f t="shared" si="47"/>
        <v>1.0265232462524557E-5</v>
      </c>
      <c r="O148" s="103">
        <f t="shared" si="47"/>
        <v>6.7913612127701512E-5</v>
      </c>
      <c r="P148" s="103">
        <f t="shared" si="47"/>
        <v>7.960231706918463E-5</v>
      </c>
      <c r="Q148" s="103">
        <f t="shared" si="47"/>
        <v>7.757295050398617E-5</v>
      </c>
      <c r="R148" s="103">
        <f t="shared" si="47"/>
        <v>7.7376087494565953E-5</v>
      </c>
      <c r="S148" s="103">
        <f t="shared" si="47"/>
        <v>6.5968395435242455E-5</v>
      </c>
      <c r="T148" s="103">
        <f t="shared" si="47"/>
        <v>6.9257697247018387E-5</v>
      </c>
      <c r="U148" s="103">
        <f t="shared" si="47"/>
        <v>5.4050071039161389E-5</v>
      </c>
      <c r="V148" s="103">
        <f t="shared" si="47"/>
        <v>4.8880116954577234E-5</v>
      </c>
      <c r="W148" s="103">
        <f t="shared" ref="W148:Y148" si="48">IF(W30=0,0,W30/W$17)</f>
        <v>4.9903388609658409E-5</v>
      </c>
      <c r="X148" s="103">
        <f t="shared" si="48"/>
        <v>4.6192062787050679E-5</v>
      </c>
      <c r="Y148" s="103">
        <f t="shared" si="48"/>
        <v>4.2374108665757007E-5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4.15504722193346E-4</v>
      </c>
      <c r="L149" s="103">
        <f t="shared" si="46"/>
        <v>8.2539258967054014E-4</v>
      </c>
      <c r="M149" s="103">
        <f t="shared" ref="M149:V149" si="50">IF(M31=0,0,M31/M$17)</f>
        <v>2.2359169915203491E-4</v>
      </c>
      <c r="N149" s="103">
        <f t="shared" si="50"/>
        <v>2.9320974912272707E-4</v>
      </c>
      <c r="O149" s="103">
        <f t="shared" si="50"/>
        <v>6.0325200155345081E-4</v>
      </c>
      <c r="P149" s="103">
        <f t="shared" si="50"/>
        <v>1.3395280430082903E-3</v>
      </c>
      <c r="Q149" s="103">
        <f t="shared" si="50"/>
        <v>1.2995254528097185E-3</v>
      </c>
      <c r="R149" s="103">
        <f t="shared" si="50"/>
        <v>1.3877992418256787E-3</v>
      </c>
      <c r="S149" s="103">
        <f t="shared" si="50"/>
        <v>1.4787506255124409E-3</v>
      </c>
      <c r="T149" s="103">
        <f t="shared" si="50"/>
        <v>1.5283688586439569E-3</v>
      </c>
      <c r="U149" s="103">
        <f t="shared" si="50"/>
        <v>1.3992401299547507E-3</v>
      </c>
      <c r="V149" s="103">
        <f t="shared" si="50"/>
        <v>1.2241421099048785E-3</v>
      </c>
      <c r="W149" s="103">
        <f t="shared" ref="W149:Y149" si="51">IF(W31=0,0,W31/W$17)</f>
        <v>1.4980909021786726E-3</v>
      </c>
      <c r="X149" s="103">
        <f t="shared" si="51"/>
        <v>1.2441821846549677E-3</v>
      </c>
      <c r="Y149" s="103">
        <f t="shared" si="51"/>
        <v>8.7514209779184784E-4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0.16606323970068793</v>
      </c>
      <c r="C151" s="46">
        <f t="shared" si="55"/>
        <v>0.17783288162244054</v>
      </c>
      <c r="D151" s="46">
        <f t="shared" si="55"/>
        <v>0.21874513462398038</v>
      </c>
      <c r="E151" s="46">
        <f t="shared" si="55"/>
        <v>0.22761754196130546</v>
      </c>
      <c r="F151" s="46">
        <f t="shared" si="55"/>
        <v>0.24369105265411284</v>
      </c>
      <c r="G151" s="46">
        <f t="shared" si="55"/>
        <v>0.24257316248373514</v>
      </c>
      <c r="H151" s="46">
        <f t="shared" si="55"/>
        <v>0.24356803062464563</v>
      </c>
      <c r="I151" s="46">
        <f t="shared" si="55"/>
        <v>0.23155366282988735</v>
      </c>
      <c r="J151" s="46">
        <f t="shared" si="55"/>
        <v>0.23442833899182525</v>
      </c>
      <c r="K151" s="46">
        <f t="shared" si="55"/>
        <v>0.21778431547176194</v>
      </c>
      <c r="L151" s="46">
        <f t="shared" ref="L151" si="56">IF(L33=0,0,L33/L$17)</f>
        <v>0.22108886324211288</v>
      </c>
      <c r="M151" s="46">
        <f t="shared" ref="M151:V151" si="57">IF(M33=0,0,M33/M$17)</f>
        <v>0.21728975742799195</v>
      </c>
      <c r="N151" s="46">
        <f t="shared" si="57"/>
        <v>0.20197308213745108</v>
      </c>
      <c r="O151" s="46">
        <f t="shared" si="57"/>
        <v>0.22534307898372952</v>
      </c>
      <c r="P151" s="46">
        <f t="shared" si="57"/>
        <v>0.20596504321961626</v>
      </c>
      <c r="Q151" s="46">
        <f t="shared" si="57"/>
        <v>0.20783057147364886</v>
      </c>
      <c r="R151" s="46">
        <f t="shared" si="57"/>
        <v>0.19580615738810633</v>
      </c>
      <c r="S151" s="46">
        <f t="shared" si="57"/>
        <v>0.22925226203836646</v>
      </c>
      <c r="T151" s="46">
        <f t="shared" si="57"/>
        <v>0.22360654770352717</v>
      </c>
      <c r="U151" s="46">
        <f t="shared" si="57"/>
        <v>0.24424095444076138</v>
      </c>
      <c r="V151" s="46">
        <f t="shared" si="57"/>
        <v>0.27298527790076582</v>
      </c>
      <c r="W151" s="46">
        <f t="shared" ref="W151:Y151" si="58">IF(W33=0,0,W33/W$17)</f>
        <v>0.25661628154844501</v>
      </c>
      <c r="X151" s="46">
        <f t="shared" si="58"/>
        <v>0.25772197306402994</v>
      </c>
      <c r="Y151" s="46">
        <f t="shared" si="58"/>
        <v>0.26288518667778227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5.8832699209217236E-2</v>
      </c>
      <c r="C152" s="154">
        <f t="shared" si="59"/>
        <v>6.5534385578469898E-2</v>
      </c>
      <c r="D152" s="154">
        <f t="shared" si="59"/>
        <v>6.9219273983271101E-2</v>
      </c>
      <c r="E152" s="154">
        <f t="shared" si="59"/>
        <v>6.988408815918222E-2</v>
      </c>
      <c r="F152" s="154">
        <f t="shared" si="59"/>
        <v>7.2877793342791333E-2</v>
      </c>
      <c r="G152" s="154">
        <f t="shared" si="59"/>
        <v>7.6745288038876841E-2</v>
      </c>
      <c r="H152" s="154">
        <f t="shared" si="59"/>
        <v>7.5259006550181959E-2</v>
      </c>
      <c r="I152" s="154">
        <f t="shared" si="59"/>
        <v>6.8341517022542569E-2</v>
      </c>
      <c r="J152" s="154">
        <f t="shared" si="59"/>
        <v>7.1842371599912136E-2</v>
      </c>
      <c r="K152" s="154">
        <f t="shared" si="59"/>
        <v>6.9834393136031361E-2</v>
      </c>
      <c r="L152" s="154">
        <f t="shared" ref="L152" si="60">IF(L34=0,0,L34/L$17)</f>
        <v>6.7333293712386458E-2</v>
      </c>
      <c r="M152" s="154">
        <f t="shared" ref="M152:V152" si="61">IF(M34=0,0,M34/M$17)</f>
        <v>6.7779625715969211E-2</v>
      </c>
      <c r="N152" s="154">
        <f t="shared" si="61"/>
        <v>6.4505604634406549E-2</v>
      </c>
      <c r="O152" s="154">
        <f t="shared" si="61"/>
        <v>6.2791487625836931E-2</v>
      </c>
      <c r="P152" s="154">
        <f t="shared" si="61"/>
        <v>6.1090476467972638E-2</v>
      </c>
      <c r="Q152" s="154">
        <f t="shared" si="61"/>
        <v>6.5437981915001595E-2</v>
      </c>
      <c r="R152" s="154">
        <f t="shared" si="61"/>
        <v>6.6404998471251905E-2</v>
      </c>
      <c r="S152" s="154">
        <f t="shared" si="61"/>
        <v>7.0707082568967086E-2</v>
      </c>
      <c r="T152" s="154">
        <f t="shared" si="61"/>
        <v>7.8437840572431042E-2</v>
      </c>
      <c r="U152" s="154">
        <f t="shared" si="61"/>
        <v>8.101136923015434E-2</v>
      </c>
      <c r="V152" s="154">
        <f t="shared" si="61"/>
        <v>9.4067437704705173E-2</v>
      </c>
      <c r="W152" s="154">
        <f t="shared" ref="W152:Y152" si="62">IF(W34=0,0,W34/W$17)</f>
        <v>9.4647573945148986E-2</v>
      </c>
      <c r="X152" s="154">
        <f t="shared" si="62"/>
        <v>9.8298514221376213E-2</v>
      </c>
      <c r="Y152" s="154">
        <f t="shared" si="62"/>
        <v>9.7534738426838602E-2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8.9453158638191886E-3</v>
      </c>
      <c r="C153" s="103">
        <f t="shared" si="63"/>
        <v>1.0535576880909616E-2</v>
      </c>
      <c r="D153" s="103">
        <f t="shared" si="63"/>
        <v>9.649477980202598E-3</v>
      </c>
      <c r="E153" s="103">
        <f t="shared" si="63"/>
        <v>8.4871597455897594E-3</v>
      </c>
      <c r="F153" s="103">
        <f t="shared" si="63"/>
        <v>7.6975225893673544E-3</v>
      </c>
      <c r="G153" s="103">
        <f t="shared" si="63"/>
        <v>6.9836789832766069E-3</v>
      </c>
      <c r="H153" s="103">
        <f t="shared" si="63"/>
        <v>6.426891469146951E-3</v>
      </c>
      <c r="I153" s="103">
        <f t="shared" si="63"/>
        <v>4.6201696448089696E-3</v>
      </c>
      <c r="J153" s="103">
        <f t="shared" si="63"/>
        <v>4.5160762863629559E-3</v>
      </c>
      <c r="K153" s="103">
        <f t="shared" si="63"/>
        <v>3.910872528882268E-3</v>
      </c>
      <c r="L153" s="103">
        <f t="shared" ref="L153" si="64">IF(L35=0,0,L35/L$17)</f>
        <v>3.477149480022246E-3</v>
      </c>
      <c r="M153" s="103">
        <f t="shared" ref="M153:V153" si="65">IF(M35=0,0,M35/M$17)</f>
        <v>3.3267125046531273E-3</v>
      </c>
      <c r="N153" s="103">
        <f t="shared" si="65"/>
        <v>2.4638000245959741E-3</v>
      </c>
      <c r="O153" s="103">
        <f t="shared" si="65"/>
        <v>2.3176835776648561E-3</v>
      </c>
      <c r="P153" s="103">
        <f t="shared" si="65"/>
        <v>2.2614504880338429E-3</v>
      </c>
      <c r="Q153" s="103">
        <f t="shared" si="65"/>
        <v>2.0310921483610734E-3</v>
      </c>
      <c r="R153" s="103">
        <f t="shared" si="65"/>
        <v>1.9499947905628307E-3</v>
      </c>
      <c r="S153" s="103">
        <f t="shared" si="65"/>
        <v>2.0098378698435088E-3</v>
      </c>
      <c r="T153" s="103">
        <f t="shared" si="65"/>
        <v>2.2357617764360059E-3</v>
      </c>
      <c r="U153" s="103">
        <f t="shared" si="65"/>
        <v>2.2115483180261885E-3</v>
      </c>
      <c r="V153" s="103">
        <f t="shared" si="65"/>
        <v>2.4672391827705222E-3</v>
      </c>
      <c r="W153" s="103">
        <f t="shared" ref="W153:Y153" si="66">IF(W35=0,0,W35/W$17)</f>
        <v>2.3697619919807863E-3</v>
      </c>
      <c r="X153" s="103">
        <f t="shared" si="66"/>
        <v>2.278176746930519E-3</v>
      </c>
      <c r="Y153" s="103">
        <f t="shared" si="66"/>
        <v>2.1425726325239821E-3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4.9887383345398051E-2</v>
      </c>
      <c r="C154" s="103">
        <f t="shared" si="67"/>
        <v>5.4998808697560277E-2</v>
      </c>
      <c r="D154" s="103">
        <f t="shared" si="67"/>
        <v>5.9569796003068505E-2</v>
      </c>
      <c r="E154" s="103">
        <f t="shared" si="67"/>
        <v>6.1396928413592462E-2</v>
      </c>
      <c r="F154" s="103">
        <f t="shared" si="67"/>
        <v>6.5180270753423974E-2</v>
      </c>
      <c r="G154" s="103">
        <f t="shared" si="67"/>
        <v>6.9761609055600221E-2</v>
      </c>
      <c r="H154" s="103">
        <f t="shared" si="67"/>
        <v>6.8832115081035011E-2</v>
      </c>
      <c r="I154" s="103">
        <f t="shared" si="67"/>
        <v>6.366699906723218E-2</v>
      </c>
      <c r="J154" s="103">
        <f t="shared" si="67"/>
        <v>6.7187608542660163E-2</v>
      </c>
      <c r="K154" s="103">
        <f t="shared" si="67"/>
        <v>6.5739909531589744E-2</v>
      </c>
      <c r="L154" s="103">
        <f t="shared" ref="L154" si="68">IF(L36=0,0,L36/L$17)</f>
        <v>6.3660969757431712E-2</v>
      </c>
      <c r="M154" s="103">
        <f t="shared" ref="M154:V154" si="69">IF(M36=0,0,M36/M$17)</f>
        <v>6.4260813564126815E-2</v>
      </c>
      <c r="N154" s="103">
        <f t="shared" si="69"/>
        <v>6.1834313751376511E-2</v>
      </c>
      <c r="O154" s="103">
        <f t="shared" si="69"/>
        <v>6.0250400012544662E-2</v>
      </c>
      <c r="P154" s="103">
        <f t="shared" si="69"/>
        <v>5.8588931413714608E-2</v>
      </c>
      <c r="Q154" s="103">
        <f t="shared" si="69"/>
        <v>6.316008977290824E-2</v>
      </c>
      <c r="R154" s="103">
        <f t="shared" si="69"/>
        <v>6.4207269181354581E-2</v>
      </c>
      <c r="S154" s="103">
        <f t="shared" si="69"/>
        <v>6.8425357041616217E-2</v>
      </c>
      <c r="T154" s="103">
        <f t="shared" si="69"/>
        <v>7.5889516503992865E-2</v>
      </c>
      <c r="U154" s="103">
        <f t="shared" si="69"/>
        <v>7.8476632033311039E-2</v>
      </c>
      <c r="V154" s="103">
        <f t="shared" si="69"/>
        <v>9.1225044573017472E-2</v>
      </c>
      <c r="W154" s="103">
        <f t="shared" ref="W154:Y154" si="70">IF(W36=0,0,W36/W$17)</f>
        <v>9.1884349504030835E-2</v>
      </c>
      <c r="X154" s="103">
        <f t="shared" si="70"/>
        <v>9.562289297785688E-2</v>
      </c>
      <c r="Y154" s="103">
        <f t="shared" si="70"/>
        <v>9.5022345360601029E-2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5.4348310501424094E-5</v>
      </c>
      <c r="J155" s="103">
        <f t="shared" si="71"/>
        <v>1.3868677088902184E-4</v>
      </c>
      <c r="K155" s="103">
        <f t="shared" si="71"/>
        <v>1.7090746630826762E-4</v>
      </c>
      <c r="L155" s="103">
        <f t="shared" ref="L155" si="72">IF(L37=0,0,L37/L$17)</f>
        <v>1.7962139867279034E-4</v>
      </c>
      <c r="M155" s="103">
        <f t="shared" ref="M155:V155" si="73">IF(M37=0,0,M37/M$17)</f>
        <v>1.7558354025755735E-4</v>
      </c>
      <c r="N155" s="103">
        <f t="shared" si="73"/>
        <v>1.830620689819814E-4</v>
      </c>
      <c r="O155" s="103">
        <f t="shared" si="73"/>
        <v>1.9878185281059166E-4</v>
      </c>
      <c r="P155" s="103">
        <f t="shared" si="73"/>
        <v>2.1523530784929763E-4</v>
      </c>
      <c r="Q155" s="103">
        <f t="shared" si="73"/>
        <v>2.219352566633554E-4</v>
      </c>
      <c r="R155" s="103">
        <f t="shared" si="73"/>
        <v>2.2496526770445809E-4</v>
      </c>
      <c r="S155" s="103">
        <f t="shared" si="73"/>
        <v>2.4504021875775754E-4</v>
      </c>
      <c r="T155" s="103">
        <f t="shared" si="73"/>
        <v>2.8341389416195378E-4</v>
      </c>
      <c r="U155" s="103">
        <f t="shared" si="73"/>
        <v>2.955870172882387E-4</v>
      </c>
      <c r="V155" s="103">
        <f t="shared" si="73"/>
        <v>3.4511693520471642E-4</v>
      </c>
      <c r="W155" s="103">
        <f t="shared" ref="W155:Y155" si="74">IF(W37=0,0,W37/W$17)</f>
        <v>3.6511032366833658E-4</v>
      </c>
      <c r="X155" s="103">
        <f t="shared" si="74"/>
        <v>3.7135623460861816E-4</v>
      </c>
      <c r="Y155" s="103">
        <f t="shared" si="74"/>
        <v>3.4663327031405499E-4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1.2703609251079908E-5</v>
      </c>
      <c r="L156" s="103">
        <f t="shared" ref="L156" si="76">IF(L38=0,0,L38/L$17)</f>
        <v>1.5553076259719292E-5</v>
      </c>
      <c r="M156" s="103">
        <f t="shared" ref="M156:V156" si="77">IF(M38=0,0,M38/M$17)</f>
        <v>1.6516106931714357E-5</v>
      </c>
      <c r="N156" s="103">
        <f t="shared" si="77"/>
        <v>2.4428789452073734E-5</v>
      </c>
      <c r="O156" s="103">
        <f t="shared" si="77"/>
        <v>2.4622182816827573E-5</v>
      </c>
      <c r="P156" s="103">
        <f t="shared" si="77"/>
        <v>2.4859258374880156E-5</v>
      </c>
      <c r="Q156" s="103">
        <f t="shared" si="77"/>
        <v>2.4864737068920053E-5</v>
      </c>
      <c r="R156" s="103">
        <f t="shared" si="77"/>
        <v>2.2769231630032495E-5</v>
      </c>
      <c r="S156" s="103">
        <f t="shared" si="77"/>
        <v>2.6847438749600872E-5</v>
      </c>
      <c r="T156" s="103">
        <f t="shared" si="77"/>
        <v>2.9148397840224759E-5</v>
      </c>
      <c r="U156" s="103">
        <f t="shared" si="77"/>
        <v>2.7601861528862074E-5</v>
      </c>
      <c r="V156" s="103">
        <f t="shared" si="77"/>
        <v>3.0037013712453587E-5</v>
      </c>
      <c r="W156" s="103">
        <f t="shared" ref="W156:Y156" si="78">IF(W38=0,0,W38/W$17)</f>
        <v>2.8352125469031366E-5</v>
      </c>
      <c r="X156" s="103">
        <f t="shared" si="78"/>
        <v>2.608826198019198E-5</v>
      </c>
      <c r="Y156" s="103">
        <f t="shared" si="78"/>
        <v>2.3187163399527541E-5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0.10723054049147068</v>
      </c>
      <c r="C158" s="156">
        <f t="shared" si="83"/>
        <v>0.11229849604397066</v>
      </c>
      <c r="D158" s="156">
        <f t="shared" si="83"/>
        <v>0.14952586064070927</v>
      </c>
      <c r="E158" s="156">
        <f t="shared" si="83"/>
        <v>0.15773345380212325</v>
      </c>
      <c r="F158" s="156">
        <f t="shared" si="83"/>
        <v>0.17081325931132152</v>
      </c>
      <c r="G158" s="156">
        <f t="shared" si="83"/>
        <v>0.16582787444485833</v>
      </c>
      <c r="H158" s="156">
        <f t="shared" si="83"/>
        <v>0.16830902407446369</v>
      </c>
      <c r="I158" s="156">
        <f t="shared" si="83"/>
        <v>0.16321214580734478</v>
      </c>
      <c r="J158" s="156">
        <f t="shared" si="83"/>
        <v>0.16258596739191308</v>
      </c>
      <c r="K158" s="156">
        <f t="shared" si="83"/>
        <v>0.14794992233573062</v>
      </c>
      <c r="L158" s="156">
        <f t="shared" ref="L158" si="84">IF(L40=0,0,L40/L$17)</f>
        <v>0.15375556952972641</v>
      </c>
      <c r="M158" s="156">
        <f t="shared" ref="M158:V158" si="85">IF(M40=0,0,M40/M$17)</f>
        <v>0.14951013171202274</v>
      </c>
      <c r="N158" s="156">
        <f t="shared" si="85"/>
        <v>0.13746747750304453</v>
      </c>
      <c r="O158" s="156">
        <f t="shared" si="85"/>
        <v>0.16255159135789257</v>
      </c>
      <c r="P158" s="156">
        <f t="shared" si="85"/>
        <v>0.14487456675164362</v>
      </c>
      <c r="Q158" s="156">
        <f t="shared" si="85"/>
        <v>0.14239258955864725</v>
      </c>
      <c r="R158" s="156">
        <f t="shared" si="85"/>
        <v>0.12940115891685444</v>
      </c>
      <c r="S158" s="156">
        <f t="shared" si="85"/>
        <v>0.15854517946939939</v>
      </c>
      <c r="T158" s="156">
        <f t="shared" si="85"/>
        <v>0.14516870713109611</v>
      </c>
      <c r="U158" s="156">
        <f t="shared" si="85"/>
        <v>0.16322958521060704</v>
      </c>
      <c r="V158" s="156">
        <f t="shared" si="85"/>
        <v>0.17891784019606066</v>
      </c>
      <c r="W158" s="156">
        <f t="shared" ref="W158:Y158" si="86">IF(W40=0,0,W40/W$17)</f>
        <v>0.16196870760329604</v>
      </c>
      <c r="X158" s="156">
        <f t="shared" si="86"/>
        <v>0.15942345884265369</v>
      </c>
      <c r="Y158" s="156">
        <f t="shared" si="86"/>
        <v>0.16535044825094369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4.5730295993614195E-2</v>
      </c>
      <c r="C159" s="103">
        <f t="shared" si="87"/>
        <v>7.1430738174393368E-2</v>
      </c>
      <c r="D159" s="103">
        <f t="shared" si="87"/>
        <v>9.2561902612224273E-2</v>
      </c>
      <c r="E159" s="103">
        <f t="shared" si="87"/>
        <v>0.10107497055829134</v>
      </c>
      <c r="F159" s="103">
        <f t="shared" si="87"/>
        <v>0.10391020867048681</v>
      </c>
      <c r="G159" s="103">
        <f t="shared" si="87"/>
        <v>0.10006548163340002</v>
      </c>
      <c r="H159" s="103">
        <f t="shared" si="87"/>
        <v>0.11320324374498221</v>
      </c>
      <c r="I159" s="103">
        <f t="shared" si="87"/>
        <v>0.10261187530522595</v>
      </c>
      <c r="J159" s="103">
        <f t="shared" si="87"/>
        <v>0.12045778369226534</v>
      </c>
      <c r="K159" s="103">
        <f t="shared" si="87"/>
        <v>0.10352732411657725</v>
      </c>
      <c r="L159" s="103">
        <f t="shared" ref="L159" si="88">IF(L41=0,0,L41/L$17)</f>
        <v>0.1031328948752997</v>
      </c>
      <c r="M159" s="103">
        <f t="shared" ref="M159:V159" si="89">IF(M41=0,0,M41/M$17)</f>
        <v>0.10296989260571687</v>
      </c>
      <c r="N159" s="103">
        <f t="shared" si="89"/>
        <v>9.5495610133806183E-2</v>
      </c>
      <c r="O159" s="103">
        <f t="shared" si="89"/>
        <v>9.9945810248162709E-2</v>
      </c>
      <c r="P159" s="103">
        <f t="shared" si="89"/>
        <v>9.0964461161687021E-2</v>
      </c>
      <c r="Q159" s="103">
        <f t="shared" si="89"/>
        <v>8.609820398149115E-2</v>
      </c>
      <c r="R159" s="103">
        <f t="shared" si="89"/>
        <v>8.3121183878964625E-2</v>
      </c>
      <c r="S159" s="103">
        <f t="shared" si="89"/>
        <v>8.4393328483321942E-2</v>
      </c>
      <c r="T159" s="103">
        <f t="shared" si="89"/>
        <v>8.1876462686220425E-2</v>
      </c>
      <c r="U159" s="103">
        <f t="shared" si="89"/>
        <v>8.3852526593050383E-2</v>
      </c>
      <c r="V159" s="103">
        <f t="shared" si="89"/>
        <v>9.4211011872253544E-2</v>
      </c>
      <c r="W159" s="103">
        <f t="shared" ref="W159:Y159" si="90">IF(W41=0,0,W41/W$17)</f>
        <v>9.2260178215892108E-2</v>
      </c>
      <c r="X159" s="103">
        <f t="shared" si="90"/>
        <v>8.9184089692499149E-2</v>
      </c>
      <c r="Y159" s="103">
        <f t="shared" si="90"/>
        <v>8.5047462588978315E-2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6.1500244497856481E-2</v>
      </c>
      <c r="C160" s="105">
        <f t="shared" si="91"/>
        <v>4.0867757869577297E-2</v>
      </c>
      <c r="D160" s="105">
        <f t="shared" si="91"/>
        <v>5.6963958028484994E-2</v>
      </c>
      <c r="E160" s="105">
        <f t="shared" si="91"/>
        <v>5.6658483243831895E-2</v>
      </c>
      <c r="F160" s="105">
        <f t="shared" si="91"/>
        <v>6.6903050640834724E-2</v>
      </c>
      <c r="G160" s="105">
        <f t="shared" si="91"/>
        <v>6.576239281145832E-2</v>
      </c>
      <c r="H160" s="105">
        <f t="shared" si="91"/>
        <v>5.5105780329481484E-2</v>
      </c>
      <c r="I160" s="105">
        <f t="shared" si="91"/>
        <v>6.0600270502118823E-2</v>
      </c>
      <c r="J160" s="105">
        <f t="shared" si="91"/>
        <v>4.2128183699647742E-2</v>
      </c>
      <c r="K160" s="105">
        <f t="shared" si="91"/>
        <v>4.4422598219153363E-2</v>
      </c>
      <c r="L160" s="105">
        <f t="shared" ref="L160" si="92">IF(L42=0,0,L42/L$17)</f>
        <v>5.0622674654426728E-2</v>
      </c>
      <c r="M160" s="105">
        <f t="shared" ref="M160:V160" si="93">IF(M42=0,0,M42/M$17)</f>
        <v>4.6540239106305878E-2</v>
      </c>
      <c r="N160" s="105">
        <f t="shared" si="93"/>
        <v>4.1971867369238351E-2</v>
      </c>
      <c r="O160" s="105">
        <f t="shared" si="93"/>
        <v>6.2605781109729877E-2</v>
      </c>
      <c r="P160" s="105">
        <f t="shared" si="93"/>
        <v>5.3910105589956604E-2</v>
      </c>
      <c r="Q160" s="105">
        <f t="shared" si="93"/>
        <v>5.6294385577156117E-2</v>
      </c>
      <c r="R160" s="105">
        <f t="shared" si="93"/>
        <v>4.6279975037889796E-2</v>
      </c>
      <c r="S160" s="105">
        <f t="shared" si="93"/>
        <v>7.4151850986077447E-2</v>
      </c>
      <c r="T160" s="105">
        <f t="shared" si="93"/>
        <v>6.3292244444875675E-2</v>
      </c>
      <c r="U160" s="105">
        <f t="shared" si="93"/>
        <v>7.9377058617556659E-2</v>
      </c>
      <c r="V160" s="105">
        <f t="shared" si="93"/>
        <v>8.4706828323807132E-2</v>
      </c>
      <c r="W160" s="105">
        <f t="shared" ref="W160:Y160" si="94">IF(W42=0,0,W42/W$17)</f>
        <v>6.970852938740392E-2</v>
      </c>
      <c r="X160" s="105">
        <f t="shared" si="94"/>
        <v>7.0239369150154524E-2</v>
      </c>
      <c r="Y160" s="105">
        <f t="shared" si="94"/>
        <v>8.0302985661965351E-2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1317628</v>
      </c>
      <c r="C3" s="54">
        <f>TrRoad_act!C57</f>
        <v>1395708</v>
      </c>
      <c r="D3" s="54">
        <f>TrRoad_act!D57</f>
        <v>1452932</v>
      </c>
      <c r="E3" s="54">
        <f>TrRoad_act!E57</f>
        <v>1532275</v>
      </c>
      <c r="F3" s="54">
        <f>TrRoad_act!F57</f>
        <v>1601249</v>
      </c>
      <c r="G3" s="54">
        <f>TrRoad_act!G57</f>
        <v>1665945</v>
      </c>
      <c r="H3" s="54">
        <f>TrRoad_act!H57</f>
        <v>1748643</v>
      </c>
      <c r="I3" s="54">
        <f>TrRoad_act!I57</f>
        <v>1835033</v>
      </c>
      <c r="J3" s="54">
        <f>TrRoad_act!J57</f>
        <v>1890143</v>
      </c>
      <c r="K3" s="54">
        <f>TrRoad_act!K57</f>
        <v>1870980</v>
      </c>
      <c r="L3" s="54">
        <f>TrRoad_act!L57</f>
        <v>1846491</v>
      </c>
      <c r="M3" s="54">
        <f>TrRoad_act!M57</f>
        <v>1841991</v>
      </c>
      <c r="N3" s="54">
        <f>TrRoad_act!N57</f>
        <v>1763020</v>
      </c>
      <c r="O3" s="54">
        <f>TrRoad_act!O57</f>
        <v>1817255</v>
      </c>
      <c r="P3" s="54">
        <f>TrRoad_act!P57</f>
        <v>1846115</v>
      </c>
      <c r="Q3" s="54">
        <f>TrRoad_act!Q57</f>
        <v>1834839</v>
      </c>
      <c r="R3" s="54">
        <f>TrRoad_act!R57</f>
        <v>1894452</v>
      </c>
      <c r="S3" s="54">
        <f>TrRoad_act!S57</f>
        <v>1951351</v>
      </c>
      <c r="T3" s="54">
        <f>TrRoad_act!T57</f>
        <v>2037728</v>
      </c>
      <c r="U3" s="54">
        <f>TrRoad_act!U57</f>
        <v>2110182</v>
      </c>
      <c r="V3" s="54">
        <f>TrRoad_act!V57</f>
        <v>2139821</v>
      </c>
      <c r="W3" s="54">
        <f>TrRoad_act!W57</f>
        <v>2202366</v>
      </c>
      <c r="X3" s="54">
        <f>TrRoad_act!X57</f>
        <v>2264718</v>
      </c>
      <c r="Y3" s="54">
        <f>TrRoad_act!Y57</f>
        <v>2354678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1222180</v>
      </c>
      <c r="C4" s="28">
        <f>TrRoad_act!C58</f>
        <v>1274844</v>
      </c>
      <c r="D4" s="28">
        <f>TrRoad_act!D58</f>
        <v>1321732</v>
      </c>
      <c r="E4" s="28">
        <f>TrRoad_act!E58</f>
        <v>1389785</v>
      </c>
      <c r="F4" s="28">
        <f>TrRoad_act!F58</f>
        <v>1450816</v>
      </c>
      <c r="G4" s="28">
        <f>TrRoad_act!G58</f>
        <v>1510838</v>
      </c>
      <c r="H4" s="28">
        <f>TrRoad_act!H58</f>
        <v>1578871</v>
      </c>
      <c r="I4" s="28">
        <f>TrRoad_act!I58</f>
        <v>1668652</v>
      </c>
      <c r="J4" s="28">
        <f>TrRoad_act!J58</f>
        <v>1715531</v>
      </c>
      <c r="K4" s="28">
        <f>TrRoad_act!K58</f>
        <v>1707118</v>
      </c>
      <c r="L4" s="28">
        <f>TrRoad_act!L58</f>
        <v>1686638</v>
      </c>
      <c r="M4" s="28">
        <f>TrRoad_act!M58</f>
        <v>1683183</v>
      </c>
      <c r="N4" s="28">
        <f>TrRoad_act!N58</f>
        <v>1612688</v>
      </c>
      <c r="O4" s="28">
        <f>TrRoad_act!O58</f>
        <v>1665083</v>
      </c>
      <c r="P4" s="28">
        <f>TrRoad_act!P58</f>
        <v>1691030</v>
      </c>
      <c r="Q4" s="28">
        <f>TrRoad_act!Q58</f>
        <v>1662747</v>
      </c>
      <c r="R4" s="28">
        <f>TrRoad_act!R58</f>
        <v>1715519</v>
      </c>
      <c r="S4" s="28">
        <f>TrRoad_act!S58</f>
        <v>1760280</v>
      </c>
      <c r="T4" s="28">
        <f>TrRoad_act!T58</f>
        <v>1833869</v>
      </c>
      <c r="U4" s="28">
        <f>TrRoad_act!U58</f>
        <v>1894546</v>
      </c>
      <c r="V4" s="28">
        <f>TrRoad_act!V58</f>
        <v>1915148</v>
      </c>
      <c r="W4" s="28">
        <f>TrRoad_act!W58</f>
        <v>1967143</v>
      </c>
      <c r="X4" s="28">
        <f>TrRoad_act!X58</f>
        <v>2019390</v>
      </c>
      <c r="Y4" s="28">
        <f>TrRoad_act!Y58</f>
        <v>2095681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81543</v>
      </c>
      <c r="C5" s="137">
        <f>TrRoad_act!C59</f>
        <v>81138</v>
      </c>
      <c r="D5" s="137">
        <f>TrRoad_act!D59</f>
        <v>85000</v>
      </c>
      <c r="E5" s="137">
        <f>TrRoad_act!E59</f>
        <v>99000</v>
      </c>
      <c r="F5" s="137">
        <f>TrRoad_act!F59</f>
        <v>113000</v>
      </c>
      <c r="G5" s="137">
        <f>TrRoad_act!G59</f>
        <v>128000</v>
      </c>
      <c r="H5" s="137">
        <f>TrRoad_act!H59</f>
        <v>144000</v>
      </c>
      <c r="I5" s="137">
        <f>TrRoad_act!I59</f>
        <v>149590</v>
      </c>
      <c r="J5" s="137">
        <f>TrRoad_act!J59</f>
        <v>155409</v>
      </c>
      <c r="K5" s="137">
        <f>TrRoad_act!K59</f>
        <v>157018</v>
      </c>
      <c r="L5" s="137">
        <f>TrRoad_act!L59</f>
        <v>156729</v>
      </c>
      <c r="M5" s="137">
        <f>TrRoad_act!M59</f>
        <v>156320</v>
      </c>
      <c r="N5" s="137">
        <f>TrRoad_act!N59</f>
        <v>159000</v>
      </c>
      <c r="O5" s="137">
        <f>TrRoad_act!O59</f>
        <v>157200</v>
      </c>
      <c r="P5" s="137">
        <f>TrRoad_act!P59</f>
        <v>155688</v>
      </c>
      <c r="Q5" s="137">
        <f>TrRoad_act!Q59</f>
        <v>153438</v>
      </c>
      <c r="R5" s="137">
        <f>TrRoad_act!R59</f>
        <v>152873</v>
      </c>
      <c r="S5" s="137">
        <f>TrRoad_act!S59</f>
        <v>154269</v>
      </c>
      <c r="T5" s="137">
        <f>TrRoad_act!T59</f>
        <v>157359</v>
      </c>
      <c r="U5" s="137">
        <f>TrRoad_act!U59</f>
        <v>159388</v>
      </c>
      <c r="V5" s="137">
        <f>TrRoad_act!V59</f>
        <v>158915</v>
      </c>
      <c r="W5" s="137">
        <f>TrRoad_act!W59</f>
        <v>161493</v>
      </c>
      <c r="X5" s="137">
        <f>TrRoad_act!X59</f>
        <v>168018</v>
      </c>
      <c r="Y5" s="137">
        <f>TrRoad_act!Y59</f>
        <v>174770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1132000</v>
      </c>
      <c r="C6" s="110">
        <f>TrRoad_act!C60</f>
        <v>1185000</v>
      </c>
      <c r="D6" s="110">
        <f>TrRoad_act!D60</f>
        <v>1228000</v>
      </c>
      <c r="E6" s="110">
        <f>TrRoad_act!E60</f>
        <v>1282000</v>
      </c>
      <c r="F6" s="110">
        <f>TrRoad_act!F60</f>
        <v>1329000</v>
      </c>
      <c r="G6" s="110">
        <f>TrRoad_act!G60</f>
        <v>1374000</v>
      </c>
      <c r="H6" s="110">
        <f>TrRoad_act!H60</f>
        <v>1426000</v>
      </c>
      <c r="I6" s="110">
        <f>TrRoad_act!I60</f>
        <v>1510000</v>
      </c>
      <c r="J6" s="110">
        <f>TrRoad_act!J60</f>
        <v>1551000</v>
      </c>
      <c r="K6" s="110">
        <f>TrRoad_act!K60</f>
        <v>1541000</v>
      </c>
      <c r="L6" s="110">
        <f>TrRoad_act!L60</f>
        <v>1521000</v>
      </c>
      <c r="M6" s="110">
        <f>TrRoad_act!M60</f>
        <v>1518000</v>
      </c>
      <c r="N6" s="110">
        <f>TrRoad_act!N60</f>
        <v>1445000</v>
      </c>
      <c r="O6" s="110">
        <f>TrRoad_act!O60</f>
        <v>1499000</v>
      </c>
      <c r="P6" s="110">
        <f>TrRoad_act!P60</f>
        <v>1526039</v>
      </c>
      <c r="Q6" s="110">
        <f>TrRoad_act!Q60</f>
        <v>1499802</v>
      </c>
      <c r="R6" s="110">
        <f>TrRoad_act!R60</f>
        <v>1552904</v>
      </c>
      <c r="S6" s="110">
        <f>TrRoad_act!S60</f>
        <v>1596087</v>
      </c>
      <c r="T6" s="110">
        <f>TrRoad_act!T60</f>
        <v>1666413</v>
      </c>
      <c r="U6" s="110">
        <f>TrRoad_act!U60</f>
        <v>1724900</v>
      </c>
      <c r="V6" s="110">
        <f>TrRoad_act!V60</f>
        <v>1746285</v>
      </c>
      <c r="W6" s="110">
        <f>TrRoad_act!W60</f>
        <v>1795465</v>
      </c>
      <c r="X6" s="110">
        <f>TrRoad_act!X60</f>
        <v>1840767</v>
      </c>
      <c r="Y6" s="110">
        <f>TrRoad_act!Y60</f>
        <v>1910131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891000</v>
      </c>
      <c r="C7" s="84">
        <f>TrRoad_act!C61</f>
        <v>912363</v>
      </c>
      <c r="D7" s="84">
        <f>TrRoad_act!D61</f>
        <v>922888</v>
      </c>
      <c r="E7" s="84">
        <f>TrRoad_act!E61</f>
        <v>934593</v>
      </c>
      <c r="F7" s="84">
        <f>TrRoad_act!F61</f>
        <v>934563</v>
      </c>
      <c r="G7" s="84">
        <f>TrRoad_act!G61</f>
        <v>935751</v>
      </c>
      <c r="H7" s="84">
        <f>TrRoad_act!H61</f>
        <v>936556</v>
      </c>
      <c r="I7" s="84">
        <f>TrRoad_act!I61</f>
        <v>949694</v>
      </c>
      <c r="J7" s="84">
        <f>TrRoad_act!J61</f>
        <v>952727</v>
      </c>
      <c r="K7" s="84">
        <f>TrRoad_act!K61</f>
        <v>923521</v>
      </c>
      <c r="L7" s="84">
        <f>TrRoad_act!L61</f>
        <v>909176</v>
      </c>
      <c r="M7" s="84">
        <f>TrRoad_act!M61</f>
        <v>896050</v>
      </c>
      <c r="N7" s="84">
        <f>TrRoad_act!N61</f>
        <v>827529</v>
      </c>
      <c r="O7" s="84">
        <f>TrRoad_act!O61</f>
        <v>845678</v>
      </c>
      <c r="P7" s="84">
        <f>TrRoad_act!P61</f>
        <v>823947</v>
      </c>
      <c r="Q7" s="84">
        <f>TrRoad_act!Q61</f>
        <v>773455</v>
      </c>
      <c r="R7" s="84">
        <f>TrRoad_act!R61</f>
        <v>760176</v>
      </c>
      <c r="S7" s="84">
        <f>TrRoad_act!S61</f>
        <v>744152</v>
      </c>
      <c r="T7" s="84">
        <f>TrRoad_act!T61</f>
        <v>733793</v>
      </c>
      <c r="U7" s="84">
        <f>TrRoad_act!U61</f>
        <v>720851</v>
      </c>
      <c r="V7" s="84">
        <f>TrRoad_act!V61</f>
        <v>701554</v>
      </c>
      <c r="W7" s="84">
        <f>TrRoad_act!W61</f>
        <v>698748</v>
      </c>
      <c r="X7" s="84">
        <f>TrRoad_act!X61</f>
        <v>713284</v>
      </c>
      <c r="Y7" s="84">
        <f>TrRoad_act!Y61</f>
        <v>750189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228000</v>
      </c>
      <c r="C8" s="84">
        <f>TrRoad_act!C62</f>
        <v>257713</v>
      </c>
      <c r="D8" s="84">
        <f>TrRoad_act!D62</f>
        <v>289205</v>
      </c>
      <c r="E8" s="84">
        <f>TrRoad_act!E62</f>
        <v>330611</v>
      </c>
      <c r="F8" s="84">
        <f>TrRoad_act!F62</f>
        <v>372842</v>
      </c>
      <c r="G8" s="84">
        <f>TrRoad_act!G62</f>
        <v>409147</v>
      </c>
      <c r="H8" s="84">
        <f>TrRoad_act!H62</f>
        <v>440278</v>
      </c>
      <c r="I8" s="84">
        <f>TrRoad_act!I62</f>
        <v>490352</v>
      </c>
      <c r="J8" s="84">
        <f>TrRoad_act!J62</f>
        <v>506769</v>
      </c>
      <c r="K8" s="84">
        <f>TrRoad_act!K62</f>
        <v>508703</v>
      </c>
      <c r="L8" s="84">
        <f>TrRoad_act!L62</f>
        <v>519529</v>
      </c>
      <c r="M8" s="84">
        <f>TrRoad_act!M62</f>
        <v>531028</v>
      </c>
      <c r="N8" s="84">
        <f>TrRoad_act!N62</f>
        <v>533166</v>
      </c>
      <c r="O8" s="84">
        <f>TrRoad_act!O62</f>
        <v>570884</v>
      </c>
      <c r="P8" s="84">
        <f>TrRoad_act!P62</f>
        <v>614418</v>
      </c>
      <c r="Q8" s="84">
        <f>TrRoad_act!Q62</f>
        <v>633563</v>
      </c>
      <c r="R8" s="84">
        <f>TrRoad_act!R62</f>
        <v>693591</v>
      </c>
      <c r="S8" s="84">
        <f>TrRoad_act!S62</f>
        <v>746691</v>
      </c>
      <c r="T8" s="84">
        <f>TrRoad_act!T62</f>
        <v>819532</v>
      </c>
      <c r="U8" s="84">
        <f>TrRoad_act!U62</f>
        <v>885087</v>
      </c>
      <c r="V8" s="84">
        <f>TrRoad_act!V62</f>
        <v>920317</v>
      </c>
      <c r="W8" s="84">
        <f>TrRoad_act!W62</f>
        <v>966065</v>
      </c>
      <c r="X8" s="84">
        <f>TrRoad_act!X62</f>
        <v>1005769</v>
      </c>
      <c r="Y8" s="84">
        <f>TrRoad_act!Y62</f>
        <v>1040502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13000</v>
      </c>
      <c r="C9" s="84">
        <f>TrRoad_act!C63</f>
        <v>14924</v>
      </c>
      <c r="D9" s="84">
        <f>TrRoad_act!D63</f>
        <v>15907</v>
      </c>
      <c r="E9" s="84">
        <f>TrRoad_act!E63</f>
        <v>16796</v>
      </c>
      <c r="F9" s="84">
        <f>TrRoad_act!F63</f>
        <v>21595</v>
      </c>
      <c r="G9" s="84">
        <f>TrRoad_act!G63</f>
        <v>29102</v>
      </c>
      <c r="H9" s="84">
        <f>TrRoad_act!H63</f>
        <v>49166</v>
      </c>
      <c r="I9" s="84">
        <f>TrRoad_act!I63</f>
        <v>69954</v>
      </c>
      <c r="J9" s="84">
        <f>TrRoad_act!J63</f>
        <v>91504</v>
      </c>
      <c r="K9" s="84">
        <f>TrRoad_act!K63</f>
        <v>108712</v>
      </c>
      <c r="L9" s="84">
        <f>TrRoad_act!L63</f>
        <v>92222</v>
      </c>
      <c r="M9" s="84">
        <f>TrRoad_act!M63</f>
        <v>90851</v>
      </c>
      <c r="N9" s="84">
        <f>TrRoad_act!N63</f>
        <v>84191</v>
      </c>
      <c r="O9" s="84">
        <f>TrRoad_act!O63</f>
        <v>82316</v>
      </c>
      <c r="P9" s="84">
        <f>TrRoad_act!P63</f>
        <v>87488</v>
      </c>
      <c r="Q9" s="84">
        <f>TrRoad_act!Q63</f>
        <v>92481</v>
      </c>
      <c r="R9" s="84">
        <f>TrRoad_act!R63</f>
        <v>98737</v>
      </c>
      <c r="S9" s="84">
        <f>TrRoad_act!S63</f>
        <v>104741</v>
      </c>
      <c r="T9" s="84">
        <f>TrRoad_act!T63</f>
        <v>112393</v>
      </c>
      <c r="U9" s="84">
        <f>TrRoad_act!U63</f>
        <v>117913</v>
      </c>
      <c r="V9" s="84">
        <f>TrRoad_act!V63</f>
        <v>122394</v>
      </c>
      <c r="W9" s="84">
        <f>TrRoad_act!W63</f>
        <v>126602</v>
      </c>
      <c r="X9" s="84">
        <f>TrRoad_act!X63</f>
        <v>115146</v>
      </c>
      <c r="Y9" s="84">
        <f>TrRoad_act!Y63</f>
        <v>109628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64</v>
      </c>
      <c r="L10" s="84">
        <f>TrRoad_act!L64</f>
        <v>73</v>
      </c>
      <c r="M10" s="84">
        <f>TrRoad_act!M64</f>
        <v>71</v>
      </c>
      <c r="N10" s="84">
        <f>TrRoad_act!N64</f>
        <v>81</v>
      </c>
      <c r="O10" s="84">
        <f>TrRoad_act!O64</f>
        <v>84</v>
      </c>
      <c r="P10" s="84">
        <f>TrRoad_act!P64</f>
        <v>96</v>
      </c>
      <c r="Q10" s="84">
        <f>TrRoad_act!Q64</f>
        <v>92</v>
      </c>
      <c r="R10" s="84">
        <f>TrRoad_act!R64</f>
        <v>96</v>
      </c>
      <c r="S10" s="84">
        <f>TrRoad_act!S64</f>
        <v>126</v>
      </c>
      <c r="T10" s="84">
        <f>TrRoad_act!T64</f>
        <v>133</v>
      </c>
      <c r="U10" s="84">
        <f>TrRoad_act!U64</f>
        <v>133</v>
      </c>
      <c r="V10" s="84">
        <f>TrRoad_act!V64</f>
        <v>133</v>
      </c>
      <c r="W10" s="84">
        <f>TrRoad_act!W64</f>
        <v>133</v>
      </c>
      <c r="X10" s="84">
        <f>TrRoad_act!X64</f>
        <v>133</v>
      </c>
      <c r="Y10" s="84">
        <f>TrRoad_act!Y64</f>
        <v>121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0</v>
      </c>
      <c r="P11" s="84">
        <f>TrRoad_act!P65</f>
        <v>5</v>
      </c>
      <c r="Q11" s="84">
        <f>TrRoad_act!Q65</f>
        <v>48</v>
      </c>
      <c r="R11" s="84">
        <f>TrRoad_act!R65</f>
        <v>71</v>
      </c>
      <c r="S11" s="84">
        <f>TrRoad_act!S65</f>
        <v>92</v>
      </c>
      <c r="T11" s="84">
        <f>TrRoad_act!T65</f>
        <v>101</v>
      </c>
      <c r="U11" s="84">
        <f>TrRoad_act!U65</f>
        <v>191</v>
      </c>
      <c r="V11" s="84">
        <f>TrRoad_act!V65</f>
        <v>553</v>
      </c>
      <c r="W11" s="84">
        <f>TrRoad_act!W65</f>
        <v>940</v>
      </c>
      <c r="X11" s="84">
        <f>TrRoad_act!X65</f>
        <v>1634</v>
      </c>
      <c r="Y11" s="84">
        <f>TrRoad_act!Y65</f>
        <v>2633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0</v>
      </c>
      <c r="N12" s="84">
        <f>TrRoad_act!N66</f>
        <v>33</v>
      </c>
      <c r="O12" s="84">
        <f>TrRoad_act!O66</f>
        <v>38</v>
      </c>
      <c r="P12" s="84">
        <f>TrRoad_act!P66</f>
        <v>85</v>
      </c>
      <c r="Q12" s="84">
        <f>TrRoad_act!Q66</f>
        <v>163</v>
      </c>
      <c r="R12" s="84">
        <f>TrRoad_act!R66</f>
        <v>233</v>
      </c>
      <c r="S12" s="84">
        <f>TrRoad_act!S66</f>
        <v>285</v>
      </c>
      <c r="T12" s="84">
        <f>TrRoad_act!T66</f>
        <v>461</v>
      </c>
      <c r="U12" s="84">
        <f>TrRoad_act!U66</f>
        <v>725</v>
      </c>
      <c r="V12" s="84">
        <f>TrRoad_act!V66</f>
        <v>1334</v>
      </c>
      <c r="W12" s="84">
        <f>TrRoad_act!W66</f>
        <v>2977</v>
      </c>
      <c r="X12" s="84">
        <f>TrRoad_act!X66</f>
        <v>4801</v>
      </c>
      <c r="Y12" s="84">
        <f>TrRoad_act!Y66</f>
        <v>7058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8637</v>
      </c>
      <c r="C13" s="110">
        <f>TrRoad_act!C67</f>
        <v>8706</v>
      </c>
      <c r="D13" s="110">
        <f>TrRoad_act!D67</f>
        <v>8732</v>
      </c>
      <c r="E13" s="110">
        <f>TrRoad_act!E67</f>
        <v>8785</v>
      </c>
      <c r="F13" s="110">
        <f>TrRoad_act!F67</f>
        <v>8816</v>
      </c>
      <c r="G13" s="110">
        <f>TrRoad_act!G67</f>
        <v>8838</v>
      </c>
      <c r="H13" s="110">
        <f>TrRoad_act!H67</f>
        <v>8871</v>
      </c>
      <c r="I13" s="110">
        <f>TrRoad_act!I67</f>
        <v>9062</v>
      </c>
      <c r="J13" s="110">
        <f>TrRoad_act!J67</f>
        <v>9122</v>
      </c>
      <c r="K13" s="110">
        <f>TrRoad_act!K67</f>
        <v>9100</v>
      </c>
      <c r="L13" s="110">
        <f>TrRoad_act!L67</f>
        <v>8909</v>
      </c>
      <c r="M13" s="110">
        <f>TrRoad_act!M67</f>
        <v>8863</v>
      </c>
      <c r="N13" s="110">
        <f>TrRoad_act!N67</f>
        <v>8688</v>
      </c>
      <c r="O13" s="110">
        <f>TrRoad_act!O67</f>
        <v>8883</v>
      </c>
      <c r="P13" s="110">
        <f>TrRoad_act!P67</f>
        <v>9303</v>
      </c>
      <c r="Q13" s="110">
        <f>TrRoad_act!Q67</f>
        <v>9507</v>
      </c>
      <c r="R13" s="110">
        <f>TrRoad_act!R67</f>
        <v>9742</v>
      </c>
      <c r="S13" s="110">
        <f>TrRoad_act!S67</f>
        <v>9924</v>
      </c>
      <c r="T13" s="110">
        <f>TrRoad_act!T67</f>
        <v>10097</v>
      </c>
      <c r="U13" s="110">
        <f>TrRoad_act!U67</f>
        <v>10258</v>
      </c>
      <c r="V13" s="110">
        <f>TrRoad_act!V67</f>
        <v>9948</v>
      </c>
      <c r="W13" s="110">
        <f>TrRoad_act!W67</f>
        <v>10185</v>
      </c>
      <c r="X13" s="110">
        <f>TrRoad_act!X67</f>
        <v>10605</v>
      </c>
      <c r="Y13" s="110">
        <f>TrRoad_act!Y67</f>
        <v>10780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40</v>
      </c>
      <c r="C14" s="102">
        <f>TrRoad_act!C68</f>
        <v>42</v>
      </c>
      <c r="D14" s="102">
        <f>TrRoad_act!D68</f>
        <v>43</v>
      </c>
      <c r="E14" s="102">
        <f>TrRoad_act!E68</f>
        <v>42</v>
      </c>
      <c r="F14" s="102">
        <f>TrRoad_act!F68</f>
        <v>40</v>
      </c>
      <c r="G14" s="102">
        <f>TrRoad_act!G68</f>
        <v>41</v>
      </c>
      <c r="H14" s="102">
        <f>TrRoad_act!H68</f>
        <v>42</v>
      </c>
      <c r="I14" s="102">
        <f>TrRoad_act!I68</f>
        <v>39</v>
      </c>
      <c r="J14" s="102">
        <f>TrRoad_act!J68</f>
        <v>44</v>
      </c>
      <c r="K14" s="102">
        <f>TrRoad_act!K68</f>
        <v>41</v>
      </c>
      <c r="L14" s="102">
        <f>TrRoad_act!L68</f>
        <v>39</v>
      </c>
      <c r="M14" s="102">
        <f>TrRoad_act!M68</f>
        <v>36</v>
      </c>
      <c r="N14" s="102">
        <f>TrRoad_act!N68</f>
        <v>36</v>
      </c>
      <c r="O14" s="102">
        <f>TrRoad_act!O68</f>
        <v>42</v>
      </c>
      <c r="P14" s="102">
        <f>TrRoad_act!P68</f>
        <v>40</v>
      </c>
      <c r="Q14" s="102">
        <f>TrRoad_act!Q68</f>
        <v>37</v>
      </c>
      <c r="R14" s="102">
        <f>TrRoad_act!R68</f>
        <v>36</v>
      </c>
      <c r="S14" s="102">
        <f>TrRoad_act!S68</f>
        <v>35</v>
      </c>
      <c r="T14" s="102">
        <f>TrRoad_act!T68</f>
        <v>34</v>
      </c>
      <c r="U14" s="102">
        <f>TrRoad_act!U68</f>
        <v>32</v>
      </c>
      <c r="V14" s="102">
        <f>TrRoad_act!V68</f>
        <v>31</v>
      </c>
      <c r="W14" s="102">
        <f>TrRoad_act!W68</f>
        <v>29</v>
      </c>
      <c r="X14" s="102">
        <f>TrRoad_act!X68</f>
        <v>26</v>
      </c>
      <c r="Y14" s="102">
        <f>TrRoad_act!Y68</f>
        <v>24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8597</v>
      </c>
      <c r="C15" s="102">
        <f>TrRoad_act!C69</f>
        <v>8664</v>
      </c>
      <c r="D15" s="102">
        <f>TrRoad_act!D69</f>
        <v>8689</v>
      </c>
      <c r="E15" s="102">
        <f>TrRoad_act!E69</f>
        <v>8743</v>
      </c>
      <c r="F15" s="102">
        <f>TrRoad_act!F69</f>
        <v>8776</v>
      </c>
      <c r="G15" s="102">
        <f>TrRoad_act!G69</f>
        <v>8797</v>
      </c>
      <c r="H15" s="102">
        <f>TrRoad_act!H69</f>
        <v>8829</v>
      </c>
      <c r="I15" s="102">
        <f>TrRoad_act!I69</f>
        <v>9022</v>
      </c>
      <c r="J15" s="102">
        <f>TrRoad_act!J69</f>
        <v>9077</v>
      </c>
      <c r="K15" s="102">
        <f>TrRoad_act!K69</f>
        <v>9000</v>
      </c>
      <c r="L15" s="102">
        <f>TrRoad_act!L69</f>
        <v>8807</v>
      </c>
      <c r="M15" s="102">
        <f>TrRoad_act!M69</f>
        <v>8762</v>
      </c>
      <c r="N15" s="102">
        <f>TrRoad_act!N69</f>
        <v>8578</v>
      </c>
      <c r="O15" s="102">
        <f>TrRoad_act!O69</f>
        <v>8677</v>
      </c>
      <c r="P15" s="102">
        <f>TrRoad_act!P69</f>
        <v>8920</v>
      </c>
      <c r="Q15" s="102">
        <f>TrRoad_act!Q69</f>
        <v>9130</v>
      </c>
      <c r="R15" s="102">
        <f>TrRoad_act!R69</f>
        <v>9369</v>
      </c>
      <c r="S15" s="102">
        <f>TrRoad_act!S69</f>
        <v>9537</v>
      </c>
      <c r="T15" s="102">
        <f>TrRoad_act!T69</f>
        <v>9717</v>
      </c>
      <c r="U15" s="102">
        <f>TrRoad_act!U69</f>
        <v>9887</v>
      </c>
      <c r="V15" s="102">
        <f>TrRoad_act!V69</f>
        <v>9565</v>
      </c>
      <c r="W15" s="102">
        <f>TrRoad_act!W69</f>
        <v>9811</v>
      </c>
      <c r="X15" s="102">
        <f>TrRoad_act!X69</f>
        <v>10245</v>
      </c>
      <c r="Y15" s="102">
        <f>TrRoad_act!Y69</f>
        <v>10434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1</v>
      </c>
      <c r="J16" s="102">
        <f>TrRoad_act!J70</f>
        <v>1</v>
      </c>
      <c r="K16" s="102">
        <f>TrRoad_act!K70</f>
        <v>1</v>
      </c>
      <c r="L16" s="102">
        <f>TrRoad_act!L70</f>
        <v>1</v>
      </c>
      <c r="M16" s="102">
        <f>TrRoad_act!M70</f>
        <v>2</v>
      </c>
      <c r="N16" s="102">
        <f>TrRoad_act!N70</f>
        <v>2</v>
      </c>
      <c r="O16" s="102">
        <f>TrRoad_act!O70</f>
        <v>13</v>
      </c>
      <c r="P16" s="102">
        <f>TrRoad_act!P70</f>
        <v>15</v>
      </c>
      <c r="Q16" s="102">
        <f>TrRoad_act!Q70</f>
        <v>15</v>
      </c>
      <c r="R16" s="102">
        <f>TrRoad_act!R70</f>
        <v>15</v>
      </c>
      <c r="S16" s="102">
        <f>TrRoad_act!S70</f>
        <v>14</v>
      </c>
      <c r="T16" s="102">
        <f>TrRoad_act!T70</f>
        <v>14</v>
      </c>
      <c r="U16" s="102">
        <f>TrRoad_act!U70</f>
        <v>15</v>
      </c>
      <c r="V16" s="102">
        <f>TrRoad_act!V70</f>
        <v>17</v>
      </c>
      <c r="W16" s="102">
        <f>TrRoad_act!W70</f>
        <v>17</v>
      </c>
      <c r="X16" s="102">
        <f>TrRoad_act!X70</f>
        <v>16</v>
      </c>
      <c r="Y16" s="102">
        <f>TrRoad_act!Y70</f>
        <v>16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58</v>
      </c>
      <c r="L17" s="102">
        <f>TrRoad_act!L71</f>
        <v>62</v>
      </c>
      <c r="M17" s="102">
        <f>TrRoad_act!M71</f>
        <v>63</v>
      </c>
      <c r="N17" s="102">
        <f>TrRoad_act!N71</f>
        <v>72</v>
      </c>
      <c r="O17" s="102">
        <f>TrRoad_act!O71</f>
        <v>151</v>
      </c>
      <c r="P17" s="102">
        <f>TrRoad_act!P71</f>
        <v>328</v>
      </c>
      <c r="Q17" s="102">
        <f>TrRoad_act!Q71</f>
        <v>323</v>
      </c>
      <c r="R17" s="102">
        <f>TrRoad_act!R71</f>
        <v>319</v>
      </c>
      <c r="S17" s="102">
        <f>TrRoad_act!S71</f>
        <v>335</v>
      </c>
      <c r="T17" s="102">
        <f>TrRoad_act!T71</f>
        <v>329</v>
      </c>
      <c r="U17" s="102">
        <f>TrRoad_act!U71</f>
        <v>321</v>
      </c>
      <c r="V17" s="102">
        <f>TrRoad_act!V71</f>
        <v>332</v>
      </c>
      <c r="W17" s="102">
        <f>TrRoad_act!W71</f>
        <v>322</v>
      </c>
      <c r="X17" s="102">
        <f>TrRoad_act!X71</f>
        <v>311</v>
      </c>
      <c r="Y17" s="102">
        <f>TrRoad_act!Y71</f>
        <v>298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0</v>
      </c>
      <c r="Q18" s="102">
        <f>TrRoad_act!Q72</f>
        <v>2</v>
      </c>
      <c r="R18" s="102">
        <f>TrRoad_act!R72</f>
        <v>3</v>
      </c>
      <c r="S18" s="102">
        <f>TrRoad_act!S72</f>
        <v>3</v>
      </c>
      <c r="T18" s="102">
        <f>TrRoad_act!T72</f>
        <v>3</v>
      </c>
      <c r="U18" s="102">
        <f>TrRoad_act!U72</f>
        <v>3</v>
      </c>
      <c r="V18" s="102">
        <f>TrRoad_act!V72</f>
        <v>3</v>
      </c>
      <c r="W18" s="102">
        <f>TrRoad_act!W72</f>
        <v>6</v>
      </c>
      <c r="X18" s="102">
        <f>TrRoad_act!X72</f>
        <v>7</v>
      </c>
      <c r="Y18" s="102">
        <f>TrRoad_act!Y72</f>
        <v>8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95448</v>
      </c>
      <c r="C19" s="28">
        <f>TrRoad_act!C73</f>
        <v>120864.00000000001</v>
      </c>
      <c r="D19" s="28">
        <f>TrRoad_act!D73</f>
        <v>131200</v>
      </c>
      <c r="E19" s="28">
        <f>TrRoad_act!E73</f>
        <v>142490</v>
      </c>
      <c r="F19" s="28">
        <f>TrRoad_act!F73</f>
        <v>150433</v>
      </c>
      <c r="G19" s="28">
        <f>TrRoad_act!G73</f>
        <v>155107</v>
      </c>
      <c r="H19" s="28">
        <f>TrRoad_act!H73</f>
        <v>169772</v>
      </c>
      <c r="I19" s="28">
        <f>TrRoad_act!I73</f>
        <v>166381</v>
      </c>
      <c r="J19" s="28">
        <f>TrRoad_act!J73</f>
        <v>174612</v>
      </c>
      <c r="K19" s="28">
        <f>TrRoad_act!K73</f>
        <v>163862</v>
      </c>
      <c r="L19" s="28">
        <f>TrRoad_act!L73</f>
        <v>159853</v>
      </c>
      <c r="M19" s="28">
        <f>TrRoad_act!M73</f>
        <v>158808</v>
      </c>
      <c r="N19" s="28">
        <f>TrRoad_act!N73</f>
        <v>150332</v>
      </c>
      <c r="O19" s="28">
        <f>TrRoad_act!O73</f>
        <v>152172</v>
      </c>
      <c r="P19" s="28">
        <f>TrRoad_act!P73</f>
        <v>155085</v>
      </c>
      <c r="Q19" s="28">
        <f>TrRoad_act!Q73</f>
        <v>172092</v>
      </c>
      <c r="R19" s="28">
        <f>TrRoad_act!R73</f>
        <v>178933</v>
      </c>
      <c r="S19" s="28">
        <f>TrRoad_act!S73</f>
        <v>191071</v>
      </c>
      <c r="T19" s="28">
        <f>TrRoad_act!T73</f>
        <v>203859</v>
      </c>
      <c r="U19" s="28">
        <f>TrRoad_act!U73</f>
        <v>215636</v>
      </c>
      <c r="V19" s="28">
        <f>TrRoad_act!V73</f>
        <v>224673</v>
      </c>
      <c r="W19" s="28">
        <f>TrRoad_act!W73</f>
        <v>235223</v>
      </c>
      <c r="X19" s="28">
        <f>TrRoad_act!X73</f>
        <v>245328</v>
      </c>
      <c r="Y19" s="28">
        <f>TrRoad_act!Y73</f>
        <v>258997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60996</v>
      </c>
      <c r="C20" s="137">
        <f>TrRoad_act!C74</f>
        <v>74427</v>
      </c>
      <c r="D20" s="137">
        <f>TrRoad_act!D74</f>
        <v>80420</v>
      </c>
      <c r="E20" s="137">
        <f>TrRoad_act!E74</f>
        <v>87048</v>
      </c>
      <c r="F20" s="137">
        <f>TrRoad_act!F74</f>
        <v>92541</v>
      </c>
      <c r="G20" s="137">
        <f>TrRoad_act!G74</f>
        <v>97814</v>
      </c>
      <c r="H20" s="137">
        <f>TrRoad_act!H74</f>
        <v>103721</v>
      </c>
      <c r="I20" s="137">
        <f>TrRoad_act!I74</f>
        <v>100749</v>
      </c>
      <c r="J20" s="137">
        <f>TrRoad_act!J74</f>
        <v>105158</v>
      </c>
      <c r="K20" s="137">
        <f>TrRoad_act!K74</f>
        <v>103846</v>
      </c>
      <c r="L20" s="137">
        <f>TrRoad_act!L74</f>
        <v>98978</v>
      </c>
      <c r="M20" s="137">
        <f>TrRoad_act!M74</f>
        <v>97212</v>
      </c>
      <c r="N20" s="137">
        <f>TrRoad_act!N74</f>
        <v>90267</v>
      </c>
      <c r="O20" s="137">
        <f>TrRoad_act!O74</f>
        <v>90219</v>
      </c>
      <c r="P20" s="137">
        <f>TrRoad_act!P74</f>
        <v>91602</v>
      </c>
      <c r="Q20" s="137">
        <f>TrRoad_act!Q74</f>
        <v>107381</v>
      </c>
      <c r="R20" s="137">
        <f>TrRoad_act!R74</f>
        <v>116001</v>
      </c>
      <c r="S20" s="137">
        <f>TrRoad_act!S74</f>
        <v>125731</v>
      </c>
      <c r="T20" s="137">
        <f>TrRoad_act!T74</f>
        <v>137049</v>
      </c>
      <c r="U20" s="137">
        <f>TrRoad_act!U74</f>
        <v>147501</v>
      </c>
      <c r="V20" s="137">
        <f>TrRoad_act!V74</f>
        <v>154885</v>
      </c>
      <c r="W20" s="137">
        <f>TrRoad_act!W74</f>
        <v>164351</v>
      </c>
      <c r="X20" s="137">
        <f>TrRoad_act!X74</f>
        <v>172266</v>
      </c>
      <c r="Y20" s="137">
        <f>TrRoad_act!Y74</f>
        <v>183405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11402</v>
      </c>
      <c r="C21" s="84">
        <f>TrRoad_act!C75</f>
        <v>13677</v>
      </c>
      <c r="D21" s="84">
        <f>TrRoad_act!D75</f>
        <v>13325</v>
      </c>
      <c r="E21" s="84">
        <f>TrRoad_act!E75</f>
        <v>12695</v>
      </c>
      <c r="F21" s="84">
        <f>TrRoad_act!F75</f>
        <v>11827</v>
      </c>
      <c r="G21" s="84">
        <f>TrRoad_act!G75</f>
        <v>11103</v>
      </c>
      <c r="H21" s="84">
        <f>TrRoad_act!H75</f>
        <v>10873</v>
      </c>
      <c r="I21" s="84">
        <f>TrRoad_act!I75</f>
        <v>8590</v>
      </c>
      <c r="J21" s="84">
        <f>TrRoad_act!J75</f>
        <v>8480</v>
      </c>
      <c r="K21" s="84">
        <f>TrRoad_act!K75</f>
        <v>7672</v>
      </c>
      <c r="L21" s="84">
        <f>TrRoad_act!L75</f>
        <v>6878</v>
      </c>
      <c r="M21" s="84">
        <f>TrRoad_act!M75</f>
        <v>6465</v>
      </c>
      <c r="N21" s="84">
        <f>TrRoad_act!N75</f>
        <v>4648</v>
      </c>
      <c r="O21" s="84">
        <f>TrRoad_act!O75</f>
        <v>4497</v>
      </c>
      <c r="P21" s="84">
        <f>TrRoad_act!P75</f>
        <v>4482</v>
      </c>
      <c r="Q21" s="84">
        <f>TrRoad_act!Q75</f>
        <v>4404</v>
      </c>
      <c r="R21" s="84">
        <f>TrRoad_act!R75</f>
        <v>4421</v>
      </c>
      <c r="S21" s="84">
        <f>TrRoad_act!S75</f>
        <v>4715</v>
      </c>
      <c r="T21" s="84">
        <f>TrRoad_act!T75</f>
        <v>4868</v>
      </c>
      <c r="U21" s="84">
        <f>TrRoad_act!U75</f>
        <v>4951</v>
      </c>
      <c r="V21" s="84">
        <f>TrRoad_act!V75</f>
        <v>4917</v>
      </c>
      <c r="W21" s="84">
        <f>TrRoad_act!W75</f>
        <v>4990</v>
      </c>
      <c r="X21" s="84">
        <f>TrRoad_act!X75</f>
        <v>5037</v>
      </c>
      <c r="Y21" s="84">
        <f>TrRoad_act!Y75</f>
        <v>5224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49594</v>
      </c>
      <c r="C22" s="84">
        <f>TrRoad_act!C76</f>
        <v>60750</v>
      </c>
      <c r="D22" s="84">
        <f>TrRoad_act!D76</f>
        <v>67095</v>
      </c>
      <c r="E22" s="84">
        <f>TrRoad_act!E76</f>
        <v>74351</v>
      </c>
      <c r="F22" s="84">
        <f>TrRoad_act!F76</f>
        <v>80712</v>
      </c>
      <c r="G22" s="84">
        <f>TrRoad_act!G76</f>
        <v>86708</v>
      </c>
      <c r="H22" s="84">
        <f>TrRoad_act!H76</f>
        <v>92845</v>
      </c>
      <c r="I22" s="84">
        <f>TrRoad_act!I76</f>
        <v>91958</v>
      </c>
      <c r="J22" s="84">
        <f>TrRoad_act!J76</f>
        <v>96163</v>
      </c>
      <c r="K22" s="84">
        <f>TrRoad_act!K76</f>
        <v>95484</v>
      </c>
      <c r="L22" s="84">
        <f>TrRoad_act!L76</f>
        <v>91375</v>
      </c>
      <c r="M22" s="84">
        <f>TrRoad_act!M76</f>
        <v>90063</v>
      </c>
      <c r="N22" s="84">
        <f>TrRoad_act!N76</f>
        <v>84920</v>
      </c>
      <c r="O22" s="84">
        <f>TrRoad_act!O76</f>
        <v>84957</v>
      </c>
      <c r="P22" s="84">
        <f>TrRoad_act!P76</f>
        <v>86288</v>
      </c>
      <c r="Q22" s="84">
        <f>TrRoad_act!Q76</f>
        <v>102048</v>
      </c>
      <c r="R22" s="84">
        <f>TrRoad_act!R76</f>
        <v>110554</v>
      </c>
      <c r="S22" s="84">
        <f>TrRoad_act!S76</f>
        <v>119870</v>
      </c>
      <c r="T22" s="84">
        <f>TrRoad_act!T76</f>
        <v>130932</v>
      </c>
      <c r="U22" s="84">
        <f>TrRoad_act!U76</f>
        <v>141186</v>
      </c>
      <c r="V22" s="84">
        <f>TrRoad_act!V76</f>
        <v>148523</v>
      </c>
      <c r="W22" s="84">
        <f>TrRoad_act!W76</f>
        <v>157740</v>
      </c>
      <c r="X22" s="84">
        <f>TrRoad_act!X76</f>
        <v>165490</v>
      </c>
      <c r="Y22" s="84">
        <f>TrRoad_act!Y76</f>
        <v>176227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198</v>
      </c>
      <c r="J23" s="84">
        <f>TrRoad_act!J77</f>
        <v>510</v>
      </c>
      <c r="K23" s="84">
        <f>TrRoad_act!K77</f>
        <v>641</v>
      </c>
      <c r="L23" s="84">
        <f>TrRoad_act!L77</f>
        <v>668</v>
      </c>
      <c r="M23" s="84">
        <f>TrRoad_act!M77</f>
        <v>628</v>
      </c>
      <c r="N23" s="84">
        <f>TrRoad_act!N77</f>
        <v>621</v>
      </c>
      <c r="O23" s="84">
        <f>TrRoad_act!O77</f>
        <v>687</v>
      </c>
      <c r="P23" s="84">
        <f>TrRoad_act!P77</f>
        <v>753</v>
      </c>
      <c r="Q23" s="84">
        <f>TrRoad_act!Q77</f>
        <v>818</v>
      </c>
      <c r="R23" s="84">
        <f>TrRoad_act!R77</f>
        <v>898</v>
      </c>
      <c r="S23" s="84">
        <f>TrRoad_act!S77</f>
        <v>989</v>
      </c>
      <c r="T23" s="84">
        <f>TrRoad_act!T77</f>
        <v>1058</v>
      </c>
      <c r="U23" s="84">
        <f>TrRoad_act!U77</f>
        <v>1135</v>
      </c>
      <c r="V23" s="84">
        <f>TrRoad_act!V77</f>
        <v>1171</v>
      </c>
      <c r="W23" s="84">
        <f>TrRoad_act!W77</f>
        <v>1270</v>
      </c>
      <c r="X23" s="84">
        <f>TrRoad_act!X77</f>
        <v>1344</v>
      </c>
      <c r="Y23" s="84">
        <f>TrRoad_act!Y77</f>
        <v>1383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43</v>
      </c>
      <c r="L24" s="84">
        <f>TrRoad_act!L78</f>
        <v>51</v>
      </c>
      <c r="M24" s="84">
        <f>TrRoad_act!M78</f>
        <v>51</v>
      </c>
      <c r="N24" s="84">
        <f>TrRoad_act!N78</f>
        <v>71</v>
      </c>
      <c r="O24" s="84">
        <f>TrRoad_act!O78</f>
        <v>71</v>
      </c>
      <c r="P24" s="84">
        <f>TrRoad_act!P78</f>
        <v>71</v>
      </c>
      <c r="Q24" s="84">
        <f>TrRoad_act!Q78</f>
        <v>75</v>
      </c>
      <c r="R24" s="84">
        <f>TrRoad_act!R78</f>
        <v>75</v>
      </c>
      <c r="S24" s="84">
        <f>TrRoad_act!S78</f>
        <v>92</v>
      </c>
      <c r="T24" s="84">
        <f>TrRoad_act!T78</f>
        <v>96</v>
      </c>
      <c r="U24" s="84">
        <f>TrRoad_act!U78</f>
        <v>96</v>
      </c>
      <c r="V24" s="84">
        <f>TrRoad_act!V78</f>
        <v>96</v>
      </c>
      <c r="W24" s="84">
        <f>TrRoad_act!W78</f>
        <v>96</v>
      </c>
      <c r="X24" s="84">
        <f>TrRoad_act!X78</f>
        <v>96</v>
      </c>
      <c r="Y24" s="84">
        <f>TrRoad_act!Y78</f>
        <v>96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2</v>
      </c>
      <c r="F25" s="84">
        <f>TrRoad_act!F79</f>
        <v>2</v>
      </c>
      <c r="G25" s="84">
        <f>TrRoad_act!G79</f>
        <v>3</v>
      </c>
      <c r="H25" s="84">
        <f>TrRoad_act!H79</f>
        <v>3</v>
      </c>
      <c r="I25" s="84">
        <f>TrRoad_act!I79</f>
        <v>3</v>
      </c>
      <c r="J25" s="84">
        <f>TrRoad_act!J79</f>
        <v>5</v>
      </c>
      <c r="K25" s="84">
        <f>TrRoad_act!K79</f>
        <v>6</v>
      </c>
      <c r="L25" s="84">
        <f>TrRoad_act!L79</f>
        <v>6</v>
      </c>
      <c r="M25" s="84">
        <f>TrRoad_act!M79</f>
        <v>5</v>
      </c>
      <c r="N25" s="84">
        <f>TrRoad_act!N79</f>
        <v>7</v>
      </c>
      <c r="O25" s="84">
        <f>TrRoad_act!O79</f>
        <v>7</v>
      </c>
      <c r="P25" s="84">
        <f>TrRoad_act!P79</f>
        <v>8</v>
      </c>
      <c r="Q25" s="84">
        <f>TrRoad_act!Q79</f>
        <v>36</v>
      </c>
      <c r="R25" s="84">
        <f>TrRoad_act!R79</f>
        <v>53</v>
      </c>
      <c r="S25" s="84">
        <f>TrRoad_act!S79</f>
        <v>65</v>
      </c>
      <c r="T25" s="84">
        <f>TrRoad_act!T79</f>
        <v>95</v>
      </c>
      <c r="U25" s="84">
        <f>TrRoad_act!U79</f>
        <v>133</v>
      </c>
      <c r="V25" s="84">
        <f>TrRoad_act!V79</f>
        <v>178</v>
      </c>
      <c r="W25" s="84">
        <f>TrRoad_act!W79</f>
        <v>255</v>
      </c>
      <c r="X25" s="84">
        <f>TrRoad_act!X79</f>
        <v>299</v>
      </c>
      <c r="Y25" s="84">
        <f>TrRoad_act!Y79</f>
        <v>475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34452</v>
      </c>
      <c r="C26" s="110">
        <f>TrRoad_act!C80</f>
        <v>46437.000000000015</v>
      </c>
      <c r="D26" s="110">
        <f>TrRoad_act!D80</f>
        <v>50780</v>
      </c>
      <c r="E26" s="110">
        <f>TrRoad_act!E80</f>
        <v>55442</v>
      </c>
      <c r="F26" s="110">
        <f>TrRoad_act!F80</f>
        <v>57892</v>
      </c>
      <c r="G26" s="110">
        <f>TrRoad_act!G80</f>
        <v>57293</v>
      </c>
      <c r="H26" s="110">
        <f>TrRoad_act!H80</f>
        <v>66051</v>
      </c>
      <c r="I26" s="110">
        <f>TrRoad_act!I80</f>
        <v>65632</v>
      </c>
      <c r="J26" s="110">
        <f>TrRoad_act!J80</f>
        <v>69454</v>
      </c>
      <c r="K26" s="110">
        <f>TrRoad_act!K80</f>
        <v>60016</v>
      </c>
      <c r="L26" s="110">
        <f>TrRoad_act!L80</f>
        <v>60875</v>
      </c>
      <c r="M26" s="110">
        <f>TrRoad_act!M80</f>
        <v>61596</v>
      </c>
      <c r="N26" s="110">
        <f>TrRoad_act!N80</f>
        <v>60065</v>
      </c>
      <c r="O26" s="110">
        <f>TrRoad_act!O80</f>
        <v>61953</v>
      </c>
      <c r="P26" s="110">
        <f>TrRoad_act!P80</f>
        <v>63483</v>
      </c>
      <c r="Q26" s="110">
        <f>TrRoad_act!Q80</f>
        <v>64711</v>
      </c>
      <c r="R26" s="110">
        <f>TrRoad_act!R80</f>
        <v>62932</v>
      </c>
      <c r="S26" s="110">
        <f>TrRoad_act!S80</f>
        <v>65340</v>
      </c>
      <c r="T26" s="110">
        <f>TrRoad_act!T80</f>
        <v>66810</v>
      </c>
      <c r="U26" s="110">
        <f>TrRoad_act!U80</f>
        <v>68135</v>
      </c>
      <c r="V26" s="110">
        <f>TrRoad_act!V80</f>
        <v>69788</v>
      </c>
      <c r="W26" s="110">
        <f>TrRoad_act!W80</f>
        <v>70872</v>
      </c>
      <c r="X26" s="110">
        <f>TrRoad_act!X80</f>
        <v>73062</v>
      </c>
      <c r="Y26" s="110">
        <f>TrRoad_act!Y80</f>
        <v>75592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30822</v>
      </c>
      <c r="C27" s="102">
        <f>TrRoad_act!C81</f>
        <v>42545.000000000015</v>
      </c>
      <c r="D27" s="102">
        <f>TrRoad_act!D81</f>
        <v>46686</v>
      </c>
      <c r="E27" s="102">
        <f>TrRoad_act!E81</f>
        <v>51257</v>
      </c>
      <c r="F27" s="102">
        <f>TrRoad_act!F81</f>
        <v>52944</v>
      </c>
      <c r="G27" s="102">
        <f>TrRoad_act!G81</f>
        <v>52170</v>
      </c>
      <c r="H27" s="102">
        <f>TrRoad_act!H81</f>
        <v>61359</v>
      </c>
      <c r="I27" s="102">
        <f>TrRoad_act!I81</f>
        <v>60705</v>
      </c>
      <c r="J27" s="102">
        <f>TrRoad_act!J81</f>
        <v>66131</v>
      </c>
      <c r="K27" s="102">
        <f>TrRoad_act!K81</f>
        <v>57127</v>
      </c>
      <c r="L27" s="102">
        <f>TrRoad_act!L81</f>
        <v>58071</v>
      </c>
      <c r="M27" s="102">
        <f>TrRoad_act!M81</f>
        <v>58801</v>
      </c>
      <c r="N27" s="102">
        <f>TrRoad_act!N81</f>
        <v>57335</v>
      </c>
      <c r="O27" s="102">
        <f>TrRoad_act!O81</f>
        <v>59107</v>
      </c>
      <c r="P27" s="102">
        <f>TrRoad_act!P81</f>
        <v>60458</v>
      </c>
      <c r="Q27" s="102">
        <f>TrRoad_act!Q81</f>
        <v>61213</v>
      </c>
      <c r="R27" s="102">
        <f>TrRoad_act!R81</f>
        <v>59331</v>
      </c>
      <c r="S27" s="102">
        <f>TrRoad_act!S81</f>
        <v>60915</v>
      </c>
      <c r="T27" s="102">
        <f>TrRoad_act!T81</f>
        <v>62414</v>
      </c>
      <c r="U27" s="102">
        <f>TrRoad_act!U81</f>
        <v>64184</v>
      </c>
      <c r="V27" s="102">
        <f>TrRoad_act!V81</f>
        <v>65719</v>
      </c>
      <c r="W27" s="102">
        <f>TrRoad_act!W81</f>
        <v>67092</v>
      </c>
      <c r="X27" s="102">
        <f>TrRoad_act!X81</f>
        <v>69116</v>
      </c>
      <c r="Y27" s="102">
        <f>TrRoad_act!Y81</f>
        <v>71317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3630</v>
      </c>
      <c r="C28" s="86">
        <f>TrRoad_act!C82</f>
        <v>3892</v>
      </c>
      <c r="D28" s="86">
        <f>TrRoad_act!D82</f>
        <v>4094</v>
      </c>
      <c r="E28" s="86">
        <f>TrRoad_act!E82</f>
        <v>4185</v>
      </c>
      <c r="F28" s="86">
        <f>TrRoad_act!F82</f>
        <v>4948</v>
      </c>
      <c r="G28" s="86">
        <f>TrRoad_act!G82</f>
        <v>5123</v>
      </c>
      <c r="H28" s="86">
        <f>TrRoad_act!H82</f>
        <v>4692</v>
      </c>
      <c r="I28" s="86">
        <f>TrRoad_act!I82</f>
        <v>4927</v>
      </c>
      <c r="J28" s="86">
        <f>TrRoad_act!J82</f>
        <v>3323</v>
      </c>
      <c r="K28" s="86">
        <f>TrRoad_act!K82</f>
        <v>2889</v>
      </c>
      <c r="L28" s="86">
        <f>TrRoad_act!L82</f>
        <v>2804</v>
      </c>
      <c r="M28" s="86">
        <f>TrRoad_act!M82</f>
        <v>2795</v>
      </c>
      <c r="N28" s="86">
        <f>TrRoad_act!N82</f>
        <v>2730</v>
      </c>
      <c r="O28" s="86">
        <f>TrRoad_act!O82</f>
        <v>2846</v>
      </c>
      <c r="P28" s="86">
        <f>TrRoad_act!P82</f>
        <v>3025</v>
      </c>
      <c r="Q28" s="86">
        <f>TrRoad_act!Q82</f>
        <v>3498</v>
      </c>
      <c r="R28" s="86">
        <f>TrRoad_act!R82</f>
        <v>3601</v>
      </c>
      <c r="S28" s="86">
        <f>TrRoad_act!S82</f>
        <v>4425</v>
      </c>
      <c r="T28" s="86">
        <f>TrRoad_act!T82</f>
        <v>4396</v>
      </c>
      <c r="U28" s="86">
        <f>TrRoad_act!U82</f>
        <v>3951</v>
      </c>
      <c r="V28" s="86">
        <f>TrRoad_act!V82</f>
        <v>4069</v>
      </c>
      <c r="W28" s="86">
        <f>TrRoad_act!W82</f>
        <v>3780</v>
      </c>
      <c r="X28" s="86">
        <f>TrRoad_act!X82</f>
        <v>3946</v>
      </c>
      <c r="Y28" s="86">
        <f>TrRoad_act!Y82</f>
        <v>4275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120024</v>
      </c>
      <c r="C30" s="54">
        <f>TrRoad_act!C111</f>
        <v>176546</v>
      </c>
      <c r="D30" s="54">
        <f>TrRoad_act!D111</f>
        <v>144564</v>
      </c>
      <c r="E30" s="54">
        <f>TrRoad_act!E111</f>
        <v>170569</v>
      </c>
      <c r="F30" s="54">
        <f>TrRoad_act!F111</f>
        <v>168991</v>
      </c>
      <c r="G30" s="54">
        <f>TrRoad_act!G111</f>
        <v>174207</v>
      </c>
      <c r="H30" s="54">
        <f>TrRoad_act!H111</f>
        <v>211568</v>
      </c>
      <c r="I30" s="54">
        <f>TrRoad_act!I111</f>
        <v>187338</v>
      </c>
      <c r="J30" s="54">
        <f>TrRoad_act!J111</f>
        <v>174690</v>
      </c>
      <c r="K30" s="54">
        <f>TrRoad_act!K111</f>
        <v>114282</v>
      </c>
      <c r="L30" s="54">
        <f>TrRoad_act!L111</f>
        <v>84461</v>
      </c>
      <c r="M30" s="54">
        <f>TrRoad_act!M111</f>
        <v>89179</v>
      </c>
      <c r="N30" s="54">
        <f>TrRoad_act!N111</f>
        <v>79764</v>
      </c>
      <c r="O30" s="54">
        <f>TrRoad_act!O111</f>
        <v>97943</v>
      </c>
      <c r="P30" s="54">
        <f>TrRoad_act!P111</f>
        <v>115871</v>
      </c>
      <c r="Q30" s="54">
        <f>TrRoad_act!Q111</f>
        <v>144952</v>
      </c>
      <c r="R30" s="54">
        <f>TrRoad_act!R111</f>
        <v>156899</v>
      </c>
      <c r="S30" s="54">
        <f>TrRoad_act!S111</f>
        <v>162275</v>
      </c>
      <c r="T30" s="54">
        <f>TrRoad_act!T111</f>
        <v>217358</v>
      </c>
      <c r="U30" s="54">
        <f>TrRoad_act!U111</f>
        <v>225150</v>
      </c>
      <c r="V30" s="54">
        <f>TrRoad_act!V111</f>
        <v>165102</v>
      </c>
      <c r="W30" s="54">
        <f>TrRoad_act!W111</f>
        <v>155059</v>
      </c>
      <c r="X30" s="54">
        <f>TrRoad_act!X111</f>
        <v>157482</v>
      </c>
      <c r="Y30" s="54">
        <f>TrRoad_act!Y111</f>
        <v>220978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115590</v>
      </c>
      <c r="C31" s="28">
        <f>TrRoad_act!C112</f>
        <v>146649</v>
      </c>
      <c r="D31" s="28">
        <f>TrRoad_act!D112</f>
        <v>129167</v>
      </c>
      <c r="E31" s="28">
        <f>TrRoad_act!E112</f>
        <v>153470</v>
      </c>
      <c r="F31" s="28">
        <f>TrRoad_act!F112</f>
        <v>154153</v>
      </c>
      <c r="G31" s="28">
        <f>TrRoad_act!G112</f>
        <v>161607</v>
      </c>
      <c r="H31" s="28">
        <f>TrRoad_act!H112</f>
        <v>189824</v>
      </c>
      <c r="I31" s="28">
        <f>TrRoad_act!I112</f>
        <v>174557</v>
      </c>
      <c r="J31" s="28">
        <f>TrRoad_act!J112</f>
        <v>158955</v>
      </c>
      <c r="K31" s="28">
        <f>TrRoad_act!K112</f>
        <v>108916</v>
      </c>
      <c r="L31" s="28">
        <f>TrRoad_act!L112</f>
        <v>80274</v>
      </c>
      <c r="M31" s="28">
        <f>TrRoad_act!M112</f>
        <v>82581</v>
      </c>
      <c r="N31" s="28">
        <f>TrRoad_act!N112</f>
        <v>73311</v>
      </c>
      <c r="O31" s="28">
        <f>TrRoad_act!O112</f>
        <v>87874</v>
      </c>
      <c r="P31" s="28">
        <f>TrRoad_act!P112</f>
        <v>105605</v>
      </c>
      <c r="Q31" s="28">
        <f>TrRoad_act!Q112</f>
        <v>111979</v>
      </c>
      <c r="R31" s="28">
        <f>TrRoad_act!R112</f>
        <v>136857</v>
      </c>
      <c r="S31" s="28">
        <f>TrRoad_act!S112</f>
        <v>138566</v>
      </c>
      <c r="T31" s="28">
        <f>TrRoad_act!T112</f>
        <v>192429</v>
      </c>
      <c r="U31" s="28">
        <f>TrRoad_act!U112</f>
        <v>201146</v>
      </c>
      <c r="V31" s="28">
        <f>TrRoad_act!V112</f>
        <v>144645</v>
      </c>
      <c r="W31" s="28">
        <f>TrRoad_act!W112</f>
        <v>131735</v>
      </c>
      <c r="X31" s="28">
        <f>TrRoad_act!X112</f>
        <v>133585</v>
      </c>
      <c r="Y31" s="28">
        <f>TrRoad_act!Y112</f>
        <v>193074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0</v>
      </c>
      <c r="C32" s="137">
        <f>TrRoad_act!C113</f>
        <v>1144</v>
      </c>
      <c r="D32" s="137">
        <f>TrRoad_act!D113</f>
        <v>7414</v>
      </c>
      <c r="E32" s="137">
        <f>TrRoad_act!E113</f>
        <v>21385</v>
      </c>
      <c r="F32" s="137">
        <f>TrRoad_act!F113</f>
        <v>21679</v>
      </c>
      <c r="G32" s="137">
        <f>TrRoad_act!G113</f>
        <v>23373</v>
      </c>
      <c r="H32" s="137">
        <f>TrRoad_act!H113</f>
        <v>25088</v>
      </c>
      <c r="I32" s="137">
        <f>TrRoad_act!I113</f>
        <v>12564</v>
      </c>
      <c r="J32" s="137">
        <f>TrRoad_act!J113</f>
        <v>12335</v>
      </c>
      <c r="K32" s="137">
        <f>TrRoad_act!K113</f>
        <v>6706</v>
      </c>
      <c r="L32" s="137">
        <f>TrRoad_act!L113</f>
        <v>3991</v>
      </c>
      <c r="M32" s="137">
        <f>TrRoad_act!M113</f>
        <v>3816</v>
      </c>
      <c r="N32" s="137">
        <f>TrRoad_act!N113</f>
        <v>4207</v>
      </c>
      <c r="O32" s="137">
        <f>TrRoad_act!O113</f>
        <v>3143</v>
      </c>
      <c r="P32" s="137">
        <f>TrRoad_act!P113</f>
        <v>3437</v>
      </c>
      <c r="Q32" s="137">
        <f>TrRoad_act!Q113</f>
        <v>4134</v>
      </c>
      <c r="R32" s="137">
        <f>TrRoad_act!R113</f>
        <v>5236</v>
      </c>
      <c r="S32" s="137">
        <f>TrRoad_act!S113</f>
        <v>6210</v>
      </c>
      <c r="T32" s="137">
        <f>TrRoad_act!T113</f>
        <v>8480</v>
      </c>
      <c r="U32" s="137">
        <f>TrRoad_act!U113</f>
        <v>10030</v>
      </c>
      <c r="V32" s="137">
        <f>TrRoad_act!V113</f>
        <v>8359</v>
      </c>
      <c r="W32" s="137">
        <f>TrRoad_act!W113</f>
        <v>6947</v>
      </c>
      <c r="X32" s="137">
        <f>TrRoad_act!X113</f>
        <v>12526</v>
      </c>
      <c r="Y32" s="137">
        <f>TrRoad_act!Y113</f>
        <v>12981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115139</v>
      </c>
      <c r="C33" s="110">
        <f>TrRoad_act!C114</f>
        <v>144974</v>
      </c>
      <c r="D33" s="110">
        <f>TrRoad_act!D114</f>
        <v>121235</v>
      </c>
      <c r="E33" s="110">
        <f>TrRoad_act!E114</f>
        <v>131515</v>
      </c>
      <c r="F33" s="110">
        <f>TrRoad_act!F114</f>
        <v>131905</v>
      </c>
      <c r="G33" s="110">
        <f>TrRoad_act!G114</f>
        <v>137657</v>
      </c>
      <c r="H33" s="110">
        <f>TrRoad_act!H114</f>
        <v>164135</v>
      </c>
      <c r="I33" s="110">
        <f>TrRoad_act!I114</f>
        <v>161225</v>
      </c>
      <c r="J33" s="110">
        <f>TrRoad_act!J114</f>
        <v>145979</v>
      </c>
      <c r="K33" s="110">
        <f>TrRoad_act!K114</f>
        <v>101649</v>
      </c>
      <c r="L33" s="110">
        <f>TrRoad_act!L114</f>
        <v>75894</v>
      </c>
      <c r="M33" s="110">
        <f>TrRoad_act!M114</f>
        <v>78238</v>
      </c>
      <c r="N33" s="110">
        <f>TrRoad_act!N114</f>
        <v>68715</v>
      </c>
      <c r="O33" s="110">
        <f>TrRoad_act!O114</f>
        <v>83983</v>
      </c>
      <c r="P33" s="110">
        <f>TrRoad_act!P114</f>
        <v>101208</v>
      </c>
      <c r="Q33" s="110">
        <f>TrRoad_act!Q114</f>
        <v>107107</v>
      </c>
      <c r="R33" s="110">
        <f>TrRoad_act!R114</f>
        <v>131122</v>
      </c>
      <c r="S33" s="110">
        <f>TrRoad_act!S114</f>
        <v>131879</v>
      </c>
      <c r="T33" s="110">
        <f>TrRoad_act!T114</f>
        <v>183452</v>
      </c>
      <c r="U33" s="110">
        <f>TrRoad_act!U114</f>
        <v>190600</v>
      </c>
      <c r="V33" s="110">
        <f>TrRoad_act!V114</f>
        <v>136214</v>
      </c>
      <c r="W33" s="110">
        <f>TrRoad_act!W114</f>
        <v>124144</v>
      </c>
      <c r="X33" s="110">
        <f>TrRoad_act!X114</f>
        <v>119948</v>
      </c>
      <c r="Y33" s="110">
        <f>TrRoad_act!Y114</f>
        <v>179248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90999</v>
      </c>
      <c r="C34" s="84">
        <f>TrRoad_act!C115</f>
        <v>93314</v>
      </c>
      <c r="D34" s="84">
        <f>TrRoad_act!D115</f>
        <v>78930</v>
      </c>
      <c r="E34" s="84">
        <f>TrRoad_act!E115</f>
        <v>77042</v>
      </c>
      <c r="F34" s="84">
        <f>TrRoad_act!F115</f>
        <v>69126</v>
      </c>
      <c r="G34" s="84">
        <f>TrRoad_act!G115</f>
        <v>72674</v>
      </c>
      <c r="H34" s="84">
        <f>TrRoad_act!H115</f>
        <v>84163</v>
      </c>
      <c r="I34" s="84">
        <f>TrRoad_act!I115</f>
        <v>79200</v>
      </c>
      <c r="J34" s="84">
        <f>TrRoad_act!J115</f>
        <v>78088</v>
      </c>
      <c r="K34" s="84">
        <f>TrRoad_act!K115</f>
        <v>51703</v>
      </c>
      <c r="L34" s="84">
        <f>TrRoad_act!L115</f>
        <v>45263</v>
      </c>
      <c r="M34" s="84">
        <f>TrRoad_act!M115</f>
        <v>42610</v>
      </c>
      <c r="N34" s="84">
        <f>TrRoad_act!N115</f>
        <v>34405</v>
      </c>
      <c r="O34" s="84">
        <f>TrRoad_act!O115</f>
        <v>34829</v>
      </c>
      <c r="P34" s="84">
        <f>TrRoad_act!P115</f>
        <v>32970</v>
      </c>
      <c r="Q34" s="84">
        <f>TrRoad_act!Q115</f>
        <v>32182</v>
      </c>
      <c r="R34" s="84">
        <f>TrRoad_act!R115</f>
        <v>36097</v>
      </c>
      <c r="S34" s="84">
        <f>TrRoad_act!S115</f>
        <v>36589</v>
      </c>
      <c r="T34" s="84">
        <f>TrRoad_act!T115</f>
        <v>56088</v>
      </c>
      <c r="U34" s="84">
        <f>TrRoad_act!U115</f>
        <v>62331</v>
      </c>
      <c r="V34" s="84">
        <f>TrRoad_act!V115</f>
        <v>42581</v>
      </c>
      <c r="W34" s="84">
        <f>TrRoad_act!W115</f>
        <v>45051</v>
      </c>
      <c r="X34" s="84">
        <f>TrRoad_act!X115</f>
        <v>50465</v>
      </c>
      <c r="Y34" s="84">
        <f>TrRoad_act!Y115</f>
        <v>86809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24140</v>
      </c>
      <c r="C35" s="84">
        <f>TrRoad_act!C116</f>
        <v>48570</v>
      </c>
      <c r="D35" s="84">
        <f>TrRoad_act!D116</f>
        <v>40814</v>
      </c>
      <c r="E35" s="84">
        <f>TrRoad_act!E116</f>
        <v>52997</v>
      </c>
      <c r="F35" s="84">
        <f>TrRoad_act!F116</f>
        <v>57313</v>
      </c>
      <c r="G35" s="84">
        <f>TrRoad_act!G116</f>
        <v>56719</v>
      </c>
      <c r="H35" s="84">
        <f>TrRoad_act!H116</f>
        <v>59037</v>
      </c>
      <c r="I35" s="84">
        <f>TrRoad_act!I116</f>
        <v>60194</v>
      </c>
      <c r="J35" s="84">
        <f>TrRoad_act!J116</f>
        <v>45032</v>
      </c>
      <c r="K35" s="84">
        <f>TrRoad_act!K116</f>
        <v>31002</v>
      </c>
      <c r="L35" s="84">
        <f>TrRoad_act!L116</f>
        <v>30480</v>
      </c>
      <c r="M35" s="84">
        <f>TrRoad_act!M116</f>
        <v>35519</v>
      </c>
      <c r="N35" s="84">
        <f>TrRoad_act!N116</f>
        <v>34166</v>
      </c>
      <c r="O35" s="84">
        <f>TrRoad_act!O116</f>
        <v>48978</v>
      </c>
      <c r="P35" s="84">
        <f>TrRoad_act!P116</f>
        <v>63001</v>
      </c>
      <c r="Q35" s="84">
        <f>TrRoad_act!Q116</f>
        <v>69807</v>
      </c>
      <c r="R35" s="84">
        <f>TrRoad_act!R116</f>
        <v>88660</v>
      </c>
      <c r="S35" s="84">
        <f>TrRoad_act!S116</f>
        <v>86746</v>
      </c>
      <c r="T35" s="84">
        <f>TrRoad_act!T116</f>
        <v>114175</v>
      </c>
      <c r="U35" s="84">
        <f>TrRoad_act!U116</f>
        <v>116613</v>
      </c>
      <c r="V35" s="84">
        <f>TrRoad_act!V116</f>
        <v>82006</v>
      </c>
      <c r="W35" s="84">
        <f>TrRoad_act!W116</f>
        <v>65661</v>
      </c>
      <c r="X35" s="84">
        <f>TrRoad_act!X116</f>
        <v>64982</v>
      </c>
      <c r="Y35" s="84">
        <f>TrRoad_act!Y116</f>
        <v>87442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3090</v>
      </c>
      <c r="D36" s="84">
        <f>TrRoad_act!D117</f>
        <v>1491</v>
      </c>
      <c r="E36" s="84">
        <f>TrRoad_act!E117</f>
        <v>1476</v>
      </c>
      <c r="F36" s="84">
        <f>TrRoad_act!F117</f>
        <v>5466</v>
      </c>
      <c r="G36" s="84">
        <f>TrRoad_act!G117</f>
        <v>8264</v>
      </c>
      <c r="H36" s="84">
        <f>TrRoad_act!H117</f>
        <v>20935</v>
      </c>
      <c r="I36" s="84">
        <f>TrRoad_act!I117</f>
        <v>21831</v>
      </c>
      <c r="J36" s="84">
        <f>TrRoad_act!J117</f>
        <v>22859</v>
      </c>
      <c r="K36" s="84">
        <f>TrRoad_act!K117</f>
        <v>18880</v>
      </c>
      <c r="L36" s="84">
        <f>TrRoad_act!L117</f>
        <v>139</v>
      </c>
      <c r="M36" s="84">
        <f>TrRoad_act!M117</f>
        <v>109</v>
      </c>
      <c r="N36" s="84">
        <f>TrRoad_act!N117</f>
        <v>101</v>
      </c>
      <c r="O36" s="84">
        <f>TrRoad_act!O117</f>
        <v>166</v>
      </c>
      <c r="P36" s="84">
        <f>TrRoad_act!P117</f>
        <v>5172</v>
      </c>
      <c r="Q36" s="84">
        <f>TrRoad_act!Q117</f>
        <v>4993</v>
      </c>
      <c r="R36" s="84">
        <f>TrRoad_act!R117</f>
        <v>6256</v>
      </c>
      <c r="S36" s="84">
        <f>TrRoad_act!S117</f>
        <v>8437</v>
      </c>
      <c r="T36" s="84">
        <f>TrRoad_act!T117</f>
        <v>12969</v>
      </c>
      <c r="U36" s="84">
        <f>TrRoad_act!U117</f>
        <v>11258</v>
      </c>
      <c r="V36" s="84">
        <f>TrRoad_act!V117</f>
        <v>10624</v>
      </c>
      <c r="W36" s="84">
        <f>TrRoad_act!W117</f>
        <v>11222</v>
      </c>
      <c r="X36" s="84">
        <f>TrRoad_act!X117</f>
        <v>1805</v>
      </c>
      <c r="Y36" s="84">
        <f>TrRoad_act!Y117</f>
        <v>1721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64</v>
      </c>
      <c r="L37" s="84">
        <f>TrRoad_act!L118</f>
        <v>12</v>
      </c>
      <c r="M37" s="84">
        <f>TrRoad_act!M118</f>
        <v>0</v>
      </c>
      <c r="N37" s="84">
        <f>TrRoad_act!N118</f>
        <v>10</v>
      </c>
      <c r="O37" s="84">
        <f>TrRoad_act!O118</f>
        <v>5</v>
      </c>
      <c r="P37" s="84">
        <f>TrRoad_act!P118</f>
        <v>13</v>
      </c>
      <c r="Q37" s="84">
        <f>TrRoad_act!Q118</f>
        <v>0</v>
      </c>
      <c r="R37" s="84">
        <f>TrRoad_act!R118</f>
        <v>10</v>
      </c>
      <c r="S37" s="84">
        <f>TrRoad_act!S118</f>
        <v>31</v>
      </c>
      <c r="T37" s="84">
        <f>TrRoad_act!T118</f>
        <v>8</v>
      </c>
      <c r="U37" s="84">
        <f>TrRoad_act!U118</f>
        <v>3</v>
      </c>
      <c r="V37" s="84">
        <f>TrRoad_act!V118</f>
        <v>1</v>
      </c>
      <c r="W37" s="84">
        <f>TrRoad_act!W118</f>
        <v>2</v>
      </c>
      <c r="X37" s="84">
        <f>TrRoad_act!X118</f>
        <v>2</v>
      </c>
      <c r="Y37" s="84">
        <f>TrRoad_act!Y118</f>
        <v>0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0</v>
      </c>
      <c r="P38" s="84">
        <f>TrRoad_act!P119</f>
        <v>5</v>
      </c>
      <c r="Q38" s="84">
        <f>TrRoad_act!Q119</f>
        <v>43</v>
      </c>
      <c r="R38" s="84">
        <f>TrRoad_act!R119</f>
        <v>29</v>
      </c>
      <c r="S38" s="84">
        <f>TrRoad_act!S119</f>
        <v>21</v>
      </c>
      <c r="T38" s="84">
        <f>TrRoad_act!T119</f>
        <v>30</v>
      </c>
      <c r="U38" s="84">
        <f>TrRoad_act!U119</f>
        <v>116</v>
      </c>
      <c r="V38" s="84">
        <f>TrRoad_act!V119</f>
        <v>363</v>
      </c>
      <c r="W38" s="84">
        <f>TrRoad_act!W119</f>
        <v>565</v>
      </c>
      <c r="X38" s="84">
        <f>TrRoad_act!X119</f>
        <v>870</v>
      </c>
      <c r="Y38" s="84">
        <f>TrRoad_act!Y119</f>
        <v>1019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0</v>
      </c>
      <c r="N39" s="84">
        <f>TrRoad_act!N120</f>
        <v>33</v>
      </c>
      <c r="O39" s="84">
        <f>TrRoad_act!O120</f>
        <v>5</v>
      </c>
      <c r="P39" s="84">
        <f>TrRoad_act!P120</f>
        <v>47</v>
      </c>
      <c r="Q39" s="84">
        <f>TrRoad_act!Q120</f>
        <v>82</v>
      </c>
      <c r="R39" s="84">
        <f>TrRoad_act!R120</f>
        <v>70</v>
      </c>
      <c r="S39" s="84">
        <f>TrRoad_act!S120</f>
        <v>55</v>
      </c>
      <c r="T39" s="84">
        <f>TrRoad_act!T120</f>
        <v>182</v>
      </c>
      <c r="U39" s="84">
        <f>TrRoad_act!U120</f>
        <v>279</v>
      </c>
      <c r="V39" s="84">
        <f>TrRoad_act!V120</f>
        <v>639</v>
      </c>
      <c r="W39" s="84">
        <f>TrRoad_act!W120</f>
        <v>1643</v>
      </c>
      <c r="X39" s="84">
        <f>TrRoad_act!X120</f>
        <v>1824</v>
      </c>
      <c r="Y39" s="84">
        <f>TrRoad_act!Y120</f>
        <v>2257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451</v>
      </c>
      <c r="C40" s="110">
        <f>TrRoad_act!C121</f>
        <v>531</v>
      </c>
      <c r="D40" s="110">
        <f>TrRoad_act!D121</f>
        <v>518</v>
      </c>
      <c r="E40" s="110">
        <f>TrRoad_act!E121</f>
        <v>570</v>
      </c>
      <c r="F40" s="110">
        <f>TrRoad_act!F121</f>
        <v>569</v>
      </c>
      <c r="G40" s="110">
        <f>TrRoad_act!G121</f>
        <v>577</v>
      </c>
      <c r="H40" s="110">
        <f>TrRoad_act!H121</f>
        <v>601</v>
      </c>
      <c r="I40" s="110">
        <f>TrRoad_act!I121</f>
        <v>768</v>
      </c>
      <c r="J40" s="110">
        <f>TrRoad_act!J121</f>
        <v>641</v>
      </c>
      <c r="K40" s="110">
        <f>TrRoad_act!K121</f>
        <v>561</v>
      </c>
      <c r="L40" s="110">
        <f>TrRoad_act!L121</f>
        <v>389</v>
      </c>
      <c r="M40" s="110">
        <f>TrRoad_act!M121</f>
        <v>527</v>
      </c>
      <c r="N40" s="110">
        <f>TrRoad_act!N121</f>
        <v>389</v>
      </c>
      <c r="O40" s="110">
        <f>TrRoad_act!O121</f>
        <v>748</v>
      </c>
      <c r="P40" s="110">
        <f>TrRoad_act!P121</f>
        <v>960</v>
      </c>
      <c r="Q40" s="110">
        <f>TrRoad_act!Q121</f>
        <v>738</v>
      </c>
      <c r="R40" s="110">
        <f>TrRoad_act!R121</f>
        <v>499</v>
      </c>
      <c r="S40" s="110">
        <f>TrRoad_act!S121</f>
        <v>477</v>
      </c>
      <c r="T40" s="110">
        <f>TrRoad_act!T121</f>
        <v>497</v>
      </c>
      <c r="U40" s="110">
        <f>TrRoad_act!U121</f>
        <v>516</v>
      </c>
      <c r="V40" s="110">
        <f>TrRoad_act!V121</f>
        <v>72</v>
      </c>
      <c r="W40" s="110">
        <f>TrRoad_act!W121</f>
        <v>644</v>
      </c>
      <c r="X40" s="110">
        <f>TrRoad_act!X121</f>
        <v>1111</v>
      </c>
      <c r="Y40" s="110">
        <f>TrRoad_act!Y121</f>
        <v>845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1</v>
      </c>
      <c r="C41" s="102">
        <f>TrRoad_act!C122</f>
        <v>4</v>
      </c>
      <c r="D41" s="102">
        <f>TrRoad_act!D122</f>
        <v>4</v>
      </c>
      <c r="E41" s="102">
        <f>TrRoad_act!E122</f>
        <v>1</v>
      </c>
      <c r="F41" s="102">
        <f>TrRoad_act!F122</f>
        <v>1</v>
      </c>
      <c r="G41" s="102">
        <f>TrRoad_act!G122</f>
        <v>3</v>
      </c>
      <c r="H41" s="102">
        <f>TrRoad_act!H122</f>
        <v>4</v>
      </c>
      <c r="I41" s="102">
        <f>TrRoad_act!I122</f>
        <v>0</v>
      </c>
      <c r="J41" s="102">
        <f>TrRoad_act!J122</f>
        <v>7</v>
      </c>
      <c r="K41" s="102">
        <f>TrRoad_act!K122</f>
        <v>0</v>
      </c>
      <c r="L41" s="102">
        <f>TrRoad_act!L122</f>
        <v>1</v>
      </c>
      <c r="M41" s="102">
        <f>TrRoad_act!M122</f>
        <v>0</v>
      </c>
      <c r="N41" s="102">
        <f>TrRoad_act!N122</f>
        <v>2</v>
      </c>
      <c r="O41" s="102">
        <f>TrRoad_act!O122</f>
        <v>9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X41" s="102">
        <f>TrRoad_act!X122</f>
        <v>0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450</v>
      </c>
      <c r="C42" s="102">
        <f>TrRoad_act!C123</f>
        <v>527</v>
      </c>
      <c r="D42" s="102">
        <f>TrRoad_act!D123</f>
        <v>514</v>
      </c>
      <c r="E42" s="102">
        <f>TrRoad_act!E123</f>
        <v>569</v>
      </c>
      <c r="F42" s="102">
        <f>TrRoad_act!F123</f>
        <v>568</v>
      </c>
      <c r="G42" s="102">
        <f>TrRoad_act!G123</f>
        <v>574</v>
      </c>
      <c r="H42" s="102">
        <f>TrRoad_act!H123</f>
        <v>597</v>
      </c>
      <c r="I42" s="102">
        <f>TrRoad_act!I123</f>
        <v>767</v>
      </c>
      <c r="J42" s="102">
        <f>TrRoad_act!J123</f>
        <v>634</v>
      </c>
      <c r="K42" s="102">
        <f>TrRoad_act!K123</f>
        <v>503</v>
      </c>
      <c r="L42" s="102">
        <f>TrRoad_act!L123</f>
        <v>384</v>
      </c>
      <c r="M42" s="102">
        <f>TrRoad_act!M123</f>
        <v>525</v>
      </c>
      <c r="N42" s="102">
        <f>TrRoad_act!N123</f>
        <v>378</v>
      </c>
      <c r="O42" s="102">
        <f>TrRoad_act!O123</f>
        <v>649</v>
      </c>
      <c r="P42" s="102">
        <f>TrRoad_act!P123</f>
        <v>781</v>
      </c>
      <c r="Q42" s="102">
        <f>TrRoad_act!Q123</f>
        <v>736</v>
      </c>
      <c r="R42" s="102">
        <f>TrRoad_act!R123</f>
        <v>498</v>
      </c>
      <c r="S42" s="102">
        <f>TrRoad_act!S123</f>
        <v>457</v>
      </c>
      <c r="T42" s="102">
        <f>TrRoad_act!T123</f>
        <v>497</v>
      </c>
      <c r="U42" s="102">
        <f>TrRoad_act!U123</f>
        <v>515</v>
      </c>
      <c r="V42" s="102">
        <f>TrRoad_act!V123</f>
        <v>49</v>
      </c>
      <c r="W42" s="102">
        <f>TrRoad_act!W123</f>
        <v>641</v>
      </c>
      <c r="X42" s="102">
        <f>TrRoad_act!X123</f>
        <v>1107</v>
      </c>
      <c r="Y42" s="102">
        <f>TrRoad_act!Y123</f>
        <v>844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1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1</v>
      </c>
      <c r="N43" s="102">
        <f>TrRoad_act!N124</f>
        <v>0</v>
      </c>
      <c r="O43" s="102">
        <f>TrRoad_act!O124</f>
        <v>11</v>
      </c>
      <c r="P43" s="102">
        <f>TrRoad_act!P124</f>
        <v>2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1</v>
      </c>
      <c r="V43" s="102">
        <f>TrRoad_act!V124</f>
        <v>3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58</v>
      </c>
      <c r="L44" s="102">
        <f>TrRoad_act!L125</f>
        <v>4</v>
      </c>
      <c r="M44" s="102">
        <f>TrRoad_act!M125</f>
        <v>1</v>
      </c>
      <c r="N44" s="102">
        <f>TrRoad_act!N125</f>
        <v>9</v>
      </c>
      <c r="O44" s="102">
        <f>TrRoad_act!O125</f>
        <v>79</v>
      </c>
      <c r="P44" s="102">
        <f>TrRoad_act!P125</f>
        <v>177</v>
      </c>
      <c r="Q44" s="102">
        <f>TrRoad_act!Q125</f>
        <v>0</v>
      </c>
      <c r="R44" s="102">
        <f>TrRoad_act!R125</f>
        <v>0</v>
      </c>
      <c r="S44" s="102">
        <f>TrRoad_act!S125</f>
        <v>20</v>
      </c>
      <c r="T44" s="102">
        <f>TrRoad_act!T125</f>
        <v>0</v>
      </c>
      <c r="U44" s="102">
        <f>TrRoad_act!U125</f>
        <v>0</v>
      </c>
      <c r="V44" s="102">
        <f>TrRoad_act!V125</f>
        <v>20</v>
      </c>
      <c r="W44" s="102">
        <f>TrRoad_act!W125</f>
        <v>0</v>
      </c>
      <c r="X44" s="102">
        <f>TrRoad_act!X125</f>
        <v>0</v>
      </c>
      <c r="Y44" s="102">
        <f>TrRoad_act!Y125</f>
        <v>0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2</v>
      </c>
      <c r="R45" s="102">
        <f>TrRoad_act!R126</f>
        <v>1</v>
      </c>
      <c r="S45" s="102">
        <f>TrRoad_act!S126</f>
        <v>0</v>
      </c>
      <c r="T45" s="102">
        <f>TrRoad_act!T126</f>
        <v>0</v>
      </c>
      <c r="U45" s="102">
        <f>TrRoad_act!U126</f>
        <v>0</v>
      </c>
      <c r="V45" s="102">
        <f>TrRoad_act!V126</f>
        <v>0</v>
      </c>
      <c r="W45" s="102">
        <f>TrRoad_act!W126</f>
        <v>3</v>
      </c>
      <c r="X45" s="102">
        <f>TrRoad_act!X126</f>
        <v>4</v>
      </c>
      <c r="Y45" s="102">
        <f>TrRoad_act!Y126</f>
        <v>1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4434</v>
      </c>
      <c r="C46" s="28">
        <f>TrRoad_act!C127</f>
        <v>29897</v>
      </c>
      <c r="D46" s="28">
        <f>TrRoad_act!D127</f>
        <v>15397</v>
      </c>
      <c r="E46" s="28">
        <f>TrRoad_act!E127</f>
        <v>17099</v>
      </c>
      <c r="F46" s="28">
        <f>TrRoad_act!F127</f>
        <v>14838</v>
      </c>
      <c r="G46" s="28">
        <f>TrRoad_act!G127</f>
        <v>12600</v>
      </c>
      <c r="H46" s="28">
        <f>TrRoad_act!H127</f>
        <v>21744</v>
      </c>
      <c r="I46" s="28">
        <f>TrRoad_act!I127</f>
        <v>12781</v>
      </c>
      <c r="J46" s="28">
        <f>TrRoad_act!J127</f>
        <v>15735</v>
      </c>
      <c r="K46" s="28">
        <f>TrRoad_act!K127</f>
        <v>5366</v>
      </c>
      <c r="L46" s="28">
        <f>TrRoad_act!L127</f>
        <v>4187</v>
      </c>
      <c r="M46" s="28">
        <f>TrRoad_act!M127</f>
        <v>6598</v>
      </c>
      <c r="N46" s="28">
        <f>TrRoad_act!N127</f>
        <v>6453</v>
      </c>
      <c r="O46" s="28">
        <f>TrRoad_act!O127</f>
        <v>10069</v>
      </c>
      <c r="P46" s="28">
        <f>TrRoad_act!P127</f>
        <v>10266</v>
      </c>
      <c r="Q46" s="28">
        <f>TrRoad_act!Q127</f>
        <v>32973</v>
      </c>
      <c r="R46" s="28">
        <f>TrRoad_act!R127</f>
        <v>20042</v>
      </c>
      <c r="S46" s="28">
        <f>TrRoad_act!S127</f>
        <v>23709</v>
      </c>
      <c r="T46" s="28">
        <f>TrRoad_act!T127</f>
        <v>24929</v>
      </c>
      <c r="U46" s="28">
        <f>TrRoad_act!U127</f>
        <v>24004</v>
      </c>
      <c r="V46" s="28">
        <f>TrRoad_act!V127</f>
        <v>20457</v>
      </c>
      <c r="W46" s="28">
        <f>TrRoad_act!W127</f>
        <v>23324</v>
      </c>
      <c r="X46" s="28">
        <f>TrRoad_act!X127</f>
        <v>23897</v>
      </c>
      <c r="Y46" s="28">
        <f>TrRoad_act!Y127</f>
        <v>27904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4071</v>
      </c>
      <c r="C47" s="137">
        <f>TrRoad_act!C128</f>
        <v>14997</v>
      </c>
      <c r="D47" s="137">
        <f>TrRoad_act!D128</f>
        <v>9782</v>
      </c>
      <c r="E47" s="137">
        <f>TrRoad_act!E128</f>
        <v>10679</v>
      </c>
      <c r="F47" s="137">
        <f>TrRoad_act!F128</f>
        <v>10106</v>
      </c>
      <c r="G47" s="137">
        <f>TrRoad_act!G128</f>
        <v>10180</v>
      </c>
      <c r="H47" s="137">
        <f>TrRoad_act!H128</f>
        <v>11006</v>
      </c>
      <c r="I47" s="137">
        <f>TrRoad_act!I128</f>
        <v>9493</v>
      </c>
      <c r="J47" s="137">
        <f>TrRoad_act!J128</f>
        <v>8688</v>
      </c>
      <c r="K47" s="137">
        <f>TrRoad_act!K128</f>
        <v>4705</v>
      </c>
      <c r="L47" s="137">
        <f>TrRoad_act!L128</f>
        <v>3098</v>
      </c>
      <c r="M47" s="137">
        <f>TrRoad_act!M128</f>
        <v>3355</v>
      </c>
      <c r="N47" s="137">
        <f>TrRoad_act!N128</f>
        <v>3540</v>
      </c>
      <c r="O47" s="137">
        <f>TrRoad_act!O128</f>
        <v>3723</v>
      </c>
      <c r="P47" s="137">
        <f>TrRoad_act!P128</f>
        <v>3956</v>
      </c>
      <c r="Q47" s="137">
        <f>TrRoad_act!Q128</f>
        <v>25773</v>
      </c>
      <c r="R47" s="137">
        <f>TrRoad_act!R128</f>
        <v>16306</v>
      </c>
      <c r="S47" s="137">
        <f>TrRoad_act!S128</f>
        <v>16837</v>
      </c>
      <c r="T47" s="137">
        <f>TrRoad_act!T128</f>
        <v>18583</v>
      </c>
      <c r="U47" s="137">
        <f>TrRoad_act!U128</f>
        <v>18090</v>
      </c>
      <c r="V47" s="137">
        <f>TrRoad_act!V128</f>
        <v>15040</v>
      </c>
      <c r="W47" s="137">
        <f>TrRoad_act!W128</f>
        <v>17401</v>
      </c>
      <c r="X47" s="137">
        <f>TrRoad_act!X128</f>
        <v>17164</v>
      </c>
      <c r="Y47" s="137">
        <f>TrRoad_act!Y128</f>
        <v>20382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501</v>
      </c>
      <c r="C48" s="84">
        <f>TrRoad_act!C129</f>
        <v>2275</v>
      </c>
      <c r="D48" s="84">
        <f>TrRoad_act!D129</f>
        <v>642</v>
      </c>
      <c r="E48" s="84">
        <f>TrRoad_act!E129</f>
        <v>467</v>
      </c>
      <c r="F48" s="84">
        <f>TrRoad_act!F129</f>
        <v>291</v>
      </c>
      <c r="G48" s="84">
        <f>TrRoad_act!G129</f>
        <v>316</v>
      </c>
      <c r="H48" s="84">
        <f>TrRoad_act!H129</f>
        <v>589</v>
      </c>
      <c r="I48" s="84">
        <f>TrRoad_act!I129</f>
        <v>535</v>
      </c>
      <c r="J48" s="84">
        <f>TrRoad_act!J129</f>
        <v>613</v>
      </c>
      <c r="K48" s="84">
        <f>TrRoad_act!K129</f>
        <v>406</v>
      </c>
      <c r="L48" s="84">
        <f>TrRoad_act!L129</f>
        <v>249</v>
      </c>
      <c r="M48" s="84">
        <f>TrRoad_act!M129</f>
        <v>181</v>
      </c>
      <c r="N48" s="84">
        <f>TrRoad_act!N129</f>
        <v>131</v>
      </c>
      <c r="O48" s="84">
        <f>TrRoad_act!O129</f>
        <v>118</v>
      </c>
      <c r="P48" s="84">
        <f>TrRoad_act!P129</f>
        <v>124</v>
      </c>
      <c r="Q48" s="84">
        <f>TrRoad_act!Q129</f>
        <v>291</v>
      </c>
      <c r="R48" s="84">
        <f>TrRoad_act!R129</f>
        <v>346</v>
      </c>
      <c r="S48" s="84">
        <f>TrRoad_act!S129</f>
        <v>453</v>
      </c>
      <c r="T48" s="84">
        <f>TrRoad_act!T129</f>
        <v>382</v>
      </c>
      <c r="U48" s="84">
        <f>TrRoad_act!U129</f>
        <v>350</v>
      </c>
      <c r="V48" s="84">
        <f>TrRoad_act!V129</f>
        <v>242</v>
      </c>
      <c r="W48" s="84">
        <f>TrRoad_act!W129</f>
        <v>432</v>
      </c>
      <c r="X48" s="84">
        <f>TrRoad_act!X129</f>
        <v>515</v>
      </c>
      <c r="Y48" s="84">
        <f>TrRoad_act!Y129</f>
        <v>622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3570</v>
      </c>
      <c r="C49" s="84">
        <f>TrRoad_act!C130</f>
        <v>12722</v>
      </c>
      <c r="D49" s="84">
        <f>TrRoad_act!D130</f>
        <v>9140</v>
      </c>
      <c r="E49" s="84">
        <f>TrRoad_act!E130</f>
        <v>10210</v>
      </c>
      <c r="F49" s="84">
        <f>TrRoad_act!F130</f>
        <v>9815</v>
      </c>
      <c r="G49" s="84">
        <f>TrRoad_act!G130</f>
        <v>9863</v>
      </c>
      <c r="H49" s="84">
        <f>TrRoad_act!H130</f>
        <v>10417</v>
      </c>
      <c r="I49" s="84">
        <f>TrRoad_act!I130</f>
        <v>8760</v>
      </c>
      <c r="J49" s="84">
        <f>TrRoad_act!J130</f>
        <v>7761</v>
      </c>
      <c r="K49" s="84">
        <f>TrRoad_act!K130</f>
        <v>4124</v>
      </c>
      <c r="L49" s="84">
        <f>TrRoad_act!L130</f>
        <v>2814</v>
      </c>
      <c r="M49" s="84">
        <f>TrRoad_act!M130</f>
        <v>3166</v>
      </c>
      <c r="N49" s="84">
        <f>TrRoad_act!N130</f>
        <v>3382</v>
      </c>
      <c r="O49" s="84">
        <f>TrRoad_act!O130</f>
        <v>3539</v>
      </c>
      <c r="P49" s="84">
        <f>TrRoad_act!P130</f>
        <v>3760</v>
      </c>
      <c r="Q49" s="84">
        <f>TrRoad_act!Q130</f>
        <v>25385</v>
      </c>
      <c r="R49" s="84">
        <f>TrRoad_act!R130</f>
        <v>15856</v>
      </c>
      <c r="S49" s="84">
        <f>TrRoad_act!S130</f>
        <v>16263</v>
      </c>
      <c r="T49" s="84">
        <f>TrRoad_act!T130</f>
        <v>18097</v>
      </c>
      <c r="U49" s="84">
        <f>TrRoad_act!U130</f>
        <v>17623</v>
      </c>
      <c r="V49" s="84">
        <f>TrRoad_act!V130</f>
        <v>14713</v>
      </c>
      <c r="W49" s="84">
        <f>TrRoad_act!W130</f>
        <v>16788</v>
      </c>
      <c r="X49" s="84">
        <f>TrRoad_act!X130</f>
        <v>16331</v>
      </c>
      <c r="Y49" s="84">
        <f>TrRoad_act!Y130</f>
        <v>19498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198</v>
      </c>
      <c r="J50" s="84">
        <f>TrRoad_act!J131</f>
        <v>312</v>
      </c>
      <c r="K50" s="84">
        <f>TrRoad_act!K131</f>
        <v>131</v>
      </c>
      <c r="L50" s="84">
        <f>TrRoad_act!L131</f>
        <v>27</v>
      </c>
      <c r="M50" s="84">
        <f>TrRoad_act!M131</f>
        <v>5</v>
      </c>
      <c r="N50" s="84">
        <f>TrRoad_act!N131</f>
        <v>4</v>
      </c>
      <c r="O50" s="84">
        <f>TrRoad_act!O131</f>
        <v>66</v>
      </c>
      <c r="P50" s="84">
        <f>TrRoad_act!P131</f>
        <v>66</v>
      </c>
      <c r="Q50" s="84">
        <f>TrRoad_act!Q131</f>
        <v>65</v>
      </c>
      <c r="R50" s="84">
        <f>TrRoad_act!R131</f>
        <v>80</v>
      </c>
      <c r="S50" s="84">
        <f>TrRoad_act!S131</f>
        <v>91</v>
      </c>
      <c r="T50" s="84">
        <f>TrRoad_act!T131</f>
        <v>69</v>
      </c>
      <c r="U50" s="84">
        <f>TrRoad_act!U131</f>
        <v>77</v>
      </c>
      <c r="V50" s="84">
        <f>TrRoad_act!V131</f>
        <v>36</v>
      </c>
      <c r="W50" s="84">
        <f>TrRoad_act!W131</f>
        <v>99</v>
      </c>
      <c r="X50" s="84">
        <f>TrRoad_act!X131</f>
        <v>74</v>
      </c>
      <c r="Y50" s="84">
        <f>TrRoad_act!Y131</f>
        <v>70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43</v>
      </c>
      <c r="L51" s="84">
        <f>TrRoad_act!L132</f>
        <v>8</v>
      </c>
      <c r="M51" s="84">
        <f>TrRoad_act!M132</f>
        <v>3</v>
      </c>
      <c r="N51" s="84">
        <f>TrRoad_act!N132</f>
        <v>21</v>
      </c>
      <c r="O51" s="84">
        <f>TrRoad_act!O132</f>
        <v>0</v>
      </c>
      <c r="P51" s="84">
        <f>TrRoad_act!P132</f>
        <v>5</v>
      </c>
      <c r="Q51" s="84">
        <f>TrRoad_act!Q132</f>
        <v>4</v>
      </c>
      <c r="R51" s="84">
        <f>TrRoad_act!R132</f>
        <v>7</v>
      </c>
      <c r="S51" s="84">
        <f>TrRoad_act!S132</f>
        <v>18</v>
      </c>
      <c r="T51" s="84">
        <f>TrRoad_act!T132</f>
        <v>5</v>
      </c>
      <c r="U51" s="84">
        <f>TrRoad_act!U132</f>
        <v>1</v>
      </c>
      <c r="V51" s="84">
        <f>TrRoad_act!V132</f>
        <v>3</v>
      </c>
      <c r="W51" s="84">
        <f>TrRoad_act!W132</f>
        <v>4</v>
      </c>
      <c r="X51" s="84">
        <f>TrRoad_act!X132</f>
        <v>2</v>
      </c>
      <c r="Y51" s="84">
        <f>TrRoad_act!Y132</f>
        <v>2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2</v>
      </c>
      <c r="F52" s="84">
        <f>TrRoad_act!F133</f>
        <v>0</v>
      </c>
      <c r="G52" s="84">
        <f>TrRoad_act!G133</f>
        <v>1</v>
      </c>
      <c r="H52" s="84">
        <f>TrRoad_act!H133</f>
        <v>0</v>
      </c>
      <c r="I52" s="84">
        <f>TrRoad_act!I133</f>
        <v>0</v>
      </c>
      <c r="J52" s="84">
        <f>TrRoad_act!J133</f>
        <v>2</v>
      </c>
      <c r="K52" s="84">
        <f>TrRoad_act!K133</f>
        <v>1</v>
      </c>
      <c r="L52" s="84">
        <f>TrRoad_act!L133</f>
        <v>0</v>
      </c>
      <c r="M52" s="84">
        <f>TrRoad_act!M133</f>
        <v>0</v>
      </c>
      <c r="N52" s="84">
        <f>TrRoad_act!N133</f>
        <v>2</v>
      </c>
      <c r="O52" s="84">
        <f>TrRoad_act!O133</f>
        <v>0</v>
      </c>
      <c r="P52" s="84">
        <f>TrRoad_act!P133</f>
        <v>1</v>
      </c>
      <c r="Q52" s="84">
        <f>TrRoad_act!Q133</f>
        <v>28</v>
      </c>
      <c r="R52" s="84">
        <f>TrRoad_act!R133</f>
        <v>17</v>
      </c>
      <c r="S52" s="84">
        <f>TrRoad_act!S133</f>
        <v>12</v>
      </c>
      <c r="T52" s="84">
        <f>TrRoad_act!T133</f>
        <v>30</v>
      </c>
      <c r="U52" s="84">
        <f>TrRoad_act!U133</f>
        <v>39</v>
      </c>
      <c r="V52" s="84">
        <f>TrRoad_act!V133</f>
        <v>46</v>
      </c>
      <c r="W52" s="84">
        <f>TrRoad_act!W133</f>
        <v>78</v>
      </c>
      <c r="X52" s="84">
        <f>TrRoad_act!X133</f>
        <v>242</v>
      </c>
      <c r="Y52" s="84">
        <f>TrRoad_act!Y133</f>
        <v>190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363</v>
      </c>
      <c r="C53" s="110">
        <f>TrRoad_act!C134</f>
        <v>14900</v>
      </c>
      <c r="D53" s="110">
        <f>TrRoad_act!D134</f>
        <v>5615</v>
      </c>
      <c r="E53" s="110">
        <f>TrRoad_act!E134</f>
        <v>6420</v>
      </c>
      <c r="F53" s="110">
        <f>TrRoad_act!F134</f>
        <v>4732</v>
      </c>
      <c r="G53" s="110">
        <f>TrRoad_act!G134</f>
        <v>2420</v>
      </c>
      <c r="H53" s="110">
        <f>TrRoad_act!H134</f>
        <v>10738</v>
      </c>
      <c r="I53" s="110">
        <f>TrRoad_act!I134</f>
        <v>3288</v>
      </c>
      <c r="J53" s="110">
        <f>TrRoad_act!J134</f>
        <v>7047</v>
      </c>
      <c r="K53" s="110">
        <f>TrRoad_act!K134</f>
        <v>661</v>
      </c>
      <c r="L53" s="110">
        <f>TrRoad_act!L134</f>
        <v>1089</v>
      </c>
      <c r="M53" s="110">
        <f>TrRoad_act!M134</f>
        <v>3243</v>
      </c>
      <c r="N53" s="110">
        <f>TrRoad_act!N134</f>
        <v>2913</v>
      </c>
      <c r="O53" s="110">
        <f>TrRoad_act!O134</f>
        <v>6346</v>
      </c>
      <c r="P53" s="110">
        <f>TrRoad_act!P134</f>
        <v>6310</v>
      </c>
      <c r="Q53" s="110">
        <f>TrRoad_act!Q134</f>
        <v>7200</v>
      </c>
      <c r="R53" s="110">
        <f>TrRoad_act!R134</f>
        <v>3736</v>
      </c>
      <c r="S53" s="110">
        <f>TrRoad_act!S134</f>
        <v>6872</v>
      </c>
      <c r="T53" s="110">
        <f>TrRoad_act!T134</f>
        <v>6346</v>
      </c>
      <c r="U53" s="110">
        <f>TrRoad_act!U134</f>
        <v>5914</v>
      </c>
      <c r="V53" s="110">
        <f>TrRoad_act!V134</f>
        <v>5417</v>
      </c>
      <c r="W53" s="110">
        <f>TrRoad_act!W134</f>
        <v>5923</v>
      </c>
      <c r="X53" s="110">
        <f>TrRoad_act!X134</f>
        <v>6733</v>
      </c>
      <c r="Y53" s="110">
        <f>TrRoad_act!Y134</f>
        <v>7522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14479</v>
      </c>
      <c r="D54" s="102">
        <f>TrRoad_act!D135</f>
        <v>5220</v>
      </c>
      <c r="E54" s="102">
        <f>TrRoad_act!E135</f>
        <v>6102</v>
      </c>
      <c r="F54" s="102">
        <f>TrRoad_act!F135</f>
        <v>3708</v>
      </c>
      <c r="G54" s="102">
        <f>TrRoad_act!G135</f>
        <v>1946</v>
      </c>
      <c r="H54" s="102">
        <f>TrRoad_act!H135</f>
        <v>10738</v>
      </c>
      <c r="I54" s="102">
        <f>TrRoad_act!I135</f>
        <v>2700</v>
      </c>
      <c r="J54" s="102">
        <f>TrRoad_act!J135</f>
        <v>7047</v>
      </c>
      <c r="K54" s="102">
        <f>TrRoad_act!K135</f>
        <v>661</v>
      </c>
      <c r="L54" s="102">
        <f>TrRoad_act!L135</f>
        <v>944</v>
      </c>
      <c r="M54" s="102">
        <f>TrRoad_act!M135</f>
        <v>3016</v>
      </c>
      <c r="N54" s="102">
        <f>TrRoad_act!N135</f>
        <v>2738</v>
      </c>
      <c r="O54" s="102">
        <f>TrRoad_act!O135</f>
        <v>5994</v>
      </c>
      <c r="P54" s="102">
        <f>TrRoad_act!P135</f>
        <v>5887</v>
      </c>
      <c r="Q54" s="102">
        <f>TrRoad_act!Q135</f>
        <v>6479</v>
      </c>
      <c r="R54" s="102">
        <f>TrRoad_act!R135</f>
        <v>3373</v>
      </c>
      <c r="S54" s="102">
        <f>TrRoad_act!S135</f>
        <v>5778</v>
      </c>
      <c r="T54" s="102">
        <f>TrRoad_act!T135</f>
        <v>6091</v>
      </c>
      <c r="U54" s="102">
        <f>TrRoad_act!U135</f>
        <v>5914</v>
      </c>
      <c r="V54" s="102">
        <f>TrRoad_act!V135</f>
        <v>5012</v>
      </c>
      <c r="W54" s="102">
        <f>TrRoad_act!W135</f>
        <v>5918</v>
      </c>
      <c r="X54" s="102">
        <f>TrRoad_act!X135</f>
        <v>6271</v>
      </c>
      <c r="Y54" s="102">
        <f>TrRoad_act!Y135</f>
        <v>6896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363</v>
      </c>
      <c r="C55" s="86">
        <f>TrRoad_act!C136</f>
        <v>421</v>
      </c>
      <c r="D55" s="86">
        <f>TrRoad_act!D136</f>
        <v>395</v>
      </c>
      <c r="E55" s="86">
        <f>TrRoad_act!E136</f>
        <v>318</v>
      </c>
      <c r="F55" s="86">
        <f>TrRoad_act!F136</f>
        <v>1024</v>
      </c>
      <c r="G55" s="86">
        <f>TrRoad_act!G136</f>
        <v>474</v>
      </c>
      <c r="H55" s="86">
        <f>TrRoad_act!H136</f>
        <v>0</v>
      </c>
      <c r="I55" s="86">
        <f>TrRoad_act!I136</f>
        <v>588</v>
      </c>
      <c r="J55" s="86">
        <f>TrRoad_act!J136</f>
        <v>0</v>
      </c>
      <c r="K55" s="86">
        <f>TrRoad_act!K136</f>
        <v>0</v>
      </c>
      <c r="L55" s="86">
        <f>TrRoad_act!L136</f>
        <v>145</v>
      </c>
      <c r="M55" s="86">
        <f>TrRoad_act!M136</f>
        <v>227</v>
      </c>
      <c r="N55" s="86">
        <f>TrRoad_act!N136</f>
        <v>175</v>
      </c>
      <c r="O55" s="86">
        <f>TrRoad_act!O136</f>
        <v>352</v>
      </c>
      <c r="P55" s="86">
        <f>TrRoad_act!P136</f>
        <v>423</v>
      </c>
      <c r="Q55" s="86">
        <f>TrRoad_act!Q136</f>
        <v>721</v>
      </c>
      <c r="R55" s="86">
        <f>TrRoad_act!R136</f>
        <v>363</v>
      </c>
      <c r="S55" s="86">
        <f>TrRoad_act!S136</f>
        <v>1094</v>
      </c>
      <c r="T55" s="86">
        <f>TrRoad_act!T136</f>
        <v>255</v>
      </c>
      <c r="U55" s="86">
        <f>TrRoad_act!U136</f>
        <v>0</v>
      </c>
      <c r="V55" s="86">
        <f>TrRoad_act!V136</f>
        <v>405</v>
      </c>
      <c r="W55" s="86">
        <f>TrRoad_act!W136</f>
        <v>5</v>
      </c>
      <c r="X55" s="86">
        <f>TrRoad_act!X136</f>
        <v>462</v>
      </c>
      <c r="Y55" s="86">
        <f>TrRoad_act!Y136</f>
        <v>626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296</v>
      </c>
      <c r="C59" s="54">
        <f t="shared" si="0"/>
        <v>158</v>
      </c>
      <c r="D59" s="54">
        <f t="shared" si="0"/>
        <v>11816</v>
      </c>
      <c r="E59" s="54">
        <f t="shared" si="0"/>
        <v>27877</v>
      </c>
      <c r="F59" s="54">
        <f t="shared" si="0"/>
        <v>30980</v>
      </c>
      <c r="G59" s="54">
        <f t="shared" si="0"/>
        <v>43152</v>
      </c>
      <c r="H59" s="54">
        <f t="shared" si="0"/>
        <v>88699</v>
      </c>
      <c r="I59" s="54">
        <f t="shared" si="0"/>
        <v>88119</v>
      </c>
      <c r="J59" s="54">
        <f t="shared" si="0"/>
        <v>91587</v>
      </c>
      <c r="K59" s="54">
        <f t="shared" si="0"/>
        <v>66642</v>
      </c>
      <c r="L59" s="54">
        <f t="shared" ref="L59" si="1">L60+L75</f>
        <v>54462</v>
      </c>
      <c r="M59" s="54">
        <f t="shared" ref="M59:V59" si="2">M60+M75</f>
        <v>62650</v>
      </c>
      <c r="N59" s="54">
        <f t="shared" si="2"/>
        <v>60500</v>
      </c>
      <c r="O59" s="54">
        <f t="shared" si="2"/>
        <v>79238</v>
      </c>
      <c r="P59" s="54">
        <f t="shared" si="2"/>
        <v>98933</v>
      </c>
      <c r="Q59" s="54">
        <f t="shared" si="2"/>
        <v>127729</v>
      </c>
      <c r="R59" s="54">
        <f t="shared" si="2"/>
        <v>144130</v>
      </c>
      <c r="S59" s="54">
        <f t="shared" si="2"/>
        <v>152858</v>
      </c>
      <c r="T59" s="54">
        <f t="shared" si="2"/>
        <v>209147</v>
      </c>
      <c r="U59" s="54">
        <f t="shared" si="2"/>
        <v>220064</v>
      </c>
      <c r="V59" s="54">
        <f t="shared" si="2"/>
        <v>163025</v>
      </c>
      <c r="W59" s="54">
        <f t="shared" ref="W59:Y59" si="3">W60+W75</f>
        <v>154310</v>
      </c>
      <c r="X59" s="54">
        <f t="shared" si="3"/>
        <v>157328</v>
      </c>
      <c r="Y59" s="54">
        <f t="shared" si="3"/>
        <v>220978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296</v>
      </c>
      <c r="C60" s="28">
        <f t="shared" si="4"/>
        <v>158</v>
      </c>
      <c r="D60" s="28">
        <f t="shared" si="4"/>
        <v>11816</v>
      </c>
      <c r="E60" s="28">
        <f t="shared" si="4"/>
        <v>27831</v>
      </c>
      <c r="F60" s="28">
        <f t="shared" si="4"/>
        <v>30675</v>
      </c>
      <c r="G60" s="28">
        <f t="shared" si="4"/>
        <v>40443</v>
      </c>
      <c r="H60" s="28">
        <f t="shared" si="4"/>
        <v>82012</v>
      </c>
      <c r="I60" s="28">
        <f t="shared" si="4"/>
        <v>83350</v>
      </c>
      <c r="J60" s="28">
        <f t="shared" si="4"/>
        <v>84569</v>
      </c>
      <c r="K60" s="28">
        <f t="shared" si="4"/>
        <v>63862</v>
      </c>
      <c r="L60" s="28">
        <f t="shared" ref="L60" si="5">L61+L62+L69</f>
        <v>52060</v>
      </c>
      <c r="M60" s="28">
        <f t="shared" ref="M60:V60" si="6">M61+M62+M69</f>
        <v>58495</v>
      </c>
      <c r="N60" s="28">
        <f t="shared" si="6"/>
        <v>56057</v>
      </c>
      <c r="O60" s="28">
        <f t="shared" si="6"/>
        <v>71705</v>
      </c>
      <c r="P60" s="28">
        <f t="shared" si="6"/>
        <v>90734</v>
      </c>
      <c r="Q60" s="28">
        <f t="shared" si="6"/>
        <v>100225</v>
      </c>
      <c r="R60" s="28">
        <f t="shared" si="6"/>
        <v>126601</v>
      </c>
      <c r="S60" s="28">
        <f t="shared" si="6"/>
        <v>131326</v>
      </c>
      <c r="T60" s="28">
        <f t="shared" si="6"/>
        <v>185722</v>
      </c>
      <c r="U60" s="28">
        <f t="shared" si="6"/>
        <v>196950</v>
      </c>
      <c r="V60" s="28">
        <f t="shared" si="6"/>
        <v>143035</v>
      </c>
      <c r="W60" s="28">
        <f t="shared" ref="W60:Y60" si="7">W61+W62+W69</f>
        <v>131199</v>
      </c>
      <c r="X60" s="28">
        <f t="shared" si="7"/>
        <v>133486</v>
      </c>
      <c r="Y60" s="28">
        <f t="shared" si="7"/>
        <v>193074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0</v>
      </c>
      <c r="D61" s="137">
        <v>1822</v>
      </c>
      <c r="E61" s="137">
        <v>11806</v>
      </c>
      <c r="F61" s="137">
        <v>13049</v>
      </c>
      <c r="G61" s="137">
        <v>15190</v>
      </c>
      <c r="H61" s="137">
        <v>17452</v>
      </c>
      <c r="I61" s="137">
        <v>9280</v>
      </c>
      <c r="J61" s="137">
        <v>9604</v>
      </c>
      <c r="K61" s="137">
        <v>5467</v>
      </c>
      <c r="L61" s="137">
        <v>3387</v>
      </c>
      <c r="M61" s="137">
        <v>3351</v>
      </c>
      <c r="N61" s="137">
        <v>3805</v>
      </c>
      <c r="O61" s="137">
        <v>2914</v>
      </c>
      <c r="P61" s="137">
        <v>3251</v>
      </c>
      <c r="Q61" s="137">
        <v>3976</v>
      </c>
      <c r="R61" s="137">
        <v>5102</v>
      </c>
      <c r="S61" s="137">
        <v>6112</v>
      </c>
      <c r="T61" s="137">
        <v>8406</v>
      </c>
      <c r="U61" s="137">
        <v>9991</v>
      </c>
      <c r="V61" s="137">
        <v>8351</v>
      </c>
      <c r="W61" s="137">
        <v>6947</v>
      </c>
      <c r="X61" s="137">
        <v>12526</v>
      </c>
      <c r="Y61" s="137">
        <v>12981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0</v>
      </c>
      <c r="D62" s="110">
        <f t="shared" si="8"/>
        <v>9816</v>
      </c>
      <c r="E62" s="110">
        <f t="shared" si="8"/>
        <v>15799</v>
      </c>
      <c r="F62" s="110">
        <f t="shared" si="8"/>
        <v>17372</v>
      </c>
      <c r="G62" s="110">
        <f t="shared" si="8"/>
        <v>24965</v>
      </c>
      <c r="H62" s="110">
        <f t="shared" si="8"/>
        <v>64228</v>
      </c>
      <c r="I62" s="110">
        <f t="shared" si="8"/>
        <v>73609</v>
      </c>
      <c r="J62" s="110">
        <f t="shared" si="8"/>
        <v>74546</v>
      </c>
      <c r="K62" s="110">
        <f t="shared" si="8"/>
        <v>58031</v>
      </c>
      <c r="L62" s="110">
        <f t="shared" ref="L62" si="9">SUM(L63:L68)</f>
        <v>48382</v>
      </c>
      <c r="M62" s="110">
        <f t="shared" ref="M62:V62" si="10">SUM(M63:M68)</f>
        <v>54729</v>
      </c>
      <c r="N62" s="110">
        <f t="shared" si="10"/>
        <v>51929</v>
      </c>
      <c r="O62" s="110">
        <f t="shared" si="10"/>
        <v>68146</v>
      </c>
      <c r="P62" s="110">
        <f t="shared" si="10"/>
        <v>86622</v>
      </c>
      <c r="Q62" s="110">
        <f t="shared" si="10"/>
        <v>95573</v>
      </c>
      <c r="R62" s="110">
        <f t="shared" si="10"/>
        <v>121030</v>
      </c>
      <c r="S62" s="110">
        <f t="shared" si="10"/>
        <v>124755</v>
      </c>
      <c r="T62" s="110">
        <f t="shared" si="10"/>
        <v>176831</v>
      </c>
      <c r="U62" s="110">
        <f t="shared" si="10"/>
        <v>186450</v>
      </c>
      <c r="V62" s="110">
        <f t="shared" si="10"/>
        <v>134612</v>
      </c>
      <c r="W62" s="110">
        <f t="shared" ref="W62:Y62" si="11">SUM(W63:W68)</f>
        <v>123609</v>
      </c>
      <c r="X62" s="110">
        <f t="shared" si="11"/>
        <v>119849</v>
      </c>
      <c r="Y62" s="110">
        <f t="shared" si="11"/>
        <v>179248</v>
      </c>
      <c r="DA62" s="176" t="s">
        <v>841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9816</v>
      </c>
      <c r="E63" s="84">
        <v>15799</v>
      </c>
      <c r="F63" s="84">
        <v>17372</v>
      </c>
      <c r="G63" s="84">
        <v>21875</v>
      </c>
      <c r="H63" s="84">
        <v>29820</v>
      </c>
      <c r="I63" s="84">
        <v>32505</v>
      </c>
      <c r="J63" s="84">
        <v>36573</v>
      </c>
      <c r="K63" s="84">
        <v>27253</v>
      </c>
      <c r="L63" s="84">
        <v>26508</v>
      </c>
      <c r="M63" s="84">
        <v>27395</v>
      </c>
      <c r="N63" s="84">
        <v>24015</v>
      </c>
      <c r="O63" s="84">
        <v>26121</v>
      </c>
      <c r="P63" s="84">
        <v>26314</v>
      </c>
      <c r="Q63" s="84">
        <v>27090</v>
      </c>
      <c r="R63" s="84">
        <v>31781</v>
      </c>
      <c r="S63" s="84">
        <v>33434</v>
      </c>
      <c r="T63" s="84">
        <v>52814</v>
      </c>
      <c r="U63" s="84">
        <v>60081</v>
      </c>
      <c r="V63" s="84">
        <v>41757</v>
      </c>
      <c r="W63" s="84">
        <v>44687</v>
      </c>
      <c r="X63" s="84">
        <v>50370</v>
      </c>
      <c r="Y63" s="84">
        <v>86809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3032</v>
      </c>
      <c r="H64" s="84">
        <v>26402</v>
      </c>
      <c r="I64" s="84">
        <v>31543</v>
      </c>
      <c r="J64" s="84">
        <v>26663</v>
      </c>
      <c r="K64" s="84">
        <v>20333</v>
      </c>
      <c r="L64" s="84">
        <v>21779</v>
      </c>
      <c r="M64" s="84">
        <v>27262</v>
      </c>
      <c r="N64" s="84">
        <v>27829</v>
      </c>
      <c r="O64" s="84">
        <v>41890</v>
      </c>
      <c r="P64" s="84">
        <v>56072</v>
      </c>
      <c r="Q64" s="84">
        <v>64163</v>
      </c>
      <c r="R64" s="84">
        <v>83622</v>
      </c>
      <c r="S64" s="84">
        <v>83488</v>
      </c>
      <c r="T64" s="84">
        <v>111581</v>
      </c>
      <c r="U64" s="84">
        <v>115221</v>
      </c>
      <c r="V64" s="84">
        <v>81609</v>
      </c>
      <c r="W64" s="84">
        <v>65589</v>
      </c>
      <c r="X64" s="84">
        <v>64982</v>
      </c>
      <c r="Y64" s="84">
        <v>87442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58</v>
      </c>
      <c r="H65" s="84">
        <v>8006</v>
      </c>
      <c r="I65" s="84">
        <v>9561</v>
      </c>
      <c r="J65" s="84">
        <v>11310</v>
      </c>
      <c r="K65" s="84">
        <v>10418</v>
      </c>
      <c r="L65" s="84">
        <v>85</v>
      </c>
      <c r="M65" s="84">
        <v>72</v>
      </c>
      <c r="N65" s="84">
        <v>72</v>
      </c>
      <c r="O65" s="84">
        <v>127</v>
      </c>
      <c r="P65" s="84">
        <v>4188</v>
      </c>
      <c r="Q65" s="84">
        <v>4248</v>
      </c>
      <c r="R65" s="84">
        <v>5550</v>
      </c>
      <c r="S65" s="84">
        <v>7748</v>
      </c>
      <c r="T65" s="84">
        <v>12247</v>
      </c>
      <c r="U65" s="84">
        <v>10866</v>
      </c>
      <c r="V65" s="84">
        <v>10421</v>
      </c>
      <c r="W65" s="84">
        <v>11129</v>
      </c>
      <c r="X65" s="84">
        <v>1801</v>
      </c>
      <c r="Y65" s="84">
        <v>1721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27</v>
      </c>
      <c r="L66" s="84">
        <v>10</v>
      </c>
      <c r="M66" s="84">
        <v>0</v>
      </c>
      <c r="N66" s="84">
        <v>9</v>
      </c>
      <c r="O66" s="84">
        <v>5</v>
      </c>
      <c r="P66" s="84">
        <v>13</v>
      </c>
      <c r="Q66" s="84">
        <v>0</v>
      </c>
      <c r="R66" s="84">
        <v>10</v>
      </c>
      <c r="S66" s="84">
        <v>31</v>
      </c>
      <c r="T66" s="84">
        <v>8</v>
      </c>
      <c r="U66" s="84">
        <v>3</v>
      </c>
      <c r="V66" s="84">
        <v>1</v>
      </c>
      <c r="W66" s="84">
        <v>2</v>
      </c>
      <c r="X66" s="84">
        <v>2</v>
      </c>
      <c r="Y66" s="84">
        <v>0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185</v>
      </c>
      <c r="W67" s="84">
        <v>559</v>
      </c>
      <c r="X67" s="84">
        <v>870</v>
      </c>
      <c r="Y67" s="84">
        <v>1019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4</v>
      </c>
      <c r="O68" s="84">
        <v>3</v>
      </c>
      <c r="P68" s="84">
        <v>35</v>
      </c>
      <c r="Q68" s="84">
        <v>72</v>
      </c>
      <c r="R68" s="84">
        <v>67</v>
      </c>
      <c r="S68" s="84">
        <v>54</v>
      </c>
      <c r="T68" s="84">
        <v>181</v>
      </c>
      <c r="U68" s="84">
        <v>279</v>
      </c>
      <c r="V68" s="84">
        <v>639</v>
      </c>
      <c r="W68" s="84">
        <v>1643</v>
      </c>
      <c r="X68" s="84">
        <v>1824</v>
      </c>
      <c r="Y68" s="84">
        <v>2257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296</v>
      </c>
      <c r="C69" s="110">
        <f t="shared" si="12"/>
        <v>158</v>
      </c>
      <c r="D69" s="110">
        <f t="shared" si="12"/>
        <v>178</v>
      </c>
      <c r="E69" s="110">
        <f t="shared" si="12"/>
        <v>226</v>
      </c>
      <c r="F69" s="110">
        <f t="shared" si="12"/>
        <v>254</v>
      </c>
      <c r="G69" s="110">
        <f t="shared" si="12"/>
        <v>288</v>
      </c>
      <c r="H69" s="110">
        <f t="shared" si="12"/>
        <v>332</v>
      </c>
      <c r="I69" s="110">
        <f t="shared" si="12"/>
        <v>461</v>
      </c>
      <c r="J69" s="110">
        <f t="shared" si="12"/>
        <v>419</v>
      </c>
      <c r="K69" s="110">
        <f t="shared" si="12"/>
        <v>364</v>
      </c>
      <c r="L69" s="110">
        <f t="shared" ref="L69" si="13">SUM(L70:L74)</f>
        <v>291</v>
      </c>
      <c r="M69" s="110">
        <f t="shared" ref="M69:V69" si="14">SUM(M70:M74)</f>
        <v>415</v>
      </c>
      <c r="N69" s="110">
        <f t="shared" si="14"/>
        <v>323</v>
      </c>
      <c r="O69" s="110">
        <f t="shared" si="14"/>
        <v>645</v>
      </c>
      <c r="P69" s="110">
        <f t="shared" si="14"/>
        <v>861</v>
      </c>
      <c r="Q69" s="110">
        <f t="shared" si="14"/>
        <v>676</v>
      </c>
      <c r="R69" s="110">
        <f t="shared" si="14"/>
        <v>469</v>
      </c>
      <c r="S69" s="110">
        <f t="shared" si="14"/>
        <v>459</v>
      </c>
      <c r="T69" s="110">
        <f t="shared" si="14"/>
        <v>485</v>
      </c>
      <c r="U69" s="110">
        <f t="shared" si="14"/>
        <v>509</v>
      </c>
      <c r="V69" s="110">
        <f t="shared" si="14"/>
        <v>72</v>
      </c>
      <c r="W69" s="110">
        <f t="shared" ref="W69:Y69" si="15">SUM(W70:W74)</f>
        <v>643</v>
      </c>
      <c r="X69" s="110">
        <f t="shared" si="15"/>
        <v>1111</v>
      </c>
      <c r="Y69" s="110">
        <f t="shared" si="15"/>
        <v>845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1</v>
      </c>
      <c r="G70" s="102">
        <v>2</v>
      </c>
      <c r="H70" s="102">
        <v>3</v>
      </c>
      <c r="I70" s="102">
        <v>0</v>
      </c>
      <c r="J70" s="102">
        <v>6</v>
      </c>
      <c r="K70" s="102">
        <v>0</v>
      </c>
      <c r="L70" s="102">
        <v>1</v>
      </c>
      <c r="M70" s="102">
        <v>0</v>
      </c>
      <c r="N70" s="102">
        <v>2</v>
      </c>
      <c r="O70" s="102">
        <v>9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296</v>
      </c>
      <c r="C71" s="102">
        <v>158</v>
      </c>
      <c r="D71" s="102">
        <v>178</v>
      </c>
      <c r="E71" s="102">
        <v>226</v>
      </c>
      <c r="F71" s="102">
        <v>253</v>
      </c>
      <c r="G71" s="102">
        <v>286</v>
      </c>
      <c r="H71" s="102">
        <v>329</v>
      </c>
      <c r="I71" s="102">
        <v>461</v>
      </c>
      <c r="J71" s="102">
        <v>413</v>
      </c>
      <c r="K71" s="102">
        <v>351</v>
      </c>
      <c r="L71" s="102">
        <v>286</v>
      </c>
      <c r="M71" s="102">
        <v>413</v>
      </c>
      <c r="N71" s="102">
        <v>312</v>
      </c>
      <c r="O71" s="102">
        <v>559</v>
      </c>
      <c r="P71" s="102">
        <v>696</v>
      </c>
      <c r="Q71" s="102">
        <v>676</v>
      </c>
      <c r="R71" s="102">
        <v>469</v>
      </c>
      <c r="S71" s="102">
        <v>439</v>
      </c>
      <c r="T71" s="102">
        <v>485</v>
      </c>
      <c r="U71" s="102">
        <v>508</v>
      </c>
      <c r="V71" s="102">
        <v>49</v>
      </c>
      <c r="W71" s="102">
        <v>640</v>
      </c>
      <c r="X71" s="102">
        <v>1107</v>
      </c>
      <c r="Y71" s="102">
        <v>844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1</v>
      </c>
      <c r="N72" s="102">
        <v>0</v>
      </c>
      <c r="O72" s="102">
        <v>9</v>
      </c>
      <c r="P72" s="102">
        <v>2</v>
      </c>
      <c r="Q72" s="102">
        <v>0</v>
      </c>
      <c r="R72" s="102">
        <v>0</v>
      </c>
      <c r="S72" s="102">
        <v>0</v>
      </c>
      <c r="T72" s="102">
        <v>0</v>
      </c>
      <c r="U72" s="102">
        <v>1</v>
      </c>
      <c r="V72" s="102">
        <v>3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13</v>
      </c>
      <c r="L73" s="102">
        <v>4</v>
      </c>
      <c r="M73" s="102">
        <v>1</v>
      </c>
      <c r="N73" s="102">
        <v>9</v>
      </c>
      <c r="O73" s="102">
        <v>68</v>
      </c>
      <c r="P73" s="102">
        <v>163</v>
      </c>
      <c r="Q73" s="102">
        <v>0</v>
      </c>
      <c r="R73" s="102">
        <v>0</v>
      </c>
      <c r="S73" s="102">
        <v>20</v>
      </c>
      <c r="T73" s="102">
        <v>0</v>
      </c>
      <c r="U73" s="102">
        <v>0</v>
      </c>
      <c r="V73" s="102">
        <v>20</v>
      </c>
      <c r="W73" s="102">
        <v>0</v>
      </c>
      <c r="X73" s="102">
        <v>0</v>
      </c>
      <c r="Y73" s="102">
        <v>0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0</v>
      </c>
      <c r="V74" s="102">
        <v>0</v>
      </c>
      <c r="W74" s="102">
        <v>3</v>
      </c>
      <c r="X74" s="102">
        <v>4</v>
      </c>
      <c r="Y74" s="102">
        <v>1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46</v>
      </c>
      <c r="F75" s="28">
        <f t="shared" si="16"/>
        <v>305</v>
      </c>
      <c r="G75" s="28">
        <f t="shared" si="16"/>
        <v>2709</v>
      </c>
      <c r="H75" s="28">
        <f t="shared" si="16"/>
        <v>6687</v>
      </c>
      <c r="I75" s="28">
        <f t="shared" si="16"/>
        <v>4769</v>
      </c>
      <c r="J75" s="28">
        <f t="shared" si="16"/>
        <v>7018</v>
      </c>
      <c r="K75" s="28">
        <f t="shared" si="16"/>
        <v>2780</v>
      </c>
      <c r="L75" s="28">
        <f t="shared" ref="L75" si="17">L76+L82</f>
        <v>2402</v>
      </c>
      <c r="M75" s="28">
        <f t="shared" ref="M75:V75" si="18">M76+M82</f>
        <v>4155</v>
      </c>
      <c r="N75" s="28">
        <f t="shared" si="18"/>
        <v>4443</v>
      </c>
      <c r="O75" s="28">
        <f t="shared" si="18"/>
        <v>7533</v>
      </c>
      <c r="P75" s="28">
        <f t="shared" si="18"/>
        <v>8199</v>
      </c>
      <c r="Q75" s="28">
        <f t="shared" si="18"/>
        <v>27504</v>
      </c>
      <c r="R75" s="28">
        <f t="shared" si="18"/>
        <v>17529</v>
      </c>
      <c r="S75" s="28">
        <f t="shared" si="18"/>
        <v>21532</v>
      </c>
      <c r="T75" s="28">
        <f t="shared" si="18"/>
        <v>23425</v>
      </c>
      <c r="U75" s="28">
        <f t="shared" si="18"/>
        <v>23114</v>
      </c>
      <c r="V75" s="28">
        <f t="shared" si="18"/>
        <v>19990</v>
      </c>
      <c r="W75" s="28">
        <f t="shared" ref="W75:Y75" si="19">W76+W82</f>
        <v>23111</v>
      </c>
      <c r="X75" s="28">
        <f t="shared" si="19"/>
        <v>23842</v>
      </c>
      <c r="Y75" s="28">
        <f t="shared" si="19"/>
        <v>27904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46</v>
      </c>
      <c r="F76" s="137">
        <f t="shared" si="20"/>
        <v>62</v>
      </c>
      <c r="G76" s="137">
        <f t="shared" si="20"/>
        <v>2257</v>
      </c>
      <c r="H76" s="137">
        <f t="shared" si="20"/>
        <v>3564</v>
      </c>
      <c r="I76" s="137">
        <f t="shared" si="20"/>
        <v>3780</v>
      </c>
      <c r="J76" s="137">
        <f t="shared" si="20"/>
        <v>4040</v>
      </c>
      <c r="K76" s="137">
        <f t="shared" si="20"/>
        <v>2455</v>
      </c>
      <c r="L76" s="137">
        <f t="shared" ref="L76" si="21">SUM(L77:L81)</f>
        <v>1779</v>
      </c>
      <c r="M76" s="137">
        <f t="shared" ref="M76:V76" si="22">SUM(M77:M81)</f>
        <v>2109</v>
      </c>
      <c r="N76" s="137">
        <f t="shared" si="22"/>
        <v>2423</v>
      </c>
      <c r="O76" s="137">
        <f t="shared" si="22"/>
        <v>2761</v>
      </c>
      <c r="P76" s="137">
        <f t="shared" si="22"/>
        <v>3127</v>
      </c>
      <c r="Q76" s="137">
        <f t="shared" si="22"/>
        <v>21412</v>
      </c>
      <c r="R76" s="137">
        <f t="shared" si="22"/>
        <v>14219</v>
      </c>
      <c r="S76" s="137">
        <f t="shared" si="22"/>
        <v>15279</v>
      </c>
      <c r="T76" s="137">
        <f t="shared" si="22"/>
        <v>17382</v>
      </c>
      <c r="U76" s="137">
        <f t="shared" si="22"/>
        <v>17336</v>
      </c>
      <c r="V76" s="137">
        <f t="shared" si="22"/>
        <v>14665</v>
      </c>
      <c r="W76" s="137">
        <f t="shared" ref="W76:Y76" si="23">SUM(W77:W81)</f>
        <v>17202</v>
      </c>
      <c r="X76" s="137">
        <f t="shared" si="23"/>
        <v>17125</v>
      </c>
      <c r="Y76" s="137">
        <f t="shared" si="23"/>
        <v>20382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46</v>
      </c>
      <c r="F77" s="84">
        <v>62</v>
      </c>
      <c r="G77" s="84">
        <v>85</v>
      </c>
      <c r="H77" s="84">
        <v>195</v>
      </c>
      <c r="I77" s="84">
        <v>213</v>
      </c>
      <c r="J77" s="84">
        <v>287</v>
      </c>
      <c r="K77" s="84">
        <v>219</v>
      </c>
      <c r="L77" s="84">
        <v>153</v>
      </c>
      <c r="M77" s="84">
        <v>123</v>
      </c>
      <c r="N77" s="84">
        <v>98</v>
      </c>
      <c r="O77" s="84">
        <v>94</v>
      </c>
      <c r="P77" s="84">
        <v>105</v>
      </c>
      <c r="Q77" s="84">
        <v>259</v>
      </c>
      <c r="R77" s="84">
        <v>321</v>
      </c>
      <c r="S77" s="84">
        <v>433</v>
      </c>
      <c r="T77" s="84">
        <v>373</v>
      </c>
      <c r="U77" s="84">
        <v>347</v>
      </c>
      <c r="V77" s="84">
        <v>242</v>
      </c>
      <c r="W77" s="84">
        <v>432</v>
      </c>
      <c r="X77" s="84">
        <v>515</v>
      </c>
      <c r="Y77" s="84">
        <v>622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2172</v>
      </c>
      <c r="H78" s="84">
        <v>3369</v>
      </c>
      <c r="I78" s="84">
        <v>3411</v>
      </c>
      <c r="J78" s="84">
        <v>3473</v>
      </c>
      <c r="K78" s="84">
        <v>2091</v>
      </c>
      <c r="L78" s="84">
        <v>1594</v>
      </c>
      <c r="M78" s="84">
        <v>1979</v>
      </c>
      <c r="N78" s="84">
        <v>2305</v>
      </c>
      <c r="O78" s="84">
        <v>2602</v>
      </c>
      <c r="P78" s="84">
        <v>2952</v>
      </c>
      <c r="Q78" s="84">
        <v>21085</v>
      </c>
      <c r="R78" s="84">
        <v>13812</v>
      </c>
      <c r="S78" s="84">
        <v>14738</v>
      </c>
      <c r="T78" s="84">
        <v>16935</v>
      </c>
      <c r="U78" s="84">
        <v>16911</v>
      </c>
      <c r="V78" s="84">
        <v>14384</v>
      </c>
      <c r="W78" s="84">
        <v>16624</v>
      </c>
      <c r="X78" s="84">
        <v>16292</v>
      </c>
      <c r="Y78" s="84">
        <v>19498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156</v>
      </c>
      <c r="J79" s="84">
        <v>280</v>
      </c>
      <c r="K79" s="84">
        <v>124</v>
      </c>
      <c r="L79" s="84">
        <v>26</v>
      </c>
      <c r="M79" s="84">
        <v>5</v>
      </c>
      <c r="N79" s="84">
        <v>4</v>
      </c>
      <c r="O79" s="84">
        <v>65</v>
      </c>
      <c r="P79" s="84">
        <v>65</v>
      </c>
      <c r="Q79" s="84">
        <v>64</v>
      </c>
      <c r="R79" s="84">
        <v>79</v>
      </c>
      <c r="S79" s="84">
        <v>90</v>
      </c>
      <c r="T79" s="84">
        <v>69</v>
      </c>
      <c r="U79" s="84">
        <v>77</v>
      </c>
      <c r="V79" s="84">
        <v>36</v>
      </c>
      <c r="W79" s="84">
        <v>99</v>
      </c>
      <c r="X79" s="84">
        <v>74</v>
      </c>
      <c r="Y79" s="84">
        <v>70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21</v>
      </c>
      <c r="L80" s="84">
        <v>6</v>
      </c>
      <c r="M80" s="84">
        <v>2</v>
      </c>
      <c r="N80" s="84">
        <v>16</v>
      </c>
      <c r="O80" s="84">
        <v>0</v>
      </c>
      <c r="P80" s="84">
        <v>5</v>
      </c>
      <c r="Q80" s="84">
        <v>4</v>
      </c>
      <c r="R80" s="84">
        <v>7</v>
      </c>
      <c r="S80" s="84">
        <v>18</v>
      </c>
      <c r="T80" s="84">
        <v>5</v>
      </c>
      <c r="U80" s="84">
        <v>1</v>
      </c>
      <c r="V80" s="84">
        <v>3</v>
      </c>
      <c r="W80" s="84">
        <v>4</v>
      </c>
      <c r="X80" s="84">
        <v>2</v>
      </c>
      <c r="Y80" s="84">
        <v>2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43</v>
      </c>
      <c r="X81" s="84">
        <v>242</v>
      </c>
      <c r="Y81" s="84">
        <v>190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243</v>
      </c>
      <c r="G82" s="110">
        <f t="shared" si="24"/>
        <v>452</v>
      </c>
      <c r="H82" s="110">
        <f t="shared" si="24"/>
        <v>3123</v>
      </c>
      <c r="I82" s="110">
        <f t="shared" si="24"/>
        <v>989</v>
      </c>
      <c r="J82" s="110">
        <f t="shared" si="24"/>
        <v>2978</v>
      </c>
      <c r="K82" s="110">
        <f t="shared" si="24"/>
        <v>325</v>
      </c>
      <c r="L82" s="110">
        <f t="shared" ref="L82" si="25">SUM(L83:L84)</f>
        <v>623</v>
      </c>
      <c r="M82" s="110">
        <f t="shared" ref="M82:V82" si="26">SUM(M83:M84)</f>
        <v>2046</v>
      </c>
      <c r="N82" s="110">
        <f t="shared" si="26"/>
        <v>2020</v>
      </c>
      <c r="O82" s="110">
        <f t="shared" si="26"/>
        <v>4772</v>
      </c>
      <c r="P82" s="110">
        <f t="shared" si="26"/>
        <v>5072</v>
      </c>
      <c r="Q82" s="110">
        <f t="shared" si="26"/>
        <v>6092</v>
      </c>
      <c r="R82" s="110">
        <f t="shared" si="26"/>
        <v>3310</v>
      </c>
      <c r="S82" s="110">
        <f t="shared" si="26"/>
        <v>6253</v>
      </c>
      <c r="T82" s="110">
        <f t="shared" si="26"/>
        <v>6043</v>
      </c>
      <c r="U82" s="110">
        <f t="shared" si="26"/>
        <v>5778</v>
      </c>
      <c r="V82" s="110">
        <f t="shared" si="26"/>
        <v>5325</v>
      </c>
      <c r="W82" s="110">
        <f t="shared" ref="W82:Y82" si="27">SUM(W83:W84)</f>
        <v>5909</v>
      </c>
      <c r="X82" s="110">
        <f t="shared" si="27"/>
        <v>6717</v>
      </c>
      <c r="Y82" s="110">
        <f t="shared" si="27"/>
        <v>7522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243</v>
      </c>
      <c r="G83" s="102">
        <v>452</v>
      </c>
      <c r="H83" s="102">
        <v>3123</v>
      </c>
      <c r="I83" s="102">
        <v>959</v>
      </c>
      <c r="J83" s="102">
        <v>2978</v>
      </c>
      <c r="K83" s="102">
        <v>325</v>
      </c>
      <c r="L83" s="102">
        <v>531</v>
      </c>
      <c r="M83" s="102">
        <v>1900</v>
      </c>
      <c r="N83" s="102">
        <v>1902</v>
      </c>
      <c r="O83" s="102">
        <v>4526</v>
      </c>
      <c r="P83" s="102">
        <v>4766</v>
      </c>
      <c r="Q83" s="102">
        <v>5554</v>
      </c>
      <c r="R83" s="102">
        <v>3030</v>
      </c>
      <c r="S83" s="102">
        <v>5382</v>
      </c>
      <c r="T83" s="102">
        <v>5834</v>
      </c>
      <c r="U83" s="102">
        <v>5778</v>
      </c>
      <c r="V83" s="102">
        <v>4963</v>
      </c>
      <c r="W83" s="102">
        <v>5904</v>
      </c>
      <c r="X83" s="102">
        <v>6271</v>
      </c>
      <c r="Y83" s="102">
        <v>6896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30</v>
      </c>
      <c r="J84" s="86">
        <v>0</v>
      </c>
      <c r="K84" s="86">
        <v>0</v>
      </c>
      <c r="L84" s="86">
        <v>92</v>
      </c>
      <c r="M84" s="86">
        <v>146</v>
      </c>
      <c r="N84" s="86">
        <v>118</v>
      </c>
      <c r="O84" s="86">
        <v>246</v>
      </c>
      <c r="P84" s="86">
        <v>306</v>
      </c>
      <c r="Q84" s="86">
        <v>538</v>
      </c>
      <c r="R84" s="86">
        <v>280</v>
      </c>
      <c r="S84" s="86">
        <v>871</v>
      </c>
      <c r="T84" s="86">
        <v>209</v>
      </c>
      <c r="U84" s="86">
        <v>0</v>
      </c>
      <c r="V84" s="86">
        <v>362</v>
      </c>
      <c r="W84" s="86">
        <v>5</v>
      </c>
      <c r="X84" s="86">
        <v>446</v>
      </c>
      <c r="Y84" s="86">
        <v>626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3.8501393361813592</v>
      </c>
      <c r="C90" s="141">
        <v>3.8420629253776455</v>
      </c>
      <c r="D90" s="141">
        <v>3.7869915159057879</v>
      </c>
      <c r="E90" s="141">
        <v>3.6563678678765057</v>
      </c>
      <c r="F90" s="141">
        <v>3.5530957667203436</v>
      </c>
      <c r="G90" s="141">
        <v>3.4553189023034494</v>
      </c>
      <c r="H90" s="141">
        <v>3.3703238632353196</v>
      </c>
      <c r="I90" s="141">
        <v>3.3227281345202262</v>
      </c>
      <c r="J90" s="141">
        <v>3.2784691068036071</v>
      </c>
      <c r="K90" s="141">
        <v>3.2477278378119081</v>
      </c>
      <c r="L90" s="141">
        <v>3.2224052352610921</v>
      </c>
      <c r="M90" s="141">
        <v>3.2130198312607128</v>
      </c>
      <c r="N90" s="141">
        <v>3.1987000890800732</v>
      </c>
      <c r="O90" s="141">
        <v>3.1667699141020229</v>
      </c>
      <c r="P90" s="141">
        <v>3.1323884790337062</v>
      </c>
      <c r="Q90" s="141">
        <v>3.1168496956440874</v>
      </c>
      <c r="R90" s="141">
        <v>3.0696005868531064</v>
      </c>
      <c r="S90" s="141">
        <v>3.0409851175694644</v>
      </c>
      <c r="T90" s="141">
        <v>2.982086342855176</v>
      </c>
      <c r="U90" s="141">
        <v>2.9175993186604972</v>
      </c>
      <c r="V90" s="141">
        <v>2.873682852616644</v>
      </c>
      <c r="W90" s="141">
        <v>2.8467514185434801</v>
      </c>
      <c r="X90" s="141">
        <v>2.7951969485444668</v>
      </c>
      <c r="Y90" s="141">
        <v>2.745269475092575</v>
      </c>
      <c r="DA90" s="174" t="s">
        <v>864</v>
      </c>
    </row>
    <row r="91" spans="1:105" ht="11.45" customHeight="1" x14ac:dyDescent="0.25">
      <c r="A91" s="109" t="s">
        <v>20</v>
      </c>
      <c r="B91" s="130">
        <v>6.4694292876734414</v>
      </c>
      <c r="C91" s="130">
        <v>6.3626487394383888</v>
      </c>
      <c r="D91" s="130">
        <v>6.3105824514953301</v>
      </c>
      <c r="E91" s="130">
        <v>6.2544026693410473</v>
      </c>
      <c r="F91" s="130">
        <v>6.1969502800395455</v>
      </c>
      <c r="G91" s="130">
        <v>6.1324821020023412</v>
      </c>
      <c r="H91" s="130">
        <v>6.0546440793020864</v>
      </c>
      <c r="I91" s="130">
        <v>5.9881375061875888</v>
      </c>
      <c r="J91" s="130">
        <v>5.9205460940027068</v>
      </c>
      <c r="K91" s="130">
        <v>5.8615171439375846</v>
      </c>
      <c r="L91" s="130">
        <v>5.8391075662979102</v>
      </c>
      <c r="M91" s="130">
        <v>5.7971923353916051</v>
      </c>
      <c r="N91" s="130">
        <v>5.7378255738602268</v>
      </c>
      <c r="O91" s="130">
        <v>5.7208396832968074</v>
      </c>
      <c r="P91" s="130">
        <v>5.6756133155015416</v>
      </c>
      <c r="Q91" s="130">
        <v>5.6260673627467765</v>
      </c>
      <c r="R91" s="130">
        <v>5.586189322309024</v>
      </c>
      <c r="S91" s="130">
        <v>5.541104555299702</v>
      </c>
      <c r="T91" s="130">
        <v>5.4693157693711454</v>
      </c>
      <c r="U91" s="130">
        <v>5.3690672210418793</v>
      </c>
      <c r="V91" s="130">
        <v>5.2879010365362333</v>
      </c>
      <c r="W91" s="130">
        <v>5.2251035044894074</v>
      </c>
      <c r="X91" s="130">
        <v>5.1705435680310581</v>
      </c>
      <c r="Y91" s="130">
        <v>5.0959665122568358</v>
      </c>
      <c r="DA91" s="176" t="s">
        <v>865</v>
      </c>
    </row>
    <row r="92" spans="1:105" ht="11.45" customHeight="1" x14ac:dyDescent="0.25">
      <c r="A92" s="111" t="s">
        <v>110</v>
      </c>
      <c r="B92" s="96">
        <v>6.5017645414036869</v>
      </c>
      <c r="C92" s="96">
        <v>6.3755434094391692</v>
      </c>
      <c r="D92" s="96">
        <v>6.3216896946664969</v>
      </c>
      <c r="E92" s="96">
        <v>6.2690883042315262</v>
      </c>
      <c r="F92" s="96">
        <v>6.218240111480263</v>
      </c>
      <c r="G92" s="96">
        <v>6.1624981870323348</v>
      </c>
      <c r="H92" s="96">
        <v>6.0956539004272754</v>
      </c>
      <c r="I92" s="96">
        <v>6.0322147105738946</v>
      </c>
      <c r="J92" s="96">
        <v>5.9699691787840798</v>
      </c>
      <c r="K92" s="96">
        <v>5.9173956687471554</v>
      </c>
      <c r="L92" s="96">
        <v>5.8929561452827413</v>
      </c>
      <c r="M92" s="96">
        <v>5.8524202920672126</v>
      </c>
      <c r="N92" s="96">
        <v>5.7903382698720653</v>
      </c>
      <c r="O92" s="96">
        <v>5.7744853942395142</v>
      </c>
      <c r="P92" s="96">
        <v>5.7428391465651183</v>
      </c>
      <c r="Q92" s="96">
        <v>5.6979129619419471</v>
      </c>
      <c r="R92" s="96">
        <v>5.663493101639518</v>
      </c>
      <c r="S92" s="96">
        <v>5.6172169922830557</v>
      </c>
      <c r="T92" s="96">
        <v>5.53096388646183</v>
      </c>
      <c r="U92" s="96">
        <v>5.4343051085781431</v>
      </c>
      <c r="V92" s="96">
        <v>5.3555501093582079</v>
      </c>
      <c r="W92" s="96">
        <v>5.2813240271917037</v>
      </c>
      <c r="X92" s="96">
        <v>5.2097756324193671</v>
      </c>
      <c r="Y92" s="96">
        <v>5.1132012010907033</v>
      </c>
      <c r="DA92" s="171" t="s">
        <v>866</v>
      </c>
    </row>
    <row r="93" spans="1:105" ht="11.45" customHeight="1" x14ac:dyDescent="0.25">
      <c r="A93" s="111" t="s">
        <v>111</v>
      </c>
      <c r="B93" s="96">
        <v>6.3681920316203939</v>
      </c>
      <c r="C93" s="96">
        <v>6.225285392145989</v>
      </c>
      <c r="D93" s="96">
        <v>6.161409848164614</v>
      </c>
      <c r="E93" s="96">
        <v>6.0895211644632914</v>
      </c>
      <c r="F93" s="96">
        <v>6.021429438390375</v>
      </c>
      <c r="G93" s="96">
        <v>5.9568996876151861</v>
      </c>
      <c r="H93" s="96">
        <v>5.8869777331097799</v>
      </c>
      <c r="I93" s="96">
        <v>5.8345079032529092</v>
      </c>
      <c r="J93" s="96">
        <v>5.779136406366657</v>
      </c>
      <c r="K93" s="96">
        <v>5.7355183570392123</v>
      </c>
      <c r="L93" s="96">
        <v>5.704738130640135</v>
      </c>
      <c r="M93" s="96">
        <v>5.6703156799212664</v>
      </c>
      <c r="N93" s="96">
        <v>5.6376800590765281</v>
      </c>
      <c r="O93" s="96">
        <v>5.6112404938925984</v>
      </c>
      <c r="P93" s="96">
        <v>5.5344033671364237</v>
      </c>
      <c r="Q93" s="96">
        <v>5.4950550270602214</v>
      </c>
      <c r="R93" s="96">
        <v>5.4476691480586137</v>
      </c>
      <c r="S93" s="96">
        <v>5.4004362321348891</v>
      </c>
      <c r="T93" s="96">
        <v>5.3426759097834609</v>
      </c>
      <c r="U93" s="96">
        <v>5.2262487030680607</v>
      </c>
      <c r="V93" s="96">
        <v>5.1404685098114689</v>
      </c>
      <c r="W93" s="96">
        <v>5.0845028589341563</v>
      </c>
      <c r="X93" s="96">
        <v>5.0386764036081422</v>
      </c>
      <c r="Y93" s="96">
        <v>4.9800483519615195</v>
      </c>
      <c r="DA93" s="171" t="s">
        <v>867</v>
      </c>
    </row>
    <row r="94" spans="1:105" ht="11.45" customHeight="1" x14ac:dyDescent="0.25">
      <c r="A94" s="111" t="s">
        <v>112</v>
      </c>
      <c r="B94" s="96">
        <v>6.0287664650923283</v>
      </c>
      <c r="C94" s="96">
        <v>5.7632404518176585</v>
      </c>
      <c r="D94" s="96">
        <v>5.6780761845107088</v>
      </c>
      <c r="E94" s="96">
        <v>5.6136064671676777</v>
      </c>
      <c r="F94" s="96">
        <v>5.5087458790733947</v>
      </c>
      <c r="G94" s="96">
        <v>5.4734035195899011</v>
      </c>
      <c r="H94" s="96">
        <v>5.5133003198804005</v>
      </c>
      <c r="I94" s="96">
        <v>5.499573565184785</v>
      </c>
      <c r="J94" s="96">
        <v>5.4794923487345049</v>
      </c>
      <c r="K94" s="96">
        <v>5.467344757240892</v>
      </c>
      <c r="L94" s="96">
        <v>5.4689428931373039</v>
      </c>
      <c r="M94" s="96">
        <v>5.4686262847250457</v>
      </c>
      <c r="N94" s="96">
        <v>5.4705557669663651</v>
      </c>
      <c r="O94" s="96">
        <v>5.470332598451213</v>
      </c>
      <c r="P94" s="96">
        <v>5.4459568879953348</v>
      </c>
      <c r="Q94" s="96">
        <v>5.4464238692306512</v>
      </c>
      <c r="R94" s="96">
        <v>5.4452326282854937</v>
      </c>
      <c r="S94" s="96">
        <v>5.4404178882171159</v>
      </c>
      <c r="T94" s="96">
        <v>5.4107689800520662</v>
      </c>
      <c r="U94" s="96">
        <v>5.3789006807994975</v>
      </c>
      <c r="V94" s="96">
        <v>5.3420482736193362</v>
      </c>
      <c r="W94" s="96">
        <v>5.239832712891431</v>
      </c>
      <c r="X94" s="96">
        <v>5.2060402398053203</v>
      </c>
      <c r="Y94" s="96">
        <v>5.1806039109660178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6.5427640797623141</v>
      </c>
      <c r="L95" s="96">
        <v>6.5135676804216436</v>
      </c>
      <c r="M95" s="96">
        <v>6.5127504218075822</v>
      </c>
      <c r="N95" s="96">
        <v>6.4597253487129862</v>
      </c>
      <c r="O95" s="96">
        <v>6.3739521485957624</v>
      </c>
      <c r="P95" s="96">
        <v>6.3013627364893114</v>
      </c>
      <c r="Q95" s="96">
        <v>6.2914114785633153</v>
      </c>
      <c r="R95" s="96">
        <v>6.2317244066157489</v>
      </c>
      <c r="S95" s="96">
        <v>5.9658371249018769</v>
      </c>
      <c r="T95" s="96">
        <v>5.9167391733017345</v>
      </c>
      <c r="U95" s="96">
        <v>5.8776475932243128</v>
      </c>
      <c r="V95" s="96">
        <v>5.8591069012350987</v>
      </c>
      <c r="W95" s="96">
        <v>5.8236573486510004</v>
      </c>
      <c r="X95" s="96">
        <v>5.787604486716007</v>
      </c>
      <c r="Y95" s="96">
        <v>5.7294689283310039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0</v>
      </c>
      <c r="P96" s="96">
        <v>3.1212081755279706</v>
      </c>
      <c r="Q96" s="96">
        <v>3.1773322611796679</v>
      </c>
      <c r="R96" s="96">
        <v>3.4335122646060956</v>
      </c>
      <c r="S96" s="96">
        <v>3.5695785209586846</v>
      </c>
      <c r="T96" s="96">
        <v>3.7860607110086173</v>
      </c>
      <c r="U96" s="96">
        <v>3.8074381876898746</v>
      </c>
      <c r="V96" s="96">
        <v>3.4508215553124981</v>
      </c>
      <c r="W96" s="96">
        <v>3.3934487355473375</v>
      </c>
      <c r="X96" s="96">
        <v>3.1573237552796543</v>
      </c>
      <c r="Y96" s="96">
        <v>3.2050238898328041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1.0783737209331548</v>
      </c>
      <c r="O97" s="96">
        <v>1.0844216568301708</v>
      </c>
      <c r="P97" s="96">
        <v>1.1015568330992611</v>
      </c>
      <c r="Q97" s="96">
        <v>1.0734912918010791</v>
      </c>
      <c r="R97" s="96">
        <v>1.0605103652972785</v>
      </c>
      <c r="S97" s="96">
        <v>1.0657464394354441</v>
      </c>
      <c r="T97" s="96">
        <v>1.1608847745895594</v>
      </c>
      <c r="U97" s="96">
        <v>1.3180877501185368</v>
      </c>
      <c r="V97" s="96">
        <v>1.3841613721157562</v>
      </c>
      <c r="W97" s="96">
        <v>1.3815808141270538</v>
      </c>
      <c r="X97" s="96">
        <v>1.3947805500552299</v>
      </c>
      <c r="Y97" s="96">
        <v>1.4058538918383763</v>
      </c>
      <c r="DA97" s="171" t="s">
        <v>871</v>
      </c>
    </row>
    <row r="98" spans="1:105" ht="11.45" customHeight="1" x14ac:dyDescent="0.25">
      <c r="A98" s="109" t="s">
        <v>21</v>
      </c>
      <c r="B98" s="130">
        <v>50.778310351261382</v>
      </c>
      <c r="C98" s="130">
        <v>50.243704183214057</v>
      </c>
      <c r="D98" s="130">
        <v>49.953223456990919</v>
      </c>
      <c r="E98" s="130">
        <v>49.644702265707416</v>
      </c>
      <c r="F98" s="130">
        <v>49.337879643690229</v>
      </c>
      <c r="G98" s="130">
        <v>49.006893886001059</v>
      </c>
      <c r="H98" s="130">
        <v>48.66590353701271</v>
      </c>
      <c r="I98" s="130">
        <v>48.283697565323926</v>
      </c>
      <c r="J98" s="130">
        <v>47.917355083753598</v>
      </c>
      <c r="K98" s="130">
        <v>47.644326285644574</v>
      </c>
      <c r="L98" s="130">
        <v>47.339327371586236</v>
      </c>
      <c r="M98" s="130">
        <v>46.990929086385236</v>
      </c>
      <c r="N98" s="130">
        <v>46.642508320784437</v>
      </c>
      <c r="O98" s="130">
        <v>46.308062217010075</v>
      </c>
      <c r="P98" s="130">
        <v>45.731737399601386</v>
      </c>
      <c r="Q98" s="130">
        <v>45.387407054979739</v>
      </c>
      <c r="R98" s="130">
        <v>45.284953048707735</v>
      </c>
      <c r="S98" s="130">
        <v>45.133648166019654</v>
      </c>
      <c r="T98" s="130">
        <v>44.933661019844017</v>
      </c>
      <c r="U98" s="130">
        <v>44.661082739460689</v>
      </c>
      <c r="V98" s="130">
        <v>44.549885445853292</v>
      </c>
      <c r="W98" s="130">
        <v>44.039390283744453</v>
      </c>
      <c r="X98" s="130">
        <v>43.056679585784153</v>
      </c>
      <c r="Y98" s="130">
        <v>42.12367694911886</v>
      </c>
      <c r="DA98" s="176" t="s">
        <v>872</v>
      </c>
    </row>
    <row r="99" spans="1:105" ht="11.45" customHeight="1" x14ac:dyDescent="0.25">
      <c r="A99" s="111" t="s">
        <v>110</v>
      </c>
      <c r="B99" s="97">
        <v>16.815224485280403</v>
      </c>
      <c r="C99" s="97">
        <v>16.52396080841082</v>
      </c>
      <c r="D99" s="97">
        <v>16.295667468888762</v>
      </c>
      <c r="E99" s="97">
        <v>16.228673148565356</v>
      </c>
      <c r="F99" s="97">
        <v>16.146023582012347</v>
      </c>
      <c r="G99" s="97">
        <v>15.968120348991324</v>
      </c>
      <c r="H99" s="97">
        <v>15.751669560458632</v>
      </c>
      <c r="I99" s="97">
        <v>15.699571568239607</v>
      </c>
      <c r="J99" s="97">
        <v>15.402406431423175</v>
      </c>
      <c r="K99" s="97">
        <v>15.34398955297295</v>
      </c>
      <c r="L99" s="97">
        <v>15.236287422339885</v>
      </c>
      <c r="M99" s="97">
        <v>15.151214854602514</v>
      </c>
      <c r="N99" s="97">
        <v>14.952559010041069</v>
      </c>
      <c r="O99" s="97">
        <v>14.356688502666293</v>
      </c>
      <c r="P99" s="97">
        <v>14.277000502321222</v>
      </c>
      <c r="Q99" s="97">
        <v>14.137238207791214</v>
      </c>
      <c r="R99" s="97">
        <v>14.113189090206191</v>
      </c>
      <c r="S99" s="97">
        <v>14.090712802691426</v>
      </c>
      <c r="T99" s="97">
        <v>14.0672163734727</v>
      </c>
      <c r="U99" s="97">
        <v>14.020236268484579</v>
      </c>
      <c r="V99" s="97">
        <v>13.993282501421804</v>
      </c>
      <c r="W99" s="97">
        <v>13.95203970509826</v>
      </c>
      <c r="X99" s="97">
        <v>13.864477907317113</v>
      </c>
      <c r="Y99" s="97">
        <v>13.806820733689328</v>
      </c>
      <c r="DA99" s="175" t="s">
        <v>873</v>
      </c>
    </row>
    <row r="100" spans="1:105" ht="11.45" customHeight="1" x14ac:dyDescent="0.25">
      <c r="A100" s="111" t="s">
        <v>111</v>
      </c>
      <c r="B100" s="97">
        <v>50.936333316788811</v>
      </c>
      <c r="C100" s="97">
        <v>50.147944575580659</v>
      </c>
      <c r="D100" s="97">
        <v>49.746275468896627</v>
      </c>
      <c r="E100" s="97">
        <v>49.330044949515994</v>
      </c>
      <c r="F100" s="97">
        <v>48.937342774142962</v>
      </c>
      <c r="G100" s="97">
        <v>48.553674528441682</v>
      </c>
      <c r="H100" s="97">
        <v>48.184877626870758</v>
      </c>
      <c r="I100" s="97">
        <v>47.779181700476968</v>
      </c>
      <c r="J100" s="97">
        <v>47.453470197971214</v>
      </c>
      <c r="K100" s="97">
        <v>47.217094151313447</v>
      </c>
      <c r="L100" s="97">
        <v>46.965117059537306</v>
      </c>
      <c r="M100" s="97">
        <v>46.672207464225821</v>
      </c>
      <c r="N100" s="97">
        <v>46.417552566738117</v>
      </c>
      <c r="O100" s="97">
        <v>46.180417633685273</v>
      </c>
      <c r="P100" s="97">
        <v>45.844467717495768</v>
      </c>
      <c r="Q100" s="97">
        <v>45.539179426059469</v>
      </c>
      <c r="R100" s="97">
        <v>45.395470950861728</v>
      </c>
      <c r="S100" s="97">
        <v>45.211276838516227</v>
      </c>
      <c r="T100" s="97">
        <v>44.943160058607873</v>
      </c>
      <c r="U100" s="97">
        <v>44.584325888734789</v>
      </c>
      <c r="V100" s="97">
        <v>44.49339905527237</v>
      </c>
      <c r="W100" s="97">
        <v>43.798276054861965</v>
      </c>
      <c r="X100" s="97">
        <v>42.513075682645052</v>
      </c>
      <c r="Y100" s="97">
        <v>41.427974848819687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38.105225042166893</v>
      </c>
      <c r="J101" s="97">
        <v>38.105225042166893</v>
      </c>
      <c r="K101" s="97">
        <v>38.105225042166893</v>
      </c>
      <c r="L101" s="97">
        <v>38.105225042166893</v>
      </c>
      <c r="M101" s="97">
        <v>37.807510667348886</v>
      </c>
      <c r="N101" s="97">
        <v>37.807510667348886</v>
      </c>
      <c r="O101" s="97">
        <v>37.192593153036867</v>
      </c>
      <c r="P101" s="97">
        <v>37.165284031639409</v>
      </c>
      <c r="Q101" s="97">
        <v>37.165284031639409</v>
      </c>
      <c r="R101" s="97">
        <v>37.165284031639402</v>
      </c>
      <c r="S101" s="97">
        <v>37.11145657260294</v>
      </c>
      <c r="T101" s="97">
        <v>37.111456572602947</v>
      </c>
      <c r="U101" s="97">
        <v>36.755125352489195</v>
      </c>
      <c r="V101" s="97">
        <v>35.738467905804058</v>
      </c>
      <c r="W101" s="97">
        <v>35.738467905804058</v>
      </c>
      <c r="X101" s="97">
        <v>35.65923814409409</v>
      </c>
      <c r="Y101" s="97">
        <v>35.659238144094076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37.949690061183311</v>
      </c>
      <c r="L102" s="97">
        <v>37.936363657611295</v>
      </c>
      <c r="M102" s="97">
        <v>37.92979535409448</v>
      </c>
      <c r="N102" s="97">
        <v>37.844019098949467</v>
      </c>
      <c r="O102" s="97">
        <v>37.428504433127891</v>
      </c>
      <c r="P102" s="97">
        <v>37.185764484857685</v>
      </c>
      <c r="Q102" s="97">
        <v>37.175511412044457</v>
      </c>
      <c r="R102" s="97">
        <v>37.167108641378618</v>
      </c>
      <c r="S102" s="97">
        <v>37.133032103379954</v>
      </c>
      <c r="T102" s="97">
        <v>37.125082061566765</v>
      </c>
      <c r="U102" s="97">
        <v>37.112442742866307</v>
      </c>
      <c r="V102" s="97">
        <v>37.058398229404169</v>
      </c>
      <c r="W102" s="97">
        <v>37.047194726608353</v>
      </c>
      <c r="X102" s="97">
        <v>37.032894312154909</v>
      </c>
      <c r="Y102" s="97">
        <v>37.017467130700751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0</v>
      </c>
      <c r="Q103" s="97">
        <v>26.290426585445477</v>
      </c>
      <c r="R103" s="97">
        <v>26.355029343870967</v>
      </c>
      <c r="S103" s="97">
        <v>26.355029343870967</v>
      </c>
      <c r="T103" s="97">
        <v>26.355029343870967</v>
      </c>
      <c r="U103" s="97">
        <v>26.355029343870967</v>
      </c>
      <c r="V103" s="97">
        <v>26.355029343870971</v>
      </c>
      <c r="W103" s="97">
        <v>25.858268176522284</v>
      </c>
      <c r="X103" s="97">
        <v>25.167034060646689</v>
      </c>
      <c r="Y103" s="97">
        <v>25.066438816177158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8.6002828745294249</v>
      </c>
      <c r="C105" s="141">
        <v>8.3147229821892736</v>
      </c>
      <c r="D105" s="141">
        <v>8.1949224793424253</v>
      </c>
      <c r="E105" s="141">
        <v>8.075792438171197</v>
      </c>
      <c r="F105" s="141">
        <v>7.9678252603450126</v>
      </c>
      <c r="G105" s="141">
        <v>7.8627160175326187</v>
      </c>
      <c r="H105" s="141">
        <v>7.7570066129502653</v>
      </c>
      <c r="I105" s="141">
        <v>7.5901854649423388</v>
      </c>
      <c r="J105" s="141">
        <v>7.4968794969748167</v>
      </c>
      <c r="K105" s="141">
        <v>7.4580323557063695</v>
      </c>
      <c r="L105" s="141">
        <v>7.3681349682901773</v>
      </c>
      <c r="M105" s="141">
        <v>7.3068383381674282</v>
      </c>
      <c r="N105" s="141">
        <v>7.1999272897419218</v>
      </c>
      <c r="O105" s="141">
        <v>7.1824183222392195</v>
      </c>
      <c r="P105" s="141">
        <v>7.1275335135505928</v>
      </c>
      <c r="Q105" s="141">
        <v>6.8896168546265386</v>
      </c>
      <c r="R105" s="141">
        <v>6.7219211131957595</v>
      </c>
      <c r="S105" s="141">
        <v>6.6381117853947824</v>
      </c>
      <c r="T105" s="141">
        <v>6.5341846528670926</v>
      </c>
      <c r="U105" s="141">
        <v>6.4036559019576735</v>
      </c>
      <c r="V105" s="141">
        <v>6.3488605667879661</v>
      </c>
      <c r="W105" s="141">
        <v>6.2633986977636082</v>
      </c>
      <c r="X105" s="141">
        <v>6.1621184817717802</v>
      </c>
      <c r="Y105" s="141">
        <v>6.094830358179264</v>
      </c>
      <c r="DA105" s="174" t="s">
        <v>878</v>
      </c>
    </row>
    <row r="106" spans="1:105" ht="11.45" customHeight="1" x14ac:dyDescent="0.25">
      <c r="A106" s="111" t="s">
        <v>110</v>
      </c>
      <c r="B106" s="96">
        <v>8.0617605371667906</v>
      </c>
      <c r="C106" s="96">
        <v>7.8907462966888451</v>
      </c>
      <c r="D106" s="96">
        <v>7.8461232023699372</v>
      </c>
      <c r="E106" s="96">
        <v>7.8057801217876435</v>
      </c>
      <c r="F106" s="96">
        <v>7.7693773671320745</v>
      </c>
      <c r="G106" s="96">
        <v>7.7274547881345663</v>
      </c>
      <c r="H106" s="96">
        <v>7.6711148990005666</v>
      </c>
      <c r="I106" s="96">
        <v>7.5304499741186168</v>
      </c>
      <c r="J106" s="96">
        <v>7.4506093188320799</v>
      </c>
      <c r="K106" s="96">
        <v>7.353680446880956</v>
      </c>
      <c r="L106" s="96">
        <v>7.2605518920780474</v>
      </c>
      <c r="M106" s="96">
        <v>7.2096864707202197</v>
      </c>
      <c r="N106" s="96">
        <v>7.1164826783425275</v>
      </c>
      <c r="O106" s="96">
        <v>7.0953910803763307</v>
      </c>
      <c r="P106" s="96">
        <v>7.0594560243686155</v>
      </c>
      <c r="Q106" s="96">
        <v>6.9720935386376732</v>
      </c>
      <c r="R106" s="96">
        <v>6.8502190021730458</v>
      </c>
      <c r="S106" s="96">
        <v>6.803401001768937</v>
      </c>
      <c r="T106" s="96">
        <v>6.7248176339435641</v>
      </c>
      <c r="U106" s="96">
        <v>6.6047840435781131</v>
      </c>
      <c r="V106" s="96">
        <v>6.485840884255726</v>
      </c>
      <c r="W106" s="96">
        <v>6.2816194867946535</v>
      </c>
      <c r="X106" s="96">
        <v>6.1044636928975828</v>
      </c>
      <c r="Y106" s="96">
        <v>5.920398755175925</v>
      </c>
      <c r="DA106" s="171" t="s">
        <v>879</v>
      </c>
    </row>
    <row r="107" spans="1:105" ht="11.45" customHeight="1" x14ac:dyDescent="0.25">
      <c r="A107" s="111" t="s">
        <v>111</v>
      </c>
      <c r="B107" s="96">
        <v>8.7240928453042912</v>
      </c>
      <c r="C107" s="96">
        <v>8.3187704953923429</v>
      </c>
      <c r="D107" s="96">
        <v>8.1534786599177576</v>
      </c>
      <c r="E107" s="96">
        <v>8.0010237832059055</v>
      </c>
      <c r="F107" s="96">
        <v>7.8737273894944764</v>
      </c>
      <c r="G107" s="96">
        <v>7.7583947810345979</v>
      </c>
      <c r="H107" s="96">
        <v>7.6479663539606868</v>
      </c>
      <c r="I107" s="96">
        <v>7.5105192522117417</v>
      </c>
      <c r="J107" s="96">
        <v>7.4292950171614134</v>
      </c>
      <c r="K107" s="96">
        <v>7.3949536616027984</v>
      </c>
      <c r="L107" s="96">
        <v>7.3236931069656501</v>
      </c>
      <c r="M107" s="96">
        <v>7.2728479791615284</v>
      </c>
      <c r="N107" s="96">
        <v>7.1873693977551163</v>
      </c>
      <c r="O107" s="96">
        <v>7.1677843619825135</v>
      </c>
      <c r="P107" s="96">
        <v>7.0964762596233006</v>
      </c>
      <c r="Q107" s="96">
        <v>6.804215320587109</v>
      </c>
      <c r="R107" s="96">
        <v>6.6316922078275748</v>
      </c>
      <c r="S107" s="96">
        <v>6.5567016962500286</v>
      </c>
      <c r="T107" s="96">
        <v>6.4602144713923169</v>
      </c>
      <c r="U107" s="96">
        <v>6.3321974930717451</v>
      </c>
      <c r="V107" s="96">
        <v>6.2807953492000834</v>
      </c>
      <c r="W107" s="96">
        <v>6.2112191346718451</v>
      </c>
      <c r="X107" s="96">
        <v>6.1196483022280788</v>
      </c>
      <c r="Y107" s="96">
        <v>6.0543081602282083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5.9756828822173054</v>
      </c>
      <c r="J108" s="96">
        <v>5.8148645958236607</v>
      </c>
      <c r="K108" s="96">
        <v>5.7783806698969489</v>
      </c>
      <c r="L108" s="96">
        <v>5.7521974559000446</v>
      </c>
      <c r="M108" s="96">
        <v>5.7397501649024214</v>
      </c>
      <c r="N108" s="96">
        <v>5.7346682406601994</v>
      </c>
      <c r="O108" s="96">
        <v>5.6760997521285708</v>
      </c>
      <c r="P108" s="96">
        <v>5.6083159434607346</v>
      </c>
      <c r="Q108" s="96">
        <v>5.5652593036826312</v>
      </c>
      <c r="R108" s="96">
        <v>5.4944021855225476</v>
      </c>
      <c r="S108" s="96">
        <v>5.6548427138795958</v>
      </c>
      <c r="T108" s="96">
        <v>5.6869784490152968</v>
      </c>
      <c r="U108" s="96">
        <v>5.6677076933226918</v>
      </c>
      <c r="V108" s="96">
        <v>5.718495175657865</v>
      </c>
      <c r="W108" s="96">
        <v>5.7948860653403527</v>
      </c>
      <c r="X108" s="96">
        <v>5.8219291161103843</v>
      </c>
      <c r="Y108" s="96">
        <v>5.7864153184294844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7.6283351634440626</v>
      </c>
      <c r="L109" s="96">
        <v>7.6029752883007635</v>
      </c>
      <c r="M109" s="96">
        <v>7.5834431786761209</v>
      </c>
      <c r="N109" s="96">
        <v>7.3951874015351988</v>
      </c>
      <c r="O109" s="96">
        <v>7.3951874015351988</v>
      </c>
      <c r="P109" s="96">
        <v>7.339705269035214</v>
      </c>
      <c r="Q109" s="96">
        <v>7.2826686203660715</v>
      </c>
      <c r="R109" s="96">
        <v>7.109174985063853</v>
      </c>
      <c r="S109" s="96">
        <v>7.1936111232832118</v>
      </c>
      <c r="T109" s="96">
        <v>7.1395696569736646</v>
      </c>
      <c r="U109" s="96">
        <v>7.1268384578288533</v>
      </c>
      <c r="V109" s="96">
        <v>7.0621849389643767</v>
      </c>
      <c r="W109" s="96">
        <v>7.1131032354354167</v>
      </c>
      <c r="X109" s="96">
        <v>7.0302718537404489</v>
      </c>
      <c r="Y109" s="96">
        <v>7.0219609063469832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1.659735323495487</v>
      </c>
      <c r="F110" s="96">
        <v>1.659735323495487</v>
      </c>
      <c r="G110" s="96">
        <v>1.6157960422610307</v>
      </c>
      <c r="H110" s="96">
        <v>1.6157960422610311</v>
      </c>
      <c r="I110" s="96">
        <v>1.6157960422610309</v>
      </c>
      <c r="J110" s="96">
        <v>1.5581501826352311</v>
      </c>
      <c r="K110" s="96">
        <v>1.5417239893342376</v>
      </c>
      <c r="L110" s="96">
        <v>1.5417239893342374</v>
      </c>
      <c r="M110" s="96">
        <v>1.5211181551742128</v>
      </c>
      <c r="N110" s="96">
        <v>1.4915072377106104</v>
      </c>
      <c r="O110" s="96">
        <v>1.4915072377106104</v>
      </c>
      <c r="P110" s="96">
        <v>1.4841407324797706</v>
      </c>
      <c r="Q110" s="96">
        <v>1.5148620187694442</v>
      </c>
      <c r="R110" s="96">
        <v>1.5172544781094657</v>
      </c>
      <c r="S110" s="96">
        <v>1.4563854654464092</v>
      </c>
      <c r="T110" s="96">
        <v>1.4055628561345308</v>
      </c>
      <c r="U110" s="96">
        <v>1.4052158835754771</v>
      </c>
      <c r="V110" s="96">
        <v>1.4716649810655864</v>
      </c>
      <c r="W110" s="96">
        <v>1.5356280293668338</v>
      </c>
      <c r="X110" s="96">
        <v>1.9761011902767345</v>
      </c>
      <c r="Y110" s="96">
        <v>1.9620693625264778</v>
      </c>
      <c r="DA110" s="171" t="s">
        <v>883</v>
      </c>
    </row>
    <row r="111" spans="1:105" ht="11.45" customHeight="1" x14ac:dyDescent="0.25">
      <c r="A111" s="109" t="s">
        <v>154</v>
      </c>
      <c r="B111" s="130">
        <v>32.101740934409683</v>
      </c>
      <c r="C111" s="130">
        <v>31.476004402463957</v>
      </c>
      <c r="D111" s="130">
        <v>31.299675188192698</v>
      </c>
      <c r="E111" s="130">
        <v>31.097447167013808</v>
      </c>
      <c r="F111" s="130">
        <v>30.97958387430727</v>
      </c>
      <c r="G111" s="130">
        <v>30.881028927204877</v>
      </c>
      <c r="H111" s="130">
        <v>30.486468529057674</v>
      </c>
      <c r="I111" s="130">
        <v>30.34286766194715</v>
      </c>
      <c r="J111" s="130">
        <v>29.956426088122289</v>
      </c>
      <c r="K111" s="130">
        <v>29.655106586152687</v>
      </c>
      <c r="L111" s="130">
        <v>29.594260532717776</v>
      </c>
      <c r="M111" s="130">
        <v>29.412344941601862</v>
      </c>
      <c r="N111" s="130">
        <v>29.185147949900838</v>
      </c>
      <c r="O111" s="130">
        <v>28.731786373144526</v>
      </c>
      <c r="P111" s="130">
        <v>28.248643675733184</v>
      </c>
      <c r="Q111" s="130">
        <v>27.603340507882791</v>
      </c>
      <c r="R111" s="130">
        <v>27.151962908252621</v>
      </c>
      <c r="S111" s="130">
        <v>26.546584803431767</v>
      </c>
      <c r="T111" s="130">
        <v>25.879564458148316</v>
      </c>
      <c r="U111" s="130">
        <v>25.343463543346253</v>
      </c>
      <c r="V111" s="130">
        <v>24.79296399958611</v>
      </c>
      <c r="W111" s="130">
        <v>24.089644854966931</v>
      </c>
      <c r="X111" s="130">
        <v>23.615016893815142</v>
      </c>
      <c r="Y111" s="130">
        <v>22.94279219672687</v>
      </c>
      <c r="DA111" s="176" t="s">
        <v>884</v>
      </c>
    </row>
    <row r="112" spans="1:105" ht="11.45" customHeight="1" x14ac:dyDescent="0.25">
      <c r="A112" s="128" t="s">
        <v>27</v>
      </c>
      <c r="B112" s="97">
        <v>31.555212046033915</v>
      </c>
      <c r="C112" s="97">
        <v>31.028044238050654</v>
      </c>
      <c r="D112" s="97">
        <v>30.88287712889144</v>
      </c>
      <c r="E112" s="97">
        <v>30.713915895208789</v>
      </c>
      <c r="F112" s="97">
        <v>30.59112490649348</v>
      </c>
      <c r="G112" s="97">
        <v>30.492713808510167</v>
      </c>
      <c r="H112" s="97">
        <v>30.16152404945861</v>
      </c>
      <c r="I112" s="97">
        <v>30.021516693122184</v>
      </c>
      <c r="J112" s="97">
        <v>29.770587730947817</v>
      </c>
      <c r="K112" s="97">
        <v>29.465549288498693</v>
      </c>
      <c r="L112" s="97">
        <v>29.424942718465285</v>
      </c>
      <c r="M112" s="97">
        <v>29.256972183481196</v>
      </c>
      <c r="N112" s="97">
        <v>29.037809371192399</v>
      </c>
      <c r="O112" s="97">
        <v>28.582866947212768</v>
      </c>
      <c r="P112" s="97">
        <v>28.096712153574597</v>
      </c>
      <c r="Q112" s="97">
        <v>27.437955077200723</v>
      </c>
      <c r="R112" s="97">
        <v>26.976096066306127</v>
      </c>
      <c r="S112" s="97">
        <v>26.363111405212763</v>
      </c>
      <c r="T112" s="97">
        <v>25.676287341054657</v>
      </c>
      <c r="U112" s="97">
        <v>25.146358612683777</v>
      </c>
      <c r="V112" s="97">
        <v>24.593284267878726</v>
      </c>
      <c r="W112" s="97">
        <v>23.8781426718507</v>
      </c>
      <c r="X112" s="97">
        <v>23.40554205265969</v>
      </c>
      <c r="Y112" s="97">
        <v>22.718936979763601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36.372835130871927</v>
      </c>
      <c r="D113" s="98">
        <v>36.052639085735066</v>
      </c>
      <c r="E113" s="98">
        <v>35.794857537123733</v>
      </c>
      <c r="F113" s="98">
        <v>35.136126233226712</v>
      </c>
      <c r="G113" s="98">
        <v>34.835430594646411</v>
      </c>
      <c r="H113" s="98">
        <v>34.735886330361843</v>
      </c>
      <c r="I113" s="98">
        <v>34.302195967715242</v>
      </c>
      <c r="J113" s="98">
        <v>33.654793947979414</v>
      </c>
      <c r="K113" s="98">
        <v>33.403406947204907</v>
      </c>
      <c r="L113" s="98">
        <v>33.10084212738839</v>
      </c>
      <c r="M113" s="98">
        <v>32.681065353141499</v>
      </c>
      <c r="N113" s="98">
        <v>32.279527953654778</v>
      </c>
      <c r="O113" s="98">
        <v>31.824611569401867</v>
      </c>
      <c r="P113" s="98">
        <v>31.285164656448526</v>
      </c>
      <c r="Q113" s="98">
        <v>30.497490984824296</v>
      </c>
      <c r="R113" s="98">
        <v>30.049590122783986</v>
      </c>
      <c r="S113" s="98">
        <v>29.07229826162628</v>
      </c>
      <c r="T113" s="98">
        <v>28.76567410016008</v>
      </c>
      <c r="U113" s="98">
        <v>28.545433391394926</v>
      </c>
      <c r="V113" s="98">
        <v>28.018019858047062</v>
      </c>
      <c r="W113" s="98">
        <v>27.843640746404589</v>
      </c>
      <c r="X113" s="98">
        <v>27.284064821159308</v>
      </c>
      <c r="Y113" s="98">
        <v>26.677220853608624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1.1275000000068984</v>
      </c>
      <c r="C117" s="150">
        <f>IF(TrRoad_act!C59=0,0,TrRoad_ene!C62/TrRoad_tech!C90)</f>
        <v>1.1275493105892327</v>
      </c>
      <c r="D117" s="150">
        <f>IF(TrRoad_act!D59=0,0,TrRoad_ene!D62/TrRoad_tech!D90)</f>
        <v>1.1282560593529636</v>
      </c>
      <c r="E117" s="150">
        <f>IF(TrRoad_act!E59=0,0,TrRoad_ene!E62/TrRoad_tech!E90)</f>
        <v>1.1312766950410278</v>
      </c>
      <c r="F117" s="150">
        <f>IF(TrRoad_act!F59=0,0,TrRoad_ene!F62/TrRoad_tech!F90)</f>
        <v>1.1351376060204417</v>
      </c>
      <c r="G117" s="150">
        <f>IF(TrRoad_act!G59=0,0,TrRoad_ene!G62/TrRoad_tech!G90)</f>
        <v>1.1400733392708673</v>
      </c>
      <c r="H117" s="150">
        <f>IF(TrRoad_act!H59=0,0,TrRoad_ene!H62/TrRoad_tech!H90)</f>
        <v>1.1462066183999673</v>
      </c>
      <c r="I117" s="150">
        <f>IF(TrRoad_act!I59=0,0,TrRoad_ene!I62/TrRoad_tech!I90)</f>
        <v>1.1502134821878047</v>
      </c>
      <c r="J117" s="150">
        <f>IF(TrRoad_act!J59=0,0,TrRoad_ene!J62/TrRoad_tech!J90)</f>
        <v>1.154881603303451</v>
      </c>
      <c r="K117" s="150">
        <f>IF(TrRoad_act!K59=0,0,TrRoad_ene!K62/TrRoad_tech!K90)</f>
        <v>1.1582259855383761</v>
      </c>
      <c r="L117" s="150">
        <f>IF(TrRoad_act!L59=0,0,TrRoad_ene!L62/TrRoad_tech!L90)</f>
        <v>1.1608418594534098</v>
      </c>
      <c r="M117" s="150">
        <f>IF(TrRoad_act!M59=0,0,TrRoad_ene!M62/TrRoad_tech!M90)</f>
        <v>1.1628381896078737</v>
      </c>
      <c r="N117" s="150">
        <f>IF(TrRoad_act!N59=0,0,TrRoad_ene!N62/TrRoad_tech!N90)</f>
        <v>1.1651575458309527</v>
      </c>
      <c r="O117" s="150">
        <f>IF(TrRoad_act!O59=0,0,TrRoad_ene!O62/TrRoad_tech!O90)</f>
        <v>1.1684818199614764</v>
      </c>
      <c r="P117" s="150">
        <f>IF(TrRoad_act!P59=0,0,TrRoad_ene!P62/TrRoad_tech!P90)</f>
        <v>1.1724475942852544</v>
      </c>
      <c r="Q117" s="150">
        <f>IF(TrRoad_act!Q59=0,0,TrRoad_ene!Q62/TrRoad_tech!Q90)</f>
        <v>1.1763550468454258</v>
      </c>
      <c r="R117" s="150">
        <f>IF(TrRoad_act!R59=0,0,TrRoad_ene!R62/TrRoad_tech!R90)</f>
        <v>1.1830109678943213</v>
      </c>
      <c r="S117" s="150">
        <f>IF(TrRoad_act!S59=0,0,TrRoad_ene!S62/TrRoad_tech!S90)</f>
        <v>1.1892269120230192</v>
      </c>
      <c r="T117" s="150">
        <f>IF(TrRoad_act!T59=0,0,TrRoad_ene!T62/TrRoad_tech!T90)</f>
        <v>1.2000493700949022</v>
      </c>
      <c r="U117" s="150">
        <f>IF(TrRoad_act!U59=0,0,TrRoad_ene!U62/TrRoad_tech!U90)</f>
        <v>1.2144698177323561</v>
      </c>
      <c r="V117" s="150">
        <f>IF(TrRoad_act!V59=0,0,TrRoad_ene!V62/TrRoad_tech!V90)</f>
        <v>1.2273592130346302</v>
      </c>
      <c r="W117" s="150">
        <f>IF(TrRoad_act!W59=0,0,TrRoad_ene!W62/TrRoad_tech!W90)</f>
        <v>1.2359414782300431</v>
      </c>
      <c r="X117" s="150">
        <f>IF(TrRoad_act!X59=0,0,TrRoad_ene!X62/TrRoad_tech!X90)</f>
        <v>1.2527046122897336</v>
      </c>
      <c r="Y117" s="150">
        <f>IF(TrRoad_act!Y59=0,0,TrRoad_ene!Y62/TrRoad_tech!Y90)</f>
        <v>1.2694621955856864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1.0973950377441795</v>
      </c>
      <c r="C118" s="151">
        <f>IF(TrRoad_act!C60=0,0,TrRoad_ene!C63/TrRoad_tech!C91)</f>
        <v>1.0426189071099055</v>
      </c>
      <c r="D118" s="151">
        <f>IF(TrRoad_act!D60=0,0,TrRoad_ene!D63/TrRoad_tech!D91)</f>
        <v>1.0146015992982338</v>
      </c>
      <c r="E118" s="151">
        <f>IF(TrRoad_act!E60=0,0,TrRoad_ene!E63/TrRoad_tech!E91)</f>
        <v>1.0758342934317962</v>
      </c>
      <c r="F118" s="151">
        <f>IF(TrRoad_act!F60=0,0,TrRoad_ene!F63/TrRoad_tech!F91)</f>
        <v>1.0459084380539108</v>
      </c>
      <c r="G118" s="151">
        <f>IF(TrRoad_act!G60=0,0,TrRoad_ene!G63/TrRoad_tech!G91)</f>
        <v>1.0743499312255951</v>
      </c>
      <c r="H118" s="151">
        <f>IF(TrRoad_act!H60=0,0,TrRoad_ene!H63/TrRoad_tech!H91)</f>
        <v>1.1336583658437287</v>
      </c>
      <c r="I118" s="151">
        <f>IF(TrRoad_act!I60=0,0,TrRoad_ene!I63/TrRoad_tech!I91)</f>
        <v>1.2000230255914399</v>
      </c>
      <c r="J118" s="151">
        <f>IF(TrRoad_act!J60=0,0,TrRoad_ene!J63/TrRoad_tech!J91)</f>
        <v>1.0809525080328768</v>
      </c>
      <c r="K118" s="151">
        <f>IF(TrRoad_act!K60=0,0,TrRoad_ene!K63/TrRoad_tech!K91)</f>
        <v>1.1373118749637003</v>
      </c>
      <c r="L118" s="151">
        <f>IF(TrRoad_act!L60=0,0,TrRoad_ene!L63/TrRoad_tech!L91)</f>
        <v>1.0899306296083069</v>
      </c>
      <c r="M118" s="151">
        <f>IF(TrRoad_act!M60=0,0,TrRoad_ene!M63/TrRoad_tech!M91)</f>
        <v>1.1031817344907375</v>
      </c>
      <c r="N118" s="151">
        <f>IF(TrRoad_act!N60=0,0,TrRoad_ene!N63/TrRoad_tech!N91)</f>
        <v>1.1458770813077974</v>
      </c>
      <c r="O118" s="151">
        <f>IF(TrRoad_act!O60=0,0,TrRoad_ene!O63/TrRoad_tech!O91)</f>
        <v>1.1247464204441664</v>
      </c>
      <c r="P118" s="151">
        <f>IF(TrRoad_act!P60=0,0,TrRoad_ene!P63/TrRoad_tech!P91)</f>
        <v>1.1288022116537553</v>
      </c>
      <c r="Q118" s="151">
        <f>IF(TrRoad_act!Q60=0,0,TrRoad_ene!Q63/TrRoad_tech!Q91)</f>
        <v>1.1656758672044294</v>
      </c>
      <c r="R118" s="151">
        <f>IF(TrRoad_act!R60=0,0,TrRoad_ene!R63/TrRoad_tech!R91)</f>
        <v>1.1136585263380954</v>
      </c>
      <c r="S118" s="151">
        <f>IF(TrRoad_act!S60=0,0,TrRoad_ene!S63/TrRoad_tech!S91)</f>
        <v>1.1219742023247457</v>
      </c>
      <c r="T118" s="151">
        <f>IF(TrRoad_act!T60=0,0,TrRoad_ene!T63/TrRoad_tech!T91)</f>
        <v>1.0703746878319089</v>
      </c>
      <c r="U118" s="151">
        <f>IF(TrRoad_act!U60=0,0,TrRoad_ene!U63/TrRoad_tech!U91)</f>
        <v>1.1734162693671355</v>
      </c>
      <c r="V118" s="151">
        <f>IF(TrRoad_act!V60=0,0,TrRoad_ene!V63/TrRoad_tech!V91)</f>
        <v>1.2550942840351078</v>
      </c>
      <c r="W118" s="151">
        <f>IF(TrRoad_act!W60=0,0,TrRoad_ene!W63/TrRoad_tech!W91)</f>
        <v>1.2420625113738504</v>
      </c>
      <c r="X118" s="151">
        <f>IF(TrRoad_act!X60=0,0,TrRoad_ene!X63/TrRoad_tech!X91)</f>
        <v>1.2934858632659683</v>
      </c>
      <c r="Y118" s="151">
        <f>IF(TrRoad_act!Y60=0,0,TrRoad_ene!Y63/TrRoad_tech!Y91)</f>
        <v>1.43929570890501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1.1245554424174571</v>
      </c>
      <c r="C119" s="91">
        <f>IF(TrRoad_act!C61=0,0,TrRoad_ene!C64/TrRoad_tech!C92)</f>
        <v>1.0427940306536283</v>
      </c>
      <c r="D119" s="91">
        <f>IF(TrRoad_act!D61=0,0,TrRoad_ene!D64/TrRoad_tech!D92)</f>
        <v>1.0378873865240803</v>
      </c>
      <c r="E119" s="91">
        <f>IF(TrRoad_act!E61=0,0,TrRoad_ene!E64/TrRoad_tech!E92)</f>
        <v>1.1074719939064877</v>
      </c>
      <c r="F119" s="91">
        <f>IF(TrRoad_act!F61=0,0,TrRoad_ene!F64/TrRoad_tech!F92)</f>
        <v>1.0817162786869758</v>
      </c>
      <c r="G119" s="91">
        <f>IF(TrRoad_act!G61=0,0,TrRoad_ene!G64/TrRoad_tech!G92)</f>
        <v>1.116577789805369</v>
      </c>
      <c r="H119" s="91">
        <f>IF(TrRoad_act!H61=0,0,TrRoad_ene!H64/TrRoad_tech!H92)</f>
        <v>1.1984537544292595</v>
      </c>
      <c r="I119" s="91">
        <f>IF(TrRoad_act!I61=0,0,TrRoad_ene!I64/TrRoad_tech!I92)</f>
        <v>1.266357495674159</v>
      </c>
      <c r="J119" s="91">
        <f>IF(TrRoad_act!J61=0,0,TrRoad_ene!J64/TrRoad_tech!J92)</f>
        <v>1.0368513227359057</v>
      </c>
      <c r="K119" s="91">
        <f>IF(TrRoad_act!K61=0,0,TrRoad_ene!K64/TrRoad_tech!K92)</f>
        <v>1.0803758743202636</v>
      </c>
      <c r="L119" s="91">
        <f>IF(TrRoad_act!L61=0,0,TrRoad_ene!L64/TrRoad_tech!L92)</f>
        <v>1.0264864115676575</v>
      </c>
      <c r="M119" s="91">
        <f>IF(TrRoad_act!M61=0,0,TrRoad_ene!M64/TrRoad_tech!M92)</f>
        <v>1.0551340762823358</v>
      </c>
      <c r="N119" s="91">
        <f>IF(TrRoad_act!N61=0,0,TrRoad_ene!N64/TrRoad_tech!N92)</f>
        <v>1.0567384408650338</v>
      </c>
      <c r="O119" s="91">
        <f>IF(TrRoad_act!O61=0,0,TrRoad_ene!O64/TrRoad_tech!O92)</f>
        <v>1.0744193310861461</v>
      </c>
      <c r="P119" s="91">
        <f>IF(TrRoad_act!P61=0,0,TrRoad_ene!P64/TrRoad_tech!P92)</f>
        <v>1.0877862161570178</v>
      </c>
      <c r="Q119" s="91">
        <f>IF(TrRoad_act!Q61=0,0,TrRoad_ene!Q64/TrRoad_tech!Q92)</f>
        <v>1.0982414021569549</v>
      </c>
      <c r="R119" s="91">
        <f>IF(TrRoad_act!R61=0,0,TrRoad_ene!R64/TrRoad_tech!R92)</f>
        <v>1.0755872179845982</v>
      </c>
      <c r="S119" s="91">
        <f>IF(TrRoad_act!S61=0,0,TrRoad_ene!S64/TrRoad_tech!S92)</f>
        <v>1.048365716455643</v>
      </c>
      <c r="T119" s="91">
        <f>IF(TrRoad_act!T61=0,0,TrRoad_ene!T64/TrRoad_tech!T92)</f>
        <v>1.0047813696666532</v>
      </c>
      <c r="U119" s="91">
        <f>IF(TrRoad_act!U61=0,0,TrRoad_ene!U64/TrRoad_tech!U92)</f>
        <v>1.0677523648346445</v>
      </c>
      <c r="V119" s="91">
        <f>IF(TrRoad_act!V61=0,0,TrRoad_ene!V64/TrRoad_tech!V92)</f>
        <v>1.1411715765074</v>
      </c>
      <c r="W119" s="91">
        <f>IF(TrRoad_act!W61=0,0,TrRoad_ene!W64/TrRoad_tech!W92)</f>
        <v>1.1844344346317361</v>
      </c>
      <c r="X119" s="91">
        <f>IF(TrRoad_act!X61=0,0,TrRoad_ene!X64/TrRoad_tech!X92)</f>
        <v>1.361162218259784</v>
      </c>
      <c r="Y119" s="91">
        <f>IF(TrRoad_act!Y61=0,0,TrRoad_ene!Y64/TrRoad_tech!Y92)</f>
        <v>1.5234097569257166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0.99886101824022255</v>
      </c>
      <c r="C120" s="91">
        <f>IF(TrRoad_act!C62=0,0,TrRoad_ene!C65/TrRoad_tech!C93)</f>
        <v>1.0650179168107616</v>
      </c>
      <c r="D120" s="91">
        <f>IF(TrRoad_act!D62=0,0,TrRoad_ene!D65/TrRoad_tech!D93)</f>
        <v>0.96340507429930211</v>
      </c>
      <c r="E120" s="91">
        <f>IF(TrRoad_act!E62=0,0,TrRoad_ene!E65/TrRoad_tech!E93)</f>
        <v>1.0332841064702818</v>
      </c>
      <c r="F120" s="91">
        <f>IF(TrRoad_act!F62=0,0,TrRoad_ene!F65/TrRoad_tech!F93)</f>
        <v>1.007976453210129</v>
      </c>
      <c r="G120" s="91">
        <f>IF(TrRoad_act!G62=0,0,TrRoad_ene!G65/TrRoad_tech!G93)</f>
        <v>1.0387111909467279</v>
      </c>
      <c r="H120" s="91">
        <f>IF(TrRoad_act!H62=0,0,TrRoad_ene!H65/TrRoad_tech!H93)</f>
        <v>1.0894210329001586</v>
      </c>
      <c r="I120" s="91">
        <f>IF(TrRoad_act!I62=0,0,TrRoad_ene!I65/TrRoad_tech!I93)</f>
        <v>1.1787906732651576</v>
      </c>
      <c r="J120" s="91">
        <f>IF(TrRoad_act!J62=0,0,TrRoad_ene!J65/TrRoad_tech!J93)</f>
        <v>1.17947274886787</v>
      </c>
      <c r="K120" s="91">
        <f>IF(TrRoad_act!K62=0,0,TrRoad_ene!K65/TrRoad_tech!K93)</f>
        <v>1.2681473756132633</v>
      </c>
      <c r="L120" s="91">
        <f>IF(TrRoad_act!L62=0,0,TrRoad_ene!L65/TrRoad_tech!L93)</f>
        <v>1.2168120079883797</v>
      </c>
      <c r="M120" s="91">
        <f>IF(TrRoad_act!M62=0,0,TrRoad_ene!M65/TrRoad_tech!M93)</f>
        <v>1.2025751988650923</v>
      </c>
      <c r="N120" s="91">
        <f>IF(TrRoad_act!N62=0,0,TrRoad_ene!N65/TrRoad_tech!N93)</f>
        <v>1.2898438239514891</v>
      </c>
      <c r="O120" s="91">
        <f>IF(TrRoad_act!O62=0,0,TrRoad_ene!O65/TrRoad_tech!O93)</f>
        <v>1.216324295343199</v>
      </c>
      <c r="P120" s="91">
        <f>IF(TrRoad_act!P62=0,0,TrRoad_ene!P65/TrRoad_tech!P93)</f>
        <v>1.207327879868348</v>
      </c>
      <c r="Q120" s="91">
        <f>IF(TrRoad_act!Q62=0,0,TrRoad_ene!Q65/TrRoad_tech!Q93)</f>
        <v>1.2679851994296563</v>
      </c>
      <c r="R120" s="91">
        <f>IF(TrRoad_act!R62=0,0,TrRoad_ene!R65/TrRoad_tech!R93)</f>
        <v>1.1722316853952008</v>
      </c>
      <c r="S120" s="91">
        <f>IF(TrRoad_act!S62=0,0,TrRoad_ene!S65/TrRoad_tech!S93)</f>
        <v>1.2050067800977158</v>
      </c>
      <c r="T120" s="91">
        <f>IF(TrRoad_act!T62=0,0,TrRoad_ene!T65/TrRoad_tech!T93)</f>
        <v>1.1379515573364274</v>
      </c>
      <c r="U120" s="91">
        <f>IF(TrRoad_act!U62=0,0,TrRoad_ene!U65/TrRoad_tech!U93)</f>
        <v>1.2776683973169893</v>
      </c>
      <c r="V120" s="91">
        <f>IF(TrRoad_act!V62=0,0,TrRoad_ene!V65/TrRoad_tech!V93)</f>
        <v>1.370286255194328</v>
      </c>
      <c r="W120" s="91">
        <f>IF(TrRoad_act!W62=0,0,TrRoad_ene!W65/TrRoad_tech!W93)</f>
        <v>1.3217629599097565</v>
      </c>
      <c r="X120" s="91">
        <f>IF(TrRoad_act!X62=0,0,TrRoad_ene!X65/TrRoad_tech!X93)</f>
        <v>1.3106620026090432</v>
      </c>
      <c r="Y120" s="91">
        <f>IF(TrRoad_act!Y62=0,0,TrRoad_ene!Y65/TrRoad_tech!Y93)</f>
        <v>1.4593461142034159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0.99236073794788182</v>
      </c>
      <c r="C121" s="91">
        <f>IF(TrRoad_act!C63=0,0,TrRoad_ene!C66/TrRoad_tech!C94)</f>
        <v>1.0323813759976359</v>
      </c>
      <c r="D121" s="91">
        <f>IF(TrRoad_act!D63=0,0,TrRoad_ene!D66/TrRoad_tech!D94)</f>
        <v>1.0560030259881485</v>
      </c>
      <c r="E121" s="91">
        <f>IF(TrRoad_act!E63=0,0,TrRoad_ene!E66/TrRoad_tech!E94)</f>
        <v>1.048774505583284</v>
      </c>
      <c r="F121" s="91">
        <f>IF(TrRoad_act!F63=0,0,TrRoad_ene!F66/TrRoad_tech!F94)</f>
        <v>1.0369146319815465</v>
      </c>
      <c r="G121" s="91">
        <f>IF(TrRoad_act!G63=0,0,TrRoad_ene!G66/TrRoad_tech!G94)</f>
        <v>1.0402345634837702</v>
      </c>
      <c r="H121" s="91">
        <f>IF(TrRoad_act!H63=0,0,TrRoad_ene!H66/TrRoad_tech!H94)</f>
        <v>1.0068451738004209</v>
      </c>
      <c r="I121" s="91">
        <f>IF(TrRoad_act!I63=0,0,TrRoad_ene!I66/TrRoad_tech!I94)</f>
        <v>0.99391504618511106</v>
      </c>
      <c r="J121" s="91">
        <f>IF(TrRoad_act!J63=0,0,TrRoad_ene!J66/TrRoad_tech!J94)</f>
        <v>1.0294576396402504</v>
      </c>
      <c r="K121" s="91">
        <f>IF(TrRoad_act!K63=0,0,TrRoad_ene!K66/TrRoad_tech!K94)</f>
        <v>0.98791582058579308</v>
      </c>
      <c r="L121" s="91">
        <f>IF(TrRoad_act!L63=0,0,TrRoad_ene!L66/TrRoad_tech!L94)</f>
        <v>0.97404512522821296</v>
      </c>
      <c r="M121" s="91">
        <f>IF(TrRoad_act!M63=0,0,TrRoad_ene!M66/TrRoad_tech!M94)</f>
        <v>0.97604694403275283</v>
      </c>
      <c r="N121" s="91">
        <f>IF(TrRoad_act!N63=0,0,TrRoad_ene!N66/TrRoad_tech!N94)</f>
        <v>0.97680786164899847</v>
      </c>
      <c r="O121" s="91">
        <f>IF(TrRoad_act!O63=0,0,TrRoad_ene!O66/TrRoad_tech!O94)</f>
        <v>0.9787555069567585</v>
      </c>
      <c r="P121" s="91">
        <f>IF(TrRoad_act!P63=0,0,TrRoad_ene!P66/TrRoad_tech!P94)</f>
        <v>0.98467570637257928</v>
      </c>
      <c r="Q121" s="91">
        <f>IF(TrRoad_act!Q63=0,0,TrRoad_ene!Q66/TrRoad_tech!Q94)</f>
        <v>0.98994904844308762</v>
      </c>
      <c r="R121" s="91">
        <f>IF(TrRoad_act!R63=0,0,TrRoad_ene!R66/TrRoad_tech!R94)</f>
        <v>1.0374945611765753</v>
      </c>
      <c r="S121" s="91">
        <f>IF(TrRoad_act!S63=0,0,TrRoad_ene!S66/TrRoad_tech!S94)</f>
        <v>1.0406637143239208</v>
      </c>
      <c r="T121" s="91">
        <f>IF(TrRoad_act!T63=0,0,TrRoad_ene!T66/TrRoad_tech!T94)</f>
        <v>1.0455788354846618</v>
      </c>
      <c r="U121" s="91">
        <f>IF(TrRoad_act!U63=0,0,TrRoad_ene!U66/TrRoad_tech!U94)</f>
        <v>1.0500734800429647</v>
      </c>
      <c r="V121" s="91">
        <f>IF(TrRoad_act!V63=0,0,TrRoad_ene!V66/TrRoad_tech!V94)</f>
        <v>1.0542787022448383</v>
      </c>
      <c r="W121" s="91">
        <f>IF(TrRoad_act!W63=0,0,TrRoad_ene!W66/TrRoad_tech!W94)</f>
        <v>1.0482710050355186</v>
      </c>
      <c r="X121" s="91">
        <f>IF(TrRoad_act!X63=0,0,TrRoad_ene!X66/TrRoad_tech!X94)</f>
        <v>1.0440925991699728</v>
      </c>
      <c r="Y121" s="91">
        <f>IF(TrRoad_act!Y63=0,0,TrRoad_ene!Y66/TrRoad_tech!Y94)</f>
        <v>1.0632550573190673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1.0511111111157001</v>
      </c>
      <c r="L122" s="91">
        <f>IF(TrRoad_act!L64=0,0,TrRoad_ene!L67/TrRoad_tech!L95)</f>
        <v>1.0518478927585679</v>
      </c>
      <c r="M122" s="91">
        <f>IF(TrRoad_act!M64=0,0,TrRoad_ene!M67/TrRoad_tech!M95)</f>
        <v>1.0518686116174976</v>
      </c>
      <c r="N122" s="91">
        <f>IF(TrRoad_act!N64=0,0,TrRoad_ene!N67/TrRoad_tech!N95)</f>
        <v>1.0536214110034052</v>
      </c>
      <c r="O122" s="91">
        <f>IF(TrRoad_act!O64=0,0,TrRoad_ene!O67/TrRoad_tech!O95)</f>
        <v>1.0546391888508724</v>
      </c>
      <c r="P122" s="91">
        <f>IF(TrRoad_act!P64=0,0,TrRoad_ene!P67/TrRoad_tech!P95)</f>
        <v>1.0579270857755274</v>
      </c>
      <c r="Q122" s="91">
        <f>IF(TrRoad_act!Q64=0,0,TrRoad_ene!Q67/TrRoad_tech!Q95)</f>
        <v>1.0582192852549974</v>
      </c>
      <c r="R122" s="91">
        <f>IF(TrRoad_act!R64=0,0,TrRoad_ene!R67/TrRoad_tech!R95)</f>
        <v>1.0621690064202134</v>
      </c>
      <c r="S122" s="91">
        <f>IF(TrRoad_act!S64=0,0,TrRoad_ene!S67/TrRoad_tech!S95)</f>
        <v>1.0698661292122609</v>
      </c>
      <c r="T122" s="91">
        <f>IF(TrRoad_act!T64=0,0,TrRoad_ene!T67/TrRoad_tech!T95)</f>
        <v>1.0715978337246324</v>
      </c>
      <c r="U122" s="91">
        <f>IF(TrRoad_act!U64=0,0,TrRoad_ene!U67/TrRoad_tech!U95)</f>
        <v>1.0726164172913013</v>
      </c>
      <c r="V122" s="91">
        <f>IF(TrRoad_act!V64=0,0,TrRoad_ene!V67/TrRoad_tech!V95)</f>
        <v>1.072951086920338</v>
      </c>
      <c r="W122" s="91">
        <f>IF(TrRoad_act!W64=0,0,TrRoad_ene!W67/TrRoad_tech!W95)</f>
        <v>1.0736598851699433</v>
      </c>
      <c r="X122" s="91">
        <f>IF(TrRoad_act!X64=0,0,TrRoad_ene!X67/TrRoad_tech!X95)</f>
        <v>1.0743937834954014</v>
      </c>
      <c r="Y122" s="91">
        <f>IF(TrRoad_act!Y64=0,0,TrRoad_ene!Y67/TrRoad_tech!Y95)</f>
        <v>1.076426274270345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0</v>
      </c>
      <c r="P123" s="91">
        <f>IF(TrRoad_act!P65=0,0,TrRoad_ene!P68/TrRoad_tech!P96)</f>
        <v>1.1122114816675486</v>
      </c>
      <c r="Q123" s="91">
        <f>IF(TrRoad_act!Q65=0,0,TrRoad_ene!Q68/TrRoad_tech!Q96)</f>
        <v>1.1236559676740587</v>
      </c>
      <c r="R123" s="91">
        <f>IF(TrRoad_act!R65=0,0,TrRoad_ene!R68/TrRoad_tech!R96)</f>
        <v>1.1097492547946819</v>
      </c>
      <c r="S123" s="91">
        <f>IF(TrRoad_act!S65=0,0,TrRoad_ene!S68/TrRoad_tech!S96)</f>
        <v>1.0916680294196275</v>
      </c>
      <c r="T123" s="91">
        <f>IF(TrRoad_act!T65=0,0,TrRoad_ene!T68/TrRoad_tech!T96)</f>
        <v>1.062035976559673</v>
      </c>
      <c r="U123" s="91">
        <f>IF(TrRoad_act!U65=0,0,TrRoad_ene!U68/TrRoad_tech!U96)</f>
        <v>1.1049907229917646</v>
      </c>
      <c r="V123" s="91">
        <f>IF(TrRoad_act!V65=0,0,TrRoad_ene!V68/TrRoad_tech!V96)</f>
        <v>1.1482870825887819</v>
      </c>
      <c r="W123" s="91">
        <f>IF(TrRoad_act!W65=0,0,TrRoad_ene!W68/TrRoad_tech!W96)</f>
        <v>1.1676123789103194</v>
      </c>
      <c r="X123" s="91">
        <f>IF(TrRoad_act!X65=0,0,TrRoad_ene!X68/TrRoad_tech!X96)</f>
        <v>1.2484262535096149</v>
      </c>
      <c r="Y123" s="91">
        <f>IF(TrRoad_act!Y65=0,0,TrRoad_ene!Y68/TrRoad_tech!Y96)</f>
        <v>1.3205816126569325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0</v>
      </c>
      <c r="N124" s="91">
        <f>IF(TrRoad_act!N66=0,0,TrRoad_ene!N69/TrRoad_tech!N97)</f>
        <v>1.0655555555606795</v>
      </c>
      <c r="O124" s="91">
        <f>IF(TrRoad_act!O66=0,0,TrRoad_ene!O69/TrRoad_tech!O97)</f>
        <v>1.0663369922246597</v>
      </c>
      <c r="P124" s="91">
        <f>IF(TrRoad_act!P66=0,0,TrRoad_ene!P69/TrRoad_tech!P97)</f>
        <v>1.0725059253552494</v>
      </c>
      <c r="Q124" s="91">
        <f>IF(TrRoad_act!Q66=0,0,TrRoad_ene!Q69/TrRoad_tech!Q97)</f>
        <v>1.0781451046294888</v>
      </c>
      <c r="R124" s="91">
        <f>IF(TrRoad_act!R66=0,0,TrRoad_ene!R69/TrRoad_tech!R97)</f>
        <v>1.0812832903071317</v>
      </c>
      <c r="S124" s="91">
        <f>IF(TrRoad_act!S66=0,0,TrRoad_ene!S69/TrRoad_tech!S97)</f>
        <v>1.0836219643416691</v>
      </c>
      <c r="T124" s="91">
        <f>IF(TrRoad_act!T66=0,0,TrRoad_ene!T69/TrRoad_tech!T97)</f>
        <v>1.0888234383235262</v>
      </c>
      <c r="U124" s="91">
        <f>IF(TrRoad_act!U66=0,0,TrRoad_ene!U69/TrRoad_tech!U97)</f>
        <v>1.0926708247016779</v>
      </c>
      <c r="V124" s="91">
        <f>IF(TrRoad_act!V66=0,0,TrRoad_ene!V69/TrRoad_tech!V97)</f>
        <v>1.0956458188399025</v>
      </c>
      <c r="W124" s="91">
        <f>IF(TrRoad_act!W66=0,0,TrRoad_ene!W69/TrRoad_tech!W97)</f>
        <v>1.0975679648457408</v>
      </c>
      <c r="X124" s="91">
        <f>IF(TrRoad_act!X66=0,0,TrRoad_ene!X69/TrRoad_tech!X97)</f>
        <v>1.0984842047979555</v>
      </c>
      <c r="Y124" s="91">
        <f>IF(TrRoad_act!Y66=0,0,TrRoad_ene!Y69/TrRoad_tech!Y97)</f>
        <v>1.0991638303113931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1.0478268791938021</v>
      </c>
      <c r="C125" s="151">
        <f>IF(TrRoad_act!C67=0,0,TrRoad_ene!C70/TrRoad_tech!C98)</f>
        <v>1.0165785860260865</v>
      </c>
      <c r="D125" s="151">
        <f>IF(TrRoad_act!D67=0,0,TrRoad_ene!D70/TrRoad_tech!D98)</f>
        <v>1.0281327097321817</v>
      </c>
      <c r="E125" s="151">
        <f>IF(TrRoad_act!E67=0,0,TrRoad_ene!E70/TrRoad_tech!E98)</f>
        <v>1.0531849228410688</v>
      </c>
      <c r="F125" s="151">
        <f>IF(TrRoad_act!F67=0,0,TrRoad_ene!F70/TrRoad_tech!F98)</f>
        <v>1.0494579267003532</v>
      </c>
      <c r="G125" s="151">
        <f>IF(TrRoad_act!G67=0,0,TrRoad_ene!G70/TrRoad_tech!G98)</f>
        <v>1.0611733299415815</v>
      </c>
      <c r="H125" s="151">
        <f>IF(TrRoad_act!H67=0,0,TrRoad_ene!H70/TrRoad_tech!H98)</f>
        <v>1.0793961801920502</v>
      </c>
      <c r="I125" s="151">
        <f>IF(TrRoad_act!I67=0,0,TrRoad_ene!I70/TrRoad_tech!I98)</f>
        <v>1.1210232695189679</v>
      </c>
      <c r="J125" s="151">
        <f>IF(TrRoad_act!J67=0,0,TrRoad_ene!J70/TrRoad_tech!J98)</f>
        <v>1.1387251965897083</v>
      </c>
      <c r="K125" s="151">
        <f>IF(TrRoad_act!K67=0,0,TrRoad_ene!K70/TrRoad_tech!K98)</f>
        <v>1.1892224163903211</v>
      </c>
      <c r="L125" s="151">
        <f>IF(TrRoad_act!L67=0,0,TrRoad_ene!L70/TrRoad_tech!L98)</f>
        <v>1.1980256363661832</v>
      </c>
      <c r="M125" s="151">
        <f>IF(TrRoad_act!M67=0,0,TrRoad_ene!M70/TrRoad_tech!M98)</f>
        <v>1.1857324661530142</v>
      </c>
      <c r="N125" s="151">
        <f>IF(TrRoad_act!N67=0,0,TrRoad_ene!N70/TrRoad_tech!N98)</f>
        <v>1.2200136248785489</v>
      </c>
      <c r="O125" s="151">
        <f>IF(TrRoad_act!O67=0,0,TrRoad_ene!O70/TrRoad_tech!O98)</f>
        <v>1.2358290413553101</v>
      </c>
      <c r="P125" s="151">
        <f>IF(TrRoad_act!P67=0,0,TrRoad_ene!P70/TrRoad_tech!P98)</f>
        <v>1.231702168293231</v>
      </c>
      <c r="Q125" s="151">
        <f>IF(TrRoad_act!Q67=0,0,TrRoad_ene!Q70/TrRoad_tech!Q98)</f>
        <v>1.2641901153645778</v>
      </c>
      <c r="R125" s="151">
        <f>IF(TrRoad_act!R67=0,0,TrRoad_ene!R70/TrRoad_tech!R98)</f>
        <v>1.2279323828032649</v>
      </c>
      <c r="S125" s="151">
        <f>IF(TrRoad_act!S67=0,0,TrRoad_ene!S70/TrRoad_tech!S98)</f>
        <v>1.2724990556284126</v>
      </c>
      <c r="T125" s="151">
        <f>IF(TrRoad_act!T67=0,0,TrRoad_ene!T70/TrRoad_tech!T98)</f>
        <v>1.2389087899104847</v>
      </c>
      <c r="U125" s="151">
        <f>IF(TrRoad_act!U67=0,0,TrRoad_ene!U70/TrRoad_tech!U98)</f>
        <v>1.3307423732486836</v>
      </c>
      <c r="V125" s="151">
        <f>IF(TrRoad_act!V67=0,0,TrRoad_ene!V70/TrRoad_tech!V98)</f>
        <v>1.3523517159164247</v>
      </c>
      <c r="W125" s="151">
        <f>IF(TrRoad_act!W67=0,0,TrRoad_ene!W70/TrRoad_tech!W98)</f>
        <v>1.3392052171237903</v>
      </c>
      <c r="X125" s="151">
        <f>IF(TrRoad_act!X67=0,0,TrRoad_ene!X70/TrRoad_tech!X98)</f>
        <v>1.3483306146521388</v>
      </c>
      <c r="Y125" s="151">
        <f>IF(TrRoad_act!Y67=0,0,TrRoad_ene!Y70/TrRoad_tech!Y98)</f>
        <v>1.4302731771600699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1.100518343941872</v>
      </c>
      <c r="D126" s="93">
        <f>IF(TrRoad_act!D68=0,0,TrRoad_ene!D71/TrRoad_tech!D99)</f>
        <v>1.1016390254769193</v>
      </c>
      <c r="E126" s="93">
        <f>IF(TrRoad_act!E68=0,0,TrRoad_ene!E71/TrRoad_tech!E99)</f>
        <v>1.1021632348603274</v>
      </c>
      <c r="F126" s="93">
        <f>IF(TrRoad_act!F68=0,0,TrRoad_ene!F71/TrRoad_tech!F99)</f>
        <v>1.1030323751985429</v>
      </c>
      <c r="G126" s="93">
        <f>IF(TrRoad_act!G68=0,0,TrRoad_ene!G71/TrRoad_tech!G99)</f>
        <v>1.106121274008202</v>
      </c>
      <c r="H126" s="93">
        <f>IF(TrRoad_act!H68=0,0,TrRoad_ene!H71/TrRoad_tech!H99)</f>
        <v>1.1111772049088759</v>
      </c>
      <c r="I126" s="93">
        <f>IF(TrRoad_act!I68=0,0,TrRoad_ene!I71/TrRoad_tech!I99)</f>
        <v>1.1117636254100707</v>
      </c>
      <c r="J126" s="93">
        <f>IF(TrRoad_act!J68=0,0,TrRoad_ene!J71/TrRoad_tech!J99)</f>
        <v>1.1237718707311557</v>
      </c>
      <c r="K126" s="93">
        <f>IF(TrRoad_act!K68=0,0,TrRoad_ene!K71/TrRoad_tech!K99)</f>
        <v>1.1248490298086693</v>
      </c>
      <c r="L126" s="93">
        <f>IF(TrRoad_act!L68=0,0,TrRoad_ene!L71/TrRoad_tech!L99)</f>
        <v>1.1283956512078861</v>
      </c>
      <c r="M126" s="93">
        <f>IF(TrRoad_act!M68=0,0,TrRoad_ene!M71/TrRoad_tech!M99)</f>
        <v>1.1300936280690073</v>
      </c>
      <c r="N126" s="93">
        <f>IF(TrRoad_act!N68=0,0,TrRoad_ene!N71/TrRoad_tech!N99)</f>
        <v>1.1385591854887813</v>
      </c>
      <c r="O126" s="93">
        <f>IF(TrRoad_act!O68=0,0,TrRoad_ene!O71/TrRoad_tech!O99)</f>
        <v>1.1697332803824534</v>
      </c>
      <c r="P126" s="93">
        <f>IF(TrRoad_act!P68=0,0,TrRoad_ene!P71/TrRoad_tech!P99)</f>
        <v>1.1723953668055676</v>
      </c>
      <c r="Q126" s="93">
        <f>IF(TrRoad_act!Q68=0,0,TrRoad_ene!Q71/TrRoad_tech!Q99)</f>
        <v>1.1771367924613998</v>
      </c>
      <c r="R126" s="93">
        <f>IF(TrRoad_act!R68=0,0,TrRoad_ene!R71/TrRoad_tech!R99)</f>
        <v>1.1788850322067455</v>
      </c>
      <c r="S126" s="93">
        <f>IF(TrRoad_act!S68=0,0,TrRoad_ene!S71/TrRoad_tech!S99)</f>
        <v>1.1806688434181305</v>
      </c>
      <c r="T126" s="93">
        <f>IF(TrRoad_act!T68=0,0,TrRoad_ene!T71/TrRoad_tech!T99)</f>
        <v>1.1825397115184375</v>
      </c>
      <c r="U126" s="93">
        <f>IF(TrRoad_act!U68=0,0,TrRoad_ene!U71/TrRoad_tech!U99)</f>
        <v>1.1864828127673581</v>
      </c>
      <c r="V126" s="93">
        <f>IF(TrRoad_act!V68=0,0,TrRoad_ene!V71/TrRoad_tech!V99)</f>
        <v>1.188655987411557</v>
      </c>
      <c r="W126" s="93">
        <f>IF(TrRoad_act!W68=0,0,TrRoad_ene!W71/TrRoad_tech!W99)</f>
        <v>1.1916042219619511</v>
      </c>
      <c r="X126" s="93">
        <f>IF(TrRoad_act!X68=0,0,TrRoad_ene!X71/TrRoad_tech!X99)</f>
        <v>1.1992463794990471</v>
      </c>
      <c r="Y126" s="93">
        <f>IF(TrRoad_act!Y68=0,0,TrRoad_ene!Y71/TrRoad_tech!Y99)</f>
        <v>1.2038194638667503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1.0465995483498152</v>
      </c>
      <c r="C127" s="93">
        <f>IF(TrRoad_act!C69=0,0,TrRoad_ene!C72/TrRoad_tech!C100)</f>
        <v>1.0205485691669431</v>
      </c>
      <c r="D127" s="93">
        <f>IF(TrRoad_act!D69=0,0,TrRoad_ene!D72/TrRoad_tech!D100)</f>
        <v>1.0345281624074676</v>
      </c>
      <c r="E127" s="93">
        <f>IF(TrRoad_act!E69=0,0,TrRoad_ene!E72/TrRoad_tech!E100)</f>
        <v>1.0620360275744907</v>
      </c>
      <c r="F127" s="93">
        <f>IF(TrRoad_act!F69=0,0,TrRoad_ene!F72/TrRoad_tech!F100)</f>
        <v>1.0600603708248304</v>
      </c>
      <c r="G127" s="93">
        <f>IF(TrRoad_act!G69=0,0,TrRoad_ene!G72/TrRoad_tech!G100)</f>
        <v>1.0731740434675234</v>
      </c>
      <c r="H127" s="93">
        <f>IF(TrRoad_act!H69=0,0,TrRoad_ene!H72/TrRoad_tech!H100)</f>
        <v>1.0923674327224075</v>
      </c>
      <c r="I127" s="93">
        <f>IF(TrRoad_act!I69=0,0,TrRoad_ene!I72/TrRoad_tech!I100)</f>
        <v>1.1349807054194452</v>
      </c>
      <c r="J127" s="93">
        <f>IF(TrRoad_act!J69=0,0,TrRoad_ene!J72/TrRoad_tech!J100)</f>
        <v>1.1522847076270137</v>
      </c>
      <c r="K127" s="93">
        <f>IF(TrRoad_act!K69=0,0,TrRoad_ene!K72/TrRoad_tech!K100)</f>
        <v>1.2006345528710827</v>
      </c>
      <c r="L127" s="93">
        <f>IF(TrRoad_act!L69=0,0,TrRoad_ene!L72/TrRoad_tech!L100)</f>
        <v>1.2019041329137483</v>
      </c>
      <c r="M127" s="93">
        <f>IF(TrRoad_act!M69=0,0,TrRoad_ene!M72/TrRoad_tech!M100)</f>
        <v>1.1983143210939817</v>
      </c>
      <c r="N127" s="93">
        <f>IF(TrRoad_act!N69=0,0,TrRoad_ene!N72/TrRoad_tech!N100)</f>
        <v>1.2305006381049168</v>
      </c>
      <c r="O127" s="93">
        <f>IF(TrRoad_act!O69=0,0,TrRoad_ene!O72/TrRoad_tech!O100)</f>
        <v>1.2467859277552487</v>
      </c>
      <c r="P127" s="93">
        <f>IF(TrRoad_act!P69=0,0,TrRoad_ene!P72/TrRoad_tech!P100)</f>
        <v>1.2399563727403502</v>
      </c>
      <c r="Q127" s="93">
        <f>IF(TrRoad_act!Q69=0,0,TrRoad_ene!Q72/TrRoad_tech!Q100)</f>
        <v>1.270786810566978</v>
      </c>
      <c r="R127" s="93">
        <f>IF(TrRoad_act!R69=0,0,TrRoad_ene!R72/TrRoad_tech!R100)</f>
        <v>1.2319787652297156</v>
      </c>
      <c r="S127" s="93">
        <f>IF(TrRoad_act!S69=0,0,TrRoad_ene!S72/TrRoad_tech!S100)</f>
        <v>1.2800344262000463</v>
      </c>
      <c r="T127" s="93">
        <f>IF(TrRoad_act!T69=0,0,TrRoad_ene!T72/TrRoad_tech!T100)</f>
        <v>1.2467911982256927</v>
      </c>
      <c r="U127" s="93">
        <f>IF(TrRoad_act!U69=0,0,TrRoad_ene!U72/TrRoad_tech!U100)</f>
        <v>1.3452267866535208</v>
      </c>
      <c r="V127" s="93">
        <f>IF(TrRoad_act!V69=0,0,TrRoad_ene!V72/TrRoad_tech!V100)</f>
        <v>1.3676014381790575</v>
      </c>
      <c r="W127" s="93">
        <f>IF(TrRoad_act!W69=0,0,TrRoad_ene!W72/TrRoad_tech!W100)</f>
        <v>1.3610115539886534</v>
      </c>
      <c r="X127" s="93">
        <f>IF(TrRoad_act!X69=0,0,TrRoad_ene!X72/TrRoad_tech!X100)</f>
        <v>1.3755316693854043</v>
      </c>
      <c r="Y127" s="93">
        <f>IF(TrRoad_act!Y69=0,0,TrRoad_ene!Y72/TrRoad_tech!Y100)</f>
        <v>1.4636791612921871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1.1560000000067703</v>
      </c>
      <c r="J128" s="93">
        <f>IF(TrRoad_act!J70=0,0,TrRoad_ene!J73/TrRoad_tech!J101)</f>
        <v>1.1560000000067703</v>
      </c>
      <c r="K128" s="93">
        <f>IF(TrRoad_act!K70=0,0,TrRoad_ene!K73/TrRoad_tech!K101)</f>
        <v>1.1560000000067705</v>
      </c>
      <c r="L128" s="93">
        <f>IF(TrRoad_act!L70=0,0,TrRoad_ene!L73/TrRoad_tech!L101)</f>
        <v>1.1560000000067703</v>
      </c>
      <c r="M128" s="93">
        <f>IF(TrRoad_act!M70=0,0,TrRoad_ene!M73/TrRoad_tech!M101)</f>
        <v>1.1886947931870269</v>
      </c>
      <c r="N128" s="93">
        <f>IF(TrRoad_act!N70=0,0,TrRoad_ene!N73/TrRoad_tech!N101)</f>
        <v>1.1886947931870271</v>
      </c>
      <c r="O128" s="93">
        <f>IF(TrRoad_act!O70=0,0,TrRoad_ene!O73/TrRoad_tech!O101)</f>
        <v>1.2466971901477863</v>
      </c>
      <c r="P128" s="93">
        <f>IF(TrRoad_act!P70=0,0,TrRoad_ene!P73/TrRoad_tech!P101)</f>
        <v>1.250971230973277</v>
      </c>
      <c r="Q128" s="93">
        <f>IF(TrRoad_act!Q70=0,0,TrRoad_ene!Q73/TrRoad_tech!Q101)</f>
        <v>1.250971230973277</v>
      </c>
      <c r="R128" s="93">
        <f>IF(TrRoad_act!R70=0,0,TrRoad_ene!R73/TrRoad_tech!R101)</f>
        <v>1.2509712309732772</v>
      </c>
      <c r="S128" s="93">
        <f>IF(TrRoad_act!S70=0,0,TrRoad_ene!S73/TrRoad_tech!S101)</f>
        <v>1.2565555713077232</v>
      </c>
      <c r="T128" s="93">
        <f>IF(TrRoad_act!T70=0,0,TrRoad_ene!T73/TrRoad_tech!T101)</f>
        <v>1.2565555713077228</v>
      </c>
      <c r="U128" s="93">
        <f>IF(TrRoad_act!U70=0,0,TrRoad_ene!U73/TrRoad_tech!U101)</f>
        <v>1.2631999546540285</v>
      </c>
      <c r="V128" s="93">
        <f>IF(TrRoad_act!V70=0,0,TrRoad_ene!V73/TrRoad_tech!V101)</f>
        <v>1.2809469655240602</v>
      </c>
      <c r="W128" s="93">
        <f>IF(TrRoad_act!W70=0,0,TrRoad_ene!W73/TrRoad_tech!W101)</f>
        <v>1.2809469655240602</v>
      </c>
      <c r="X128" s="93">
        <f>IF(TrRoad_act!X70=0,0,TrRoad_ene!X73/TrRoad_tech!X101)</f>
        <v>1.282461799033108</v>
      </c>
      <c r="Y128" s="93">
        <f>IF(TrRoad_act!Y70=0,0,TrRoad_ene!Y73/TrRoad_tech!Y101)</f>
        <v>1.2824617990331075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1.9639892107774359</v>
      </c>
      <c r="L129" s="93">
        <f>IF(TrRoad_act!L71=0,0,TrRoad_ene!L74/TrRoad_tech!L102)</f>
        <v>3.4517658932018138</v>
      </c>
      <c r="M129" s="93">
        <f>IF(TrRoad_act!M71=0,0,TrRoad_ene!M74/TrRoad_tech!M102)</f>
        <v>0.92091344565197253</v>
      </c>
      <c r="N129" s="93">
        <f>IF(TrRoad_act!N71=0,0,TrRoad_ene!N74/TrRoad_tech!N102)</f>
        <v>1.0439097757099411</v>
      </c>
      <c r="O129" s="93">
        <f>IF(TrRoad_act!O71=0,0,TrRoad_ene!O74/TrRoad_tech!O102)</f>
        <v>1.0710306367426932</v>
      </c>
      <c r="P129" s="93">
        <f>IF(TrRoad_act!P71=0,0,TrRoad_ene!P74/TrRoad_tech!P102)</f>
        <v>1.1099517122131617</v>
      </c>
      <c r="Q129" s="93">
        <f>IF(TrRoad_act!Q71=0,0,TrRoad_ene!Q74/TrRoad_tech!Q102)</f>
        <v>1.145295285839967</v>
      </c>
      <c r="R129" s="93">
        <f>IF(TrRoad_act!R71=0,0,TrRoad_ene!R74/TrRoad_tech!R102)</f>
        <v>1.2571819760144776</v>
      </c>
      <c r="S129" s="93">
        <f>IF(TrRoad_act!S71=0,0,TrRoad_ene!S74/TrRoad_tech!S102)</f>
        <v>1.2232896123379704</v>
      </c>
      <c r="T129" s="93">
        <f>IF(TrRoad_act!T71=0,0,TrRoad_ene!T74/TrRoad_tech!T102)</f>
        <v>1.2233780992344481</v>
      </c>
      <c r="U129" s="93">
        <f>IF(TrRoad_act!U71=0,0,TrRoad_ene!U74/TrRoad_tech!U102)</f>
        <v>1.2236467662990036</v>
      </c>
      <c r="V129" s="93">
        <f>IF(TrRoad_act!V71=0,0,TrRoad_ene!V74/TrRoad_tech!V102)</f>
        <v>1.2327875498883649</v>
      </c>
      <c r="W129" s="93">
        <f>IF(TrRoad_act!W71=0,0,TrRoad_ene!W74/TrRoad_tech!W102)</f>
        <v>1.2327743488885881</v>
      </c>
      <c r="X129" s="93">
        <f>IF(TrRoad_act!X71=0,0,TrRoad_ene!X74/TrRoad_tech!X102)</f>
        <v>1.2753988575592228</v>
      </c>
      <c r="Y129" s="93">
        <f>IF(TrRoad_act!Y71=0,0,TrRoad_ene!Y74/TrRoad_tech!Y102)</f>
        <v>1.2771234381724281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0</v>
      </c>
      <c r="Q130" s="93">
        <f>IF(TrRoad_act!Q72=0,0,TrRoad_ene!Q75/TrRoad_tech!Q103)</f>
        <v>1.3000000000070027</v>
      </c>
      <c r="R130" s="93">
        <f>IF(TrRoad_act!R72=0,0,TrRoad_ene!R75/TrRoad_tech!R103)</f>
        <v>1.3059243493407484</v>
      </c>
      <c r="S130" s="93">
        <f>IF(TrRoad_act!S72=0,0,TrRoad_ene!S75/TrRoad_tech!S103)</f>
        <v>1.3059243493407484</v>
      </c>
      <c r="T130" s="93">
        <f>IF(TrRoad_act!T72=0,0,TrRoad_ene!T75/TrRoad_tech!T103)</f>
        <v>1.3059243493407484</v>
      </c>
      <c r="U130" s="93">
        <f>IF(TrRoad_act!U72=0,0,TrRoad_ene!U75/TrRoad_tech!U103)</f>
        <v>1.3059243493407484</v>
      </c>
      <c r="V130" s="93">
        <f>IF(TrRoad_act!V72=0,0,TrRoad_ene!V75/TrRoad_tech!V103)</f>
        <v>1.3059243493407484</v>
      </c>
      <c r="W130" s="93">
        <f>IF(TrRoad_act!W72=0,0,TrRoad_ene!W75/TrRoad_tech!W103)</f>
        <v>1.3340154260126762</v>
      </c>
      <c r="X130" s="93">
        <f>IF(TrRoad_act!X72=0,0,TrRoad_ene!X75/TrRoad_tech!X103)</f>
        <v>1.3594684228376674</v>
      </c>
      <c r="Y130" s="93">
        <f>IF(TrRoad_act!Y72=0,0,TrRoad_ene!Y75/TrRoad_tech!Y103)</f>
        <v>1.3599463639967124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1.2010672961892028</v>
      </c>
      <c r="C132" s="150">
        <f>IF(TrRoad_act!C74=0,0,TrRoad_ene!C77/TrRoad_tech!C105)</f>
        <v>1.1178970052406945</v>
      </c>
      <c r="D132" s="150">
        <f>IF(TrRoad_act!D74=0,0,TrRoad_ene!D77/TrRoad_tech!D105)</f>
        <v>1.1563861512899218</v>
      </c>
      <c r="E132" s="150">
        <f>IF(TrRoad_act!E74=0,0,TrRoad_ene!E77/TrRoad_tech!E105)</f>
        <v>1.162626814710632</v>
      </c>
      <c r="F132" s="150">
        <f>IF(TrRoad_act!F74=0,0,TrRoad_ene!F77/TrRoad_tech!F105)</f>
        <v>1.16453016107757</v>
      </c>
      <c r="G132" s="150">
        <f>IF(TrRoad_act!G74=0,0,TrRoad_ene!G77/TrRoad_tech!G105)</f>
        <v>1.1921838638098157</v>
      </c>
      <c r="H132" s="150">
        <f>IF(TrRoad_act!H74=0,0,TrRoad_ene!H77/TrRoad_tech!H105)</f>
        <v>1.1644854893196928</v>
      </c>
      <c r="I132" s="150">
        <f>IF(TrRoad_act!I74=0,0,TrRoad_ene!I77/TrRoad_tech!I105)</f>
        <v>1.1858676318871371</v>
      </c>
      <c r="J132" s="150">
        <f>IF(TrRoad_act!J74=0,0,TrRoad_ene!J77/TrRoad_tech!J105)</f>
        <v>1.1956934509680803</v>
      </c>
      <c r="K132" s="150">
        <f>IF(TrRoad_act!K74=0,0,TrRoad_ene!K77/TrRoad_tech!K105)</f>
        <v>1.2032730671243193</v>
      </c>
      <c r="L132" s="150">
        <f>IF(TrRoad_act!L74=0,0,TrRoad_ene!L77/TrRoad_tech!L105)</f>
        <v>1.2128144531752942</v>
      </c>
      <c r="M132" s="150">
        <f>IF(TrRoad_act!M74=0,0,TrRoad_ene!M77/TrRoad_tech!M105)</f>
        <v>1.2049347753417643</v>
      </c>
      <c r="N132" s="150">
        <f>IF(TrRoad_act!N74=0,0,TrRoad_ene!N77/TrRoad_tech!N105)</f>
        <v>1.2206700779606012</v>
      </c>
      <c r="O132" s="150">
        <f>IF(TrRoad_act!O74=0,0,TrRoad_ene!O77/TrRoad_tech!O105)</f>
        <v>1.2020715712566379</v>
      </c>
      <c r="P132" s="150">
        <f>IF(TrRoad_act!P74=0,0,TrRoad_ene!P77/TrRoad_tech!P105)</f>
        <v>1.1686117225458437</v>
      </c>
      <c r="Q132" s="150">
        <f>IF(TrRoad_act!Q74=0,0,TrRoad_ene!Q77/TrRoad_tech!Q105)</f>
        <v>1.1763798681554543</v>
      </c>
      <c r="R132" s="150">
        <f>IF(TrRoad_act!R74=0,0,TrRoad_ene!R77/TrRoad_tech!R105)</f>
        <v>1.1717292650310669</v>
      </c>
      <c r="S132" s="150">
        <f>IF(TrRoad_act!S74=0,0,TrRoad_ene!S77/TrRoad_tech!S105)</f>
        <v>1.226995354004371</v>
      </c>
      <c r="T132" s="150">
        <f>IF(TrRoad_act!T74=0,0,TrRoad_ene!T77/TrRoad_tech!T105)</f>
        <v>1.2130760741286586</v>
      </c>
      <c r="U132" s="150">
        <f>IF(TrRoad_act!U74=0,0,TrRoad_ene!U77/TrRoad_tech!U105)</f>
        <v>1.2535794346471636</v>
      </c>
      <c r="V132" s="150">
        <f>IF(TrRoad_act!V74=0,0,TrRoad_ene!V77/TrRoad_tech!V105)</f>
        <v>1.2584728632467188</v>
      </c>
      <c r="W132" s="150">
        <f>IF(TrRoad_act!W74=0,0,TrRoad_ene!W77/TrRoad_tech!W105)</f>
        <v>1.2909498782869153</v>
      </c>
      <c r="X132" s="150">
        <f>IF(TrRoad_act!X74=0,0,TrRoad_ene!X77/TrRoad_tech!X105)</f>
        <v>1.3101606245961628</v>
      </c>
      <c r="Y132" s="150">
        <f>IF(TrRoad_act!Y74=0,0,TrRoad_ene!Y77/TrRoad_tech!Y105)</f>
        <v>1.3481651634636986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1.1001653032922214</v>
      </c>
      <c r="D133" s="91">
        <f>IF(TrRoad_act!D75=0,0,TrRoad_ene!D78/TrRoad_tech!D106)</f>
        <v>1.1002775359845702</v>
      </c>
      <c r="E133" s="91">
        <f>IF(TrRoad_act!E75=0,0,TrRoad_ene!E78/TrRoad_tech!E106)</f>
        <v>1.1004319353449077</v>
      </c>
      <c r="F133" s="91">
        <f>IF(TrRoad_act!F75=0,0,TrRoad_ene!F78/TrRoad_tech!F106)</f>
        <v>1.1006000128305558</v>
      </c>
      <c r="G133" s="91">
        <f>IF(TrRoad_act!G75=0,0,TrRoad_ene!G78/TrRoad_tech!G106)</f>
        <v>1.1008598935962732</v>
      </c>
      <c r="H133" s="91">
        <f>IF(TrRoad_act!H75=0,0,TrRoad_ene!H78/TrRoad_tech!H106)</f>
        <v>1.1016712222999472</v>
      </c>
      <c r="I133" s="91">
        <f>IF(TrRoad_act!I75=0,0,TrRoad_ene!I78/TrRoad_tech!I106)</f>
        <v>1.1033816449606579</v>
      </c>
      <c r="J133" s="91">
        <f>IF(TrRoad_act!J75=0,0,TrRoad_ene!J78/TrRoad_tech!J106)</f>
        <v>1.1056652770770805</v>
      </c>
      <c r="K133" s="91">
        <f>IF(TrRoad_act!K75=0,0,TrRoad_ene!K78/TrRoad_tech!K106)</f>
        <v>1.1083349304909496</v>
      </c>
      <c r="L133" s="91">
        <f>IF(TrRoad_act!L75=0,0,TrRoad_ene!L78/TrRoad_tech!L106)</f>
        <v>1.1105120803344384</v>
      </c>
      <c r="M133" s="91">
        <f>IF(TrRoad_act!M75=0,0,TrRoad_ene!M78/TrRoad_tech!M106)</f>
        <v>1.1124557630604108</v>
      </c>
      <c r="N133" s="91">
        <f>IF(TrRoad_act!N75=0,0,TrRoad_ene!N78/TrRoad_tech!N106)</f>
        <v>1.1180266789325557</v>
      </c>
      <c r="O133" s="91">
        <f>IF(TrRoad_act!O75=0,0,TrRoad_ene!O78/TrRoad_tech!O106)</f>
        <v>1.120488105631035</v>
      </c>
      <c r="P133" s="91">
        <f>IF(TrRoad_act!P75=0,0,TrRoad_ene!P78/TrRoad_tech!P106)</f>
        <v>1.1255406116715785</v>
      </c>
      <c r="Q133" s="91">
        <f>IF(TrRoad_act!Q75=0,0,TrRoad_ene!Q78/TrRoad_tech!Q106)</f>
        <v>1.1345325179492542</v>
      </c>
      <c r="R133" s="91">
        <f>IF(TrRoad_act!R75=0,0,TrRoad_ene!R78/TrRoad_tech!R106)</f>
        <v>1.1470504353609505</v>
      </c>
      <c r="S133" s="91">
        <f>IF(TrRoad_act!S75=0,0,TrRoad_ene!S78/TrRoad_tech!S106)</f>
        <v>1.1591867119864379</v>
      </c>
      <c r="T133" s="91">
        <f>IF(TrRoad_act!T75=0,0,TrRoad_ene!T78/TrRoad_tech!T106)</f>
        <v>1.1706898203856808</v>
      </c>
      <c r="U133" s="91">
        <f>IF(TrRoad_act!U75=0,0,TrRoad_ene!U78/TrRoad_tech!U106)</f>
        <v>1.1825687807236682</v>
      </c>
      <c r="V133" s="91">
        <f>IF(TrRoad_act!V75=0,0,TrRoad_ene!V78/TrRoad_tech!V106)</f>
        <v>1.1924694225018999</v>
      </c>
      <c r="W133" s="91">
        <f>IF(TrRoad_act!W75=0,0,TrRoad_ene!W78/TrRoad_tech!W106)</f>
        <v>1.2089849283887957</v>
      </c>
      <c r="X133" s="91">
        <f>IF(TrRoad_act!X75=0,0,TrRoad_ene!X78/TrRoad_tech!X106)</f>
        <v>1.2309906150337808</v>
      </c>
      <c r="Y133" s="91">
        <f>IF(TrRoad_act!Y75=0,0,TrRoad_ene!Y78/TrRoad_tech!Y106)</f>
        <v>1.2540249831672359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1.2226583829380728</v>
      </c>
      <c r="C134" s="91">
        <f>IF(TrRoad_act!C76=0,0,TrRoad_ene!C79/TrRoad_tech!C107)</f>
        <v>1.1337749892617861</v>
      </c>
      <c r="D134" s="91">
        <f>IF(TrRoad_act!D76=0,0,TrRoad_ene!D79/TrRoad_tech!D107)</f>
        <v>1.182274184096489</v>
      </c>
      <c r="E134" s="91">
        <f>IF(TrRoad_act!E76=0,0,TrRoad_ene!E79/TrRoad_tech!E107)</f>
        <v>1.1898781148554716</v>
      </c>
      <c r="F134" s="91">
        <f>IF(TrRoad_act!F76=0,0,TrRoad_ene!F79/TrRoad_tech!F107)</f>
        <v>1.1912677062980577</v>
      </c>
      <c r="G134" s="91">
        <f>IF(TrRoad_act!G76=0,0,TrRoad_ene!G79/TrRoad_tech!G107)</f>
        <v>1.2215643085651582</v>
      </c>
      <c r="H134" s="91">
        <f>IF(TrRoad_act!H76=0,0,TrRoad_ene!H79/TrRoad_tech!H107)</f>
        <v>1.1892845945866424</v>
      </c>
      <c r="I134" s="91">
        <f>IF(TrRoad_act!I76=0,0,TrRoad_ene!I79/TrRoad_tech!I107)</f>
        <v>1.206667928550776</v>
      </c>
      <c r="J134" s="91">
        <f>IF(TrRoad_act!J76=0,0,TrRoad_ene!J79/TrRoad_tech!J107)</f>
        <v>1.2153773074668577</v>
      </c>
      <c r="K134" s="91">
        <f>IF(TrRoad_act!K76=0,0,TrRoad_ene!K79/TrRoad_tech!K107)</f>
        <v>1.2228445454627033</v>
      </c>
      <c r="L134" s="91">
        <f>IF(TrRoad_act!L76=0,0,TrRoad_ene!L79/TrRoad_tech!L107)</f>
        <v>1.2295215722160127</v>
      </c>
      <c r="M134" s="91">
        <f>IF(TrRoad_act!M76=0,0,TrRoad_ene!M79/TrRoad_tech!M107)</f>
        <v>1.2185971138441722</v>
      </c>
      <c r="N134" s="91">
        <f>IF(TrRoad_act!N76=0,0,TrRoad_ene!N79/TrRoad_tech!N107)</f>
        <v>1.2296642341827368</v>
      </c>
      <c r="O134" s="91">
        <f>IF(TrRoad_act!O76=0,0,TrRoad_ene!O79/TrRoad_tech!O107)</f>
        <v>1.2103101806025884</v>
      </c>
      <c r="P134" s="91">
        <f>IF(TrRoad_act!P76=0,0,TrRoad_ene!P79/TrRoad_tech!P107)</f>
        <v>1.1775306610097556</v>
      </c>
      <c r="Q134" s="91">
        <f>IF(TrRoad_act!Q76=0,0,TrRoad_ene!Q79/TrRoad_tech!Q107)</f>
        <v>1.1936139425580263</v>
      </c>
      <c r="R134" s="91">
        <f>IF(TrRoad_act!R76=0,0,TrRoad_ene!R79/TrRoad_tech!R107)</f>
        <v>1.1891975230063954</v>
      </c>
      <c r="S134" s="91">
        <f>IF(TrRoad_act!S76=0,0,TrRoad_ene!S79/TrRoad_tech!S107)</f>
        <v>1.2450363510471429</v>
      </c>
      <c r="T134" s="91">
        <f>IF(TrRoad_act!T76=0,0,TrRoad_ene!T79/TrRoad_tech!T107)</f>
        <v>1.2285889424592704</v>
      </c>
      <c r="U134" s="91">
        <f>IF(TrRoad_act!U76=0,0,TrRoad_ene!U79/TrRoad_tech!U107)</f>
        <v>1.270355272211205</v>
      </c>
      <c r="V134" s="91">
        <f>IF(TrRoad_act!V76=0,0,TrRoad_ene!V79/TrRoad_tech!V107)</f>
        <v>1.2749394394594507</v>
      </c>
      <c r="W134" s="91">
        <f>IF(TrRoad_act!W76=0,0,TrRoad_ene!W79/TrRoad_tech!W107)</f>
        <v>1.3059031662459795</v>
      </c>
      <c r="X134" s="91">
        <f>IF(TrRoad_act!X76=0,0,TrRoad_ene!X79/TrRoad_tech!X107)</f>
        <v>1.3235676275419448</v>
      </c>
      <c r="Y134" s="91">
        <f>IF(TrRoad_act!Y76=0,0,TrRoad_ene!Y79/TrRoad_tech!Y107)</f>
        <v>1.3631901382436602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1.1176967558015221</v>
      </c>
      <c r="J135" s="91">
        <f>IF(TrRoad_act!J77=0,0,TrRoad_ene!J80/TrRoad_tech!J108)</f>
        <v>1.1226494017848361</v>
      </c>
      <c r="K135" s="91">
        <f>IF(TrRoad_act!K77=0,0,TrRoad_ene!K80/TrRoad_tech!K108)</f>
        <v>1.1251715510203193</v>
      </c>
      <c r="L135" s="91">
        <f>IF(TrRoad_act!L77=0,0,TrRoad_ene!L80/TrRoad_tech!L108)</f>
        <v>1.125491188030648</v>
      </c>
      <c r="M135" s="91">
        <f>IF(TrRoad_act!M77=0,0,TrRoad_ene!M80/TrRoad_tech!M108)</f>
        <v>1.1259676812884287</v>
      </c>
      <c r="N135" s="91">
        <f>IF(TrRoad_act!N77=0,0,TrRoad_ene!N80/TrRoad_tech!N108)</f>
        <v>1.1262409307998809</v>
      </c>
      <c r="O135" s="91">
        <f>IF(TrRoad_act!O77=0,0,TrRoad_ene!O80/TrRoad_tech!O108)</f>
        <v>1.1307123508621852</v>
      </c>
      <c r="P135" s="91">
        <f>IF(TrRoad_act!P77=0,0,TrRoad_ene!P80/TrRoad_tech!P108)</f>
        <v>1.1405114405003391</v>
      </c>
      <c r="Q135" s="91">
        <f>IF(TrRoad_act!Q77=0,0,TrRoad_ene!Q80/TrRoad_tech!Q108)</f>
        <v>1.1478874727486794</v>
      </c>
      <c r="R135" s="91">
        <f>IF(TrRoad_act!R77=0,0,TrRoad_ene!R80/TrRoad_tech!R108)</f>
        <v>1.1558498986669992</v>
      </c>
      <c r="S135" s="91">
        <f>IF(TrRoad_act!S77=0,0,TrRoad_ene!S80/TrRoad_tech!S108)</f>
        <v>1.1688645968257381</v>
      </c>
      <c r="T135" s="91">
        <f>IF(TrRoad_act!T77=0,0,TrRoad_ene!T80/TrRoad_tech!T108)</f>
        <v>1.1799743917001397</v>
      </c>
      <c r="U135" s="91">
        <f>IF(TrRoad_act!U77=0,0,TrRoad_ene!U80/TrRoad_tech!U108)</f>
        <v>1.1908036295945255</v>
      </c>
      <c r="V135" s="91">
        <f>IF(TrRoad_act!V77=0,0,TrRoad_ene!V80/TrRoad_tech!V108)</f>
        <v>1.1961823190059069</v>
      </c>
      <c r="W135" s="91">
        <f>IF(TrRoad_act!W77=0,0,TrRoad_ene!W80/TrRoad_tech!W108)</f>
        <v>1.2112835381079776</v>
      </c>
      <c r="X135" s="91">
        <f>IF(TrRoad_act!X77=0,0,TrRoad_ene!X80/TrRoad_tech!X108)</f>
        <v>1.2223188649784815</v>
      </c>
      <c r="Y135" s="91">
        <f>IF(TrRoad_act!Y77=0,0,TrRoad_ene!Y80/TrRoad_tech!Y108)</f>
        <v>1.2326930857131033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1.1840000000065631</v>
      </c>
      <c r="L136" s="91">
        <f>IF(TrRoad_act!L78=0,0,TrRoad_ene!L81/TrRoad_tech!L109)</f>
        <v>1.1865438898273057</v>
      </c>
      <c r="M136" s="91">
        <f>IF(TrRoad_act!M78=0,0,TrRoad_ene!M81/TrRoad_tech!M109)</f>
        <v>1.1885539307975281</v>
      </c>
      <c r="N136" s="91">
        <f>IF(TrRoad_act!N78=0,0,TrRoad_ene!N81/TrRoad_tech!N109)</f>
        <v>1.2028359271150515</v>
      </c>
      <c r="O136" s="91">
        <f>IF(TrRoad_act!O78=0,0,TrRoad_ene!O81/TrRoad_tech!O109)</f>
        <v>1.2028359271150511</v>
      </c>
      <c r="P136" s="91">
        <f>IF(TrRoad_act!P78=0,0,TrRoad_ene!P81/TrRoad_tech!P109)</f>
        <v>1.2097512145969689</v>
      </c>
      <c r="Q136" s="91">
        <f>IF(TrRoad_act!Q78=0,0,TrRoad_ene!Q81/TrRoad_tech!Q109)</f>
        <v>1.214716899621183</v>
      </c>
      <c r="R136" s="91">
        <f>IF(TrRoad_act!R78=0,0,TrRoad_ene!R81/TrRoad_tech!R109)</f>
        <v>1.2268231072362441</v>
      </c>
      <c r="S136" s="91">
        <f>IF(TrRoad_act!S78=0,0,TrRoad_ene!S81/TrRoad_tech!S109)</f>
        <v>1.2514599200751442</v>
      </c>
      <c r="T136" s="91">
        <f>IF(TrRoad_act!T78=0,0,TrRoad_ene!T81/TrRoad_tech!T109)</f>
        <v>1.2570983433876046</v>
      </c>
      <c r="U136" s="91">
        <f>IF(TrRoad_act!U78=0,0,TrRoad_ene!U81/TrRoad_tech!U109)</f>
        <v>1.2588714606402471</v>
      </c>
      <c r="V136" s="91">
        <f>IF(TrRoad_act!V78=0,0,TrRoad_ene!V81/TrRoad_tech!V109)</f>
        <v>1.2634067203834942</v>
      </c>
      <c r="W136" s="91">
        <f>IF(TrRoad_act!W78=0,0,TrRoad_ene!W81/TrRoad_tech!W109)</f>
        <v>1.2709442878258137</v>
      </c>
      <c r="X136" s="91">
        <f>IF(TrRoad_act!X78=0,0,TrRoad_ene!X81/TrRoad_tech!X109)</f>
        <v>1.2736104334745293</v>
      </c>
      <c r="Y136" s="91">
        <f>IF(TrRoad_act!Y78=0,0,TrRoad_ene!Y81/TrRoad_tech!Y109)</f>
        <v>1.2778598940528889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1.1160000000058976</v>
      </c>
      <c r="F137" s="91">
        <f>IF(TrRoad_act!F79=0,0,TrRoad_ene!F82/TrRoad_tech!F110)</f>
        <v>1.1160000000058972</v>
      </c>
      <c r="G137" s="91">
        <f>IF(TrRoad_act!G79=0,0,TrRoad_ene!G82/TrRoad_tech!G110)</f>
        <v>1.1217580792743895</v>
      </c>
      <c r="H137" s="91">
        <f>IF(TrRoad_act!H79=0,0,TrRoad_ene!H82/TrRoad_tech!H110)</f>
        <v>1.1217580792743893</v>
      </c>
      <c r="I137" s="91">
        <f>IF(TrRoad_act!I79=0,0,TrRoad_ene!I82/TrRoad_tech!I110)</f>
        <v>1.1217580792743893</v>
      </c>
      <c r="J137" s="91">
        <f>IF(TrRoad_act!J79=0,0,TrRoad_ene!J82/TrRoad_tech!J110)</f>
        <v>1.1416384226660996</v>
      </c>
      <c r="K137" s="91">
        <f>IF(TrRoad_act!K79=0,0,TrRoad_ene!K82/TrRoad_tech!K110)</f>
        <v>1.1491229128185334</v>
      </c>
      <c r="L137" s="91">
        <f>IF(TrRoad_act!L79=0,0,TrRoad_ene!L82/TrRoad_tech!L110)</f>
        <v>1.1491229128185336</v>
      </c>
      <c r="M137" s="91">
        <f>IF(TrRoad_act!M79=0,0,TrRoad_ene!M82/TrRoad_tech!M110)</f>
        <v>1.1554335162397453</v>
      </c>
      <c r="N137" s="91">
        <f>IF(TrRoad_act!N79=0,0,TrRoad_ene!N82/TrRoad_tech!N110)</f>
        <v>1.1807160527778833</v>
      </c>
      <c r="O137" s="91">
        <f>IF(TrRoad_act!O79=0,0,TrRoad_ene!O82/TrRoad_tech!O110)</f>
        <v>1.1807160527778833</v>
      </c>
      <c r="P137" s="91">
        <f>IF(TrRoad_act!P79=0,0,TrRoad_ene!P82/TrRoad_tech!P110)</f>
        <v>1.1947729858989047</v>
      </c>
      <c r="Q137" s="91">
        <f>IF(TrRoad_act!Q79=0,0,TrRoad_ene!Q82/TrRoad_tech!Q110)</f>
        <v>1.2807265724943169</v>
      </c>
      <c r="R137" s="91">
        <f>IF(TrRoad_act!R79=0,0,TrRoad_ene!R82/TrRoad_tech!R110)</f>
        <v>1.2931390869898036</v>
      </c>
      <c r="S137" s="91">
        <f>IF(TrRoad_act!S79=0,0,TrRoad_ene!S82/TrRoad_tech!S110)</f>
        <v>1.2992899643422731</v>
      </c>
      <c r="T137" s="91">
        <f>IF(TrRoad_act!T79=0,0,TrRoad_ene!T82/TrRoad_tech!T110)</f>
        <v>1.3122509001885934</v>
      </c>
      <c r="U137" s="91">
        <f>IF(TrRoad_act!U79=0,0,TrRoad_ene!U82/TrRoad_tech!U110)</f>
        <v>1.3245300135368057</v>
      </c>
      <c r="V137" s="91">
        <f>IF(TrRoad_act!V79=0,0,TrRoad_ene!V82/TrRoad_tech!V110)</f>
        <v>1.3342487969288721</v>
      </c>
      <c r="W137" s="91">
        <f>IF(TrRoad_act!W79=0,0,TrRoad_ene!W82/TrRoad_tech!W110)</f>
        <v>1.3430526170442374</v>
      </c>
      <c r="X137" s="91">
        <f>IF(TrRoad_act!X79=0,0,TrRoad_ene!X82/TrRoad_tech!X110)</f>
        <v>1.3603252269956678</v>
      </c>
      <c r="Y137" s="91">
        <f>IF(TrRoad_act!Y79=0,0,TrRoad_ene!Y82/TrRoad_tech!Y110)</f>
        <v>1.3615522202863544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0.89539739357608361</v>
      </c>
      <c r="C138" s="151">
        <f>IF(TrRoad_act!C80=0,0,TrRoad_ene!C83/TrRoad_tech!C111)</f>
        <v>0.74422504178704629</v>
      </c>
      <c r="D138" s="151">
        <f>IF(TrRoad_act!D80=0,0,TrRoad_ene!D83/TrRoad_tech!D111)</f>
        <v>0.89600948663359314</v>
      </c>
      <c r="E138" s="151">
        <f>IF(TrRoad_act!E80=0,0,TrRoad_ene!E83/TrRoad_tech!E111)</f>
        <v>0.93381552266968082</v>
      </c>
      <c r="F138" s="151">
        <f>IF(TrRoad_act!F80=0,0,TrRoad_ene!F83/TrRoad_tech!F111)</f>
        <v>0.94199428303288124</v>
      </c>
      <c r="G138" s="151">
        <f>IF(TrRoad_act!G80=0,0,TrRoad_ene!G83/TrRoad_tech!G111)</f>
        <v>0.93576073064972631</v>
      </c>
      <c r="H138" s="151">
        <f>IF(TrRoad_act!H80=0,0,TrRoad_ene!H83/TrRoad_tech!H111)</f>
        <v>0.95371616050993069</v>
      </c>
      <c r="I138" s="151">
        <f>IF(TrRoad_act!I80=0,0,TrRoad_ene!I83/TrRoad_tech!I111)</f>
        <v>1.0029682064065655</v>
      </c>
      <c r="J138" s="151">
        <f>IF(TrRoad_act!J80=0,0,TrRoad_ene!J83/TrRoad_tech!J111)</f>
        <v>1.044681852246605</v>
      </c>
      <c r="K138" s="151">
        <f>IF(TrRoad_act!K80=0,0,TrRoad_ene!K83/TrRoad_tech!K111)</f>
        <v>1.1225595209208103</v>
      </c>
      <c r="L138" s="151">
        <f>IF(TrRoad_act!L80=0,0,TrRoad_ene!L83/TrRoad_tech!L111)</f>
        <v>1.1813260985334868</v>
      </c>
      <c r="M138" s="151">
        <f>IF(TrRoad_act!M80=0,0,TrRoad_ene!M83/TrRoad_tech!M111)</f>
        <v>1.1405844200817896</v>
      </c>
      <c r="N138" s="151">
        <f>IF(TrRoad_act!N80=0,0,TrRoad_ene!N83/TrRoad_tech!N111)</f>
        <v>1.1105027406235861</v>
      </c>
      <c r="O138" s="151">
        <f>IF(TrRoad_act!O80=0,0,TrRoad_ene!O83/TrRoad_tech!O111)</f>
        <v>1.3188549502175715</v>
      </c>
      <c r="P138" s="151">
        <f>IF(TrRoad_act!P80=0,0,TrRoad_ene!P83/TrRoad_tech!P111)</f>
        <v>1.212860655579733</v>
      </c>
      <c r="Q138" s="151">
        <f>IF(TrRoad_act!Q80=0,0,TrRoad_ene!Q83/TrRoad_tech!Q111)</f>
        <v>1.2108131016394392</v>
      </c>
      <c r="R138" s="151">
        <f>IF(TrRoad_act!R80=0,0,TrRoad_ene!R83/TrRoad_tech!R111)</f>
        <v>1.1154273513619111</v>
      </c>
      <c r="S138" s="151">
        <f>IF(TrRoad_act!S80=0,0,TrRoad_ene!S83/TrRoad_tech!S111)</f>
        <v>1.3482230831361905</v>
      </c>
      <c r="T138" s="151">
        <f>IF(TrRoad_act!T80=0,0,TrRoad_ene!T83/TrRoad_tech!T111)</f>
        <v>1.253341438916695</v>
      </c>
      <c r="U138" s="151">
        <f>IF(TrRoad_act!U80=0,0,TrRoad_ene!U83/TrRoad_tech!U111)</f>
        <v>1.561084462908374</v>
      </c>
      <c r="V138" s="151">
        <f>IF(TrRoad_act!V80=0,0,TrRoad_ene!V83/TrRoad_tech!V111)</f>
        <v>1.5131684539389709</v>
      </c>
      <c r="W138" s="151">
        <f>IF(TrRoad_act!W80=0,0,TrRoad_ene!W83/TrRoad_tech!W111)</f>
        <v>1.4977297364333708</v>
      </c>
      <c r="X138" s="151">
        <f>IF(TrRoad_act!X80=0,0,TrRoad_ene!X83/TrRoad_tech!X111)</f>
        <v>1.5210152061568534</v>
      </c>
      <c r="Y138" s="151">
        <f>IF(TrRoad_act!Y80=0,0,TrRoad_ene!Y83/TrRoad_tech!Y111)</f>
        <v>1.7150803458291262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1.0180553689170548</v>
      </c>
      <c r="C139" s="93">
        <f>IF(TrRoad_act!C81=0,0,TrRoad_ene!C84/TrRoad_tech!C112)</f>
        <v>0.97923066267136882</v>
      </c>
      <c r="D139" s="93">
        <f>IF(TrRoad_act!D81=0,0,TrRoad_ene!D84/TrRoad_tech!D112)</f>
        <v>1.0249475348129589</v>
      </c>
      <c r="E139" s="93">
        <f>IF(TrRoad_act!E81=0,0,TrRoad_ene!E84/TrRoad_tech!E112)</f>
        <v>1.0382338849743147</v>
      </c>
      <c r="F139" s="93">
        <f>IF(TrRoad_act!F81=0,0,TrRoad_ene!F84/TrRoad_tech!F112)</f>
        <v>1.0421131912357147</v>
      </c>
      <c r="G139" s="93">
        <f>IF(TrRoad_act!G81=0,0,TrRoad_ene!G84/TrRoad_tech!G112)</f>
        <v>1.0414745038111404</v>
      </c>
      <c r="H139" s="93">
        <f>IF(TrRoad_act!H81=0,0,TrRoad_ene!H84/TrRoad_tech!H112)</f>
        <v>1.0527163742373669</v>
      </c>
      <c r="I139" s="93">
        <f>IF(TrRoad_act!I81=0,0,TrRoad_ene!I84/TrRoad_tech!I112)</f>
        <v>1.0684129281601016</v>
      </c>
      <c r="J139" s="93">
        <f>IF(TrRoad_act!J81=0,0,TrRoad_ene!J84/TrRoad_tech!J112)</f>
        <v>1.0890587640083536</v>
      </c>
      <c r="K139" s="93">
        <f>IF(TrRoad_act!K81=0,0,TrRoad_ene!K84/TrRoad_tech!K112)</f>
        <v>1.1146065150256503</v>
      </c>
      <c r="L139" s="93">
        <f>IF(TrRoad_act!L81=0,0,TrRoad_ene!L84/TrRoad_tech!L112)</f>
        <v>1.1325114382545145</v>
      </c>
      <c r="M139" s="93">
        <f>IF(TrRoad_act!M81=0,0,TrRoad_ene!M84/TrRoad_tech!M112)</f>
        <v>1.1241463760669332</v>
      </c>
      <c r="N139" s="93">
        <f>IF(TrRoad_act!N81=0,0,TrRoad_ene!N84/TrRoad_tech!N112)</f>
        <v>1.1193327174682719</v>
      </c>
      <c r="O139" s="93">
        <f>IF(TrRoad_act!O81=0,0,TrRoad_ene!O84/TrRoad_tech!O112)</f>
        <v>1.1879283150784206</v>
      </c>
      <c r="P139" s="93">
        <f>IF(TrRoad_act!P81=0,0,TrRoad_ene!P84/TrRoad_tech!P112)</f>
        <v>1.1649721926524028</v>
      </c>
      <c r="Q139" s="93">
        <f>IF(TrRoad_act!Q81=0,0,TrRoad_ene!Q84/TrRoad_tech!Q112)</f>
        <v>1.1754194529894566</v>
      </c>
      <c r="R139" s="93">
        <f>IF(TrRoad_act!R81=0,0,TrRoad_ene!R84/TrRoad_tech!R112)</f>
        <v>1.1564941699226048</v>
      </c>
      <c r="S139" s="93">
        <f>IF(TrRoad_act!S81=0,0,TrRoad_ene!S84/TrRoad_tech!S112)</f>
        <v>1.2326634064127659</v>
      </c>
      <c r="T139" s="93">
        <f>IF(TrRoad_act!T81=0,0,TrRoad_ene!T84/TrRoad_tech!T112)</f>
        <v>1.2176758178016791</v>
      </c>
      <c r="U139" s="93">
        <f>IF(TrRoad_act!U81=0,0,TrRoad_ene!U84/TrRoad_tech!U112)</f>
        <v>1.314575313488727</v>
      </c>
      <c r="V139" s="93">
        <f>IF(TrRoad_act!V81=0,0,TrRoad_ene!V84/TrRoad_tech!V112)</f>
        <v>1.3120228803584124</v>
      </c>
      <c r="W139" s="93">
        <f>IF(TrRoad_act!W81=0,0,TrRoad_ene!W84/TrRoad_tech!W112)</f>
        <v>1.3246739969278303</v>
      </c>
      <c r="X139" s="93">
        <f>IF(TrRoad_act!X81=0,0,TrRoad_ene!X84/TrRoad_tech!X112)</f>
        <v>1.340062065339958</v>
      </c>
      <c r="Y139" s="93">
        <f>IF(TrRoad_act!Y81=0,0,TrRoad_ene!Y84/TrRoad_tech!Y112)</f>
        <v>1.4095877479237167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0.72552836557976974</v>
      </c>
      <c r="C140" s="94">
        <f>IF(TrRoad_act!C82=0,0,TrRoad_ene!C85/TrRoad_tech!C113)</f>
        <v>0.45992729672904675</v>
      </c>
      <c r="D140" s="94">
        <f>IF(TrRoad_act!D82=0,0,TrRoad_ene!D85/TrRoad_tech!D113)</f>
        <v>0.6563083329573387</v>
      </c>
      <c r="E140" s="94">
        <f>IF(TrRoad_act!E82=0,0,TrRoad_ene!E85/TrRoad_tech!E113)</f>
        <v>0.69974450345860439</v>
      </c>
      <c r="F140" s="94">
        <f>IF(TrRoad_act!F82=0,0,TrRoad_ene!F85/TrRoad_tech!F113)</f>
        <v>0.73410559599390623</v>
      </c>
      <c r="G140" s="94">
        <f>IF(TrRoad_act!G82=0,0,TrRoad_ene!G85/TrRoad_tech!G113)</f>
        <v>0.72955763913993776</v>
      </c>
      <c r="H140" s="94">
        <f>IF(TrRoad_act!H82=0,0,TrRoad_ene!H85/TrRoad_tech!H113)</f>
        <v>0.71350647808832213</v>
      </c>
      <c r="I140" s="94">
        <f>IF(TrRoad_act!I82=0,0,TrRoad_ene!I85/TrRoad_tech!I113)</f>
        <v>0.81641384406117312</v>
      </c>
      <c r="J140" s="94">
        <f>IF(TrRoad_act!J82=0,0,TrRoad_ene!J85/TrRoad_tech!J113)</f>
        <v>0.84581511586556768</v>
      </c>
      <c r="K140" s="94">
        <f>IF(TrRoad_act!K82=0,0,TrRoad_ene!K85/TrRoad_tech!K113)</f>
        <v>1.0292500480915838</v>
      </c>
      <c r="L140" s="94">
        <f>IF(TrRoad_act!L82=0,0,TrRoad_ene!L85/TrRoad_tech!L113)</f>
        <v>1.1735882919805094</v>
      </c>
      <c r="M140" s="94">
        <f>IF(TrRoad_act!M82=0,0,TrRoad_ene!M85/TrRoad_tech!M113)</f>
        <v>1.074057484810188</v>
      </c>
      <c r="N140" s="94">
        <f>IF(TrRoad_act!N82=0,0,TrRoad_ene!N85/TrRoad_tech!N113)</f>
        <v>0.99756863152129549</v>
      </c>
      <c r="O140" s="94">
        <f>IF(TrRoad_act!O82=0,0,TrRoad_ene!O85/TrRoad_tech!O113)</f>
        <v>1.4612914914514994</v>
      </c>
      <c r="P140" s="94">
        <f>IF(TrRoad_act!P82=0,0,TrRoad_ene!P85/TrRoad_tech!P113)</f>
        <v>1.1888981660929296</v>
      </c>
      <c r="Q140" s="94">
        <f>IF(TrRoad_act!Q82=0,0,TrRoad_ene!Q85/TrRoad_tech!Q113)</f>
        <v>1.1603675263914162</v>
      </c>
      <c r="R140" s="94">
        <f>IF(TrRoad_act!R82=0,0,TrRoad_ene!R85/TrRoad_tech!R113)</f>
        <v>0.95760954423524092</v>
      </c>
      <c r="S140" s="94">
        <f>IF(TrRoad_act!S82=0,0,TrRoad_ene!S85/TrRoad_tech!S113)</f>
        <v>1.3916309368298716</v>
      </c>
      <c r="T140" s="94">
        <f>IF(TrRoad_act!T82=0,0,TrRoad_ene!T85/TrRoad_tech!T113)</f>
        <v>1.1849822185117849</v>
      </c>
      <c r="U140" s="94">
        <f>IF(TrRoad_act!U82=0,0,TrRoad_ene!U85/TrRoad_tech!U113)</f>
        <v>1.749805786045163</v>
      </c>
      <c r="V140" s="94">
        <f>IF(TrRoad_act!V82=0,0,TrRoad_ene!V85/TrRoad_tech!V113)</f>
        <v>1.6347636438886273</v>
      </c>
      <c r="W140" s="94">
        <f>IF(TrRoad_act!W82=0,0,TrRoad_ene!W85/TrRoad_tech!W113)</f>
        <v>1.5922018590308102</v>
      </c>
      <c r="X140" s="94">
        <f>IF(TrRoad_act!X82=0,0,TrRoad_ene!X85/TrRoad_tech!X113)</f>
        <v>1.6140245816764365</v>
      </c>
      <c r="Y140" s="94">
        <f>IF(TrRoad_act!Y82=0,0,TrRoad_ene!Y85/TrRoad_tech!Y113)</f>
        <v>1.9464832237437661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0</v>
      </c>
      <c r="C144" s="141">
        <v>3.2773213118879281</v>
      </c>
      <c r="D144" s="141">
        <v>3.2145497888881529</v>
      </c>
      <c r="E144" s="141">
        <v>3.204087868388191</v>
      </c>
      <c r="F144" s="141">
        <v>3.1866513342215876</v>
      </c>
      <c r="G144" s="141">
        <v>3.1238798112218125</v>
      </c>
      <c r="H144" s="141">
        <v>3.1099305838885285</v>
      </c>
      <c r="I144" s="141">
        <v>3.0680829018886788</v>
      </c>
      <c r="J144" s="141">
        <v>3.0401844472221122</v>
      </c>
      <c r="K144" s="141">
        <v>2.9843875378889786</v>
      </c>
      <c r="L144" s="141">
        <v>2.879768332889356</v>
      </c>
      <c r="M144" s="141">
        <v>2.7751491278897302</v>
      </c>
      <c r="N144" s="141">
        <v>2.6496060818901808</v>
      </c>
      <c r="O144" s="141">
        <v>2.5449868768905559</v>
      </c>
      <c r="P144" s="141">
        <v>2.4961645812240629</v>
      </c>
      <c r="Q144" s="141">
        <v>2.5571364548051232</v>
      </c>
      <c r="R144" s="141">
        <v>2.4312354300341101</v>
      </c>
      <c r="S144" s="141">
        <v>2.3934651226028061</v>
      </c>
      <c r="T144" s="141">
        <v>2.3632488766577628</v>
      </c>
      <c r="U144" s="141">
        <v>2.3390758799017282</v>
      </c>
      <c r="V144" s="141">
        <v>2.3197374824969006</v>
      </c>
      <c r="W144" s="141">
        <v>2.3042667645730384</v>
      </c>
      <c r="X144" s="141">
        <v>2.2918901902339486</v>
      </c>
      <c r="Y144" s="141">
        <v>2.2819889307626768</v>
      </c>
      <c r="DA144" s="174" t="s">
        <v>887</v>
      </c>
    </row>
    <row r="145" spans="1:105" ht="11.45" customHeight="1" x14ac:dyDescent="0.25">
      <c r="A145" s="109" t="s">
        <v>20</v>
      </c>
      <c r="B145" s="130">
        <v>5.7853100894570142</v>
      </c>
      <c r="C145" s="130">
        <v>5.7210645122251345</v>
      </c>
      <c r="D145" s="130">
        <v>5.6468840139548515</v>
      </c>
      <c r="E145" s="130">
        <v>5.6121126210402448</v>
      </c>
      <c r="F145" s="130">
        <v>5.5892353440851208</v>
      </c>
      <c r="G145" s="130">
        <v>5.5473736210338904</v>
      </c>
      <c r="H145" s="130">
        <v>5.5333783071223719</v>
      </c>
      <c r="I145" s="130">
        <v>5.5089045849166256</v>
      </c>
      <c r="J145" s="130">
        <v>5.4486923813483941</v>
      </c>
      <c r="K145" s="130">
        <v>5.3199129180085603</v>
      </c>
      <c r="L145" s="130">
        <v>5.8209275185410583</v>
      </c>
      <c r="M145" s="130">
        <v>5.6177851241940289</v>
      </c>
      <c r="N145" s="130">
        <v>5.474646709180929</v>
      </c>
      <c r="O145" s="130">
        <v>5.2694571167827364</v>
      </c>
      <c r="P145" s="130">
        <v>4.7984403202182238</v>
      </c>
      <c r="Q145" s="130">
        <v>4.6816722673725941</v>
      </c>
      <c r="R145" s="130">
        <v>4.5875796870001899</v>
      </c>
      <c r="S145" s="130">
        <v>4.6822727791417798</v>
      </c>
      <c r="T145" s="130">
        <v>4.7259999209375954</v>
      </c>
      <c r="U145" s="130">
        <v>4.819694050354987</v>
      </c>
      <c r="V145" s="130">
        <v>4.5767902159730536</v>
      </c>
      <c r="W145" s="130">
        <v>4.4478634463517865</v>
      </c>
      <c r="X145" s="130">
        <v>4.4889887198299272</v>
      </c>
      <c r="Y145" s="130">
        <v>4.456049109690599</v>
      </c>
      <c r="DA145" s="176" t="s">
        <v>888</v>
      </c>
    </row>
    <row r="146" spans="1:105" ht="11.45" customHeight="1" x14ac:dyDescent="0.25">
      <c r="A146" s="111" t="s">
        <v>110</v>
      </c>
      <c r="B146" s="96">
        <v>5.8259753199689372</v>
      </c>
      <c r="C146" s="96">
        <v>5.7648120741690843</v>
      </c>
      <c r="D146" s="96">
        <v>5.6976057157914664</v>
      </c>
      <c r="E146" s="96">
        <v>5.6864046560618622</v>
      </c>
      <c r="F146" s="96">
        <v>5.6677362231791912</v>
      </c>
      <c r="G146" s="96">
        <v>5.6005298648015716</v>
      </c>
      <c r="H146" s="96">
        <v>5.5855951184954336</v>
      </c>
      <c r="I146" s="96">
        <v>5.5407908795770231</v>
      </c>
      <c r="J146" s="96">
        <v>5.5109213869647453</v>
      </c>
      <c r="K146" s="96">
        <v>5.451182401740196</v>
      </c>
      <c r="L146" s="96">
        <v>5.8506898403467638</v>
      </c>
      <c r="M146" s="96">
        <v>5.6500375448318172</v>
      </c>
      <c r="N146" s="96">
        <v>5.4952327236995817</v>
      </c>
      <c r="O146" s="96">
        <v>5.2740622135466229</v>
      </c>
      <c r="P146" s="96">
        <v>4.9292111754625481</v>
      </c>
      <c r="Q146" s="96">
        <v>4.8432117621237394</v>
      </c>
      <c r="R146" s="96">
        <v>4.7645930548493762</v>
      </c>
      <c r="S146" s="96">
        <v>4.7826354756482052</v>
      </c>
      <c r="T146" s="96">
        <v>4.8345794635182049</v>
      </c>
      <c r="U146" s="96">
        <v>4.9147032191529663</v>
      </c>
      <c r="V146" s="96">
        <v>4.7134939088203369</v>
      </c>
      <c r="W146" s="96">
        <v>4.5461759308646563</v>
      </c>
      <c r="X146" s="96">
        <v>4.5465894542881484</v>
      </c>
      <c r="Y146" s="96">
        <v>4.5202197568714002</v>
      </c>
      <c r="DA146" s="171" t="s">
        <v>889</v>
      </c>
    </row>
    <row r="147" spans="1:105" ht="11.45" customHeight="1" x14ac:dyDescent="0.25">
      <c r="A147" s="111" t="s">
        <v>111</v>
      </c>
      <c r="B147" s="96">
        <v>5.7301242890168336</v>
      </c>
      <c r="C147" s="96">
        <v>5.6463795452344687</v>
      </c>
      <c r="D147" s="96">
        <v>5.5547645056448394</v>
      </c>
      <c r="E147" s="96">
        <v>5.5089569858500269</v>
      </c>
      <c r="F147" s="96">
        <v>5.5089569858500269</v>
      </c>
      <c r="G147" s="96">
        <v>5.496902375377708</v>
      </c>
      <c r="H147" s="96">
        <v>5.496902375377708</v>
      </c>
      <c r="I147" s="96">
        <v>5.496902375377708</v>
      </c>
      <c r="J147" s="96">
        <v>5.4004654915991503</v>
      </c>
      <c r="K147" s="96">
        <v>5.2075917240420395</v>
      </c>
      <c r="L147" s="96">
        <v>5.7781424754941657</v>
      </c>
      <c r="M147" s="96">
        <v>5.5793813650300699</v>
      </c>
      <c r="N147" s="96">
        <v>5.4581670939918974</v>
      </c>
      <c r="O147" s="96">
        <v>5.2665987604983568</v>
      </c>
      <c r="P147" s="96">
        <v>4.7045562679018742</v>
      </c>
      <c r="Q147" s="96">
        <v>4.5818259972688038</v>
      </c>
      <c r="R147" s="96">
        <v>4.5257737573573831</v>
      </c>
      <c r="S147" s="96">
        <v>4.5850728535433651</v>
      </c>
      <c r="T147" s="96">
        <v>4.6894499816482931</v>
      </c>
      <c r="U147" s="96">
        <v>4.6869769611759571</v>
      </c>
      <c r="V147" s="96">
        <v>4.5162337661902923</v>
      </c>
      <c r="W147" s="96">
        <v>4.4461730325180273</v>
      </c>
      <c r="X147" s="96">
        <v>4.5498246360861403</v>
      </c>
      <c r="Y147" s="96">
        <v>4.4844593861835769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5.5738764382765584</v>
      </c>
      <c r="D148" s="96">
        <v>5.4834377941029846</v>
      </c>
      <c r="E148" s="96">
        <v>5.4382184720161977</v>
      </c>
      <c r="F148" s="96">
        <v>5.4382184720161977</v>
      </c>
      <c r="G148" s="96">
        <v>5.4263186504144114</v>
      </c>
      <c r="H148" s="96">
        <v>5.4263186504144114</v>
      </c>
      <c r="I148" s="96">
        <v>5.4263186504144114</v>
      </c>
      <c r="J148" s="96">
        <v>5.3311200776001231</v>
      </c>
      <c r="K148" s="96">
        <v>5.1407229319715473</v>
      </c>
      <c r="L148" s="96">
        <v>5.4638132837772142</v>
      </c>
      <c r="M148" s="96">
        <v>5.5240922651896671</v>
      </c>
      <c r="N148" s="96">
        <v>5.4092975045724909</v>
      </c>
      <c r="O148" s="96">
        <v>5.2733204033133241</v>
      </c>
      <c r="P148" s="96">
        <v>5.1407229319715473</v>
      </c>
      <c r="Q148" s="96">
        <v>5.1090316231165112</v>
      </c>
      <c r="R148" s="96">
        <v>4.4835127585347676</v>
      </c>
      <c r="S148" s="96">
        <v>5.2691976016662077</v>
      </c>
      <c r="T148" s="96">
        <v>4.6275455421861462</v>
      </c>
      <c r="U148" s="96">
        <v>5.7607484914880951</v>
      </c>
      <c r="V148" s="96">
        <v>4.7294222230360807</v>
      </c>
      <c r="W148" s="96">
        <v>4.5620267591348522</v>
      </c>
      <c r="X148" s="96">
        <v>4.5397192779276025</v>
      </c>
      <c r="Y148" s="96">
        <v>4.444383694790532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6.5427640797623141</v>
      </c>
      <c r="L149" s="96">
        <v>6.3705124193587919</v>
      </c>
      <c r="M149" s="96">
        <v>0</v>
      </c>
      <c r="N149" s="96">
        <v>6.1204448403670701</v>
      </c>
      <c r="O149" s="96">
        <v>5.2088883838099127</v>
      </c>
      <c r="P149" s="96">
        <v>5.9153757433467469</v>
      </c>
      <c r="Q149" s="96">
        <v>0</v>
      </c>
      <c r="R149" s="96">
        <v>5.9153757433467469</v>
      </c>
      <c r="S149" s="96">
        <v>5.3155092762728859</v>
      </c>
      <c r="T149" s="96">
        <v>5.3358645901571853</v>
      </c>
      <c r="U149" s="96">
        <v>4.9428303241403375</v>
      </c>
      <c r="V149" s="96">
        <v>4.3852276920912798</v>
      </c>
      <c r="W149" s="96">
        <v>4.5019870081317617</v>
      </c>
      <c r="X149" s="96">
        <v>4.4943454407025971</v>
      </c>
      <c r="Y149" s="96">
        <v>0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0</v>
      </c>
      <c r="P150" s="96">
        <v>3.1212081755279701</v>
      </c>
      <c r="Q150" s="96">
        <v>3.1836226396696556</v>
      </c>
      <c r="R150" s="96">
        <v>3.7840512487615903</v>
      </c>
      <c r="S150" s="96">
        <v>4.0033085740002665</v>
      </c>
      <c r="T150" s="96">
        <v>4.0547748811291457</v>
      </c>
      <c r="U150" s="96">
        <v>3.7323041581322709</v>
      </c>
      <c r="V150" s="96">
        <v>3.2742784689237272</v>
      </c>
      <c r="W150" s="96">
        <v>3.4598009839330697</v>
      </c>
      <c r="X150" s="96">
        <v>2.9437576342364133</v>
      </c>
      <c r="Y150" s="96">
        <v>3.2789197504018306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0</v>
      </c>
      <c r="N151" s="96">
        <v>1.0783737209331545</v>
      </c>
      <c r="O151" s="96">
        <v>1.1228965183163711</v>
      </c>
      <c r="P151" s="96">
        <v>1.1144916991864542</v>
      </c>
      <c r="Q151" s="96">
        <v>1.0464945578088625</v>
      </c>
      <c r="R151" s="96">
        <v>1.0322832799187052</v>
      </c>
      <c r="S151" s="96">
        <v>1.087313374501681</v>
      </c>
      <c r="T151" s="96">
        <v>1.2929922613929492</v>
      </c>
      <c r="U151" s="96">
        <v>1.5433440162588916</v>
      </c>
      <c r="V151" s="96">
        <v>1.4413491509028376</v>
      </c>
      <c r="W151" s="96">
        <v>1.3796497342644498</v>
      </c>
      <c r="X151" s="96">
        <v>1.4148171732635797</v>
      </c>
      <c r="Y151" s="96">
        <v>1.4275732071390173</v>
      </c>
      <c r="DA151" s="171" t="s">
        <v>894</v>
      </c>
    </row>
    <row r="152" spans="1:105" ht="11.45" customHeight="1" x14ac:dyDescent="0.25">
      <c r="A152" s="109" t="s">
        <v>21</v>
      </c>
      <c r="B152" s="130">
        <v>46.236978869260717</v>
      </c>
      <c r="C152" s="130">
        <v>45.94925355351041</v>
      </c>
      <c r="D152" s="130">
        <v>45.807280449321752</v>
      </c>
      <c r="E152" s="130">
        <v>45.970182955985727</v>
      </c>
      <c r="F152" s="130">
        <v>45.932199529826406</v>
      </c>
      <c r="G152" s="130">
        <v>45.687355283984459</v>
      </c>
      <c r="H152" s="130">
        <v>45.611301840662399</v>
      </c>
      <c r="I152" s="130">
        <v>45.716346814912207</v>
      </c>
      <c r="J152" s="130">
        <v>45.323627568897003</v>
      </c>
      <c r="K152" s="130">
        <v>44.754928599784101</v>
      </c>
      <c r="L152" s="130">
        <v>45.143931164932702</v>
      </c>
      <c r="M152" s="130">
        <v>45.0321324119843</v>
      </c>
      <c r="N152" s="130">
        <v>44.431192246794929</v>
      </c>
      <c r="O152" s="130">
        <v>43.243946336731355</v>
      </c>
      <c r="P152" s="130">
        <v>43.017563251058235</v>
      </c>
      <c r="Q152" s="130">
        <v>44.133332025636946</v>
      </c>
      <c r="R152" s="130">
        <v>43.602511696982347</v>
      </c>
      <c r="S152" s="130">
        <v>42.55457935242341</v>
      </c>
      <c r="T152" s="130">
        <v>41.737000223283808</v>
      </c>
      <c r="U152" s="130">
        <v>40.455560026619928</v>
      </c>
      <c r="V152" s="130">
        <v>38.058100027159369</v>
      </c>
      <c r="W152" s="130">
        <v>37.453109199513648</v>
      </c>
      <c r="X152" s="130">
        <v>35.847010528911554</v>
      </c>
      <c r="Y152" s="130">
        <v>34.198360203972953</v>
      </c>
      <c r="DA152" s="176" t="s">
        <v>895</v>
      </c>
    </row>
    <row r="153" spans="1:105" ht="11.45" customHeight="1" x14ac:dyDescent="0.25">
      <c r="A153" s="111" t="s">
        <v>110</v>
      </c>
      <c r="B153" s="97">
        <v>15.286567713891273</v>
      </c>
      <c r="C153" s="97">
        <v>15.126083666642367</v>
      </c>
      <c r="D153" s="97">
        <v>14.949743313015706</v>
      </c>
      <c r="E153" s="97">
        <v>14.920353254077931</v>
      </c>
      <c r="F153" s="97">
        <v>14.871369822514973</v>
      </c>
      <c r="G153" s="97">
        <v>14.695029468888309</v>
      </c>
      <c r="H153" s="97">
        <v>14.655842723637939</v>
      </c>
      <c r="I153" s="97">
        <v>0</v>
      </c>
      <c r="J153" s="97">
        <v>14.459908997386094</v>
      </c>
      <c r="K153" s="97">
        <v>0</v>
      </c>
      <c r="L153" s="97">
        <v>14.009261427006855</v>
      </c>
      <c r="M153" s="97">
        <v>0</v>
      </c>
      <c r="N153" s="97">
        <v>13.362680130375768</v>
      </c>
      <c r="O153" s="97">
        <v>13.068779540998003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46.305757560717097</v>
      </c>
      <c r="C154" s="97">
        <v>46.183205507110927</v>
      </c>
      <c r="D154" s="97">
        <v>46.047416925090673</v>
      </c>
      <c r="E154" s="97">
        <v>46.024752076727218</v>
      </c>
      <c r="F154" s="97">
        <v>45.98688408917026</v>
      </c>
      <c r="G154" s="97">
        <v>45.849336080927472</v>
      </c>
      <c r="H154" s="97">
        <v>45.818708601915496</v>
      </c>
      <c r="I154" s="97">
        <v>45.72627005060027</v>
      </c>
      <c r="J154" s="97">
        <v>45.664394177730721</v>
      </c>
      <c r="K154" s="97">
        <v>45.539628073419976</v>
      </c>
      <c r="L154" s="97">
        <v>45.302030013906489</v>
      </c>
      <c r="M154" s="97">
        <v>45.060633761612138</v>
      </c>
      <c r="N154" s="97">
        <v>44.765261799591372</v>
      </c>
      <c r="O154" s="97">
        <v>44.514990116030482</v>
      </c>
      <c r="P154" s="97">
        <v>44.39727008172288</v>
      </c>
      <c r="Q154" s="97">
        <v>44.181818181724424</v>
      </c>
      <c r="R154" s="97">
        <v>43.636895116429464</v>
      </c>
      <c r="S154" s="97">
        <v>42.80699538454526</v>
      </c>
      <c r="T154" s="97">
        <v>41.737000223283808</v>
      </c>
      <c r="U154" s="97">
        <v>40.470515940474073</v>
      </c>
      <c r="V154" s="97">
        <v>39.048663282219074</v>
      </c>
      <c r="W154" s="97">
        <v>37.509263029680881</v>
      </c>
      <c r="X154" s="97">
        <v>35.886353200909724</v>
      </c>
      <c r="Y154" s="97">
        <v>34.209971760056312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38.105225042166893</v>
      </c>
      <c r="J155" s="97">
        <v>0</v>
      </c>
      <c r="K155" s="97">
        <v>0</v>
      </c>
      <c r="L155" s="97">
        <v>0</v>
      </c>
      <c r="M155" s="97">
        <v>37.550528134676782</v>
      </c>
      <c r="N155" s="97">
        <v>0</v>
      </c>
      <c r="O155" s="97">
        <v>37.095825096692067</v>
      </c>
      <c r="P155" s="97">
        <v>36.997725068102397</v>
      </c>
      <c r="Q155" s="97">
        <v>0</v>
      </c>
      <c r="R155" s="97">
        <v>0</v>
      </c>
      <c r="S155" s="97">
        <v>0</v>
      </c>
      <c r="T155" s="97">
        <v>0</v>
      </c>
      <c r="U155" s="97">
        <v>32.753264391737346</v>
      </c>
      <c r="V155" s="97">
        <v>32.093076808278347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37.949690061183311</v>
      </c>
      <c r="L156" s="97">
        <v>37.75010909793005</v>
      </c>
      <c r="M156" s="97">
        <v>37.550528134676782</v>
      </c>
      <c r="N156" s="97">
        <v>37.30438483299281</v>
      </c>
      <c r="O156" s="97">
        <v>37.095825096692067</v>
      </c>
      <c r="P156" s="97">
        <v>36.997725068102397</v>
      </c>
      <c r="Q156" s="97">
        <v>0</v>
      </c>
      <c r="R156" s="97">
        <v>0</v>
      </c>
      <c r="S156" s="97">
        <v>36.786873018439138</v>
      </c>
      <c r="T156" s="97">
        <v>0</v>
      </c>
      <c r="U156" s="97">
        <v>0</v>
      </c>
      <c r="V156" s="97">
        <v>36.525973535095233</v>
      </c>
      <c r="W156" s="97">
        <v>0</v>
      </c>
      <c r="X156" s="97">
        <v>0</v>
      </c>
      <c r="Y156" s="97">
        <v>0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26.290426585445474</v>
      </c>
      <c r="R157" s="97">
        <v>26.479568812320714</v>
      </c>
      <c r="S157" s="97">
        <v>0</v>
      </c>
      <c r="T157" s="97">
        <v>0</v>
      </c>
      <c r="U157" s="97">
        <v>0</v>
      </c>
      <c r="V157" s="97">
        <v>0</v>
      </c>
      <c r="W157" s="97">
        <v>25.454907487114625</v>
      </c>
      <c r="X157" s="97">
        <v>24.958926053417759</v>
      </c>
      <c r="Y157" s="97">
        <v>24.398206869615745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7.5643760844786003</v>
      </c>
      <c r="C159" s="141">
        <v>7.4883392001241171</v>
      </c>
      <c r="D159" s="141">
        <v>7.4160309369351083</v>
      </c>
      <c r="E159" s="141">
        <v>7.3427695227061518</v>
      </c>
      <c r="F159" s="141">
        <v>7.2773760422473339</v>
      </c>
      <c r="G159" s="141">
        <v>7.1990702764279204</v>
      </c>
      <c r="H159" s="141">
        <v>7.1184018330768533</v>
      </c>
      <c r="I159" s="141">
        <v>7.0079990979329896</v>
      </c>
      <c r="J159" s="141">
        <v>6.9147504323218554</v>
      </c>
      <c r="K159" s="141">
        <v>6.8765168114808137</v>
      </c>
      <c r="L159" s="141">
        <v>6.9573943490105297</v>
      </c>
      <c r="M159" s="141">
        <v>6.9693860244098822</v>
      </c>
      <c r="N159" s="141">
        <v>6.965419765268333</v>
      </c>
      <c r="O159" s="141">
        <v>6.8222332656768243</v>
      </c>
      <c r="P159" s="141">
        <v>5.9577042391698498</v>
      </c>
      <c r="Q159" s="141">
        <v>6.1865622396180164</v>
      </c>
      <c r="R159" s="141">
        <v>6.0135908331217571</v>
      </c>
      <c r="S159" s="141">
        <v>6.3620268911126843</v>
      </c>
      <c r="T159" s="141">
        <v>6.1364406838869598</v>
      </c>
      <c r="U159" s="141">
        <v>5.7738570588495026</v>
      </c>
      <c r="V159" s="141">
        <v>5.9725138949781016</v>
      </c>
      <c r="W159" s="141">
        <v>5.9137671846255984</v>
      </c>
      <c r="X159" s="141">
        <v>5.6249139088275975</v>
      </c>
      <c r="Y159" s="141">
        <v>5.6240162160681528</v>
      </c>
      <c r="DA159" s="174" t="s">
        <v>901</v>
      </c>
    </row>
    <row r="160" spans="1:105" ht="11.45" customHeight="1" x14ac:dyDescent="0.25">
      <c r="A160" s="111" t="s">
        <v>110</v>
      </c>
      <c r="B160" s="96">
        <v>7.2238263360569315</v>
      </c>
      <c r="C160" s="96">
        <v>7.1479879327782081</v>
      </c>
      <c r="D160" s="96">
        <v>7.0646564672406411</v>
      </c>
      <c r="E160" s="96">
        <v>7.0507678896510448</v>
      </c>
      <c r="F160" s="96">
        <v>7.0276202603350564</v>
      </c>
      <c r="G160" s="96">
        <v>6.944288794797485</v>
      </c>
      <c r="H160" s="96">
        <v>6.9257706913446926</v>
      </c>
      <c r="I160" s="96">
        <v>6.8702163809863137</v>
      </c>
      <c r="J160" s="96">
        <v>6.8331801740807281</v>
      </c>
      <c r="K160" s="96">
        <v>6.7591077602695533</v>
      </c>
      <c r="L160" s="96">
        <v>6.6202219843736048</v>
      </c>
      <c r="M160" s="96">
        <v>6.4813362084776545</v>
      </c>
      <c r="N160" s="96">
        <v>6.5968182804822568</v>
      </c>
      <c r="O160" s="96">
        <v>6.2437014255161687</v>
      </c>
      <c r="P160" s="96">
        <v>6.1109741394218275</v>
      </c>
      <c r="Q160" s="96">
        <v>5.2639515888677328</v>
      </c>
      <c r="R160" s="96">
        <v>5.2366474297192056</v>
      </c>
      <c r="S160" s="96">
        <v>5.3769334869882295</v>
      </c>
      <c r="T160" s="96">
        <v>5.377957774052561</v>
      </c>
      <c r="U160" s="96">
        <v>4.3285036723059971</v>
      </c>
      <c r="V160" s="96">
        <v>4.8791912907421908</v>
      </c>
      <c r="W160" s="96">
        <v>4.611914363992323</v>
      </c>
      <c r="X160" s="96">
        <v>5.3913407115008809</v>
      </c>
      <c r="Y160" s="96">
        <v>5.0080756345707851</v>
      </c>
      <c r="DA160" s="171" t="s">
        <v>902</v>
      </c>
    </row>
    <row r="161" spans="1:105" ht="11.45" customHeight="1" x14ac:dyDescent="0.25">
      <c r="A161" s="111" t="s">
        <v>111</v>
      </c>
      <c r="B161" s="96">
        <v>7.2700773710869102</v>
      </c>
      <c r="C161" s="96">
        <v>7.1638264878579694</v>
      </c>
      <c r="D161" s="96">
        <v>7.0475901913000678</v>
      </c>
      <c r="E161" s="96">
        <v>6.9894720430211192</v>
      </c>
      <c r="F161" s="96">
        <v>6.9894720430211192</v>
      </c>
      <c r="G161" s="96">
        <v>6.9741777934740288</v>
      </c>
      <c r="H161" s="96">
        <v>6.9741777934740288</v>
      </c>
      <c r="I161" s="96">
        <v>6.9741777934740288</v>
      </c>
      <c r="J161" s="96">
        <v>6.8518237970972882</v>
      </c>
      <c r="K161" s="96">
        <v>6.6071158043438141</v>
      </c>
      <c r="L161" s="96">
        <v>6.3142003370179056</v>
      </c>
      <c r="M161" s="96">
        <v>6.2767600141266238</v>
      </c>
      <c r="N161" s="96">
        <v>6.801212490497166</v>
      </c>
      <c r="O161" s="96">
        <v>6.5673326812026893</v>
      </c>
      <c r="P161" s="96">
        <v>5.968891133798917</v>
      </c>
      <c r="Q161" s="96">
        <v>5.8177876189652107</v>
      </c>
      <c r="R161" s="96">
        <v>5.7015510386749302</v>
      </c>
      <c r="S161" s="96">
        <v>5.3777218784082423</v>
      </c>
      <c r="T161" s="96">
        <v>5.3803130350199888</v>
      </c>
      <c r="U161" s="96">
        <v>5.4601181815387623</v>
      </c>
      <c r="V161" s="96">
        <v>6.2823812012396711</v>
      </c>
      <c r="W161" s="96">
        <v>6.3681707350674124</v>
      </c>
      <c r="X161" s="96">
        <v>6.3860881815531378</v>
      </c>
      <c r="Y161" s="96">
        <v>6.2312574680513126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5.3091238825273921</v>
      </c>
      <c r="J162" s="96">
        <v>5.2159813582725247</v>
      </c>
      <c r="K162" s="96">
        <v>5.0296963097627909</v>
      </c>
      <c r="L162" s="96">
        <v>4.8067131066966393</v>
      </c>
      <c r="M162" s="96">
        <v>4.7782114942746521</v>
      </c>
      <c r="N162" s="96">
        <v>7.1303029275817629</v>
      </c>
      <c r="O162" s="96">
        <v>6.3961897422379463</v>
      </c>
      <c r="P162" s="96">
        <v>5.0296963097628344</v>
      </c>
      <c r="Q162" s="96">
        <v>6.9144065902888743</v>
      </c>
      <c r="R162" s="96">
        <v>6.4099052044589619</v>
      </c>
      <c r="S162" s="96">
        <v>5.6785737381784092</v>
      </c>
      <c r="T162" s="96">
        <v>5.6785737381784092</v>
      </c>
      <c r="U162" s="96">
        <v>6.1517882163599431</v>
      </c>
      <c r="V162" s="96">
        <v>6.2298171242732261</v>
      </c>
      <c r="W162" s="96">
        <v>6.6000061912049741</v>
      </c>
      <c r="X162" s="96">
        <v>6.4159079997401829</v>
      </c>
      <c r="Y162" s="96">
        <v>5.2787268346787775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7.6283351634440626</v>
      </c>
      <c r="L163" s="96">
        <v>7.4715885504965831</v>
      </c>
      <c r="M163" s="96">
        <v>7.3148419375491001</v>
      </c>
      <c r="N163" s="96">
        <v>6.9914575073490086</v>
      </c>
      <c r="O163" s="96">
        <v>0</v>
      </c>
      <c r="P163" s="96">
        <v>6.8968509696891518</v>
      </c>
      <c r="Q163" s="96">
        <v>6.4251519122495635</v>
      </c>
      <c r="R163" s="96">
        <v>5.9624389028280405</v>
      </c>
      <c r="S163" s="96">
        <v>7.4708469536181203</v>
      </c>
      <c r="T163" s="96">
        <v>6.3944556477937473</v>
      </c>
      <c r="U163" s="96">
        <v>6.4957631550775705</v>
      </c>
      <c r="V163" s="96">
        <v>5.6624784761955365</v>
      </c>
      <c r="W163" s="96">
        <v>8.1105424790620262</v>
      </c>
      <c r="X163" s="96">
        <v>4.2575026136808534</v>
      </c>
      <c r="Y163" s="96">
        <v>7.0967459566923408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1.6597353234954872</v>
      </c>
      <c r="F164" s="96">
        <v>0</v>
      </c>
      <c r="G164" s="96">
        <v>1.5341500551220439</v>
      </c>
      <c r="H164" s="96">
        <v>0</v>
      </c>
      <c r="I164" s="96">
        <v>0</v>
      </c>
      <c r="J164" s="96">
        <v>1.4843764556704437</v>
      </c>
      <c r="K164" s="96">
        <v>1.4695326911137394</v>
      </c>
      <c r="L164" s="96">
        <v>0</v>
      </c>
      <c r="M164" s="96">
        <v>0</v>
      </c>
      <c r="N164" s="96">
        <v>1.4306112135445255</v>
      </c>
      <c r="O164" s="96">
        <v>0</v>
      </c>
      <c r="P164" s="96">
        <v>1.4423024908960309</v>
      </c>
      <c r="Q164" s="96">
        <v>1.5219260533104042</v>
      </c>
      <c r="R164" s="96">
        <v>1.5219260533104042</v>
      </c>
      <c r="S164" s="96">
        <v>1.2109721451844708</v>
      </c>
      <c r="T164" s="96">
        <v>1.3069647463456577</v>
      </c>
      <c r="U164" s="96">
        <v>1.4080825451418744</v>
      </c>
      <c r="V164" s="96">
        <v>1.6443516357531833</v>
      </c>
      <c r="W164" s="96">
        <v>1.6651873630488445</v>
      </c>
      <c r="X164" s="96">
        <v>2.0466883125216571</v>
      </c>
      <c r="Y164" s="96">
        <v>1.9206076239610208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30.10213616544203</v>
      </c>
      <c r="D165" s="130">
        <v>30.07235393713141</v>
      </c>
      <c r="E165" s="130">
        <v>29.78592755810871</v>
      </c>
      <c r="F165" s="130">
        <v>30.104211864743501</v>
      </c>
      <c r="G165" s="130">
        <v>29.738472064607969</v>
      </c>
      <c r="H165" s="130">
        <v>28.717557251856906</v>
      </c>
      <c r="I165" s="130">
        <v>28.969304210193105</v>
      </c>
      <c r="J165" s="130">
        <v>27.918249894773311</v>
      </c>
      <c r="K165" s="130">
        <v>27.461306532605668</v>
      </c>
      <c r="L165" s="130">
        <v>27.4532093775634</v>
      </c>
      <c r="M165" s="130">
        <v>26.696641037406977</v>
      </c>
      <c r="N165" s="130">
        <v>26.099140357259245</v>
      </c>
      <c r="O165" s="130">
        <v>25.487883901797893</v>
      </c>
      <c r="P165" s="130">
        <v>24.906645261756051</v>
      </c>
      <c r="Q165" s="130">
        <v>24.380264363584629</v>
      </c>
      <c r="R165" s="130">
        <v>23.39996090975178</v>
      </c>
      <c r="S165" s="130">
        <v>22.985370209798152</v>
      </c>
      <c r="T165" s="130">
        <v>21.759074502804175</v>
      </c>
      <c r="U165" s="130">
        <v>20.693785980880655</v>
      </c>
      <c r="V165" s="130">
        <v>20.960394718033985</v>
      </c>
      <c r="W165" s="130">
        <v>19.785692152143525</v>
      </c>
      <c r="X165" s="130">
        <v>20.01145472714742</v>
      </c>
      <c r="Y165" s="130">
        <v>19.882762466058995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30.00618556695056</v>
      </c>
      <c r="D166" s="97">
        <v>29.832452830109339</v>
      </c>
      <c r="E166" s="97">
        <v>29.616123234868152</v>
      </c>
      <c r="F166" s="97">
        <v>29.357746478802991</v>
      </c>
      <c r="G166" s="97">
        <v>29.05797446801396</v>
      </c>
      <c r="H166" s="97">
        <v>28.717557251856906</v>
      </c>
      <c r="I166" s="97">
        <v>28.337338402972659</v>
      </c>
      <c r="J166" s="97">
        <v>27.918249894773311</v>
      </c>
      <c r="K166" s="97">
        <v>27.461306532605668</v>
      </c>
      <c r="L166" s="97">
        <v>26.967599999928876</v>
      </c>
      <c r="M166" s="97">
        <v>26.438292581797395</v>
      </c>
      <c r="N166" s="97">
        <v>25.874610630355189</v>
      </c>
      <c r="O166" s="97">
        <v>25.277837837802508</v>
      </c>
      <c r="P166" s="97">
        <v>24.64930838075804</v>
      </c>
      <c r="Q166" s="97">
        <v>23.990399999949091</v>
      </c>
      <c r="R166" s="97">
        <v>23.00141579422856</v>
      </c>
      <c r="S166" s="97">
        <v>22.309126850224189</v>
      </c>
      <c r="T166" s="97">
        <v>21.582223459019598</v>
      </c>
      <c r="U166" s="97">
        <v>20.693785980880655</v>
      </c>
      <c r="V166" s="97">
        <v>20.643718514097095</v>
      </c>
      <c r="W166" s="97">
        <v>19.781499237914456</v>
      </c>
      <c r="X166" s="97">
        <v>19.672515557104852</v>
      </c>
      <c r="Y166" s="97">
        <v>19.475790401533803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0</v>
      </c>
      <c r="I167" s="98">
        <v>31.871188018858444</v>
      </c>
      <c r="J167" s="98">
        <v>0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0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111.70996017297811</v>
      </c>
      <c r="C171" s="152">
        <v>111.47562695787992</v>
      </c>
      <c r="D171" s="152">
        <v>109.87775622604488</v>
      </c>
      <c r="E171" s="152">
        <v>106.08777325533171</v>
      </c>
      <c r="F171" s="152">
        <v>103.09138239780582</v>
      </c>
      <c r="G171" s="152">
        <v>100.25443321853709</v>
      </c>
      <c r="H171" s="152">
        <v>97.788342617613907</v>
      </c>
      <c r="I171" s="152">
        <v>96.407375204512334</v>
      </c>
      <c r="J171" s="152">
        <v>95.123220582611822</v>
      </c>
      <c r="K171" s="152">
        <v>94.231277295661727</v>
      </c>
      <c r="L171" s="152">
        <v>93.496554036208607</v>
      </c>
      <c r="M171" s="152">
        <v>93.224241006589921</v>
      </c>
      <c r="N171" s="152">
        <v>92.808760503415925</v>
      </c>
      <c r="O171" s="152">
        <v>91.882321675191079</v>
      </c>
      <c r="P171" s="152">
        <v>90.884760702246979</v>
      </c>
      <c r="Q171" s="152">
        <v>90.433910298658077</v>
      </c>
      <c r="R171" s="152">
        <v>89.062999897663545</v>
      </c>
      <c r="S171" s="152">
        <v>88.232735677362044</v>
      </c>
      <c r="T171" s="152">
        <v>86.523815764843718</v>
      </c>
      <c r="U171" s="152">
        <v>84.652755453658642</v>
      </c>
      <c r="V171" s="152">
        <v>83.378540095634079</v>
      </c>
      <c r="W171" s="152">
        <v>82.59713735536387</v>
      </c>
      <c r="X171" s="152">
        <v>81.101308948270216</v>
      </c>
      <c r="Y171" s="152">
        <v>79.652687071540939</v>
      </c>
      <c r="DA171" s="174" t="s">
        <v>910</v>
      </c>
    </row>
    <row r="172" spans="1:105" ht="11.45" customHeight="1" x14ac:dyDescent="0.25">
      <c r="A172" s="109" t="s">
        <v>20</v>
      </c>
      <c r="B172" s="116">
        <v>191.68602852712269</v>
      </c>
      <c r="C172" s="116">
        <v>188.4942278400224</v>
      </c>
      <c r="D172" s="116">
        <v>187.10273671929903</v>
      </c>
      <c r="E172" s="116">
        <v>186.26392041592933</v>
      </c>
      <c r="F172" s="116">
        <v>184.48645700106735</v>
      </c>
      <c r="G172" s="116">
        <v>182.02801422716374</v>
      </c>
      <c r="H172" s="116">
        <v>178.05450366340833</v>
      </c>
      <c r="I172" s="116">
        <v>176.15293909137279</v>
      </c>
      <c r="J172" s="116">
        <v>173.0650994623274</v>
      </c>
      <c r="K172" s="116">
        <v>170.8300055180502</v>
      </c>
      <c r="L172" s="116">
        <v>174.06542814097065</v>
      </c>
      <c r="M172" s="116">
        <v>173.43513242096714</v>
      </c>
      <c r="N172" s="116">
        <v>172.15389570619786</v>
      </c>
      <c r="O172" s="116">
        <v>172.6553714529428</v>
      </c>
      <c r="P172" s="116">
        <v>170.8051966058228</v>
      </c>
      <c r="Q172" s="116">
        <v>169.66234148504719</v>
      </c>
      <c r="R172" s="116">
        <v>168.85940513103318</v>
      </c>
      <c r="S172" s="116">
        <v>166.87903293744796</v>
      </c>
      <c r="T172" s="116">
        <v>164.44237838811665</v>
      </c>
      <c r="U172" s="116">
        <v>161.11809433514455</v>
      </c>
      <c r="V172" s="116">
        <v>158.27554703542987</v>
      </c>
      <c r="W172" s="116">
        <v>155.02018931382392</v>
      </c>
      <c r="X172" s="116">
        <v>154.40749741592759</v>
      </c>
      <c r="Y172" s="116">
        <v>151.82482337008383</v>
      </c>
      <c r="DA172" s="176" t="s">
        <v>911</v>
      </c>
    </row>
    <row r="173" spans="1:105" ht="11.45" customHeight="1" x14ac:dyDescent="0.25">
      <c r="A173" s="111" t="s">
        <v>110</v>
      </c>
      <c r="B173" s="87">
        <v>188.6456033289063</v>
      </c>
      <c r="C173" s="87">
        <v>184.98335726621463</v>
      </c>
      <c r="D173" s="87">
        <v>183.42081736645375</v>
      </c>
      <c r="E173" s="87">
        <v>181.89461306124494</v>
      </c>
      <c r="F173" s="87">
        <v>180.41927695230677</v>
      </c>
      <c r="G173" s="87">
        <v>178.80195154760617</v>
      </c>
      <c r="H173" s="87">
        <v>176.8624963896408</v>
      </c>
      <c r="I173" s="87">
        <v>175.0218384930993</v>
      </c>
      <c r="J173" s="87">
        <v>173.21581401709099</v>
      </c>
      <c r="K173" s="87">
        <v>171.69041864836038</v>
      </c>
      <c r="L173" s="87">
        <v>170.9813175082536</v>
      </c>
      <c r="M173" s="87">
        <v>169.80518902227115</v>
      </c>
      <c r="N173" s="87">
        <v>168.0039086993215</v>
      </c>
      <c r="O173" s="87">
        <v>167.54394505881186</v>
      </c>
      <c r="P173" s="87">
        <v>166.62574424615318</v>
      </c>
      <c r="Q173" s="87">
        <v>165.32223238417572</v>
      </c>
      <c r="R173" s="87">
        <v>164.32355652135422</v>
      </c>
      <c r="S173" s="87">
        <v>162.98087723580451</v>
      </c>
      <c r="T173" s="87">
        <v>160.47828442688004</v>
      </c>
      <c r="U173" s="87">
        <v>157.67377599616316</v>
      </c>
      <c r="V173" s="87">
        <v>155.38873718117637</v>
      </c>
      <c r="W173" s="87">
        <v>153.23510273873032</v>
      </c>
      <c r="X173" s="87">
        <v>151.15916012144692</v>
      </c>
      <c r="Y173" s="87">
        <v>148.35709896587502</v>
      </c>
      <c r="DA173" s="171" t="s">
        <v>912</v>
      </c>
    </row>
    <row r="174" spans="1:105" ht="11.45" customHeight="1" x14ac:dyDescent="0.25">
      <c r="A174" s="111" t="s">
        <v>111</v>
      </c>
      <c r="B174" s="87">
        <v>197.56798680909304</v>
      </c>
      <c r="C174" s="87">
        <v>193.13442435959087</v>
      </c>
      <c r="D174" s="87">
        <v>191.15273747451045</v>
      </c>
      <c r="E174" s="87">
        <v>188.92244943628808</v>
      </c>
      <c r="F174" s="87">
        <v>186.80995892535739</v>
      </c>
      <c r="G174" s="87">
        <v>184.80797580571479</v>
      </c>
      <c r="H174" s="87">
        <v>182.63870394381163</v>
      </c>
      <c r="I174" s="87">
        <v>181.01087007800407</v>
      </c>
      <c r="J174" s="87">
        <v>179.29301434876359</v>
      </c>
      <c r="K174" s="87">
        <v>177.93979978623562</v>
      </c>
      <c r="L174" s="87">
        <v>176.9848682557481</v>
      </c>
      <c r="M174" s="87">
        <v>175.91693967322522</v>
      </c>
      <c r="N174" s="87">
        <v>174.90444603664136</v>
      </c>
      <c r="O174" s="87">
        <v>174.08417999573683</v>
      </c>
      <c r="P174" s="87">
        <v>171.70037052987342</v>
      </c>
      <c r="Q174" s="87">
        <v>170.47962022986144</v>
      </c>
      <c r="R174" s="87">
        <v>169.00951181117028</v>
      </c>
      <c r="S174" s="87">
        <v>167.54414894776446</v>
      </c>
      <c r="T174" s="87">
        <v>165.75218184819315</v>
      </c>
      <c r="U174" s="87">
        <v>162.1401222987397</v>
      </c>
      <c r="V174" s="87">
        <v>159.4788614564709</v>
      </c>
      <c r="W174" s="87">
        <v>157.74257258211074</v>
      </c>
      <c r="X174" s="87">
        <v>156.32084401670286</v>
      </c>
      <c r="Y174" s="87">
        <v>154.50195632034436</v>
      </c>
      <c r="DA174" s="171" t="s">
        <v>913</v>
      </c>
    </row>
    <row r="175" spans="1:105" ht="11.45" customHeight="1" x14ac:dyDescent="0.25">
      <c r="A175" s="111" t="s">
        <v>112</v>
      </c>
      <c r="B175" s="87">
        <v>159.27222084146644</v>
      </c>
      <c r="C175" s="87">
        <v>152.2573666303588</v>
      </c>
      <c r="D175" s="87">
        <v>150.00743672034255</v>
      </c>
      <c r="E175" s="87">
        <v>148.30423008301449</v>
      </c>
      <c r="F175" s="87">
        <v>145.53394882544336</v>
      </c>
      <c r="G175" s="87">
        <v>144.60024935021792</v>
      </c>
      <c r="H175" s="87">
        <v>145.65427126722693</v>
      </c>
      <c r="I175" s="87">
        <v>145.29162814313582</v>
      </c>
      <c r="J175" s="87">
        <v>144.76110834945109</v>
      </c>
      <c r="K175" s="87">
        <v>144.44018467687803</v>
      </c>
      <c r="L175" s="87">
        <v>144.48240536246968</v>
      </c>
      <c r="M175" s="87">
        <v>144.47404097727588</v>
      </c>
      <c r="N175" s="87">
        <v>144.52501540520046</v>
      </c>
      <c r="O175" s="87">
        <v>144.51911958136387</v>
      </c>
      <c r="P175" s="87">
        <v>143.87514480453746</v>
      </c>
      <c r="Q175" s="87">
        <v>143.88748184543479</v>
      </c>
      <c r="R175" s="87">
        <v>143.85601079874701</v>
      </c>
      <c r="S175" s="87">
        <v>143.72881158678464</v>
      </c>
      <c r="T175" s="87">
        <v>142.94552573945339</v>
      </c>
      <c r="U175" s="87">
        <v>142.10360644704315</v>
      </c>
      <c r="V175" s="87">
        <v>141.13001346265335</v>
      </c>
      <c r="W175" s="87">
        <v>138.42961041072655</v>
      </c>
      <c r="X175" s="87">
        <v>137.53685693166673</v>
      </c>
      <c r="Y175" s="87">
        <v>136.86486198746923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153.67610248172511</v>
      </c>
      <c r="L176" s="87">
        <v>152.99033897222421</v>
      </c>
      <c r="M176" s="87">
        <v>152.97114324439457</v>
      </c>
      <c r="N176" s="87">
        <v>151.72569308485251</v>
      </c>
      <c r="O176" s="87">
        <v>149.71105662070559</v>
      </c>
      <c r="P176" s="87">
        <v>148.00608028379867</v>
      </c>
      <c r="Q176" s="87">
        <v>147.77234565509826</v>
      </c>
      <c r="R176" s="87">
        <v>146.37041881292157</v>
      </c>
      <c r="S176" s="87">
        <v>140.12527216616482</v>
      </c>
      <c r="T176" s="87">
        <v>138.97206203207415</v>
      </c>
      <c r="U176" s="87">
        <v>138.05388103197782</v>
      </c>
      <c r="V176" s="87">
        <v>137.61839822265117</v>
      </c>
      <c r="W176" s="87">
        <v>136.78576097493257</v>
      </c>
      <c r="X176" s="87">
        <v>135.93895322855229</v>
      </c>
      <c r="Y176" s="87">
        <v>134.57346825625436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0</v>
      </c>
      <c r="P177" s="87">
        <v>57.130049517852513</v>
      </c>
      <c r="Q177" s="87">
        <v>58.445625343915829</v>
      </c>
      <c r="R177" s="87">
        <v>62.71503894367536</v>
      </c>
      <c r="S177" s="87">
        <v>66.511305902786589</v>
      </c>
      <c r="T177" s="87">
        <v>71.057794459477748</v>
      </c>
      <c r="U177" s="87">
        <v>72.347129550432413</v>
      </c>
      <c r="V177" s="87">
        <v>58.963635135459349</v>
      </c>
      <c r="W177" s="87">
        <v>52.958003342362552</v>
      </c>
      <c r="X177" s="87">
        <v>44.562267719852727</v>
      </c>
      <c r="Y177" s="87">
        <v>44.071025313875104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1575.2810390650889</v>
      </c>
      <c r="C179" s="116">
        <v>1558.5197334563354</v>
      </c>
      <c r="D179" s="116">
        <v>1549.5051981190848</v>
      </c>
      <c r="E179" s="116">
        <v>1540.1297663487319</v>
      </c>
      <c r="F179" s="116">
        <v>1530.6112345853267</v>
      </c>
      <c r="G179" s="116">
        <v>1520.2343865928265</v>
      </c>
      <c r="H179" s="116">
        <v>1509.6109836729465</v>
      </c>
      <c r="I179" s="116">
        <v>1497.7211717657813</v>
      </c>
      <c r="J179" s="116">
        <v>1486.2615289699868</v>
      </c>
      <c r="K179" s="116">
        <v>1446.6491680795152</v>
      </c>
      <c r="L179" s="116">
        <v>1465.5206458420676</v>
      </c>
      <c r="M179" s="116">
        <v>1456.9526481701985</v>
      </c>
      <c r="N179" s="116">
        <v>1440.0728812332227</v>
      </c>
      <c r="O179" s="116">
        <v>1402.0230380896878</v>
      </c>
      <c r="P179" s="116">
        <v>1363.7609379165087</v>
      </c>
      <c r="Q179" s="116">
        <v>1405.8342351843573</v>
      </c>
      <c r="R179" s="116">
        <v>1403.2190658972534</v>
      </c>
      <c r="S179" s="116">
        <v>1387.9061975968607</v>
      </c>
      <c r="T179" s="116">
        <v>1394.0303470079127</v>
      </c>
      <c r="U179" s="116">
        <v>1385.2511035222344</v>
      </c>
      <c r="V179" s="116">
        <v>1285.4087499799411</v>
      </c>
      <c r="W179" s="116">
        <v>1361.9605801604848</v>
      </c>
      <c r="X179" s="116">
        <v>1332.4499485790079</v>
      </c>
      <c r="Y179" s="116">
        <v>1305.7494992535881</v>
      </c>
      <c r="DA179" s="176" t="s">
        <v>918</v>
      </c>
    </row>
    <row r="180" spans="1:105" ht="11.45" customHeight="1" x14ac:dyDescent="0.25">
      <c r="A180" s="111" t="s">
        <v>110</v>
      </c>
      <c r="B180" s="101">
        <v>487.88573439355594</v>
      </c>
      <c r="C180" s="101">
        <v>479.43485745069518</v>
      </c>
      <c r="D180" s="101">
        <v>472.81103487209219</v>
      </c>
      <c r="E180" s="101">
        <v>470.86722655720513</v>
      </c>
      <c r="F180" s="101">
        <v>468.46918872486322</v>
      </c>
      <c r="G180" s="101">
        <v>463.3074111006971</v>
      </c>
      <c r="H180" s="101">
        <v>457.02719450199646</v>
      </c>
      <c r="I180" s="101">
        <v>455.51559605640574</v>
      </c>
      <c r="J180" s="101">
        <v>446.89349106228218</v>
      </c>
      <c r="K180" s="101">
        <v>445.19855314048294</v>
      </c>
      <c r="L180" s="101">
        <v>442.07362708637874</v>
      </c>
      <c r="M180" s="101">
        <v>439.60528702802117</v>
      </c>
      <c r="N180" s="101">
        <v>433.84138225825291</v>
      </c>
      <c r="O180" s="101">
        <v>416.55248312113525</v>
      </c>
      <c r="P180" s="101">
        <v>414.24037372261125</v>
      </c>
      <c r="Q180" s="101">
        <v>410.18523727367517</v>
      </c>
      <c r="R180" s="101">
        <v>409.48746357432572</v>
      </c>
      <c r="S180" s="101">
        <v>408.83532479079764</v>
      </c>
      <c r="T180" s="101">
        <v>408.15358708131657</v>
      </c>
      <c r="U180" s="101">
        <v>406.79048169761631</v>
      </c>
      <c r="V180" s="101">
        <v>406.00843097628297</v>
      </c>
      <c r="W180" s="101">
        <v>404.81179087252644</v>
      </c>
      <c r="X180" s="101">
        <v>402.27122698932214</v>
      </c>
      <c r="Y180" s="101">
        <v>400.59833154132662</v>
      </c>
      <c r="DA180" s="175" t="s">
        <v>919</v>
      </c>
    </row>
    <row r="181" spans="1:105" ht="11.45" customHeight="1" x14ac:dyDescent="0.25">
      <c r="A181" s="111" t="s">
        <v>111</v>
      </c>
      <c r="B181" s="101">
        <v>1580.2583808507195</v>
      </c>
      <c r="C181" s="101">
        <v>1555.7992603263947</v>
      </c>
      <c r="D181" s="101">
        <v>1543.337802446837</v>
      </c>
      <c r="E181" s="101">
        <v>1530.4245885622347</v>
      </c>
      <c r="F181" s="101">
        <v>1518.2413224454529</v>
      </c>
      <c r="G181" s="101">
        <v>1506.3383266611866</v>
      </c>
      <c r="H181" s="101">
        <v>1494.8967022530321</v>
      </c>
      <c r="I181" s="101">
        <v>1482.3103155617573</v>
      </c>
      <c r="J181" s="101">
        <v>1472.2053806742563</v>
      </c>
      <c r="K181" s="101">
        <v>1464.8720057640489</v>
      </c>
      <c r="L181" s="101">
        <v>1457.0546210970929</v>
      </c>
      <c r="M181" s="101">
        <v>1447.9673387451453</v>
      </c>
      <c r="N181" s="101">
        <v>1440.0668773303657</v>
      </c>
      <c r="O181" s="101">
        <v>1432.7099585859669</v>
      </c>
      <c r="P181" s="101">
        <v>1422.2873852275197</v>
      </c>
      <c r="Q181" s="101">
        <v>1412.816063879801</v>
      </c>
      <c r="R181" s="101">
        <v>1408.3576251280729</v>
      </c>
      <c r="S181" s="101">
        <v>1402.6431523581734</v>
      </c>
      <c r="T181" s="101">
        <v>1394.3250469723419</v>
      </c>
      <c r="U181" s="101">
        <v>1383.1925082253754</v>
      </c>
      <c r="V181" s="101">
        <v>1380.3715770497924</v>
      </c>
      <c r="W181" s="101">
        <v>1358.8059504019361</v>
      </c>
      <c r="X181" s="101">
        <v>1318.9336524366086</v>
      </c>
      <c r="Y181" s="101">
        <v>1285.2692801690534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1006.6908136632949</v>
      </c>
      <c r="J182" s="101">
        <v>1006.6908136632949</v>
      </c>
      <c r="K182" s="101">
        <v>1006.6908136632951</v>
      </c>
      <c r="L182" s="101">
        <v>1006.6908136632951</v>
      </c>
      <c r="M182" s="101">
        <v>998.82558452757553</v>
      </c>
      <c r="N182" s="101">
        <v>998.82558452757542</v>
      </c>
      <c r="O182" s="101">
        <v>982.58025827288043</v>
      </c>
      <c r="P182" s="101">
        <v>981.85878656894442</v>
      </c>
      <c r="Q182" s="101">
        <v>981.85878656894442</v>
      </c>
      <c r="R182" s="101">
        <v>981.8587865689442</v>
      </c>
      <c r="S182" s="101">
        <v>980.43673464627796</v>
      </c>
      <c r="T182" s="101">
        <v>980.43673464627796</v>
      </c>
      <c r="U182" s="101">
        <v>971.02292419080925</v>
      </c>
      <c r="V182" s="101">
        <v>944.16414797080893</v>
      </c>
      <c r="W182" s="101">
        <v>944.16414797080893</v>
      </c>
      <c r="X182" s="101">
        <v>942.0710000312838</v>
      </c>
      <c r="Y182" s="101">
        <v>942.07100003128346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891.3603467731906</v>
      </c>
      <c r="L183" s="101">
        <v>891.04733689906413</v>
      </c>
      <c r="M183" s="101">
        <v>890.89306092761274</v>
      </c>
      <c r="N183" s="101">
        <v>888.87835270713208</v>
      </c>
      <c r="O183" s="101">
        <v>879.11876584307731</v>
      </c>
      <c r="P183" s="101">
        <v>873.41730256058418</v>
      </c>
      <c r="Q183" s="101">
        <v>873.17647891950674</v>
      </c>
      <c r="R183" s="101">
        <v>872.97911507905178</v>
      </c>
      <c r="S183" s="101">
        <v>872.17872712651922</v>
      </c>
      <c r="T183" s="101">
        <v>871.99199695781306</v>
      </c>
      <c r="U183" s="101">
        <v>871.69512529742144</v>
      </c>
      <c r="V183" s="101">
        <v>870.42573057553727</v>
      </c>
      <c r="W183" s="101">
        <v>870.16258328445133</v>
      </c>
      <c r="X183" s="101">
        <v>869.82669589339037</v>
      </c>
      <c r="Y183" s="101">
        <v>869.46434305760852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253.6847266936563</v>
      </c>
      <c r="C186" s="152">
        <v>244.27636565348445</v>
      </c>
      <c r="D186" s="152">
        <v>240.61844506933599</v>
      </c>
      <c r="E186" s="152">
        <v>237.85521916790162</v>
      </c>
      <c r="F186" s="152">
        <v>237.0079444250841</v>
      </c>
      <c r="G186" s="152">
        <v>235.78630141428656</v>
      </c>
      <c r="H186" s="152">
        <v>234.8797199803912</v>
      </c>
      <c r="I186" s="152">
        <v>231.58397081267722</v>
      </c>
      <c r="J186" s="152">
        <v>226.40894087949053</v>
      </c>
      <c r="K186" s="152">
        <v>219.00436632882145</v>
      </c>
      <c r="L186" s="152">
        <v>206.44166935654337</v>
      </c>
      <c r="M186" s="152">
        <v>203.65386776164738</v>
      </c>
      <c r="N186" s="152">
        <v>216.91976194023439</v>
      </c>
      <c r="O186" s="152">
        <v>213.10049464139425</v>
      </c>
      <c r="P186" s="152">
        <v>220.11094031942304</v>
      </c>
      <c r="Q186" s="152">
        <v>200.43722591899549</v>
      </c>
      <c r="R186" s="152">
        <v>196.86418107275111</v>
      </c>
      <c r="S186" s="152">
        <v>173.56625904609936</v>
      </c>
      <c r="T186" s="152">
        <v>177.14232296900579</v>
      </c>
      <c r="U186" s="152">
        <v>186.49451193342463</v>
      </c>
      <c r="V186" s="152">
        <v>205.55111328861562</v>
      </c>
      <c r="W186" s="152">
        <v>206.49197012694927</v>
      </c>
      <c r="X186" s="152">
        <v>212.46640725388895</v>
      </c>
      <c r="Y186" s="152">
        <v>205.75929277106513</v>
      </c>
      <c r="DA186" s="174" t="s">
        <v>924</v>
      </c>
    </row>
    <row r="187" spans="1:105" ht="11.45" customHeight="1" x14ac:dyDescent="0.25">
      <c r="A187" s="111" t="s">
        <v>110</v>
      </c>
      <c r="B187" s="87">
        <v>233.90814458787878</v>
      </c>
      <c r="C187" s="87">
        <v>228.94624780318966</v>
      </c>
      <c r="D187" s="87">
        <v>227.65152996211941</v>
      </c>
      <c r="E187" s="87">
        <v>226.48099468233053</v>
      </c>
      <c r="F187" s="87">
        <v>225.42478608371039</v>
      </c>
      <c r="G187" s="87">
        <v>224.20842240924532</v>
      </c>
      <c r="H187" s="87">
        <v>222.57374734380952</v>
      </c>
      <c r="I187" s="87">
        <v>218.49242150486401</v>
      </c>
      <c r="J187" s="87">
        <v>216.17588289587701</v>
      </c>
      <c r="K187" s="87">
        <v>213.36353781435824</v>
      </c>
      <c r="L187" s="87">
        <v>210.66145712594391</v>
      </c>
      <c r="M187" s="87">
        <v>209.18562113718713</v>
      </c>
      <c r="N187" s="87">
        <v>206.48135746635359</v>
      </c>
      <c r="O187" s="87">
        <v>205.86939479096498</v>
      </c>
      <c r="P187" s="87">
        <v>204.82675624598778</v>
      </c>
      <c r="Q187" s="87">
        <v>202.29197530704769</v>
      </c>
      <c r="R187" s="87">
        <v>198.75584364380589</v>
      </c>
      <c r="S187" s="87">
        <v>197.39744164744889</v>
      </c>
      <c r="T187" s="87">
        <v>195.11738263567878</v>
      </c>
      <c r="U187" s="87">
        <v>191.63466514721424</v>
      </c>
      <c r="V187" s="87">
        <v>188.183585996419</v>
      </c>
      <c r="W187" s="87">
        <v>182.25819935847116</v>
      </c>
      <c r="X187" s="87">
        <v>177.11810832470559</v>
      </c>
      <c r="Y187" s="87">
        <v>171.77755177162203</v>
      </c>
      <c r="DA187" s="171" t="s">
        <v>925</v>
      </c>
    </row>
    <row r="188" spans="1:105" ht="11.45" customHeight="1" x14ac:dyDescent="0.25">
      <c r="A188" s="111" t="s">
        <v>111</v>
      </c>
      <c r="B188" s="87">
        <v>270.65789656217521</v>
      </c>
      <c r="C188" s="87">
        <v>258.0830997779052</v>
      </c>
      <c r="D188" s="87">
        <v>252.95505479927658</v>
      </c>
      <c r="E188" s="87">
        <v>248.22526604265124</v>
      </c>
      <c r="F188" s="87">
        <v>244.27599879242584</v>
      </c>
      <c r="G188" s="87">
        <v>240.6978982650362</v>
      </c>
      <c r="H188" s="87">
        <v>237.27194598295088</v>
      </c>
      <c r="I188" s="87">
        <v>233.00776125823648</v>
      </c>
      <c r="J188" s="87">
        <v>230.48784531987891</v>
      </c>
      <c r="K188" s="87">
        <v>229.42243264885363</v>
      </c>
      <c r="L188" s="87">
        <v>227.21163180480642</v>
      </c>
      <c r="M188" s="87">
        <v>225.63420300092733</v>
      </c>
      <c r="N188" s="87">
        <v>222.98229942140154</v>
      </c>
      <c r="O188" s="87">
        <v>222.37468958960554</v>
      </c>
      <c r="P188" s="87">
        <v>220.16241361609011</v>
      </c>
      <c r="Q188" s="87">
        <v>211.09525529837475</v>
      </c>
      <c r="R188" s="87">
        <v>205.74286581377777</v>
      </c>
      <c r="S188" s="87">
        <v>203.41634608437982</v>
      </c>
      <c r="T188" s="87">
        <v>200.42290828079587</v>
      </c>
      <c r="U188" s="87">
        <v>196.45128547818652</v>
      </c>
      <c r="V188" s="87">
        <v>194.85657570310906</v>
      </c>
      <c r="W188" s="87">
        <v>192.69803014325666</v>
      </c>
      <c r="X188" s="87">
        <v>189.85711942220476</v>
      </c>
      <c r="Y188" s="87">
        <v>187.82999457285405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157.86982116589741</v>
      </c>
      <c r="J189" s="87">
        <v>153.62120981660334</v>
      </c>
      <c r="K189" s="87">
        <v>152.65735163085191</v>
      </c>
      <c r="L189" s="87">
        <v>151.96562494576619</v>
      </c>
      <c r="M189" s="87">
        <v>151.63678359950896</v>
      </c>
      <c r="N189" s="87">
        <v>151.50252572687555</v>
      </c>
      <c r="O189" s="87">
        <v>149.95522193035711</v>
      </c>
      <c r="P189" s="87">
        <v>148.1644612820337</v>
      </c>
      <c r="Q189" s="87">
        <v>147.02696048827477</v>
      </c>
      <c r="R189" s="87">
        <v>145.15500697388202</v>
      </c>
      <c r="S189" s="87">
        <v>149.39363844391261</v>
      </c>
      <c r="T189" s="87">
        <v>150.24262304682802</v>
      </c>
      <c r="U189" s="87">
        <v>149.73351457924576</v>
      </c>
      <c r="V189" s="87">
        <v>151.07525424511388</v>
      </c>
      <c r="W189" s="87">
        <v>153.09340285349572</v>
      </c>
      <c r="X189" s="87">
        <v>153.80784531521837</v>
      </c>
      <c r="Y189" s="87">
        <v>152.86961666431557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179.17393964554566</v>
      </c>
      <c r="L190" s="87">
        <v>178.57828821689333</v>
      </c>
      <c r="M190" s="87">
        <v>178.11951904169945</v>
      </c>
      <c r="N190" s="87">
        <v>173.6977771375139</v>
      </c>
      <c r="O190" s="87">
        <v>173.6977771375139</v>
      </c>
      <c r="P190" s="87">
        <v>172.39461569442514</v>
      </c>
      <c r="Q190" s="87">
        <v>171.05494185639009</v>
      </c>
      <c r="R190" s="87">
        <v>166.97993237208058</v>
      </c>
      <c r="S190" s="87">
        <v>168.9631639958977</v>
      </c>
      <c r="T190" s="87">
        <v>167.69384084537529</v>
      </c>
      <c r="U190" s="87">
        <v>167.3948111018843</v>
      </c>
      <c r="V190" s="87">
        <v>165.87623261277844</v>
      </c>
      <c r="W190" s="87">
        <v>167.07219891253888</v>
      </c>
      <c r="X190" s="87">
        <v>165.12665972651931</v>
      </c>
      <c r="Y190" s="87">
        <v>164.93145262631086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995.9304458764218</v>
      </c>
      <c r="C192" s="116">
        <v>976.5174780708694</v>
      </c>
      <c r="D192" s="116">
        <v>971.04700737742564</v>
      </c>
      <c r="E192" s="116">
        <v>964.77304722950385</v>
      </c>
      <c r="F192" s="116">
        <v>961.11643427827721</v>
      </c>
      <c r="G192" s="116">
        <v>958.05884707104246</v>
      </c>
      <c r="H192" s="116">
        <v>945.81793110156889</v>
      </c>
      <c r="I192" s="116">
        <v>941.36283080336887</v>
      </c>
      <c r="J192" s="116">
        <v>929.37379476601052</v>
      </c>
      <c r="K192" s="116">
        <v>920.02560188883922</v>
      </c>
      <c r="L192" s="116">
        <v>918.13790248801649</v>
      </c>
      <c r="M192" s="116">
        <v>912.49411898910523</v>
      </c>
      <c r="N192" s="116">
        <v>905.4455168055382</v>
      </c>
      <c r="O192" s="116">
        <v>891.38034201627397</v>
      </c>
      <c r="P192" s="116">
        <v>876.39123214095741</v>
      </c>
      <c r="Q192" s="116">
        <v>856.37122534457114</v>
      </c>
      <c r="R192" s="116">
        <v>842.36760183465617</v>
      </c>
      <c r="S192" s="116">
        <v>823.58623769961025</v>
      </c>
      <c r="T192" s="116">
        <v>802.89247310771157</v>
      </c>
      <c r="U192" s="116">
        <v>786.26037753992023</v>
      </c>
      <c r="V192" s="116">
        <v>769.18157620039142</v>
      </c>
      <c r="W192" s="116">
        <v>747.36167083372698</v>
      </c>
      <c r="X192" s="116">
        <v>732.63672373689701</v>
      </c>
      <c r="Y192" s="116">
        <v>711.7814983561874</v>
      </c>
      <c r="DA192" s="176" t="s">
        <v>930</v>
      </c>
    </row>
    <row r="193" spans="1:105" ht="11.45" customHeight="1" x14ac:dyDescent="0.25">
      <c r="A193" s="128" t="s">
        <v>27</v>
      </c>
      <c r="B193" s="101">
        <v>915.55945723474008</v>
      </c>
      <c r="C193" s="101">
        <v>900.26393421798252</v>
      </c>
      <c r="D193" s="101">
        <v>896.05197964527179</v>
      </c>
      <c r="E193" s="101">
        <v>891.14964987551696</v>
      </c>
      <c r="F193" s="101">
        <v>887.58692778645286</v>
      </c>
      <c r="G193" s="101">
        <v>884.73157662214976</v>
      </c>
      <c r="H193" s="101">
        <v>875.1222634095941</v>
      </c>
      <c r="I193" s="101">
        <v>871.06001660899415</v>
      </c>
      <c r="J193" s="101">
        <v>863.77943221369094</v>
      </c>
      <c r="K193" s="101">
        <v>854.92888700432832</v>
      </c>
      <c r="L193" s="101">
        <v>853.75070670353625</v>
      </c>
      <c r="M193" s="101">
        <v>848.87712158494764</v>
      </c>
      <c r="N193" s="101">
        <v>842.51821690788677</v>
      </c>
      <c r="O193" s="101">
        <v>829.31827902871169</v>
      </c>
      <c r="P193" s="101">
        <v>815.21272910098185</v>
      </c>
      <c r="Q193" s="101">
        <v>796.0992060983624</v>
      </c>
      <c r="R193" s="101">
        <v>782.6985867421447</v>
      </c>
      <c r="S193" s="101">
        <v>764.91312858121944</v>
      </c>
      <c r="T193" s="101">
        <v>744.98525528792652</v>
      </c>
      <c r="U193" s="101">
        <v>729.60962548032023</v>
      </c>
      <c r="V193" s="101">
        <v>713.56243662918985</v>
      </c>
      <c r="W193" s="101">
        <v>692.81294362783626</v>
      </c>
      <c r="X193" s="101">
        <v>679.1006616199038</v>
      </c>
      <c r="Y193" s="101">
        <v>659.17914225383856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1055.3404978527269</v>
      </c>
      <c r="D194" s="88">
        <v>1046.0501620163982</v>
      </c>
      <c r="E194" s="88">
        <v>1038.5707530874574</v>
      </c>
      <c r="F194" s="88">
        <v>1019.457977860986</v>
      </c>
      <c r="G194" s="88">
        <v>1010.7334370387026</v>
      </c>
      <c r="H194" s="88">
        <v>1007.8452075935556</v>
      </c>
      <c r="I194" s="88">
        <v>995.26188815797718</v>
      </c>
      <c r="J194" s="88">
        <v>976.47782671870345</v>
      </c>
      <c r="K194" s="88">
        <v>969.18395255144367</v>
      </c>
      <c r="L194" s="88">
        <v>960.40517832532169</v>
      </c>
      <c r="M194" s="88">
        <v>948.22555503429237</v>
      </c>
      <c r="N194" s="88">
        <v>936.5751385199876</v>
      </c>
      <c r="O194" s="88">
        <v>923.37595617108809</v>
      </c>
      <c r="P194" s="88">
        <v>907.72416076847753</v>
      </c>
      <c r="Q194" s="88">
        <v>884.87018411896815</v>
      </c>
      <c r="R194" s="88">
        <v>871.87455380767892</v>
      </c>
      <c r="S194" s="88">
        <v>843.51889564711405</v>
      </c>
      <c r="T194" s="88">
        <v>834.62234155527324</v>
      </c>
      <c r="U194" s="88">
        <v>828.23216222502958</v>
      </c>
      <c r="V194" s="88">
        <v>812.92950960378312</v>
      </c>
      <c r="W194" s="88">
        <v>807.86998268393381</v>
      </c>
      <c r="X194" s="88">
        <v>791.63415357108249</v>
      </c>
      <c r="Y194" s="88">
        <v>774.0268647103278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1.1275000000068982</v>
      </c>
      <c r="C198" s="150">
        <f>IF(TrRoad_act!C59=0,0,TrRoad_emi!C56/TrRoad_tech!C171)</f>
        <v>1.1275493105892325</v>
      </c>
      <c r="D198" s="150">
        <f>IF(TrRoad_act!D59=0,0,TrRoad_emi!D56/TrRoad_tech!D171)</f>
        <v>1.1282560593529636</v>
      </c>
      <c r="E198" s="150">
        <f>IF(TrRoad_act!E59=0,0,TrRoad_emi!E56/TrRoad_tech!E171)</f>
        <v>1.1312766950410278</v>
      </c>
      <c r="F198" s="150">
        <f>IF(TrRoad_act!F59=0,0,TrRoad_emi!F56/TrRoad_tech!F171)</f>
        <v>1.1351376060204417</v>
      </c>
      <c r="G198" s="150">
        <f>IF(TrRoad_act!G59=0,0,TrRoad_emi!G56/TrRoad_tech!G171)</f>
        <v>1.1400733392708673</v>
      </c>
      <c r="H198" s="150">
        <f>IF(TrRoad_act!H59=0,0,TrRoad_emi!H56/TrRoad_tech!H171)</f>
        <v>1.1462066183999673</v>
      </c>
      <c r="I198" s="150">
        <f>IF(TrRoad_act!I59=0,0,TrRoad_emi!I56/TrRoad_tech!I171)</f>
        <v>1.1502134821878049</v>
      </c>
      <c r="J198" s="150">
        <f>IF(TrRoad_act!J59=0,0,TrRoad_emi!J56/TrRoad_tech!J171)</f>
        <v>1.1548816033034512</v>
      </c>
      <c r="K198" s="150">
        <f>IF(TrRoad_act!K59=0,0,TrRoad_emi!K56/TrRoad_tech!K171)</f>
        <v>1.1541387806233212</v>
      </c>
      <c r="L198" s="150">
        <f>IF(TrRoad_act!L59=0,0,TrRoad_emi!L56/TrRoad_tech!L171)</f>
        <v>1.1608418594534096</v>
      </c>
      <c r="M198" s="150">
        <f>IF(TrRoad_act!M59=0,0,TrRoad_emi!M56/TrRoad_tech!M171)</f>
        <v>1.1606046461066866</v>
      </c>
      <c r="N198" s="150">
        <f>IF(TrRoad_act!N59=0,0,TrRoad_emi!N56/TrRoad_tech!N171)</f>
        <v>1.1627495333741389</v>
      </c>
      <c r="O198" s="150">
        <f>IF(TrRoad_act!O59=0,0,TrRoad_emi!O56/TrRoad_tech!O171)</f>
        <v>1.1660114944209552</v>
      </c>
      <c r="P198" s="150">
        <f>IF(TrRoad_act!P59=0,0,TrRoad_emi!P56/TrRoad_tech!P171)</f>
        <v>1.1724475942852541</v>
      </c>
      <c r="Q198" s="150">
        <f>IF(TrRoad_act!Q59=0,0,TrRoad_emi!Q56/TrRoad_tech!Q171)</f>
        <v>1.176355046845426</v>
      </c>
      <c r="R198" s="150">
        <f>IF(TrRoad_act!R59=0,0,TrRoad_emi!R56/TrRoad_tech!R171)</f>
        <v>1.1830109678943213</v>
      </c>
      <c r="S198" s="150">
        <f>IF(TrRoad_act!S59=0,0,TrRoad_emi!S56/TrRoad_tech!S171)</f>
        <v>1.188641666793947</v>
      </c>
      <c r="T198" s="150">
        <f>IF(TrRoad_act!T59=0,0,TrRoad_emi!T56/TrRoad_tech!T171)</f>
        <v>1.1991182113347325</v>
      </c>
      <c r="U198" s="150">
        <f>IF(TrRoad_act!U59=0,0,TrRoad_emi!U56/TrRoad_tech!U171)</f>
        <v>1.2121262715730823</v>
      </c>
      <c r="V198" s="150">
        <f>IF(TrRoad_act!V59=0,0,TrRoad_emi!V56/TrRoad_tech!V171)</f>
        <v>1.2251007729326173</v>
      </c>
      <c r="W198" s="150">
        <f>IF(TrRoad_act!W59=0,0,TrRoad_emi!W56/TrRoad_tech!W171)</f>
        <v>1.2337896970276818</v>
      </c>
      <c r="X198" s="150">
        <f>IF(TrRoad_act!X59=0,0,TrRoad_emi!X56/TrRoad_tech!X171)</f>
        <v>1.2522704431994975</v>
      </c>
      <c r="Y198" s="150">
        <f>IF(TrRoad_act!Y59=0,0,TrRoad_emi!Y56/TrRoad_tech!Y171)</f>
        <v>1.2694621955856862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1.0871460481226634</v>
      </c>
      <c r="C199" s="151">
        <f>IF(TrRoad_act!C60=0,0,TrRoad_emi!C57/TrRoad_tech!C172)</f>
        <v>1.035187214977507</v>
      </c>
      <c r="D199" s="151">
        <f>IF(TrRoad_act!D60=0,0,TrRoad_emi!D57/TrRoad_tech!D172)</f>
        <v>1.0068395887122459</v>
      </c>
      <c r="E199" s="151">
        <f>IF(TrRoad_act!E60=0,0,TrRoad_emi!E57/TrRoad_tech!E172)</f>
        <v>1.0675480835308626</v>
      </c>
      <c r="F199" s="151">
        <f>IF(TrRoad_act!F60=0,0,TrRoad_emi!F57/TrRoad_tech!F172)</f>
        <v>1.0404939377600724</v>
      </c>
      <c r="G199" s="151">
        <f>IF(TrRoad_act!G60=0,0,TrRoad_emi!G57/TrRoad_tech!G172)</f>
        <v>1.0740884505635697</v>
      </c>
      <c r="H199" s="151">
        <f>IF(TrRoad_act!H60=0,0,TrRoad_emi!H57/TrRoad_tech!H172)</f>
        <v>1.14508880386053</v>
      </c>
      <c r="I199" s="151">
        <f>IF(TrRoad_act!I60=0,0,TrRoad_emi!I57/TrRoad_tech!I172)</f>
        <v>1.2124083719128032</v>
      </c>
      <c r="J199" s="151">
        <f>IF(TrRoad_act!J60=0,0,TrRoad_emi!J57/TrRoad_tech!J172)</f>
        <v>1.0970123656977901</v>
      </c>
      <c r="K199" s="151">
        <f>IF(TrRoad_act!K60=0,0,TrRoad_emi!K57/TrRoad_tech!K172)</f>
        <v>1.1553858386467288</v>
      </c>
      <c r="L199" s="151">
        <f>IF(TrRoad_act!L60=0,0,TrRoad_emi!L57/TrRoad_tech!L172)</f>
        <v>1.0870786236883201</v>
      </c>
      <c r="M199" s="151">
        <f>IF(TrRoad_act!M60=0,0,TrRoad_emi!M57/TrRoad_tech!M172)</f>
        <v>1.0959896521977213</v>
      </c>
      <c r="N199" s="151">
        <f>IF(TrRoad_act!N60=0,0,TrRoad_emi!N57/TrRoad_tech!N172)</f>
        <v>1.121237159872535</v>
      </c>
      <c r="O199" s="151">
        <f>IF(TrRoad_act!O60=0,0,TrRoad_emi!O57/TrRoad_tech!O172)</f>
        <v>1.0963589897085191</v>
      </c>
      <c r="P199" s="151">
        <f>IF(TrRoad_act!P60=0,0,TrRoad_emi!P57/TrRoad_tech!P172)</f>
        <v>1.1069113400261255</v>
      </c>
      <c r="Q199" s="151">
        <f>IF(TrRoad_act!Q60=0,0,TrRoad_emi!Q57/TrRoad_tech!Q172)</f>
        <v>1.1454140555617081</v>
      </c>
      <c r="R199" s="151">
        <f>IF(TrRoad_act!R60=0,0,TrRoad_emi!R57/TrRoad_tech!R172)</f>
        <v>1.1038373866231841</v>
      </c>
      <c r="S199" s="151">
        <f>IF(TrRoad_act!S60=0,0,TrRoad_emi!S57/TrRoad_tech!S172)</f>
        <v>1.1186003013853643</v>
      </c>
      <c r="T199" s="151">
        <f>IF(TrRoad_act!T60=0,0,TrRoad_emi!T57/TrRoad_tech!T172)</f>
        <v>1.0571325964377449</v>
      </c>
      <c r="U199" s="151">
        <f>IF(TrRoad_act!U60=0,0,TrRoad_emi!U57/TrRoad_tech!U172)</f>
        <v>1.1474526191193786</v>
      </c>
      <c r="V199" s="151">
        <f>IF(TrRoad_act!V60=0,0,TrRoad_emi!V57/TrRoad_tech!V172)</f>
        <v>1.2260479319119333</v>
      </c>
      <c r="W199" s="151">
        <f>IF(TrRoad_act!W60=0,0,TrRoad_emi!W57/TrRoad_tech!W172)</f>
        <v>1.2130646213433613</v>
      </c>
      <c r="X199" s="151">
        <f>IF(TrRoad_act!X60=0,0,TrRoad_emi!X57/TrRoad_tech!X172)</f>
        <v>1.2951440148272519</v>
      </c>
      <c r="Y199" s="151">
        <f>IF(TrRoad_act!Y60=0,0,TrRoad_emi!Y57/TrRoad_tech!Y172)</f>
        <v>1.4575370430454428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1.1245554424174566</v>
      </c>
      <c r="C200" s="91">
        <f>IF(TrRoad_act!C61=0,0,TrRoad_emi!C58/TrRoad_tech!C173)</f>
        <v>1.0427940306536281</v>
      </c>
      <c r="D200" s="91">
        <f>IF(TrRoad_act!D61=0,0,TrRoad_emi!D58/TrRoad_tech!D173)</f>
        <v>1.0378873865240803</v>
      </c>
      <c r="E200" s="91">
        <f>IF(TrRoad_act!E61=0,0,TrRoad_emi!E58/TrRoad_tech!E173)</f>
        <v>1.1074719939064877</v>
      </c>
      <c r="F200" s="91">
        <f>IF(TrRoad_act!F61=0,0,TrRoad_emi!F58/TrRoad_tech!F173)</f>
        <v>1.0817162786869758</v>
      </c>
      <c r="G200" s="91">
        <f>IF(TrRoad_act!G61=0,0,TrRoad_emi!G58/TrRoad_tech!G173)</f>
        <v>1.1165777898053688</v>
      </c>
      <c r="H200" s="91">
        <f>IF(TrRoad_act!H61=0,0,TrRoad_emi!H58/TrRoad_tech!H173)</f>
        <v>1.1984537544292595</v>
      </c>
      <c r="I200" s="91">
        <f>IF(TrRoad_act!I61=0,0,TrRoad_emi!I58/TrRoad_tech!I173)</f>
        <v>1.2663574956741595</v>
      </c>
      <c r="J200" s="91">
        <f>IF(TrRoad_act!J61=0,0,TrRoad_emi!J58/TrRoad_tech!J173)</f>
        <v>1.0368513227359057</v>
      </c>
      <c r="K200" s="91">
        <f>IF(TrRoad_act!K61=0,0,TrRoad_emi!K58/TrRoad_tech!K173)</f>
        <v>1.0765633907127785</v>
      </c>
      <c r="L200" s="91">
        <f>IF(TrRoad_act!L61=0,0,TrRoad_emi!L58/TrRoad_tech!L173)</f>
        <v>1.0264864115676575</v>
      </c>
      <c r="M200" s="91">
        <f>IF(TrRoad_act!M61=0,0,TrRoad_emi!M58/TrRoad_tech!M173)</f>
        <v>1.0531074074989895</v>
      </c>
      <c r="N200" s="91">
        <f>IF(TrRoad_act!N61=0,0,TrRoad_emi!N58/TrRoad_tech!N173)</f>
        <v>1.0545544964376885</v>
      </c>
      <c r="O200" s="91">
        <f>IF(TrRoad_act!O61=0,0,TrRoad_emi!O58/TrRoad_tech!O173)</f>
        <v>1.0721478661224042</v>
      </c>
      <c r="P200" s="91">
        <f>IF(TrRoad_act!P61=0,0,TrRoad_emi!P58/TrRoad_tech!P173)</f>
        <v>1.0877862161570178</v>
      </c>
      <c r="Q200" s="91">
        <f>IF(TrRoad_act!Q61=0,0,TrRoad_emi!Q58/TrRoad_tech!Q173)</f>
        <v>1.0982414021569551</v>
      </c>
      <c r="R200" s="91">
        <f>IF(TrRoad_act!R61=0,0,TrRoad_emi!R58/TrRoad_tech!R173)</f>
        <v>1.0755872179845984</v>
      </c>
      <c r="S200" s="91">
        <f>IF(TrRoad_act!S61=0,0,TrRoad_emi!S58/TrRoad_tech!S173)</f>
        <v>1.0478497921793963</v>
      </c>
      <c r="T200" s="91">
        <f>IF(TrRoad_act!T61=0,0,TrRoad_emi!T58/TrRoad_tech!T173)</f>
        <v>1.0040017259305405</v>
      </c>
      <c r="U200" s="91">
        <f>IF(TrRoad_act!U61=0,0,TrRoad_emi!U58/TrRoad_tech!U173)</f>
        <v>1.0656919373813414</v>
      </c>
      <c r="V200" s="91">
        <f>IF(TrRoad_act!V61=0,0,TrRoad_emi!V58/TrRoad_tech!V173)</f>
        <v>1.1390717286191119</v>
      </c>
      <c r="W200" s="91">
        <f>IF(TrRoad_act!W61=0,0,TrRoad_emi!W58/TrRoad_tech!W173)</f>
        <v>1.1823723274876996</v>
      </c>
      <c r="X200" s="91">
        <f>IF(TrRoad_act!X61=0,0,TrRoad_emi!X58/TrRoad_tech!X173)</f>
        <v>1.3606904593501679</v>
      </c>
      <c r="Y200" s="91">
        <f>IF(TrRoad_act!Y61=0,0,TrRoad_emi!Y58/TrRoad_tech!Y173)</f>
        <v>1.5234097569257166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0.99886101824022255</v>
      </c>
      <c r="C201" s="91">
        <f>IF(TrRoad_act!C62=0,0,TrRoad_emi!C59/TrRoad_tech!C174)</f>
        <v>1.0650179168107619</v>
      </c>
      <c r="D201" s="91">
        <f>IF(TrRoad_act!D62=0,0,TrRoad_emi!D59/TrRoad_tech!D174)</f>
        <v>0.963405074299302</v>
      </c>
      <c r="E201" s="91">
        <f>IF(TrRoad_act!E62=0,0,TrRoad_emi!E59/TrRoad_tech!E174)</f>
        <v>1.0332841064702816</v>
      </c>
      <c r="F201" s="91">
        <f>IF(TrRoad_act!F62=0,0,TrRoad_emi!F59/TrRoad_tech!F174)</f>
        <v>1.007976453210129</v>
      </c>
      <c r="G201" s="91">
        <f>IF(TrRoad_act!G62=0,0,TrRoad_emi!G59/TrRoad_tech!G174)</f>
        <v>1.0387111909467279</v>
      </c>
      <c r="H201" s="91">
        <f>IF(TrRoad_act!H62=0,0,TrRoad_emi!H59/TrRoad_tech!H174)</f>
        <v>1.0894210329001583</v>
      </c>
      <c r="I201" s="91">
        <f>IF(TrRoad_act!I62=0,0,TrRoad_emi!I59/TrRoad_tech!I174)</f>
        <v>1.1761425313225791</v>
      </c>
      <c r="J201" s="91">
        <f>IF(TrRoad_act!J62=0,0,TrRoad_emi!J59/TrRoad_tech!J174)</f>
        <v>1.1758950887959994</v>
      </c>
      <c r="K201" s="91">
        <f>IF(TrRoad_act!K62=0,0,TrRoad_emi!K59/TrRoad_tech!K174)</f>
        <v>1.2623479569451739</v>
      </c>
      <c r="L201" s="91">
        <f>IF(TrRoad_act!L62=0,0,TrRoad_emi!L59/TrRoad_tech!L174)</f>
        <v>1.2139781555344114</v>
      </c>
      <c r="M201" s="91">
        <f>IF(TrRoad_act!M62=0,0,TrRoad_emi!M59/TrRoad_tech!M174)</f>
        <v>1.1997060423705357</v>
      </c>
      <c r="N201" s="91">
        <f>IF(TrRoad_act!N62=0,0,TrRoad_emi!N59/TrRoad_tech!N174)</f>
        <v>1.2491768575046005</v>
      </c>
      <c r="O201" s="91">
        <f>IF(TrRoad_act!O62=0,0,TrRoad_emi!O59/TrRoad_tech!O174)</f>
        <v>1.1834221450604192</v>
      </c>
      <c r="P201" s="91">
        <f>IF(TrRoad_act!P62=0,0,TrRoad_emi!P59/TrRoad_tech!P174)</f>
        <v>1.1768050289733083</v>
      </c>
      <c r="Q201" s="91">
        <f>IF(TrRoad_act!Q62=0,0,TrRoad_emi!Q59/TrRoad_tech!Q174)</f>
        <v>1.2438104539138293</v>
      </c>
      <c r="R201" s="91">
        <f>IF(TrRoad_act!R62=0,0,TrRoad_emi!R59/TrRoad_tech!R174)</f>
        <v>1.1714689619042509</v>
      </c>
      <c r="S201" s="91">
        <f>IF(TrRoad_act!S62=0,0,TrRoad_emi!S59/TrRoad_tech!S174)</f>
        <v>1.2047388475646663</v>
      </c>
      <c r="T201" s="91">
        <f>IF(TrRoad_act!T62=0,0,TrRoad_emi!T59/TrRoad_tech!T174)</f>
        <v>1.1170188475538987</v>
      </c>
      <c r="U201" s="91">
        <f>IF(TrRoad_act!U62=0,0,TrRoad_emi!U59/TrRoad_tech!U174)</f>
        <v>1.2272694810778144</v>
      </c>
      <c r="V201" s="91">
        <f>IF(TrRoad_act!V62=0,0,TrRoad_emi!V59/TrRoad_tech!V174)</f>
        <v>1.3073930783774865</v>
      </c>
      <c r="W201" s="91">
        <f>IF(TrRoad_act!W62=0,0,TrRoad_emi!W59/TrRoad_tech!W174)</f>
        <v>1.2434809765073247</v>
      </c>
      <c r="X201" s="91">
        <f>IF(TrRoad_act!X62=0,0,TrRoad_emi!X59/TrRoad_tech!X174)</f>
        <v>1.293458939836035</v>
      </c>
      <c r="Y201" s="91">
        <f>IF(TrRoad_act!Y62=0,0,TrRoad_emi!Y59/TrRoad_tech!Y174)</f>
        <v>1.4591153240503738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0.99236073794788193</v>
      </c>
      <c r="C202" s="91">
        <f>IF(TrRoad_act!C63=0,0,TrRoad_emi!C60/TrRoad_tech!C175)</f>
        <v>1.0323813759976359</v>
      </c>
      <c r="D202" s="91">
        <f>IF(TrRoad_act!D63=0,0,TrRoad_emi!D60/TrRoad_tech!D175)</f>
        <v>1.0560030259881485</v>
      </c>
      <c r="E202" s="91">
        <f>IF(TrRoad_act!E63=0,0,TrRoad_emi!E60/TrRoad_tech!E175)</f>
        <v>1.0487745055832838</v>
      </c>
      <c r="F202" s="91">
        <f>IF(TrRoad_act!F63=0,0,TrRoad_emi!F60/TrRoad_tech!F175)</f>
        <v>1.0369146319815465</v>
      </c>
      <c r="G202" s="91">
        <f>IF(TrRoad_act!G63=0,0,TrRoad_emi!G60/TrRoad_tech!G175)</f>
        <v>1.04023456348377</v>
      </c>
      <c r="H202" s="91">
        <f>IF(TrRoad_act!H63=0,0,TrRoad_emi!H60/TrRoad_tech!H175)</f>
        <v>1.0068451738004207</v>
      </c>
      <c r="I202" s="91">
        <f>IF(TrRoad_act!I63=0,0,TrRoad_emi!I60/TrRoad_tech!I175)</f>
        <v>0.99391504618511084</v>
      </c>
      <c r="J202" s="91">
        <f>IF(TrRoad_act!J63=0,0,TrRoad_emi!J60/TrRoad_tech!J175)</f>
        <v>1.0294576396402506</v>
      </c>
      <c r="K202" s="91">
        <f>IF(TrRoad_act!K63=0,0,TrRoad_emi!K60/TrRoad_tech!K175)</f>
        <v>0.98791582058579308</v>
      </c>
      <c r="L202" s="91">
        <f>IF(TrRoad_act!L63=0,0,TrRoad_emi!L60/TrRoad_tech!L175)</f>
        <v>0.97404512522821263</v>
      </c>
      <c r="M202" s="91">
        <f>IF(TrRoad_act!M63=0,0,TrRoad_emi!M60/TrRoad_tech!M175)</f>
        <v>0.97604694403275261</v>
      </c>
      <c r="N202" s="91">
        <f>IF(TrRoad_act!N63=0,0,TrRoad_emi!N60/TrRoad_tech!N175)</f>
        <v>0.97680786164899858</v>
      </c>
      <c r="O202" s="91">
        <f>IF(TrRoad_act!O63=0,0,TrRoad_emi!O60/TrRoad_tech!O175)</f>
        <v>0.9787555069567585</v>
      </c>
      <c r="P202" s="91">
        <f>IF(TrRoad_act!P63=0,0,TrRoad_emi!P60/TrRoad_tech!P175)</f>
        <v>0.98467570637257928</v>
      </c>
      <c r="Q202" s="91">
        <f>IF(TrRoad_act!Q63=0,0,TrRoad_emi!Q60/TrRoad_tech!Q175)</f>
        <v>0.98994904844308751</v>
      </c>
      <c r="R202" s="91">
        <f>IF(TrRoad_act!R63=0,0,TrRoad_emi!R60/TrRoad_tech!R175)</f>
        <v>1.0374945611765753</v>
      </c>
      <c r="S202" s="91">
        <f>IF(TrRoad_act!S63=0,0,TrRoad_emi!S60/TrRoad_tech!S175)</f>
        <v>1.0406637143239206</v>
      </c>
      <c r="T202" s="91">
        <f>IF(TrRoad_act!T63=0,0,TrRoad_emi!T60/TrRoad_tech!T175)</f>
        <v>1.0455788354846618</v>
      </c>
      <c r="U202" s="91">
        <f>IF(TrRoad_act!U63=0,0,TrRoad_emi!U60/TrRoad_tech!U175)</f>
        <v>1.050073480042965</v>
      </c>
      <c r="V202" s="91">
        <f>IF(TrRoad_act!V63=0,0,TrRoad_emi!V60/TrRoad_tech!V175)</f>
        <v>1.0542787022448386</v>
      </c>
      <c r="W202" s="91">
        <f>IF(TrRoad_act!W63=0,0,TrRoad_emi!W60/TrRoad_tech!W175)</f>
        <v>1.0482710050355188</v>
      </c>
      <c r="X202" s="91">
        <f>IF(TrRoad_act!X63=0,0,TrRoad_emi!X60/TrRoad_tech!X175)</f>
        <v>1.0440925991699728</v>
      </c>
      <c r="Y202" s="91">
        <f>IF(TrRoad_act!Y63=0,0,TrRoad_emi!Y60/TrRoad_tech!Y175)</f>
        <v>1.0632550573190676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1.0511111111157001</v>
      </c>
      <c r="L203" s="91">
        <f>IF(TrRoad_act!L64=0,0,TrRoad_emi!L61/TrRoad_tech!L176)</f>
        <v>1.0518478927585679</v>
      </c>
      <c r="M203" s="91">
        <f>IF(TrRoad_act!M64=0,0,TrRoad_emi!M61/TrRoad_tech!M176)</f>
        <v>1.0518686116174976</v>
      </c>
      <c r="N203" s="91">
        <f>IF(TrRoad_act!N64=0,0,TrRoad_emi!N61/TrRoad_tech!N176)</f>
        <v>1.0536214110034052</v>
      </c>
      <c r="O203" s="91">
        <f>IF(TrRoad_act!O64=0,0,TrRoad_emi!O61/TrRoad_tech!O176)</f>
        <v>1.0546391888508722</v>
      </c>
      <c r="P203" s="91">
        <f>IF(TrRoad_act!P64=0,0,TrRoad_emi!P61/TrRoad_tech!P176)</f>
        <v>1.0579270857755272</v>
      </c>
      <c r="Q203" s="91">
        <f>IF(TrRoad_act!Q64=0,0,TrRoad_emi!Q61/TrRoad_tech!Q176)</f>
        <v>1.0582192852549976</v>
      </c>
      <c r="R203" s="91">
        <f>IF(TrRoad_act!R64=0,0,TrRoad_emi!R61/TrRoad_tech!R176)</f>
        <v>1.0621690064202138</v>
      </c>
      <c r="S203" s="91">
        <f>IF(TrRoad_act!S64=0,0,TrRoad_emi!S61/TrRoad_tech!S176)</f>
        <v>1.0698661292122609</v>
      </c>
      <c r="T203" s="91">
        <f>IF(TrRoad_act!T64=0,0,TrRoad_emi!T61/TrRoad_tech!T176)</f>
        <v>1.0715978337246324</v>
      </c>
      <c r="U203" s="91">
        <f>IF(TrRoad_act!U64=0,0,TrRoad_emi!U61/TrRoad_tech!U176)</f>
        <v>1.0726164172913013</v>
      </c>
      <c r="V203" s="91">
        <f>IF(TrRoad_act!V64=0,0,TrRoad_emi!V61/TrRoad_tech!V176)</f>
        <v>1.072951086920338</v>
      </c>
      <c r="W203" s="91">
        <f>IF(TrRoad_act!W64=0,0,TrRoad_emi!W61/TrRoad_tech!W176)</f>
        <v>1.0736598851699433</v>
      </c>
      <c r="X203" s="91">
        <f>IF(TrRoad_act!X64=0,0,TrRoad_emi!X61/TrRoad_tech!X176)</f>
        <v>1.0743937834954012</v>
      </c>
      <c r="Y203" s="91">
        <f>IF(TrRoad_act!Y64=0,0,TrRoad_emi!Y61/TrRoad_tech!Y176)</f>
        <v>1.076426274270345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0</v>
      </c>
      <c r="P204" s="91">
        <f>IF(TrRoad_act!P65=0,0,TrRoad_emi!P62/TrRoad_tech!P177)</f>
        <v>1.1327942213914106</v>
      </c>
      <c r="Q204" s="91">
        <f>IF(TrRoad_act!Q65=0,0,TrRoad_emi!Q62/TrRoad_tech!Q177)</f>
        <v>1.147295838692034</v>
      </c>
      <c r="R204" s="91">
        <f>IF(TrRoad_act!R65=0,0,TrRoad_emi!R62/TrRoad_tech!R177)</f>
        <v>1.123972937409248</v>
      </c>
      <c r="S204" s="91">
        <f>IF(TrRoad_act!S65=0,0,TrRoad_emi!S62/TrRoad_tech!S177)</f>
        <v>1.0935859579604221</v>
      </c>
      <c r="T204" s="91">
        <f>IF(TrRoad_act!T65=0,0,TrRoad_emi!T62/TrRoad_tech!T177)</f>
        <v>1.0458034004278403</v>
      </c>
      <c r="U204" s="91">
        <f>IF(TrRoad_act!U65=0,0,TrRoad_emi!U62/TrRoad_tech!U177)</f>
        <v>1.108312156145064</v>
      </c>
      <c r="V204" s="91">
        <f>IF(TrRoad_act!V65=0,0,TrRoad_emi!V62/TrRoad_tech!V177)</f>
        <v>1.1821007470676628</v>
      </c>
      <c r="W204" s="91">
        <f>IF(TrRoad_act!W65=0,0,TrRoad_emi!W62/TrRoad_tech!W177)</f>
        <v>1.2247960303052738</v>
      </c>
      <c r="X204" s="91">
        <f>IF(TrRoad_act!X65=0,0,TrRoad_emi!X62/TrRoad_tech!X177)</f>
        <v>1.4053791385477541</v>
      </c>
      <c r="Y204" s="91">
        <f>IF(TrRoad_act!Y65=0,0,TrRoad_emi!Y62/TrRoad_tech!Y177)</f>
        <v>1.5656768938266434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1.0478067789257894</v>
      </c>
      <c r="C206" s="151">
        <f>IF(TrRoad_act!C67=0,0,TrRoad_emi!C64/TrRoad_tech!C179)</f>
        <v>1.0166696015208332</v>
      </c>
      <c r="D206" s="151">
        <f>IF(TrRoad_act!D67=0,0,TrRoad_emi!D64/TrRoad_tech!D179)</f>
        <v>1.0282273645746596</v>
      </c>
      <c r="E206" s="151">
        <f>IF(TrRoad_act!E67=0,0,TrRoad_emi!E64/TrRoad_tech!E179)</f>
        <v>1.053152587118382</v>
      </c>
      <c r="F206" s="151">
        <f>IF(TrRoad_act!F67=0,0,TrRoad_emi!F64/TrRoad_tech!F179)</f>
        <v>1.0494289934164787</v>
      </c>
      <c r="G206" s="151">
        <f>IF(TrRoad_act!G67=0,0,TrRoad_emi!G64/TrRoad_tech!G179)</f>
        <v>1.0612193332627131</v>
      </c>
      <c r="H206" s="151">
        <f>IF(TrRoad_act!H67=0,0,TrRoad_emi!H64/TrRoad_tech!H179)</f>
        <v>1.0794755617011031</v>
      </c>
      <c r="I206" s="151">
        <f>IF(TrRoad_act!I67=0,0,TrRoad_emi!I64/TrRoad_tech!I179)</f>
        <v>1.1186137541761383</v>
      </c>
      <c r="J206" s="151">
        <f>IF(TrRoad_act!J67=0,0,TrRoad_emi!J64/TrRoad_tech!J179)</f>
        <v>1.1354494006514326</v>
      </c>
      <c r="K206" s="151">
        <f>IF(TrRoad_act!K67=0,0,TrRoad_emi!K64/TrRoad_tech!K179)</f>
        <v>1.2077067979601568</v>
      </c>
      <c r="L206" s="151">
        <f>IF(TrRoad_act!L67=0,0,TrRoad_emi!L64/TrRoad_tech!L179)</f>
        <v>1.1943625050117586</v>
      </c>
      <c r="M206" s="151">
        <f>IF(TrRoad_act!M67=0,0,TrRoad_emi!M64/TrRoad_tech!M179)</f>
        <v>1.1826337618553406</v>
      </c>
      <c r="N206" s="151">
        <f>IF(TrRoad_act!N67=0,0,TrRoad_emi!N64/TrRoad_tech!N179)</f>
        <v>1.1861389794156327</v>
      </c>
      <c r="O206" s="151">
        <f>IF(TrRoad_act!O67=0,0,TrRoad_emi!O64/TrRoad_tech!O179)</f>
        <v>1.229584908013152</v>
      </c>
      <c r="P206" s="151">
        <f>IF(TrRoad_act!P67=0,0,TrRoad_emi!P64/TrRoad_tech!P179)</f>
        <v>1.2436094487703719</v>
      </c>
      <c r="Q206" s="151">
        <f>IF(TrRoad_act!Q67=0,0,TrRoad_emi!Q64/TrRoad_tech!Q179)</f>
        <v>1.2365685420976746</v>
      </c>
      <c r="R206" s="151">
        <f>IF(TrRoad_act!R67=0,0,TrRoad_emi!R64/TrRoad_tech!R179)</f>
        <v>1.2224057611391843</v>
      </c>
      <c r="S206" s="151">
        <f>IF(TrRoad_act!S67=0,0,TrRoad_emi!S64/TrRoad_tech!S179)</f>
        <v>1.2765154182527405</v>
      </c>
      <c r="T206" s="151">
        <f>IF(TrRoad_act!T67=0,0,TrRoad_emi!T64/TrRoad_tech!T179)</f>
        <v>1.2099922133430729</v>
      </c>
      <c r="U206" s="151">
        <f>IF(TrRoad_act!U67=0,0,TrRoad_emi!U64/TrRoad_tech!U179)</f>
        <v>1.271893360757588</v>
      </c>
      <c r="V206" s="151">
        <f>IF(TrRoad_act!V67=0,0,TrRoad_emi!V64/TrRoad_tech!V179)</f>
        <v>1.3797672751254102</v>
      </c>
      <c r="W206" s="151">
        <f>IF(TrRoad_act!W67=0,0,TrRoad_emi!W64/TrRoad_tech!W179)</f>
        <v>1.2558964101855654</v>
      </c>
      <c r="X206" s="151">
        <f>IF(TrRoad_act!X67=0,0,TrRoad_emi!X64/TrRoad_tech!X179)</f>
        <v>1.3257007163091281</v>
      </c>
      <c r="Y206" s="151">
        <f>IF(TrRoad_act!Y67=0,0,TrRoad_emi!Y64/TrRoad_tech!Y179)</f>
        <v>1.4243100802888209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1.1005183439418718</v>
      </c>
      <c r="D207" s="93">
        <f>IF(TrRoad_act!D68=0,0,TrRoad_emi!D65/TrRoad_tech!D180)</f>
        <v>1.1016390254769195</v>
      </c>
      <c r="E207" s="93">
        <f>IF(TrRoad_act!E68=0,0,TrRoad_emi!E65/TrRoad_tech!E180)</f>
        <v>1.1021632348603274</v>
      </c>
      <c r="F207" s="93">
        <f>IF(TrRoad_act!F68=0,0,TrRoad_emi!F65/TrRoad_tech!F180)</f>
        <v>1.1030323751985427</v>
      </c>
      <c r="G207" s="93">
        <f>IF(TrRoad_act!G68=0,0,TrRoad_emi!G65/TrRoad_tech!G180)</f>
        <v>1.106121274008202</v>
      </c>
      <c r="H207" s="93">
        <f>IF(TrRoad_act!H68=0,0,TrRoad_emi!H65/TrRoad_tech!H180)</f>
        <v>1.1111772049088759</v>
      </c>
      <c r="I207" s="93">
        <f>IF(TrRoad_act!I68=0,0,TrRoad_emi!I65/TrRoad_tech!I180)</f>
        <v>1.1117636254100707</v>
      </c>
      <c r="J207" s="93">
        <f>IF(TrRoad_act!J68=0,0,TrRoad_emi!J65/TrRoad_tech!J180)</f>
        <v>1.1237718707311553</v>
      </c>
      <c r="K207" s="93">
        <f>IF(TrRoad_act!K68=0,0,TrRoad_emi!K65/TrRoad_tech!K180)</f>
        <v>1.1208796071392311</v>
      </c>
      <c r="L207" s="93">
        <f>IF(TrRoad_act!L68=0,0,TrRoad_emi!L65/TrRoad_tech!L180)</f>
        <v>1.1283956512078861</v>
      </c>
      <c r="M207" s="93">
        <f>IF(TrRoad_act!M68=0,0,TrRoad_emi!M65/TrRoad_tech!M180)</f>
        <v>1.1279229793052636</v>
      </c>
      <c r="N207" s="93">
        <f>IF(TrRoad_act!N68=0,0,TrRoad_emi!N65/TrRoad_tech!N180)</f>
        <v>1.1362061434376984</v>
      </c>
      <c r="O207" s="93">
        <f>IF(TrRoad_act!O68=0,0,TrRoad_emi!O65/TrRoad_tech!O180)</f>
        <v>1.167260309088624</v>
      </c>
      <c r="P207" s="93">
        <f>IF(TrRoad_act!P68=0,0,TrRoad_emi!P65/TrRoad_tech!P180)</f>
        <v>1.1723953668055673</v>
      </c>
      <c r="Q207" s="93">
        <f>IF(TrRoad_act!Q68=0,0,TrRoad_emi!Q65/TrRoad_tech!Q180)</f>
        <v>1.1771367924614</v>
      </c>
      <c r="R207" s="93">
        <f>IF(TrRoad_act!R68=0,0,TrRoad_emi!R65/TrRoad_tech!R180)</f>
        <v>1.1788850322067455</v>
      </c>
      <c r="S207" s="93">
        <f>IF(TrRoad_act!S68=0,0,TrRoad_emi!S65/TrRoad_tech!S180)</f>
        <v>1.1800878098065133</v>
      </c>
      <c r="T207" s="93">
        <f>IF(TrRoad_act!T68=0,0,TrRoad_emi!T65/TrRoad_tech!T180)</f>
        <v>1.1816221390926116</v>
      </c>
      <c r="U207" s="93">
        <f>IF(TrRoad_act!U68=0,0,TrRoad_emi!U65/TrRoad_tech!U180)</f>
        <v>1.184193272757136</v>
      </c>
      <c r="V207" s="93">
        <f>IF(TrRoad_act!V68=0,0,TrRoad_emi!V65/TrRoad_tech!V180)</f>
        <v>1.1864687643712617</v>
      </c>
      <c r="W207" s="93">
        <f>IF(TrRoad_act!W68=0,0,TrRoad_emi!W65/TrRoad_tech!W180)</f>
        <v>1.1895296321770501</v>
      </c>
      <c r="X207" s="93">
        <f>IF(TrRoad_act!X68=0,0,TrRoad_emi!X65/TrRoad_tech!X180)</f>
        <v>1.1988307382501464</v>
      </c>
      <c r="Y207" s="93">
        <f>IF(TrRoad_act!Y68=0,0,TrRoad_emi!Y65/TrRoad_tech!Y180)</f>
        <v>1.2038194638667505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1.0465995483498156</v>
      </c>
      <c r="C208" s="93">
        <f>IF(TrRoad_act!C69=0,0,TrRoad_emi!C66/TrRoad_tech!C181)</f>
        <v>1.0205485691669431</v>
      </c>
      <c r="D208" s="93">
        <f>IF(TrRoad_act!D69=0,0,TrRoad_emi!D66/TrRoad_tech!D181)</f>
        <v>1.0345281624074678</v>
      </c>
      <c r="E208" s="93">
        <f>IF(TrRoad_act!E69=0,0,TrRoad_emi!E66/TrRoad_tech!E181)</f>
        <v>1.0620360275744907</v>
      </c>
      <c r="F208" s="93">
        <f>IF(TrRoad_act!F69=0,0,TrRoad_emi!F66/TrRoad_tech!F181)</f>
        <v>1.0600603708248302</v>
      </c>
      <c r="G208" s="93">
        <f>IF(TrRoad_act!G69=0,0,TrRoad_emi!G66/TrRoad_tech!G181)</f>
        <v>1.073174043467523</v>
      </c>
      <c r="H208" s="93">
        <f>IF(TrRoad_act!H69=0,0,TrRoad_emi!H66/TrRoad_tech!H181)</f>
        <v>1.092367432722408</v>
      </c>
      <c r="I208" s="93">
        <f>IF(TrRoad_act!I69=0,0,TrRoad_emi!I66/TrRoad_tech!I181)</f>
        <v>1.1324309821494827</v>
      </c>
      <c r="J208" s="93">
        <f>IF(TrRoad_act!J69=0,0,TrRoad_emi!J66/TrRoad_tech!J181)</f>
        <v>1.1487895162426758</v>
      </c>
      <c r="K208" s="93">
        <f>IF(TrRoad_act!K69=0,0,TrRoad_emi!K66/TrRoad_tech!K181)</f>
        <v>1.1951438799624179</v>
      </c>
      <c r="L208" s="93">
        <f>IF(TrRoad_act!L69=0,0,TrRoad_emi!L66/TrRoad_tech!L181)</f>
        <v>1.1991049996424361</v>
      </c>
      <c r="M208" s="93">
        <f>IF(TrRoad_act!M69=0,0,TrRoad_emi!M66/TrRoad_tech!M181)</f>
        <v>1.1954553303879272</v>
      </c>
      <c r="N208" s="93">
        <f>IF(TrRoad_act!N69=0,0,TrRoad_emi!N66/TrRoad_tech!N181)</f>
        <v>1.1917046790643986</v>
      </c>
      <c r="O208" s="93">
        <f>IF(TrRoad_act!O69=0,0,TrRoad_emi!O66/TrRoad_tech!O181)</f>
        <v>1.2130597758379402</v>
      </c>
      <c r="P208" s="93">
        <f>IF(TrRoad_act!P69=0,0,TrRoad_emi!P66/TrRoad_tech!P181)</f>
        <v>1.2086086302483643</v>
      </c>
      <c r="Q208" s="93">
        <f>IF(TrRoad_act!Q69=0,0,TrRoad_emi!Q66/TrRoad_tech!Q181)</f>
        <v>1.2465586509921309</v>
      </c>
      <c r="R208" s="93">
        <f>IF(TrRoad_act!R69=0,0,TrRoad_emi!R66/TrRoad_tech!R181)</f>
        <v>1.2311771667434275</v>
      </c>
      <c r="S208" s="93">
        <f>IF(TrRoad_act!S69=0,0,TrRoad_emi!S66/TrRoad_tech!S181)</f>
        <v>1.2797498113149957</v>
      </c>
      <c r="T208" s="93">
        <f>IF(TrRoad_act!T69=0,0,TrRoad_emi!T66/TrRoad_tech!T181)</f>
        <v>1.2238563745562578</v>
      </c>
      <c r="U208" s="93">
        <f>IF(TrRoad_act!U69=0,0,TrRoad_emi!U66/TrRoad_tech!U181)</f>
        <v>1.2921629617317996</v>
      </c>
      <c r="V208" s="93">
        <f>IF(TrRoad_act!V69=0,0,TrRoad_emi!V66/TrRoad_tech!V181)</f>
        <v>1.3048314886591568</v>
      </c>
      <c r="W208" s="93">
        <f>IF(TrRoad_act!W69=0,0,TrRoad_emi!W66/TrRoad_tech!W181)</f>
        <v>1.2804050556138371</v>
      </c>
      <c r="X208" s="93">
        <f>IF(TrRoad_act!X69=0,0,TrRoad_emi!X66/TrRoad_tech!X181)</f>
        <v>1.3574771613523693</v>
      </c>
      <c r="Y208" s="93">
        <f>IF(TrRoad_act!Y69=0,0,TrRoad_emi!Y66/TrRoad_tech!Y181)</f>
        <v>1.4634476858838852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1.1560000000067703</v>
      </c>
      <c r="J209" s="93">
        <f>IF(TrRoad_act!J70=0,0,TrRoad_emi!J67/TrRoad_tech!J182)</f>
        <v>1.1560000000067703</v>
      </c>
      <c r="K209" s="93">
        <f>IF(TrRoad_act!K70=0,0,TrRoad_emi!K67/TrRoad_tech!K182)</f>
        <v>1.1560000000067703</v>
      </c>
      <c r="L209" s="93">
        <f>IF(TrRoad_act!L70=0,0,TrRoad_emi!L67/TrRoad_tech!L182)</f>
        <v>1.1560000000067703</v>
      </c>
      <c r="M209" s="93">
        <f>IF(TrRoad_act!M70=0,0,TrRoad_emi!M67/TrRoad_tech!M182)</f>
        <v>1.1886947931870269</v>
      </c>
      <c r="N209" s="93">
        <f>IF(TrRoad_act!N70=0,0,TrRoad_emi!N67/TrRoad_tech!N182)</f>
        <v>1.1886947931870271</v>
      </c>
      <c r="O209" s="93">
        <f>IF(TrRoad_act!O70=0,0,TrRoad_emi!O67/TrRoad_tech!O182)</f>
        <v>1.2466971901477863</v>
      </c>
      <c r="P209" s="93">
        <f>IF(TrRoad_act!P70=0,0,TrRoad_emi!P67/TrRoad_tech!P182)</f>
        <v>1.2509712309732768</v>
      </c>
      <c r="Q209" s="93">
        <f>IF(TrRoad_act!Q70=0,0,TrRoad_emi!Q67/TrRoad_tech!Q182)</f>
        <v>1.2509712309732768</v>
      </c>
      <c r="R209" s="93">
        <f>IF(TrRoad_act!R70=0,0,TrRoad_emi!R67/TrRoad_tech!R182)</f>
        <v>1.2509712309732772</v>
      </c>
      <c r="S209" s="93">
        <f>IF(TrRoad_act!S70=0,0,TrRoad_emi!S67/TrRoad_tech!S182)</f>
        <v>1.2565555713077232</v>
      </c>
      <c r="T209" s="93">
        <f>IF(TrRoad_act!T70=0,0,TrRoad_emi!T67/TrRoad_tech!T182)</f>
        <v>1.256555571307723</v>
      </c>
      <c r="U209" s="93">
        <f>IF(TrRoad_act!U70=0,0,TrRoad_emi!U67/TrRoad_tech!U182)</f>
        <v>1.2631999546540285</v>
      </c>
      <c r="V209" s="93">
        <f>IF(TrRoad_act!V70=0,0,TrRoad_emi!V67/TrRoad_tech!V182)</f>
        <v>1.2809469655240602</v>
      </c>
      <c r="W209" s="93">
        <f>IF(TrRoad_act!W70=0,0,TrRoad_emi!W67/TrRoad_tech!W182)</f>
        <v>1.2809469655240604</v>
      </c>
      <c r="X209" s="93">
        <f>IF(TrRoad_act!X70=0,0,TrRoad_emi!X67/TrRoad_tech!X182)</f>
        <v>1.2824617990331078</v>
      </c>
      <c r="Y209" s="93">
        <f>IF(TrRoad_act!Y70=0,0,TrRoad_emi!Y67/TrRoad_tech!Y182)</f>
        <v>1.2824617990331078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1.9639892107774359</v>
      </c>
      <c r="L210" s="93">
        <f>IF(TrRoad_act!L71=0,0,TrRoad_emi!L68/TrRoad_tech!L183)</f>
        <v>3.4517658932018129</v>
      </c>
      <c r="M210" s="93">
        <f>IF(TrRoad_act!M71=0,0,TrRoad_emi!M68/TrRoad_tech!M183)</f>
        <v>0.92091344565197275</v>
      </c>
      <c r="N210" s="93">
        <f>IF(TrRoad_act!N71=0,0,TrRoad_emi!N68/TrRoad_tech!N183)</f>
        <v>1.0439097757099409</v>
      </c>
      <c r="O210" s="93">
        <f>IF(TrRoad_act!O71=0,0,TrRoad_emi!O68/TrRoad_tech!O183)</f>
        <v>1.0710306367426934</v>
      </c>
      <c r="P210" s="93">
        <f>IF(TrRoad_act!P71=0,0,TrRoad_emi!P68/TrRoad_tech!P183)</f>
        <v>1.1099517122131619</v>
      </c>
      <c r="Q210" s="93">
        <f>IF(TrRoad_act!Q71=0,0,TrRoad_emi!Q68/TrRoad_tech!Q183)</f>
        <v>1.1452952858399672</v>
      </c>
      <c r="R210" s="93">
        <f>IF(TrRoad_act!R71=0,0,TrRoad_emi!R68/TrRoad_tech!R183)</f>
        <v>1.2571819760144778</v>
      </c>
      <c r="S210" s="93">
        <f>IF(TrRoad_act!S71=0,0,TrRoad_emi!S68/TrRoad_tech!S183)</f>
        <v>1.2232896123379702</v>
      </c>
      <c r="T210" s="93">
        <f>IF(TrRoad_act!T71=0,0,TrRoad_emi!T68/TrRoad_tech!T183)</f>
        <v>1.2233780992344481</v>
      </c>
      <c r="U210" s="93">
        <f>IF(TrRoad_act!U71=0,0,TrRoad_emi!U68/TrRoad_tech!U183)</f>
        <v>1.2236467662990032</v>
      </c>
      <c r="V210" s="93">
        <f>IF(TrRoad_act!V71=0,0,TrRoad_emi!V68/TrRoad_tech!V183)</f>
        <v>1.2327875498883649</v>
      </c>
      <c r="W210" s="93">
        <f>IF(TrRoad_act!W71=0,0,TrRoad_emi!W68/TrRoad_tech!W183)</f>
        <v>1.2327743488885881</v>
      </c>
      <c r="X210" s="93">
        <f>IF(TrRoad_act!X71=0,0,TrRoad_emi!X68/TrRoad_tech!X183)</f>
        <v>1.2753988575592232</v>
      </c>
      <c r="Y210" s="93">
        <f>IF(TrRoad_act!Y71=0,0,TrRoad_emi!Y68/TrRoad_tech!Y183)</f>
        <v>1.2771234381724281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1.2500758925551427</v>
      </c>
      <c r="C213" s="150">
        <f>IF(TrRoad_act!C74=0,0,TrRoad_emi!C71/TrRoad_tech!C186)</f>
        <v>1.1675065658532395</v>
      </c>
      <c r="D213" s="150">
        <f>IF(TrRoad_act!D74=0,0,TrRoad_emi!D71/TrRoad_tech!D186)</f>
        <v>1.2101687332514994</v>
      </c>
      <c r="E213" s="150">
        <f>IF(TrRoad_act!E74=0,0,TrRoad_emi!E71/TrRoad_tech!E186)</f>
        <v>1.2144336666862097</v>
      </c>
      <c r="F213" s="150">
        <f>IF(TrRoad_act!F74=0,0,TrRoad_emi!F71/TrRoad_tech!F186)</f>
        <v>1.205760421643018</v>
      </c>
      <c r="G213" s="150">
        <f>IF(TrRoad_act!G74=0,0,TrRoad_emi!G71/TrRoad_tech!G186)</f>
        <v>1.2256517889900582</v>
      </c>
      <c r="H213" s="150">
        <f>IF(TrRoad_act!H74=0,0,TrRoad_emi!H71/TrRoad_tech!H186)</f>
        <v>1.1860967329506635</v>
      </c>
      <c r="I213" s="150">
        <f>IF(TrRoad_act!I74=0,0,TrRoad_emi!I71/TrRoad_tech!I186)</f>
        <v>1.1975242061302782</v>
      </c>
      <c r="J213" s="150">
        <f>IF(TrRoad_act!J74=0,0,TrRoad_emi!J71/TrRoad_tech!J186)</f>
        <v>1.2191126398860899</v>
      </c>
      <c r="K213" s="150">
        <f>IF(TrRoad_act!K74=0,0,TrRoad_emi!K71/TrRoad_tech!K186)</f>
        <v>1.2600393393717466</v>
      </c>
      <c r="L213" s="150">
        <f>IF(TrRoad_act!L74=0,0,TrRoad_emi!L71/TrRoad_tech!L186)</f>
        <v>1.3344851703350975</v>
      </c>
      <c r="M213" s="150">
        <f>IF(TrRoad_act!M74=0,0,TrRoad_emi!M71/TrRoad_tech!M186)</f>
        <v>1.3328187442832056</v>
      </c>
      <c r="N213" s="150">
        <f>IF(TrRoad_act!N74=0,0,TrRoad_emi!N71/TrRoad_tech!N186)</f>
        <v>1.2149827226876215</v>
      </c>
      <c r="O213" s="150">
        <f>IF(TrRoad_act!O74=0,0,TrRoad_emi!O71/TrRoad_tech!O186)</f>
        <v>1.2203288543662401</v>
      </c>
      <c r="P213" s="150">
        <f>IF(TrRoad_act!P74=0,0,TrRoad_emi!P71/TrRoad_tech!P186)</f>
        <v>1.1418044640364733</v>
      </c>
      <c r="Q213" s="150">
        <f>IF(TrRoad_act!Q74=0,0,TrRoad_emi!Q71/TrRoad_tech!Q186)</f>
        <v>1.227859904775078</v>
      </c>
      <c r="R213" s="150">
        <f>IF(TrRoad_act!R74=0,0,TrRoad_emi!R71/TrRoad_tech!R186)</f>
        <v>1.2369702204833415</v>
      </c>
      <c r="S213" s="150">
        <f>IF(TrRoad_act!S74=0,0,TrRoad_emi!S71/TrRoad_tech!S186)</f>
        <v>1.4514981588424296</v>
      </c>
      <c r="T213" s="150">
        <f>IF(TrRoad_act!T74=0,0,TrRoad_emi!T71/TrRoad_tech!T186)</f>
        <v>1.3596726762570195</v>
      </c>
      <c r="U213" s="150">
        <f>IF(TrRoad_act!U74=0,0,TrRoad_emi!U71/TrRoad_tech!U186)</f>
        <v>1.2808104616332261</v>
      </c>
      <c r="V213" s="150">
        <f>IF(TrRoad_act!V74=0,0,TrRoad_emi!V71/TrRoad_tech!V186)</f>
        <v>1.1490764063561214</v>
      </c>
      <c r="W213" s="150">
        <f>IF(TrRoad_act!W74=0,0,TrRoad_emi!W71/TrRoad_tech!W186)</f>
        <v>1.1418019157799217</v>
      </c>
      <c r="X213" s="150">
        <f>IF(TrRoad_act!X74=0,0,TrRoad_emi!X71/TrRoad_tech!X186)</f>
        <v>1.1606461786868607</v>
      </c>
      <c r="Y213" s="150">
        <f>IF(TrRoad_act!Y74=0,0,TrRoad_emi!Y71/TrRoad_tech!Y186)</f>
        <v>1.2352983481963238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1.1001653032922214</v>
      </c>
      <c r="D214" s="91">
        <f>IF(TrRoad_act!D75=0,0,TrRoad_emi!D72/TrRoad_tech!D187)</f>
        <v>1.1002775359845702</v>
      </c>
      <c r="E214" s="91">
        <f>IF(TrRoad_act!E75=0,0,TrRoad_emi!E72/TrRoad_tech!E187)</f>
        <v>1.1004319353449077</v>
      </c>
      <c r="F214" s="91">
        <f>IF(TrRoad_act!F75=0,0,TrRoad_emi!F72/TrRoad_tech!F187)</f>
        <v>1.1006000128305555</v>
      </c>
      <c r="G214" s="91">
        <f>IF(TrRoad_act!G75=0,0,TrRoad_emi!G72/TrRoad_tech!G187)</f>
        <v>1.1008598935962728</v>
      </c>
      <c r="H214" s="91">
        <f>IF(TrRoad_act!H75=0,0,TrRoad_emi!H72/TrRoad_tech!H187)</f>
        <v>1.1016712222999476</v>
      </c>
      <c r="I214" s="91">
        <f>IF(TrRoad_act!I75=0,0,TrRoad_emi!I72/TrRoad_tech!I187)</f>
        <v>1.1033816449606579</v>
      </c>
      <c r="J214" s="91">
        <f>IF(TrRoad_act!J75=0,0,TrRoad_emi!J72/TrRoad_tech!J187)</f>
        <v>1.1056652770770807</v>
      </c>
      <c r="K214" s="91">
        <f>IF(TrRoad_act!K75=0,0,TrRoad_emi!K72/TrRoad_tech!K187)</f>
        <v>1.1044237835887121</v>
      </c>
      <c r="L214" s="91">
        <f>IF(TrRoad_act!L75=0,0,TrRoad_emi!L72/TrRoad_tech!L187)</f>
        <v>1.1105120803344384</v>
      </c>
      <c r="M214" s="91">
        <f>IF(TrRoad_act!M75=0,0,TrRoad_emi!M72/TrRoad_tech!M187)</f>
        <v>1.1103189925603127</v>
      </c>
      <c r="N214" s="91">
        <f>IF(TrRoad_act!N75=0,0,TrRoad_emi!N72/TrRoad_tech!N187)</f>
        <v>1.1157160710842411</v>
      </c>
      <c r="O214" s="91">
        <f>IF(TrRoad_act!O75=0,0,TrRoad_emi!O72/TrRoad_tech!O187)</f>
        <v>1.1181192451679072</v>
      </c>
      <c r="P214" s="91">
        <f>IF(TrRoad_act!P75=0,0,TrRoad_emi!P72/TrRoad_tech!P187)</f>
        <v>1.1255406116715785</v>
      </c>
      <c r="Q214" s="91">
        <f>IF(TrRoad_act!Q75=0,0,TrRoad_emi!Q72/TrRoad_tech!Q187)</f>
        <v>1.1345325179492545</v>
      </c>
      <c r="R214" s="91">
        <f>IF(TrRoad_act!R75=0,0,TrRoad_emi!R72/TrRoad_tech!R187)</f>
        <v>1.1470504353609507</v>
      </c>
      <c r="S214" s="91">
        <f>IF(TrRoad_act!S75=0,0,TrRoad_emi!S72/TrRoad_tech!S187)</f>
        <v>1.1586162502133852</v>
      </c>
      <c r="T214" s="91">
        <f>IF(TrRoad_act!T75=0,0,TrRoad_emi!T72/TrRoad_tech!T187)</f>
        <v>1.1697814426898467</v>
      </c>
      <c r="U214" s="91">
        <f>IF(TrRoad_act!U75=0,0,TrRoad_emi!U72/TrRoad_tech!U187)</f>
        <v>1.1802867935687162</v>
      </c>
      <c r="V214" s="91">
        <f>IF(TrRoad_act!V75=0,0,TrRoad_emi!V72/TrRoad_tech!V187)</f>
        <v>1.1902751824329767</v>
      </c>
      <c r="W214" s="91">
        <f>IF(TrRoad_act!W75=0,0,TrRoad_emi!W72/TrRoad_tech!W187)</f>
        <v>1.2068800786943181</v>
      </c>
      <c r="X214" s="91">
        <f>IF(TrRoad_act!X75=0,0,TrRoad_emi!X72/TrRoad_tech!X187)</f>
        <v>1.2305639716972949</v>
      </c>
      <c r="Y214" s="91">
        <f>IF(TrRoad_act!Y75=0,0,TrRoad_emi!Y72/TrRoad_tech!Y187)</f>
        <v>1.2540249831672357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1.2226583829380731</v>
      </c>
      <c r="C215" s="91">
        <f>IF(TrRoad_act!C76=0,0,TrRoad_emi!C73/TrRoad_tech!C188)</f>
        <v>1.1337749892617861</v>
      </c>
      <c r="D215" s="91">
        <f>IF(TrRoad_act!D76=0,0,TrRoad_emi!D73/TrRoad_tech!D188)</f>
        <v>1.182274184096489</v>
      </c>
      <c r="E215" s="91">
        <f>IF(TrRoad_act!E76=0,0,TrRoad_emi!E73/TrRoad_tech!E188)</f>
        <v>1.1898781148554716</v>
      </c>
      <c r="F215" s="91">
        <f>IF(TrRoad_act!F76=0,0,TrRoad_emi!F73/TrRoad_tech!F188)</f>
        <v>1.1912677062980574</v>
      </c>
      <c r="G215" s="91">
        <f>IF(TrRoad_act!G76=0,0,TrRoad_emi!G73/TrRoad_tech!G188)</f>
        <v>1.221564308565158</v>
      </c>
      <c r="H215" s="91">
        <f>IF(TrRoad_act!H76=0,0,TrRoad_emi!H73/TrRoad_tech!H188)</f>
        <v>1.1892845945866424</v>
      </c>
      <c r="I215" s="91">
        <f>IF(TrRoad_act!I76=0,0,TrRoad_emi!I73/TrRoad_tech!I188)</f>
        <v>1.2039571606215485</v>
      </c>
      <c r="J215" s="91">
        <f>IF(TrRoad_act!J76=0,0,TrRoad_emi!J73/TrRoad_tech!J188)</f>
        <v>1.21169073915118</v>
      </c>
      <c r="K215" s="91">
        <f>IF(TrRoad_act!K76=0,0,TrRoad_emi!K73/TrRoad_tech!K188)</f>
        <v>1.2172523030928462</v>
      </c>
      <c r="L215" s="91">
        <f>IF(TrRoad_act!L76=0,0,TrRoad_emi!L73/TrRoad_tech!L188)</f>
        <v>1.2266581202597886</v>
      </c>
      <c r="M215" s="91">
        <f>IF(TrRoad_act!M76=0,0,TrRoad_emi!M73/TrRoad_tech!M188)</f>
        <v>1.215689731564267</v>
      </c>
      <c r="N215" s="91">
        <f>IF(TrRoad_act!N76=0,0,TrRoad_emi!N73/TrRoad_tech!N188)</f>
        <v>1.1908946457846232</v>
      </c>
      <c r="O215" s="91">
        <f>IF(TrRoad_act!O76=0,0,TrRoad_emi!O73/TrRoad_tech!O188)</f>
        <v>1.1775707149819268</v>
      </c>
      <c r="P215" s="91">
        <f>IF(TrRoad_act!P76=0,0,TrRoad_emi!P73/TrRoad_tech!P188)</f>
        <v>1.1477611233475775</v>
      </c>
      <c r="Q215" s="91">
        <f>IF(TrRoad_act!Q76=0,0,TrRoad_emi!Q73/TrRoad_tech!Q188)</f>
        <v>1.1708571206972804</v>
      </c>
      <c r="R215" s="91">
        <f>IF(TrRoad_act!R76=0,0,TrRoad_emi!R73/TrRoad_tech!R188)</f>
        <v>1.1884237605347976</v>
      </c>
      <c r="S215" s="91">
        <f>IF(TrRoad_act!S76=0,0,TrRoad_emi!S73/TrRoad_tech!S188)</f>
        <v>1.2447595179630604</v>
      </c>
      <c r="T215" s="91">
        <f>IF(TrRoad_act!T76=0,0,TrRoad_emi!T73/TrRoad_tech!T188)</f>
        <v>1.2059889507384272</v>
      </c>
      <c r="U215" s="91">
        <f>IF(TrRoad_act!U76=0,0,TrRoad_emi!U73/TrRoad_tech!U188)</f>
        <v>1.2202448295543988</v>
      </c>
      <c r="V215" s="91">
        <f>IF(TrRoad_act!V76=0,0,TrRoad_emi!V73/TrRoad_tech!V188)</f>
        <v>1.2164224753632762</v>
      </c>
      <c r="W215" s="91">
        <f>IF(TrRoad_act!W76=0,0,TrRoad_emi!W73/TrRoad_tech!W188)</f>
        <v>1.2285604859879165</v>
      </c>
      <c r="X215" s="91">
        <f>IF(TrRoad_act!X76=0,0,TrRoad_emi!X73/TrRoad_tech!X188)</f>
        <v>1.3061951722974952</v>
      </c>
      <c r="Y215" s="91">
        <f>IF(TrRoad_act!Y76=0,0,TrRoad_emi!Y73/TrRoad_tech!Y188)</f>
        <v>1.3629745548001106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1.1176967558015218</v>
      </c>
      <c r="J216" s="91">
        <f>IF(TrRoad_act!J77=0,0,TrRoad_emi!J74/TrRoad_tech!J189)</f>
        <v>1.1226494017848361</v>
      </c>
      <c r="K216" s="91">
        <f>IF(TrRoad_act!K77=0,0,TrRoad_emi!K74/TrRoad_tech!K189)</f>
        <v>1.1251715510203193</v>
      </c>
      <c r="L216" s="91">
        <f>IF(TrRoad_act!L77=0,0,TrRoad_emi!L74/TrRoad_tech!L189)</f>
        <v>1.125491188030648</v>
      </c>
      <c r="M216" s="91">
        <f>IF(TrRoad_act!M77=0,0,TrRoad_emi!M74/TrRoad_tech!M189)</f>
        <v>1.1259676812884287</v>
      </c>
      <c r="N216" s="91">
        <f>IF(TrRoad_act!N77=0,0,TrRoad_emi!N74/TrRoad_tech!N189)</f>
        <v>1.1262409307998811</v>
      </c>
      <c r="O216" s="91">
        <f>IF(TrRoad_act!O77=0,0,TrRoad_emi!O74/TrRoad_tech!O189)</f>
        <v>1.1307123508621855</v>
      </c>
      <c r="P216" s="91">
        <f>IF(TrRoad_act!P77=0,0,TrRoad_emi!P74/TrRoad_tech!P189)</f>
        <v>1.1405114405003391</v>
      </c>
      <c r="Q216" s="91">
        <f>IF(TrRoad_act!Q77=0,0,TrRoad_emi!Q74/TrRoad_tech!Q189)</f>
        <v>1.1478874727486794</v>
      </c>
      <c r="R216" s="91">
        <f>IF(TrRoad_act!R77=0,0,TrRoad_emi!R74/TrRoad_tech!R189)</f>
        <v>1.1558498986669989</v>
      </c>
      <c r="S216" s="91">
        <f>IF(TrRoad_act!S77=0,0,TrRoad_emi!S74/TrRoad_tech!S189)</f>
        <v>1.1688645968257381</v>
      </c>
      <c r="T216" s="91">
        <f>IF(TrRoad_act!T77=0,0,TrRoad_emi!T74/TrRoad_tech!T189)</f>
        <v>1.1799743917001397</v>
      </c>
      <c r="U216" s="91">
        <f>IF(TrRoad_act!U77=0,0,TrRoad_emi!U74/TrRoad_tech!U189)</f>
        <v>1.1908036295945252</v>
      </c>
      <c r="V216" s="91">
        <f>IF(TrRoad_act!V77=0,0,TrRoad_emi!V74/TrRoad_tech!V189)</f>
        <v>1.1961823190059069</v>
      </c>
      <c r="W216" s="91">
        <f>IF(TrRoad_act!W77=0,0,TrRoad_emi!W74/TrRoad_tech!W189)</f>
        <v>1.2112835381079778</v>
      </c>
      <c r="X216" s="91">
        <f>IF(TrRoad_act!X77=0,0,TrRoad_emi!X74/TrRoad_tech!X189)</f>
        <v>1.2223188649784815</v>
      </c>
      <c r="Y216" s="91">
        <f>IF(TrRoad_act!Y77=0,0,TrRoad_emi!Y74/TrRoad_tech!Y189)</f>
        <v>1.2326930857131038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1.1840000000065629</v>
      </c>
      <c r="L217" s="91">
        <f>IF(TrRoad_act!L78=0,0,TrRoad_emi!L75/TrRoad_tech!L190)</f>
        <v>1.1865438898273057</v>
      </c>
      <c r="M217" s="91">
        <f>IF(TrRoad_act!M78=0,0,TrRoad_emi!M75/TrRoad_tech!M190)</f>
        <v>1.1885539307975281</v>
      </c>
      <c r="N217" s="91">
        <f>IF(TrRoad_act!N78=0,0,TrRoad_emi!N75/TrRoad_tech!N190)</f>
        <v>1.2028359271150515</v>
      </c>
      <c r="O217" s="91">
        <f>IF(TrRoad_act!O78=0,0,TrRoad_emi!O75/TrRoad_tech!O190)</f>
        <v>1.2028359271150511</v>
      </c>
      <c r="P217" s="91">
        <f>IF(TrRoad_act!P78=0,0,TrRoad_emi!P75/TrRoad_tech!P190)</f>
        <v>1.2097512145969689</v>
      </c>
      <c r="Q217" s="91">
        <f>IF(TrRoad_act!Q78=0,0,TrRoad_emi!Q75/TrRoad_tech!Q190)</f>
        <v>1.2147168996211826</v>
      </c>
      <c r="R217" s="91">
        <f>IF(TrRoad_act!R78=0,0,TrRoad_emi!R75/TrRoad_tech!R190)</f>
        <v>1.2268231072362443</v>
      </c>
      <c r="S217" s="91">
        <f>IF(TrRoad_act!S78=0,0,TrRoad_emi!S75/TrRoad_tech!S190)</f>
        <v>1.2514599200751442</v>
      </c>
      <c r="T217" s="91">
        <f>IF(TrRoad_act!T78=0,0,TrRoad_emi!T75/TrRoad_tech!T190)</f>
        <v>1.2570983433876046</v>
      </c>
      <c r="U217" s="91">
        <f>IF(TrRoad_act!U78=0,0,TrRoad_emi!U75/TrRoad_tech!U190)</f>
        <v>1.2588714606402471</v>
      </c>
      <c r="V217" s="91">
        <f>IF(TrRoad_act!V78=0,0,TrRoad_emi!V75/TrRoad_tech!V190)</f>
        <v>1.2634067203834944</v>
      </c>
      <c r="W217" s="91">
        <f>IF(TrRoad_act!W78=0,0,TrRoad_emi!W75/TrRoad_tech!W190)</f>
        <v>1.2709442878258137</v>
      </c>
      <c r="X217" s="91">
        <f>IF(TrRoad_act!X78=0,0,TrRoad_emi!X75/TrRoad_tech!X190)</f>
        <v>1.2736104334745293</v>
      </c>
      <c r="Y217" s="91">
        <f>IF(TrRoad_act!Y78=0,0,TrRoad_emi!Y75/TrRoad_tech!Y190)</f>
        <v>1.2778598940528889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0.89539739357608372</v>
      </c>
      <c r="C219" s="151">
        <f>IF(TrRoad_act!C80=0,0,TrRoad_emi!C77/TrRoad_tech!C192)</f>
        <v>0.74422504178704629</v>
      </c>
      <c r="D219" s="151">
        <f>IF(TrRoad_act!D80=0,0,TrRoad_emi!D77/TrRoad_tech!D192)</f>
        <v>0.89600948663359314</v>
      </c>
      <c r="E219" s="151">
        <f>IF(TrRoad_act!E80=0,0,TrRoad_emi!E77/TrRoad_tech!E192)</f>
        <v>0.93381552266968093</v>
      </c>
      <c r="F219" s="151">
        <f>IF(TrRoad_act!F80=0,0,TrRoad_emi!F77/TrRoad_tech!F192)</f>
        <v>0.94199428303288102</v>
      </c>
      <c r="G219" s="151">
        <f>IF(TrRoad_act!G80=0,0,TrRoad_emi!G77/TrRoad_tech!G192)</f>
        <v>0.9357607306497262</v>
      </c>
      <c r="H219" s="151">
        <f>IF(TrRoad_act!H80=0,0,TrRoad_emi!H77/TrRoad_tech!H192)</f>
        <v>0.95371616050993047</v>
      </c>
      <c r="I219" s="151">
        <f>IF(TrRoad_act!I80=0,0,TrRoad_emi!I77/TrRoad_tech!I192)</f>
        <v>1.000715047949601</v>
      </c>
      <c r="J219" s="151">
        <f>IF(TrRoad_act!J80=0,0,TrRoad_emi!J77/TrRoad_tech!J192)</f>
        <v>1.0415130494453719</v>
      </c>
      <c r="K219" s="151">
        <f>IF(TrRoad_act!K80=0,0,TrRoad_emi!K77/TrRoad_tech!K192)</f>
        <v>1.1174258962594641</v>
      </c>
      <c r="L219" s="151">
        <f>IF(TrRoad_act!L80=0,0,TrRoad_emi!L77/TrRoad_tech!L192)</f>
        <v>1.1785748897672286</v>
      </c>
      <c r="M219" s="151">
        <f>IF(TrRoad_act!M80=0,0,TrRoad_emi!M77/TrRoad_tech!M192)</f>
        <v>1.1378631638979302</v>
      </c>
      <c r="N219" s="151">
        <f>IF(TrRoad_act!N80=0,0,TrRoad_emi!N77/TrRoad_tech!N192)</f>
        <v>1.0754901469641731</v>
      </c>
      <c r="O219" s="151">
        <f>IF(TrRoad_act!O80=0,0,TrRoad_emi!O77/TrRoad_tech!O192)</f>
        <v>1.2831792969897433</v>
      </c>
      <c r="P219" s="151">
        <f>IF(TrRoad_act!P80=0,0,TrRoad_emi!P77/TrRoad_tech!P192)</f>
        <v>1.1821979287728637</v>
      </c>
      <c r="Q219" s="151">
        <f>IF(TrRoad_act!Q80=0,0,TrRoad_emi!Q77/TrRoad_tech!Q192)</f>
        <v>1.187728369568017</v>
      </c>
      <c r="R219" s="151">
        <f>IF(TrRoad_act!R80=0,0,TrRoad_emi!R77/TrRoad_tech!R192)</f>
        <v>1.1147015881412683</v>
      </c>
      <c r="S219" s="151">
        <f>IF(TrRoad_act!S80=0,0,TrRoad_emi!S77/TrRoad_tech!S192)</f>
        <v>1.3479233065442684</v>
      </c>
      <c r="T219" s="151">
        <f>IF(TrRoad_act!T80=0,0,TrRoad_emi!T77/TrRoad_tech!T192)</f>
        <v>1.2302861230465982</v>
      </c>
      <c r="U219" s="151">
        <f>IF(TrRoad_act!U80=0,0,TrRoad_emi!U77/TrRoad_tech!U192)</f>
        <v>1.4995059146296408</v>
      </c>
      <c r="V219" s="151">
        <f>IF(TrRoad_act!V80=0,0,TrRoad_emi!V77/TrRoad_tech!V192)</f>
        <v>1.4437172930837137</v>
      </c>
      <c r="W219" s="151">
        <f>IF(TrRoad_act!W80=0,0,TrRoad_emi!W77/TrRoad_tech!W192)</f>
        <v>1.4090260445272136</v>
      </c>
      <c r="X219" s="151">
        <f>IF(TrRoad_act!X80=0,0,TrRoad_emi!X77/TrRoad_tech!X192)</f>
        <v>1.5010511574409144</v>
      </c>
      <c r="Y219" s="151">
        <f>IF(TrRoad_act!Y80=0,0,TrRoad_emi!Y77/TrRoad_tech!Y192)</f>
        <v>1.714809112259762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1.0885700265043834</v>
      </c>
      <c r="C220" s="93">
        <f>IF(TrRoad_act!C81=0,0,TrRoad_emi!C78/TrRoad_tech!C193)</f>
        <v>1.0470561631161388</v>
      </c>
      <c r="D220" s="93">
        <f>IF(TrRoad_act!D81=0,0,TrRoad_emi!D78/TrRoad_tech!D193)</f>
        <v>1.095939571856281</v>
      </c>
      <c r="E220" s="93">
        <f>IF(TrRoad_act!E81=0,0,TrRoad_emi!E78/TrRoad_tech!E193)</f>
        <v>1.1101461886954793</v>
      </c>
      <c r="F220" s="93">
        <f>IF(TrRoad_act!F81=0,0,TrRoad_emi!F78/TrRoad_tech!F193)</f>
        <v>1.1142941914944653</v>
      </c>
      <c r="G220" s="93">
        <f>IF(TrRoad_act!G81=0,0,TrRoad_emi!G78/TrRoad_tech!G193)</f>
        <v>1.1136112659798771</v>
      </c>
      <c r="H220" s="93">
        <f>IF(TrRoad_act!H81=0,0,TrRoad_emi!H78/TrRoad_tech!H193)</f>
        <v>1.1256317940979637</v>
      </c>
      <c r="I220" s="93">
        <f>IF(TrRoad_act!I81=0,0,TrRoad_emi!I78/TrRoad_tech!I193)</f>
        <v>1.1398491296300757</v>
      </c>
      <c r="J220" s="93">
        <f>IF(TrRoad_act!J81=0,0,TrRoad_emi!J78/TrRoad_tech!J193)</f>
        <v>1.1609591880680183</v>
      </c>
      <c r="K220" s="93">
        <f>IF(TrRoad_act!K81=0,0,TrRoad_emi!K78/TrRoad_tech!K193)</f>
        <v>1.1863583868685015</v>
      </c>
      <c r="L220" s="93">
        <f>IF(TrRoad_act!L81=0,0,TrRoad_emi!L78/TrRoad_tech!L193)</f>
        <v>1.2081335797997841</v>
      </c>
      <c r="M220" s="93">
        <f>IF(TrRoad_act!M81=0,0,TrRoad_emi!M78/TrRoad_tech!M193)</f>
        <v>1.1991415221054382</v>
      </c>
      <c r="N220" s="93">
        <f>IF(TrRoad_act!N81=0,0,TrRoad_emi!N78/TrRoad_tech!N193)</f>
        <v>1.1591268682909657</v>
      </c>
      <c r="O220" s="93">
        <f>IF(TrRoad_act!O81=0,0,TrRoad_emi!O78/TrRoad_tech!O193)</f>
        <v>1.235849305284773</v>
      </c>
      <c r="P220" s="93">
        <f>IF(TrRoad_act!P81=0,0,TrRoad_emi!P78/TrRoad_tech!P193)</f>
        <v>1.214170896037047</v>
      </c>
      <c r="Q220" s="93">
        <f>IF(TrRoad_act!Q81=0,0,TrRoad_emi!Q78/TrRoad_tech!Q193)</f>
        <v>1.2328716488946279</v>
      </c>
      <c r="R220" s="93">
        <f>IF(TrRoad_act!R81=0,0,TrRoad_emi!R78/TrRoad_tech!R193)</f>
        <v>1.235793058396881</v>
      </c>
      <c r="S220" s="93">
        <f>IF(TrRoad_act!S81=0,0,TrRoad_emi!S78/TrRoad_tech!S193)</f>
        <v>1.3177496239741751</v>
      </c>
      <c r="T220" s="93">
        <f>IF(TrRoad_act!T81=0,0,TrRoad_emi!T78/TrRoad_tech!T193)</f>
        <v>1.2780662932834956</v>
      </c>
      <c r="U220" s="93">
        <f>IF(TrRoad_act!U81=0,0,TrRoad_emi!U78/TrRoad_tech!U193)</f>
        <v>1.3501817315836462</v>
      </c>
      <c r="V220" s="93">
        <f>IF(TrRoad_act!V81=0,0,TrRoad_emi!V78/TrRoad_tech!V193)</f>
        <v>1.3385088962060276</v>
      </c>
      <c r="W220" s="93">
        <f>IF(TrRoad_act!W81=0,0,TrRoad_emi!W78/TrRoad_tech!W193)</f>
        <v>1.3325378472130258</v>
      </c>
      <c r="X220" s="93">
        <f>IF(TrRoad_act!X81=0,0,TrRoad_emi!X78/TrRoad_tech!X193)</f>
        <v>1.4140729820277784</v>
      </c>
      <c r="Y220" s="93">
        <f>IF(TrRoad_act!Y81=0,0,TrRoad_emi!Y78/TrRoad_tech!Y193)</f>
        <v>1.5069831698577261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0.77578141254633393</v>
      </c>
      <c r="C221" s="94">
        <f>IF(TrRoad_act!C82=0,0,TrRoad_emi!C79/TrRoad_tech!C194)</f>
        <v>0.49178373286612348</v>
      </c>
      <c r="D221" s="94">
        <f>IF(TrRoad_act!D82=0,0,TrRoad_emi!D79/TrRoad_tech!D194)</f>
        <v>0.70176691878988162</v>
      </c>
      <c r="E221" s="94">
        <f>IF(TrRoad_act!E82=0,0,TrRoad_emi!E79/TrRoad_tech!E194)</f>
        <v>0.74821165521331301</v>
      </c>
      <c r="F221" s="94">
        <f>IF(TrRoad_act!F82=0,0,TrRoad_emi!F79/TrRoad_tech!F194)</f>
        <v>0.7849527368419692</v>
      </c>
      <c r="G221" s="94">
        <f>IF(TrRoad_act!G82=0,0,TrRoad_emi!G79/TrRoad_tech!G194)</f>
        <v>0.78008976998945712</v>
      </c>
      <c r="H221" s="94">
        <f>IF(TrRoad_act!H82=0,0,TrRoad_emi!H79/TrRoad_tech!H194)</f>
        <v>0.76292684020699386</v>
      </c>
      <c r="I221" s="94">
        <f>IF(TrRoad_act!I82=0,0,TrRoad_emi!I79/TrRoad_tech!I194)</f>
        <v>0.87100088836778244</v>
      </c>
      <c r="J221" s="94">
        <f>IF(TrRoad_act!J82=0,0,TrRoad_emi!J79/TrRoad_tech!J194)</f>
        <v>0.90165642353107611</v>
      </c>
      <c r="K221" s="94">
        <f>IF(TrRoad_act!K82=0,0,TrRoad_emi!K79/TrRoad_tech!K194)</f>
        <v>1.0955071680252639</v>
      </c>
      <c r="L221" s="94">
        <f>IF(TrRoad_act!L82=0,0,TrRoad_emi!L79/TrRoad_tech!L194)</f>
        <v>1.2519532929281432</v>
      </c>
      <c r="M221" s="94">
        <f>IF(TrRoad_act!M82=0,0,TrRoad_emi!M79/TrRoad_tech!M194)</f>
        <v>1.1457110520341538</v>
      </c>
      <c r="N221" s="94">
        <f>IF(TrRoad_act!N82=0,0,TrRoad_emi!N79/TrRoad_tech!N194)</f>
        <v>1.0330338653693105</v>
      </c>
      <c r="O221" s="94">
        <f>IF(TrRoad_act!O82=0,0,TrRoad_emi!O79/TrRoad_tech!O194)</f>
        <v>1.5202399434427725</v>
      </c>
      <c r="P221" s="94">
        <f>IF(TrRoad_act!P82=0,0,TrRoad_emi!P79/TrRoad_tech!P194)</f>
        <v>1.2391073029264692</v>
      </c>
      <c r="Q221" s="94">
        <f>IF(TrRoad_act!Q82=0,0,TrRoad_emi!Q79/TrRoad_tech!Q194)</f>
        <v>1.2170840136663947</v>
      </c>
      <c r="R221" s="94">
        <f>IF(TrRoad_act!R82=0,0,TrRoad_emi!R79/TrRoad_tech!R194)</f>
        <v>1.0232712435547409</v>
      </c>
      <c r="S221" s="94">
        <f>IF(TrRoad_act!S82=0,0,TrRoad_emi!S79/TrRoad_tech!S194)</f>
        <v>1.4876900978630372</v>
      </c>
      <c r="T221" s="94">
        <f>IF(TrRoad_act!T82=0,0,TrRoad_emi!T79/TrRoad_tech!T194)</f>
        <v>1.2437512591441409</v>
      </c>
      <c r="U221" s="94">
        <f>IF(TrRoad_act!U82=0,0,TrRoad_emi!U79/TrRoad_tech!U194)</f>
        <v>1.7972008008180216</v>
      </c>
      <c r="V221" s="94">
        <f>IF(TrRoad_act!V82=0,0,TrRoad_emi!V79/TrRoad_tech!V194)</f>
        <v>1.667764879177535</v>
      </c>
      <c r="W221" s="94">
        <f>IF(TrRoad_act!W82=0,0,TrRoad_emi!W79/TrRoad_tech!W194)</f>
        <v>1.601653872939339</v>
      </c>
      <c r="X221" s="94">
        <f>IF(TrRoad_act!X82=0,0,TrRoad_emi!X79/TrRoad_tech!X194)</f>
        <v>1.7031663027475754</v>
      </c>
      <c r="Y221" s="94">
        <f>IF(TrRoad_act!Y82=0,0,TrRoad_emi!Y79/TrRoad_tech!Y194)</f>
        <v>2.0809754220075778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0</v>
      </c>
      <c r="C225" s="152">
        <v>95.089917859483791</v>
      </c>
      <c r="D225" s="152">
        <v>93.268631998890257</v>
      </c>
      <c r="E225" s="152">
        <v>92.965084355458018</v>
      </c>
      <c r="F225" s="152">
        <v>92.459171616404277</v>
      </c>
      <c r="G225" s="152">
        <v>90.637885755810743</v>
      </c>
      <c r="H225" s="152">
        <v>90.233155564567724</v>
      </c>
      <c r="I225" s="152">
        <v>89.018964990838725</v>
      </c>
      <c r="J225" s="152">
        <v>88.209504608352717</v>
      </c>
      <c r="K225" s="152">
        <v>86.590583843380685</v>
      </c>
      <c r="L225" s="152">
        <v>83.555107409058209</v>
      </c>
      <c r="M225" s="152">
        <v>80.519630974735662</v>
      </c>
      <c r="N225" s="152">
        <v>76.877059253548623</v>
      </c>
      <c r="O225" s="152">
        <v>73.841582819226076</v>
      </c>
      <c r="P225" s="152">
        <v>72.425027149875532</v>
      </c>
      <c r="Q225" s="152">
        <v>74.194097039218164</v>
      </c>
      <c r="R225" s="152">
        <v>70.541138734375011</v>
      </c>
      <c r="S225" s="152">
        <v>69.445251242922055</v>
      </c>
      <c r="T225" s="152">
        <v>68.56854124975969</v>
      </c>
      <c r="U225" s="152">
        <v>67.867173255229815</v>
      </c>
      <c r="V225" s="152">
        <v>67.306078859605904</v>
      </c>
      <c r="W225" s="152">
        <v>66.857203343106789</v>
      </c>
      <c r="X225" s="152">
        <v>66.498102929907475</v>
      </c>
      <c r="Y225" s="152">
        <v>66.210822599348035</v>
      </c>
      <c r="DA225" s="174" t="s">
        <v>933</v>
      </c>
    </row>
    <row r="226" spans="1:105" ht="11.45" customHeight="1" x14ac:dyDescent="0.25">
      <c r="A226" s="109" t="s">
        <v>20</v>
      </c>
      <c r="B226" s="116">
        <v>171.41591097670334</v>
      </c>
      <c r="C226" s="116">
        <v>169.48721858092344</v>
      </c>
      <c r="D226" s="116">
        <v>167.42471254726382</v>
      </c>
      <c r="E226" s="116">
        <v>167.13572084747261</v>
      </c>
      <c r="F226" s="116">
        <v>166.39446491877055</v>
      </c>
      <c r="G226" s="116">
        <v>164.66047313586833</v>
      </c>
      <c r="H226" s="116">
        <v>162.72516024924005</v>
      </c>
      <c r="I226" s="116">
        <v>162.05535240369326</v>
      </c>
      <c r="J226" s="116">
        <v>159.27221474939407</v>
      </c>
      <c r="K226" s="116">
        <v>155.04531178909849</v>
      </c>
      <c r="L226" s="116">
        <v>173.52347583738839</v>
      </c>
      <c r="M226" s="116">
        <v>168.06779050247167</v>
      </c>
      <c r="N226" s="116">
        <v>164.25765239261904</v>
      </c>
      <c r="O226" s="116">
        <v>159.03261168283191</v>
      </c>
      <c r="P226" s="116">
        <v>144.40704409119084</v>
      </c>
      <c r="Q226" s="116">
        <v>141.18271747109813</v>
      </c>
      <c r="R226" s="116">
        <v>138.67341979341711</v>
      </c>
      <c r="S226" s="116">
        <v>141.01397032567903</v>
      </c>
      <c r="T226" s="116">
        <v>142.09358172610789</v>
      </c>
      <c r="U226" s="116">
        <v>144.63218445623045</v>
      </c>
      <c r="V226" s="116">
        <v>136.99083437727165</v>
      </c>
      <c r="W226" s="116">
        <v>131.9607607587229</v>
      </c>
      <c r="X226" s="116">
        <v>134.05428366232928</v>
      </c>
      <c r="Y226" s="116">
        <v>132.75967716427903</v>
      </c>
      <c r="DA226" s="176" t="s">
        <v>934</v>
      </c>
    </row>
    <row r="227" spans="1:105" ht="11.45" customHeight="1" x14ac:dyDescent="0.25">
      <c r="A227" s="111" t="s">
        <v>110</v>
      </c>
      <c r="B227" s="87">
        <v>169.03790074464644</v>
      </c>
      <c r="C227" s="87">
        <v>167.2632782814687</v>
      </c>
      <c r="D227" s="87">
        <v>165.31331778336869</v>
      </c>
      <c r="E227" s="87">
        <v>164.98832436701866</v>
      </c>
      <c r="F227" s="87">
        <v>164.44666867310201</v>
      </c>
      <c r="G227" s="87">
        <v>162.49670817500197</v>
      </c>
      <c r="H227" s="87">
        <v>162.0633836198686</v>
      </c>
      <c r="I227" s="87">
        <v>160.76340995446864</v>
      </c>
      <c r="J227" s="87">
        <v>159.89676084420191</v>
      </c>
      <c r="K227" s="87">
        <v>158.16346262366855</v>
      </c>
      <c r="L227" s="87">
        <v>169.75498078929735</v>
      </c>
      <c r="M227" s="87">
        <v>163.93314994542385</v>
      </c>
      <c r="N227" s="87">
        <v>159.44156174736688</v>
      </c>
      <c r="O227" s="87">
        <v>153.02440467244162</v>
      </c>
      <c r="P227" s="87">
        <v>143.01871595152633</v>
      </c>
      <c r="Q227" s="87">
        <v>140.52348390922154</v>
      </c>
      <c r="R227" s="87">
        <v>138.24239954016053</v>
      </c>
      <c r="S227" s="87">
        <v>138.76589179144625</v>
      </c>
      <c r="T227" s="87">
        <v>140.27302187415609</v>
      </c>
      <c r="U227" s="87">
        <v>142.59777450499101</v>
      </c>
      <c r="V227" s="87">
        <v>136.75978214132149</v>
      </c>
      <c r="W227" s="87">
        <v>131.90513065429491</v>
      </c>
      <c r="X227" s="87">
        <v>131.91712883959039</v>
      </c>
      <c r="Y227" s="87">
        <v>131.15202462101939</v>
      </c>
      <c r="DA227" s="171" t="s">
        <v>935</v>
      </c>
    </row>
    <row r="228" spans="1:105" ht="11.45" customHeight="1" x14ac:dyDescent="0.25">
      <c r="A228" s="111" t="s">
        <v>111</v>
      </c>
      <c r="B228" s="87">
        <v>177.77245320582458</v>
      </c>
      <c r="C228" s="87">
        <v>175.17434053070866</v>
      </c>
      <c r="D228" s="87">
        <v>172.33205831885257</v>
      </c>
      <c r="E228" s="87">
        <v>170.91091721292457</v>
      </c>
      <c r="F228" s="87">
        <v>170.91091721292457</v>
      </c>
      <c r="G228" s="87">
        <v>170.53693271136459</v>
      </c>
      <c r="H228" s="87">
        <v>170.53693271136459</v>
      </c>
      <c r="I228" s="87">
        <v>170.53693271136459</v>
      </c>
      <c r="J228" s="87">
        <v>167.54505669888448</v>
      </c>
      <c r="K228" s="87">
        <v>161.56130467392435</v>
      </c>
      <c r="L228" s="87">
        <v>179.26217845051639</v>
      </c>
      <c r="M228" s="87">
        <v>173.09577639238952</v>
      </c>
      <c r="N228" s="87">
        <v>169.33520205941832</v>
      </c>
      <c r="O228" s="87">
        <v>163.39195006626801</v>
      </c>
      <c r="P228" s="87">
        <v>145.9550381119661</v>
      </c>
      <c r="Q228" s="87">
        <v>142.14743112255488</v>
      </c>
      <c r="R228" s="87">
        <v>140.40845589372185</v>
      </c>
      <c r="S228" s="87">
        <v>142.24816220202584</v>
      </c>
      <c r="T228" s="87">
        <v>145.48637784725321</v>
      </c>
      <c r="U228" s="87">
        <v>145.40965439519161</v>
      </c>
      <c r="V228" s="87">
        <v>140.11248541423569</v>
      </c>
      <c r="W228" s="87">
        <v>137.93890804136939</v>
      </c>
      <c r="X228" s="87">
        <v>141.154614876968</v>
      </c>
      <c r="Y228" s="87">
        <v>139.1267110753239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147.25461405090843</v>
      </c>
      <c r="D229" s="87">
        <v>144.86534191857089</v>
      </c>
      <c r="E229" s="87">
        <v>143.67070585240214</v>
      </c>
      <c r="F229" s="87">
        <v>143.67070585240214</v>
      </c>
      <c r="G229" s="87">
        <v>143.35632794025244</v>
      </c>
      <c r="H229" s="87">
        <v>143.35632794025244</v>
      </c>
      <c r="I229" s="87">
        <v>143.35632794025244</v>
      </c>
      <c r="J229" s="87">
        <v>140.84130464305503</v>
      </c>
      <c r="K229" s="87">
        <v>135.81125804866019</v>
      </c>
      <c r="L229" s="87">
        <v>144.34688771063139</v>
      </c>
      <c r="M229" s="87">
        <v>145.93938051910442</v>
      </c>
      <c r="N229" s="87">
        <v>142.90665125842932</v>
      </c>
      <c r="O229" s="87">
        <v>139.31431192557696</v>
      </c>
      <c r="P229" s="87">
        <v>135.81125804866019</v>
      </c>
      <c r="Q229" s="87">
        <v>134.9740146138812</v>
      </c>
      <c r="R229" s="87">
        <v>118.44861438200454</v>
      </c>
      <c r="S229" s="87">
        <v>139.20539283271987</v>
      </c>
      <c r="T229" s="87">
        <v>122.25377443571749</v>
      </c>
      <c r="U229" s="87">
        <v>152.19153225806451</v>
      </c>
      <c r="V229" s="87">
        <v>124.94522471910111</v>
      </c>
      <c r="W229" s="87">
        <v>120.52285283777</v>
      </c>
      <c r="X229" s="87">
        <v>119.93351800554019</v>
      </c>
      <c r="Y229" s="87">
        <v>117.4148750726322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153.67610248172511</v>
      </c>
      <c r="L230" s="87">
        <v>149.63026443925352</v>
      </c>
      <c r="M230" s="87">
        <v>0</v>
      </c>
      <c r="N230" s="87">
        <v>143.75669014741007</v>
      </c>
      <c r="O230" s="87">
        <v>122.3460994967313</v>
      </c>
      <c r="P230" s="87">
        <v>138.94003786018976</v>
      </c>
      <c r="Q230" s="87">
        <v>0</v>
      </c>
      <c r="R230" s="87">
        <v>138.94003786018976</v>
      </c>
      <c r="S230" s="87">
        <v>124.8504054746152</v>
      </c>
      <c r="T230" s="87">
        <v>125.3285100286533</v>
      </c>
      <c r="U230" s="87">
        <v>116.0969416262314</v>
      </c>
      <c r="V230" s="87">
        <v>103.00000000000001</v>
      </c>
      <c r="W230" s="87">
        <v>105.7424367436744</v>
      </c>
      <c r="X230" s="87">
        <v>105.5629520052597</v>
      </c>
      <c r="Y230" s="87">
        <v>0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0</v>
      </c>
      <c r="P231" s="87">
        <v>57.130049517852498</v>
      </c>
      <c r="Q231" s="87">
        <v>58.594922582412785</v>
      </c>
      <c r="R231" s="87">
        <v>68.366291774423132</v>
      </c>
      <c r="S231" s="87">
        <v>79.563692699736492</v>
      </c>
      <c r="T231" s="87">
        <v>76.649483103118769</v>
      </c>
      <c r="U231" s="87">
        <v>71.171428571428578</v>
      </c>
      <c r="V231" s="87">
        <v>52.660287081339703</v>
      </c>
      <c r="W231" s="87">
        <v>52.66028708133971</v>
      </c>
      <c r="X231" s="87">
        <v>38.097701149425291</v>
      </c>
      <c r="Y231" s="87">
        <v>43.318584070796462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1434.3966077750804</v>
      </c>
      <c r="C233" s="116">
        <v>1425.3092912815089</v>
      </c>
      <c r="D233" s="116">
        <v>1420.9016807300625</v>
      </c>
      <c r="E233" s="116">
        <v>1426.134993338788</v>
      </c>
      <c r="F233" s="116">
        <v>1424.9566689386156</v>
      </c>
      <c r="G233" s="116">
        <v>1417.2595532531143</v>
      </c>
      <c r="H233" s="116">
        <v>1414.8575744806285</v>
      </c>
      <c r="I233" s="116">
        <v>1418.084031941554</v>
      </c>
      <c r="J233" s="116">
        <v>1405.8113994662965</v>
      </c>
      <c r="K233" s="116">
        <v>1358.9169010003106</v>
      </c>
      <c r="L233" s="116">
        <v>1397.5560454708075</v>
      </c>
      <c r="M233" s="116">
        <v>1396.2202034732861</v>
      </c>
      <c r="N233" s="116">
        <v>1371.7991878870957</v>
      </c>
      <c r="O233" s="116">
        <v>1309.2538560108658</v>
      </c>
      <c r="P233" s="116">
        <v>1282.8218594349155</v>
      </c>
      <c r="Q233" s="116">
        <v>1366.9903856645049</v>
      </c>
      <c r="R233" s="116">
        <v>1351.0862133036835</v>
      </c>
      <c r="S233" s="116">
        <v>1308.5971734902307</v>
      </c>
      <c r="T233" s="116">
        <v>1294.856541483199</v>
      </c>
      <c r="U233" s="116">
        <v>1254.8085656008882</v>
      </c>
      <c r="V233" s="116">
        <v>1098.0996761929046</v>
      </c>
      <c r="W233" s="116">
        <v>1158.2734911979917</v>
      </c>
      <c r="X233" s="116">
        <v>1109.3365256091301</v>
      </c>
      <c r="Y233" s="116">
        <v>1060.0805757192002</v>
      </c>
      <c r="DA233" s="176" t="s">
        <v>941</v>
      </c>
    </row>
    <row r="234" spans="1:105" ht="11.45" customHeight="1" x14ac:dyDescent="0.25">
      <c r="A234" s="111" t="s">
        <v>110</v>
      </c>
      <c r="B234" s="101">
        <v>443.5324858123235</v>
      </c>
      <c r="C234" s="101">
        <v>438.87611757180298</v>
      </c>
      <c r="D234" s="101">
        <v>433.75968614933367</v>
      </c>
      <c r="E234" s="101">
        <v>432.90694757892226</v>
      </c>
      <c r="F234" s="101">
        <v>431.48571662823645</v>
      </c>
      <c r="G234" s="101">
        <v>426.36928520576708</v>
      </c>
      <c r="H234" s="101">
        <v>425.23230044521836</v>
      </c>
      <c r="I234" s="101">
        <v>0</v>
      </c>
      <c r="J234" s="101">
        <v>419.54737664247483</v>
      </c>
      <c r="K234" s="101">
        <v>0</v>
      </c>
      <c r="L234" s="101">
        <v>406.47205189616466</v>
      </c>
      <c r="M234" s="101">
        <v>0</v>
      </c>
      <c r="N234" s="101">
        <v>387.7118033471109</v>
      </c>
      <c r="O234" s="101">
        <v>379.18441764299558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X234" s="101">
        <v>0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1436.5985280461086</v>
      </c>
      <c r="C235" s="101">
        <v>1432.7964500952448</v>
      </c>
      <c r="D235" s="101">
        <v>1428.583719598395</v>
      </c>
      <c r="E235" s="101">
        <v>1427.8805610817756</v>
      </c>
      <c r="F235" s="101">
        <v>1426.7057375166269</v>
      </c>
      <c r="G235" s="101">
        <v>1422.4384222498775</v>
      </c>
      <c r="H235" s="101">
        <v>1421.4882295830434</v>
      </c>
      <c r="I235" s="101">
        <v>1418.6203985885925</v>
      </c>
      <c r="J235" s="101">
        <v>1416.7007498760233</v>
      </c>
      <c r="K235" s="101">
        <v>1412.8299827998592</v>
      </c>
      <c r="L235" s="101">
        <v>1405.4586959330777</v>
      </c>
      <c r="M235" s="101">
        <v>1397.9695732194023</v>
      </c>
      <c r="N235" s="101">
        <v>1388.805897939741</v>
      </c>
      <c r="O235" s="101">
        <v>1381.0414221778715</v>
      </c>
      <c r="P235" s="101">
        <v>1377.3892537021461</v>
      </c>
      <c r="Q235" s="101">
        <v>1370.7050334516366</v>
      </c>
      <c r="R235" s="101">
        <v>1353.7992378283896</v>
      </c>
      <c r="S235" s="101">
        <v>1328.0522725252647</v>
      </c>
      <c r="T235" s="101">
        <v>1294.856541483199</v>
      </c>
      <c r="U235" s="101">
        <v>1255.5648949942645</v>
      </c>
      <c r="V235" s="101">
        <v>1211.4530708162617</v>
      </c>
      <c r="W235" s="101">
        <v>1163.6944279742693</v>
      </c>
      <c r="X235" s="101">
        <v>1113.3449683394251</v>
      </c>
      <c r="Y235" s="101">
        <v>1061.3365953586779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1006.6908136632949</v>
      </c>
      <c r="J236" s="101">
        <v>0</v>
      </c>
      <c r="K236" s="101">
        <v>0</v>
      </c>
      <c r="L236" s="101">
        <v>0</v>
      </c>
      <c r="M236" s="101">
        <v>992.03643803581076</v>
      </c>
      <c r="N236" s="101">
        <v>0</v>
      </c>
      <c r="O236" s="101">
        <v>980.02377124857958</v>
      </c>
      <c r="P236" s="101">
        <v>977.43209523847747</v>
      </c>
      <c r="Q236" s="101">
        <v>0</v>
      </c>
      <c r="R236" s="101">
        <v>0</v>
      </c>
      <c r="S236" s="101">
        <v>0</v>
      </c>
      <c r="T236" s="101">
        <v>0</v>
      </c>
      <c r="U236" s="101">
        <v>865.29892801210667</v>
      </c>
      <c r="V236" s="101">
        <v>847.85762501947772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891.3603467731906</v>
      </c>
      <c r="L237" s="101">
        <v>886.67259948650815</v>
      </c>
      <c r="M237" s="101">
        <v>881.98485219982524</v>
      </c>
      <c r="N237" s="101">
        <v>876.20345112932387</v>
      </c>
      <c r="O237" s="101">
        <v>871.30481088819829</v>
      </c>
      <c r="P237" s="101">
        <v>869.00064251788569</v>
      </c>
      <c r="Q237" s="101">
        <v>0</v>
      </c>
      <c r="R237" s="101">
        <v>0</v>
      </c>
      <c r="S237" s="101">
        <v>864.04816053970171</v>
      </c>
      <c r="T237" s="101">
        <v>0</v>
      </c>
      <c r="U237" s="101">
        <v>0</v>
      </c>
      <c r="V237" s="101">
        <v>857.92016704169316</v>
      </c>
      <c r="W237" s="101">
        <v>0</v>
      </c>
      <c r="X237" s="101">
        <v>0</v>
      </c>
      <c r="Y237" s="101">
        <v>0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223.12832119536327</v>
      </c>
      <c r="C240" s="152">
        <v>219.99822345316474</v>
      </c>
      <c r="D240" s="152">
        <v>217.74871417387743</v>
      </c>
      <c r="E240" s="152">
        <v>216.26559467620086</v>
      </c>
      <c r="F240" s="152">
        <v>216.47010071437106</v>
      </c>
      <c r="G240" s="152">
        <v>215.88496269170042</v>
      </c>
      <c r="H240" s="152">
        <v>215.54296814310513</v>
      </c>
      <c r="I240" s="152">
        <v>213.82089621486094</v>
      </c>
      <c r="J240" s="152">
        <v>208.82839619600858</v>
      </c>
      <c r="K240" s="152">
        <v>201.92822114744064</v>
      </c>
      <c r="L240" s="152">
        <v>194.93346823352459</v>
      </c>
      <c r="M240" s="152">
        <v>194.24850449763991</v>
      </c>
      <c r="N240" s="152">
        <v>209.85450775989281</v>
      </c>
      <c r="O240" s="152">
        <v>202.4138971372885</v>
      </c>
      <c r="P240" s="152">
        <v>183.98452700861932</v>
      </c>
      <c r="Q240" s="152">
        <v>179.98350263143334</v>
      </c>
      <c r="R240" s="152">
        <v>176.11938830181876</v>
      </c>
      <c r="S240" s="152">
        <v>166.3474860231573</v>
      </c>
      <c r="T240" s="152">
        <v>166.3594488454321</v>
      </c>
      <c r="U240" s="152">
        <v>168.15279750342432</v>
      </c>
      <c r="V240" s="152">
        <v>193.36648951885462</v>
      </c>
      <c r="W240" s="152">
        <v>194.96530490090959</v>
      </c>
      <c r="X240" s="152">
        <v>193.94389329842983</v>
      </c>
      <c r="Y240" s="152">
        <v>189.86477574363178</v>
      </c>
      <c r="DA240" s="174" t="s">
        <v>947</v>
      </c>
    </row>
    <row r="241" spans="1:105" ht="11.45" customHeight="1" x14ac:dyDescent="0.25">
      <c r="A241" s="111" t="s">
        <v>110</v>
      </c>
      <c r="B241" s="87">
        <v>209.59588259935595</v>
      </c>
      <c r="C241" s="87">
        <v>207.39546742730374</v>
      </c>
      <c r="D241" s="87">
        <v>204.97764462050881</v>
      </c>
      <c r="E241" s="87">
        <v>204.57467415270963</v>
      </c>
      <c r="F241" s="87">
        <v>203.90305670637775</v>
      </c>
      <c r="G241" s="87">
        <v>201.48523389958274</v>
      </c>
      <c r="H241" s="87">
        <v>200.94793994251719</v>
      </c>
      <c r="I241" s="87">
        <v>199.33605807132056</v>
      </c>
      <c r="J241" s="87">
        <v>198.26147015718945</v>
      </c>
      <c r="K241" s="87">
        <v>196.11229432892722</v>
      </c>
      <c r="L241" s="87">
        <v>192.08258965093557</v>
      </c>
      <c r="M241" s="87">
        <v>188.05288497294393</v>
      </c>
      <c r="N241" s="87">
        <v>191.40354232269121</v>
      </c>
      <c r="O241" s="87">
        <v>181.1580248594731</v>
      </c>
      <c r="P241" s="87">
        <v>177.30700583163397</v>
      </c>
      <c r="Q241" s="87">
        <v>152.73104971004096</v>
      </c>
      <c r="R241" s="87">
        <v>151.93883252912622</v>
      </c>
      <c r="S241" s="87">
        <v>156.00916570462368</v>
      </c>
      <c r="T241" s="87">
        <v>156.03888490623461</v>
      </c>
      <c r="U241" s="87">
        <v>125.5894736842105</v>
      </c>
      <c r="V241" s="87">
        <v>141.56741280583029</v>
      </c>
      <c r="W241" s="87">
        <v>133.8125</v>
      </c>
      <c r="X241" s="87">
        <v>156.42718446601941</v>
      </c>
      <c r="Y241" s="87">
        <v>145.30693069306929</v>
      </c>
      <c r="DA241" s="171" t="s">
        <v>948</v>
      </c>
    </row>
    <row r="242" spans="1:105" ht="11.45" customHeight="1" x14ac:dyDescent="0.25">
      <c r="A242" s="111" t="s">
        <v>111</v>
      </c>
      <c r="B242" s="87">
        <v>225.54824713514606</v>
      </c>
      <c r="C242" s="87">
        <v>222.25189975868537</v>
      </c>
      <c r="D242" s="87">
        <v>218.64576304184928</v>
      </c>
      <c r="E242" s="87">
        <v>216.84269468343129</v>
      </c>
      <c r="F242" s="87">
        <v>216.84269468343129</v>
      </c>
      <c r="G242" s="87">
        <v>216.36820301016343</v>
      </c>
      <c r="H242" s="87">
        <v>216.36820301016343</v>
      </c>
      <c r="I242" s="87">
        <v>216.36820301016343</v>
      </c>
      <c r="J242" s="87">
        <v>212.57226962402012</v>
      </c>
      <c r="K242" s="87">
        <v>204.98040285173374</v>
      </c>
      <c r="L242" s="87">
        <v>195.89293832530686</v>
      </c>
      <c r="M242" s="87">
        <v>194.73138270914703</v>
      </c>
      <c r="N242" s="87">
        <v>211.0020949331323</v>
      </c>
      <c r="O242" s="87">
        <v>203.7461637601763</v>
      </c>
      <c r="P242" s="87">
        <v>185.18000068651077</v>
      </c>
      <c r="Q242" s="87">
        <v>180.49213683484908</v>
      </c>
      <c r="R242" s="87">
        <v>176.88599131544632</v>
      </c>
      <c r="S242" s="87">
        <v>166.83945456745047</v>
      </c>
      <c r="T242" s="87">
        <v>166.91984309731072</v>
      </c>
      <c r="U242" s="87">
        <v>169.39573296627671</v>
      </c>
      <c r="V242" s="87">
        <v>194.90577547492541</v>
      </c>
      <c r="W242" s="87">
        <v>197.5673261008296</v>
      </c>
      <c r="X242" s="87">
        <v>198.12320032908269</v>
      </c>
      <c r="Y242" s="87">
        <v>193.31970316522791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140.26019358831749</v>
      </c>
      <c r="J243" s="87">
        <v>137.79948843764524</v>
      </c>
      <c r="K243" s="87">
        <v>132.87807813630076</v>
      </c>
      <c r="L243" s="87">
        <v>126.98715000559139</v>
      </c>
      <c r="M243" s="87">
        <v>126.23417422948573</v>
      </c>
      <c r="N243" s="87">
        <v>188.37339099532775</v>
      </c>
      <c r="O243" s="87">
        <v>168.9790691127796</v>
      </c>
      <c r="P243" s="87">
        <v>132.87807813630189</v>
      </c>
      <c r="Q243" s="87">
        <v>182.66968870211741</v>
      </c>
      <c r="R243" s="87">
        <v>169.34141390428164</v>
      </c>
      <c r="S243" s="87">
        <v>150.02058144540385</v>
      </c>
      <c r="T243" s="87">
        <v>150.02058144540385</v>
      </c>
      <c r="U243" s="87">
        <v>162.52229656585419</v>
      </c>
      <c r="V243" s="87">
        <v>164.5837194995741</v>
      </c>
      <c r="W243" s="87">
        <v>174.3636363636364</v>
      </c>
      <c r="X243" s="87">
        <v>169.5</v>
      </c>
      <c r="Y243" s="87">
        <v>139.45714285714291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179.17393964554566</v>
      </c>
      <c r="L244" s="87">
        <v>175.49228335145912</v>
      </c>
      <c r="M244" s="87">
        <v>171.81062705737253</v>
      </c>
      <c r="N244" s="87">
        <v>164.21499037682315</v>
      </c>
      <c r="O244" s="87">
        <v>0</v>
      </c>
      <c r="P244" s="87">
        <v>161.99287693980838</v>
      </c>
      <c r="Q244" s="87">
        <v>150.91363400701835</v>
      </c>
      <c r="R244" s="87">
        <v>140.04545490280208</v>
      </c>
      <c r="S244" s="87">
        <v>175.47486476254085</v>
      </c>
      <c r="T244" s="87">
        <v>150.19264174368587</v>
      </c>
      <c r="U244" s="87">
        <v>152.57214720677791</v>
      </c>
      <c r="V244" s="87">
        <v>133</v>
      </c>
      <c r="W244" s="87">
        <v>190.5</v>
      </c>
      <c r="X244" s="87">
        <v>100</v>
      </c>
      <c r="Y244" s="87">
        <v>166.68799999999999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933.89433159827263</v>
      </c>
      <c r="D246" s="116">
        <v>932.97036214810498</v>
      </c>
      <c r="E246" s="116">
        <v>924.08421631714566</v>
      </c>
      <c r="F246" s="116">
        <v>933.95872848363297</v>
      </c>
      <c r="G246" s="116">
        <v>922.6119481651458</v>
      </c>
      <c r="H246" s="116">
        <v>890.93889508237214</v>
      </c>
      <c r="I246" s="116">
        <v>898.74914004622246</v>
      </c>
      <c r="J246" s="116">
        <v>866.14103336642745</v>
      </c>
      <c r="K246" s="116">
        <v>851.96473659318644</v>
      </c>
      <c r="L246" s="116">
        <v>851.71352893288997</v>
      </c>
      <c r="M246" s="116">
        <v>828.24161051302917</v>
      </c>
      <c r="N246" s="116">
        <v>809.70463708199804</v>
      </c>
      <c r="O246" s="116">
        <v>790.7409018915514</v>
      </c>
      <c r="P246" s="116">
        <v>772.70844505002901</v>
      </c>
      <c r="Q246" s="116">
        <v>756.37790510554987</v>
      </c>
      <c r="R246" s="116">
        <v>725.96478645679031</v>
      </c>
      <c r="S246" s="116">
        <v>713.10244663837739</v>
      </c>
      <c r="T246" s="116">
        <v>675.05761808100328</v>
      </c>
      <c r="U246" s="116">
        <v>642.00790670260585</v>
      </c>
      <c r="V246" s="116">
        <v>650.27922628649333</v>
      </c>
      <c r="W246" s="116">
        <v>613.83503303822545</v>
      </c>
      <c r="X246" s="116">
        <v>620.83913360851034</v>
      </c>
      <c r="Y246" s="116">
        <v>616.84656070635788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870.61519128074076</v>
      </c>
      <c r="D247" s="101">
        <v>865.57441861807536</v>
      </c>
      <c r="E247" s="101">
        <v>859.29771838503962</v>
      </c>
      <c r="F247" s="101">
        <v>851.8010397951449</v>
      </c>
      <c r="G247" s="101">
        <v>843.1032975935783</v>
      </c>
      <c r="H247" s="101">
        <v>833.22625410537626</v>
      </c>
      <c r="I247" s="101">
        <v>822.19438518917184</v>
      </c>
      <c r="J247" s="101">
        <v>810.03473160989768</v>
      </c>
      <c r="K247" s="101">
        <v>796.77673746164396</v>
      </c>
      <c r="L247" s="101">
        <v>782.45207742033642</v>
      </c>
      <c r="M247" s="101">
        <v>767.09447463358254</v>
      </c>
      <c r="N247" s="101">
        <v>750.73951112509576</v>
      </c>
      <c r="O247" s="101">
        <v>733.42443261302901</v>
      </c>
      <c r="P247" s="101">
        <v>715.18794959690536</v>
      </c>
      <c r="Q247" s="101">
        <v>696.07003656812299</v>
      </c>
      <c r="R247" s="101">
        <v>667.37513059562355</v>
      </c>
      <c r="S247" s="101">
        <v>647.28869641487415</v>
      </c>
      <c r="T247" s="101">
        <v>626.19794052508712</v>
      </c>
      <c r="U247" s="101">
        <v>600.42034999312534</v>
      </c>
      <c r="V247" s="101">
        <v>598.96766627651459</v>
      </c>
      <c r="W247" s="101">
        <v>573.95078439445069</v>
      </c>
      <c r="X247" s="101">
        <v>570.78867477199208</v>
      </c>
      <c r="Y247" s="101">
        <v>565.08078802427224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0</v>
      </c>
      <c r="I248" s="88">
        <v>924.72734968168083</v>
      </c>
      <c r="J248" s="88">
        <v>0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0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1756.171</v>
      </c>
      <c r="C4" s="28">
        <f t="shared" ref="C4:V4" si="1">SUM(C5,C6,C9)</f>
        <v>1772.7440000000001</v>
      </c>
      <c r="D4" s="28">
        <f t="shared" si="1"/>
        <v>1729.7379999999998</v>
      </c>
      <c r="E4" s="28">
        <f t="shared" si="1"/>
        <v>1713.308</v>
      </c>
      <c r="F4" s="28">
        <f t="shared" si="1"/>
        <v>1698.0830000000001</v>
      </c>
      <c r="G4" s="28">
        <f t="shared" si="1"/>
        <v>1760.1660000000002</v>
      </c>
      <c r="H4" s="28">
        <f t="shared" si="1"/>
        <v>1881.7730000000001</v>
      </c>
      <c r="I4" s="28">
        <f t="shared" si="1"/>
        <v>2233.96</v>
      </c>
      <c r="J4" s="28">
        <f t="shared" si="1"/>
        <v>2392.6040000000003</v>
      </c>
      <c r="K4" s="28">
        <f t="shared" si="1"/>
        <v>2380.8200000000002</v>
      </c>
      <c r="L4" s="28">
        <f t="shared" si="1"/>
        <v>2260.357</v>
      </c>
      <c r="M4" s="28">
        <f t="shared" si="1"/>
        <v>1976.5309999999999</v>
      </c>
      <c r="N4" s="28">
        <f t="shared" si="1"/>
        <v>1602.4169999999999</v>
      </c>
      <c r="O4" s="28">
        <f t="shared" si="1"/>
        <v>1467.788</v>
      </c>
      <c r="P4" s="28">
        <f t="shared" si="1"/>
        <v>1492.6969999999999</v>
      </c>
      <c r="Q4" s="28">
        <f t="shared" si="1"/>
        <v>1538.9659999999999</v>
      </c>
      <c r="R4" s="28">
        <f t="shared" si="1"/>
        <v>1435.9850000000001</v>
      </c>
      <c r="S4" s="28">
        <f t="shared" si="1"/>
        <v>1343.9830000000002</v>
      </c>
      <c r="T4" s="28">
        <f t="shared" si="1"/>
        <v>1323.165</v>
      </c>
      <c r="U4" s="28">
        <f t="shared" si="1"/>
        <v>1274.3800000000001</v>
      </c>
      <c r="V4" s="28">
        <f t="shared" si="1"/>
        <v>842.28400000000011</v>
      </c>
      <c r="W4" s="28">
        <f t="shared" ref="W4:Y4" si="2">SUM(W5,W6,W9)</f>
        <v>897.01300000000003</v>
      </c>
      <c r="X4" s="28">
        <f t="shared" si="2"/>
        <v>1171.2049999999999</v>
      </c>
      <c r="Y4" s="28">
        <f t="shared" si="2"/>
        <v>1472.33</v>
      </c>
      <c r="DA4" s="173" t="s">
        <v>376</v>
      </c>
    </row>
    <row r="5" spans="1:105" ht="11.45" customHeight="1" x14ac:dyDescent="0.25">
      <c r="A5" s="107" t="s">
        <v>23</v>
      </c>
      <c r="B5" s="108">
        <v>504.17100000000005</v>
      </c>
      <c r="C5" s="108">
        <v>531.74400000000003</v>
      </c>
      <c r="D5" s="108">
        <v>534.73799999999994</v>
      </c>
      <c r="E5" s="108">
        <v>550.30799999999999</v>
      </c>
      <c r="F5" s="108">
        <v>529.08299999999997</v>
      </c>
      <c r="G5" s="108">
        <v>533.16600000000005</v>
      </c>
      <c r="H5" s="108">
        <v>559.77300000000002</v>
      </c>
      <c r="I5" s="108">
        <v>660.96</v>
      </c>
      <c r="J5" s="108">
        <v>623.60400000000004</v>
      </c>
      <c r="K5" s="108">
        <v>578.82000000000005</v>
      </c>
      <c r="L5" s="108">
        <v>549.35699999999997</v>
      </c>
      <c r="M5" s="108">
        <v>519.53099999999995</v>
      </c>
      <c r="N5" s="108">
        <v>522.41699999999992</v>
      </c>
      <c r="O5" s="108">
        <v>532.78800000000001</v>
      </c>
      <c r="P5" s="108">
        <v>575.69699999999989</v>
      </c>
      <c r="Q5" s="108">
        <v>597.96600000000001</v>
      </c>
      <c r="R5" s="108">
        <v>608.98500000000001</v>
      </c>
      <c r="S5" s="108">
        <v>607.98300000000006</v>
      </c>
      <c r="T5" s="108">
        <v>576.16500000000008</v>
      </c>
      <c r="U5" s="108">
        <v>550.38</v>
      </c>
      <c r="V5" s="108">
        <v>394.28400000000005</v>
      </c>
      <c r="W5" s="108">
        <v>359.01300000000003</v>
      </c>
      <c r="X5" s="108">
        <v>359.20499999999998</v>
      </c>
      <c r="Y5" s="108">
        <v>330.33000000000004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1252</v>
      </c>
      <c r="C6" s="110">
        <f t="shared" ref="C6:V6" si="4">SUM(C7:C8)</f>
        <v>1241</v>
      </c>
      <c r="D6" s="110">
        <f t="shared" si="4"/>
        <v>1195</v>
      </c>
      <c r="E6" s="110">
        <f t="shared" si="4"/>
        <v>1163</v>
      </c>
      <c r="F6" s="110">
        <f t="shared" si="4"/>
        <v>1169</v>
      </c>
      <c r="G6" s="110">
        <f t="shared" si="4"/>
        <v>1227</v>
      </c>
      <c r="H6" s="110">
        <f t="shared" si="4"/>
        <v>1322</v>
      </c>
      <c r="I6" s="110">
        <f t="shared" si="4"/>
        <v>1573</v>
      </c>
      <c r="J6" s="110">
        <f t="shared" si="4"/>
        <v>1769</v>
      </c>
      <c r="K6" s="110">
        <f t="shared" si="4"/>
        <v>1802</v>
      </c>
      <c r="L6" s="110">
        <f t="shared" si="4"/>
        <v>1711</v>
      </c>
      <c r="M6" s="110">
        <f t="shared" si="4"/>
        <v>1457</v>
      </c>
      <c r="N6" s="110">
        <f t="shared" si="4"/>
        <v>1080</v>
      </c>
      <c r="O6" s="110">
        <f t="shared" si="4"/>
        <v>935</v>
      </c>
      <c r="P6" s="110">
        <f t="shared" si="4"/>
        <v>917</v>
      </c>
      <c r="Q6" s="110">
        <f t="shared" si="4"/>
        <v>941</v>
      </c>
      <c r="R6" s="110">
        <f t="shared" si="4"/>
        <v>827</v>
      </c>
      <c r="S6" s="110">
        <f t="shared" si="4"/>
        <v>736</v>
      </c>
      <c r="T6" s="110">
        <f t="shared" si="4"/>
        <v>747</v>
      </c>
      <c r="U6" s="110">
        <f t="shared" si="4"/>
        <v>724</v>
      </c>
      <c r="V6" s="110">
        <f t="shared" si="4"/>
        <v>448</v>
      </c>
      <c r="W6" s="110">
        <f t="shared" ref="W6:Y6" si="5">SUM(W7:W8)</f>
        <v>538</v>
      </c>
      <c r="X6" s="110">
        <f t="shared" si="5"/>
        <v>812</v>
      </c>
      <c r="Y6" s="110">
        <f t="shared" si="5"/>
        <v>1142</v>
      </c>
      <c r="DA6" s="176" t="s">
        <v>378</v>
      </c>
    </row>
    <row r="7" spans="1:105" ht="11.45" customHeight="1" x14ac:dyDescent="0.25">
      <c r="A7" s="111" t="s">
        <v>90</v>
      </c>
      <c r="B7" s="84">
        <v>582.57917990657165</v>
      </c>
      <c r="C7" s="84">
        <v>558.78895343796057</v>
      </c>
      <c r="D7" s="84">
        <v>535.30616863717842</v>
      </c>
      <c r="E7" s="84">
        <v>525.25383682618212</v>
      </c>
      <c r="F7" s="84">
        <v>534.82343528832553</v>
      </c>
      <c r="G7" s="84">
        <v>592.24412275821737</v>
      </c>
      <c r="H7" s="84">
        <v>631.15991671118195</v>
      </c>
      <c r="I7" s="84">
        <v>745.51877174775655</v>
      </c>
      <c r="J7" s="84">
        <v>848.49239443430861</v>
      </c>
      <c r="K7" s="84">
        <v>843.27148742719135</v>
      </c>
      <c r="L7" s="84">
        <v>793.42184991196712</v>
      </c>
      <c r="M7" s="84">
        <v>682.13621545003559</v>
      </c>
      <c r="N7" s="84">
        <v>502.87978252696712</v>
      </c>
      <c r="O7" s="84">
        <v>448.80638794526783</v>
      </c>
      <c r="P7" s="84">
        <v>427.75482323495675</v>
      </c>
      <c r="Q7" s="84">
        <v>420.55610096692982</v>
      </c>
      <c r="R7" s="84">
        <v>361.44736795160117</v>
      </c>
      <c r="S7" s="84">
        <v>318.23292454789981</v>
      </c>
      <c r="T7" s="84">
        <v>281.47407210717961</v>
      </c>
      <c r="U7" s="84">
        <v>261.16399513154158</v>
      </c>
      <c r="V7" s="84">
        <v>168.0473188733018</v>
      </c>
      <c r="W7" s="84">
        <v>182.42697293428841</v>
      </c>
      <c r="X7" s="84">
        <v>241.30559146487835</v>
      </c>
      <c r="Y7" s="84">
        <v>277.73504927601039</v>
      </c>
      <c r="DA7" s="171" t="s">
        <v>1031</v>
      </c>
    </row>
    <row r="8" spans="1:105" ht="11.45" customHeight="1" x14ac:dyDescent="0.25">
      <c r="A8" s="111" t="s">
        <v>93</v>
      </c>
      <c r="B8" s="84">
        <v>669.42082009342835</v>
      </c>
      <c r="C8" s="84">
        <v>682.21104656203943</v>
      </c>
      <c r="D8" s="84">
        <v>659.69383136282158</v>
      </c>
      <c r="E8" s="84">
        <v>637.74616317381788</v>
      </c>
      <c r="F8" s="84">
        <v>634.17656471167447</v>
      </c>
      <c r="G8" s="84">
        <v>634.75587724178263</v>
      </c>
      <c r="H8" s="84">
        <v>690.84008328881805</v>
      </c>
      <c r="I8" s="84">
        <v>827.48122825224345</v>
      </c>
      <c r="J8" s="84">
        <v>920.50760556569139</v>
      </c>
      <c r="K8" s="84">
        <v>958.72851257280865</v>
      </c>
      <c r="L8" s="84">
        <v>917.57815008803288</v>
      </c>
      <c r="M8" s="84">
        <v>774.86378454996441</v>
      </c>
      <c r="N8" s="84">
        <v>577.12021747303288</v>
      </c>
      <c r="O8" s="84">
        <v>486.19361205473217</v>
      </c>
      <c r="P8" s="84">
        <v>489.24517676504325</v>
      </c>
      <c r="Q8" s="84">
        <v>520.44389903307024</v>
      </c>
      <c r="R8" s="84">
        <v>465.55263204839883</v>
      </c>
      <c r="S8" s="84">
        <v>417.76707545210019</v>
      </c>
      <c r="T8" s="84">
        <v>465.52592789282039</v>
      </c>
      <c r="U8" s="84">
        <v>462.83600486845842</v>
      </c>
      <c r="V8" s="84">
        <v>279.95268112669817</v>
      </c>
      <c r="W8" s="84">
        <v>355.57302706571159</v>
      </c>
      <c r="X8" s="84">
        <v>570.69440853512162</v>
      </c>
      <c r="Y8" s="84">
        <v>864.26495072398961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1788</v>
      </c>
      <c r="C10" s="28">
        <f t="shared" ref="C10:V10" si="7">SUM(C11:C12)</f>
        <v>2074</v>
      </c>
      <c r="D10" s="28">
        <f t="shared" si="7"/>
        <v>2206</v>
      </c>
      <c r="E10" s="28">
        <f t="shared" si="7"/>
        <v>2487</v>
      </c>
      <c r="F10" s="28">
        <f t="shared" si="7"/>
        <v>2493</v>
      </c>
      <c r="G10" s="28">
        <f t="shared" si="7"/>
        <v>2835</v>
      </c>
      <c r="H10" s="28">
        <f t="shared" si="7"/>
        <v>3305</v>
      </c>
      <c r="I10" s="28">
        <f t="shared" si="7"/>
        <v>3574</v>
      </c>
      <c r="J10" s="28">
        <f t="shared" si="7"/>
        <v>3312</v>
      </c>
      <c r="K10" s="28">
        <f t="shared" si="7"/>
        <v>2641</v>
      </c>
      <c r="L10" s="28">
        <f t="shared" si="7"/>
        <v>2618</v>
      </c>
      <c r="M10" s="28">
        <f t="shared" si="7"/>
        <v>2438</v>
      </c>
      <c r="N10" s="28">
        <f t="shared" si="7"/>
        <v>2332</v>
      </c>
      <c r="O10" s="28">
        <f t="shared" si="7"/>
        <v>2086</v>
      </c>
      <c r="P10" s="28">
        <f t="shared" si="7"/>
        <v>2119</v>
      </c>
      <c r="Q10" s="28">
        <f t="shared" si="7"/>
        <v>2184</v>
      </c>
      <c r="R10" s="28">
        <f t="shared" si="7"/>
        <v>2160</v>
      </c>
      <c r="S10" s="28">
        <f t="shared" si="7"/>
        <v>2592</v>
      </c>
      <c r="T10" s="28">
        <f t="shared" si="7"/>
        <v>2743</v>
      </c>
      <c r="U10" s="28">
        <f t="shared" si="7"/>
        <v>2911</v>
      </c>
      <c r="V10" s="28">
        <f t="shared" si="7"/>
        <v>3279</v>
      </c>
      <c r="W10" s="28">
        <f t="shared" ref="W10:Y10" si="8">SUM(W11:W12)</f>
        <v>3172</v>
      </c>
      <c r="X10" s="28">
        <f t="shared" si="8"/>
        <v>3529</v>
      </c>
      <c r="Y10" s="28">
        <f t="shared" si="8"/>
        <v>3145</v>
      </c>
      <c r="DA10" s="173" t="s">
        <v>384</v>
      </c>
    </row>
    <row r="11" spans="1:105" ht="11.45" customHeight="1" x14ac:dyDescent="0.25">
      <c r="A11" s="83" t="s">
        <v>90</v>
      </c>
      <c r="B11" s="84">
        <v>929.90161884249301</v>
      </c>
      <c r="C11" s="84">
        <v>1027.1119781127068</v>
      </c>
      <c r="D11" s="84">
        <v>1074.8381553781232</v>
      </c>
      <c r="E11" s="84">
        <v>1194.829044661343</v>
      </c>
      <c r="F11" s="84">
        <v>1156.0511778136663</v>
      </c>
      <c r="G11" s="84">
        <v>1335.8958232242173</v>
      </c>
      <c r="H11" s="84">
        <v>1567.8140935416134</v>
      </c>
      <c r="I11" s="84">
        <v>1685.157076133723</v>
      </c>
      <c r="J11" s="84">
        <v>1601.6528878688216</v>
      </c>
      <c r="K11" s="84">
        <v>1319.5959396962458</v>
      </c>
      <c r="L11" s="84">
        <v>1289.0510155215641</v>
      </c>
      <c r="M11" s="84">
        <v>1137.2829985376741</v>
      </c>
      <c r="N11" s="84">
        <v>1085.615472600603</v>
      </c>
      <c r="O11" s="84">
        <v>957.15645757815514</v>
      </c>
      <c r="P11" s="84">
        <v>1011.4358974358977</v>
      </c>
      <c r="Q11" s="84">
        <v>948.24040066777945</v>
      </c>
      <c r="R11" s="84">
        <v>931.54179966734785</v>
      </c>
      <c r="S11" s="84">
        <v>1077.4656678632266</v>
      </c>
      <c r="T11" s="84">
        <v>1015.1895126162453</v>
      </c>
      <c r="U11" s="84">
        <v>1055.5672874710212</v>
      </c>
      <c r="V11" s="84">
        <v>1186.9914378970275</v>
      </c>
      <c r="W11" s="84">
        <v>1152.1140741006043</v>
      </c>
      <c r="X11" s="84">
        <v>1293.0513627844907</v>
      </c>
      <c r="Y11" s="84">
        <v>1038.1515688376833</v>
      </c>
      <c r="DA11" s="171" t="s">
        <v>1033</v>
      </c>
    </row>
    <row r="12" spans="1:105" ht="11.45" customHeight="1" x14ac:dyDescent="0.25">
      <c r="A12" s="85" t="s">
        <v>93</v>
      </c>
      <c r="B12" s="86">
        <v>858.09838115750699</v>
      </c>
      <c r="C12" s="86">
        <v>1046.8880218872932</v>
      </c>
      <c r="D12" s="86">
        <v>1131.1618446218768</v>
      </c>
      <c r="E12" s="86">
        <v>1292.170955338657</v>
      </c>
      <c r="F12" s="86">
        <v>1336.9488221863337</v>
      </c>
      <c r="G12" s="86">
        <v>1499.1041767757827</v>
      </c>
      <c r="H12" s="86">
        <v>1737.1859064583866</v>
      </c>
      <c r="I12" s="86">
        <v>1888.842923866277</v>
      </c>
      <c r="J12" s="86">
        <v>1710.3471121311784</v>
      </c>
      <c r="K12" s="86">
        <v>1321.4040603037542</v>
      </c>
      <c r="L12" s="86">
        <v>1328.9489844784359</v>
      </c>
      <c r="M12" s="86">
        <v>1300.7170014623259</v>
      </c>
      <c r="N12" s="86">
        <v>1246.384527399397</v>
      </c>
      <c r="O12" s="86">
        <v>1128.8435424218449</v>
      </c>
      <c r="P12" s="86">
        <v>1107.5641025641023</v>
      </c>
      <c r="Q12" s="86">
        <v>1235.7595993322207</v>
      </c>
      <c r="R12" s="86">
        <v>1228.4582003326523</v>
      </c>
      <c r="S12" s="86">
        <v>1514.5343321367734</v>
      </c>
      <c r="T12" s="86">
        <v>1727.8104873837547</v>
      </c>
      <c r="U12" s="86">
        <v>1855.4327125289788</v>
      </c>
      <c r="V12" s="86">
        <v>2092.0085621029725</v>
      </c>
      <c r="W12" s="86">
        <v>2019.8859258993957</v>
      </c>
      <c r="X12" s="86">
        <v>2235.9486372155093</v>
      </c>
      <c r="Y12" s="86">
        <v>2106.848431162317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23.596849770815524</v>
      </c>
      <c r="C14" s="62">
        <f t="shared" ref="C14:V14" si="10">C15+C21</f>
        <v>24.375451845549417</v>
      </c>
      <c r="D14" s="62">
        <f t="shared" si="10"/>
        <v>25.220048910223433</v>
      </c>
      <c r="E14" s="62">
        <f t="shared" si="10"/>
        <v>25.521772771794602</v>
      </c>
      <c r="F14" s="62">
        <f t="shared" si="10"/>
        <v>25.996618283352387</v>
      </c>
      <c r="G14" s="62">
        <f t="shared" si="10"/>
        <v>27.315615811148522</v>
      </c>
      <c r="H14" s="62">
        <f t="shared" si="10"/>
        <v>28.711278771583906</v>
      </c>
      <c r="I14" s="62">
        <f t="shared" si="10"/>
        <v>30.513518971655319</v>
      </c>
      <c r="J14" s="62">
        <f t="shared" si="10"/>
        <v>30.897554556126824</v>
      </c>
      <c r="K14" s="62">
        <f t="shared" si="10"/>
        <v>29.116364009595401</v>
      </c>
      <c r="L14" s="62">
        <f t="shared" si="10"/>
        <v>28.929735821096596</v>
      </c>
      <c r="M14" s="62">
        <f t="shared" si="10"/>
        <v>28.338917749691269</v>
      </c>
      <c r="N14" s="62">
        <f t="shared" si="10"/>
        <v>27.658147043065398</v>
      </c>
      <c r="O14" s="62">
        <f t="shared" si="10"/>
        <v>26.635621627230318</v>
      </c>
      <c r="P14" s="62">
        <f t="shared" si="10"/>
        <v>25.660689521480759</v>
      </c>
      <c r="Q14" s="62">
        <f t="shared" si="10"/>
        <v>25.55369460645835</v>
      </c>
      <c r="R14" s="62">
        <f t="shared" si="10"/>
        <v>26.016585206010596</v>
      </c>
      <c r="S14" s="62">
        <f t="shared" si="10"/>
        <v>26.565947110612719</v>
      </c>
      <c r="T14" s="62">
        <f t="shared" si="10"/>
        <v>25.772350287450227</v>
      </c>
      <c r="U14" s="62">
        <f t="shared" si="10"/>
        <v>26.222630885564595</v>
      </c>
      <c r="V14" s="62">
        <f t="shared" si="10"/>
        <v>23.067933963399877</v>
      </c>
      <c r="W14" s="62">
        <f t="shared" ref="W14:Y14" si="11">W15+W21</f>
        <v>24.775017957202227</v>
      </c>
      <c r="X14" s="62">
        <f t="shared" si="11"/>
        <v>24.337568339184411</v>
      </c>
      <c r="Y14" s="62">
        <f t="shared" si="11"/>
        <v>23.078818575119325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19.717635943384796</v>
      </c>
      <c r="C15" s="29">
        <f t="shared" ref="C15:V15" si="13">SUM(C16,C17,C20)</f>
        <v>20.060789120845065</v>
      </c>
      <c r="D15" s="29">
        <f t="shared" si="13"/>
        <v>20.485252302122007</v>
      </c>
      <c r="E15" s="29">
        <f t="shared" si="13"/>
        <v>20.242817638660252</v>
      </c>
      <c r="F15" s="29">
        <f t="shared" si="13"/>
        <v>20.569120575823007</v>
      </c>
      <c r="G15" s="29">
        <f t="shared" si="13"/>
        <v>21.156697561436776</v>
      </c>
      <c r="H15" s="29">
        <f t="shared" si="13"/>
        <v>22.115508581994241</v>
      </c>
      <c r="I15" s="29">
        <f t="shared" si="13"/>
        <v>23.717432634363643</v>
      </c>
      <c r="J15" s="29">
        <f t="shared" si="13"/>
        <v>24.504251839156655</v>
      </c>
      <c r="K15" s="29">
        <f t="shared" si="13"/>
        <v>23.791445696365145</v>
      </c>
      <c r="L15" s="29">
        <f t="shared" si="13"/>
        <v>23.11467797371569</v>
      </c>
      <c r="M15" s="29">
        <f t="shared" si="13"/>
        <v>22.855551297219254</v>
      </c>
      <c r="N15" s="29">
        <f t="shared" si="13"/>
        <v>22.508607750334122</v>
      </c>
      <c r="O15" s="29">
        <f t="shared" si="13"/>
        <v>21.292507120750962</v>
      </c>
      <c r="P15" s="29">
        <f t="shared" si="13"/>
        <v>20.497821082052457</v>
      </c>
      <c r="Q15" s="29">
        <f t="shared" si="13"/>
        <v>20.487794771379352</v>
      </c>
      <c r="R15" s="29">
        <f t="shared" si="13"/>
        <v>20.491751110787376</v>
      </c>
      <c r="S15" s="29">
        <f t="shared" si="13"/>
        <v>20.438640996155403</v>
      </c>
      <c r="T15" s="29">
        <f t="shared" si="13"/>
        <v>19.919140726494675</v>
      </c>
      <c r="U15" s="29">
        <f t="shared" si="13"/>
        <v>20.200005971550379</v>
      </c>
      <c r="V15" s="29">
        <f t="shared" si="13"/>
        <v>16.588266516625268</v>
      </c>
      <c r="W15" s="29">
        <f t="shared" ref="W15:Y15" si="14">SUM(W16,W17,W20)</f>
        <v>19.023694587820277</v>
      </c>
      <c r="X15" s="29">
        <f t="shared" si="14"/>
        <v>18.284856966804462</v>
      </c>
      <c r="Y15" s="29">
        <f t="shared" si="14"/>
        <v>18.027237118293399</v>
      </c>
      <c r="DA15" s="173" t="s">
        <v>1036</v>
      </c>
    </row>
    <row r="16" spans="1:105" ht="11.45" customHeight="1" x14ac:dyDescent="0.25">
      <c r="A16" s="107" t="s">
        <v>23</v>
      </c>
      <c r="B16" s="115">
        <v>6.2441961301925373</v>
      </c>
      <c r="C16" s="115">
        <v>6.6336471575822697</v>
      </c>
      <c r="D16" s="115">
        <v>6.7206093784449381</v>
      </c>
      <c r="E16" s="115">
        <v>6.997436025642731</v>
      </c>
      <c r="F16" s="115">
        <v>6.7117385093351274</v>
      </c>
      <c r="G16" s="115">
        <v>6.8054864796030561</v>
      </c>
      <c r="H16" s="115">
        <v>7.1019059066020445</v>
      </c>
      <c r="I16" s="115">
        <v>8.420483653287274</v>
      </c>
      <c r="J16" s="115">
        <v>7.9477765648129584</v>
      </c>
      <c r="K16" s="115">
        <v>7.4192901743131436</v>
      </c>
      <c r="L16" s="115">
        <v>7.0439297389948257</v>
      </c>
      <c r="M16" s="115">
        <v>6.6502818599284339</v>
      </c>
      <c r="N16" s="115">
        <v>6.6966102758248267</v>
      </c>
      <c r="O16" s="115">
        <v>6.8133888935117932</v>
      </c>
      <c r="P16" s="115">
        <v>7.3421879110484989</v>
      </c>
      <c r="Q16" s="115">
        <v>7.5461079345415074</v>
      </c>
      <c r="R16" s="115">
        <v>7.7365928214704454</v>
      </c>
      <c r="S16" s="115">
        <v>7.633267530041322</v>
      </c>
      <c r="T16" s="115">
        <v>7.1418551001006705</v>
      </c>
      <c r="U16" s="115">
        <v>7.7939017244265854</v>
      </c>
      <c r="V16" s="115">
        <v>5.9516059665532888</v>
      </c>
      <c r="W16" s="115">
        <v>5.8474014833970873</v>
      </c>
      <c r="X16" s="115">
        <v>4.4164978927203054</v>
      </c>
      <c r="Y16" s="115">
        <v>3.844458117662322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13.473439813192257</v>
      </c>
      <c r="C17" s="116">
        <f t="shared" ref="C17:V17" si="16">SUM(C18:C19)</f>
        <v>13.427141963262795</v>
      </c>
      <c r="D17" s="116">
        <f t="shared" si="16"/>
        <v>13.764642923677069</v>
      </c>
      <c r="E17" s="116">
        <f t="shared" si="16"/>
        <v>13.245381613017521</v>
      </c>
      <c r="F17" s="116">
        <f t="shared" si="16"/>
        <v>13.85738206648788</v>
      </c>
      <c r="G17" s="116">
        <f t="shared" si="16"/>
        <v>14.35121108183372</v>
      </c>
      <c r="H17" s="116">
        <f t="shared" si="16"/>
        <v>15.013602675392198</v>
      </c>
      <c r="I17" s="116">
        <f t="shared" si="16"/>
        <v>15.296948981076369</v>
      </c>
      <c r="J17" s="116">
        <f t="shared" si="16"/>
        <v>16.556475274343697</v>
      </c>
      <c r="K17" s="116">
        <f t="shared" si="16"/>
        <v>16.372155522052001</v>
      </c>
      <c r="L17" s="116">
        <f t="shared" si="16"/>
        <v>16.070748234720863</v>
      </c>
      <c r="M17" s="116">
        <f t="shared" si="16"/>
        <v>16.20526943729082</v>
      </c>
      <c r="N17" s="116">
        <f t="shared" si="16"/>
        <v>15.811997474509294</v>
      </c>
      <c r="O17" s="116">
        <f t="shared" si="16"/>
        <v>14.479118227239169</v>
      </c>
      <c r="P17" s="116">
        <f t="shared" si="16"/>
        <v>13.155633171003959</v>
      </c>
      <c r="Q17" s="116">
        <f t="shared" si="16"/>
        <v>12.941686836837846</v>
      </c>
      <c r="R17" s="116">
        <f t="shared" si="16"/>
        <v>12.755158289316931</v>
      </c>
      <c r="S17" s="116">
        <f t="shared" si="16"/>
        <v>12.80537346611408</v>
      </c>
      <c r="T17" s="116">
        <f t="shared" si="16"/>
        <v>12.777285626394002</v>
      </c>
      <c r="U17" s="116">
        <f t="shared" si="16"/>
        <v>12.406104247123793</v>
      </c>
      <c r="V17" s="116">
        <f t="shared" si="16"/>
        <v>10.63666055007198</v>
      </c>
      <c r="W17" s="116">
        <f t="shared" ref="W17:Y17" si="17">SUM(W18:W19)</f>
        <v>13.176293104423189</v>
      </c>
      <c r="X17" s="116">
        <f t="shared" si="17"/>
        <v>13.868359074084156</v>
      </c>
      <c r="Y17" s="116">
        <f t="shared" si="17"/>
        <v>14.182779000631079</v>
      </c>
      <c r="DA17" s="176" t="s">
        <v>1038</v>
      </c>
    </row>
    <row r="18" spans="1:105" ht="11.45" customHeight="1" x14ac:dyDescent="0.25">
      <c r="A18" s="111" t="s">
        <v>92</v>
      </c>
      <c r="B18" s="87">
        <v>6.8067342754432776</v>
      </c>
      <c r="C18" s="87">
        <v>6.7316727198484836</v>
      </c>
      <c r="D18" s="87">
        <v>6.872513887249756</v>
      </c>
      <c r="E18" s="87">
        <v>6.6166052004399267</v>
      </c>
      <c r="F18" s="87">
        <v>7.3839224305441054</v>
      </c>
      <c r="G18" s="87">
        <v>7.4410249177264722</v>
      </c>
      <c r="H18" s="87">
        <v>7.8184653253322871</v>
      </c>
      <c r="I18" s="87">
        <v>7.9074790949808795</v>
      </c>
      <c r="J18" s="87">
        <v>8.5690088601659884</v>
      </c>
      <c r="K18" s="87">
        <v>7.9300477791354327</v>
      </c>
      <c r="L18" s="87">
        <v>7.7550706834261263</v>
      </c>
      <c r="M18" s="87">
        <v>7.6460156277924476</v>
      </c>
      <c r="N18" s="87">
        <v>7.3575603720641887</v>
      </c>
      <c r="O18" s="87">
        <v>7.3313302925229209</v>
      </c>
      <c r="P18" s="87">
        <v>6.482673496281345</v>
      </c>
      <c r="Q18" s="87">
        <v>5.8674780139729412</v>
      </c>
      <c r="R18" s="87">
        <v>5.8842468416494871</v>
      </c>
      <c r="S18" s="87">
        <v>5.884896148588461</v>
      </c>
      <c r="T18" s="87">
        <v>5.0859782147308588</v>
      </c>
      <c r="U18" s="87">
        <v>4.9270676680636463</v>
      </c>
      <c r="V18" s="87">
        <v>4.05523212581077</v>
      </c>
      <c r="W18" s="87">
        <v>4.2582477782872061</v>
      </c>
      <c r="X18" s="87">
        <v>4.9416714472992549</v>
      </c>
      <c r="Y18" s="87">
        <v>4.7251595095178027</v>
      </c>
      <c r="DA18" s="171" t="s">
        <v>1039</v>
      </c>
    </row>
    <row r="19" spans="1:105" ht="11.45" customHeight="1" x14ac:dyDescent="0.25">
      <c r="A19" s="111" t="s">
        <v>93</v>
      </c>
      <c r="B19" s="87">
        <v>6.6667055377489799</v>
      </c>
      <c r="C19" s="87">
        <v>6.695469243414311</v>
      </c>
      <c r="D19" s="87">
        <v>6.8921290364273142</v>
      </c>
      <c r="E19" s="87">
        <v>6.6287764125775945</v>
      </c>
      <c r="F19" s="87">
        <v>6.4734596359437742</v>
      </c>
      <c r="G19" s="87">
        <v>6.9101861641072473</v>
      </c>
      <c r="H19" s="87">
        <v>7.1951373500599107</v>
      </c>
      <c r="I19" s="87">
        <v>7.3894698860954895</v>
      </c>
      <c r="J19" s="87">
        <v>7.9874664141777085</v>
      </c>
      <c r="K19" s="87">
        <v>8.4421077429165692</v>
      </c>
      <c r="L19" s="87">
        <v>8.315677551294737</v>
      </c>
      <c r="M19" s="87">
        <v>8.5592538094983723</v>
      </c>
      <c r="N19" s="87">
        <v>8.4544371024451053</v>
      </c>
      <c r="O19" s="87">
        <v>7.1477879347162476</v>
      </c>
      <c r="P19" s="87">
        <v>6.6729596747226143</v>
      </c>
      <c r="Q19" s="87">
        <v>7.0742088228649038</v>
      </c>
      <c r="R19" s="87">
        <v>6.870911447667444</v>
      </c>
      <c r="S19" s="87">
        <v>6.9204773175256191</v>
      </c>
      <c r="T19" s="87">
        <v>7.6913074116631437</v>
      </c>
      <c r="U19" s="87">
        <v>7.4790365790601463</v>
      </c>
      <c r="V19" s="87">
        <v>6.58142842426121</v>
      </c>
      <c r="W19" s="87">
        <v>8.9180453261359833</v>
      </c>
      <c r="X19" s="87">
        <v>8.9266876267849007</v>
      </c>
      <c r="Y19" s="87">
        <v>9.4576194911132774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X20" s="117">
        <v>0</v>
      </c>
      <c r="Y20" s="117">
        <v>0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3.879213827430728</v>
      </c>
      <c r="C21" s="29">
        <f t="shared" ref="C21:V21" si="19">SUM(C22:C23)</f>
        <v>4.3146627247043527</v>
      </c>
      <c r="D21" s="29">
        <f t="shared" si="19"/>
        <v>4.7347966081014254</v>
      </c>
      <c r="E21" s="29">
        <f t="shared" si="19"/>
        <v>5.2789551331343496</v>
      </c>
      <c r="F21" s="29">
        <f t="shared" si="19"/>
        <v>5.4274977075293789</v>
      </c>
      <c r="G21" s="29">
        <f t="shared" si="19"/>
        <v>6.1589182497117463</v>
      </c>
      <c r="H21" s="29">
        <f t="shared" si="19"/>
        <v>6.5957701895896648</v>
      </c>
      <c r="I21" s="29">
        <f t="shared" si="19"/>
        <v>6.7960863372916762</v>
      </c>
      <c r="J21" s="29">
        <f t="shared" si="19"/>
        <v>6.3933027169701679</v>
      </c>
      <c r="K21" s="29">
        <f t="shared" si="19"/>
        <v>5.3249183132302553</v>
      </c>
      <c r="L21" s="29">
        <f t="shared" si="19"/>
        <v>5.8150578473809054</v>
      </c>
      <c r="M21" s="29">
        <f t="shared" si="19"/>
        <v>5.4833664524720138</v>
      </c>
      <c r="N21" s="29">
        <f t="shared" si="19"/>
        <v>5.1495392927312764</v>
      </c>
      <c r="O21" s="29">
        <f t="shared" si="19"/>
        <v>5.3431145064793553</v>
      </c>
      <c r="P21" s="29">
        <f t="shared" si="19"/>
        <v>5.1628684394283013</v>
      </c>
      <c r="Q21" s="29">
        <f t="shared" si="19"/>
        <v>5.0658998350789988</v>
      </c>
      <c r="R21" s="29">
        <f t="shared" si="19"/>
        <v>5.5248340952232198</v>
      </c>
      <c r="S21" s="29">
        <f t="shared" si="19"/>
        <v>6.1273061144573138</v>
      </c>
      <c r="T21" s="29">
        <f t="shared" si="19"/>
        <v>5.8532095609555519</v>
      </c>
      <c r="U21" s="29">
        <f t="shared" si="19"/>
        <v>6.022624914014215</v>
      </c>
      <c r="V21" s="29">
        <f t="shared" si="19"/>
        <v>6.4796674467746085</v>
      </c>
      <c r="W21" s="29">
        <f t="shared" ref="W21:Y21" si="20">SUM(W22:W23)</f>
        <v>5.751323369381951</v>
      </c>
      <c r="X21" s="29">
        <f t="shared" si="20"/>
        <v>6.0527113723799504</v>
      </c>
      <c r="Y21" s="29">
        <f t="shared" si="20"/>
        <v>5.0515814568259261</v>
      </c>
      <c r="DA21" s="173" t="s">
        <v>1042</v>
      </c>
    </row>
    <row r="22" spans="1:105" ht="11.45" customHeight="1" x14ac:dyDescent="0.25">
      <c r="A22" s="83" t="s">
        <v>92</v>
      </c>
      <c r="B22" s="87">
        <v>1.4297613724193492</v>
      </c>
      <c r="C22" s="87">
        <v>1.7993185175395088</v>
      </c>
      <c r="D22" s="87">
        <v>1.8521697889452515</v>
      </c>
      <c r="E22" s="87">
        <v>2.1161218173290375</v>
      </c>
      <c r="F22" s="87">
        <v>2.241774278590015</v>
      </c>
      <c r="G22" s="87">
        <v>2.5628025513527923</v>
      </c>
      <c r="H22" s="87">
        <v>2.6946898186375452</v>
      </c>
      <c r="I22" s="87">
        <v>2.9666336310807293</v>
      </c>
      <c r="J22" s="87">
        <v>2.7464669086884017</v>
      </c>
      <c r="K22" s="87">
        <v>2.3147238672860619</v>
      </c>
      <c r="L22" s="87">
        <v>2.4531656758059941</v>
      </c>
      <c r="M22" s="87">
        <v>2.2193186624490266</v>
      </c>
      <c r="N22" s="87">
        <v>2.1346522506385495</v>
      </c>
      <c r="O22" s="87">
        <v>2.1009845658967037</v>
      </c>
      <c r="P22" s="87">
        <v>1.9704163449878729</v>
      </c>
      <c r="Q22" s="87">
        <v>1.688052244214594</v>
      </c>
      <c r="R22" s="87">
        <v>1.7887781653286421</v>
      </c>
      <c r="S22" s="87">
        <v>1.7778670553307907</v>
      </c>
      <c r="T22" s="87">
        <v>1.4696543841167768</v>
      </c>
      <c r="U22" s="87">
        <v>1.4832579160348691</v>
      </c>
      <c r="V22" s="87">
        <v>1.6348426616995722</v>
      </c>
      <c r="W22" s="87">
        <v>1.827336461965583</v>
      </c>
      <c r="X22" s="87">
        <v>1.6590052352087863</v>
      </c>
      <c r="Y22" s="87">
        <v>1.0982916451528906</v>
      </c>
      <c r="DA22" s="171" t="s">
        <v>1043</v>
      </c>
    </row>
    <row r="23" spans="1:105" ht="11.45" customHeight="1" x14ac:dyDescent="0.25">
      <c r="A23" s="85" t="s">
        <v>93</v>
      </c>
      <c r="B23" s="88">
        <v>2.4494524550113788</v>
      </c>
      <c r="C23" s="88">
        <v>2.5153442071648442</v>
      </c>
      <c r="D23" s="88">
        <v>2.8826268191561741</v>
      </c>
      <c r="E23" s="88">
        <v>3.1628333158053121</v>
      </c>
      <c r="F23" s="88">
        <v>3.1857234289393639</v>
      </c>
      <c r="G23" s="88">
        <v>3.5961156983589539</v>
      </c>
      <c r="H23" s="88">
        <v>3.9010803709521196</v>
      </c>
      <c r="I23" s="88">
        <v>3.8294527062109469</v>
      </c>
      <c r="J23" s="88">
        <v>3.6468358082817662</v>
      </c>
      <c r="K23" s="88">
        <v>3.0101944459441934</v>
      </c>
      <c r="L23" s="88">
        <v>3.3618921715749113</v>
      </c>
      <c r="M23" s="88">
        <v>3.2640477900229872</v>
      </c>
      <c r="N23" s="88">
        <v>3.014887042092727</v>
      </c>
      <c r="O23" s="88">
        <v>3.2421299405826516</v>
      </c>
      <c r="P23" s="88">
        <v>3.1924520944404282</v>
      </c>
      <c r="Q23" s="88">
        <v>3.3778475908644046</v>
      </c>
      <c r="R23" s="88">
        <v>3.7360559298945777</v>
      </c>
      <c r="S23" s="88">
        <v>4.3494390591265226</v>
      </c>
      <c r="T23" s="88">
        <v>4.383555176838775</v>
      </c>
      <c r="U23" s="88">
        <v>4.5393669979793456</v>
      </c>
      <c r="V23" s="88">
        <v>4.8448247850750361</v>
      </c>
      <c r="W23" s="88">
        <v>3.923986907416368</v>
      </c>
      <c r="X23" s="88">
        <v>4.3937061371711641</v>
      </c>
      <c r="Y23" s="88">
        <v>3.9532898116730357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165.98442299999999</v>
      </c>
      <c r="C25" s="62">
        <f t="shared" ref="C25:V25" si="22">C26+C32</f>
        <v>171.39347999999998</v>
      </c>
      <c r="D25" s="62">
        <f t="shared" si="22"/>
        <v>176.53471999999999</v>
      </c>
      <c r="E25" s="62">
        <f t="shared" si="22"/>
        <v>178.31037699999999</v>
      </c>
      <c r="F25" s="62">
        <f t="shared" si="22"/>
        <v>180.535843</v>
      </c>
      <c r="G25" s="62">
        <f t="shared" si="22"/>
        <v>188.33739199999997</v>
      </c>
      <c r="H25" s="62">
        <f t="shared" si="22"/>
        <v>197.632319</v>
      </c>
      <c r="I25" s="62">
        <f t="shared" si="22"/>
        <v>212.50994600000001</v>
      </c>
      <c r="J25" s="62">
        <f t="shared" si="22"/>
        <v>214.98148699999996</v>
      </c>
      <c r="K25" s="62">
        <f t="shared" si="22"/>
        <v>207.00866100000002</v>
      </c>
      <c r="L25" s="62">
        <f t="shared" si="22"/>
        <v>200.67203799999999</v>
      </c>
      <c r="M25" s="62">
        <f t="shared" si="22"/>
        <v>196.78612699999999</v>
      </c>
      <c r="N25" s="62">
        <f t="shared" si="22"/>
        <v>192.64587599999999</v>
      </c>
      <c r="O25" s="62">
        <f t="shared" si="22"/>
        <v>189.48841999999999</v>
      </c>
      <c r="P25" s="62">
        <f t="shared" si="22"/>
        <v>184.37319500000001</v>
      </c>
      <c r="Q25" s="62">
        <f t="shared" si="22"/>
        <v>181.58870700000003</v>
      </c>
      <c r="R25" s="62">
        <f t="shared" si="22"/>
        <v>182.99122399999999</v>
      </c>
      <c r="S25" s="62">
        <f t="shared" si="22"/>
        <v>185.39903099999998</v>
      </c>
      <c r="T25" s="62">
        <f t="shared" si="22"/>
        <v>180.98839000000001</v>
      </c>
      <c r="U25" s="62">
        <f t="shared" si="22"/>
        <v>183.71742599999999</v>
      </c>
      <c r="V25" s="62">
        <f t="shared" si="22"/>
        <v>171.30051899999998</v>
      </c>
      <c r="W25" s="62">
        <f t="shared" ref="W25:Y25" si="23">W26+W32</f>
        <v>179.47860499999999</v>
      </c>
      <c r="X25" s="62">
        <f t="shared" si="23"/>
        <v>176.67008899999999</v>
      </c>
      <c r="Y25" s="62">
        <f t="shared" si="23"/>
        <v>171.15007399999999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146.58835299999998</v>
      </c>
      <c r="C26" s="29">
        <f t="shared" ref="C26:V26" si="25">SUM(C27,C28,C31)</f>
        <v>149.82016499999997</v>
      </c>
      <c r="D26" s="29">
        <f t="shared" si="25"/>
        <v>152.860736</v>
      </c>
      <c r="E26" s="29">
        <f t="shared" si="25"/>
        <v>151.91559999999998</v>
      </c>
      <c r="F26" s="29">
        <f t="shared" si="25"/>
        <v>153.39835299999999</v>
      </c>
      <c r="G26" s="29">
        <f t="shared" si="25"/>
        <v>157.54279999999997</v>
      </c>
      <c r="H26" s="29">
        <f t="shared" si="25"/>
        <v>164.65346700000001</v>
      </c>
      <c r="I26" s="29">
        <f t="shared" si="25"/>
        <v>178.52951300000001</v>
      </c>
      <c r="J26" s="29">
        <f t="shared" si="25"/>
        <v>182.62901799999997</v>
      </c>
      <c r="K26" s="29">
        <f t="shared" si="25"/>
        <v>176.595798</v>
      </c>
      <c r="L26" s="29">
        <f t="shared" si="25"/>
        <v>171.17404799999997</v>
      </c>
      <c r="M26" s="29">
        <f t="shared" si="25"/>
        <v>168.49223899999998</v>
      </c>
      <c r="N26" s="29">
        <f t="shared" si="25"/>
        <v>166.291594</v>
      </c>
      <c r="O26" s="29">
        <f t="shared" si="25"/>
        <v>162.733881</v>
      </c>
      <c r="P26" s="29">
        <f t="shared" si="25"/>
        <v>158.558852</v>
      </c>
      <c r="Q26" s="29">
        <f t="shared" si="25"/>
        <v>155.56226700000002</v>
      </c>
      <c r="R26" s="29">
        <f t="shared" si="25"/>
        <v>155.367053</v>
      </c>
      <c r="S26" s="29">
        <f t="shared" si="25"/>
        <v>154.76249899999999</v>
      </c>
      <c r="T26" s="29">
        <f t="shared" si="25"/>
        <v>150.89615800000001</v>
      </c>
      <c r="U26" s="29">
        <f t="shared" si="25"/>
        <v>153.561015</v>
      </c>
      <c r="V26" s="29">
        <f t="shared" si="25"/>
        <v>138.90218099999998</v>
      </c>
      <c r="W26" s="29">
        <f t="shared" ref="W26:Y26" si="26">SUM(W27,W28,W31)</f>
        <v>147.342524</v>
      </c>
      <c r="X26" s="29">
        <f t="shared" si="26"/>
        <v>146.27975499999999</v>
      </c>
      <c r="Y26" s="29">
        <f t="shared" si="26"/>
        <v>142.69934599999999</v>
      </c>
      <c r="DA26" s="173" t="s">
        <v>1046</v>
      </c>
    </row>
    <row r="27" spans="1:105" ht="11.45" customHeight="1" x14ac:dyDescent="0.25">
      <c r="A27" s="107" t="s">
        <v>23</v>
      </c>
      <c r="B27" s="115">
        <v>56.765419999999999</v>
      </c>
      <c r="C27" s="115">
        <v>60.305883999999999</v>
      </c>
      <c r="D27" s="115">
        <v>61.096449</v>
      </c>
      <c r="E27" s="115">
        <v>63.613054999999996</v>
      </c>
      <c r="F27" s="115">
        <v>61.015805</v>
      </c>
      <c r="G27" s="115">
        <v>61.868058999999995</v>
      </c>
      <c r="H27" s="115">
        <v>64.562781000000001</v>
      </c>
      <c r="I27" s="115">
        <v>76.549852000000001</v>
      </c>
      <c r="J27" s="115">
        <v>72.252515000000002</v>
      </c>
      <c r="K27" s="115">
        <v>67.448093</v>
      </c>
      <c r="L27" s="115">
        <v>64.035724999999999</v>
      </c>
      <c r="M27" s="115">
        <v>60.457107999999998</v>
      </c>
      <c r="N27" s="115">
        <v>60.878276</v>
      </c>
      <c r="O27" s="115">
        <v>61.939899999999994</v>
      </c>
      <c r="P27" s="115">
        <v>66.747163</v>
      </c>
      <c r="Q27" s="115">
        <v>68.600982000000002</v>
      </c>
      <c r="R27" s="115">
        <v>70.332662999999997</v>
      </c>
      <c r="S27" s="115">
        <v>69.393342000000004</v>
      </c>
      <c r="T27" s="115">
        <v>64.925955999999999</v>
      </c>
      <c r="U27" s="115">
        <v>70.853652999999994</v>
      </c>
      <c r="V27" s="115">
        <v>65.177110999999996</v>
      </c>
      <c r="W27" s="115">
        <v>59.500568999999999</v>
      </c>
      <c r="X27" s="115">
        <v>53.824027000000001</v>
      </c>
      <c r="Y27" s="115">
        <v>48.147485000000003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89.822932999999992</v>
      </c>
      <c r="C28" s="116">
        <f t="shared" ref="C28:V28" si="28">SUM(C29:C30)</f>
        <v>89.514280999999983</v>
      </c>
      <c r="D28" s="116">
        <f t="shared" si="28"/>
        <v>91.764286999999996</v>
      </c>
      <c r="E28" s="116">
        <f t="shared" si="28"/>
        <v>88.302544999999995</v>
      </c>
      <c r="F28" s="116">
        <f t="shared" si="28"/>
        <v>92.382547999999986</v>
      </c>
      <c r="G28" s="116">
        <f t="shared" si="28"/>
        <v>95.674740999999983</v>
      </c>
      <c r="H28" s="116">
        <f t="shared" si="28"/>
        <v>100.09068600000001</v>
      </c>
      <c r="I28" s="116">
        <f t="shared" si="28"/>
        <v>101.97966099999999</v>
      </c>
      <c r="J28" s="116">
        <f t="shared" si="28"/>
        <v>110.37650299999999</v>
      </c>
      <c r="K28" s="116">
        <f t="shared" si="28"/>
        <v>109.147705</v>
      </c>
      <c r="L28" s="116">
        <f t="shared" si="28"/>
        <v>107.13832299999999</v>
      </c>
      <c r="M28" s="116">
        <f t="shared" si="28"/>
        <v>108.03513099999999</v>
      </c>
      <c r="N28" s="116">
        <f t="shared" si="28"/>
        <v>105.413318</v>
      </c>
      <c r="O28" s="116">
        <f t="shared" si="28"/>
        <v>100.793981</v>
      </c>
      <c r="P28" s="116">
        <f t="shared" si="28"/>
        <v>91.811689000000001</v>
      </c>
      <c r="Q28" s="116">
        <f t="shared" si="28"/>
        <v>86.961285000000004</v>
      </c>
      <c r="R28" s="116">
        <f t="shared" si="28"/>
        <v>85.034390000000002</v>
      </c>
      <c r="S28" s="116">
        <f t="shared" si="28"/>
        <v>85.369157000000001</v>
      </c>
      <c r="T28" s="116">
        <f t="shared" si="28"/>
        <v>85.970202</v>
      </c>
      <c r="U28" s="116">
        <f t="shared" si="28"/>
        <v>82.707361999999989</v>
      </c>
      <c r="V28" s="116">
        <f t="shared" si="28"/>
        <v>73.725070000000002</v>
      </c>
      <c r="W28" s="116">
        <f t="shared" ref="W28:Y28" si="29">SUM(W29:W30)</f>
        <v>87.841954999999999</v>
      </c>
      <c r="X28" s="116">
        <f t="shared" si="29"/>
        <v>92.455727999999993</v>
      </c>
      <c r="Y28" s="116">
        <f t="shared" si="29"/>
        <v>94.551861000000002</v>
      </c>
      <c r="DA28" s="176" t="s">
        <v>1048</v>
      </c>
    </row>
    <row r="29" spans="1:105" ht="11.45" customHeight="1" x14ac:dyDescent="0.25">
      <c r="A29" s="111" t="s">
        <v>92</v>
      </c>
      <c r="B29" s="87">
        <v>45.378228999999997</v>
      </c>
      <c r="C29" s="87">
        <v>44.877818999999995</v>
      </c>
      <c r="D29" s="87">
        <v>45.816759999999995</v>
      </c>
      <c r="E29" s="87">
        <v>44.110701999999996</v>
      </c>
      <c r="F29" s="87">
        <v>49.226149999999997</v>
      </c>
      <c r="G29" s="87">
        <v>49.606832999999995</v>
      </c>
      <c r="H29" s="87">
        <v>52.123103</v>
      </c>
      <c r="I29" s="87">
        <v>52.716527999999997</v>
      </c>
      <c r="J29" s="87">
        <v>57.126725999999998</v>
      </c>
      <c r="K29" s="87">
        <v>52.866985999999997</v>
      </c>
      <c r="L29" s="87">
        <v>51.700471999999998</v>
      </c>
      <c r="M29" s="87">
        <v>50.973437999999994</v>
      </c>
      <c r="N29" s="87">
        <v>49.050402999999996</v>
      </c>
      <c r="O29" s="87">
        <v>48.875535999999997</v>
      </c>
      <c r="P29" s="87">
        <v>44.337713999999998</v>
      </c>
      <c r="Q29" s="87">
        <v>39.799892</v>
      </c>
      <c r="R29" s="87">
        <v>39.228313</v>
      </c>
      <c r="S29" s="87">
        <v>39.232641000000001</v>
      </c>
      <c r="T29" s="87">
        <v>34.694818999999995</v>
      </c>
      <c r="U29" s="87">
        <v>32.847117999999995</v>
      </c>
      <c r="V29" s="87">
        <v>28.309296</v>
      </c>
      <c r="W29" s="87">
        <v>28.388319000000003</v>
      </c>
      <c r="X29" s="87">
        <v>32.944476999999999</v>
      </c>
      <c r="Y29" s="87">
        <v>31.501064</v>
      </c>
      <c r="DA29" s="171" t="s">
        <v>1049</v>
      </c>
    </row>
    <row r="30" spans="1:105" ht="11.45" customHeight="1" x14ac:dyDescent="0.25">
      <c r="A30" s="111" t="s">
        <v>93</v>
      </c>
      <c r="B30" s="87">
        <v>44.444703999999994</v>
      </c>
      <c r="C30" s="87">
        <v>44.636461999999995</v>
      </c>
      <c r="D30" s="87">
        <v>45.947527000000001</v>
      </c>
      <c r="E30" s="87">
        <v>44.191842999999999</v>
      </c>
      <c r="F30" s="87">
        <v>43.156397999999996</v>
      </c>
      <c r="G30" s="87">
        <v>46.067907999999996</v>
      </c>
      <c r="H30" s="87">
        <v>47.967582999999998</v>
      </c>
      <c r="I30" s="87">
        <v>49.263132999999996</v>
      </c>
      <c r="J30" s="87">
        <v>53.249776999999995</v>
      </c>
      <c r="K30" s="87">
        <v>56.280718999999998</v>
      </c>
      <c r="L30" s="87">
        <v>55.437850999999995</v>
      </c>
      <c r="M30" s="87">
        <v>57.061692999999998</v>
      </c>
      <c r="N30" s="87">
        <v>56.362915000000001</v>
      </c>
      <c r="O30" s="87">
        <v>51.918444999999998</v>
      </c>
      <c r="P30" s="87">
        <v>47.473974999999996</v>
      </c>
      <c r="Q30" s="87">
        <v>47.161392999999997</v>
      </c>
      <c r="R30" s="87">
        <v>45.806076999999995</v>
      </c>
      <c r="S30" s="87">
        <v>46.136516</v>
      </c>
      <c r="T30" s="87">
        <v>51.275382999999998</v>
      </c>
      <c r="U30" s="87">
        <v>49.860243999999994</v>
      </c>
      <c r="V30" s="87">
        <v>45.415773999999999</v>
      </c>
      <c r="W30" s="87">
        <v>59.453635999999996</v>
      </c>
      <c r="X30" s="87">
        <v>59.511250999999994</v>
      </c>
      <c r="Y30" s="87">
        <v>63.050796999999996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19.396069999999998</v>
      </c>
      <c r="C32" s="29">
        <f t="shared" ref="C32:V32" si="31">SUM(C33:C34)</f>
        <v>21.573314999999997</v>
      </c>
      <c r="D32" s="29">
        <f t="shared" si="31"/>
        <v>23.673983999999997</v>
      </c>
      <c r="E32" s="29">
        <f t="shared" si="31"/>
        <v>26.394776999999998</v>
      </c>
      <c r="F32" s="29">
        <f t="shared" si="31"/>
        <v>27.13749</v>
      </c>
      <c r="G32" s="29">
        <f t="shared" si="31"/>
        <v>30.794592000000002</v>
      </c>
      <c r="H32" s="29">
        <f t="shared" si="31"/>
        <v>32.978852000000003</v>
      </c>
      <c r="I32" s="29">
        <f t="shared" si="31"/>
        <v>33.980432999999998</v>
      </c>
      <c r="J32" s="29">
        <f t="shared" si="31"/>
        <v>32.352468999999999</v>
      </c>
      <c r="K32" s="29">
        <f t="shared" si="31"/>
        <v>30.412863000000002</v>
      </c>
      <c r="L32" s="29">
        <f t="shared" si="31"/>
        <v>29.497990000000001</v>
      </c>
      <c r="M32" s="29">
        <f t="shared" si="31"/>
        <v>28.293888000000003</v>
      </c>
      <c r="N32" s="29">
        <f t="shared" si="31"/>
        <v>26.354281999999998</v>
      </c>
      <c r="O32" s="29">
        <f t="shared" si="31"/>
        <v>26.754539000000001</v>
      </c>
      <c r="P32" s="29">
        <f t="shared" si="31"/>
        <v>25.814343000000001</v>
      </c>
      <c r="Q32" s="29">
        <f t="shared" si="31"/>
        <v>26.026440000000001</v>
      </c>
      <c r="R32" s="29">
        <f t="shared" si="31"/>
        <v>27.624170999999997</v>
      </c>
      <c r="S32" s="29">
        <f t="shared" si="31"/>
        <v>30.636532000000003</v>
      </c>
      <c r="T32" s="29">
        <f t="shared" si="31"/>
        <v>30.092231999999999</v>
      </c>
      <c r="U32" s="29">
        <f t="shared" si="31"/>
        <v>30.156410999999999</v>
      </c>
      <c r="V32" s="29">
        <f t="shared" si="31"/>
        <v>32.398337999999995</v>
      </c>
      <c r="W32" s="29">
        <f t="shared" ref="W32:Y32" si="32">SUM(W33:W34)</f>
        <v>32.136080999999997</v>
      </c>
      <c r="X32" s="29">
        <f t="shared" si="32"/>
        <v>30.390334000000003</v>
      </c>
      <c r="Y32" s="29">
        <f t="shared" si="32"/>
        <v>28.450728000000002</v>
      </c>
      <c r="DA32" s="173" t="s">
        <v>1052</v>
      </c>
    </row>
    <row r="33" spans="1:105" ht="11.45" customHeight="1" x14ac:dyDescent="0.25">
      <c r="A33" s="83" t="s">
        <v>92</v>
      </c>
      <c r="B33" s="87">
        <v>7.1488070000000006</v>
      </c>
      <c r="C33" s="87">
        <v>8.996592999999999</v>
      </c>
      <c r="D33" s="87">
        <v>9.2608489999999986</v>
      </c>
      <c r="E33" s="87">
        <v>10.58061</v>
      </c>
      <c r="F33" s="87">
        <v>11.208872</v>
      </c>
      <c r="G33" s="87">
        <v>12.814012999999999</v>
      </c>
      <c r="H33" s="87">
        <v>13.47345</v>
      </c>
      <c r="I33" s="87">
        <v>14.833169</v>
      </c>
      <c r="J33" s="87">
        <v>14.118288999999999</v>
      </c>
      <c r="K33" s="87">
        <v>13.403409</v>
      </c>
      <c r="L33" s="87">
        <v>12.688528999999999</v>
      </c>
      <c r="M33" s="87">
        <v>11.973649</v>
      </c>
      <c r="N33" s="87">
        <v>11.258768999999999</v>
      </c>
      <c r="O33" s="87">
        <v>10.543889</v>
      </c>
      <c r="P33" s="87">
        <v>9.8520819999999993</v>
      </c>
      <c r="Q33" s="87">
        <v>9.1372019999999985</v>
      </c>
      <c r="R33" s="87">
        <v>8.9438909999999989</v>
      </c>
      <c r="S33" s="87">
        <v>8.8893360000000001</v>
      </c>
      <c r="T33" s="87">
        <v>8.1744559999999993</v>
      </c>
      <c r="U33" s="87">
        <v>7.4595760000000002</v>
      </c>
      <c r="V33" s="87">
        <v>8.1742139999999992</v>
      </c>
      <c r="W33" s="87">
        <v>9.1366829999999997</v>
      </c>
      <c r="X33" s="87">
        <v>8.4218029999999988</v>
      </c>
      <c r="Y33" s="87">
        <v>7.7069229999999997</v>
      </c>
      <c r="DA33" s="171" t="s">
        <v>1053</v>
      </c>
    </row>
    <row r="34" spans="1:105" ht="11.45" customHeight="1" x14ac:dyDescent="0.25">
      <c r="A34" s="85" t="s">
        <v>93</v>
      </c>
      <c r="B34" s="88">
        <v>12.247262999999998</v>
      </c>
      <c r="C34" s="88">
        <v>12.576721999999998</v>
      </c>
      <c r="D34" s="88">
        <v>14.413134999999999</v>
      </c>
      <c r="E34" s="88">
        <v>15.814166999999999</v>
      </c>
      <c r="F34" s="88">
        <v>15.928617999999998</v>
      </c>
      <c r="G34" s="88">
        <v>17.980579000000002</v>
      </c>
      <c r="H34" s="88">
        <v>19.505402</v>
      </c>
      <c r="I34" s="88">
        <v>19.147264</v>
      </c>
      <c r="J34" s="88">
        <v>18.234180000000002</v>
      </c>
      <c r="K34" s="88">
        <v>17.009454000000002</v>
      </c>
      <c r="L34" s="88">
        <v>16.809461000000002</v>
      </c>
      <c r="M34" s="88">
        <v>16.320239000000001</v>
      </c>
      <c r="N34" s="88">
        <v>15.095512999999999</v>
      </c>
      <c r="O34" s="88">
        <v>16.210650000000001</v>
      </c>
      <c r="P34" s="88">
        <v>15.962261</v>
      </c>
      <c r="Q34" s="88">
        <v>16.889238000000002</v>
      </c>
      <c r="R34" s="88">
        <v>18.68028</v>
      </c>
      <c r="S34" s="88">
        <v>21.747196000000002</v>
      </c>
      <c r="T34" s="88">
        <v>21.917776</v>
      </c>
      <c r="U34" s="88">
        <v>22.696835</v>
      </c>
      <c r="V34" s="88">
        <v>24.224124</v>
      </c>
      <c r="W34" s="88">
        <v>22.999397999999999</v>
      </c>
      <c r="X34" s="88">
        <v>21.968531000000002</v>
      </c>
      <c r="Y34" s="88">
        <v>20.743805000000002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10.969598999999995</v>
      </c>
      <c r="D36" s="54">
        <f t="shared" ref="D36:V36" si="34">D37+D43</f>
        <v>10.701782000000005</v>
      </c>
      <c r="E36" s="54">
        <f t="shared" si="34"/>
        <v>8.0266849999999952</v>
      </c>
      <c r="F36" s="54">
        <f t="shared" si="34"/>
        <v>8.3730609999999963</v>
      </c>
      <c r="G36" s="54">
        <f t="shared" si="34"/>
        <v>13.362090999999996</v>
      </c>
      <c r="H36" s="54">
        <f t="shared" si="34"/>
        <v>14.855469000000019</v>
      </c>
      <c r="I36" s="54">
        <f t="shared" si="34"/>
        <v>20.438169000000002</v>
      </c>
      <c r="J36" s="54">
        <f t="shared" si="34"/>
        <v>11.168098000000001</v>
      </c>
      <c r="K36" s="54">
        <f t="shared" si="34"/>
        <v>4.3062700000000049</v>
      </c>
      <c r="L36" s="54">
        <f t="shared" si="34"/>
        <v>0.98110600000000048</v>
      </c>
      <c r="M36" s="54">
        <f t="shared" si="34"/>
        <v>3.6680640000000011</v>
      </c>
      <c r="N36" s="54">
        <f t="shared" si="34"/>
        <v>3.0079150000000041</v>
      </c>
      <c r="O36" s="54">
        <f t="shared" si="34"/>
        <v>5.9272439999999964</v>
      </c>
      <c r="P36" s="54">
        <f t="shared" si="34"/>
        <v>6.9882960000000089</v>
      </c>
      <c r="Q36" s="54">
        <f t="shared" si="34"/>
        <v>6.1729640000000128</v>
      </c>
      <c r="R36" s="54">
        <f t="shared" si="34"/>
        <v>7.0430469999999978</v>
      </c>
      <c r="S36" s="54">
        <f t="shared" si="34"/>
        <v>7.9683490000000248</v>
      </c>
      <c r="T36" s="54">
        <f t="shared" si="34"/>
        <v>7.0039999999999978</v>
      </c>
      <c r="U36" s="54">
        <f t="shared" si="34"/>
        <v>9.136178000000001</v>
      </c>
      <c r="V36" s="54">
        <f t="shared" si="34"/>
        <v>3.0210159999999995</v>
      </c>
      <c r="W36" s="54">
        <f t="shared" ref="W36:Y36" si="35">W37+W43</f>
        <v>18.210474000000001</v>
      </c>
      <c r="X36" s="54">
        <f t="shared" si="35"/>
        <v>7.3850289999999958</v>
      </c>
      <c r="Y36" s="54">
        <f t="shared" si="35"/>
        <v>4.8673889999999957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8.013264999999997</v>
      </c>
      <c r="D37" s="28">
        <f t="shared" ref="D37:V37" si="37">SUM(D38,D39,D42)</f>
        <v>7.8220240000000061</v>
      </c>
      <c r="E37" s="28">
        <f t="shared" si="37"/>
        <v>4.5268029999999939</v>
      </c>
      <c r="F37" s="28">
        <f t="shared" si="37"/>
        <v>6.8512589999999989</v>
      </c>
      <c r="G37" s="28">
        <f t="shared" si="37"/>
        <v>8.9258999999999915</v>
      </c>
      <c r="H37" s="28">
        <f t="shared" si="37"/>
        <v>11.89212000000002</v>
      </c>
      <c r="I37" s="28">
        <f t="shared" si="37"/>
        <v>18.657499000000001</v>
      </c>
      <c r="J37" s="28">
        <f t="shared" si="37"/>
        <v>11.168098000000001</v>
      </c>
      <c r="K37" s="28">
        <f t="shared" si="37"/>
        <v>4.3062700000000049</v>
      </c>
      <c r="L37" s="28">
        <f t="shared" si="37"/>
        <v>0.76187399999999883</v>
      </c>
      <c r="M37" s="28">
        <f t="shared" si="37"/>
        <v>3.6680640000000011</v>
      </c>
      <c r="N37" s="28">
        <f t="shared" si="37"/>
        <v>3.0079150000000041</v>
      </c>
      <c r="O37" s="28">
        <f t="shared" si="37"/>
        <v>4.3928819999999931</v>
      </c>
      <c r="P37" s="28">
        <f t="shared" si="37"/>
        <v>6.8174600000000112</v>
      </c>
      <c r="Q37" s="28">
        <f t="shared" si="37"/>
        <v>4.8267620000000093</v>
      </c>
      <c r="R37" s="28">
        <f t="shared" si="37"/>
        <v>4.6662269999999992</v>
      </c>
      <c r="S37" s="28">
        <f t="shared" si="37"/>
        <v>4.1768990000000201</v>
      </c>
      <c r="T37" s="28">
        <f t="shared" si="37"/>
        <v>6.4141949999999994</v>
      </c>
      <c r="U37" s="28">
        <f t="shared" si="37"/>
        <v>7.937894</v>
      </c>
      <c r="V37" s="28">
        <f t="shared" si="37"/>
        <v>0</v>
      </c>
      <c r="W37" s="28">
        <f t="shared" ref="W37:Y37" si="38">SUM(W38,W39,W42)</f>
        <v>16.888141000000001</v>
      </c>
      <c r="X37" s="28">
        <f t="shared" si="38"/>
        <v>7.3850289999999958</v>
      </c>
      <c r="Y37" s="28">
        <f t="shared" si="38"/>
        <v>4.8673889999999957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5.5506609999999981</v>
      </c>
      <c r="D38" s="108">
        <v>2.8007619999999989</v>
      </c>
      <c r="E38" s="108">
        <v>4.5268029999999939</v>
      </c>
      <c r="F38" s="108">
        <v>0</v>
      </c>
      <c r="G38" s="108">
        <v>2.862450999999993</v>
      </c>
      <c r="H38" s="108">
        <v>4.704919000000011</v>
      </c>
      <c r="I38" s="108">
        <v>13.997268000000005</v>
      </c>
      <c r="J38" s="108">
        <v>0</v>
      </c>
      <c r="K38" s="108">
        <v>0</v>
      </c>
      <c r="L38" s="108">
        <v>0</v>
      </c>
      <c r="M38" s="108">
        <v>0</v>
      </c>
      <c r="N38" s="108">
        <v>2.4313649999999996</v>
      </c>
      <c r="O38" s="108">
        <v>3.0718209999999928</v>
      </c>
      <c r="P38" s="108">
        <v>6.8174600000000112</v>
      </c>
      <c r="Q38" s="108">
        <v>3.8640160000000066</v>
      </c>
      <c r="R38" s="108">
        <v>3.7418779999999998</v>
      </c>
      <c r="S38" s="108">
        <v>1.0708760000000126</v>
      </c>
      <c r="T38" s="108">
        <v>0</v>
      </c>
      <c r="U38" s="108">
        <v>7.937894</v>
      </c>
      <c r="V38" s="108">
        <v>0</v>
      </c>
      <c r="W38" s="108">
        <v>0</v>
      </c>
      <c r="X38" s="108">
        <v>0</v>
      </c>
      <c r="Y38" s="108">
        <v>0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2.4626039999999989</v>
      </c>
      <c r="D39" s="110">
        <f t="shared" ref="D39:V39" si="40">SUM(D40:D41)</f>
        <v>5.0212620000000072</v>
      </c>
      <c r="E39" s="110">
        <f t="shared" si="40"/>
        <v>0</v>
      </c>
      <c r="F39" s="110">
        <f t="shared" si="40"/>
        <v>6.8512589999999989</v>
      </c>
      <c r="G39" s="110">
        <f t="shared" si="40"/>
        <v>6.0634489999999985</v>
      </c>
      <c r="H39" s="110">
        <f t="shared" si="40"/>
        <v>7.1872010000000088</v>
      </c>
      <c r="I39" s="110">
        <f t="shared" si="40"/>
        <v>4.660230999999996</v>
      </c>
      <c r="J39" s="110">
        <f t="shared" si="40"/>
        <v>11.168098000000001</v>
      </c>
      <c r="K39" s="110">
        <f t="shared" si="40"/>
        <v>4.3062700000000049</v>
      </c>
      <c r="L39" s="110">
        <f t="shared" si="40"/>
        <v>0.76187399999999883</v>
      </c>
      <c r="M39" s="110">
        <f t="shared" si="40"/>
        <v>3.6680640000000011</v>
      </c>
      <c r="N39" s="110">
        <f t="shared" si="40"/>
        <v>0.57655000000000456</v>
      </c>
      <c r="O39" s="110">
        <f t="shared" si="40"/>
        <v>1.3210610000000003</v>
      </c>
      <c r="P39" s="110">
        <f t="shared" si="40"/>
        <v>0</v>
      </c>
      <c r="Q39" s="110">
        <f t="shared" si="40"/>
        <v>0.96274600000000277</v>
      </c>
      <c r="R39" s="110">
        <f t="shared" si="40"/>
        <v>0.92434899999999942</v>
      </c>
      <c r="S39" s="110">
        <f t="shared" si="40"/>
        <v>3.1060230000000075</v>
      </c>
      <c r="T39" s="110">
        <f t="shared" si="40"/>
        <v>6.4141949999999994</v>
      </c>
      <c r="U39" s="110">
        <f t="shared" si="40"/>
        <v>0</v>
      </c>
      <c r="V39" s="110">
        <f t="shared" si="40"/>
        <v>0</v>
      </c>
      <c r="W39" s="110">
        <f t="shared" ref="W39:Y39" si="41">SUM(W40:W41)</f>
        <v>16.888141000000001</v>
      </c>
      <c r="X39" s="110">
        <f t="shared" si="41"/>
        <v>7.3850289999999958</v>
      </c>
      <c r="Y39" s="110">
        <f t="shared" si="41"/>
        <v>4.8673889999999957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0.99551799999999702</v>
      </c>
      <c r="D40" s="84">
        <v>2.4348689999999991</v>
      </c>
      <c r="E40" s="84">
        <v>0</v>
      </c>
      <c r="F40" s="84">
        <v>6.6113759999999999</v>
      </c>
      <c r="G40" s="84">
        <v>1.8766109999999969</v>
      </c>
      <c r="H40" s="84">
        <v>4.012198000000005</v>
      </c>
      <c r="I40" s="84">
        <v>2.0893529999999956</v>
      </c>
      <c r="J40" s="84">
        <v>5.9061260000000004</v>
      </c>
      <c r="K40" s="84">
        <v>0</v>
      </c>
      <c r="L40" s="84">
        <v>0.32941399999999987</v>
      </c>
      <c r="M40" s="84">
        <v>0.76889399999999597</v>
      </c>
      <c r="N40" s="84">
        <v>0</v>
      </c>
      <c r="O40" s="84">
        <v>1.3210610000000003</v>
      </c>
      <c r="P40" s="84">
        <v>0</v>
      </c>
      <c r="Q40" s="84">
        <v>0</v>
      </c>
      <c r="R40" s="84">
        <v>0.92434899999999942</v>
      </c>
      <c r="S40" s="84">
        <v>1.5002560000000003</v>
      </c>
      <c r="T40" s="84">
        <v>0</v>
      </c>
      <c r="U40" s="84">
        <v>0</v>
      </c>
      <c r="V40" s="84">
        <v>0</v>
      </c>
      <c r="W40" s="84">
        <v>1.5749510000000022</v>
      </c>
      <c r="X40" s="84">
        <v>6.0520859999999956</v>
      </c>
      <c r="Y40" s="84">
        <v>5.2514999999999645E-2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1.4670860000000019</v>
      </c>
      <c r="D41" s="84">
        <v>2.5863930000000082</v>
      </c>
      <c r="E41" s="84">
        <v>0</v>
      </c>
      <c r="F41" s="84">
        <v>0.23988299999999896</v>
      </c>
      <c r="G41" s="84">
        <v>4.1868380000000016</v>
      </c>
      <c r="H41" s="84">
        <v>3.1750030000000038</v>
      </c>
      <c r="I41" s="84">
        <v>2.5708780000000004</v>
      </c>
      <c r="J41" s="84">
        <v>5.2619720000000001</v>
      </c>
      <c r="K41" s="84">
        <v>4.3062700000000049</v>
      </c>
      <c r="L41" s="84">
        <v>0.43245999999999896</v>
      </c>
      <c r="M41" s="84">
        <v>2.8991700000000051</v>
      </c>
      <c r="N41" s="84">
        <v>0.57655000000000456</v>
      </c>
      <c r="O41" s="84">
        <v>0</v>
      </c>
      <c r="P41" s="84">
        <v>0</v>
      </c>
      <c r="Q41" s="84">
        <v>0.96274600000000277</v>
      </c>
      <c r="R41" s="84">
        <v>0</v>
      </c>
      <c r="S41" s="84">
        <v>1.6057670000000073</v>
      </c>
      <c r="T41" s="84">
        <v>6.4141949999999994</v>
      </c>
      <c r="U41" s="84">
        <v>0</v>
      </c>
      <c r="V41" s="84">
        <v>0</v>
      </c>
      <c r="W41" s="84">
        <v>15.313189999999999</v>
      </c>
      <c r="X41" s="84">
        <v>1.3329430000000002</v>
      </c>
      <c r="Y41" s="84">
        <v>4.8148739999999961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2.9563339999999974</v>
      </c>
      <c r="D43" s="28">
        <f t="shared" ref="D43:V43" si="43">SUM(D44:D45)</f>
        <v>2.8797579999999989</v>
      </c>
      <c r="E43" s="28">
        <f t="shared" si="43"/>
        <v>3.4998820000000013</v>
      </c>
      <c r="F43" s="28">
        <f t="shared" si="43"/>
        <v>1.5218019999999974</v>
      </c>
      <c r="G43" s="28">
        <f t="shared" si="43"/>
        <v>4.4361910000000044</v>
      </c>
      <c r="H43" s="28">
        <f t="shared" si="43"/>
        <v>2.9633489999999991</v>
      </c>
      <c r="I43" s="28">
        <f t="shared" si="43"/>
        <v>1.7806700000000006</v>
      </c>
      <c r="J43" s="28">
        <f t="shared" si="43"/>
        <v>0</v>
      </c>
      <c r="K43" s="28">
        <f t="shared" si="43"/>
        <v>0</v>
      </c>
      <c r="L43" s="28">
        <f t="shared" si="43"/>
        <v>0.21923200000000165</v>
      </c>
      <c r="M43" s="28">
        <f t="shared" si="43"/>
        <v>0</v>
      </c>
      <c r="N43" s="28">
        <f t="shared" si="43"/>
        <v>0</v>
      </c>
      <c r="O43" s="28">
        <f t="shared" si="43"/>
        <v>1.5343620000000033</v>
      </c>
      <c r="P43" s="28">
        <f t="shared" si="43"/>
        <v>0.17083599999999777</v>
      </c>
      <c r="Q43" s="28">
        <f t="shared" si="43"/>
        <v>1.3462020000000035</v>
      </c>
      <c r="R43" s="28">
        <f t="shared" si="43"/>
        <v>2.3768199999999986</v>
      </c>
      <c r="S43" s="28">
        <f t="shared" si="43"/>
        <v>3.7914500000000046</v>
      </c>
      <c r="T43" s="28">
        <f t="shared" si="43"/>
        <v>0.58980499999999836</v>
      </c>
      <c r="U43" s="28">
        <f t="shared" si="43"/>
        <v>1.198284000000001</v>
      </c>
      <c r="V43" s="28">
        <f t="shared" si="43"/>
        <v>3.0210159999999995</v>
      </c>
      <c r="W43" s="28">
        <f t="shared" ref="W43:Y43" si="44">SUM(W44:W45)</f>
        <v>1.3223330000000004</v>
      </c>
      <c r="X43" s="28">
        <f t="shared" si="44"/>
        <v>0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2.2076499999999983</v>
      </c>
      <c r="D44" s="84">
        <v>0.62411999999999956</v>
      </c>
      <c r="E44" s="84">
        <v>1.6796250000000015</v>
      </c>
      <c r="F44" s="84">
        <v>0.98812599999999939</v>
      </c>
      <c r="G44" s="84">
        <v>1.9650049999999997</v>
      </c>
      <c r="H44" s="84">
        <v>1.0193010000000005</v>
      </c>
      <c r="I44" s="84">
        <v>1.7195830000000001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0.1665530000000004</v>
      </c>
      <c r="S44" s="84">
        <v>0.30530900000000116</v>
      </c>
      <c r="T44" s="84">
        <v>0</v>
      </c>
      <c r="U44" s="84">
        <v>0</v>
      </c>
      <c r="V44" s="84">
        <v>1.074501999999999</v>
      </c>
      <c r="W44" s="84">
        <v>1.3223330000000004</v>
      </c>
      <c r="X44" s="84">
        <v>0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0.74868399999999902</v>
      </c>
      <c r="D45" s="86">
        <v>2.2556379999999994</v>
      </c>
      <c r="E45" s="86">
        <v>1.8202569999999998</v>
      </c>
      <c r="F45" s="86">
        <v>0.53367599999999804</v>
      </c>
      <c r="G45" s="86">
        <v>2.4711860000000048</v>
      </c>
      <c r="H45" s="86">
        <v>1.9440479999999987</v>
      </c>
      <c r="I45" s="86">
        <v>6.1087000000000558E-2</v>
      </c>
      <c r="J45" s="86">
        <v>0</v>
      </c>
      <c r="K45" s="86">
        <v>0</v>
      </c>
      <c r="L45" s="86">
        <v>0.21923200000000165</v>
      </c>
      <c r="M45" s="86">
        <v>0</v>
      </c>
      <c r="N45" s="86">
        <v>0</v>
      </c>
      <c r="O45" s="86">
        <v>1.5343620000000033</v>
      </c>
      <c r="P45" s="86">
        <v>0.17083599999999777</v>
      </c>
      <c r="Q45" s="86">
        <v>1.3462020000000035</v>
      </c>
      <c r="R45" s="86">
        <v>2.2102669999999982</v>
      </c>
      <c r="S45" s="86">
        <v>3.4861410000000035</v>
      </c>
      <c r="T45" s="86">
        <v>0.58980499999999836</v>
      </c>
      <c r="U45" s="86">
        <v>1.198284000000001</v>
      </c>
      <c r="V45" s="86">
        <v>1.9465140000000005</v>
      </c>
      <c r="W45" s="86">
        <v>0</v>
      </c>
      <c r="X45" s="86">
        <v>0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89.0660018798648</v>
      </c>
      <c r="C50" s="29">
        <f t="shared" si="45"/>
        <v>88.368607501982595</v>
      </c>
      <c r="D50" s="29">
        <f t="shared" si="45"/>
        <v>84.438208252910869</v>
      </c>
      <c r="E50" s="29">
        <f t="shared" si="45"/>
        <v>84.637822193679227</v>
      </c>
      <c r="F50" s="29">
        <f t="shared" si="45"/>
        <v>82.554963579528575</v>
      </c>
      <c r="G50" s="29">
        <f t="shared" si="45"/>
        <v>83.196632881321264</v>
      </c>
      <c r="H50" s="29">
        <f t="shared" si="45"/>
        <v>85.088389128526813</v>
      </c>
      <c r="I50" s="29">
        <f t="shared" si="45"/>
        <v>94.190633296593276</v>
      </c>
      <c r="J50" s="29">
        <f t="shared" si="45"/>
        <v>97.640361179145671</v>
      </c>
      <c r="K50" s="29">
        <f t="shared" ref="K50:V50" si="46">IF(K4=0,0,K4/K15)</f>
        <v>100.07042154499008</v>
      </c>
      <c r="L50" s="29">
        <f t="shared" si="46"/>
        <v>97.788816377641581</v>
      </c>
      <c r="M50" s="29">
        <f t="shared" si="46"/>
        <v>86.479252864947384</v>
      </c>
      <c r="N50" s="29">
        <f t="shared" si="46"/>
        <v>71.191297914737234</v>
      </c>
      <c r="O50" s="29">
        <f t="shared" si="46"/>
        <v>68.934484402240415</v>
      </c>
      <c r="P50" s="29">
        <f t="shared" si="46"/>
        <v>72.822227983391855</v>
      </c>
      <c r="Q50" s="29">
        <f t="shared" si="46"/>
        <v>75.11623467401553</v>
      </c>
      <c r="R50" s="29">
        <f t="shared" si="46"/>
        <v>70.076246399657919</v>
      </c>
      <c r="S50" s="29">
        <f t="shared" si="46"/>
        <v>65.75696496909012</v>
      </c>
      <c r="T50" s="29">
        <f t="shared" si="46"/>
        <v>66.426811184683444</v>
      </c>
      <c r="U50" s="29">
        <f t="shared" si="46"/>
        <v>63.088100161694641</v>
      </c>
      <c r="V50" s="29">
        <f t="shared" si="46"/>
        <v>50.775890244820779</v>
      </c>
      <c r="W50" s="29">
        <f t="shared" ref="W50:Y50" si="47">IF(W4=0,0,W4/W15)</f>
        <v>47.152407533618799</v>
      </c>
      <c r="X50" s="29">
        <f t="shared" si="47"/>
        <v>64.053276551535674</v>
      </c>
      <c r="Y50" s="29">
        <f t="shared" si="47"/>
        <v>81.672526429795042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80.742338883652934</v>
      </c>
      <c r="C51" s="115">
        <f t="shared" si="48"/>
        <v>80.15861974090916</v>
      </c>
      <c r="D51" s="115">
        <f t="shared" si="48"/>
        <v>79.566891912371702</v>
      </c>
      <c r="E51" s="115">
        <f t="shared" si="48"/>
        <v>78.64423454295931</v>
      </c>
      <c r="F51" s="115">
        <f t="shared" si="48"/>
        <v>78.82950136750955</v>
      </c>
      <c r="G51" s="115">
        <f t="shared" si="48"/>
        <v>78.343554365726703</v>
      </c>
      <c r="H51" s="115">
        <f t="shared" si="48"/>
        <v>78.820109328627709</v>
      </c>
      <c r="I51" s="115">
        <f t="shared" si="48"/>
        <v>78.494303559626033</v>
      </c>
      <c r="J51" s="115">
        <f t="shared" si="48"/>
        <v>78.462698959212105</v>
      </c>
      <c r="K51" s="115">
        <f t="shared" ref="K51:V51" si="49">IF(K5=0,0,K5/K16)</f>
        <v>78.015549520353616</v>
      </c>
      <c r="L51" s="115">
        <f t="shared" si="49"/>
        <v>77.990130560046396</v>
      </c>
      <c r="M51" s="115">
        <f t="shared" si="49"/>
        <v>78.121651223605554</v>
      </c>
      <c r="N51" s="115">
        <f t="shared" si="49"/>
        <v>78.012155177367461</v>
      </c>
      <c r="O51" s="115">
        <f t="shared" si="49"/>
        <v>78.197209689198814</v>
      </c>
      <c r="P51" s="115">
        <f t="shared" si="49"/>
        <v>78.409461454084152</v>
      </c>
      <c r="Q51" s="115">
        <f t="shared" si="49"/>
        <v>79.241644194204298</v>
      </c>
      <c r="R51" s="115">
        <f t="shared" si="49"/>
        <v>78.714883160188606</v>
      </c>
      <c r="S51" s="115">
        <f t="shared" si="49"/>
        <v>79.649114564272168</v>
      </c>
      <c r="T51" s="115">
        <f t="shared" si="49"/>
        <v>80.674417490195026</v>
      </c>
      <c r="U51" s="115">
        <f t="shared" si="49"/>
        <v>70.616748768472917</v>
      </c>
      <c r="V51" s="115">
        <f t="shared" si="49"/>
        <v>66.24833737579219</v>
      </c>
      <c r="W51" s="115">
        <f t="shared" ref="W51:Y51" si="50">IF(W5=0,0,W5/W16)</f>
        <v>61.397015583651871</v>
      </c>
      <c r="X51" s="115">
        <f t="shared" si="50"/>
        <v>81.332541920166221</v>
      </c>
      <c r="Y51" s="115">
        <f t="shared" si="50"/>
        <v>85.923682841643739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92.923560527886011</v>
      </c>
      <c r="C52" s="116">
        <f t="shared" si="51"/>
        <v>92.424732187640998</v>
      </c>
      <c r="D52" s="116">
        <f t="shared" si="51"/>
        <v>86.816636408666767</v>
      </c>
      <c r="E52" s="116">
        <f t="shared" si="51"/>
        <v>87.804189715229271</v>
      </c>
      <c r="F52" s="116">
        <f t="shared" si="51"/>
        <v>84.359368486134287</v>
      </c>
      <c r="G52" s="116">
        <f t="shared" si="51"/>
        <v>85.498010795282696</v>
      </c>
      <c r="H52" s="116">
        <f t="shared" si="51"/>
        <v>88.053482470719885</v>
      </c>
      <c r="I52" s="116">
        <f t="shared" si="51"/>
        <v>102.83096334739268</v>
      </c>
      <c r="J52" s="116">
        <f t="shared" si="51"/>
        <v>106.84641330279301</v>
      </c>
      <c r="K52" s="116">
        <f t="shared" ref="K52:V52" si="52">IF(K6=0,0,K6/K17)</f>
        <v>110.0649207474757</v>
      </c>
      <c r="L52" s="116">
        <f t="shared" si="52"/>
        <v>106.46672917838282</v>
      </c>
      <c r="M52" s="116">
        <f t="shared" si="52"/>
        <v>89.909026544613852</v>
      </c>
      <c r="N52" s="116">
        <f t="shared" si="52"/>
        <v>68.302565930780133</v>
      </c>
      <c r="O52" s="116">
        <f t="shared" si="52"/>
        <v>64.575755603750096</v>
      </c>
      <c r="P52" s="116">
        <f t="shared" si="52"/>
        <v>69.703980650748107</v>
      </c>
      <c r="Q52" s="116">
        <f t="shared" si="52"/>
        <v>72.71076884054186</v>
      </c>
      <c r="R52" s="116">
        <f t="shared" si="52"/>
        <v>64.836514078594618</v>
      </c>
      <c r="S52" s="116">
        <f t="shared" si="52"/>
        <v>57.475871511879198</v>
      </c>
      <c r="T52" s="116">
        <f t="shared" si="52"/>
        <v>58.463121342214052</v>
      </c>
      <c r="U52" s="116">
        <f t="shared" si="52"/>
        <v>58.358368233754831</v>
      </c>
      <c r="V52" s="116">
        <f t="shared" si="52"/>
        <v>42.11848238373728</v>
      </c>
      <c r="W52" s="116">
        <f t="shared" ref="W52:Y52" si="53">IF(W6=0,0,W6/W17)</f>
        <v>40.830907125115267</v>
      </c>
      <c r="X52" s="116">
        <f t="shared" si="53"/>
        <v>58.550546294794664</v>
      </c>
      <c r="Y52" s="116">
        <f t="shared" si="53"/>
        <v>80.52018577947139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85.588647408838668</v>
      </c>
      <c r="C53" s="87">
        <f t="shared" si="54"/>
        <v>83.008930572390895</v>
      </c>
      <c r="D53" s="87">
        <f t="shared" si="54"/>
        <v>77.890882058500623</v>
      </c>
      <c r="E53" s="87">
        <f t="shared" si="54"/>
        <v>79.384188857340149</v>
      </c>
      <c r="F53" s="87">
        <f t="shared" si="54"/>
        <v>72.430803589700702</v>
      </c>
      <c r="G53" s="87">
        <f t="shared" si="54"/>
        <v>79.591740292031091</v>
      </c>
      <c r="H53" s="87">
        <f t="shared" si="54"/>
        <v>80.726829428556357</v>
      </c>
      <c r="I53" s="87">
        <f t="shared" si="54"/>
        <v>94.280207736617385</v>
      </c>
      <c r="J53" s="87">
        <f t="shared" si="54"/>
        <v>99.018732303874955</v>
      </c>
      <c r="K53" s="87">
        <f t="shared" ref="K53:V53" si="55">IF(K7=0,0,K7/K18)</f>
        <v>106.33876502559085</v>
      </c>
      <c r="L53" s="87">
        <f t="shared" si="55"/>
        <v>102.31007327987885</v>
      </c>
      <c r="M53" s="87">
        <f t="shared" si="55"/>
        <v>89.214598642794229</v>
      </c>
      <c r="N53" s="87">
        <f t="shared" si="55"/>
        <v>68.348713037591082</v>
      </c>
      <c r="O53" s="87">
        <f t="shared" si="55"/>
        <v>61.217592174642114</v>
      </c>
      <c r="P53" s="87">
        <f t="shared" si="55"/>
        <v>65.984323208677665</v>
      </c>
      <c r="Q53" s="87">
        <f t="shared" si="55"/>
        <v>71.675786422276872</v>
      </c>
      <c r="R53" s="87">
        <f t="shared" si="55"/>
        <v>61.426275558874977</v>
      </c>
      <c r="S53" s="87">
        <f t="shared" si="55"/>
        <v>54.076217576792835</v>
      </c>
      <c r="T53" s="87">
        <f t="shared" si="55"/>
        <v>55.343153317473408</v>
      </c>
      <c r="U53" s="87">
        <f t="shared" si="55"/>
        <v>53.005968808660569</v>
      </c>
      <c r="V53" s="87">
        <f t="shared" si="55"/>
        <v>41.439630003844428</v>
      </c>
      <c r="W53" s="87">
        <f t="shared" ref="W53:Y53" si="56">IF(W7=0,0,W7/W18)</f>
        <v>42.840854368428971</v>
      </c>
      <c r="X53" s="87">
        <f t="shared" si="56"/>
        <v>48.83076384949829</v>
      </c>
      <c r="Y53" s="87">
        <f t="shared" si="56"/>
        <v>58.777920346725594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100.41253754241244</v>
      </c>
      <c r="C54" s="87">
        <f t="shared" si="57"/>
        <v>101.89144655291558</v>
      </c>
      <c r="D54" s="87">
        <f t="shared" si="57"/>
        <v>95.716987867770442</v>
      </c>
      <c r="E54" s="87">
        <f t="shared" si="57"/>
        <v>96.20873046249433</v>
      </c>
      <c r="F54" s="87">
        <f t="shared" si="57"/>
        <v>97.965632038611929</v>
      </c>
      <c r="G54" s="87">
        <f t="shared" si="57"/>
        <v>91.857999504965449</v>
      </c>
      <c r="H54" s="87">
        <f t="shared" si="57"/>
        <v>96.014856934324641</v>
      </c>
      <c r="I54" s="87">
        <f t="shared" si="57"/>
        <v>111.98113545455897</v>
      </c>
      <c r="J54" s="87">
        <f t="shared" si="57"/>
        <v>115.24400327139973</v>
      </c>
      <c r="K54" s="87">
        <f t="shared" ref="K54:V54" si="58">IF(K8=0,0,K8/K19)</f>
        <v>113.5650647644528</v>
      </c>
      <c r="L54" s="87">
        <f t="shared" si="58"/>
        <v>110.3431613873926</v>
      </c>
      <c r="M54" s="87">
        <f t="shared" si="58"/>
        <v>90.529361763998963</v>
      </c>
      <c r="N54" s="87">
        <f t="shared" si="58"/>
        <v>68.262405939021548</v>
      </c>
      <c r="O54" s="87">
        <f t="shared" si="58"/>
        <v>68.02015063895891</v>
      </c>
      <c r="P54" s="87">
        <f t="shared" si="58"/>
        <v>73.317568307556201</v>
      </c>
      <c r="Q54" s="87">
        <f t="shared" si="58"/>
        <v>73.569202163062741</v>
      </c>
      <c r="R54" s="87">
        <f t="shared" si="58"/>
        <v>67.757041492136523</v>
      </c>
      <c r="S54" s="87">
        <f t="shared" si="58"/>
        <v>60.36680076880458</v>
      </c>
      <c r="T54" s="87">
        <f t="shared" si="58"/>
        <v>60.526241245655342</v>
      </c>
      <c r="U54" s="87">
        <f t="shared" si="58"/>
        <v>61.884441929901719</v>
      </c>
      <c r="V54" s="87">
        <f t="shared" si="58"/>
        <v>42.536766045301768</v>
      </c>
      <c r="W54" s="87">
        <f t="shared" ref="W54:Y54" si="59">IF(W8=0,0,W8/W19)</f>
        <v>39.871184106189617</v>
      </c>
      <c r="X54" s="87">
        <f t="shared" si="59"/>
        <v>63.931262344470206</v>
      </c>
      <c r="Y54" s="87">
        <f t="shared" si="59"/>
        <v>91.382926912642688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:Y55" si="62">IF(W9=0,0,W9/W20)</f>
        <v>0</v>
      </c>
      <c r="X55" s="117">
        <f t="shared" si="62"/>
        <v>0</v>
      </c>
      <c r="Y55" s="117">
        <f t="shared" si="62"/>
        <v>0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460.91813432832191</v>
      </c>
      <c r="C56" s="29">
        <f t="shared" si="63"/>
        <v>480.6864713028325</v>
      </c>
      <c r="D56" s="29">
        <f t="shared" si="63"/>
        <v>465.91230470712219</v>
      </c>
      <c r="E56" s="29">
        <f t="shared" si="63"/>
        <v>471.11595709345568</v>
      </c>
      <c r="F56" s="29">
        <f t="shared" si="63"/>
        <v>459.32769285955624</v>
      </c>
      <c r="G56" s="29">
        <f t="shared" si="63"/>
        <v>460.30810688755048</v>
      </c>
      <c r="H56" s="29">
        <f t="shared" si="63"/>
        <v>501.07870726248126</v>
      </c>
      <c r="I56" s="29">
        <f t="shared" si="63"/>
        <v>525.89090582746815</v>
      </c>
      <c r="J56" s="29">
        <f t="shared" si="63"/>
        <v>518.04210540644954</v>
      </c>
      <c r="K56" s="29">
        <f t="shared" ref="K56:V56" si="64">IF(K10=0,0,K10/K21)</f>
        <v>495.97004961337899</v>
      </c>
      <c r="L56" s="29">
        <f t="shared" si="64"/>
        <v>450.2104826315948</v>
      </c>
      <c r="M56" s="29">
        <f t="shared" si="64"/>
        <v>444.61737531711009</v>
      </c>
      <c r="N56" s="29">
        <f t="shared" si="64"/>
        <v>452.85604545083976</v>
      </c>
      <c r="O56" s="29">
        <f t="shared" si="64"/>
        <v>390.40900161701597</v>
      </c>
      <c r="P56" s="29">
        <f t="shared" si="64"/>
        <v>410.43075663470569</v>
      </c>
      <c r="Q56" s="29">
        <f t="shared" si="64"/>
        <v>431.11788055437188</v>
      </c>
      <c r="R56" s="29">
        <f t="shared" si="64"/>
        <v>390.96196605569378</v>
      </c>
      <c r="S56" s="29">
        <f t="shared" si="64"/>
        <v>423.02440119389553</v>
      </c>
      <c r="T56" s="29">
        <f t="shared" si="64"/>
        <v>468.63177739226512</v>
      </c>
      <c r="U56" s="29">
        <f t="shared" si="64"/>
        <v>483.3440636866348</v>
      </c>
      <c r="V56" s="29">
        <f t="shared" si="64"/>
        <v>506.04448869242378</v>
      </c>
      <c r="W56" s="29">
        <f t="shared" ref="W56:Y56" si="65">IF(W10=0,0,W10/W21)</f>
        <v>551.52523971902303</v>
      </c>
      <c r="X56" s="29">
        <f t="shared" si="65"/>
        <v>583.04448748435584</v>
      </c>
      <c r="Y56" s="29">
        <f t="shared" si="65"/>
        <v>622.57731106173355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650.38938439704384</v>
      </c>
      <c r="C57" s="87">
        <f t="shared" si="66"/>
        <v>570.83388410698876</v>
      </c>
      <c r="D57" s="87">
        <f t="shared" si="66"/>
        <v>580.31297227356652</v>
      </c>
      <c r="E57" s="87">
        <f t="shared" si="66"/>
        <v>564.63150413970618</v>
      </c>
      <c r="F57" s="87">
        <f t="shared" si="66"/>
        <v>515.68580693180922</v>
      </c>
      <c r="G57" s="87">
        <f t="shared" si="66"/>
        <v>521.26365432212322</v>
      </c>
      <c r="H57" s="87">
        <f t="shared" si="66"/>
        <v>581.81616403416388</v>
      </c>
      <c r="I57" s="87">
        <f t="shared" si="66"/>
        <v>568.03680052660525</v>
      </c>
      <c r="J57" s="87">
        <f t="shared" si="66"/>
        <v>583.16846374592012</v>
      </c>
      <c r="K57" s="87">
        <f t="shared" ref="K57:V57" si="67">IF(K11=0,0,K11/K22)</f>
        <v>570.08784431960294</v>
      </c>
      <c r="L57" s="87">
        <f t="shared" si="67"/>
        <v>525.46431259602673</v>
      </c>
      <c r="M57" s="87">
        <f t="shared" si="67"/>
        <v>512.44691345166177</v>
      </c>
      <c r="N57" s="87">
        <f t="shared" si="67"/>
        <v>508.56783453879069</v>
      </c>
      <c r="O57" s="87">
        <f t="shared" si="67"/>
        <v>455.57519703608062</v>
      </c>
      <c r="P57" s="87">
        <f t="shared" si="67"/>
        <v>513.3107528308301</v>
      </c>
      <c r="Q57" s="87">
        <f t="shared" si="67"/>
        <v>561.73640591850915</v>
      </c>
      <c r="R57" s="87">
        <f t="shared" si="67"/>
        <v>520.76988512222863</v>
      </c>
      <c r="S57" s="87">
        <f t="shared" si="67"/>
        <v>606.04400347738761</v>
      </c>
      <c r="T57" s="87">
        <f t="shared" si="67"/>
        <v>690.76751894041206</v>
      </c>
      <c r="U57" s="87">
        <f t="shared" si="67"/>
        <v>711.65457878884934</v>
      </c>
      <c r="V57" s="87">
        <f t="shared" si="67"/>
        <v>726.05851664223064</v>
      </c>
      <c r="W57" s="87">
        <f t="shared" ref="W57:Y57" si="68">IF(W11=0,0,W11/W22)</f>
        <v>630.48819857801527</v>
      </c>
      <c r="X57" s="87">
        <f t="shared" si="68"/>
        <v>779.4136723274172</v>
      </c>
      <c r="Y57" s="87">
        <f t="shared" si="68"/>
        <v>945.24216169664544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350.32253000131033</v>
      </c>
      <c r="C58" s="88">
        <f t="shared" si="69"/>
        <v>416.20070084455244</v>
      </c>
      <c r="D58" s="88">
        <f t="shared" si="69"/>
        <v>392.40661923522919</v>
      </c>
      <c r="E58" s="88">
        <f t="shared" si="69"/>
        <v>408.54854692513186</v>
      </c>
      <c r="F58" s="88">
        <f t="shared" si="69"/>
        <v>419.66882939095865</v>
      </c>
      <c r="G58" s="88">
        <f t="shared" si="69"/>
        <v>416.86761564981953</v>
      </c>
      <c r="H58" s="88">
        <f t="shared" si="69"/>
        <v>445.30892503360531</v>
      </c>
      <c r="I58" s="88">
        <f t="shared" si="69"/>
        <v>493.240958636931</v>
      </c>
      <c r="J58" s="88">
        <f t="shared" si="69"/>
        <v>468.99482237370626</v>
      </c>
      <c r="K58" s="88">
        <f t="shared" ref="K58:V58" si="70">IF(K12=0,0,K12/K23)</f>
        <v>438.97631333555785</v>
      </c>
      <c r="L58" s="88">
        <f t="shared" si="70"/>
        <v>395.29792053261389</v>
      </c>
      <c r="M58" s="88">
        <f t="shared" si="70"/>
        <v>398.49814866012287</v>
      </c>
      <c r="N58" s="88">
        <f t="shared" si="70"/>
        <v>413.41002498529519</v>
      </c>
      <c r="O58" s="88">
        <f t="shared" si="70"/>
        <v>348.17961127707838</v>
      </c>
      <c r="P58" s="88">
        <f t="shared" si="70"/>
        <v>346.93209789831968</v>
      </c>
      <c r="Q58" s="88">
        <f t="shared" si="70"/>
        <v>365.84232002486084</v>
      </c>
      <c r="R58" s="88">
        <f t="shared" si="70"/>
        <v>328.81151229642228</v>
      </c>
      <c r="S58" s="88">
        <f t="shared" si="70"/>
        <v>348.21371481428002</v>
      </c>
      <c r="T58" s="88">
        <f t="shared" si="70"/>
        <v>394.15734892831318</v>
      </c>
      <c r="U58" s="88">
        <f t="shared" si="70"/>
        <v>408.74260956536591</v>
      </c>
      <c r="V58" s="88">
        <f t="shared" si="70"/>
        <v>431.802728665774</v>
      </c>
      <c r="W58" s="88">
        <f t="shared" ref="W58:Y58" si="71">IF(W12=0,0,W12/W23)</f>
        <v>514.75348250571233</v>
      </c>
      <c r="X58" s="88">
        <f t="shared" si="71"/>
        <v>508.89808453487024</v>
      </c>
      <c r="Y58" s="88">
        <f t="shared" si="71"/>
        <v>532.93548703192516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350.97949807785886</v>
      </c>
      <c r="C61" s="29">
        <f t="shared" ref="C61" si="73">IF(C26=0,0,(C62*C27+C64*C29+C65*C30+C66*C31)/(C27+C29+C30+C31))</f>
        <v>352.20174480518028</v>
      </c>
      <c r="D61" s="29">
        <f t="shared" ref="D61" si="74">IF(D26=0,0,(D62*D27+D64*D29+D65*D30+D66*D31)/(D27+D29+D30+D31))</f>
        <v>351.97496000542611</v>
      </c>
      <c r="E61" s="29">
        <f t="shared" ref="E61" si="75">IF(E26=0,0,(E62*E27+E64*E29+E65*E30+E66*E31)/(E27+E29+E30+E31))</f>
        <v>353.49915611036658</v>
      </c>
      <c r="F61" s="29">
        <f t="shared" ref="F61" si="76">IF(F26=0,0,(F62*F27+F64*F29+F65*F30+F66*F31)/(F27+F29+F30+F31))</f>
        <v>351.82083969310941</v>
      </c>
      <c r="G61" s="29">
        <f t="shared" ref="G61" si="77">IF(G26=0,0,(G62*G27+G64*G29+G65*G30+G66*G31)/(G27+G29+G30+G31))</f>
        <v>351.41650852974561</v>
      </c>
      <c r="H61" s="29">
        <f t="shared" ref="H61" si="78">IF(H26=0,0,(H62*H27+H64*H29+H65*H30+H66*H31)/(H27+H29+H30+H31))</f>
        <v>351.36904781968542</v>
      </c>
      <c r="I61" s="29">
        <f t="shared" ref="I61" si="79">IF(I26=0,0,(I62*I27+I64*I29+I65*I30+I66*I31)/(I27+I29+I30+I31))</f>
        <v>354.30238539887796</v>
      </c>
      <c r="J61" s="29">
        <f t="shared" ref="J61" si="80">IF(J26=0,0,(J62*J27+J64*J29+J65*J30+J66*J31)/(J27+J29+J30+J31))</f>
        <v>351.6499604679471</v>
      </c>
      <c r="K61" s="29">
        <f t="shared" ref="K61" si="81">IF(K26=0,0,(K62*K27+K64*K29+K65*K30+K66*K31)/(K27+K29+K30+K31))</f>
        <v>350.55478953128886</v>
      </c>
      <c r="L61" s="29">
        <f t="shared" ref="L61" si="82">IF(L26=0,0,(L62*L27+L64*L29+L65*L30+L66*L31)/(L27+L29+L30+L31))</f>
        <v>349.92777269601061</v>
      </c>
      <c r="M61" s="29">
        <f t="shared" ref="M61" si="83">IF(M26=0,0,(M62*M27+M64*M29+M65*M30+M66*M31)/(M27+M29+M30+M31))</f>
        <v>348.70499358727147</v>
      </c>
      <c r="N61" s="29">
        <f t="shared" ref="N61" si="84">IF(N26=0,0,(N62*N27+N64*N29+N65*N30+N66*N31)/(N27+N29+N30+N31))</f>
        <v>349.2874820840313</v>
      </c>
      <c r="O61" s="29">
        <f t="shared" ref="O61" si="85">IF(O26=0,0,(O62*O27+O64*O29+O65*O30+O66*O31)/(O27+O29+O30+O31))</f>
        <v>350.44966401311348</v>
      </c>
      <c r="P61" s="29">
        <f t="shared" ref="P61" si="86">IF(P26=0,0,(P62*P27+P64*P29+P65*P30+P66*P31)/(P27+P29+P30+P31))</f>
        <v>353.67691537019959</v>
      </c>
      <c r="Q61" s="29">
        <f t="shared" ref="Q61" si="87">IF(Q26=0,0,(Q62*Q27+Q64*Q29+Q65*Q30+Q66*Q31)/(Q27+Q29+Q30+Q31))</f>
        <v>355.27898291685352</v>
      </c>
      <c r="R61" s="29">
        <f t="shared" ref="R61" si="88">IF(R26=0,0,(R62*R27+R64*R29+R65*R30+R66*R31)/(R27+R29+R30+R31))</f>
        <v>356.21496920585855</v>
      </c>
      <c r="S61" s="29">
        <f t="shared" ref="S61" si="89">IF(S26=0,0,(S62*S27+S64*S29+S65*S30+S66*S31)/(S27+S29+S30+S31))</f>
        <v>355.87088213146524</v>
      </c>
      <c r="T61" s="29">
        <f t="shared" ref="T61" si="90">IF(T26=0,0,(T62*T27+T64*T29+T65*T30+T66*T31)/(T27+T29+T30+T31))</f>
        <v>354.42152900937344</v>
      </c>
      <c r="U61" s="29">
        <f t="shared" ref="U61" si="91">IF(U26=0,0,(U62*U27+U64*U29+U65*U30+U66*U31)/(U27+U29+U30+U31))</f>
        <v>356.91231293307089</v>
      </c>
      <c r="V61" s="29">
        <f t="shared" ref="V61" si="92">IF(V26=0,0,(V62*V27+V64*V29+V65*V30+V66*V31)/(V27+V29+V30+V31))</f>
        <v>357.53842338875882</v>
      </c>
      <c r="W61" s="29">
        <f t="shared" ref="W61:Y61" si="93">IF(W26=0,0,(W62*W27+W64*W29+W65*W30+W66*W31)/(W27+W29+W30+W31))</f>
        <v>352.30598601663701</v>
      </c>
      <c r="X61" s="29">
        <f t="shared" si="93"/>
        <v>349.43621391764026</v>
      </c>
      <c r="Y61" s="29">
        <f t="shared" si="93"/>
        <v>346.99240681873908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320.00000000000006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320.00000000000006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319.99999999999994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X66" s="117">
        <v>0</v>
      </c>
      <c r="Y66" s="117">
        <v>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2099.9999999999995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2100.0000000000005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2099.9999999999995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2099.9999999999995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2100.0000000000005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0.25376411547579059</v>
      </c>
      <c r="C72" s="30">
        <f t="shared" ref="C72:J72" si="138">IF(C50=0,0,C50/C61)</f>
        <v>0.25090337797975282</v>
      </c>
      <c r="D72" s="30">
        <f t="shared" si="138"/>
        <v>0.23989833893754589</v>
      </c>
      <c r="E72" s="30">
        <f t="shared" si="138"/>
        <v>0.23942864001421918</v>
      </c>
      <c r="F72" s="30">
        <f t="shared" si="138"/>
        <v>0.234650578548845</v>
      </c>
      <c r="G72" s="30">
        <f t="shared" si="138"/>
        <v>0.2367465126479085</v>
      </c>
      <c r="H72" s="30">
        <f t="shared" si="138"/>
        <v>0.24216244901626119</v>
      </c>
      <c r="I72" s="30">
        <f t="shared" si="138"/>
        <v>0.26584814886457031</v>
      </c>
      <c r="J72" s="30">
        <f t="shared" si="138"/>
        <v>0.27766350677023777</v>
      </c>
      <c r="K72" s="30">
        <f t="shared" ref="K72:V72" si="139">IF(K50=0,0,K50/K61)</f>
        <v>0.28546299903301786</v>
      </c>
      <c r="L72" s="30">
        <f t="shared" si="139"/>
        <v>0.27945428744974959</v>
      </c>
      <c r="M72" s="30">
        <f t="shared" si="139"/>
        <v>0.24800118855568942</v>
      </c>
      <c r="N72" s="30">
        <f t="shared" si="139"/>
        <v>0.20381863526849808</v>
      </c>
      <c r="O72" s="30">
        <f t="shared" si="139"/>
        <v>0.19670295474919033</v>
      </c>
      <c r="P72" s="30">
        <f t="shared" si="139"/>
        <v>0.2059004272505815</v>
      </c>
      <c r="Q72" s="30">
        <f t="shared" si="139"/>
        <v>0.21142887219871123</v>
      </c>
      <c r="R72" s="30">
        <f t="shared" si="139"/>
        <v>0.19672459738535153</v>
      </c>
      <c r="S72" s="30">
        <f t="shared" si="139"/>
        <v>0.18477759285964365</v>
      </c>
      <c r="T72" s="30">
        <f t="shared" si="139"/>
        <v>0.18742318326527688</v>
      </c>
      <c r="U72" s="30">
        <f t="shared" si="139"/>
        <v>0.17676078374333104</v>
      </c>
      <c r="V72" s="30">
        <f t="shared" si="139"/>
        <v>0.14201519871225454</v>
      </c>
      <c r="W72" s="30">
        <f t="shared" ref="W72:Y72" si="140">IF(W50=0,0,W50/W61)</f>
        <v>0.13383935954863996</v>
      </c>
      <c r="X72" s="30">
        <f t="shared" si="140"/>
        <v>0.18330463186231921</v>
      </c>
      <c r="Y72" s="30">
        <f t="shared" si="140"/>
        <v>0.23537266183596606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0.20185584720913233</v>
      </c>
      <c r="C73" s="118">
        <f t="shared" si="141"/>
        <v>0.20039654935227291</v>
      </c>
      <c r="D73" s="118">
        <f t="shared" si="141"/>
        <v>0.19891722978092927</v>
      </c>
      <c r="E73" s="118">
        <f t="shared" si="141"/>
        <v>0.19661058635739828</v>
      </c>
      <c r="F73" s="118">
        <f t="shared" si="141"/>
        <v>0.19707375341877387</v>
      </c>
      <c r="G73" s="118">
        <f t="shared" si="141"/>
        <v>0.19585888591431677</v>
      </c>
      <c r="H73" s="118">
        <f t="shared" si="141"/>
        <v>0.19705027332156927</v>
      </c>
      <c r="I73" s="118">
        <f t="shared" si="141"/>
        <v>0.19623575889906508</v>
      </c>
      <c r="J73" s="118">
        <f t="shared" si="141"/>
        <v>0.19615674739803027</v>
      </c>
      <c r="K73" s="118">
        <f t="shared" ref="K73:V73" si="142">IF(K51=0,0,K51/K62)</f>
        <v>0.19503887380088403</v>
      </c>
      <c r="L73" s="118">
        <f t="shared" si="142"/>
        <v>0.194975326400116</v>
      </c>
      <c r="M73" s="118">
        <f t="shared" si="142"/>
        <v>0.19530412805901387</v>
      </c>
      <c r="N73" s="118">
        <f t="shared" si="142"/>
        <v>0.19503038794341865</v>
      </c>
      <c r="O73" s="118">
        <f t="shared" si="142"/>
        <v>0.19549302422299702</v>
      </c>
      <c r="P73" s="118">
        <f t="shared" si="142"/>
        <v>0.19602365363521038</v>
      </c>
      <c r="Q73" s="118">
        <f t="shared" si="142"/>
        <v>0.19810411048551074</v>
      </c>
      <c r="R73" s="118">
        <f t="shared" si="142"/>
        <v>0.19678720790047152</v>
      </c>
      <c r="S73" s="118">
        <f t="shared" si="142"/>
        <v>0.19912278641068043</v>
      </c>
      <c r="T73" s="118">
        <f t="shared" si="142"/>
        <v>0.20168604372548757</v>
      </c>
      <c r="U73" s="118">
        <f t="shared" si="142"/>
        <v>0.17654187192118229</v>
      </c>
      <c r="V73" s="118">
        <f t="shared" si="142"/>
        <v>0.16562084343948047</v>
      </c>
      <c r="W73" s="118">
        <f t="shared" ref="W73:Y73" si="143">IF(W51=0,0,W51/W62)</f>
        <v>0.15349253895912968</v>
      </c>
      <c r="X73" s="118">
        <f t="shared" si="143"/>
        <v>0.20333135480041556</v>
      </c>
      <c r="Y73" s="118">
        <f t="shared" si="143"/>
        <v>0.21480920710410933</v>
      </c>
      <c r="DA73" s="203"/>
    </row>
    <row r="74" spans="1:105" ht="11.45" customHeight="1" x14ac:dyDescent="0.25">
      <c r="A74" s="109" t="s">
        <v>24</v>
      </c>
      <c r="B74" s="119">
        <f t="shared" si="141"/>
        <v>0.29038612664964381</v>
      </c>
      <c r="C74" s="119">
        <f t="shared" si="141"/>
        <v>0.28882728808637814</v>
      </c>
      <c r="D74" s="119">
        <f t="shared" si="141"/>
        <v>0.27130198877708367</v>
      </c>
      <c r="E74" s="119">
        <f t="shared" si="141"/>
        <v>0.27438809286009147</v>
      </c>
      <c r="F74" s="119">
        <f t="shared" si="141"/>
        <v>0.26362302651916958</v>
      </c>
      <c r="G74" s="119">
        <f t="shared" si="141"/>
        <v>0.2671812837352584</v>
      </c>
      <c r="H74" s="119">
        <f t="shared" si="141"/>
        <v>0.27516713272099963</v>
      </c>
      <c r="I74" s="119">
        <f t="shared" si="141"/>
        <v>0.32134676046060212</v>
      </c>
      <c r="J74" s="119">
        <f t="shared" si="141"/>
        <v>0.33389504157122812</v>
      </c>
      <c r="K74" s="119">
        <f t="shared" ref="K74:V74" si="144">IF(K52=0,0,K52/K63)</f>
        <v>0.34395287733586155</v>
      </c>
      <c r="L74" s="119">
        <f t="shared" si="144"/>
        <v>0.33270852868244633</v>
      </c>
      <c r="M74" s="119">
        <f t="shared" si="144"/>
        <v>0.28096570795191828</v>
      </c>
      <c r="N74" s="119">
        <f t="shared" si="144"/>
        <v>0.21344551853368796</v>
      </c>
      <c r="O74" s="119">
        <f t="shared" si="144"/>
        <v>0.20179923626171906</v>
      </c>
      <c r="P74" s="119">
        <f t="shared" si="144"/>
        <v>0.21782493953358784</v>
      </c>
      <c r="Q74" s="119">
        <f t="shared" si="144"/>
        <v>0.22722115262669332</v>
      </c>
      <c r="R74" s="119">
        <f t="shared" si="144"/>
        <v>0.20261410649560818</v>
      </c>
      <c r="S74" s="119">
        <f t="shared" si="144"/>
        <v>0.17961209847462251</v>
      </c>
      <c r="T74" s="119">
        <f t="shared" si="144"/>
        <v>0.1826972541944189</v>
      </c>
      <c r="U74" s="119">
        <f t="shared" si="144"/>
        <v>0.18236990073048384</v>
      </c>
      <c r="V74" s="119">
        <f t="shared" si="144"/>
        <v>0.13162025744917899</v>
      </c>
      <c r="W74" s="119">
        <f t="shared" ref="W74:Y74" si="145">IF(W52=0,0,W52/W63)</f>
        <v>0.1275965847659852</v>
      </c>
      <c r="X74" s="119">
        <f t="shared" si="145"/>
        <v>0.18297045717123334</v>
      </c>
      <c r="Y74" s="119">
        <f t="shared" si="145"/>
        <v>0.25162558056084811</v>
      </c>
      <c r="DA74" s="176"/>
    </row>
    <row r="75" spans="1:105" ht="11.45" customHeight="1" x14ac:dyDescent="0.25">
      <c r="A75" s="111" t="s">
        <v>92</v>
      </c>
      <c r="B75" s="120">
        <f t="shared" si="141"/>
        <v>0.26746452315262081</v>
      </c>
      <c r="C75" s="120">
        <f t="shared" si="141"/>
        <v>0.25940290803872157</v>
      </c>
      <c r="D75" s="120">
        <f t="shared" si="141"/>
        <v>0.24340900643281443</v>
      </c>
      <c r="E75" s="120">
        <f t="shared" si="141"/>
        <v>0.24807559017918795</v>
      </c>
      <c r="F75" s="120">
        <f t="shared" si="141"/>
        <v>0.2263462612178147</v>
      </c>
      <c r="G75" s="120">
        <f t="shared" si="141"/>
        <v>0.24872418841259716</v>
      </c>
      <c r="H75" s="120">
        <f t="shared" si="141"/>
        <v>0.25227134196423862</v>
      </c>
      <c r="I75" s="120">
        <f t="shared" si="141"/>
        <v>0.29462564917692935</v>
      </c>
      <c r="J75" s="120">
        <f t="shared" si="141"/>
        <v>0.30943353844960925</v>
      </c>
      <c r="K75" s="120">
        <f t="shared" ref="K75:V75" si="146">IF(K53=0,0,K53/K64)</f>
        <v>0.3323086407049714</v>
      </c>
      <c r="L75" s="120">
        <f t="shared" si="146"/>
        <v>0.31971897899962143</v>
      </c>
      <c r="M75" s="120">
        <f t="shared" si="146"/>
        <v>0.27879562075873199</v>
      </c>
      <c r="N75" s="120">
        <f t="shared" si="146"/>
        <v>0.21358972824247213</v>
      </c>
      <c r="O75" s="120">
        <f t="shared" si="146"/>
        <v>0.19130497554575659</v>
      </c>
      <c r="P75" s="120">
        <f t="shared" si="146"/>
        <v>0.20620101002711771</v>
      </c>
      <c r="Q75" s="120">
        <f t="shared" si="146"/>
        <v>0.22398683256961521</v>
      </c>
      <c r="R75" s="120">
        <f t="shared" si="146"/>
        <v>0.19195711112148431</v>
      </c>
      <c r="S75" s="120">
        <f t="shared" si="146"/>
        <v>0.16898817992747761</v>
      </c>
      <c r="T75" s="120">
        <f t="shared" si="146"/>
        <v>0.17294735411710441</v>
      </c>
      <c r="U75" s="120">
        <f t="shared" si="146"/>
        <v>0.16564365252706428</v>
      </c>
      <c r="V75" s="120">
        <f t="shared" si="146"/>
        <v>0.12949884376201384</v>
      </c>
      <c r="W75" s="120">
        <f t="shared" ref="W75:Y75" si="147">IF(W53=0,0,W53/W64)</f>
        <v>0.13387766990134053</v>
      </c>
      <c r="X75" s="120">
        <f t="shared" si="147"/>
        <v>0.15259613702968217</v>
      </c>
      <c r="Y75" s="120">
        <f t="shared" si="147"/>
        <v>0.18368100108351748</v>
      </c>
      <c r="DA75" s="171"/>
    </row>
    <row r="76" spans="1:105" ht="11.45" customHeight="1" x14ac:dyDescent="0.25">
      <c r="A76" s="111" t="s">
        <v>93</v>
      </c>
      <c r="B76" s="120">
        <f t="shared" si="141"/>
        <v>0.31378917982003884</v>
      </c>
      <c r="C76" s="120">
        <f t="shared" si="141"/>
        <v>0.3184107704778612</v>
      </c>
      <c r="D76" s="120">
        <f t="shared" si="141"/>
        <v>0.29911558708678265</v>
      </c>
      <c r="E76" s="120">
        <f t="shared" si="141"/>
        <v>0.30065228269529476</v>
      </c>
      <c r="F76" s="120">
        <f t="shared" si="141"/>
        <v>0.3061426001206623</v>
      </c>
      <c r="G76" s="120">
        <f t="shared" si="141"/>
        <v>0.28705624845301703</v>
      </c>
      <c r="H76" s="120">
        <f t="shared" si="141"/>
        <v>0.30004642791976449</v>
      </c>
      <c r="I76" s="120">
        <f t="shared" si="141"/>
        <v>0.34994104829549677</v>
      </c>
      <c r="J76" s="120">
        <f t="shared" si="141"/>
        <v>0.36013751022312418</v>
      </c>
      <c r="K76" s="120">
        <f t="shared" ref="K76:V76" si="148">IF(K54=0,0,K54/K65)</f>
        <v>0.35489082738891498</v>
      </c>
      <c r="L76" s="120">
        <f t="shared" si="148"/>
        <v>0.34482237933560189</v>
      </c>
      <c r="M76" s="120">
        <f t="shared" si="148"/>
        <v>0.28290425551249676</v>
      </c>
      <c r="N76" s="120">
        <f t="shared" si="148"/>
        <v>0.21332001855944233</v>
      </c>
      <c r="O76" s="120">
        <f t="shared" si="148"/>
        <v>0.2125629707467466</v>
      </c>
      <c r="P76" s="120">
        <f t="shared" si="148"/>
        <v>0.22911740096111313</v>
      </c>
      <c r="Q76" s="120">
        <f t="shared" si="148"/>
        <v>0.22990375675957106</v>
      </c>
      <c r="R76" s="120">
        <f t="shared" si="148"/>
        <v>0.21174075466292663</v>
      </c>
      <c r="S76" s="120">
        <f t="shared" si="148"/>
        <v>0.18864625240251431</v>
      </c>
      <c r="T76" s="120">
        <f t="shared" si="148"/>
        <v>0.18914450389267295</v>
      </c>
      <c r="U76" s="120">
        <f t="shared" si="148"/>
        <v>0.19338888103094287</v>
      </c>
      <c r="V76" s="120">
        <f t="shared" si="148"/>
        <v>0.13292739389156802</v>
      </c>
      <c r="W76" s="120">
        <f t="shared" ref="W76:Y76" si="149">IF(W54=0,0,W54/W65)</f>
        <v>0.12459745033184255</v>
      </c>
      <c r="X76" s="120">
        <f t="shared" si="149"/>
        <v>0.19978519482646939</v>
      </c>
      <c r="Y76" s="120">
        <f t="shared" si="149"/>
        <v>0.2855716466020084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:Y77" si="151">IF(W55=0,0,W55/W66)</f>
        <v>0</v>
      </c>
      <c r="X77" s="121">
        <f t="shared" si="151"/>
        <v>0</v>
      </c>
      <c r="Y77" s="121">
        <f t="shared" si="151"/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0.21948482587062948</v>
      </c>
      <c r="C78" s="30">
        <f t="shared" si="141"/>
        <v>0.22889831966801547</v>
      </c>
      <c r="D78" s="30">
        <f t="shared" si="141"/>
        <v>0.22186300224148675</v>
      </c>
      <c r="E78" s="30">
        <f t="shared" si="141"/>
        <v>0.2243409319492646</v>
      </c>
      <c r="F78" s="30">
        <f t="shared" si="141"/>
        <v>0.21872747279026492</v>
      </c>
      <c r="G78" s="30">
        <f t="shared" si="141"/>
        <v>0.21919433661311927</v>
      </c>
      <c r="H78" s="30">
        <f t="shared" si="141"/>
        <v>0.23860890822022918</v>
      </c>
      <c r="I78" s="30">
        <f t="shared" si="141"/>
        <v>0.25042424087022291</v>
      </c>
      <c r="J78" s="30">
        <f t="shared" si="141"/>
        <v>0.24668671686021401</v>
      </c>
      <c r="K78" s="30">
        <f t="shared" ref="K78:V78" si="152">IF(K56=0,0,K56/K67)</f>
        <v>0.23617621410160905</v>
      </c>
      <c r="L78" s="30">
        <f t="shared" si="152"/>
        <v>0.21438594411028325</v>
      </c>
      <c r="M78" s="30">
        <f t="shared" si="152"/>
        <v>0.21172255967481438</v>
      </c>
      <c r="N78" s="30">
        <f t="shared" si="152"/>
        <v>0.21564573592897132</v>
      </c>
      <c r="O78" s="30">
        <f t="shared" si="152"/>
        <v>0.18590904838905523</v>
      </c>
      <c r="P78" s="30">
        <f t="shared" si="152"/>
        <v>0.19544321744509799</v>
      </c>
      <c r="Q78" s="30">
        <f t="shared" si="152"/>
        <v>0.20529422883541518</v>
      </c>
      <c r="R78" s="30">
        <f t="shared" si="152"/>
        <v>0.18617236478842561</v>
      </c>
      <c r="S78" s="30">
        <f t="shared" si="152"/>
        <v>0.20144019104471217</v>
      </c>
      <c r="T78" s="30">
        <f t="shared" si="152"/>
        <v>0.22315798923441196</v>
      </c>
      <c r="U78" s="30">
        <f t="shared" si="152"/>
        <v>0.23016383985077848</v>
      </c>
      <c r="V78" s="30">
        <f t="shared" si="152"/>
        <v>0.24097356604401127</v>
      </c>
      <c r="W78" s="30">
        <f t="shared" ref="W78:Y78" si="153">IF(W56=0,0,W56/W67)</f>
        <v>0.26263106653286811</v>
      </c>
      <c r="X78" s="30">
        <f t="shared" si="153"/>
        <v>0.27764023213540756</v>
      </c>
      <c r="Y78" s="30">
        <f t="shared" si="153"/>
        <v>0.29646538621987312</v>
      </c>
      <c r="DA78" s="173"/>
    </row>
    <row r="79" spans="1:105" ht="11.45" customHeight="1" x14ac:dyDescent="0.25">
      <c r="A79" s="83" t="s">
        <v>92</v>
      </c>
      <c r="B79" s="120">
        <f t="shared" si="141"/>
        <v>0.30970923066525896</v>
      </c>
      <c r="C79" s="120">
        <f t="shared" si="141"/>
        <v>0.2718256590985661</v>
      </c>
      <c r="D79" s="120">
        <f t="shared" si="141"/>
        <v>0.27633951060646023</v>
      </c>
      <c r="E79" s="120">
        <f t="shared" si="141"/>
        <v>0.26887214482843153</v>
      </c>
      <c r="F79" s="120">
        <f t="shared" si="141"/>
        <v>0.24556466996752821</v>
      </c>
      <c r="G79" s="120">
        <f t="shared" si="141"/>
        <v>0.24822078777243964</v>
      </c>
      <c r="H79" s="120">
        <f t="shared" si="141"/>
        <v>0.27705531620674473</v>
      </c>
      <c r="I79" s="120">
        <f t="shared" si="141"/>
        <v>0.27049371453647869</v>
      </c>
      <c r="J79" s="120">
        <f t="shared" si="141"/>
        <v>0.27769926845043813</v>
      </c>
      <c r="K79" s="120">
        <f t="shared" ref="K79:V79" si="154">IF(K57=0,0,K57/K68)</f>
        <v>0.27147040205695377</v>
      </c>
      <c r="L79" s="120">
        <f t="shared" si="154"/>
        <v>0.25022110123620322</v>
      </c>
      <c r="M79" s="120">
        <f t="shared" si="154"/>
        <v>0.24402233973888657</v>
      </c>
      <c r="N79" s="120">
        <f t="shared" si="154"/>
        <v>0.24217515930418604</v>
      </c>
      <c r="O79" s="120">
        <f t="shared" si="154"/>
        <v>0.21694057001718126</v>
      </c>
      <c r="P79" s="120">
        <f t="shared" si="154"/>
        <v>0.2444336918242048</v>
      </c>
      <c r="Q79" s="120">
        <f t="shared" si="154"/>
        <v>0.26749352662786152</v>
      </c>
      <c r="R79" s="120">
        <f t="shared" si="154"/>
        <v>0.24798565958201363</v>
      </c>
      <c r="S79" s="120">
        <f t="shared" si="154"/>
        <v>0.2885923826082798</v>
      </c>
      <c r="T79" s="120">
        <f t="shared" si="154"/>
        <v>0.32893691378114859</v>
      </c>
      <c r="U79" s="120">
        <f t="shared" si="154"/>
        <v>0.33888313275659493</v>
      </c>
      <c r="V79" s="120">
        <f t="shared" si="154"/>
        <v>0.34574215078201459</v>
      </c>
      <c r="W79" s="120">
        <f t="shared" ref="W79:Y79" si="155">IF(W57=0,0,W57/W68)</f>
        <v>0.30023247551334059</v>
      </c>
      <c r="X79" s="120">
        <f t="shared" si="155"/>
        <v>0.37114936777496055</v>
      </c>
      <c r="Y79" s="120">
        <f t="shared" si="155"/>
        <v>0.45011531509364067</v>
      </c>
      <c r="DA79" s="171"/>
    </row>
    <row r="80" spans="1:105" ht="11.45" customHeight="1" x14ac:dyDescent="0.25">
      <c r="A80" s="85" t="s">
        <v>93</v>
      </c>
      <c r="B80" s="122">
        <f t="shared" si="141"/>
        <v>0.16682025238157636</v>
      </c>
      <c r="C80" s="122">
        <f t="shared" si="141"/>
        <v>0.19819080992597735</v>
      </c>
      <c r="D80" s="122">
        <f t="shared" si="141"/>
        <v>0.18686029487391867</v>
      </c>
      <c r="E80" s="122">
        <f t="shared" si="141"/>
        <v>0.19454692710720564</v>
      </c>
      <c r="F80" s="122">
        <f t="shared" si="141"/>
        <v>0.1998422997099803</v>
      </c>
      <c r="G80" s="122">
        <f t="shared" si="141"/>
        <v>0.19850838840467597</v>
      </c>
      <c r="H80" s="122">
        <f t="shared" si="141"/>
        <v>0.21205186906362158</v>
      </c>
      <c r="I80" s="122">
        <f t="shared" si="141"/>
        <v>0.23487664696996713</v>
      </c>
      <c r="J80" s="122">
        <f t="shared" si="141"/>
        <v>0.22333086779700298</v>
      </c>
      <c r="K80" s="122">
        <f t="shared" ref="K80:V80" si="156">IF(K58=0,0,K58/K69)</f>
        <v>0.20903633968359897</v>
      </c>
      <c r="L80" s="122">
        <f t="shared" si="156"/>
        <v>0.18823710501553043</v>
      </c>
      <c r="M80" s="122">
        <f t="shared" si="156"/>
        <v>0.18976102317148708</v>
      </c>
      <c r="N80" s="122">
        <f t="shared" si="156"/>
        <v>0.19686191665966438</v>
      </c>
      <c r="O80" s="122">
        <f t="shared" si="156"/>
        <v>0.16579981489384685</v>
      </c>
      <c r="P80" s="122">
        <f t="shared" si="156"/>
        <v>0.16520576090396175</v>
      </c>
      <c r="Q80" s="122">
        <f t="shared" si="156"/>
        <v>0.17421062858326708</v>
      </c>
      <c r="R80" s="122">
        <f t="shared" si="156"/>
        <v>0.15657691061734394</v>
      </c>
      <c r="S80" s="122">
        <f t="shared" si="156"/>
        <v>0.16581605467346669</v>
      </c>
      <c r="T80" s="122">
        <f t="shared" si="156"/>
        <v>0.18769397568014914</v>
      </c>
      <c r="U80" s="122">
        <f t="shared" si="156"/>
        <v>0.19463933788826948</v>
      </c>
      <c r="V80" s="122">
        <f t="shared" si="156"/>
        <v>0.20562034698370191</v>
      </c>
      <c r="W80" s="122">
        <f t="shared" ref="W80:Y80" si="157">IF(W58=0,0,W58/W69)</f>
        <v>0.2451207059551011</v>
      </c>
      <c r="X80" s="122">
        <f t="shared" si="157"/>
        <v>0.24233242120708107</v>
      </c>
      <c r="Y80" s="122">
        <f t="shared" si="157"/>
        <v>0.25377880334853581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142163.03761718367</v>
      </c>
      <c r="C82" s="54">
        <f t="shared" si="158"/>
        <v>142219.24804577994</v>
      </c>
      <c r="D82" s="54">
        <f t="shared" si="158"/>
        <v>142861.6926473355</v>
      </c>
      <c r="E82" s="54">
        <f t="shared" si="158"/>
        <v>143131.16937549072</v>
      </c>
      <c r="F82" s="54">
        <f t="shared" si="158"/>
        <v>143996.99168520453</v>
      </c>
      <c r="G82" s="54">
        <f t="shared" si="158"/>
        <v>145035.54244368279</v>
      </c>
      <c r="H82" s="54">
        <f t="shared" si="158"/>
        <v>145276.2327379456</v>
      </c>
      <c r="I82" s="54">
        <f t="shared" si="158"/>
        <v>143586.30993984308</v>
      </c>
      <c r="J82" s="54">
        <f t="shared" si="158"/>
        <v>143721.9315360249</v>
      </c>
      <c r="K82" s="54">
        <f t="shared" ref="K82:V82" si="159">IF(K14=0,0,K14/K25*1000000)</f>
        <v>140652.87833341135</v>
      </c>
      <c r="L82" s="54">
        <f t="shared" si="159"/>
        <v>144164.25980134113</v>
      </c>
      <c r="M82" s="54">
        <f t="shared" si="159"/>
        <v>144008.71739140063</v>
      </c>
      <c r="N82" s="54">
        <f t="shared" si="159"/>
        <v>143569.88904898957</v>
      </c>
      <c r="O82" s="54">
        <f t="shared" si="159"/>
        <v>140565.95979443134</v>
      </c>
      <c r="P82" s="54">
        <f t="shared" si="159"/>
        <v>139177.98366232554</v>
      </c>
      <c r="Q82" s="54">
        <f t="shared" si="159"/>
        <v>140722.92836171991</v>
      </c>
      <c r="R82" s="54">
        <f t="shared" si="159"/>
        <v>142173.95040764686</v>
      </c>
      <c r="S82" s="54">
        <f t="shared" si="159"/>
        <v>143290.64702939425</v>
      </c>
      <c r="T82" s="54">
        <f t="shared" si="159"/>
        <v>142397.80953601626</v>
      </c>
      <c r="U82" s="54">
        <f t="shared" si="159"/>
        <v>142733.49815800597</v>
      </c>
      <c r="V82" s="54">
        <f t="shared" si="159"/>
        <v>134663.53807953073</v>
      </c>
      <c r="W82" s="54">
        <f t="shared" ref="W82:Y82" si="160">IF(W14=0,0,W14/W25*1000000)</f>
        <v>138038.8373154685</v>
      </c>
      <c r="X82" s="54">
        <f t="shared" si="160"/>
        <v>137757.15219787098</v>
      </c>
      <c r="Y82" s="54">
        <f t="shared" si="160"/>
        <v>134845.50742945823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134510.24955157793</v>
      </c>
      <c r="C83" s="28">
        <f t="shared" si="161"/>
        <v>133899.1258008898</v>
      </c>
      <c r="D83" s="28">
        <f t="shared" si="161"/>
        <v>134012.51909530256</v>
      </c>
      <c r="E83" s="28">
        <f t="shared" si="161"/>
        <v>133250.42088278133</v>
      </c>
      <c r="F83" s="28">
        <f t="shared" si="161"/>
        <v>134089.57901798989</v>
      </c>
      <c r="G83" s="28">
        <f t="shared" si="161"/>
        <v>134291.74523644862</v>
      </c>
      <c r="H83" s="28">
        <f t="shared" si="161"/>
        <v>134315.4747053959</v>
      </c>
      <c r="I83" s="28">
        <f t="shared" si="161"/>
        <v>132848.80598068758</v>
      </c>
      <c r="J83" s="28">
        <f t="shared" si="161"/>
        <v>134175.01833775759</v>
      </c>
      <c r="K83" s="28">
        <f t="shared" ref="K83:V83" si="162">IF(K15=0,0,K15/K26*1000000)</f>
        <v>134722.60362823095</v>
      </c>
      <c r="L83" s="28">
        <f t="shared" si="162"/>
        <v>135036.1123300402</v>
      </c>
      <c r="M83" s="28">
        <f t="shared" si="162"/>
        <v>135647.50182481259</v>
      </c>
      <c r="N83" s="28">
        <f t="shared" si="162"/>
        <v>135356.25709579838</v>
      </c>
      <c r="O83" s="28">
        <f t="shared" si="162"/>
        <v>130842.49567397068</v>
      </c>
      <c r="P83" s="28">
        <f t="shared" si="162"/>
        <v>129275.79143958773</v>
      </c>
      <c r="Q83" s="28">
        <f t="shared" si="162"/>
        <v>131701.56983749376</v>
      </c>
      <c r="R83" s="28">
        <f t="shared" si="162"/>
        <v>131892.51334249982</v>
      </c>
      <c r="S83" s="28">
        <f t="shared" si="162"/>
        <v>132064.55781096817</v>
      </c>
      <c r="T83" s="28">
        <f t="shared" si="162"/>
        <v>132005.61890048039</v>
      </c>
      <c r="U83" s="28">
        <f t="shared" si="162"/>
        <v>131543.84250162958</v>
      </c>
      <c r="V83" s="28">
        <f t="shared" si="162"/>
        <v>119424.08965216514</v>
      </c>
      <c r="W83" s="28">
        <f t="shared" ref="W83:Y83" si="163">IF(W15=0,0,W15/W26*1000000)</f>
        <v>129112.0449913039</v>
      </c>
      <c r="X83" s="28">
        <f t="shared" si="163"/>
        <v>124999.23155329637</v>
      </c>
      <c r="Y83" s="28">
        <f t="shared" si="163"/>
        <v>126330.20138924394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109999.9987702467</v>
      </c>
      <c r="C84" s="108">
        <f t="shared" si="161"/>
        <v>109999.99863333849</v>
      </c>
      <c r="D84" s="108">
        <f t="shared" si="161"/>
        <v>109999.99981087178</v>
      </c>
      <c r="E84" s="108">
        <f t="shared" si="161"/>
        <v>109999.99961710267</v>
      </c>
      <c r="F84" s="108">
        <f t="shared" si="161"/>
        <v>109999.99933353542</v>
      </c>
      <c r="G84" s="108">
        <f t="shared" si="161"/>
        <v>109999.99983194974</v>
      </c>
      <c r="H84" s="108">
        <f t="shared" si="161"/>
        <v>109999.99994736974</v>
      </c>
      <c r="I84" s="108">
        <f t="shared" si="161"/>
        <v>109999.99912850614</v>
      </c>
      <c r="J84" s="108">
        <f t="shared" si="161"/>
        <v>109999.99882098164</v>
      </c>
      <c r="K84" s="108">
        <f t="shared" ref="K84:V84" si="164">IF(K16=0,0,K16/K27*1000000)</f>
        <v>109999.99917437464</v>
      </c>
      <c r="L84" s="108">
        <f t="shared" si="164"/>
        <v>109999.99982814009</v>
      </c>
      <c r="M84" s="108">
        <f t="shared" si="164"/>
        <v>109999.99966800321</v>
      </c>
      <c r="N84" s="108">
        <f t="shared" si="164"/>
        <v>109999.99861732003</v>
      </c>
      <c r="O84" s="108">
        <f t="shared" si="164"/>
        <v>109999.99828078176</v>
      </c>
      <c r="P84" s="108">
        <f t="shared" si="164"/>
        <v>109999.99971607032</v>
      </c>
      <c r="Q84" s="108">
        <f t="shared" si="164"/>
        <v>109999.9987542672</v>
      </c>
      <c r="R84" s="108">
        <f t="shared" si="164"/>
        <v>109999.99845691107</v>
      </c>
      <c r="S84" s="108">
        <f t="shared" si="164"/>
        <v>109999.99870364107</v>
      </c>
      <c r="T84" s="108">
        <f t="shared" si="164"/>
        <v>109999.9990774209</v>
      </c>
      <c r="U84" s="108">
        <f t="shared" si="164"/>
        <v>109999.99850997924</v>
      </c>
      <c r="V84" s="108">
        <f t="shared" si="164"/>
        <v>91314.35676173633</v>
      </c>
      <c r="W84" s="108">
        <f t="shared" ref="W84:Y84" si="165">IF(W16=0,0,W16/W27*1000000)</f>
        <v>98274.71537956364</v>
      </c>
      <c r="X84" s="108">
        <f t="shared" si="165"/>
        <v>82054.393528011293</v>
      </c>
      <c r="Y84" s="108">
        <f t="shared" si="165"/>
        <v>79847.537574648435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149999.99847691745</v>
      </c>
      <c r="C85" s="110">
        <f t="shared" si="161"/>
        <v>149999.99791388368</v>
      </c>
      <c r="D85" s="110">
        <f t="shared" si="161"/>
        <v>149999.9986233977</v>
      </c>
      <c r="E85" s="110">
        <f t="shared" si="161"/>
        <v>149999.99844871429</v>
      </c>
      <c r="F85" s="110">
        <f t="shared" si="161"/>
        <v>149999.99855479068</v>
      </c>
      <c r="G85" s="110">
        <f t="shared" si="161"/>
        <v>149999.99928752065</v>
      </c>
      <c r="H85" s="110">
        <f t="shared" si="161"/>
        <v>149999.99775595701</v>
      </c>
      <c r="I85" s="110">
        <f t="shared" si="161"/>
        <v>149999.99834355569</v>
      </c>
      <c r="J85" s="110">
        <f t="shared" si="161"/>
        <v>149999.99840857161</v>
      </c>
      <c r="K85" s="110">
        <f t="shared" ref="K85:V85" si="166">IF(K17=0,0,K17/K28*1000000)</f>
        <v>149999.99791156399</v>
      </c>
      <c r="L85" s="110">
        <f t="shared" si="166"/>
        <v>149999.99799064302</v>
      </c>
      <c r="M85" s="110">
        <f t="shared" si="166"/>
        <v>149999.99803111103</v>
      </c>
      <c r="N85" s="110">
        <f t="shared" si="166"/>
        <v>149999.99786088977</v>
      </c>
      <c r="O85" s="110">
        <f t="shared" si="166"/>
        <v>143650.62361451096</v>
      </c>
      <c r="P85" s="110">
        <f t="shared" si="166"/>
        <v>143289.30568964873</v>
      </c>
      <c r="Q85" s="110">
        <f t="shared" si="166"/>
        <v>148821.24656780134</v>
      </c>
      <c r="R85" s="110">
        <f t="shared" si="166"/>
        <v>149999.99752237808</v>
      </c>
      <c r="S85" s="110">
        <f t="shared" si="166"/>
        <v>149999.99901737442</v>
      </c>
      <c r="T85" s="110">
        <f t="shared" si="166"/>
        <v>148624.58536963773</v>
      </c>
      <c r="U85" s="110">
        <f t="shared" si="166"/>
        <v>149999.9993606832</v>
      </c>
      <c r="V85" s="110">
        <f t="shared" si="166"/>
        <v>144274.675494672</v>
      </c>
      <c r="W85" s="110">
        <f t="shared" ref="W85:Y85" si="167">IF(W17=0,0,W17/W28*1000000)</f>
        <v>149999.99834274169</v>
      </c>
      <c r="X85" s="110">
        <f t="shared" si="167"/>
        <v>149999.99863809583</v>
      </c>
      <c r="Y85" s="110">
        <f t="shared" si="167"/>
        <v>149999.99842024344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149999.99835699357</v>
      </c>
      <c r="C86" s="84">
        <f t="shared" si="161"/>
        <v>149999.99709986986</v>
      </c>
      <c r="D86" s="84">
        <f t="shared" si="161"/>
        <v>149999.99753910484</v>
      </c>
      <c r="E86" s="84">
        <f t="shared" si="161"/>
        <v>149999.99774294969</v>
      </c>
      <c r="F86" s="84">
        <f t="shared" si="161"/>
        <v>149999.99858904476</v>
      </c>
      <c r="G86" s="84">
        <f t="shared" si="161"/>
        <v>149999.9993494137</v>
      </c>
      <c r="H86" s="84">
        <f t="shared" si="161"/>
        <v>149999.99760820623</v>
      </c>
      <c r="I86" s="84">
        <f t="shared" si="161"/>
        <v>149999.99800785209</v>
      </c>
      <c r="J86" s="84">
        <f t="shared" si="161"/>
        <v>149999.99930270796</v>
      </c>
      <c r="K86" s="84">
        <f t="shared" ref="K86:V86" si="168">IF(K18=0,0,K18/K29*1000000)</f>
        <v>149999.9977137988</v>
      </c>
      <c r="L86" s="84">
        <f t="shared" si="168"/>
        <v>149999.99774520678</v>
      </c>
      <c r="M86" s="84">
        <f t="shared" si="168"/>
        <v>149999.99858342789</v>
      </c>
      <c r="N86" s="84">
        <f t="shared" si="168"/>
        <v>149999.99841110763</v>
      </c>
      <c r="O86" s="84">
        <f t="shared" si="168"/>
        <v>149999.99780100459</v>
      </c>
      <c r="P86" s="84">
        <f t="shared" si="168"/>
        <v>146211.27052877253</v>
      </c>
      <c r="Q86" s="84">
        <f t="shared" si="168"/>
        <v>147424.47074914025</v>
      </c>
      <c r="R86" s="84">
        <f t="shared" si="168"/>
        <v>149999.99723795123</v>
      </c>
      <c r="S86" s="84">
        <f t="shared" si="168"/>
        <v>149999.99996402129</v>
      </c>
      <c r="T86" s="84">
        <f t="shared" si="168"/>
        <v>146591.86476029345</v>
      </c>
      <c r="U86" s="84">
        <f t="shared" si="168"/>
        <v>149999.9990277274</v>
      </c>
      <c r="V86" s="84">
        <f t="shared" si="168"/>
        <v>143247.36743049952</v>
      </c>
      <c r="W86" s="84">
        <f t="shared" ref="W86:Y86" si="169">IF(W18=0,0,W18/W29*1000000)</f>
        <v>149999.9974738626</v>
      </c>
      <c r="X86" s="84">
        <f t="shared" si="169"/>
        <v>149999.99688261116</v>
      </c>
      <c r="Y86" s="84">
        <f t="shared" si="169"/>
        <v>149999.99712764632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149999.99859936026</v>
      </c>
      <c r="C87" s="84">
        <f t="shared" si="161"/>
        <v>149999.99873229899</v>
      </c>
      <c r="D87" s="84">
        <f t="shared" si="161"/>
        <v>149999.99970460465</v>
      </c>
      <c r="E87" s="84">
        <f t="shared" si="161"/>
        <v>149999.99915318296</v>
      </c>
      <c r="F87" s="84">
        <f t="shared" si="161"/>
        <v>149999.99851571891</v>
      </c>
      <c r="G87" s="84">
        <f t="shared" si="161"/>
        <v>149999.99922087297</v>
      </c>
      <c r="H87" s="84">
        <f t="shared" si="161"/>
        <v>149999.99791650774</v>
      </c>
      <c r="I87" s="84">
        <f t="shared" si="161"/>
        <v>149999.99870279239</v>
      </c>
      <c r="J87" s="84">
        <f t="shared" si="161"/>
        <v>149999.99744933599</v>
      </c>
      <c r="K87" s="84">
        <f t="shared" ref="K87:V87" si="170">IF(K19=0,0,K19/K30*1000000)</f>
        <v>149999.99809733365</v>
      </c>
      <c r="L87" s="84">
        <f t="shared" si="170"/>
        <v>149999.99821953304</v>
      </c>
      <c r="M87" s="84">
        <f t="shared" si="170"/>
        <v>149999.99753772418</v>
      </c>
      <c r="N87" s="84">
        <f t="shared" si="170"/>
        <v>149999.99738205707</v>
      </c>
      <c r="O87" s="84">
        <f t="shared" si="170"/>
        <v>137673.38245042294</v>
      </c>
      <c r="P87" s="84">
        <f t="shared" si="170"/>
        <v>140560.37386215531</v>
      </c>
      <c r="Q87" s="84">
        <f t="shared" si="170"/>
        <v>149999.99730425488</v>
      </c>
      <c r="R87" s="84">
        <f t="shared" si="170"/>
        <v>149999.99776596116</v>
      </c>
      <c r="S87" s="84">
        <f t="shared" si="170"/>
        <v>149999.99821238386</v>
      </c>
      <c r="T87" s="84">
        <f t="shared" si="170"/>
        <v>149999.99925233409</v>
      </c>
      <c r="U87" s="84">
        <f t="shared" si="170"/>
        <v>149999.99958002908</v>
      </c>
      <c r="V87" s="84">
        <f t="shared" si="170"/>
        <v>144915.03379995705</v>
      </c>
      <c r="W87" s="84">
        <f t="shared" ref="W87:Y87" si="171">IF(W19=0,0,W19/W30*1000000)</f>
        <v>149999.99875761988</v>
      </c>
      <c r="X87" s="84">
        <f t="shared" si="171"/>
        <v>149999.99960990404</v>
      </c>
      <c r="Y87" s="84">
        <f t="shared" si="171"/>
        <v>149999.99906604318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:Y88" si="173">IF(W20=0,0,W20/W31*1000000)</f>
        <v>0</v>
      </c>
      <c r="X88" s="113">
        <f t="shared" si="173"/>
        <v>0</v>
      </c>
      <c r="Y88" s="113">
        <f t="shared" si="173"/>
        <v>0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199999.99110287437</v>
      </c>
      <c r="C89" s="28">
        <f t="shared" si="161"/>
        <v>199999.9872390661</v>
      </c>
      <c r="D89" s="28">
        <f t="shared" si="161"/>
        <v>199999.99189411575</v>
      </c>
      <c r="E89" s="28">
        <f t="shared" si="161"/>
        <v>199999.98988945235</v>
      </c>
      <c r="F89" s="28">
        <f t="shared" si="161"/>
        <v>199999.98922263552</v>
      </c>
      <c r="G89" s="28">
        <f t="shared" si="161"/>
        <v>199999.99511965434</v>
      </c>
      <c r="H89" s="28">
        <f t="shared" si="161"/>
        <v>199999.9936198405</v>
      </c>
      <c r="I89" s="28">
        <f t="shared" si="161"/>
        <v>199999.99226883534</v>
      </c>
      <c r="J89" s="28">
        <f t="shared" si="161"/>
        <v>197614.05897553501</v>
      </c>
      <c r="K89" s="28">
        <f t="shared" ref="K89:V89" si="174">IF(K21=0,0,K21/K32*1000000)</f>
        <v>175087.70263523876</v>
      </c>
      <c r="L89" s="28">
        <f t="shared" si="174"/>
        <v>197134.03684050692</v>
      </c>
      <c r="M89" s="28">
        <f t="shared" si="174"/>
        <v>193800.38729466993</v>
      </c>
      <c r="N89" s="28">
        <f t="shared" si="174"/>
        <v>195396.68326882427</v>
      </c>
      <c r="O89" s="28">
        <f t="shared" si="174"/>
        <v>199708.7113509732</v>
      </c>
      <c r="P89" s="28">
        <f t="shared" si="174"/>
        <v>199999.99377974879</v>
      </c>
      <c r="Q89" s="28">
        <f t="shared" si="174"/>
        <v>194644.36300465983</v>
      </c>
      <c r="R89" s="28">
        <f t="shared" si="174"/>
        <v>199999.99620706157</v>
      </c>
      <c r="S89" s="28">
        <f t="shared" si="174"/>
        <v>199999.99067966678</v>
      </c>
      <c r="T89" s="28">
        <f t="shared" si="174"/>
        <v>194508.9869357498</v>
      </c>
      <c r="U89" s="28">
        <f t="shared" si="174"/>
        <v>199712.92054661992</v>
      </c>
      <c r="V89" s="28">
        <f t="shared" si="174"/>
        <v>199999.99527057869</v>
      </c>
      <c r="W89" s="28">
        <f t="shared" ref="W89:Y89" si="175">IF(W21=0,0,W21/W32*1000000)</f>
        <v>178967.78917696752</v>
      </c>
      <c r="X89" s="28">
        <f t="shared" si="175"/>
        <v>199165.6745983756</v>
      </c>
      <c r="Y89" s="28">
        <f t="shared" si="175"/>
        <v>177555.43748567437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199999.99614192257</v>
      </c>
      <c r="C90" s="84">
        <f t="shared" si="161"/>
        <v>199999.99083425349</v>
      </c>
      <c r="D90" s="84">
        <f t="shared" si="161"/>
        <v>199999.99880629216</v>
      </c>
      <c r="E90" s="84">
        <f t="shared" si="161"/>
        <v>199999.98273530896</v>
      </c>
      <c r="F90" s="84">
        <f t="shared" si="161"/>
        <v>199999.98916840294</v>
      </c>
      <c r="G90" s="84">
        <f t="shared" si="161"/>
        <v>199999.99620359309</v>
      </c>
      <c r="H90" s="84">
        <f t="shared" si="161"/>
        <v>199999.98653927134</v>
      </c>
      <c r="I90" s="84">
        <f t="shared" si="161"/>
        <v>199999.98861205784</v>
      </c>
      <c r="J90" s="84">
        <f t="shared" si="161"/>
        <v>194532.56047445987</v>
      </c>
      <c r="K90" s="84">
        <f t="shared" ref="K90:V90" si="176">IF(K22=0,0,K22/K33*1000000)</f>
        <v>172696.65256697472</v>
      </c>
      <c r="L90" s="84">
        <f t="shared" si="176"/>
        <v>193337.27934940247</v>
      </c>
      <c r="M90" s="84">
        <f t="shared" si="176"/>
        <v>185350.23554214984</v>
      </c>
      <c r="N90" s="84">
        <f t="shared" si="176"/>
        <v>189599.08056009939</v>
      </c>
      <c r="O90" s="84">
        <f t="shared" si="176"/>
        <v>199260.87669328685</v>
      </c>
      <c r="P90" s="84">
        <f t="shared" si="176"/>
        <v>199999.99441619273</v>
      </c>
      <c r="Q90" s="84">
        <f t="shared" si="176"/>
        <v>184744.98475732442</v>
      </c>
      <c r="R90" s="84">
        <f t="shared" si="176"/>
        <v>199999.99612345928</v>
      </c>
      <c r="S90" s="84">
        <f t="shared" si="176"/>
        <v>199999.98372553254</v>
      </c>
      <c r="T90" s="84">
        <f t="shared" si="176"/>
        <v>179786.20034370202</v>
      </c>
      <c r="U90" s="84">
        <f t="shared" si="176"/>
        <v>198839.44020878253</v>
      </c>
      <c r="V90" s="84">
        <f t="shared" si="176"/>
        <v>199999.98308088977</v>
      </c>
      <c r="W90" s="84">
        <f t="shared" ref="W90:Y90" si="177">IF(W22=0,0,W22/W33*1000000)</f>
        <v>199999.98489228345</v>
      </c>
      <c r="X90" s="84">
        <f t="shared" si="177"/>
        <v>196989.31870156387</v>
      </c>
      <c r="Y90" s="84">
        <f t="shared" si="177"/>
        <v>142507.15170670455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199999.98816154915</v>
      </c>
      <c r="C91" s="86">
        <f t="shared" si="161"/>
        <v>199999.98466729603</v>
      </c>
      <c r="D91" s="86">
        <f t="shared" si="161"/>
        <v>199999.9874528459</v>
      </c>
      <c r="E91" s="86">
        <f t="shared" si="161"/>
        <v>199999.99467599604</v>
      </c>
      <c r="F91" s="86">
        <f t="shared" si="161"/>
        <v>199999.98926079864</v>
      </c>
      <c r="G91" s="86">
        <f t="shared" si="161"/>
        <v>199999.99434717611</v>
      </c>
      <c r="H91" s="86">
        <f t="shared" si="161"/>
        <v>199999.99851077766</v>
      </c>
      <c r="I91" s="86">
        <f t="shared" si="161"/>
        <v>199999.99510169949</v>
      </c>
      <c r="J91" s="86">
        <f t="shared" si="161"/>
        <v>199999.98948577701</v>
      </c>
      <c r="K91" s="86">
        <f t="shared" ref="K91:V91" si="178">IF(K23=0,0,K23/K34*1000000)</f>
        <v>176971.84436044761</v>
      </c>
      <c r="L91" s="86">
        <f t="shared" si="178"/>
        <v>199999.9983089827</v>
      </c>
      <c r="M91" s="86">
        <f t="shared" si="178"/>
        <v>199999.99938867238</v>
      </c>
      <c r="N91" s="86">
        <f t="shared" si="178"/>
        <v>199720.74099719085</v>
      </c>
      <c r="O91" s="86">
        <f t="shared" si="178"/>
        <v>199999.99633467206</v>
      </c>
      <c r="P91" s="86">
        <f t="shared" si="178"/>
        <v>199999.99338692857</v>
      </c>
      <c r="Q91" s="86">
        <f t="shared" si="178"/>
        <v>199999.99945908776</v>
      </c>
      <c r="R91" s="86">
        <f t="shared" si="178"/>
        <v>199999.99624708932</v>
      </c>
      <c r="S91" s="86">
        <f t="shared" si="178"/>
        <v>199999.99352222338</v>
      </c>
      <c r="T91" s="86">
        <f t="shared" si="178"/>
        <v>199999.99894326756</v>
      </c>
      <c r="U91" s="86">
        <f t="shared" si="178"/>
        <v>199999.99991097196</v>
      </c>
      <c r="V91" s="86">
        <f t="shared" si="178"/>
        <v>199999.99938388015</v>
      </c>
      <c r="W91" s="86">
        <f t="shared" ref="W91:Y91" si="179">IF(W23=0,0,W23/W34*1000000)</f>
        <v>170612.59200855467</v>
      </c>
      <c r="X91" s="86">
        <f t="shared" si="179"/>
        <v>199999.9971400529</v>
      </c>
      <c r="Y91" s="86">
        <f t="shared" si="179"/>
        <v>190576.88845768821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11980290.139421925</v>
      </c>
      <c r="C94" s="28">
        <f t="shared" si="180"/>
        <v>11832479.292757424</v>
      </c>
      <c r="D94" s="28">
        <f t="shared" si="180"/>
        <v>11315776.995866355</v>
      </c>
      <c r="E94" s="28">
        <f t="shared" si="180"/>
        <v>11278025.429909766</v>
      </c>
      <c r="F94" s="28">
        <f t="shared" si="180"/>
        <v>11069760.312224474</v>
      </c>
      <c r="G94" s="28">
        <f t="shared" si="180"/>
        <v>11172621.027428739</v>
      </c>
      <c r="H94" s="28">
        <f t="shared" si="180"/>
        <v>11428687.377715526</v>
      </c>
      <c r="I94" s="28">
        <f t="shared" si="180"/>
        <v>12513113.168017212</v>
      </c>
      <c r="J94" s="28">
        <f t="shared" si="180"/>
        <v>13100897.251717143</v>
      </c>
      <c r="K94" s="28">
        <f t="shared" ref="K94:V94" si="181">IF(K4=0,0,K4/K26*1000000)</f>
        <v>13481747.736715684</v>
      </c>
      <c r="L94" s="28">
        <f t="shared" si="181"/>
        <v>13205021.592992883</v>
      </c>
      <c r="M94" s="28">
        <f t="shared" si="181"/>
        <v>11730694.610806378</v>
      </c>
      <c r="N94" s="28">
        <f t="shared" si="181"/>
        <v>9636187.6235307474</v>
      </c>
      <c r="O94" s="28">
        <f t="shared" si="181"/>
        <v>9019559.9771875404</v>
      </c>
      <c r="P94" s="28">
        <f t="shared" si="181"/>
        <v>9414151.1569470745</v>
      </c>
      <c r="Q94" s="28">
        <f t="shared" si="181"/>
        <v>9892926.0268494263</v>
      </c>
      <c r="R94" s="28">
        <f t="shared" si="181"/>
        <v>9242532.2632591873</v>
      </c>
      <c r="S94" s="28">
        <f t="shared" si="181"/>
        <v>8684164.5016342122</v>
      </c>
      <c r="T94" s="28">
        <f t="shared" si="181"/>
        <v>8768712.3220194895</v>
      </c>
      <c r="U94" s="28">
        <f t="shared" si="181"/>
        <v>8298851.1113969916</v>
      </c>
      <c r="V94" s="28">
        <f t="shared" si="181"/>
        <v>6063864.468765974</v>
      </c>
      <c r="W94" s="28">
        <f t="shared" ref="W94:Y94" si="182">IF(W4=0,0,W4/W26*1000000)</f>
        <v>6087943.7629288882</v>
      </c>
      <c r="X94" s="28">
        <f t="shared" si="182"/>
        <v>8006610.3474127371</v>
      </c>
      <c r="Y94" s="28">
        <f t="shared" si="182"/>
        <v>10317706.711844355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8881657.1779086646</v>
      </c>
      <c r="C95" s="108">
        <f t="shared" si="180"/>
        <v>8817448.0619503073</v>
      </c>
      <c r="D95" s="108">
        <f t="shared" si="180"/>
        <v>8752358.0953125432</v>
      </c>
      <c r="E95" s="108">
        <f t="shared" si="180"/>
        <v>8650865.7696128562</v>
      </c>
      <c r="F95" s="108">
        <f t="shared" si="180"/>
        <v>8671245.0978889819</v>
      </c>
      <c r="G95" s="108">
        <f t="shared" si="180"/>
        <v>8617790.9670642819</v>
      </c>
      <c r="H95" s="108">
        <f t="shared" si="180"/>
        <v>8670212.0220007263</v>
      </c>
      <c r="I95" s="108">
        <f t="shared" si="180"/>
        <v>8634373.3231515586</v>
      </c>
      <c r="J95" s="108">
        <f t="shared" si="180"/>
        <v>8630896.7930043675</v>
      </c>
      <c r="K95" s="108">
        <f t="shared" ref="K95:V95" si="183">IF(K5=0,0,K5/K27*1000000)</f>
        <v>8581710.3828272801</v>
      </c>
      <c r="L95" s="108">
        <f t="shared" si="183"/>
        <v>8578914.3482017256</v>
      </c>
      <c r="M95" s="108">
        <f t="shared" si="183"/>
        <v>8593381.6086604744</v>
      </c>
      <c r="N95" s="108">
        <f t="shared" si="183"/>
        <v>8581336.961644575</v>
      </c>
      <c r="O95" s="108">
        <f t="shared" si="183"/>
        <v>8601692.9313738011</v>
      </c>
      <c r="P95" s="108">
        <f t="shared" si="183"/>
        <v>8625040.7376864832</v>
      </c>
      <c r="Q95" s="108">
        <f t="shared" si="183"/>
        <v>8716580.7626485582</v>
      </c>
      <c r="R95" s="108">
        <f t="shared" si="183"/>
        <v>8658637.0261566807</v>
      </c>
      <c r="S95" s="108">
        <f t="shared" si="183"/>
        <v>8761402.4988160972</v>
      </c>
      <c r="T95" s="108">
        <f t="shared" si="183"/>
        <v>8874185.8494929224</v>
      </c>
      <c r="U95" s="108">
        <f t="shared" si="183"/>
        <v>7767842.2593115987</v>
      </c>
      <c r="V95" s="108">
        <f t="shared" si="183"/>
        <v>6049424.3140049586</v>
      </c>
      <c r="W95" s="108">
        <f t="shared" ref="W95:Y95" si="184">IF(W5=0,0,W5/W27*1000000)</f>
        <v>6033774.2316380208</v>
      </c>
      <c r="X95" s="108">
        <f t="shared" si="184"/>
        <v>6673692.4013507944</v>
      </c>
      <c r="Y95" s="108">
        <f t="shared" si="184"/>
        <v>6860794.4942503227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13938533.937652649</v>
      </c>
      <c r="C96" s="110">
        <f t="shared" si="180"/>
        <v>13863709.635337407</v>
      </c>
      <c r="D96" s="110">
        <f t="shared" si="180"/>
        <v>13022495.341788031</v>
      </c>
      <c r="E96" s="110">
        <f t="shared" si="180"/>
        <v>13170628.321075005</v>
      </c>
      <c r="F96" s="110">
        <f t="shared" si="180"/>
        <v>12653905.151003197</v>
      </c>
      <c r="G96" s="110">
        <f t="shared" si="180"/>
        <v>12824701.558376838</v>
      </c>
      <c r="H96" s="110">
        <f t="shared" si="180"/>
        <v>13208022.173012182</v>
      </c>
      <c r="I96" s="110">
        <f t="shared" si="180"/>
        <v>15424644.331775138</v>
      </c>
      <c r="J96" s="110">
        <f t="shared" si="180"/>
        <v>16026961.825380536</v>
      </c>
      <c r="K96" s="110">
        <f t="shared" ref="K96:V96" si="185">IF(K6=0,0,K6/K28*1000000)</f>
        <v>16509737.88225781</v>
      </c>
      <c r="L96" s="110">
        <f t="shared" si="185"/>
        <v>15970009.162827762</v>
      </c>
      <c r="M96" s="110">
        <f t="shared" si="185"/>
        <v>13486353.804671187</v>
      </c>
      <c r="N96" s="110">
        <f t="shared" si="185"/>
        <v>10245384.743510302</v>
      </c>
      <c r="O96" s="110">
        <f t="shared" si="185"/>
        <v>9276347.5628569536</v>
      </c>
      <c r="P96" s="110">
        <f t="shared" si="185"/>
        <v>9987834.9912504051</v>
      </c>
      <c r="Q96" s="110">
        <f t="shared" si="185"/>
        <v>10820907.257752689</v>
      </c>
      <c r="R96" s="110">
        <f t="shared" si="185"/>
        <v>9725476.9511488229</v>
      </c>
      <c r="S96" s="110">
        <f t="shared" si="185"/>
        <v>8621380.6703046151</v>
      </c>
      <c r="T96" s="110">
        <f t="shared" si="185"/>
        <v>8689057.1689013839</v>
      </c>
      <c r="U96" s="110">
        <f t="shared" si="185"/>
        <v>8753755.1977537386</v>
      </c>
      <c r="V96" s="110">
        <f t="shared" si="185"/>
        <v>6076630.3782417569</v>
      </c>
      <c r="W96" s="110">
        <f t="shared" ref="W96:Y96" si="186">IF(W6=0,0,W6/W28*1000000)</f>
        <v>6124636.0010999292</v>
      </c>
      <c r="X96" s="110">
        <f t="shared" si="186"/>
        <v>8782581.8644789644</v>
      </c>
      <c r="Y96" s="110">
        <f t="shared" si="186"/>
        <v>12078027.739718417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12838296.970703103</v>
      </c>
      <c r="C97" s="84">
        <f t="shared" si="180"/>
        <v>12451339.345121933</v>
      </c>
      <c r="D97" s="84">
        <f t="shared" si="180"/>
        <v>11683632.1170938</v>
      </c>
      <c r="E97" s="84">
        <f t="shared" si="180"/>
        <v>11907628.149426917</v>
      </c>
      <c r="F97" s="84">
        <f t="shared" si="180"/>
        <v>10864620.436258484</v>
      </c>
      <c r="G97" s="84">
        <f t="shared" si="180"/>
        <v>11938760.992023366</v>
      </c>
      <c r="H97" s="84">
        <f t="shared" si="180"/>
        <v>12109024.221201526</v>
      </c>
      <c r="I97" s="84">
        <f t="shared" si="180"/>
        <v>14142030.97267249</v>
      </c>
      <c r="J97" s="84">
        <f t="shared" si="180"/>
        <v>14852809.776536269</v>
      </c>
      <c r="K97" s="84">
        <f t="shared" ref="K97:V97" si="187">IF(K7=0,0,K7/K29*1000000)</f>
        <v>15950814.510726815</v>
      </c>
      <c r="L97" s="84">
        <f t="shared" si="187"/>
        <v>15346510.761293767</v>
      </c>
      <c r="M97" s="84">
        <f t="shared" si="187"/>
        <v>13382189.670040222</v>
      </c>
      <c r="N97" s="84">
        <f t="shared" si="187"/>
        <v>10252306.847039914</v>
      </c>
      <c r="O97" s="84">
        <f t="shared" si="187"/>
        <v>9182638.6915791128</v>
      </c>
      <c r="P97" s="84">
        <f t="shared" si="187"/>
        <v>9647651.7313219346</v>
      </c>
      <c r="Q97" s="84">
        <f t="shared" si="187"/>
        <v>10566764.878832581</v>
      </c>
      <c r="R97" s="84">
        <f t="shared" si="187"/>
        <v>9213941.1641688794</v>
      </c>
      <c r="S97" s="84">
        <f t="shared" si="187"/>
        <v>8111432.6345733348</v>
      </c>
      <c r="T97" s="84">
        <f t="shared" si="187"/>
        <v>8112856.0465232478</v>
      </c>
      <c r="U97" s="84">
        <f t="shared" si="187"/>
        <v>7950895.2697628336</v>
      </c>
      <c r="V97" s="84">
        <f t="shared" si="187"/>
        <v>5936117.9053446548</v>
      </c>
      <c r="W97" s="84">
        <f t="shared" ref="W97:Y97" si="188">IF(W7=0,0,W7/W29*1000000)</f>
        <v>6426128.0470424611</v>
      </c>
      <c r="X97" s="84">
        <f t="shared" si="188"/>
        <v>7324614.4252002649</v>
      </c>
      <c r="Y97" s="84">
        <f t="shared" si="188"/>
        <v>8816687.8831778634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15061880.490720075</v>
      </c>
      <c r="C98" s="84">
        <f t="shared" si="180"/>
        <v>15283716.853769448</v>
      </c>
      <c r="D98" s="84">
        <f t="shared" si="180"/>
        <v>14357548.151891213</v>
      </c>
      <c r="E98" s="84">
        <f t="shared" si="180"/>
        <v>14431309.487902958</v>
      </c>
      <c r="F98" s="84">
        <f t="shared" si="180"/>
        <v>14694844.660383254</v>
      </c>
      <c r="G98" s="84">
        <f t="shared" si="180"/>
        <v>13778699.854175769</v>
      </c>
      <c r="H98" s="84">
        <f t="shared" si="180"/>
        <v>14402228.340102483</v>
      </c>
      <c r="I98" s="84">
        <f t="shared" si="180"/>
        <v>16797170.172921069</v>
      </c>
      <c r="J98" s="84">
        <f t="shared" si="180"/>
        <v>17286600.196761228</v>
      </c>
      <c r="K98" s="84">
        <f t="shared" ref="K98:V98" si="189">IF(K8=0,0,K8/K30*1000000)</f>
        <v>17034759.49859149</v>
      </c>
      <c r="L98" s="84">
        <f t="shared" si="189"/>
        <v>16551474.011646537</v>
      </c>
      <c r="M98" s="84">
        <f t="shared" si="189"/>
        <v>13579404.041691586</v>
      </c>
      <c r="N98" s="84">
        <f t="shared" si="189"/>
        <v>10239360.71214615</v>
      </c>
      <c r="O98" s="84">
        <f t="shared" si="189"/>
        <v>9364564.2132527698</v>
      </c>
      <c r="P98" s="84">
        <f t="shared" si="189"/>
        <v>10305544.811974209</v>
      </c>
      <c r="Q98" s="84">
        <f t="shared" si="189"/>
        <v>11035380.126135593</v>
      </c>
      <c r="R98" s="84">
        <f t="shared" si="189"/>
        <v>10163556.072448615</v>
      </c>
      <c r="S98" s="84">
        <f t="shared" si="189"/>
        <v>9055020.0074080173</v>
      </c>
      <c r="T98" s="84">
        <f t="shared" si="189"/>
        <v>9078936.1415948942</v>
      </c>
      <c r="U98" s="84">
        <f t="shared" si="189"/>
        <v>9282666.2634955905</v>
      </c>
      <c r="V98" s="84">
        <f t="shared" si="189"/>
        <v>6164216.889195771</v>
      </c>
      <c r="W98" s="84">
        <f t="shared" ref="W98:Y98" si="190">IF(W8=0,0,W8/W30*1000000)</f>
        <v>5980677.5663932757</v>
      </c>
      <c r="X98" s="84">
        <f t="shared" si="190"/>
        <v>9589689.3267312031</v>
      </c>
      <c r="Y98" s="84">
        <f t="shared" si="190"/>
        <v>13707438.951548696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:Y99" si="192">IF(W9=0,0,W9/W31*1000000)</f>
        <v>0</v>
      </c>
      <c r="X99" s="113">
        <f t="shared" si="192"/>
        <v>0</v>
      </c>
      <c r="Y99" s="113">
        <f t="shared" si="192"/>
        <v>0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92183622.764817834</v>
      </c>
      <c r="C100" s="28">
        <f t="shared" si="180"/>
        <v>96137288.126558214</v>
      </c>
      <c r="D100" s="28">
        <f t="shared" si="180"/>
        <v>93182457.164793238</v>
      </c>
      <c r="E100" s="28">
        <f t="shared" si="180"/>
        <v>94223186.655450821</v>
      </c>
      <c r="F100" s="28">
        <f t="shared" si="180"/>
        <v>91865533.621569276</v>
      </c>
      <c r="G100" s="28">
        <f t="shared" si="180"/>
        <v>92061619.131047428</v>
      </c>
      <c r="H100" s="28">
        <f t="shared" si="180"/>
        <v>100215738.25553417</v>
      </c>
      <c r="I100" s="28">
        <f t="shared" si="180"/>
        <v>105178177.09974444</v>
      </c>
      <c r="J100" s="28">
        <f t="shared" si="180"/>
        <v>102372403.16960044</v>
      </c>
      <c r="K100" s="28">
        <f t="shared" ref="K100:V100" si="193">IF(K10=0,0,K10/K32*1000000)</f>
        <v>86838256.562691912</v>
      </c>
      <c r="L100" s="28">
        <f t="shared" si="193"/>
        <v>88751809.869079217</v>
      </c>
      <c r="M100" s="28">
        <f t="shared" si="193"/>
        <v>86167019.534395546</v>
      </c>
      <c r="N100" s="28">
        <f t="shared" si="193"/>
        <v>88486569.27933003</v>
      </c>
      <c r="O100" s="28">
        <f t="shared" si="193"/>
        <v>77968078.61275427</v>
      </c>
      <c r="P100" s="28">
        <f t="shared" si="193"/>
        <v>82086148.773958728</v>
      </c>
      <c r="Q100" s="28">
        <f t="shared" si="193"/>
        <v>83914665.240424737</v>
      </c>
      <c r="R100" s="28">
        <f t="shared" si="193"/>
        <v>78192391.728244096</v>
      </c>
      <c r="S100" s="28">
        <f t="shared" si="193"/>
        <v>84604876.296050727</v>
      </c>
      <c r="T100" s="28">
        <f t="shared" si="193"/>
        <v>91153092.2664693</v>
      </c>
      <c r="U100" s="28">
        <f t="shared" si="193"/>
        <v>96530054.58772929</v>
      </c>
      <c r="V100" s="28">
        <f t="shared" si="193"/>
        <v>101208895.34518716</v>
      </c>
      <c r="W100" s="28">
        <f t="shared" ref="W100:Y100" si="194">IF(W10=0,0,W10/W32*1000000)</f>
        <v>98705252.8278106</v>
      </c>
      <c r="X100" s="28">
        <f t="shared" si="194"/>
        <v>116122448.67068587</v>
      </c>
      <c r="Y100" s="28">
        <f t="shared" si="194"/>
        <v>110541986.83422089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130077874.37015617</v>
      </c>
      <c r="C101" s="84">
        <f t="shared" si="180"/>
        <v>114166771.58927907</v>
      </c>
      <c r="D101" s="84">
        <f t="shared" si="180"/>
        <v>116062593.76198915</v>
      </c>
      <c r="E101" s="84">
        <f t="shared" si="180"/>
        <v>112926291.07975277</v>
      </c>
      <c r="F101" s="84">
        <f t="shared" si="180"/>
        <v>103137155.80066098</v>
      </c>
      <c r="G101" s="84">
        <f t="shared" si="180"/>
        <v>104252728.88549569</v>
      </c>
      <c r="H101" s="84">
        <f t="shared" si="180"/>
        <v>116363224.97516327</v>
      </c>
      <c r="I101" s="84">
        <f t="shared" si="180"/>
        <v>113607353.63655083</v>
      </c>
      <c r="J101" s="84">
        <f t="shared" si="180"/>
        <v>113445254.44045109</v>
      </c>
      <c r="K101" s="84">
        <f t="shared" ref="K101:V101" si="195">IF(K11=0,0,K11/K33*1000000)</f>
        <v>98452262.383118033</v>
      </c>
      <c r="L101" s="84">
        <f t="shared" si="195"/>
        <v>101591840.59251976</v>
      </c>
      <c r="M101" s="84">
        <f t="shared" si="195"/>
        <v>94982156.111113176</v>
      </c>
      <c r="N101" s="84">
        <f t="shared" si="195"/>
        <v>96423993.83099547</v>
      </c>
      <c r="O101" s="84">
        <f t="shared" si="195"/>
        <v>90778313.16112633</v>
      </c>
      <c r="P101" s="84">
        <f t="shared" si="195"/>
        <v>102662147.69993772</v>
      </c>
      <c r="Q101" s="84">
        <f t="shared" si="195"/>
        <v>103777983.74904917</v>
      </c>
      <c r="R101" s="84">
        <f t="shared" si="195"/>
        <v>104153975.00566006</v>
      </c>
      <c r="S101" s="84">
        <f t="shared" si="195"/>
        <v>121208790.83243412</v>
      </c>
      <c r="T101" s="84">
        <f t="shared" si="195"/>
        <v>124190467.5511429</v>
      </c>
      <c r="U101" s="84">
        <f t="shared" si="195"/>
        <v>141504998.06839174</v>
      </c>
      <c r="V101" s="84">
        <f t="shared" si="195"/>
        <v>145211691.04418206</v>
      </c>
      <c r="W101" s="84">
        <f t="shared" ref="W101:Y101" si="196">IF(W11=0,0,W11/W33*1000000)</f>
        <v>126097630.19036606</v>
      </c>
      <c r="X101" s="84">
        <f t="shared" si="196"/>
        <v>153536168.29846185</v>
      </c>
      <c r="Y101" s="84">
        <f t="shared" si="196"/>
        <v>134703768.1364772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70064501.852986008</v>
      </c>
      <c r="C102" s="86">
        <f t="shared" si="180"/>
        <v>83240133.787428349</v>
      </c>
      <c r="D102" s="86">
        <f t="shared" si="180"/>
        <v>78481318.92345953</v>
      </c>
      <c r="E102" s="86">
        <f t="shared" si="180"/>
        <v>81709707.2099123</v>
      </c>
      <c r="F102" s="86">
        <f t="shared" si="180"/>
        <v>83933761.37128368</v>
      </c>
      <c r="G102" s="86">
        <f t="shared" si="180"/>
        <v>83373520.773484692</v>
      </c>
      <c r="H102" s="86">
        <f t="shared" si="180"/>
        <v>89061784.34355706</v>
      </c>
      <c r="I102" s="86">
        <f t="shared" si="180"/>
        <v>98648189.311343759</v>
      </c>
      <c r="J102" s="86">
        <f t="shared" si="180"/>
        <v>93798959.543625116</v>
      </c>
      <c r="K102" s="86">
        <f t="shared" ref="K102:V102" si="197">IF(K12=0,0,K12/K34*1000000)</f>
        <v>77686447.801543444</v>
      </c>
      <c r="L102" s="86">
        <f t="shared" si="197"/>
        <v>79059583.438067153</v>
      </c>
      <c r="M102" s="86">
        <f t="shared" si="197"/>
        <v>79699629.48841165</v>
      </c>
      <c r="N102" s="86">
        <f t="shared" si="197"/>
        <v>82566556.525730327</v>
      </c>
      <c r="O102" s="86">
        <f t="shared" si="197"/>
        <v>69635920.979223222</v>
      </c>
      <c r="P102" s="86">
        <f t="shared" si="197"/>
        <v>69386417.28537719</v>
      </c>
      <c r="Q102" s="86">
        <f t="shared" si="197"/>
        <v>73168463.807083562</v>
      </c>
      <c r="R102" s="86">
        <f t="shared" si="197"/>
        <v>65762301.225284219</v>
      </c>
      <c r="S102" s="86">
        <f t="shared" si="197"/>
        <v>69642740.707205355</v>
      </c>
      <c r="T102" s="86">
        <f t="shared" si="197"/>
        <v>78831469.369143769</v>
      </c>
      <c r="U102" s="86">
        <f t="shared" si="197"/>
        <v>81748521.876683623</v>
      </c>
      <c r="V102" s="86">
        <f t="shared" si="197"/>
        <v>86360545.467112556</v>
      </c>
      <c r="W102" s="86">
        <f t="shared" ref="W102:Y102" si="198">IF(W12=0,0,W12/W34*1000000)</f>
        <v>87823425.89572978</v>
      </c>
      <c r="X102" s="86">
        <f t="shared" si="198"/>
        <v>101779615.45155247</v>
      </c>
      <c r="Y102" s="86">
        <f t="shared" si="198"/>
        <v>101565186.86722696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0.28708536924934991</v>
      </c>
      <c r="C106" s="123">
        <f t="shared" si="199"/>
        <v>0.29995532349848597</v>
      </c>
      <c r="D106" s="123">
        <f t="shared" si="199"/>
        <v>0.30914392815559349</v>
      </c>
      <c r="E106" s="123">
        <f t="shared" si="199"/>
        <v>0.32119618889306534</v>
      </c>
      <c r="F106" s="123">
        <f t="shared" si="199"/>
        <v>0.31157664260227558</v>
      </c>
      <c r="G106" s="123">
        <f t="shared" si="199"/>
        <v>0.30290665766751546</v>
      </c>
      <c r="H106" s="123">
        <f t="shared" si="199"/>
        <v>0.29747105522292006</v>
      </c>
      <c r="I106" s="123">
        <f t="shared" si="199"/>
        <v>0.2958692187863704</v>
      </c>
      <c r="J106" s="123">
        <f t="shared" si="199"/>
        <v>0.26063820005316385</v>
      </c>
      <c r="K106" s="123">
        <f t="shared" ref="K106:V106" si="202">IF(K5=0,0,K5/K$4)</f>
        <v>0.243117917356205</v>
      </c>
      <c r="L106" s="123">
        <f t="shared" si="202"/>
        <v>0.24303992687880718</v>
      </c>
      <c r="M106" s="123">
        <f t="shared" si="202"/>
        <v>0.26284991229583549</v>
      </c>
      <c r="N106" s="123">
        <f t="shared" si="202"/>
        <v>0.32601813385654294</v>
      </c>
      <c r="O106" s="123">
        <f t="shared" si="202"/>
        <v>0.3629870253742366</v>
      </c>
      <c r="P106" s="123">
        <f t="shared" si="202"/>
        <v>0.38567572655401594</v>
      </c>
      <c r="Q106" s="123">
        <f t="shared" si="202"/>
        <v>0.38855049429292138</v>
      </c>
      <c r="R106" s="123">
        <f t="shared" si="202"/>
        <v>0.42408869173424513</v>
      </c>
      <c r="S106" s="123">
        <f t="shared" si="202"/>
        <v>0.45237402556431144</v>
      </c>
      <c r="T106" s="123">
        <f t="shared" si="202"/>
        <v>0.43544455906859697</v>
      </c>
      <c r="U106" s="123">
        <f t="shared" si="202"/>
        <v>0.43188060076272378</v>
      </c>
      <c r="V106" s="123">
        <f t="shared" si="202"/>
        <v>0.4681128930384526</v>
      </c>
      <c r="W106" s="123">
        <f t="shared" ref="W106:Y106" si="203">IF(W5=0,0,W5/W$4)</f>
        <v>0.40023165773517222</v>
      </c>
      <c r="X106" s="123">
        <f t="shared" si="203"/>
        <v>0.30669694886889998</v>
      </c>
      <c r="Y106" s="123">
        <f t="shared" si="203"/>
        <v>0.22435866959173559</v>
      </c>
      <c r="DA106" s="203"/>
    </row>
    <row r="107" spans="1:105" ht="11.45" customHeight="1" x14ac:dyDescent="0.25">
      <c r="A107" s="109" t="s">
        <v>24</v>
      </c>
      <c r="B107" s="124">
        <f t="shared" si="199"/>
        <v>0.71291463075065009</v>
      </c>
      <c r="C107" s="124">
        <f t="shared" si="199"/>
        <v>0.70004467650151403</v>
      </c>
      <c r="D107" s="124">
        <f t="shared" si="199"/>
        <v>0.69085607184440656</v>
      </c>
      <c r="E107" s="124">
        <f t="shared" si="199"/>
        <v>0.67880381110693466</v>
      </c>
      <c r="F107" s="124">
        <f t="shared" si="199"/>
        <v>0.68842335739772431</v>
      </c>
      <c r="G107" s="124">
        <f t="shared" si="199"/>
        <v>0.69709334233248443</v>
      </c>
      <c r="H107" s="124">
        <f t="shared" si="199"/>
        <v>0.70252894477707983</v>
      </c>
      <c r="I107" s="124">
        <f t="shared" si="199"/>
        <v>0.7041307812136296</v>
      </c>
      <c r="J107" s="124">
        <f t="shared" si="199"/>
        <v>0.73936179994683604</v>
      </c>
      <c r="K107" s="124">
        <f t="shared" ref="K107:V107" si="204">IF(K6=0,0,K6/K$4)</f>
        <v>0.75688208264379497</v>
      </c>
      <c r="L107" s="124">
        <f t="shared" si="204"/>
        <v>0.75696007312119284</v>
      </c>
      <c r="M107" s="124">
        <f t="shared" si="204"/>
        <v>0.73715008770416457</v>
      </c>
      <c r="N107" s="124">
        <f t="shared" si="204"/>
        <v>0.67398186614345712</v>
      </c>
      <c r="O107" s="124">
        <f t="shared" si="204"/>
        <v>0.63701297462576334</v>
      </c>
      <c r="P107" s="124">
        <f t="shared" si="204"/>
        <v>0.61432427344598406</v>
      </c>
      <c r="Q107" s="124">
        <f t="shared" si="204"/>
        <v>0.61144950570707868</v>
      </c>
      <c r="R107" s="124">
        <f t="shared" si="204"/>
        <v>0.57591130826575476</v>
      </c>
      <c r="S107" s="124">
        <f t="shared" si="204"/>
        <v>0.5476259744356885</v>
      </c>
      <c r="T107" s="124">
        <f t="shared" si="204"/>
        <v>0.56455544093140309</v>
      </c>
      <c r="U107" s="124">
        <f t="shared" si="204"/>
        <v>0.56811939923727617</v>
      </c>
      <c r="V107" s="124">
        <f t="shared" si="204"/>
        <v>0.5318871069615474</v>
      </c>
      <c r="W107" s="124">
        <f t="shared" ref="W107:Y107" si="205">IF(W6=0,0,W6/W$4)</f>
        <v>0.59976834226482778</v>
      </c>
      <c r="X107" s="124">
        <f t="shared" si="205"/>
        <v>0.69330305113110002</v>
      </c>
      <c r="Y107" s="124">
        <f t="shared" si="205"/>
        <v>0.77564133040826444</v>
      </c>
      <c r="DA107" s="176"/>
    </row>
    <row r="108" spans="1:105" ht="11.45" customHeight="1" x14ac:dyDescent="0.25">
      <c r="A108" s="111" t="s">
        <v>92</v>
      </c>
      <c r="B108" s="125">
        <f t="shared" si="199"/>
        <v>0.33173260457357034</v>
      </c>
      <c r="C108" s="125">
        <f t="shared" si="199"/>
        <v>0.31521130712497719</v>
      </c>
      <c r="D108" s="125">
        <f t="shared" si="199"/>
        <v>0.30947239907846069</v>
      </c>
      <c r="E108" s="125">
        <f t="shared" si="199"/>
        <v>0.30657292023744831</v>
      </c>
      <c r="F108" s="125">
        <f t="shared" si="199"/>
        <v>0.31495718129698341</v>
      </c>
      <c r="G108" s="125">
        <f t="shared" si="199"/>
        <v>0.33647060718035532</v>
      </c>
      <c r="H108" s="125">
        <f t="shared" si="199"/>
        <v>0.33540704256633608</v>
      </c>
      <c r="I108" s="125">
        <f t="shared" si="199"/>
        <v>0.333720734367561</v>
      </c>
      <c r="J108" s="125">
        <f t="shared" si="199"/>
        <v>0.35463135330138568</v>
      </c>
      <c r="K108" s="125">
        <f t="shared" ref="K108:V108" si="206">IF(K7=0,0,K7/K$4)</f>
        <v>0.35419371789013504</v>
      </c>
      <c r="L108" s="125">
        <f t="shared" si="206"/>
        <v>0.35101616687627979</v>
      </c>
      <c r="M108" s="125">
        <f t="shared" si="206"/>
        <v>0.34511789364803064</v>
      </c>
      <c r="N108" s="125">
        <f t="shared" si="206"/>
        <v>0.3138257909938344</v>
      </c>
      <c r="O108" s="125">
        <f t="shared" si="206"/>
        <v>0.30577057991022399</v>
      </c>
      <c r="P108" s="125">
        <f t="shared" si="206"/>
        <v>0.28656507197037095</v>
      </c>
      <c r="Q108" s="125">
        <f t="shared" si="206"/>
        <v>0.27327185978568069</v>
      </c>
      <c r="R108" s="125">
        <f t="shared" si="206"/>
        <v>0.25170692448152393</v>
      </c>
      <c r="S108" s="125">
        <f t="shared" si="206"/>
        <v>0.2367834448411176</v>
      </c>
      <c r="T108" s="125">
        <f t="shared" si="206"/>
        <v>0.21272786999896431</v>
      </c>
      <c r="U108" s="125">
        <f t="shared" si="206"/>
        <v>0.20493416024383745</v>
      </c>
      <c r="V108" s="125">
        <f t="shared" si="206"/>
        <v>0.19951384434858288</v>
      </c>
      <c r="W108" s="125">
        <f t="shared" ref="W108:Y108" si="207">IF(W7=0,0,W7/W$4)</f>
        <v>0.203371604351652</v>
      </c>
      <c r="X108" s="125">
        <f t="shared" si="207"/>
        <v>0.2060319000216686</v>
      </c>
      <c r="Y108" s="125">
        <f t="shared" si="207"/>
        <v>0.1886364125406739</v>
      </c>
      <c r="DA108" s="171"/>
    </row>
    <row r="109" spans="1:105" ht="11.45" customHeight="1" x14ac:dyDescent="0.25">
      <c r="A109" s="111" t="s">
        <v>93</v>
      </c>
      <c r="B109" s="125">
        <f t="shared" si="199"/>
        <v>0.38118202617707975</v>
      </c>
      <c r="C109" s="125">
        <f t="shared" si="199"/>
        <v>0.38483336937653684</v>
      </c>
      <c r="D109" s="125">
        <f t="shared" si="199"/>
        <v>0.38138367276594587</v>
      </c>
      <c r="E109" s="125">
        <f t="shared" si="199"/>
        <v>0.37223089086948635</v>
      </c>
      <c r="F109" s="125">
        <f t="shared" si="199"/>
        <v>0.3734661761007409</v>
      </c>
      <c r="G109" s="125">
        <f t="shared" si="199"/>
        <v>0.36062273515212917</v>
      </c>
      <c r="H109" s="125">
        <f t="shared" si="199"/>
        <v>0.36712190221074381</v>
      </c>
      <c r="I109" s="125">
        <f t="shared" si="199"/>
        <v>0.3704100468460686</v>
      </c>
      <c r="J109" s="125">
        <f t="shared" si="199"/>
        <v>0.38473044664545042</v>
      </c>
      <c r="K109" s="125">
        <f t="shared" ref="K109:V109" si="208">IF(K8=0,0,K8/K$4)</f>
        <v>0.40268836475365993</v>
      </c>
      <c r="L109" s="125">
        <f t="shared" si="208"/>
        <v>0.40594390624491306</v>
      </c>
      <c r="M109" s="125">
        <f t="shared" si="208"/>
        <v>0.39203219405613393</v>
      </c>
      <c r="N109" s="125">
        <f t="shared" si="208"/>
        <v>0.36015607514962267</v>
      </c>
      <c r="O109" s="125">
        <f t="shared" si="208"/>
        <v>0.3312423947155394</v>
      </c>
      <c r="P109" s="125">
        <f t="shared" si="208"/>
        <v>0.3277592014756131</v>
      </c>
      <c r="Q109" s="125">
        <f t="shared" si="208"/>
        <v>0.33817764592139804</v>
      </c>
      <c r="R109" s="125">
        <f t="shared" si="208"/>
        <v>0.32420438378423089</v>
      </c>
      <c r="S109" s="125">
        <f t="shared" si="208"/>
        <v>0.31084252959457087</v>
      </c>
      <c r="T109" s="125">
        <f t="shared" si="208"/>
        <v>0.35182757093243883</v>
      </c>
      <c r="U109" s="125">
        <f t="shared" si="208"/>
        <v>0.36318523899343869</v>
      </c>
      <c r="V109" s="125">
        <f t="shared" si="208"/>
        <v>0.3323732626129644</v>
      </c>
      <c r="W109" s="125">
        <f t="shared" ref="W109:Y109" si="209">IF(W8=0,0,W8/W$4)</f>
        <v>0.39639673791317581</v>
      </c>
      <c r="X109" s="125">
        <f t="shared" si="209"/>
        <v>0.48727115110943142</v>
      </c>
      <c r="Y109" s="125">
        <f t="shared" si="209"/>
        <v>0.58700491786759057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:Y110" si="211">IF(W9=0,0,W9/W$4)</f>
        <v>0</v>
      </c>
      <c r="X110" s="126">
        <f t="shared" si="211"/>
        <v>0</v>
      </c>
      <c r="Y110" s="126">
        <f t="shared" si="211"/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0.52007920516917949</v>
      </c>
      <c r="C112" s="125">
        <f t="shared" si="212"/>
        <v>0.4952323906040052</v>
      </c>
      <c r="D112" s="125">
        <f t="shared" si="212"/>
        <v>0.48723397795925805</v>
      </c>
      <c r="E112" s="125">
        <f t="shared" si="212"/>
        <v>0.48042985310066066</v>
      </c>
      <c r="F112" s="125">
        <f t="shared" si="212"/>
        <v>0.46371888400066841</v>
      </c>
      <c r="G112" s="125">
        <f t="shared" si="212"/>
        <v>0.47121545792741354</v>
      </c>
      <c r="H112" s="125">
        <f t="shared" si="212"/>
        <v>0.47437642769791633</v>
      </c>
      <c r="I112" s="125">
        <f t="shared" si="212"/>
        <v>0.47150449807882566</v>
      </c>
      <c r="J112" s="125">
        <f t="shared" si="212"/>
        <v>0.48359084778647993</v>
      </c>
      <c r="K112" s="125">
        <f t="shared" ref="K112:V112" si="215">IF(K11=0,0,K11/K$10)</f>
        <v>0.49965768258093363</v>
      </c>
      <c r="L112" s="125">
        <f t="shared" si="215"/>
        <v>0.49238006704414211</v>
      </c>
      <c r="M112" s="125">
        <f t="shared" si="215"/>
        <v>0.46648195182021085</v>
      </c>
      <c r="N112" s="125">
        <f t="shared" si="215"/>
        <v>0.46552979099511277</v>
      </c>
      <c r="O112" s="125">
        <f t="shared" si="215"/>
        <v>0.45884777448617214</v>
      </c>
      <c r="P112" s="125">
        <f t="shared" si="215"/>
        <v>0.47731755424063127</v>
      </c>
      <c r="Q112" s="125">
        <f t="shared" si="215"/>
        <v>0.43417600763176717</v>
      </c>
      <c r="R112" s="125">
        <f t="shared" si="215"/>
        <v>0.43126935169784625</v>
      </c>
      <c r="S112" s="125">
        <f t="shared" si="215"/>
        <v>0.41568891507068928</v>
      </c>
      <c r="T112" s="125">
        <f t="shared" si="215"/>
        <v>0.3701019003340304</v>
      </c>
      <c r="U112" s="125">
        <f t="shared" si="215"/>
        <v>0.3626132900965377</v>
      </c>
      <c r="V112" s="125">
        <f t="shared" si="215"/>
        <v>0.36199799874871225</v>
      </c>
      <c r="W112" s="125">
        <f t="shared" ref="W112:Y112" si="216">IF(W11=0,0,W11/W$10)</f>
        <v>0.36321376863196858</v>
      </c>
      <c r="X112" s="125">
        <f t="shared" si="216"/>
        <v>0.36640730030730823</v>
      </c>
      <c r="Y112" s="125">
        <f t="shared" si="216"/>
        <v>0.33009588834266557</v>
      </c>
      <c r="DA112" s="171"/>
    </row>
    <row r="113" spans="1:105" ht="11.45" customHeight="1" x14ac:dyDescent="0.25">
      <c r="A113" s="85" t="s">
        <v>93</v>
      </c>
      <c r="B113" s="127">
        <f t="shared" si="212"/>
        <v>0.47992079483082045</v>
      </c>
      <c r="C113" s="127">
        <f t="shared" si="212"/>
        <v>0.50476760939599485</v>
      </c>
      <c r="D113" s="127">
        <f t="shared" si="212"/>
        <v>0.51276602204074195</v>
      </c>
      <c r="E113" s="127">
        <f t="shared" si="212"/>
        <v>0.51957014689933934</v>
      </c>
      <c r="F113" s="127">
        <f t="shared" si="212"/>
        <v>0.53628111599933159</v>
      </c>
      <c r="G113" s="127">
        <f t="shared" si="212"/>
        <v>0.52878454207258652</v>
      </c>
      <c r="H113" s="127">
        <f t="shared" si="212"/>
        <v>0.52562357230208367</v>
      </c>
      <c r="I113" s="127">
        <f t="shared" si="212"/>
        <v>0.52849550192117434</v>
      </c>
      <c r="J113" s="127">
        <f t="shared" si="212"/>
        <v>0.51640915221352002</v>
      </c>
      <c r="K113" s="127">
        <f t="shared" ref="K113:V113" si="217">IF(K12=0,0,K12/K$10)</f>
        <v>0.50034231741906632</v>
      </c>
      <c r="L113" s="127">
        <f t="shared" si="217"/>
        <v>0.50761993295585783</v>
      </c>
      <c r="M113" s="127">
        <f t="shared" si="217"/>
        <v>0.5335180481797891</v>
      </c>
      <c r="N113" s="127">
        <f t="shared" si="217"/>
        <v>0.53447020900488729</v>
      </c>
      <c r="O113" s="127">
        <f t="shared" si="217"/>
        <v>0.5411522255138278</v>
      </c>
      <c r="P113" s="127">
        <f t="shared" si="217"/>
        <v>0.52268244575936873</v>
      </c>
      <c r="Q113" s="127">
        <f t="shared" si="217"/>
        <v>0.56582399236823289</v>
      </c>
      <c r="R113" s="127">
        <f t="shared" si="217"/>
        <v>0.56873064830215381</v>
      </c>
      <c r="S113" s="127">
        <f t="shared" si="217"/>
        <v>0.58431108492931072</v>
      </c>
      <c r="T113" s="127">
        <f t="shared" si="217"/>
        <v>0.62989809966596966</v>
      </c>
      <c r="U113" s="127">
        <f t="shared" si="217"/>
        <v>0.63738670990346225</v>
      </c>
      <c r="V113" s="127">
        <f t="shared" si="217"/>
        <v>0.6380020012512877</v>
      </c>
      <c r="W113" s="127">
        <f t="shared" ref="W113:Y113" si="218">IF(W12=0,0,W12/W$10)</f>
        <v>0.63678623136803147</v>
      </c>
      <c r="X113" s="127">
        <f t="shared" si="218"/>
        <v>0.63359269969269183</v>
      </c>
      <c r="Y113" s="127">
        <f t="shared" si="218"/>
        <v>0.66990411165733443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0.31668076985098437</v>
      </c>
      <c r="C117" s="123">
        <f t="shared" si="219"/>
        <v>0.33067727882595011</v>
      </c>
      <c r="D117" s="123">
        <f t="shared" si="219"/>
        <v>0.32807061779506469</v>
      </c>
      <c r="E117" s="123">
        <f t="shared" si="219"/>
        <v>0.34567500189691225</v>
      </c>
      <c r="F117" s="123">
        <f t="shared" si="219"/>
        <v>0.3263016755915234</v>
      </c>
      <c r="G117" s="123">
        <f t="shared" si="219"/>
        <v>0.32167054710881293</v>
      </c>
      <c r="H117" s="123">
        <f t="shared" si="219"/>
        <v>0.32112785832039131</v>
      </c>
      <c r="I117" s="123">
        <f t="shared" si="219"/>
        <v>0.35503352251908704</v>
      </c>
      <c r="J117" s="123">
        <f t="shared" si="219"/>
        <v>0.32434275557488274</v>
      </c>
      <c r="K117" s="123">
        <f t="shared" ref="K117:V117" si="222">IF(K16=0,0,K16/K$15)</f>
        <v>0.31184696672075973</v>
      </c>
      <c r="L117" s="123">
        <f t="shared" si="222"/>
        <v>0.30473838947722587</v>
      </c>
      <c r="M117" s="123">
        <f t="shared" si="222"/>
        <v>0.29097009183661859</v>
      </c>
      <c r="N117" s="123">
        <f t="shared" si="222"/>
        <v>0.29751330469230913</v>
      </c>
      <c r="O117" s="123">
        <f t="shared" si="222"/>
        <v>0.31998997839346471</v>
      </c>
      <c r="P117" s="123">
        <f t="shared" si="222"/>
        <v>0.35819357977893529</v>
      </c>
      <c r="Q117" s="123">
        <f t="shared" si="222"/>
        <v>0.36832211659417463</v>
      </c>
      <c r="R117" s="123">
        <f t="shared" si="222"/>
        <v>0.37754669084369791</v>
      </c>
      <c r="S117" s="123">
        <f t="shared" si="222"/>
        <v>0.37347236205563633</v>
      </c>
      <c r="T117" s="123">
        <f t="shared" si="222"/>
        <v>0.35854232861567209</v>
      </c>
      <c r="U117" s="123">
        <f t="shared" si="222"/>
        <v>0.38583660496949806</v>
      </c>
      <c r="V117" s="123">
        <f t="shared" si="222"/>
        <v>0.35878408154272223</v>
      </c>
      <c r="W117" s="123">
        <f t="shared" ref="W117:Y117" si="223">IF(W16=0,0,W16/W$15)</f>
        <v>0.30737465093351662</v>
      </c>
      <c r="X117" s="123">
        <f t="shared" si="223"/>
        <v>0.24153855295331583</v>
      </c>
      <c r="Y117" s="123">
        <f t="shared" si="223"/>
        <v>0.2132583097695599</v>
      </c>
      <c r="DA117" s="203"/>
    </row>
    <row r="118" spans="1:105" ht="11.45" customHeight="1" x14ac:dyDescent="0.25">
      <c r="A118" s="109" t="s">
        <v>24</v>
      </c>
      <c r="B118" s="124">
        <f t="shared" si="219"/>
        <v>0.68331923014901563</v>
      </c>
      <c r="C118" s="124">
        <f t="shared" si="219"/>
        <v>0.66932272117404989</v>
      </c>
      <c r="D118" s="124">
        <f t="shared" si="219"/>
        <v>0.67192938220493537</v>
      </c>
      <c r="E118" s="124">
        <f t="shared" si="219"/>
        <v>0.65432499810308775</v>
      </c>
      <c r="F118" s="124">
        <f t="shared" si="219"/>
        <v>0.67369832440847666</v>
      </c>
      <c r="G118" s="124">
        <f t="shared" si="219"/>
        <v>0.67832945289118707</v>
      </c>
      <c r="H118" s="124">
        <f t="shared" si="219"/>
        <v>0.67887214167960874</v>
      </c>
      <c r="I118" s="124">
        <f t="shared" si="219"/>
        <v>0.64496647748091296</v>
      </c>
      <c r="J118" s="124">
        <f t="shared" si="219"/>
        <v>0.67565724442511721</v>
      </c>
      <c r="K118" s="124">
        <f t="shared" ref="K118:V118" si="224">IF(K17=0,0,K17/K$15)</f>
        <v>0.68815303327924027</v>
      </c>
      <c r="L118" s="124">
        <f t="shared" si="224"/>
        <v>0.69526161052277413</v>
      </c>
      <c r="M118" s="124">
        <f t="shared" si="224"/>
        <v>0.70902990816338141</v>
      </c>
      <c r="N118" s="124">
        <f t="shared" si="224"/>
        <v>0.70248669530769081</v>
      </c>
      <c r="O118" s="124">
        <f t="shared" si="224"/>
        <v>0.68001002160653534</v>
      </c>
      <c r="P118" s="124">
        <f t="shared" si="224"/>
        <v>0.64180642022106471</v>
      </c>
      <c r="Q118" s="124">
        <f t="shared" si="224"/>
        <v>0.63167788340582542</v>
      </c>
      <c r="R118" s="124">
        <f t="shared" si="224"/>
        <v>0.62245330915630204</v>
      </c>
      <c r="S118" s="124">
        <f t="shared" si="224"/>
        <v>0.62652763794436361</v>
      </c>
      <c r="T118" s="124">
        <f t="shared" si="224"/>
        <v>0.64145767138432785</v>
      </c>
      <c r="U118" s="124">
        <f t="shared" si="224"/>
        <v>0.61416339503050188</v>
      </c>
      <c r="V118" s="124">
        <f t="shared" si="224"/>
        <v>0.64121591845727788</v>
      </c>
      <c r="W118" s="124">
        <f t="shared" ref="W118:Y118" si="225">IF(W17=0,0,W17/W$15)</f>
        <v>0.69262534906648332</v>
      </c>
      <c r="X118" s="124">
        <f t="shared" si="225"/>
        <v>0.75846144704668417</v>
      </c>
      <c r="Y118" s="124">
        <f t="shared" si="225"/>
        <v>0.78674169023044016</v>
      </c>
      <c r="DA118" s="176"/>
    </row>
    <row r="119" spans="1:105" ht="11.45" customHeight="1" x14ac:dyDescent="0.25">
      <c r="A119" s="111" t="s">
        <v>92</v>
      </c>
      <c r="B119" s="125">
        <f t="shared" si="219"/>
        <v>0.34521046513828729</v>
      </c>
      <c r="C119" s="125">
        <f t="shared" si="219"/>
        <v>0.33556370486212012</v>
      </c>
      <c r="D119" s="125">
        <f t="shared" si="219"/>
        <v>0.3354859284080115</v>
      </c>
      <c r="E119" s="125">
        <f t="shared" si="219"/>
        <v>0.32686186866611711</v>
      </c>
      <c r="F119" s="125">
        <f t="shared" si="219"/>
        <v>0.35898094929849289</v>
      </c>
      <c r="G119" s="125">
        <f t="shared" si="219"/>
        <v>0.35171013321519279</v>
      </c>
      <c r="H119" s="125">
        <f t="shared" si="219"/>
        <v>0.35352862432916593</v>
      </c>
      <c r="I119" s="125">
        <f t="shared" si="219"/>
        <v>0.3334036704935725</v>
      </c>
      <c r="J119" s="125">
        <f t="shared" si="219"/>
        <v>0.3496947760907807</v>
      </c>
      <c r="K119" s="125">
        <f t="shared" ref="K119:V119" si="226">IF(K18=0,0,K18/K$15)</f>
        <v>0.33331508645340474</v>
      </c>
      <c r="L119" s="125">
        <f t="shared" si="226"/>
        <v>0.33550416286329499</v>
      </c>
      <c r="M119" s="125">
        <f t="shared" si="226"/>
        <v>0.33453647774064887</v>
      </c>
      <c r="N119" s="125">
        <f t="shared" si="226"/>
        <v>0.32687763071240922</v>
      </c>
      <c r="O119" s="125">
        <f t="shared" si="226"/>
        <v>0.34431503302765382</v>
      </c>
      <c r="P119" s="125">
        <f t="shared" si="226"/>
        <v>0.31626159045545887</v>
      </c>
      <c r="Q119" s="125">
        <f t="shared" si="226"/>
        <v>0.28638894910103152</v>
      </c>
      <c r="R119" s="125">
        <f t="shared" si="226"/>
        <v>0.28715197690215311</v>
      </c>
      <c r="S119" s="125">
        <f t="shared" si="226"/>
        <v>0.28792991420982617</v>
      </c>
      <c r="T119" s="125">
        <f t="shared" si="226"/>
        <v>0.25533120552564509</v>
      </c>
      <c r="U119" s="125">
        <f t="shared" si="226"/>
        <v>0.24391416888702469</v>
      </c>
      <c r="V119" s="125">
        <f t="shared" si="226"/>
        <v>0.24446388787800657</v>
      </c>
      <c r="W119" s="125">
        <f t="shared" ref="W119:Y119" si="227">IF(W18=0,0,W18/W$15)</f>
        <v>0.22383915798424903</v>
      </c>
      <c r="X119" s="125">
        <f t="shared" si="227"/>
        <v>0.27026032832910268</v>
      </c>
      <c r="Y119" s="125">
        <f t="shared" si="227"/>
        <v>0.26211224041219711</v>
      </c>
      <c r="DA119" s="171"/>
    </row>
    <row r="120" spans="1:105" ht="11.45" customHeight="1" x14ac:dyDescent="0.25">
      <c r="A120" s="111" t="s">
        <v>93</v>
      </c>
      <c r="B120" s="125">
        <f t="shared" si="219"/>
        <v>0.33810876501072828</v>
      </c>
      <c r="C120" s="125">
        <f t="shared" si="219"/>
        <v>0.33375901631192978</v>
      </c>
      <c r="D120" s="125">
        <f t="shared" si="219"/>
        <v>0.33644345379692392</v>
      </c>
      <c r="E120" s="125">
        <f t="shared" si="219"/>
        <v>0.32746312943697065</v>
      </c>
      <c r="F120" s="125">
        <f t="shared" si="219"/>
        <v>0.31471737510998377</v>
      </c>
      <c r="G120" s="125">
        <f t="shared" si="219"/>
        <v>0.32661931967599428</v>
      </c>
      <c r="H120" s="125">
        <f t="shared" si="219"/>
        <v>0.32534351735044281</v>
      </c>
      <c r="I120" s="125">
        <f t="shared" si="219"/>
        <v>0.31156280698734046</v>
      </c>
      <c r="J120" s="125">
        <f t="shared" si="219"/>
        <v>0.32596246833433651</v>
      </c>
      <c r="K120" s="125">
        <f t="shared" ref="K120:V120" si="228">IF(K19=0,0,K19/K$15)</f>
        <v>0.35483794682583553</v>
      </c>
      <c r="L120" s="125">
        <f t="shared" si="228"/>
        <v>0.35975744765947909</v>
      </c>
      <c r="M120" s="125">
        <f t="shared" si="228"/>
        <v>0.37449343042273253</v>
      </c>
      <c r="N120" s="125">
        <f t="shared" si="228"/>
        <v>0.37560906459528159</v>
      </c>
      <c r="O120" s="125">
        <f t="shared" si="228"/>
        <v>0.33569498857888153</v>
      </c>
      <c r="P120" s="125">
        <f t="shared" si="228"/>
        <v>0.32554482976560589</v>
      </c>
      <c r="Q120" s="125">
        <f t="shared" si="228"/>
        <v>0.34528893430479385</v>
      </c>
      <c r="R120" s="125">
        <f t="shared" si="228"/>
        <v>0.33530133225414893</v>
      </c>
      <c r="S120" s="125">
        <f t="shared" si="228"/>
        <v>0.3385977237345375</v>
      </c>
      <c r="T120" s="125">
        <f t="shared" si="228"/>
        <v>0.38612646585868277</v>
      </c>
      <c r="U120" s="125">
        <f t="shared" si="228"/>
        <v>0.37024922614347722</v>
      </c>
      <c r="V120" s="125">
        <f t="shared" si="228"/>
        <v>0.39675203057927128</v>
      </c>
      <c r="W120" s="125">
        <f t="shared" ref="W120:Y120" si="229">IF(W19=0,0,W19/W$15)</f>
        <v>0.46878619108223435</v>
      </c>
      <c r="X120" s="125">
        <f t="shared" si="229"/>
        <v>0.48820111871758143</v>
      </c>
      <c r="Y120" s="125">
        <f t="shared" si="229"/>
        <v>0.52462944981824311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:Y121" si="231">IF(W20=0,0,W20/W$15)</f>
        <v>0</v>
      </c>
      <c r="X121" s="126">
        <f t="shared" si="231"/>
        <v>0</v>
      </c>
      <c r="Y121" s="126">
        <f t="shared" si="231"/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0.36856987936813618</v>
      </c>
      <c r="C123" s="125">
        <f t="shared" si="232"/>
        <v>0.41702414124682269</v>
      </c>
      <c r="D123" s="125">
        <f t="shared" si="232"/>
        <v>0.39118254536554226</v>
      </c>
      <c r="E123" s="125">
        <f t="shared" si="232"/>
        <v>0.40085997398363987</v>
      </c>
      <c r="F123" s="125">
        <f t="shared" si="232"/>
        <v>0.41304011524133477</v>
      </c>
      <c r="G123" s="125">
        <f t="shared" si="232"/>
        <v>0.41611244823272953</v>
      </c>
      <c r="H123" s="125">
        <f t="shared" si="232"/>
        <v>0.40854816665545268</v>
      </c>
      <c r="I123" s="125">
        <f t="shared" si="232"/>
        <v>0.43652088626392721</v>
      </c>
      <c r="J123" s="125">
        <f t="shared" si="232"/>
        <v>0.42958499390280275</v>
      </c>
      <c r="K123" s="125">
        <f t="shared" ref="K123:V123" si="235">IF(K22=0,0,K22/K$21)</f>
        <v>0.43469659647828118</v>
      </c>
      <c r="L123" s="125">
        <f t="shared" si="235"/>
        <v>0.4218643632085099</v>
      </c>
      <c r="M123" s="125">
        <f t="shared" si="235"/>
        <v>0.40473652120195475</v>
      </c>
      <c r="N123" s="125">
        <f t="shared" si="235"/>
        <v>0.41453266579627285</v>
      </c>
      <c r="O123" s="125">
        <f t="shared" si="235"/>
        <v>0.39321346442209576</v>
      </c>
      <c r="P123" s="125">
        <f t="shared" si="235"/>
        <v>0.38165147303386693</v>
      </c>
      <c r="Q123" s="125">
        <f t="shared" si="235"/>
        <v>0.33321863818262215</v>
      </c>
      <c r="R123" s="125">
        <f t="shared" si="235"/>
        <v>0.32377047608999199</v>
      </c>
      <c r="S123" s="125">
        <f t="shared" si="235"/>
        <v>0.29015476330388201</v>
      </c>
      <c r="T123" s="125">
        <f t="shared" si="235"/>
        <v>0.25108521552350704</v>
      </c>
      <c r="U123" s="125">
        <f t="shared" si="235"/>
        <v>0.24628097170445309</v>
      </c>
      <c r="V123" s="125">
        <f t="shared" si="235"/>
        <v>0.25230348241302875</v>
      </c>
      <c r="W123" s="125">
        <f t="shared" ref="W123:Y123" si="236">IF(W22=0,0,W22/W$21)</f>
        <v>0.31772452088047909</v>
      </c>
      <c r="X123" s="125">
        <f t="shared" si="236"/>
        <v>0.2740929036826778</v>
      </c>
      <c r="Y123" s="125">
        <f t="shared" si="236"/>
        <v>0.21741540833095527</v>
      </c>
      <c r="DA123" s="171"/>
    </row>
    <row r="124" spans="1:105" ht="11.45" customHeight="1" x14ac:dyDescent="0.25">
      <c r="A124" s="85" t="s">
        <v>93</v>
      </c>
      <c r="B124" s="127">
        <f t="shared" si="232"/>
        <v>0.63143012063186388</v>
      </c>
      <c r="C124" s="127">
        <f t="shared" si="232"/>
        <v>0.58297585875317737</v>
      </c>
      <c r="D124" s="127">
        <f t="shared" si="232"/>
        <v>0.6088174546344578</v>
      </c>
      <c r="E124" s="127">
        <f t="shared" si="232"/>
        <v>0.59914002601636018</v>
      </c>
      <c r="F124" s="127">
        <f t="shared" si="232"/>
        <v>0.58695988475866523</v>
      </c>
      <c r="G124" s="127">
        <f t="shared" si="232"/>
        <v>0.58388755176727047</v>
      </c>
      <c r="H124" s="127">
        <f t="shared" si="232"/>
        <v>0.59145183334454732</v>
      </c>
      <c r="I124" s="127">
        <f t="shared" si="232"/>
        <v>0.56347911373607285</v>
      </c>
      <c r="J124" s="127">
        <f t="shared" si="232"/>
        <v>0.57041500609719731</v>
      </c>
      <c r="K124" s="127">
        <f t="shared" ref="K124:V124" si="237">IF(K23=0,0,K23/K$21)</f>
        <v>0.56530340352171882</v>
      </c>
      <c r="L124" s="127">
        <f t="shared" si="237"/>
        <v>0.57813563679149005</v>
      </c>
      <c r="M124" s="127">
        <f t="shared" si="237"/>
        <v>0.5952634787980452</v>
      </c>
      <c r="N124" s="127">
        <f t="shared" si="237"/>
        <v>0.5854673342037271</v>
      </c>
      <c r="O124" s="127">
        <f t="shared" si="237"/>
        <v>0.6067865355779043</v>
      </c>
      <c r="P124" s="127">
        <f t="shared" si="237"/>
        <v>0.61834852696613307</v>
      </c>
      <c r="Q124" s="127">
        <f t="shared" si="237"/>
        <v>0.66678136181737779</v>
      </c>
      <c r="R124" s="127">
        <f t="shared" si="237"/>
        <v>0.67622952391000801</v>
      </c>
      <c r="S124" s="127">
        <f t="shared" si="237"/>
        <v>0.70984523669611799</v>
      </c>
      <c r="T124" s="127">
        <f t="shared" si="237"/>
        <v>0.74891478447649296</v>
      </c>
      <c r="U124" s="127">
        <f t="shared" si="237"/>
        <v>0.75371902829554682</v>
      </c>
      <c r="V124" s="127">
        <f t="shared" si="237"/>
        <v>0.7476965175869712</v>
      </c>
      <c r="W124" s="127">
        <f t="shared" ref="W124:Y124" si="238">IF(W23=0,0,W23/W$21)</f>
        <v>0.68227547911952091</v>
      </c>
      <c r="X124" s="127">
        <f t="shared" si="238"/>
        <v>0.7259070963173222</v>
      </c>
      <c r="Y124" s="127">
        <f t="shared" si="238"/>
        <v>0.78258459166904482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45.857695614789336</v>
      </c>
      <c r="C4" s="146">
        <f t="shared" ref="C4:V4" si="0">SUM(C5,C8)</f>
        <v>46.963800515907138</v>
      </c>
      <c r="D4" s="146">
        <f t="shared" si="0"/>
        <v>47.823645743766122</v>
      </c>
      <c r="E4" s="146">
        <f t="shared" si="0"/>
        <v>47.995614789337921</v>
      </c>
      <c r="F4" s="146">
        <f t="shared" si="0"/>
        <v>49.433963886500422</v>
      </c>
      <c r="G4" s="146">
        <f t="shared" si="0"/>
        <v>51.571883061049007</v>
      </c>
      <c r="H4" s="146">
        <f t="shared" si="0"/>
        <v>53.537747205502995</v>
      </c>
      <c r="I4" s="146">
        <f t="shared" si="0"/>
        <v>55.15975924333619</v>
      </c>
      <c r="J4" s="146">
        <f t="shared" si="0"/>
        <v>54.617712811693892</v>
      </c>
      <c r="K4" s="146">
        <f t="shared" si="0"/>
        <v>49.285382631126396</v>
      </c>
      <c r="L4" s="146">
        <f t="shared" si="0"/>
        <v>49.543336199484088</v>
      </c>
      <c r="M4" s="146">
        <f t="shared" si="0"/>
        <v>47.56723989681857</v>
      </c>
      <c r="N4" s="146">
        <f t="shared" si="0"/>
        <v>45.075150472914871</v>
      </c>
      <c r="O4" s="146">
        <f t="shared" si="0"/>
        <v>42.797334479793641</v>
      </c>
      <c r="P4" s="146">
        <f t="shared" si="0"/>
        <v>39.135167669819431</v>
      </c>
      <c r="Q4" s="146">
        <f t="shared" si="0"/>
        <v>36.76268271711092</v>
      </c>
      <c r="R4" s="146">
        <f t="shared" si="0"/>
        <v>37.020636285468612</v>
      </c>
      <c r="S4" s="146">
        <f t="shared" si="0"/>
        <v>37.609974204643166</v>
      </c>
      <c r="T4" s="146">
        <f t="shared" si="0"/>
        <v>35.434135855545996</v>
      </c>
      <c r="U4" s="146">
        <f t="shared" si="0"/>
        <v>35.206706792777297</v>
      </c>
      <c r="V4" s="146">
        <f t="shared" si="0"/>
        <v>32.802235597592428</v>
      </c>
      <c r="W4" s="146">
        <f t="shared" ref="W4:Y4" si="1">SUM(W5,W8)</f>
        <v>35.146517626827169</v>
      </c>
      <c r="X4" s="146">
        <f t="shared" si="1"/>
        <v>35.803869303525367</v>
      </c>
      <c r="Y4" s="146">
        <f t="shared" si="1"/>
        <v>32.824849527085121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27.54299226139295</v>
      </c>
      <c r="C5" s="101">
        <f t="shared" ref="C5:V5" si="2">SUM(C6:C7)</f>
        <v>28.563112639724849</v>
      </c>
      <c r="D5" s="101">
        <f t="shared" si="2"/>
        <v>28.563112639724849</v>
      </c>
      <c r="E5" s="101">
        <f t="shared" si="2"/>
        <v>28.563112639724849</v>
      </c>
      <c r="F5" s="101">
        <f t="shared" si="2"/>
        <v>30.603353396388641</v>
      </c>
      <c r="G5" s="101">
        <f t="shared" si="2"/>
        <v>31.623473774720551</v>
      </c>
      <c r="H5" s="101">
        <f t="shared" si="2"/>
        <v>32.643508168529657</v>
      </c>
      <c r="I5" s="101">
        <f t="shared" si="2"/>
        <v>33.66362854686156</v>
      </c>
      <c r="J5" s="101">
        <f t="shared" si="2"/>
        <v>32.949613069647462</v>
      </c>
      <c r="K5" s="101">
        <f t="shared" si="2"/>
        <v>28.563112639724849</v>
      </c>
      <c r="L5" s="101">
        <f t="shared" si="2"/>
        <v>28.563112639724849</v>
      </c>
      <c r="M5" s="101">
        <f t="shared" si="2"/>
        <v>26.93095442820292</v>
      </c>
      <c r="N5" s="101">
        <f t="shared" si="2"/>
        <v>25.298710232158211</v>
      </c>
      <c r="O5" s="101">
        <f t="shared" si="2"/>
        <v>24.482631126397251</v>
      </c>
      <c r="P5" s="101">
        <f t="shared" si="2"/>
        <v>21.422355975924329</v>
      </c>
      <c r="Q5" s="101">
        <f t="shared" si="2"/>
        <v>18.361994840928631</v>
      </c>
      <c r="R5" s="101">
        <f t="shared" si="2"/>
        <v>18.361994840928631</v>
      </c>
      <c r="S5" s="101">
        <f t="shared" si="2"/>
        <v>17.953912295786761</v>
      </c>
      <c r="T5" s="101">
        <f t="shared" si="2"/>
        <v>14.995614789337919</v>
      </c>
      <c r="U5" s="101">
        <f t="shared" si="2"/>
        <v>14.58761822871883</v>
      </c>
      <c r="V5" s="101">
        <f t="shared" si="2"/>
        <v>13.56749785038693</v>
      </c>
      <c r="W5" s="101">
        <f t="shared" ref="W5:Y5" si="3">SUM(W6:W7)</f>
        <v>14.58761822871883</v>
      </c>
      <c r="X5" s="101">
        <f t="shared" si="3"/>
        <v>14.995614789337919</v>
      </c>
      <c r="Y5" s="101">
        <f t="shared" si="3"/>
        <v>12.34333619948409</v>
      </c>
      <c r="DA5" s="175"/>
    </row>
    <row r="6" spans="1:105" ht="11.45" customHeight="1" x14ac:dyDescent="0.25">
      <c r="A6" s="164" t="s">
        <v>175</v>
      </c>
      <c r="B6" s="165">
        <v>27.54299226139295</v>
      </c>
      <c r="C6" s="165">
        <v>28.563112639724849</v>
      </c>
      <c r="D6" s="165">
        <v>28.563112639724849</v>
      </c>
      <c r="E6" s="165">
        <v>28.563112639724849</v>
      </c>
      <c r="F6" s="165">
        <v>30.603353396388641</v>
      </c>
      <c r="G6" s="165">
        <v>31.623473774720551</v>
      </c>
      <c r="H6" s="165">
        <v>32.643508168529657</v>
      </c>
      <c r="I6" s="165">
        <v>33.66362854686156</v>
      </c>
      <c r="J6" s="165">
        <v>32.949613069647462</v>
      </c>
      <c r="K6" s="165">
        <v>28.563112639724849</v>
      </c>
      <c r="L6" s="165">
        <v>28.563112639724849</v>
      </c>
      <c r="M6" s="165">
        <v>26.93095442820292</v>
      </c>
      <c r="N6" s="165">
        <v>25.298710232158211</v>
      </c>
      <c r="O6" s="165">
        <v>24.482631126397251</v>
      </c>
      <c r="P6" s="165">
        <v>21.422355975924329</v>
      </c>
      <c r="Q6" s="165">
        <v>18.361994840928631</v>
      </c>
      <c r="R6" s="165">
        <v>18.361994840928631</v>
      </c>
      <c r="S6" s="165">
        <v>17.953912295786761</v>
      </c>
      <c r="T6" s="165">
        <v>14.995614789337919</v>
      </c>
      <c r="U6" s="165">
        <v>14.58761822871883</v>
      </c>
      <c r="V6" s="165">
        <v>13.56749785038693</v>
      </c>
      <c r="W6" s="165">
        <v>14.58761822871883</v>
      </c>
      <c r="X6" s="165">
        <v>14.995614789337919</v>
      </c>
      <c r="Y6" s="165">
        <v>12.34333619948409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DA7" s="177" t="s">
        <v>1105</v>
      </c>
    </row>
    <row r="8" spans="1:105" ht="11.45" customHeight="1" x14ac:dyDescent="0.25">
      <c r="A8" s="85" t="s">
        <v>91</v>
      </c>
      <c r="B8" s="88">
        <v>18.314703353396389</v>
      </c>
      <c r="C8" s="88">
        <v>18.400687876182289</v>
      </c>
      <c r="D8" s="88">
        <v>19.260533104041269</v>
      </c>
      <c r="E8" s="88">
        <v>19.432502149613072</v>
      </c>
      <c r="F8" s="88">
        <v>18.830610490111781</v>
      </c>
      <c r="G8" s="88">
        <v>19.948409286328459</v>
      </c>
      <c r="H8" s="88">
        <v>20.894239036973339</v>
      </c>
      <c r="I8" s="88">
        <v>21.49613069647463</v>
      </c>
      <c r="J8" s="88">
        <v>21.668099742046429</v>
      </c>
      <c r="K8" s="88">
        <v>20.72226999140155</v>
      </c>
      <c r="L8" s="88">
        <v>20.980223559759239</v>
      </c>
      <c r="M8" s="88">
        <v>20.63628546861565</v>
      </c>
      <c r="N8" s="88">
        <v>19.77644024075666</v>
      </c>
      <c r="O8" s="88">
        <v>18.314703353396389</v>
      </c>
      <c r="P8" s="88">
        <v>17.712811693895102</v>
      </c>
      <c r="Q8" s="88">
        <v>18.400687876182289</v>
      </c>
      <c r="R8" s="88">
        <v>18.658641444539981</v>
      </c>
      <c r="S8" s="88">
        <v>19.656061908856401</v>
      </c>
      <c r="T8" s="88">
        <v>20.438521066208079</v>
      </c>
      <c r="U8" s="88">
        <v>20.619088564058469</v>
      </c>
      <c r="V8" s="88">
        <v>19.2347377472055</v>
      </c>
      <c r="W8" s="88">
        <v>20.558899398108341</v>
      </c>
      <c r="X8" s="88">
        <v>20.80825451418745</v>
      </c>
      <c r="Y8" s="88">
        <v>20.481513327601029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45.857695614789336</v>
      </c>
      <c r="C10" s="62">
        <f t="shared" ref="C10:V10" si="5">SUM(C11,C17)</f>
        <v>46.963800515907138</v>
      </c>
      <c r="D10" s="62">
        <f t="shared" si="5"/>
        <v>47.823645743766122</v>
      </c>
      <c r="E10" s="62">
        <f t="shared" si="5"/>
        <v>47.995614789337921</v>
      </c>
      <c r="F10" s="62">
        <f t="shared" si="5"/>
        <v>49.433963886500422</v>
      </c>
      <c r="G10" s="62">
        <f t="shared" si="5"/>
        <v>51.571883061049007</v>
      </c>
      <c r="H10" s="62">
        <f t="shared" si="5"/>
        <v>53.537747205503003</v>
      </c>
      <c r="I10" s="62">
        <f t="shared" si="5"/>
        <v>55.159759243336197</v>
      </c>
      <c r="J10" s="62">
        <f t="shared" si="5"/>
        <v>54.617712811693892</v>
      </c>
      <c r="K10" s="62">
        <f t="shared" si="5"/>
        <v>49.285382631126396</v>
      </c>
      <c r="L10" s="62">
        <f t="shared" si="5"/>
        <v>49.543336199484088</v>
      </c>
      <c r="M10" s="62">
        <f t="shared" si="5"/>
        <v>47.56723989681857</v>
      </c>
      <c r="N10" s="62">
        <f t="shared" si="5"/>
        <v>45.075150472914871</v>
      </c>
      <c r="O10" s="62">
        <f t="shared" si="5"/>
        <v>42.797334479793648</v>
      </c>
      <c r="P10" s="62">
        <f t="shared" si="5"/>
        <v>39.135167669819431</v>
      </c>
      <c r="Q10" s="62">
        <f t="shared" si="5"/>
        <v>36.76268271711092</v>
      </c>
      <c r="R10" s="62">
        <f t="shared" si="5"/>
        <v>37.020636285468612</v>
      </c>
      <c r="S10" s="62">
        <f t="shared" si="5"/>
        <v>37.609974204643166</v>
      </c>
      <c r="T10" s="62">
        <f t="shared" si="5"/>
        <v>35.434135855545996</v>
      </c>
      <c r="U10" s="62">
        <f t="shared" si="5"/>
        <v>35.206706792777297</v>
      </c>
      <c r="V10" s="62">
        <f t="shared" si="5"/>
        <v>32.802235597592436</v>
      </c>
      <c r="W10" s="62">
        <f t="shared" ref="W10:Y10" si="6">SUM(W11,W17)</f>
        <v>35.146517626827169</v>
      </c>
      <c r="X10" s="62">
        <f t="shared" si="6"/>
        <v>35.803869303525374</v>
      </c>
      <c r="Y10" s="62">
        <f t="shared" si="6"/>
        <v>32.824849527085121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32.772978526326135</v>
      </c>
      <c r="C11" s="29">
        <f t="shared" ref="C11:V11" si="8">SUM(C12,C13,C16)</f>
        <v>31.884599809497391</v>
      </c>
      <c r="D11" s="29">
        <f t="shared" si="8"/>
        <v>31.852380392865527</v>
      </c>
      <c r="E11" s="29">
        <f t="shared" si="8"/>
        <v>30.180809349597521</v>
      </c>
      <c r="F11" s="29">
        <f t="shared" si="8"/>
        <v>31.07539953498345</v>
      </c>
      <c r="G11" s="29">
        <f t="shared" si="8"/>
        <v>31.130636572224525</v>
      </c>
      <c r="H11" s="29">
        <f t="shared" si="8"/>
        <v>31.973069822241676</v>
      </c>
      <c r="I11" s="29">
        <f t="shared" si="8"/>
        <v>32.443592922852758</v>
      </c>
      <c r="J11" s="29">
        <f t="shared" si="8"/>
        <v>33.939096873333057</v>
      </c>
      <c r="K11" s="29">
        <f t="shared" si="8"/>
        <v>32.312929699077948</v>
      </c>
      <c r="L11" s="29">
        <f t="shared" si="8"/>
        <v>31.330714874506711</v>
      </c>
      <c r="M11" s="29">
        <f t="shared" si="8"/>
        <v>30.850311970352966</v>
      </c>
      <c r="N11" s="29">
        <f t="shared" si="8"/>
        <v>29.72585854454211</v>
      </c>
      <c r="O11" s="29">
        <f t="shared" si="8"/>
        <v>27.147132114729438</v>
      </c>
      <c r="P11" s="29">
        <f t="shared" si="8"/>
        <v>24.234925527389102</v>
      </c>
      <c r="Q11" s="29">
        <f t="shared" si="8"/>
        <v>23.259520047918439</v>
      </c>
      <c r="R11" s="29">
        <f t="shared" si="8"/>
        <v>22.686361293903641</v>
      </c>
      <c r="S11" s="29">
        <f t="shared" si="8"/>
        <v>22.42928642597591</v>
      </c>
      <c r="T11" s="29">
        <f t="shared" si="8"/>
        <v>21.632593412225255</v>
      </c>
      <c r="U11" s="29">
        <f t="shared" si="8"/>
        <v>21.19197139772789</v>
      </c>
      <c r="V11" s="29">
        <f t="shared" si="8"/>
        <v>17.727759957037492</v>
      </c>
      <c r="W11" s="29">
        <f t="shared" ref="W11:Y11" si="9">SUM(W12,W13,W16)</f>
        <v>20.975298028305353</v>
      </c>
      <c r="X11" s="29">
        <f t="shared" si="9"/>
        <v>21.541551116705641</v>
      </c>
      <c r="Y11" s="29">
        <f t="shared" si="9"/>
        <v>21.593000797012539</v>
      </c>
      <c r="DA11" s="173" t="s">
        <v>395</v>
      </c>
    </row>
    <row r="12" spans="1:105" ht="11.45" customHeight="1" x14ac:dyDescent="0.25">
      <c r="A12" s="107" t="s">
        <v>23</v>
      </c>
      <c r="B12" s="115">
        <v>2.7914066565586153</v>
      </c>
      <c r="C12" s="115">
        <v>2.9368329839214646</v>
      </c>
      <c r="D12" s="115">
        <v>2.9555114304388828</v>
      </c>
      <c r="E12" s="115">
        <v>3.0558049791952073</v>
      </c>
      <c r="F12" s="115">
        <v>2.8945157134549904</v>
      </c>
      <c r="G12" s="115">
        <v>2.9028691126714548</v>
      </c>
      <c r="H12" s="115">
        <v>3.010167967893949</v>
      </c>
      <c r="I12" s="115">
        <v>3.5433069317341994</v>
      </c>
      <c r="J12" s="115">
        <v>3.2972779100965384</v>
      </c>
      <c r="K12" s="115">
        <v>3.0455013929549137</v>
      </c>
      <c r="L12" s="115">
        <v>2.870317389634943</v>
      </c>
      <c r="M12" s="115">
        <v>2.6817070672703678</v>
      </c>
      <c r="N12" s="115">
        <v>2.6768586582438325</v>
      </c>
      <c r="O12" s="115">
        <v>2.6985223442692359</v>
      </c>
      <c r="P12" s="115">
        <v>2.8800625372190138</v>
      </c>
      <c r="Q12" s="115">
        <v>2.9425351240888951</v>
      </c>
      <c r="R12" s="115">
        <v>3.0034129450640301</v>
      </c>
      <c r="S12" s="115">
        <v>2.953423937192289</v>
      </c>
      <c r="T12" s="115">
        <v>2.7563784155412123</v>
      </c>
      <c r="U12" s="115">
        <v>3.0023900046136638</v>
      </c>
      <c r="V12" s="115">
        <v>2.2894682825751023</v>
      </c>
      <c r="W12" s="115">
        <v>2.2470078244618619</v>
      </c>
      <c r="X12" s="115">
        <v>1.6958038109145843</v>
      </c>
      <c r="Y12" s="115">
        <v>1.4752806434726506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29.981571869767517</v>
      </c>
      <c r="C13" s="116">
        <f t="shared" ref="C13:V13" si="11">SUM(C14:C15)</f>
        <v>28.947766825575926</v>
      </c>
      <c r="D13" s="116">
        <f t="shared" si="11"/>
        <v>28.896868962426645</v>
      </c>
      <c r="E13" s="116">
        <f t="shared" si="11"/>
        <v>27.125004370402312</v>
      </c>
      <c r="F13" s="116">
        <f t="shared" si="11"/>
        <v>28.180883821528461</v>
      </c>
      <c r="G13" s="116">
        <f t="shared" si="11"/>
        <v>28.227767459553071</v>
      </c>
      <c r="H13" s="116">
        <f t="shared" si="11"/>
        <v>28.962901854347727</v>
      </c>
      <c r="I13" s="116">
        <f t="shared" si="11"/>
        <v>28.900285991118558</v>
      </c>
      <c r="J13" s="116">
        <f t="shared" si="11"/>
        <v>30.641818963236517</v>
      </c>
      <c r="K13" s="116">
        <f t="shared" si="11"/>
        <v>29.267428306123037</v>
      </c>
      <c r="L13" s="116">
        <f t="shared" si="11"/>
        <v>28.46039748487177</v>
      </c>
      <c r="M13" s="116">
        <f t="shared" si="11"/>
        <v>28.168604903082599</v>
      </c>
      <c r="N13" s="116">
        <f t="shared" si="11"/>
        <v>27.048999886298276</v>
      </c>
      <c r="O13" s="116">
        <f t="shared" si="11"/>
        <v>24.448609770460202</v>
      </c>
      <c r="P13" s="116">
        <f t="shared" si="11"/>
        <v>21.354862990170087</v>
      </c>
      <c r="Q13" s="116">
        <f t="shared" si="11"/>
        <v>20.316984923829544</v>
      </c>
      <c r="R13" s="116">
        <f t="shared" si="11"/>
        <v>19.682948348839609</v>
      </c>
      <c r="S13" s="116">
        <f t="shared" si="11"/>
        <v>19.475862488783619</v>
      </c>
      <c r="T13" s="116">
        <f t="shared" si="11"/>
        <v>18.876214996684041</v>
      </c>
      <c r="U13" s="116">
        <f t="shared" si="11"/>
        <v>18.189581393114228</v>
      </c>
      <c r="V13" s="116">
        <f t="shared" si="11"/>
        <v>15.438291674462388</v>
      </c>
      <c r="W13" s="116">
        <f t="shared" ref="W13:Y13" si="12">SUM(W14:W15)</f>
        <v>18.728290203843493</v>
      </c>
      <c r="X13" s="116">
        <f t="shared" si="12"/>
        <v>19.845747305791058</v>
      </c>
      <c r="Y13" s="116">
        <f t="shared" si="12"/>
        <v>20.117720153539889</v>
      </c>
      <c r="DA13" s="176" t="s">
        <v>397</v>
      </c>
    </row>
    <row r="14" spans="1:105" ht="11.45" customHeight="1" x14ac:dyDescent="0.25">
      <c r="A14" s="111" t="s">
        <v>95</v>
      </c>
      <c r="B14" s="87">
        <v>19.617239119722488</v>
      </c>
      <c r="C14" s="87">
        <v>18.699714491894934</v>
      </c>
      <c r="D14" s="87">
        <v>18.489154879720878</v>
      </c>
      <c r="E14" s="87">
        <v>17.178075748773683</v>
      </c>
      <c r="F14" s="87">
        <v>18.61945846903334</v>
      </c>
      <c r="G14" s="87">
        <v>18.230556387671964</v>
      </c>
      <c r="H14" s="87">
        <v>18.652283570389294</v>
      </c>
      <c r="I14" s="87">
        <v>18.352708995777512</v>
      </c>
      <c r="J14" s="87">
        <v>19.291604018635297</v>
      </c>
      <c r="K14" s="87">
        <v>17.348362841178382</v>
      </c>
      <c r="L14" s="87">
        <v>16.759288879542556</v>
      </c>
      <c r="M14" s="87">
        <v>16.330175871279895</v>
      </c>
      <c r="N14" s="87">
        <v>15.51948838027154</v>
      </c>
      <c r="O14" s="87">
        <v>14.776155606350546</v>
      </c>
      <c r="P14" s="87">
        <v>12.355176756452586</v>
      </c>
      <c r="Q14" s="87">
        <v>10.930674556261518</v>
      </c>
      <c r="R14" s="87">
        <v>10.668345688613304</v>
      </c>
      <c r="S14" s="87">
        <v>10.45449424510058</v>
      </c>
      <c r="T14" s="87">
        <v>8.8983040472679527</v>
      </c>
      <c r="U14" s="87">
        <v>8.5221203505715142</v>
      </c>
      <c r="V14" s="87">
        <v>6.9541595080339658</v>
      </c>
      <c r="W14" s="87">
        <v>7.2554140620644914</v>
      </c>
      <c r="X14" s="87">
        <v>8.3792838003575039</v>
      </c>
      <c r="Y14" s="87">
        <v>7.9831782272044034</v>
      </c>
      <c r="DA14" s="171" t="s">
        <v>1108</v>
      </c>
    </row>
    <row r="15" spans="1:105" ht="11.45" customHeight="1" x14ac:dyDescent="0.25">
      <c r="A15" s="111" t="s">
        <v>93</v>
      </c>
      <c r="B15" s="87">
        <v>10.36433275004503</v>
      </c>
      <c r="C15" s="87">
        <v>10.24805233368099</v>
      </c>
      <c r="D15" s="87">
        <v>10.407714082705764</v>
      </c>
      <c r="E15" s="87">
        <v>9.9469286216286292</v>
      </c>
      <c r="F15" s="87">
        <v>9.5614253524951209</v>
      </c>
      <c r="G15" s="87">
        <v>9.9972110718811074</v>
      </c>
      <c r="H15" s="87">
        <v>10.310618283958433</v>
      </c>
      <c r="I15" s="87">
        <v>10.547576995341045</v>
      </c>
      <c r="J15" s="87">
        <v>11.35021494460122</v>
      </c>
      <c r="K15" s="87">
        <v>11.919065464944655</v>
      </c>
      <c r="L15" s="87">
        <v>11.701108605329214</v>
      </c>
      <c r="M15" s="87">
        <v>11.838429031802704</v>
      </c>
      <c r="N15" s="87">
        <v>11.529511506026736</v>
      </c>
      <c r="O15" s="87">
        <v>9.672454164109654</v>
      </c>
      <c r="P15" s="87">
        <v>8.999686233717501</v>
      </c>
      <c r="Q15" s="87">
        <v>9.3863103675680257</v>
      </c>
      <c r="R15" s="87">
        <v>9.0146026602263056</v>
      </c>
      <c r="S15" s="87">
        <v>9.0213682436830407</v>
      </c>
      <c r="T15" s="87">
        <v>9.9779109494160902</v>
      </c>
      <c r="U15" s="87">
        <v>9.6674610425427137</v>
      </c>
      <c r="V15" s="87">
        <v>8.4841321664284219</v>
      </c>
      <c r="W15" s="87">
        <v>11.472876141779002</v>
      </c>
      <c r="X15" s="87">
        <v>11.466463505433552</v>
      </c>
      <c r="Y15" s="87">
        <v>12.134541926335485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13.084717088463202</v>
      </c>
      <c r="C17" s="29">
        <f t="shared" si="13"/>
        <v>15.079200706409747</v>
      </c>
      <c r="D17" s="29">
        <f t="shared" si="13"/>
        <v>15.971265350900591</v>
      </c>
      <c r="E17" s="29">
        <f t="shared" si="13"/>
        <v>17.814805439740397</v>
      </c>
      <c r="F17" s="29">
        <f t="shared" si="13"/>
        <v>18.358564351516971</v>
      </c>
      <c r="G17" s="29">
        <f t="shared" si="13"/>
        <v>20.441246488824483</v>
      </c>
      <c r="H17" s="29">
        <f t="shared" si="13"/>
        <v>21.564677383261326</v>
      </c>
      <c r="I17" s="29">
        <f t="shared" si="13"/>
        <v>22.716166320483438</v>
      </c>
      <c r="J17" s="29">
        <f t="shared" si="13"/>
        <v>20.678615938360839</v>
      </c>
      <c r="K17" s="29">
        <f t="shared" si="13"/>
        <v>16.972452932048451</v>
      </c>
      <c r="L17" s="29">
        <f t="shared" si="13"/>
        <v>18.212621324977377</v>
      </c>
      <c r="M17" s="29">
        <f t="shared" si="13"/>
        <v>16.716927926465605</v>
      </c>
      <c r="N17" s="29">
        <f t="shared" si="13"/>
        <v>15.349291928372757</v>
      </c>
      <c r="O17" s="29">
        <f t="shared" si="13"/>
        <v>15.650202365064207</v>
      </c>
      <c r="P17" s="29">
        <f t="shared" si="13"/>
        <v>14.900242142430331</v>
      </c>
      <c r="Q17" s="29">
        <f t="shared" si="13"/>
        <v>13.503162669192481</v>
      </c>
      <c r="R17" s="29">
        <f t="shared" si="13"/>
        <v>14.334274991564969</v>
      </c>
      <c r="S17" s="29">
        <f t="shared" si="13"/>
        <v>15.180687778667252</v>
      </c>
      <c r="T17" s="29">
        <f t="shared" si="13"/>
        <v>13.80154244332074</v>
      </c>
      <c r="U17" s="29">
        <f t="shared" si="13"/>
        <v>14.014735395049403</v>
      </c>
      <c r="V17" s="29">
        <f t="shared" si="13"/>
        <v>15.074475640554942</v>
      </c>
      <c r="W17" s="29">
        <f t="shared" si="13"/>
        <v>14.171219598521816</v>
      </c>
      <c r="X17" s="29">
        <f t="shared" ref="X17:Y17" si="14">SUM(X18:X19)</f>
        <v>14.26231818681973</v>
      </c>
      <c r="Y17" s="29">
        <f t="shared" si="14"/>
        <v>11.231848730072581</v>
      </c>
      <c r="DA17" s="173" t="s">
        <v>402</v>
      </c>
    </row>
    <row r="18" spans="1:105" ht="11.45" customHeight="1" x14ac:dyDescent="0.25">
      <c r="A18" s="83" t="s">
        <v>95</v>
      </c>
      <c r="B18" s="87">
        <v>7.9257531416704579</v>
      </c>
      <c r="C18" s="87">
        <v>9.8633981478299138</v>
      </c>
      <c r="D18" s="87">
        <v>10.073957760003969</v>
      </c>
      <c r="E18" s="87">
        <v>11.385036890951165</v>
      </c>
      <c r="F18" s="87">
        <v>11.983894927355299</v>
      </c>
      <c r="G18" s="87">
        <v>13.392917387048588</v>
      </c>
      <c r="H18" s="87">
        <v>13.991224598140366</v>
      </c>
      <c r="I18" s="87">
        <v>15.310919551084051</v>
      </c>
      <c r="J18" s="87">
        <v>13.658009051012165</v>
      </c>
      <c r="K18" s="87">
        <v>11.214749798546469</v>
      </c>
      <c r="L18" s="87">
        <v>11.803823760182295</v>
      </c>
      <c r="M18" s="87">
        <v>10.600778556923027</v>
      </c>
      <c r="N18" s="87">
        <v>9.7792218518866676</v>
      </c>
      <c r="O18" s="87">
        <v>9.7064755200467072</v>
      </c>
      <c r="P18" s="87">
        <v>9.0671792194717433</v>
      </c>
      <c r="Q18" s="87">
        <v>7.4313202846671116</v>
      </c>
      <c r="R18" s="87">
        <v>7.6936491523153254</v>
      </c>
      <c r="S18" s="87">
        <v>7.4994180506861818</v>
      </c>
      <c r="T18" s="87">
        <v>6.0973107420699657</v>
      </c>
      <c r="U18" s="87">
        <v>6.0654978781473146</v>
      </c>
      <c r="V18" s="87">
        <v>6.6133383423529661</v>
      </c>
      <c r="W18" s="87">
        <v>7.3322041666543383</v>
      </c>
      <c r="X18" s="87">
        <v>6.6163309889804172</v>
      </c>
      <c r="Y18" s="87">
        <v>4.3601579722796879</v>
      </c>
      <c r="DA18" s="171" t="s">
        <v>1110</v>
      </c>
    </row>
    <row r="19" spans="1:105" ht="11.45" customHeight="1" x14ac:dyDescent="0.25">
      <c r="A19" s="85" t="s">
        <v>93</v>
      </c>
      <c r="B19" s="88">
        <v>5.1589639467927446</v>
      </c>
      <c r="C19" s="88">
        <v>5.215802558579834</v>
      </c>
      <c r="D19" s="88">
        <v>5.8973075908966228</v>
      </c>
      <c r="E19" s="88">
        <v>6.4297685487892329</v>
      </c>
      <c r="F19" s="88">
        <v>6.374669424161671</v>
      </c>
      <c r="G19" s="88">
        <v>7.0483291017758969</v>
      </c>
      <c r="H19" s="88">
        <v>7.573452785120959</v>
      </c>
      <c r="I19" s="88">
        <v>7.4052467693993851</v>
      </c>
      <c r="J19" s="88">
        <v>7.0206068873486736</v>
      </c>
      <c r="K19" s="88">
        <v>5.757703133501983</v>
      </c>
      <c r="L19" s="88">
        <v>6.4087975647950808</v>
      </c>
      <c r="M19" s="88">
        <v>6.1161493695425779</v>
      </c>
      <c r="N19" s="88">
        <v>5.5700700764860898</v>
      </c>
      <c r="O19" s="88">
        <v>5.9437268450174985</v>
      </c>
      <c r="P19" s="88">
        <v>5.8330629229585877</v>
      </c>
      <c r="Q19" s="88">
        <v>6.0718423845253682</v>
      </c>
      <c r="R19" s="88">
        <v>6.640625839249644</v>
      </c>
      <c r="S19" s="88">
        <v>7.6812697279810713</v>
      </c>
      <c r="T19" s="88">
        <v>7.7042317012507739</v>
      </c>
      <c r="U19" s="88">
        <v>7.9492375169020892</v>
      </c>
      <c r="V19" s="88">
        <v>8.4611372982019759</v>
      </c>
      <c r="W19" s="88">
        <v>6.8390154318674785</v>
      </c>
      <c r="X19" s="88">
        <v>7.6459871978393119</v>
      </c>
      <c r="Y19" s="88">
        <v>6.8716907577928925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194.33821065177065</v>
      </c>
      <c r="C23" s="62">
        <f>IF(C10=0,0,C10/TrRail_act!C14*100)</f>
        <v>192.66843057303984</v>
      </c>
      <c r="D23" s="62">
        <f>IF(D10=0,0,D10/TrRail_act!D14*100)</f>
        <v>189.62550752381725</v>
      </c>
      <c r="E23" s="62">
        <f>IF(E10=0,0,E10/TrRail_act!E14*100)</f>
        <v>188.05752726699413</v>
      </c>
      <c r="F23" s="62">
        <f>IF(F10=0,0,F10/TrRail_act!F14*100)</f>
        <v>190.15536308488535</v>
      </c>
      <c r="G23" s="62">
        <f>IF(G10=0,0,G10/TrRail_act!G14*100)</f>
        <v>188.80000149951076</v>
      </c>
      <c r="H23" s="62">
        <f>IF(H10=0,0,H10/TrRail_act!H14*100)</f>
        <v>186.4693928522972</v>
      </c>
      <c r="I23" s="62">
        <f>IF(I10=0,0,I10/TrRail_act!I14*100)</f>
        <v>180.77154357245823</v>
      </c>
      <c r="J23" s="62">
        <f>IF(J10=0,0,J10/TrRail_act!J14*100)</f>
        <v>176.77034184850555</v>
      </c>
      <c r="K23" s="62">
        <f>IF(K10=0,0,K10/TrRail_act!K14*100)</f>
        <v>169.27038903238133</v>
      </c>
      <c r="L23" s="62">
        <f>IF(L10=0,0,L10/TrRail_act!L14*100)</f>
        <v>171.25402217933603</v>
      </c>
      <c r="M23" s="62">
        <f>IF(M10=0,0,M10/TrRail_act!M14*100)</f>
        <v>167.85129311205534</v>
      </c>
      <c r="N23" s="62">
        <f>IF(N10=0,0,N10/TrRail_act!N14*100)</f>
        <v>162.97241605784419</v>
      </c>
      <c r="O23" s="62">
        <f>IF(O10=0,0,O10/TrRail_act!O14*100)</f>
        <v>160.6770627648531</v>
      </c>
      <c r="P23" s="62">
        <f>IF(P10=0,0,P10/TrRail_act!P14*100)</f>
        <v>152.51019516470546</v>
      </c>
      <c r="Q23" s="62">
        <f>IF(Q10=0,0,Q10/TrRail_act!Q14*100)</f>
        <v>143.86445202260361</v>
      </c>
      <c r="R23" s="62">
        <f>IF(R10=0,0,R10/TrRail_act!R14*100)</f>
        <v>142.29629289287266</v>
      </c>
      <c r="S23" s="62">
        <f>IF(S10=0,0,S10/TrRail_act!S14*100)</f>
        <v>141.57211880324235</v>
      </c>
      <c r="T23" s="62">
        <f>IF(T10=0,0,T10/TrRail_act!T14*100)</f>
        <v>137.48895797369536</v>
      </c>
      <c r="U23" s="62">
        <f>IF(U10=0,0,U10/TrRail_act!U14*100)</f>
        <v>134.26077248472572</v>
      </c>
      <c r="V23" s="62">
        <f>IF(V10=0,0,V10/TrRail_act!V14*100)</f>
        <v>142.1984112215564</v>
      </c>
      <c r="W23" s="62">
        <f>IF(W10=0,0,W10/TrRail_act!W14*100)</f>
        <v>141.86273320786793</v>
      </c>
      <c r="X23" s="62">
        <f>IF(X10=0,0,X10/TrRail_act!X14*100)</f>
        <v>147.11358507365662</v>
      </c>
      <c r="Y23" s="62">
        <f>IF(Y10=0,0,Y10/TrRail_act!Y14*100)</f>
        <v>142.2293321481921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166.21150030575225</v>
      </c>
      <c r="C24" s="29">
        <f>IF(C11=0,0,C11/TrRail_act!C15*100)</f>
        <v>158.93990818320432</v>
      </c>
      <c r="D24" s="29">
        <f>IF(D11=0,0,D11/TrRail_act!D15*100)</f>
        <v>155.48932433488278</v>
      </c>
      <c r="E24" s="29">
        <f>IF(E11=0,0,E11/TrRail_act!E15*100)</f>
        <v>149.09391512749411</v>
      </c>
      <c r="F24" s="29">
        <f>IF(F11=0,0,F11/TrRail_act!F15*100)</f>
        <v>151.07792003275796</v>
      </c>
      <c r="G24" s="29">
        <f>IF(G11=0,0,G11/TrRail_act!G15*100)</f>
        <v>147.14317526081044</v>
      </c>
      <c r="H24" s="29">
        <f>IF(H11=0,0,H11/TrRail_act!H15*100)</f>
        <v>144.57307053871307</v>
      </c>
      <c r="I24" s="29">
        <f>IF(I11=0,0,I11/TrRail_act!I15*100)</f>
        <v>136.79217908200562</v>
      </c>
      <c r="J24" s="29">
        <f>IF(J11=0,0,J11/TrRail_act!J15*100)</f>
        <v>138.50288960506012</v>
      </c>
      <c r="K24" s="29">
        <f>IF(K11=0,0,K11/TrRail_act!K15*100)</f>
        <v>135.81742829530833</v>
      </c>
      <c r="L24" s="29">
        <f>IF(L11=0,0,L11/TrRail_act!L15*100)</f>
        <v>135.54467386538411</v>
      </c>
      <c r="M24" s="29">
        <f>IF(M11=0,0,M11/TrRail_act!M15*100)</f>
        <v>134.9795135946093</v>
      </c>
      <c r="N24" s="29">
        <f>IF(N11=0,0,N11/TrRail_act!N15*100)</f>
        <v>132.06440342406719</v>
      </c>
      <c r="O24" s="29">
        <f>IF(O11=0,0,O11/TrRail_act!O15*100)</f>
        <v>127.49617487868656</v>
      </c>
      <c r="P24" s="29">
        <f>IF(P11=0,0,P11/TrRail_act!P15*100)</f>
        <v>118.23171560712269</v>
      </c>
      <c r="Q24" s="29">
        <f>IF(Q11=0,0,Q11/TrRail_act!Q15*100)</f>
        <v>113.52866576158347</v>
      </c>
      <c r="R24" s="29">
        <f>IF(R11=0,0,R11/TrRail_act!R15*100)</f>
        <v>110.70972495835636</v>
      </c>
      <c r="S24" s="29">
        <f>IF(S11=0,0,S11/TrRail_act!S15*100)</f>
        <v>109.73961737570986</v>
      </c>
      <c r="T24" s="29">
        <f>IF(T11=0,0,T11/TrRail_act!T15*100)</f>
        <v>108.60204116863082</v>
      </c>
      <c r="U24" s="29">
        <f>IF(U11=0,0,U11/TrRail_act!U15*100)</f>
        <v>104.91071847985882</v>
      </c>
      <c r="V24" s="29">
        <f>IF(V11=0,0,V11/TrRail_act!V15*100)</f>
        <v>106.8692737681191</v>
      </c>
      <c r="W24" s="29">
        <f>IF(W11=0,0,W11/TrRail_act!W15*100)</f>
        <v>110.25880346993463</v>
      </c>
      <c r="X24" s="29">
        <f>IF(X11=0,0,X11/TrRail_act!X15*100)</f>
        <v>117.81088118880885</v>
      </c>
      <c r="Y24" s="29">
        <f>IF(Y11=0,0,Y11/TrRail_act!Y15*100)</f>
        <v>119.77986784841661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44.704019514398944</v>
      </c>
      <c r="C25" s="115">
        <f>IF(C12=0,0,C12/TrRail_act!C16*100)</f>
        <v>44.271769573463963</v>
      </c>
      <c r="D25" s="115">
        <f>IF(D12=0,0,D12/TrRail_act!D16*100)</f>
        <v>43.976836980261304</v>
      </c>
      <c r="E25" s="115">
        <f>IF(E12=0,0,E12/TrRail_act!E16*100)</f>
        <v>43.670352511933466</v>
      </c>
      <c r="F25" s="115">
        <f>IF(F12=0,0,F12/TrRail_act!F16*100)</f>
        <v>43.126169314092131</v>
      </c>
      <c r="G25" s="115">
        <f>IF(G12=0,0,G12/TrRail_act!G16*100)</f>
        <v>42.65483623208624</v>
      </c>
      <c r="H25" s="115">
        <f>IF(H12=0,0,H12/TrRail_act!H16*100)</f>
        <v>42.385354121569662</v>
      </c>
      <c r="I25" s="115">
        <f>IF(I12=0,0,I12/TrRail_act!I16*100)</f>
        <v>42.079612972717158</v>
      </c>
      <c r="J25" s="115">
        <f>IF(J12=0,0,J12/TrRail_act!J16*100)</f>
        <v>41.486796756397446</v>
      </c>
      <c r="K25" s="115">
        <f>IF(K12=0,0,K12/TrRail_act!K16*100)</f>
        <v>41.048420015960055</v>
      </c>
      <c r="L25" s="115">
        <f>IF(L12=0,0,L12/TrRail_act!L16*100)</f>
        <v>40.748807781897888</v>
      </c>
      <c r="M25" s="115">
        <f>IF(M12=0,0,M12/TrRail_act!M16*100)</f>
        <v>40.324712903209587</v>
      </c>
      <c r="N25" s="115">
        <f>IF(N12=0,0,N12/TrRail_act!N16*100)</f>
        <v>39.973337972309011</v>
      </c>
      <c r="O25" s="115">
        <f>IF(O12=0,0,O12/TrRail_act!O16*100)</f>
        <v>39.606169359259184</v>
      </c>
      <c r="P25" s="115">
        <f>IF(P12=0,0,P12/TrRail_act!P16*100)</f>
        <v>39.226216655189468</v>
      </c>
      <c r="Q25" s="115">
        <f>IF(Q12=0,0,Q12/TrRail_act!Q16*100)</f>
        <v>38.99407680904951</v>
      </c>
      <c r="R25" s="115">
        <f>IF(R12=0,0,R12/TrRail_act!R16*100)</f>
        <v>38.820873921773618</v>
      </c>
      <c r="S25" s="115">
        <f>IF(S12=0,0,S12/TrRail_act!S16*100)</f>
        <v>38.691476822590822</v>
      </c>
      <c r="T25" s="115">
        <f>IF(T12=0,0,T12/TrRail_act!T16*100)</f>
        <v>38.594712114816765</v>
      </c>
      <c r="U25" s="115">
        <f>IF(U12=0,0,U12/TrRail_act!U16*100)</f>
        <v>38.522297441908741</v>
      </c>
      <c r="V25" s="115">
        <f>IF(V12=0,0,V12/TrRail_act!V16*100)</f>
        <v>38.468075599114059</v>
      </c>
      <c r="W25" s="115">
        <f>IF(W12=0,0,W12/TrRail_act!W16*100)</f>
        <v>38.427459288402538</v>
      </c>
      <c r="X25" s="115">
        <f>IF(X12=0,0,X12/TrRail_act!X16*100)</f>
        <v>38.397025247306701</v>
      </c>
      <c r="Y25" s="115">
        <f>IF(Y12=0,0,Y12/TrRail_act!Y16*100)</f>
        <v>38.374215515442167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222.52351504484875</v>
      </c>
      <c r="C26" s="116">
        <f>IF(C13=0,0,C13/TrRail_act!C17*100)</f>
        <v>215.59142596971262</v>
      </c>
      <c r="D26" s="116">
        <f>IF(D13=0,0,D13/TrRail_act!D17*100)</f>
        <v>209.93547833137086</v>
      </c>
      <c r="E26" s="116">
        <f>IF(E13=0,0,E13/TrRail_act!E17*100)</f>
        <v>204.78839464877282</v>
      </c>
      <c r="F26" s="116">
        <f>IF(F13=0,0,F13/TrRail_act!F17*100)</f>
        <v>203.36369226392299</v>
      </c>
      <c r="G26" s="116">
        <f>IF(G13=0,0,G13/TrRail_act!G17*100)</f>
        <v>196.69258084625901</v>
      </c>
      <c r="H26" s="116">
        <f>IF(H13=0,0,H13/TrRail_act!H17*100)</f>
        <v>192.91107191626233</v>
      </c>
      <c r="I26" s="116">
        <f>IF(I13=0,0,I13/TrRail_act!I17*100)</f>
        <v>188.92843289776724</v>
      </c>
      <c r="J26" s="116">
        <f>IF(J13=0,0,J13/TrRail_act!J17*100)</f>
        <v>185.07453099464837</v>
      </c>
      <c r="K26" s="116">
        <f>IF(K13=0,0,K13/TrRail_act!K17*100)</f>
        <v>178.76343934494221</v>
      </c>
      <c r="L26" s="116">
        <f>IF(L13=0,0,L13/TrRail_act!L17*100)</f>
        <v>177.09441445534603</v>
      </c>
      <c r="M26" s="116">
        <f>IF(M13=0,0,M13/TrRail_act!M17*100)</f>
        <v>173.8237368535342</v>
      </c>
      <c r="N26" s="116">
        <f>IF(N13=0,0,N13/TrRail_act!N17*100)</f>
        <v>171.06630537921779</v>
      </c>
      <c r="O26" s="116">
        <f>IF(O13=0,0,O13/TrRail_act!O17*100)</f>
        <v>168.85427266189251</v>
      </c>
      <c r="P26" s="116">
        <f>IF(P13=0,0,P13/TrRail_act!P17*100)</f>
        <v>162.32485896032637</v>
      </c>
      <c r="Q26" s="116">
        <f>IF(Q13=0,0,Q13/TrRail_act!Q17*100)</f>
        <v>156.98869227771988</v>
      </c>
      <c r="R26" s="116">
        <f>IF(R13=0,0,R13/TrRail_act!R17*100)</f>
        <v>154.31363454991413</v>
      </c>
      <c r="S26" s="116">
        <f>IF(S13=0,0,S13/TrRail_act!S17*100)</f>
        <v>152.09132744407</v>
      </c>
      <c r="T26" s="116">
        <f>IF(T13=0,0,T13/TrRail_act!T17*100)</f>
        <v>147.73259007133328</v>
      </c>
      <c r="U26" s="116">
        <f>IF(U13=0,0,U13/TrRail_act!U17*100)</f>
        <v>146.61799571232254</v>
      </c>
      <c r="V26" s="116">
        <f>IF(V13=0,0,V13/TrRail_act!V17*100)</f>
        <v>145.14228034058974</v>
      </c>
      <c r="W26" s="116">
        <f>IF(W13=0,0,W13/TrRail_act!W17*100)</f>
        <v>142.13625983742375</v>
      </c>
      <c r="X26" s="116">
        <f>IF(X13=0,0,X13/TrRail_act!X17*100)</f>
        <v>143.10090472691081</v>
      </c>
      <c r="Y26" s="116">
        <f>IF(Y13=0,0,Y13/TrRail_act!Y17*100)</f>
        <v>141.84610895117754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288.20339278552115</v>
      </c>
      <c r="C27" s="87">
        <f>IF(C14=0,0,C14/TrRail_act!C18*100)</f>
        <v>277.78704149948379</v>
      </c>
      <c r="D27" s="87">
        <f>IF(D14=0,0,D14/TrRail_act!D18*100)</f>
        <v>269.03044770884958</v>
      </c>
      <c r="E27" s="87">
        <f>IF(E14=0,0,E14/TrRail_act!E18*100)</f>
        <v>259.62068505510263</v>
      </c>
      <c r="F27" s="87">
        <f>IF(F14=0,0,F14/TrRail_act!F18*100)</f>
        <v>252.16216237609248</v>
      </c>
      <c r="G27" s="87">
        <f>IF(G14=0,0,G14/TrRail_act!G18*100)</f>
        <v>245.0006093144776</v>
      </c>
      <c r="H27" s="87">
        <f>IF(H14=0,0,H14/TrRail_act!H18*100)</f>
        <v>238.56706903789419</v>
      </c>
      <c r="I27" s="87">
        <f>IF(I14=0,0,I14/TrRail_act!I18*100)</f>
        <v>232.09304476601829</v>
      </c>
      <c r="J27" s="87">
        <f>IF(J14=0,0,J14/TrRail_act!J18*100)</f>
        <v>225.13226831068539</v>
      </c>
      <c r="K27" s="87">
        <f>IF(K14=0,0,K14/TrRail_act!K18*100)</f>
        <v>218.76744408556101</v>
      </c>
      <c r="L27" s="87">
        <f>IF(L14=0,0,L14/TrRail_act!L18*100)</f>
        <v>216.10749358300421</v>
      </c>
      <c r="M27" s="87">
        <f>IF(M14=0,0,M14/TrRail_act!M18*100)</f>
        <v>213.57758950846838</v>
      </c>
      <c r="N27" s="87">
        <f>IF(N14=0,0,N14/TrRail_act!N18*100)</f>
        <v>210.93253191910262</v>
      </c>
      <c r="O27" s="87">
        <f>IF(O14=0,0,O14/TrRail_act!O18*100)</f>
        <v>201.5480822275932</v>
      </c>
      <c r="P27" s="87">
        <f>IF(P14=0,0,P14/TrRail_act!P18*100)</f>
        <v>190.58767595714767</v>
      </c>
      <c r="Q27" s="87">
        <f>IF(Q14=0,0,Q14/TrRail_act!Q18*100)</f>
        <v>186.29255244299117</v>
      </c>
      <c r="R27" s="87">
        <f>IF(R14=0,0,R14/TrRail_act!R18*100)</f>
        <v>181.3035036718943</v>
      </c>
      <c r="S27" s="87">
        <f>IF(S14=0,0,S14/TrRail_act!S18*100)</f>
        <v>177.64959620584253</v>
      </c>
      <c r="T27" s="87">
        <f>IF(T14=0,0,T14/TrRail_act!T18*100)</f>
        <v>174.95757298950278</v>
      </c>
      <c r="U27" s="87">
        <f>IF(U14=0,0,U14/TrRail_act!U18*100)</f>
        <v>172.96536042746771</v>
      </c>
      <c r="V27" s="87">
        <f>IF(V14=0,0,V14/TrRail_act!V18*100)</f>
        <v>171.48610220786333</v>
      </c>
      <c r="W27" s="87">
        <f>IF(W14=0,0,W14/TrRail_act!W18*100)</f>
        <v>170.3849667710702</v>
      </c>
      <c r="X27" s="87">
        <f>IF(X14=0,0,X14/TrRail_act!X18*100)</f>
        <v>169.56375772284474</v>
      </c>
      <c r="Y27" s="87">
        <f>IF(Y14=0,0,Y14/TrRail_act!Y18*100)</f>
        <v>168.95044942131651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155.46408479208995</v>
      </c>
      <c r="C28" s="87">
        <f>IF(C15=0,0,C15/TrRail_act!C19*100)</f>
        <v>153.05950876797789</v>
      </c>
      <c r="D28" s="87">
        <f>IF(D15=0,0,D15/TrRail_act!D19*100)</f>
        <v>151.00869452236535</v>
      </c>
      <c r="E28" s="87">
        <f>IF(E15=0,0,E15/TrRail_act!E19*100)</f>
        <v>150.05678276846231</v>
      </c>
      <c r="F28" s="87">
        <f>IF(F15=0,0,F15/TrRail_act!F19*100)</f>
        <v>147.70193822489398</v>
      </c>
      <c r="G28" s="87">
        <f>IF(G15=0,0,G15/TrRail_act!G19*100)</f>
        <v>144.67354184766285</v>
      </c>
      <c r="H28" s="87">
        <f>IF(H15=0,0,H15/TrRail_act!H19*100)</f>
        <v>143.29981183573349</v>
      </c>
      <c r="I28" s="87">
        <f>IF(I15=0,0,I15/TrRail_act!I19*100)</f>
        <v>142.73793868742948</v>
      </c>
      <c r="J28" s="87">
        <f>IF(J15=0,0,J15/TrRail_act!J19*100)</f>
        <v>142.1003151193807</v>
      </c>
      <c r="K28" s="87">
        <f>IF(K15=0,0,K15/TrRail_act!K19*100)</f>
        <v>141.18589608081538</v>
      </c>
      <c r="L28" s="87">
        <f>IF(L15=0,0,L15/TrRail_act!L19*100)</f>
        <v>140.71142769968722</v>
      </c>
      <c r="M28" s="87">
        <f>IF(M15=0,0,M15/TrRail_act!M19*100)</f>
        <v>138.31146143446949</v>
      </c>
      <c r="N28" s="87">
        <f>IF(N15=0,0,N15/TrRail_act!N19*100)</f>
        <v>136.37231392604826</v>
      </c>
      <c r="O28" s="87">
        <f>IF(O15=0,0,O15/TrRail_act!O19*100)</f>
        <v>135.32094477973109</v>
      </c>
      <c r="P28" s="87">
        <f>IF(P15=0,0,P15/TrRail_act!P19*100)</f>
        <v>134.8679847086234</v>
      </c>
      <c r="Q28" s="87">
        <f>IF(Q15=0,0,Q15/TrRail_act!Q19*100)</f>
        <v>132.68353539734454</v>
      </c>
      <c r="R28" s="87">
        <f>IF(R15=0,0,R15/TrRail_act!R19*100)</f>
        <v>131.19951739862123</v>
      </c>
      <c r="S28" s="87">
        <f>IF(S15=0,0,S15/TrRail_act!S19*100)</f>
        <v>130.35760150296375</v>
      </c>
      <c r="T28" s="87">
        <f>IF(T15=0,0,T15/TrRail_act!T19*100)</f>
        <v>129.72971193799285</v>
      </c>
      <c r="U28" s="87">
        <f>IF(U15=0,0,U15/TrRail_act!U19*100)</f>
        <v>129.26078032041897</v>
      </c>
      <c r="V28" s="87">
        <f>IF(V15=0,0,V15/TrRail_act!V19*100)</f>
        <v>128.91019425438481</v>
      </c>
      <c r="W28" s="87">
        <f>IF(W15=0,0,W15/TrRail_act!W19*100)</f>
        <v>128.64787879195472</v>
      </c>
      <c r="X28" s="87">
        <f>IF(X15=0,0,X15/TrRail_act!X19*100)</f>
        <v>128.45149270181636</v>
      </c>
      <c r="Y28" s="87">
        <f>IF(Y15=0,0,Y15/TrRail_act!Y19*100)</f>
        <v>128.30439983060791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X29" s="117">
        <f>IF(X16=0,0,X16/TrRail_act!X20*100)</f>
        <v>0</v>
      </c>
      <c r="Y29" s="117">
        <f>IF(Y16=0,0,Y16/TrRail_act!Y20*100)</f>
        <v>0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337.30332151165385</v>
      </c>
      <c r="C30" s="29">
        <f>IF(C17=0,0,C17/TrRail_act!C21*100)</f>
        <v>349.48735668424689</v>
      </c>
      <c r="D30" s="29">
        <f>IF(D17=0,0,D17/TrRail_act!D21*100)</f>
        <v>337.31681997856293</v>
      </c>
      <c r="E30" s="29">
        <f>IF(E17=0,0,E17/TrRail_act!E21*100)</f>
        <v>337.46840028858054</v>
      </c>
      <c r="F30" s="29">
        <f>IF(F17=0,0,F17/TrRail_act!F21*100)</f>
        <v>338.25098306441976</v>
      </c>
      <c r="G30" s="29">
        <f>IF(G17=0,0,G17/TrRail_act!G21*100)</f>
        <v>331.89670101208418</v>
      </c>
      <c r="H30" s="29">
        <f>IF(H17=0,0,H17/TrRail_act!H21*100)</f>
        <v>326.94707006768692</v>
      </c>
      <c r="I30" s="29">
        <f>IF(I17=0,0,I17/TrRail_act!I21*100)</f>
        <v>334.25364530516117</v>
      </c>
      <c r="J30" s="29">
        <f>IF(J17=0,0,J17/TrRail_act!J21*100)</f>
        <v>323.44183990337598</v>
      </c>
      <c r="K30" s="29">
        <f>IF(K17=0,0,K17/TrRail_act!K21*100)</f>
        <v>318.73639995338164</v>
      </c>
      <c r="L30" s="29">
        <f>IF(L17=0,0,L17/TrRail_act!L21*100)</f>
        <v>313.19759498489458</v>
      </c>
      <c r="M30" s="29">
        <f>IF(M17=0,0,M17/TrRail_act!M21*100)</f>
        <v>304.86614512019838</v>
      </c>
      <c r="N30" s="29">
        <f>IF(N17=0,0,N17/TrRail_act!N21*100)</f>
        <v>298.07116823127706</v>
      </c>
      <c r="O30" s="29">
        <f>IF(O17=0,0,O17/TrRail_act!O21*100)</f>
        <v>292.90411699180146</v>
      </c>
      <c r="P30" s="29">
        <f>IF(P17=0,0,P17/TrRail_act!P21*100)</f>
        <v>288.60394792628642</v>
      </c>
      <c r="Q30" s="29">
        <f>IF(Q17=0,0,Q17/TrRail_act!Q21*100)</f>
        <v>266.55013144336891</v>
      </c>
      <c r="R30" s="29">
        <f>IF(R17=0,0,R17/TrRail_act!R21*100)</f>
        <v>259.45168206875945</v>
      </c>
      <c r="S30" s="29">
        <f>IF(S17=0,0,S17/TrRail_act!S21*100)</f>
        <v>247.75468199391213</v>
      </c>
      <c r="T30" s="29">
        <f>IF(T17=0,0,T17/TrRail_act!T21*100)</f>
        <v>235.79443550740734</v>
      </c>
      <c r="U30" s="29">
        <f>IF(U17=0,0,U17/TrRail_act!U21*100)</f>
        <v>232.70144820804165</v>
      </c>
      <c r="V30" s="29">
        <f>IF(V17=0,0,V17/TrRail_act!V21*100)</f>
        <v>232.64273613391347</v>
      </c>
      <c r="W30" s="29">
        <f>IF(W17=0,0,W17/TrRail_act!W21*100)</f>
        <v>246.39928392766905</v>
      </c>
      <c r="X30" s="29">
        <f>IF(X17=0,0,X17/TrRail_act!X21*100)</f>
        <v>235.63519403720932</v>
      </c>
      <c r="Y30" s="29">
        <f>IF(Y17=0,0,Y17/TrRail_act!Y21*100)</f>
        <v>222.3432171898485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554.34097567337506</v>
      </c>
      <c r="C31" s="87">
        <f>IF(C18=0,0,C18/TrRail_act!C22*100)</f>
        <v>548.17410323313345</v>
      </c>
      <c r="D31" s="87">
        <f>IF(D18=0,0,D18/TrRail_act!D22*100)</f>
        <v>543.90033895006729</v>
      </c>
      <c r="E31" s="87">
        <f>IF(E18=0,0,E18/TrRail_act!E22*100)</f>
        <v>538.01424841039272</v>
      </c>
      <c r="F31" s="87">
        <f>IF(F18=0,0,F18/TrRail_act!F22*100)</f>
        <v>534.57188093409127</v>
      </c>
      <c r="G31" s="87">
        <f>IF(G18=0,0,G18/TrRail_act!G22*100)</f>
        <v>522.58873318114377</v>
      </c>
      <c r="H31" s="87">
        <f>IF(H18=0,0,H18/TrRail_act!H22*100)</f>
        <v>519.21466067713982</v>
      </c>
      <c r="I31" s="87">
        <f>IF(I18=0,0,I18/TrRail_act!I22*100)</f>
        <v>516.1041589590003</v>
      </c>
      <c r="J31" s="87">
        <f>IF(J18=0,0,J18/TrRail_act!J22*100)</f>
        <v>497.29377797363162</v>
      </c>
      <c r="K31" s="87">
        <f>IF(K18=0,0,K18/TrRail_act!K22*100)</f>
        <v>484.4962268305203</v>
      </c>
      <c r="L31" s="87">
        <f>IF(L18=0,0,L18/TrRail_act!L22*100)</f>
        <v>481.16700297072754</v>
      </c>
      <c r="M31" s="87">
        <f>IF(M18=0,0,M18/TrRail_act!M22*100)</f>
        <v>477.6591454074931</v>
      </c>
      <c r="N31" s="87">
        <f>IF(N18=0,0,N18/TrRail_act!N22*100)</f>
        <v>458.11779642147138</v>
      </c>
      <c r="O31" s="87">
        <f>IF(O18=0,0,O18/TrRail_act!O22*100)</f>
        <v>461.99651713785761</v>
      </c>
      <c r="P31" s="87">
        <f>IF(P18=0,0,P18/TrRail_act!P22*100)</f>
        <v>460.1656519210182</v>
      </c>
      <c r="Q31" s="87">
        <f>IF(Q18=0,0,Q18/TrRail_act!Q22*100)</f>
        <v>440.23046740029707</v>
      </c>
      <c r="R31" s="87">
        <f>IF(R18=0,0,R18/TrRail_act!R22*100)</f>
        <v>430.10638778128276</v>
      </c>
      <c r="S31" s="87">
        <f>IF(S18=0,0,S18/TrRail_act!S22*100)</f>
        <v>421.82108207696308</v>
      </c>
      <c r="T31" s="87">
        <f>IF(T18=0,0,T18/TrRail_act!T22*100)</f>
        <v>414.88058743377866</v>
      </c>
      <c r="U31" s="87">
        <f>IF(U18=0,0,U18/TrRail_act!U22*100)</f>
        <v>408.9307606300834</v>
      </c>
      <c r="V31" s="87">
        <f>IF(V18=0,0,V18/TrRail_act!V22*100)</f>
        <v>404.52445347112371</v>
      </c>
      <c r="W31" s="87">
        <f>IF(W18=0,0,W18/TrRail_act!W22*100)</f>
        <v>401.25090913839801</v>
      </c>
      <c r="X31" s="87">
        <f>IF(X18=0,0,X18/TrRail_act!X22*100)</f>
        <v>398.81314709339961</v>
      </c>
      <c r="Y31" s="87">
        <f>IF(Y18=0,0,Y18/TrRail_act!Y22*100)</f>
        <v>396.99454981037576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210.61702733759651</v>
      </c>
      <c r="C32" s="88">
        <f>IF(C19=0,0,C19/TrRail_act!C23*100)</f>
        <v>207.35939613047219</v>
      </c>
      <c r="D32" s="88">
        <f>IF(D19=0,0,D19/TrRail_act!D23*100)</f>
        <v>204.58102837685144</v>
      </c>
      <c r="E32" s="88">
        <f>IF(E19=0,0,E19/TrRail_act!E23*100)</f>
        <v>203.29141332419863</v>
      </c>
      <c r="F32" s="88">
        <f>IF(F19=0,0,F19/TrRail_act!F23*100)</f>
        <v>200.10115649882439</v>
      </c>
      <c r="G32" s="88">
        <f>IF(G19=0,0,G19/TrRail_act!G23*100)</f>
        <v>195.99839640844482</v>
      </c>
      <c r="H32" s="88">
        <f>IF(H19=0,0,H19/TrRail_act!H23*100)</f>
        <v>194.13731748552874</v>
      </c>
      <c r="I32" s="88">
        <f>IF(I19=0,0,I19/TrRail_act!I23*100)</f>
        <v>193.37611239822593</v>
      </c>
      <c r="J32" s="88">
        <f>IF(J19=0,0,J19/TrRail_act!J23*100)</f>
        <v>192.51228342677936</v>
      </c>
      <c r="K32" s="88">
        <f>IF(K19=0,0,K19/TrRail_act!K23*100)</f>
        <v>191.27346212666311</v>
      </c>
      <c r="L32" s="88">
        <f>IF(L19=0,0,L19/TrRail_act!L23*100)</f>
        <v>190.63066980499903</v>
      </c>
      <c r="M32" s="88">
        <f>IF(M19=0,0,M19/TrRail_act!M23*100)</f>
        <v>187.37928372977359</v>
      </c>
      <c r="N32" s="88">
        <f>IF(N19=0,0,N19/TrRail_act!N23*100)</f>
        <v>184.75219796691721</v>
      </c>
      <c r="O32" s="88">
        <f>IF(O19=0,0,O19/TrRail_act!O23*100)</f>
        <v>183.32784169499809</v>
      </c>
      <c r="P32" s="88">
        <f>IF(P19=0,0,P19/TrRail_act!P23*100)</f>
        <v>182.71418804112093</v>
      </c>
      <c r="Q32" s="88">
        <f>IF(Q19=0,0,Q19/TrRail_act!Q23*100)</f>
        <v>179.75477641285644</v>
      </c>
      <c r="R32" s="88">
        <f>IF(R19=0,0,R19/TrRail_act!R23*100)</f>
        <v>177.74428337953242</v>
      </c>
      <c r="S32" s="88">
        <f>IF(S19=0,0,S19/TrRail_act!S23*100)</f>
        <v>176.60368667226859</v>
      </c>
      <c r="T32" s="88">
        <f>IF(T19=0,0,T19/TrRail_act!T23*100)</f>
        <v>175.75304497037774</v>
      </c>
      <c r="U32" s="88">
        <f>IF(U19=0,0,U19/TrRail_act!U23*100)</f>
        <v>175.11775365245009</v>
      </c>
      <c r="V32" s="88">
        <f>IF(V19=0,0,V19/TrRail_act!V23*100)</f>
        <v>174.64279253745875</v>
      </c>
      <c r="W32" s="88">
        <f>IF(W19=0,0,W19/TrRail_act!W23*100)</f>
        <v>174.28741719147132</v>
      </c>
      <c r="X32" s="88">
        <f>IF(X19=0,0,X19/TrRail_act!X23*100)</f>
        <v>174.02136053555213</v>
      </c>
      <c r="Y32" s="88">
        <f>IF(Y19=0,0,Y19/TrRail_act!Y23*100)</f>
        <v>173.82208452065868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18.661610131545352</v>
      </c>
      <c r="C35" s="29">
        <f>IF(C11=0,0,C11/TrRail_act!C4*1000)</f>
        <v>17.986014793730728</v>
      </c>
      <c r="D35" s="29">
        <f>IF(D11=0,0,D11/TrRail_act!D4*1000)</f>
        <v>18.414569369965584</v>
      </c>
      <c r="E35" s="29">
        <f>IF(E11=0,0,E11/TrRail_act!E4*1000)</f>
        <v>17.615518838175927</v>
      </c>
      <c r="F35" s="29">
        <f>IF(F11=0,0,F11/TrRail_act!F4*1000)</f>
        <v>18.300283045636434</v>
      </c>
      <c r="G35" s="29">
        <f>IF(G11=0,0,G11/TrRail_act!G4*1000)</f>
        <v>17.686193559144151</v>
      </c>
      <c r="H35" s="29">
        <f>IF(H11=0,0,H11/TrRail_act!H4*1000)</f>
        <v>16.990928141833084</v>
      </c>
      <c r="I35" s="29">
        <f>IF(I11=0,0,I11/TrRail_act!I4*1000)</f>
        <v>14.522906821452828</v>
      </c>
      <c r="J35" s="29">
        <f>IF(J11=0,0,J11/TrRail_act!J4*1000)</f>
        <v>14.185003817319144</v>
      </c>
      <c r="K35" s="29">
        <f>IF(K11=0,0,K11/TrRail_act!K4*1000)</f>
        <v>13.572185087103581</v>
      </c>
      <c r="L35" s="29">
        <f>IF(L11=0,0,L11/TrRail_act!L4*1000)</f>
        <v>13.860958633749762</v>
      </c>
      <c r="M35" s="29">
        <f>IF(M11=0,0,M11/TrRail_act!M4*1000)</f>
        <v>15.6083117190436</v>
      </c>
      <c r="N35" s="29">
        <f>IF(N11=0,0,N11/TrRail_act!N4*1000)</f>
        <v>18.55063853200641</v>
      </c>
      <c r="O35" s="29">
        <f>IF(O11=0,0,O11/TrRail_act!O4*1000)</f>
        <v>18.495267787125552</v>
      </c>
      <c r="P35" s="29">
        <f>IF(P11=0,0,P11/TrRail_act!P4*1000)</f>
        <v>16.235663049761005</v>
      </c>
      <c r="Q35" s="29">
        <f>IF(Q11=0,0,Q11/TrRail_act!Q4*1000)</f>
        <v>15.113732238346033</v>
      </c>
      <c r="R35" s="29">
        <f>IF(R11=0,0,R11/TrRail_act!R4*1000)</f>
        <v>15.798466762468717</v>
      </c>
      <c r="S35" s="29">
        <f>IF(S11=0,0,S11/TrRail_act!S4*1000)</f>
        <v>16.688668253970405</v>
      </c>
      <c r="T35" s="29">
        <f>IF(T11=0,0,T11/TrRail_act!T4*1000)</f>
        <v>16.349127593478709</v>
      </c>
      <c r="U35" s="29">
        <f>IF(U11=0,0,U11/TrRail_act!U4*1000)</f>
        <v>16.629240413163963</v>
      </c>
      <c r="V35" s="29">
        <f>IF(V11=0,0,V11/TrRail_act!V4*1000)</f>
        <v>21.047247670663921</v>
      </c>
      <c r="W35" s="29">
        <f>IF(W11=0,0,W11/TrRail_act!W4*1000)</f>
        <v>23.383493916259134</v>
      </c>
      <c r="X35" s="29">
        <f>IF(X11=0,0,X11/TrRail_act!X4*1000)</f>
        <v>18.392639304567215</v>
      </c>
      <c r="Y35" s="29">
        <f>IF(Y11=0,0,Y11/TrRail_act!Y4*1000)</f>
        <v>14.665870285202734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5.5366267725803642</v>
      </c>
      <c r="C36" s="115">
        <f>IF(C12=0,0,C12/TrRail_act!C5*1000)</f>
        <v>5.5230204457811745</v>
      </c>
      <c r="D36" s="115">
        <f>IF(D12=0,0,D12/TrRail_act!D5*1000)</f>
        <v>5.527027124384059</v>
      </c>
      <c r="E36" s="115">
        <f>IF(E12=0,0,E12/TrRail_act!E5*1000)</f>
        <v>5.5528994294017302</v>
      </c>
      <c r="F36" s="115">
        <f>IF(F12=0,0,F12/TrRail_act!F5*1000)</f>
        <v>5.470815946562241</v>
      </c>
      <c r="G36" s="115">
        <f>IF(G12=0,0,G12/TrRail_act!G5*1000)</f>
        <v>5.444587825689287</v>
      </c>
      <c r="H36" s="115">
        <f>IF(H12=0,0,H12/TrRail_act!H5*1000)</f>
        <v>5.3774797424919543</v>
      </c>
      <c r="I36" s="115">
        <f>IF(I12=0,0,I12/TrRail_act!I5*1000)</f>
        <v>5.3608492673296402</v>
      </c>
      <c r="J36" s="115">
        <f>IF(J12=0,0,J12/TrRail_act!J5*1000)</f>
        <v>5.2874547150058975</v>
      </c>
      <c r="K36" s="115">
        <f>IF(K12=0,0,K12/TrRail_act!K5*1000)</f>
        <v>5.2615690421113879</v>
      </c>
      <c r="L36" s="115">
        <f>IF(L12=0,0,L12/TrRail_act!L5*1000)</f>
        <v>5.2248672350310335</v>
      </c>
      <c r="M36" s="115">
        <f>IF(M12=0,0,M12/TrRail_act!M5*1000)</f>
        <v>5.1617845080858853</v>
      </c>
      <c r="N36" s="115">
        <f>IF(N12=0,0,N12/TrRail_act!N5*1000)</f>
        <v>5.1239884196797441</v>
      </c>
      <c r="O36" s="115">
        <f>IF(O12=0,0,O12/TrRail_act!O5*1000)</f>
        <v>5.0649082642049672</v>
      </c>
      <c r="P36" s="115">
        <f>IF(P12=0,0,P12/TrRail_act!P5*1000)</f>
        <v>5.0027402213647356</v>
      </c>
      <c r="Q36" s="115">
        <f>IF(Q12=0,0,Q12/TrRail_act!Q5*1000)</f>
        <v>4.920907081822202</v>
      </c>
      <c r="R36" s="115">
        <f>IF(R12=0,0,R12/TrRail_act!R5*1000)</f>
        <v>4.9318340272158263</v>
      </c>
      <c r="S36" s="115">
        <f>IF(S12=0,0,S12/TrRail_act!S5*1000)</f>
        <v>4.8577409848503805</v>
      </c>
      <c r="T36" s="115">
        <f>IF(T12=0,0,T12/TrRail_act!T5*1000)</f>
        <v>4.7840087744677513</v>
      </c>
      <c r="U36" s="115">
        <f>IF(U12=0,0,U12/TrRail_act!U5*1000)</f>
        <v>5.4551219241499762</v>
      </c>
      <c r="V36" s="115">
        <f>IF(V12=0,0,V12/TrRail_act!V5*1000)</f>
        <v>5.8066477021007747</v>
      </c>
      <c r="W36" s="115">
        <f>IF(W12=0,0,W12/TrRail_act!W5*1000)</f>
        <v>6.2588480764258163</v>
      </c>
      <c r="X36" s="115">
        <f>IF(X12=0,0,X12/TrRail_act!X5*1000)</f>
        <v>4.7209916646889223</v>
      </c>
      <c r="Y36" s="115">
        <f>IF(Y12=0,0,Y12/TrRail_act!Y5*1000)</f>
        <v>4.466081323139437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23.946942387993222</v>
      </c>
      <c r="C37" s="116">
        <f>IF(C13=0,0,C13/TrRail_act!C6*1000)</f>
        <v>23.326161825605098</v>
      </c>
      <c r="D37" s="116">
        <f>IF(D13=0,0,D13/TrRail_act!D6*1000)</f>
        <v>24.181480303285895</v>
      </c>
      <c r="E37" s="116">
        <f>IF(E13=0,0,E13/TrRail_act!E6*1000)</f>
        <v>23.323305563544551</v>
      </c>
      <c r="F37" s="116">
        <f>IF(F13=0,0,F13/TrRail_act!F6*1000)</f>
        <v>24.106829616363097</v>
      </c>
      <c r="G37" s="116">
        <f>IF(G13=0,0,G13/TrRail_act!G6*1000)</f>
        <v>23.005515451958491</v>
      </c>
      <c r="H37" s="116">
        <f>IF(H13=0,0,H13/TrRail_act!H6*1000)</f>
        <v>21.908397771821278</v>
      </c>
      <c r="I37" s="116">
        <f>IF(I13=0,0,I13/TrRail_act!I6*1000)</f>
        <v>18.372718366890375</v>
      </c>
      <c r="J37" s="116">
        <f>IF(J13=0,0,J13/TrRail_act!J6*1000)</f>
        <v>17.32154831160911</v>
      </c>
      <c r="K37" s="116">
        <f>IF(K13=0,0,K13/TrRail_act!K6*1000)</f>
        <v>16.241636129923997</v>
      </c>
      <c r="L37" s="116">
        <f>IF(L13=0,0,L13/TrRail_act!L6*1000)</f>
        <v>16.633779944401972</v>
      </c>
      <c r="M37" s="116">
        <f>IF(M13=0,0,M13/TrRail_act!M6*1000)</f>
        <v>19.33329094240398</v>
      </c>
      <c r="N37" s="116">
        <f>IF(N13=0,0,N13/TrRail_act!N6*1000)</f>
        <v>25.045370265090995</v>
      </c>
      <c r="O37" s="116">
        <f>IF(O13=0,0,O13/TrRail_act!O6*1000)</f>
        <v>26.148245743807703</v>
      </c>
      <c r="P37" s="116">
        <f>IF(P13=0,0,P13/TrRail_act!P6*1000)</f>
        <v>23.287745899858329</v>
      </c>
      <c r="Q37" s="116">
        <f>IF(Q13=0,0,Q13/TrRail_act!Q6*1000)</f>
        <v>21.59084476496232</v>
      </c>
      <c r="R37" s="116">
        <f>IF(R13=0,0,R13/TrRail_act!R6*1000)</f>
        <v>23.800421219878608</v>
      </c>
      <c r="S37" s="116">
        <f>IF(S13=0,0,S13/TrRail_act!S6*1000)</f>
        <v>26.461769685847308</v>
      </c>
      <c r="T37" s="116">
        <f>IF(T13=0,0,T13/TrRail_act!T6*1000)</f>
        <v>25.269364118720269</v>
      </c>
      <c r="U37" s="116">
        <f>IF(U13=0,0,U13/TrRail_act!U6*1000)</f>
        <v>25.12373120595888</v>
      </c>
      <c r="V37" s="116">
        <f>IF(V13=0,0,V13/TrRail_act!V6*1000)</f>
        <v>34.460472487639258</v>
      </c>
      <c r="W37" s="116">
        <f>IF(W13=0,0,W13/TrRail_act!W6*1000)</f>
        <v>34.810948334281584</v>
      </c>
      <c r="X37" s="116">
        <f>IF(X13=0,0,X13/TrRail_act!X6*1000)</f>
        <v>24.440575499742682</v>
      </c>
      <c r="Y37" s="116">
        <f>IF(Y13=0,0,Y13/TrRail_act!Y6*1000)</f>
        <v>17.616217297320393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33.673086502796941</v>
      </c>
      <c r="C38" s="87">
        <f>IF(C14=0,0,C14/TrRail_act!C7*1000)</f>
        <v>33.464717541111995</v>
      </c>
      <c r="D38" s="87">
        <f>IF(D14=0,0,D14/TrRail_act!D7*1000)</f>
        <v>34.539401865649928</v>
      </c>
      <c r="E38" s="87">
        <f>IF(E14=0,0,E14/TrRail_act!E7*1000)</f>
        <v>32.704331780937146</v>
      </c>
      <c r="F38" s="87">
        <f>IF(F14=0,0,F14/TrRail_act!F7*1000)</f>
        <v>34.814215758880337</v>
      </c>
      <c r="G38" s="87">
        <f>IF(G14=0,0,G14/TrRail_act!G7*1000)</f>
        <v>30.782165136174015</v>
      </c>
      <c r="H38" s="87">
        <f>IF(H14=0,0,H14/TrRail_act!H7*1000)</f>
        <v>29.552389301877287</v>
      </c>
      <c r="I38" s="87">
        <f>IF(I14=0,0,I14/TrRail_act!I7*1000)</f>
        <v>24.617366713318763</v>
      </c>
      <c r="J38" s="87">
        <f>IF(J14=0,0,J14/TrRail_act!J7*1000)</f>
        <v>22.736331103470931</v>
      </c>
      <c r="K38" s="87">
        <f>IF(K14=0,0,K14/TrRail_act!K7*1000)</f>
        <v>20.572689934184751</v>
      </c>
      <c r="L38" s="87">
        <f>IF(L14=0,0,L14/TrRail_act!L7*1000)</f>
        <v>21.122797262770185</v>
      </c>
      <c r="M38" s="87">
        <f>IF(M14=0,0,M14/TrRail_act!M7*1000)</f>
        <v>23.939757927243537</v>
      </c>
      <c r="N38" s="87">
        <f>IF(N14=0,0,N14/TrRail_act!N7*1000)</f>
        <v>30.861229501584308</v>
      </c>
      <c r="O38" s="87">
        <f>IF(O14=0,0,O14/TrRail_act!O7*1000)</f>
        <v>32.923229265962469</v>
      </c>
      <c r="P38" s="87">
        <f>IF(P14=0,0,P14/TrRail_act!P7*1000)</f>
        <v>28.883781281564058</v>
      </c>
      <c r="Q38" s="87">
        <f>IF(Q14=0,0,Q14/TrRail_act!Q7*1000)</f>
        <v>25.991002225696032</v>
      </c>
      <c r="R38" s="87">
        <f>IF(R14=0,0,R14/TrRail_act!R7*1000)</f>
        <v>29.515626988994498</v>
      </c>
      <c r="S38" s="87">
        <f>IF(S14=0,0,S14/TrRail_act!S7*1000)</f>
        <v>32.851705272019991</v>
      </c>
      <c r="T38" s="87">
        <f>IF(T14=0,0,T14/TrRail_act!T7*1000)</f>
        <v>31.613228105356924</v>
      </c>
      <c r="U38" s="87">
        <f>IF(U14=0,0,U14/TrRail_act!U7*1000)</f>
        <v>32.631298760302478</v>
      </c>
      <c r="V38" s="87">
        <f>IF(V14=0,0,V14/TrRail_act!V7*1000)</f>
        <v>41.382150900467558</v>
      </c>
      <c r="W38" s="87">
        <f>IF(W14=0,0,W14/TrRail_act!W7*1000)</f>
        <v>39.771608032316287</v>
      </c>
      <c r="X38" s="87">
        <f>IF(X14=0,0,X14/TrRail_act!X7*1000)</f>
        <v>34.72478092815804</v>
      </c>
      <c r="Y38" s="87">
        <f>IF(Y14=0,0,Y14/TrRail_act!Y7*1000)</f>
        <v>28.743863073870806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15.482537200737978</v>
      </c>
      <c r="C39" s="87">
        <f>IF(C15=0,0,C15/TrRail_act!C8*1000)</f>
        <v>15.021821158313719</v>
      </c>
      <c r="D39" s="87">
        <f>IF(D15=0,0,D15/TrRail_act!D8*1000)</f>
        <v>15.776582390053726</v>
      </c>
      <c r="E39" s="87">
        <f>IF(E15=0,0,E15/TrRail_act!E8*1000)</f>
        <v>15.597002688540819</v>
      </c>
      <c r="F39" s="87">
        <f>IF(F15=0,0,F15/TrRail_act!F8*1000)</f>
        <v>15.076913724874364</v>
      </c>
      <c r="G39" s="87">
        <f>IF(G15=0,0,G15/TrRail_act!G8*1000)</f>
        <v>15.749694379077177</v>
      </c>
      <c r="H39" s="87">
        <f>IF(H15=0,0,H15/TrRail_act!H8*1000)</f>
        <v>14.924753981954309</v>
      </c>
      <c r="I39" s="87">
        <f>IF(I15=0,0,I15/TrRail_act!I8*1000)</f>
        <v>12.746605766053458</v>
      </c>
      <c r="J39" s="87">
        <f>IF(J15=0,0,J15/TrRail_act!J8*1000)</f>
        <v>12.330386925620269</v>
      </c>
      <c r="K39" s="87">
        <f>IF(K15=0,0,K15/TrRail_act!K8*1000)</f>
        <v>12.432159165642304</v>
      </c>
      <c r="L39" s="87">
        <f>IF(L15=0,0,L15/TrRail_act!L8*1000)</f>
        <v>12.752165692052065</v>
      </c>
      <c r="M39" s="87">
        <f>IF(M15=0,0,M15/TrRail_act!M8*1000)</f>
        <v>15.278077602605189</v>
      </c>
      <c r="N39" s="87">
        <f>IF(N15=0,0,N15/TrRail_act!N8*1000)</f>
        <v>19.977660038509178</v>
      </c>
      <c r="O39" s="87">
        <f>IF(O15=0,0,O15/TrRail_act!O8*1000)</f>
        <v>19.894243618776297</v>
      </c>
      <c r="P39" s="87">
        <f>IF(P15=0,0,P15/TrRail_act!P8*1000)</f>
        <v>18.39504334661952</v>
      </c>
      <c r="Q39" s="87">
        <f>IF(Q15=0,0,Q15/TrRail_act!Q8*1000)</f>
        <v>18.035201075479602</v>
      </c>
      <c r="R39" s="87">
        <f>IF(R15=0,0,R15/TrRail_act!R8*1000)</f>
        <v>19.363229932913683</v>
      </c>
      <c r="S39" s="87">
        <f>IF(S15=0,0,S15/TrRail_act!S8*1000)</f>
        <v>21.594253769089566</v>
      </c>
      <c r="T39" s="87">
        <f>IF(T15=0,0,T15/TrRail_act!T8*1000)</f>
        <v>21.433630978580723</v>
      </c>
      <c r="U39" s="87">
        <f>IF(U15=0,0,U15/TrRail_act!U8*1000)</f>
        <v>20.887443804831651</v>
      </c>
      <c r="V39" s="87">
        <f>IF(V15=0,0,V15/TrRail_act!V8*1000)</f>
        <v>30.305593546320633</v>
      </c>
      <c r="W39" s="87">
        <f>IF(W15=0,0,W15/TrRail_act!W8*1000)</f>
        <v>32.265878647928936</v>
      </c>
      <c r="X39" s="87">
        <f>IF(X15=0,0,X15/TrRail_act!X8*1000)</f>
        <v>20.092125196856358</v>
      </c>
      <c r="Y39" s="87">
        <f>IF(Y15=0,0,Y15/TrRail_act!Y8*1000)</f>
        <v>14.040303168803099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X40" s="117">
        <f>IF(X16=0,0,X16/TrRail_act!X9*1000)</f>
        <v>0</v>
      </c>
      <c r="Y40" s="117">
        <f>IF(Y16=0,0,Y16/TrRail_act!Y9*1000)</f>
        <v>0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7.3180744342635355</v>
      </c>
      <c r="C41" s="29">
        <f>IF(C17=0,0,C17/TrRail_act!C10*1000)</f>
        <v>7.2705885758966957</v>
      </c>
      <c r="D41" s="29">
        <f>IF(D17=0,0,D17/TrRail_act!D10*1000)</f>
        <v>7.239920829964003</v>
      </c>
      <c r="E41" s="29">
        <f>IF(E17=0,0,E17/TrRail_act!E10*1000)</f>
        <v>7.1631706633455554</v>
      </c>
      <c r="F41" s="29">
        <f>IF(F17=0,0,F17/TrRail_act!F10*1000)</f>
        <v>7.3640450667938113</v>
      </c>
      <c r="G41" s="29">
        <f>IF(G17=0,0,G17/TrRail_act!G10*1000)</f>
        <v>7.2103162218075783</v>
      </c>
      <c r="H41" s="29">
        <f>IF(H17=0,0,H17/TrRail_act!H10*1000)</f>
        <v>6.5248645637704472</v>
      </c>
      <c r="I41" s="29">
        <f>IF(I17=0,0,I17/TrRail_act!I10*1000)</f>
        <v>6.3559502855297811</v>
      </c>
      <c r="J41" s="29">
        <f>IF(J17=0,0,J17/TrRail_act!J10*1000)</f>
        <v>6.2435434596500112</v>
      </c>
      <c r="K41" s="29">
        <f>IF(K17=0,0,K17/TrRail_act!K10*1000)</f>
        <v>6.4265251541266384</v>
      </c>
      <c r="L41" s="29">
        <f>IF(L17=0,0,L17/TrRail_act!L10*1000)</f>
        <v>6.9566926375009075</v>
      </c>
      <c r="M41" s="29">
        <f>IF(M17=0,0,M17/TrRail_act!M10*1000)</f>
        <v>6.8568203143829383</v>
      </c>
      <c r="N41" s="29">
        <f>IF(N17=0,0,N17/TrRail_act!N10*1000)</f>
        <v>6.5820291288047841</v>
      </c>
      <c r="O41" s="29">
        <f>IF(O17=0,0,O17/TrRail_act!O10*1000)</f>
        <v>7.5024939429838007</v>
      </c>
      <c r="P41" s="29">
        <f>IF(P17=0,0,P17/TrRail_act!P10*1000)</f>
        <v>7.0317329600898208</v>
      </c>
      <c r="Q41" s="29">
        <f>IF(Q17=0,0,Q17/TrRail_act!Q10*1000)</f>
        <v>6.1827667899232974</v>
      </c>
      <c r="R41" s="29">
        <f>IF(R17=0,0,R17/TrRail_act!R10*1000)</f>
        <v>6.6362384220208197</v>
      </c>
      <c r="S41" s="29">
        <f>IF(S17=0,0,S17/TrRail_act!S10*1000)</f>
        <v>5.8567468281895261</v>
      </c>
      <c r="T41" s="29">
        <f>IF(T17=0,0,T17/TrRail_act!T10*1000)</f>
        <v>5.0315502892164563</v>
      </c>
      <c r="U41" s="29">
        <f>IF(U17=0,0,U17/TrRail_act!U10*1000)</f>
        <v>4.8144058382169019</v>
      </c>
      <c r="V41" s="29">
        <f>IF(V17=0,0,V17/TrRail_act!V10*1000)</f>
        <v>4.5972783289280086</v>
      </c>
      <c r="W41" s="29">
        <f>IF(W17=0,0,W17/TrRail_act!W10*1000)</f>
        <v>4.467597603569299</v>
      </c>
      <c r="X41" s="29">
        <f>IF(X17=0,0,X17/TrRail_act!X10*1000)</f>
        <v>4.0414616567922161</v>
      </c>
      <c r="Y41" s="29">
        <f>IF(Y17=0,0,Y17/TrRail_act!Y10*1000)</f>
        <v>3.571335049307657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8.5232168447412118</v>
      </c>
      <c r="C42" s="87">
        <f>IF(C18=0,0,C18/TrRail_act!C11*1000)</f>
        <v>9.6030407180662696</v>
      </c>
      <c r="D42" s="87">
        <f>IF(D18=0,0,D18/TrRail_act!D11*1000)</f>
        <v>9.3725345621546108</v>
      </c>
      <c r="E42" s="87">
        <f>IF(E18=0,0,E18/TrRail_act!E11*1000)</f>
        <v>9.5285906731352412</v>
      </c>
      <c r="F42" s="87">
        <f>IF(F18=0,0,F18/TrRail_act!F11*1000)</f>
        <v>10.366232185342643</v>
      </c>
      <c r="G42" s="87">
        <f>IF(G18=0,0,G18/TrRail_act!G11*1000)</f>
        <v>10.025420511252481</v>
      </c>
      <c r="H42" s="87">
        <f>IF(H18=0,0,H18/TrRail_act!H11*1000)</f>
        <v>8.9240329295260334</v>
      </c>
      <c r="I42" s="87">
        <f>IF(I18=0,0,I18/TrRail_act!I11*1000)</f>
        <v>9.0857521639538117</v>
      </c>
      <c r="J42" s="87">
        <f>IF(J18=0,0,J18/TrRail_act!J11*1000)</f>
        <v>8.5274463365065785</v>
      </c>
      <c r="K42" s="87">
        <f>IF(K18=0,0,K18/TrRail_act!K11*1000)</f>
        <v>8.4986240569427345</v>
      </c>
      <c r="L42" s="87">
        <f>IF(L18=0,0,L18/TrRail_act!L11*1000)</f>
        <v>9.1569872860356423</v>
      </c>
      <c r="M42" s="87">
        <f>IF(M18=0,0,M18/TrRail_act!M11*1000)</f>
        <v>9.3211439637746967</v>
      </c>
      <c r="N42" s="87">
        <f>IF(N18=0,0,N18/TrRail_act!N11*1000)</f>
        <v>9.0079978580817777</v>
      </c>
      <c r="O42" s="87">
        <f>IF(O18=0,0,O18/TrRail_act!O11*1000)</f>
        <v>10.140949730001836</v>
      </c>
      <c r="P42" s="87">
        <f>IF(P18=0,0,P18/TrRail_act!P11*1000)</f>
        <v>8.9646602839172012</v>
      </c>
      <c r="Q42" s="87">
        <f>IF(Q18=0,0,Q18/TrRail_act!Q11*1000)</f>
        <v>7.8369580956830687</v>
      </c>
      <c r="R42" s="87">
        <f>IF(R18=0,0,R18/TrRail_act!R11*1000)</f>
        <v>8.2590487673904871</v>
      </c>
      <c r="S42" s="87">
        <f>IF(S18=0,0,S18/TrRail_act!S11*1000)</f>
        <v>6.9602385248697844</v>
      </c>
      <c r="T42" s="87">
        <f>IF(T18=0,0,T18/TrRail_act!T11*1000)</f>
        <v>6.0060812944733675</v>
      </c>
      <c r="U42" s="87">
        <f>IF(U18=0,0,U18/TrRail_act!U11*1000)</f>
        <v>5.7461972819177882</v>
      </c>
      <c r="V42" s="87">
        <f>IF(V18=0,0,V18/TrRail_act!V11*1000)</f>
        <v>5.5715130970697686</v>
      </c>
      <c r="W42" s="87">
        <f>IF(W18=0,0,W18/TrRail_act!W11*1000)</f>
        <v>6.3641303682347692</v>
      </c>
      <c r="X42" s="87">
        <f>IF(X18=0,0,X18/TrRail_act!X11*1000)</f>
        <v>5.1168354014434794</v>
      </c>
      <c r="Y42" s="87">
        <f>IF(Y18=0,0,Y18/TrRail_act!Y11*1000)</f>
        <v>4.1999242722922725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6.0120891264632261</v>
      </c>
      <c r="C43" s="88">
        <f>IF(C19=0,0,C19/TrRail_act!C12*1000)</f>
        <v>4.9821971877918392</v>
      </c>
      <c r="D43" s="88">
        <f>IF(D19=0,0,D19/TrRail_act!D12*1000)</f>
        <v>5.2134958573217851</v>
      </c>
      <c r="E43" s="88">
        <f>IF(E19=0,0,E19/TrRail_act!E12*1000)</f>
        <v>4.9759426353180141</v>
      </c>
      <c r="F43" s="88">
        <f>IF(F19=0,0,F19/TrRail_act!F12*1000)</f>
        <v>4.7680728823539198</v>
      </c>
      <c r="G43" s="88">
        <f>IF(G19=0,0,G19/TrRail_act!G12*1000)</f>
        <v>4.7016939922982406</v>
      </c>
      <c r="H43" s="88">
        <f>IF(H19=0,0,H19/TrRail_act!H12*1000)</f>
        <v>4.3596098477226377</v>
      </c>
      <c r="I43" s="88">
        <f>IF(I19=0,0,I19/TrRail_act!I12*1000)</f>
        <v>3.9205201638691944</v>
      </c>
      <c r="J43" s="88">
        <f>IF(J19=0,0,J19/TrRail_act!J12*1000)</f>
        <v>4.1047848343490028</v>
      </c>
      <c r="K43" s="88">
        <f>IF(K19=0,0,K19/TrRail_act!K12*1000)</f>
        <v>4.3572615723448331</v>
      </c>
      <c r="L43" s="88">
        <f>IF(L19=0,0,L19/TrRail_act!L12*1000)</f>
        <v>4.8224556695908838</v>
      </c>
      <c r="M43" s="88">
        <f>IF(M19=0,0,M19/TrRail_act!M12*1000)</f>
        <v>4.7021368696392232</v>
      </c>
      <c r="N43" s="88">
        <f>IF(N19=0,0,N19/TrRail_act!N12*1000)</f>
        <v>4.4689820469034043</v>
      </c>
      <c r="O43" s="88">
        <f>IF(O19=0,0,O19/TrRail_act!O12*1000)</f>
        <v>5.2653238661096484</v>
      </c>
      <c r="P43" s="88">
        <f>IF(P19=0,0,P19/TrRail_act!P12*1000)</f>
        <v>5.2665691398399117</v>
      </c>
      <c r="Q43" s="88">
        <f>IF(Q19=0,0,Q19/TrRail_act!Q12*1000)</f>
        <v>4.9134494992444067</v>
      </c>
      <c r="R43" s="88">
        <f>IF(R19=0,0,R19/TrRail_act!R12*1000)</f>
        <v>5.4056587659648816</v>
      </c>
      <c r="S43" s="88">
        <f>IF(S19=0,0,S19/TrRail_act!S12*1000)</f>
        <v>5.0717039323525857</v>
      </c>
      <c r="T43" s="88">
        <f>IF(T19=0,0,T19/TrRail_act!T12*1000)</f>
        <v>4.4589564408284721</v>
      </c>
      <c r="U43" s="88">
        <f>IF(U19=0,0,U19/TrRail_act!U12*1000)</f>
        <v>4.2843038517237177</v>
      </c>
      <c r="V43" s="88">
        <f>IF(V19=0,0,V19/TrRail_act!V12*1000)</f>
        <v>4.044504143757659</v>
      </c>
      <c r="W43" s="88">
        <f>IF(W19=0,0,W19/TrRail_act!W12*1000)</f>
        <v>3.3858424102946638</v>
      </c>
      <c r="X43" s="88">
        <f>IF(X19=0,0,X19/TrRail_act!X12*1000)</f>
        <v>3.4195719304899055</v>
      </c>
      <c r="Y43" s="88">
        <f>IF(Y19=0,0,Y19/TrRail_act!Y12*1000)</f>
        <v>3.2615971116640239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276277.10351343837</v>
      </c>
      <c r="C45" s="54">
        <f>IF(C10=0,0,1000000*C10/TrRail_act!C25)</f>
        <v>274011.59318258282</v>
      </c>
      <c r="D45" s="54">
        <f>IF(D10=0,0,1000000*D10/TrRail_act!D25)</f>
        <v>270902.20973962586</v>
      </c>
      <c r="E45" s="54">
        <f>IF(E10=0,0,1000000*E10/TrRail_act!E25)</f>
        <v>269168.93787588103</v>
      </c>
      <c r="F45" s="54">
        <f>IF(F10=0,0,1000000*F10/TrRail_act!F25)</f>
        <v>273818.00237031281</v>
      </c>
      <c r="G45" s="54">
        <f>IF(G10=0,0,1000000*G10/TrRail_act!G25)</f>
        <v>273827.10630849667</v>
      </c>
      <c r="H45" s="54">
        <f>IF(H10=0,0,1000000*H10/TrRail_act!H25)</f>
        <v>270895.70914513734</v>
      </c>
      <c r="I45" s="54">
        <f>IF(I10=0,0,1000000*I10/TrRail_act!I25)</f>
        <v>259563.18883698832</v>
      </c>
      <c r="J45" s="54">
        <f>IF(J10=0,0,1000000*J10/TrRail_act!J25)</f>
        <v>254057.74968750635</v>
      </c>
      <c r="K45" s="54">
        <f>IF(K10=0,0,1000000*K10/TrRail_act!K25)</f>
        <v>238083.67434020739</v>
      </c>
      <c r="L45" s="54">
        <f>IF(L10=0,0,1000000*L10/TrRail_act!L25)</f>
        <v>246887.09345486434</v>
      </c>
      <c r="M45" s="54">
        <f>IF(M10=0,0,1000000*M10/TrRail_act!M25)</f>
        <v>241720.49433555128</v>
      </c>
      <c r="N45" s="54">
        <f>IF(N10=0,0,1000000*N10/TrRail_act!N25)</f>
        <v>233979.31691470451</v>
      </c>
      <c r="O45" s="54">
        <f>IF(O10=0,0,1000000*O10/TrRail_act!O25)</f>
        <v>225857.25544491663</v>
      </c>
      <c r="P45" s="54">
        <f>IF(P10=0,0,1000000*P10/TrRail_act!P25)</f>
        <v>212260.61450971453</v>
      </c>
      <c r="Q45" s="54">
        <f>IF(Q10=0,0,1000000*Q10/TrRail_act!Q25)</f>
        <v>202450.26975774937</v>
      </c>
      <c r="R45" s="54">
        <f>IF(R10=0,0,1000000*R10/TrRail_act!R25)</f>
        <v>202308.26088943268</v>
      </c>
      <c r="S45" s="54">
        <f>IF(S10=0,0,1000000*S10/TrRail_act!S25)</f>
        <v>202859.60504638869</v>
      </c>
      <c r="T45" s="54">
        <f>IF(T10=0,0,1000000*T10/TrRail_act!T25)</f>
        <v>195781.26450843611</v>
      </c>
      <c r="U45" s="54">
        <f>IF(U10=0,0,1000000*U10/TrRail_act!U25)</f>
        <v>191635.09722141057</v>
      </c>
      <c r="V45" s="54">
        <f>IF(V10=0,0,1000000*V10/TrRail_act!V25)</f>
        <v>191489.41164382835</v>
      </c>
      <c r="W45" s="54">
        <f>IF(W10=0,0,1000000*W10/TrRail_act!W25)</f>
        <v>195825.6675040859</v>
      </c>
      <c r="X45" s="54">
        <f>IF(X10=0,0,1000000*X10/TrRail_act!X25)</f>
        <v>202659.48529366154</v>
      </c>
      <c r="Y45" s="54">
        <f>IF(Y10=0,0,1000000*Y10/TrRail_act!Y25)</f>
        <v>191789.86464875922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223571.50384468908</v>
      </c>
      <c r="C46" s="28">
        <f>IF(C11=0,0,1000000*C11/TrRail_act!C26)</f>
        <v>212819.14760604754</v>
      </c>
      <c r="D46" s="28">
        <f>IF(D11=0,0,1000000*D11/TrRail_act!D26)</f>
        <v>208375.16046544173</v>
      </c>
      <c r="E46" s="28">
        <f>IF(E11=0,0,1000000*E11/TrRail_act!E26)</f>
        <v>198668.26941800266</v>
      </c>
      <c r="F46" s="28">
        <f>IF(F11=0,0,1000000*F11/TrRail_act!F26)</f>
        <v>202579.74696106059</v>
      </c>
      <c r="G46" s="28">
        <f>IF(G11=0,0,1000000*G11/TrRail_act!G26)</f>
        <v>197601.13805406867</v>
      </c>
      <c r="H46" s="28">
        <f>IF(H11=0,0,1000000*H11/TrRail_act!H26)</f>
        <v>194184.00599023933</v>
      </c>
      <c r="I46" s="28">
        <f>IF(I11=0,0,1000000*I11/TrRail_act!I26)</f>
        <v>181726.77658540837</v>
      </c>
      <c r="J46" s="28">
        <f>IF(J11=0,0,1000000*J11/TrRail_act!J26)</f>
        <v>185836.27752591355</v>
      </c>
      <c r="K46" s="28">
        <f>IF(K11=0,0,1000000*K11/TrRail_act!K26)</f>
        <v>182976.77558034507</v>
      </c>
      <c r="L46" s="28">
        <f>IF(L11=0,0,1000000*L11/TrRail_act!L26)</f>
        <v>183034.25805824675</v>
      </c>
      <c r="M46" s="28">
        <f>IF(M11=0,0,1000000*M11/TrRail_act!M26)</f>
        <v>183096.33816637078</v>
      </c>
      <c r="N46" s="28">
        <f>IF(N11=0,0,1000000*N11/TrRail_act!N26)</f>
        <v>178757.43343071276</v>
      </c>
      <c r="O46" s="28">
        <f>IF(O11=0,0,1000000*O11/TrRail_act!O26)</f>
        <v>166819.1771001236</v>
      </c>
      <c r="P46" s="28">
        <f>IF(P11=0,0,1000000*P11/TrRail_act!P26)</f>
        <v>152844.98608371042</v>
      </c>
      <c r="Q46" s="28">
        <f>IF(Q11=0,0,1000000*Q11/TrRail_act!Q26)</f>
        <v>149519.03502356671</v>
      </c>
      <c r="R46" s="28">
        <f>IF(R11=0,0,1000000*R11/TrRail_act!R26)</f>
        <v>146017.83876214502</v>
      </c>
      <c r="S46" s="28">
        <f>IF(S11=0,0,1000000*S11/TrRail_act!S26)</f>
        <v>144927.1404306796</v>
      </c>
      <c r="T46" s="28">
        <f>IF(T11=0,0,1000000*T11/TrRail_act!T26)</f>
        <v>143360.79658320561</v>
      </c>
      <c r="U46" s="28">
        <f>IF(U11=0,0,1000000*U11/TrRail_act!U26)</f>
        <v>138003.59028447352</v>
      </c>
      <c r="V46" s="28">
        <f>IF(V11=0,0,1000000*V11/TrRail_act!V26)</f>
        <v>127627.65731545638</v>
      </c>
      <c r="W46" s="28">
        <f>IF(W11=0,0,1000000*W11/TrRail_act!W26)</f>
        <v>142357.39594297539</v>
      </c>
      <c r="X46" s="28">
        <f>IF(X11=0,0,1000000*X11/TrRail_act!X26)</f>
        <v>147262.69617217805</v>
      </c>
      <c r="Y46" s="28">
        <f>IF(Y11=0,0,1000000*Y11/TrRail_act!Y26)</f>
        <v>151318.14827667494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49174.420916089679</v>
      </c>
      <c r="C47" s="108">
        <f>IF(C12=0,0,1000000*C12/TrRail_act!C27)</f>
        <v>48698.945925765132</v>
      </c>
      <c r="D47" s="108">
        <f>IF(D12=0,0,1000000*D12/TrRail_act!D27)</f>
        <v>48374.520595114824</v>
      </c>
      <c r="E47" s="108">
        <f>IF(E12=0,0,1000000*E12/TrRail_act!E27)</f>
        <v>48037.387595914195</v>
      </c>
      <c r="F47" s="108">
        <f>IF(F12=0,0,1000000*F12/TrRail_act!F27)</f>
        <v>47438.785958080698</v>
      </c>
      <c r="G47" s="108">
        <f>IF(G12=0,0,1000000*G12/TrRail_act!G27)</f>
        <v>46920.319783613304</v>
      </c>
      <c r="H47" s="108">
        <f>IF(H12=0,0,1000000*H12/TrRail_act!H27)</f>
        <v>46623.889511419111</v>
      </c>
      <c r="I47" s="108">
        <f>IF(I12=0,0,1000000*I12/TrRail_act!I27)</f>
        <v>46287.573903267636</v>
      </c>
      <c r="J47" s="108">
        <f>IF(J12=0,0,1000000*J12/TrRail_act!J27)</f>
        <v>45635.47594290023</v>
      </c>
      <c r="K47" s="108">
        <f>IF(K12=0,0,1000000*K12/TrRail_act!K27)</f>
        <v>45153.261678649891</v>
      </c>
      <c r="L47" s="108">
        <f>IF(L12=0,0,1000000*L12/TrRail_act!L27)</f>
        <v>44823.688490056811</v>
      </c>
      <c r="M47" s="108">
        <f>IF(M12=0,0,1000000*M12/TrRail_act!M27)</f>
        <v>44357.184059653795</v>
      </c>
      <c r="N47" s="108">
        <f>IF(N12=0,0,1000000*N12/TrRail_act!N27)</f>
        <v>43970.67121683657</v>
      </c>
      <c r="O47" s="108">
        <f>IF(O12=0,0,1000000*O12/TrRail_act!O27)</f>
        <v>43566.785614268614</v>
      </c>
      <c r="P47" s="108">
        <f>IF(P12=0,0,1000000*P12/TrRail_act!P27)</f>
        <v>43148.838209333539</v>
      </c>
      <c r="Q47" s="108">
        <f>IF(Q12=0,0,1000000*Q12/TrRail_act!Q27)</f>
        <v>42893.484004192462</v>
      </c>
      <c r="R47" s="108">
        <f>IF(R12=0,0,1000000*R12/TrRail_act!R27)</f>
        <v>42702.960714910369</v>
      </c>
      <c r="S47" s="108">
        <f>IF(S12=0,0,1000000*S12/TrRail_act!S27)</f>
        <v>42560.624003269491</v>
      </c>
      <c r="T47" s="108">
        <f>IF(T12=0,0,1000000*T12/TrRail_act!T27)</f>
        <v>42454.182970231697</v>
      </c>
      <c r="U47" s="108">
        <f>IF(U12=0,0,1000000*U12/TrRail_act!U27)</f>
        <v>42374.526612109388</v>
      </c>
      <c r="V47" s="108">
        <f>IF(V12=0,0,1000000*V12/TrRail_act!V27)</f>
        <v>35126.875791949453</v>
      </c>
      <c r="W47" s="108">
        <f>IF(W12=0,0,1000000*W12/TrRail_act!W27)</f>
        <v>37764.47624327529</v>
      </c>
      <c r="X47" s="108">
        <f>IF(X12=0,0,1000000*X12/TrRail_act!X27)</f>
        <v>31506.4461994749</v>
      </c>
      <c r="Y47" s="108">
        <f>IF(Y12=0,0,1000000*Y12/TrRail_act!Y27)</f>
        <v>30640.866152669252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333785.26917805633</v>
      </c>
      <c r="C48" s="110">
        <f>IF(C13=0,0,1000000*C13/TrRail_act!C28)</f>
        <v>323387.13445708097</v>
      </c>
      <c r="D48" s="110">
        <f>IF(D13=0,0,1000000*D13/TrRail_act!D28)</f>
        <v>314903.21460707963</v>
      </c>
      <c r="E48" s="110">
        <f>IF(E13=0,0,1000000*E13/TrRail_act!E28)</f>
        <v>307182.58879630611</v>
      </c>
      <c r="F48" s="110">
        <f>IF(F13=0,0,1000000*F13/TrRail_act!F28)</f>
        <v>305045.53545685345</v>
      </c>
      <c r="G48" s="110">
        <f>IF(G13=0,0,1000000*G13/TrRail_act!G28)</f>
        <v>295038.86986799445</v>
      </c>
      <c r="H48" s="110">
        <f>IF(H13=0,0,1000000*H13/TrRail_act!H28)</f>
        <v>289366.60354538611</v>
      </c>
      <c r="I48" s="110">
        <f>IF(I13=0,0,1000000*I13/TrRail_act!I28)</f>
        <v>283392.64621715655</v>
      </c>
      <c r="J48" s="110">
        <f>IF(J13=0,0,1000000*J13/TrRail_act!J28)</f>
        <v>277611.79354664392</v>
      </c>
      <c r="K48" s="110">
        <f>IF(K13=0,0,1000000*K13/TrRail_act!K28)</f>
        <v>268145.15528405324</v>
      </c>
      <c r="L48" s="110">
        <f>IF(L13=0,0,1000000*L13/TrRail_act!L28)</f>
        <v>265641.6181245601</v>
      </c>
      <c r="M48" s="110">
        <f>IF(M13=0,0,1000000*M13/TrRail_act!M28)</f>
        <v>260735.6018579049</v>
      </c>
      <c r="N48" s="110">
        <f>IF(N13=0,0,1000000*N13/TrRail_act!N28)</f>
        <v>256599.45440952989</v>
      </c>
      <c r="O48" s="110">
        <f>IF(O13=0,0,1000000*O13/TrRail_act!O28)</f>
        <v>242560.21567855528</v>
      </c>
      <c r="P48" s="110">
        <f>IF(P13=0,0,1000000*P13/TrRail_act!P28)</f>
        <v>232594.16336595319</v>
      </c>
      <c r="Q48" s="110">
        <f>IF(Q13=0,0,1000000*Q13/TrRail_act!Q28)</f>
        <v>233632.5288181924</v>
      </c>
      <c r="R48" s="110">
        <f>IF(R13=0,0,1000000*R13/TrRail_act!R28)</f>
        <v>231470.44800156279</v>
      </c>
      <c r="S48" s="110">
        <f>IF(S13=0,0,1000000*S13/TrRail_act!S28)</f>
        <v>228136.98967161664</v>
      </c>
      <c r="T48" s="110">
        <f>IF(T13=0,0,1000000*T13/TrRail_act!T28)</f>
        <v>219566.94944934573</v>
      </c>
      <c r="U48" s="110">
        <f>IF(U13=0,0,1000000*U13/TrRail_act!U28)</f>
        <v>219926.99263113036</v>
      </c>
      <c r="V48" s="110">
        <f>IF(V13=0,0,1000000*V13/TrRail_act!V28)</f>
        <v>209403.55396695298</v>
      </c>
      <c r="W48" s="110">
        <f>IF(W13=0,0,1000000*W13/TrRail_act!W28)</f>
        <v>213204.38740057065</v>
      </c>
      <c r="X48" s="110">
        <f>IF(X13=0,0,1000000*X13/TrRail_act!X28)</f>
        <v>214651.35514146899</v>
      </c>
      <c r="Y48" s="110">
        <f>IF(Y13=0,0,1000000*Y13/TrRail_act!Y28)</f>
        <v>212769.16118594311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432305.08444308152</v>
      </c>
      <c r="C49" s="84">
        <f>IF(C14=0,0,1000000*C14/TrRail_act!C29)</f>
        <v>416680.55419303989</v>
      </c>
      <c r="D49" s="84">
        <f>IF(D14=0,0,1000000*D14/TrRail_act!D29)</f>
        <v>403545.66494271701</v>
      </c>
      <c r="E49" s="84">
        <f>IF(E14=0,0,1000000*E14/TrRail_act!E29)</f>
        <v>389431.0217228845</v>
      </c>
      <c r="F49" s="84">
        <f>IF(F14=0,0,1000000*F14/TrRail_act!F29)</f>
        <v>378243.24000624352</v>
      </c>
      <c r="G49" s="84">
        <f>IF(G14=0,0,1000000*G14/TrRail_act!G29)</f>
        <v>367500.91237777594</v>
      </c>
      <c r="H49" s="84">
        <f>IF(H14=0,0,1000000*H14/TrRail_act!H29)</f>
        <v>357850.59785080893</v>
      </c>
      <c r="I49" s="84">
        <f>IF(I14=0,0,1000000*I14/TrRail_act!I29)</f>
        <v>348139.56252539071</v>
      </c>
      <c r="J49" s="84">
        <f>IF(J14=0,0,1000000*J14/TrRail_act!J29)</f>
        <v>337698.40089619876</v>
      </c>
      <c r="K49" s="84">
        <f>IF(K14=0,0,1000000*K14/TrRail_act!K29)</f>
        <v>328151.16112687765</v>
      </c>
      <c r="L49" s="84">
        <f>IF(L14=0,0,1000000*L14/TrRail_act!L29)</f>
        <v>324161.23550172918</v>
      </c>
      <c r="M49" s="84">
        <f>IF(M14=0,0,1000000*M14/TrRail_act!M29)</f>
        <v>320366.38123722194</v>
      </c>
      <c r="N49" s="84">
        <f>IF(N14=0,0,1000000*N14/TrRail_act!N29)</f>
        <v>316398.79452716303</v>
      </c>
      <c r="O49" s="84">
        <f>IF(O14=0,0,1000000*O14/TrRail_act!O29)</f>
        <v>302322.11890935677</v>
      </c>
      <c r="P49" s="84">
        <f>IF(P14=0,0,1000000*P14/TrRail_act!P29)</f>
        <v>278660.66248820559</v>
      </c>
      <c r="Q49" s="84">
        <f>IF(Q14=0,0,1000000*Q14/TrRail_act!Q29)</f>
        <v>274640.80948414432</v>
      </c>
      <c r="R49" s="84">
        <f>IF(R14=0,0,1000000*R14/TrRail_act!R29)</f>
        <v>271955.25050015032</v>
      </c>
      <c r="S49" s="84">
        <f>IF(S14=0,0,1000000*S14/TrRail_act!S29)</f>
        <v>266474.39424484782</v>
      </c>
      <c r="T49" s="84">
        <f>IF(T14=0,0,1000000*T14/TrRail_act!T29)</f>
        <v>256473.56878466363</v>
      </c>
      <c r="U49" s="84">
        <f>IF(U14=0,0,1000000*U14/TrRail_act!U29)</f>
        <v>259448.03895950678</v>
      </c>
      <c r="V49" s="84">
        <f>IF(V14=0,0,1000000*V14/TrRail_act!V29)</f>
        <v>245649.32692193991</v>
      </c>
      <c r="W49" s="84">
        <f>IF(W14=0,0,1000000*W14/TrRail_act!W29)</f>
        <v>255577.44585244692</v>
      </c>
      <c r="X49" s="84">
        <f>IF(X14=0,0,1000000*X14/TrRail_act!X29)</f>
        <v>254345.63129830544</v>
      </c>
      <c r="Y49" s="84">
        <f>IF(Y14=0,0,1000000*Y14/TrRail_act!Y29)</f>
        <v>253425.66927912034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233196.12501064313</v>
      </c>
      <c r="C50" s="84">
        <f>IF(C15=0,0,1000000*C15/TrRail_act!C30)</f>
        <v>229589.26121162987</v>
      </c>
      <c r="D50" s="84">
        <f>IF(D15=0,0,1000000*D15/TrRail_act!D30)</f>
        <v>226513.04133747533</v>
      </c>
      <c r="E50" s="84">
        <f>IF(E15=0,0,1000000*E15/TrRail_act!E30)</f>
        <v>225085.17288198706</v>
      </c>
      <c r="F50" s="84">
        <f>IF(F15=0,0,1000000*F15/TrRail_act!F30)</f>
        <v>221552.90514502907</v>
      </c>
      <c r="G50" s="84">
        <f>IF(G15=0,0,1000000*G15/TrRail_act!G30)</f>
        <v>217010.31164430364</v>
      </c>
      <c r="H50" s="84">
        <f>IF(H15=0,0,1000000*H15/TrRail_act!H30)</f>
        <v>214949.71476795973</v>
      </c>
      <c r="I50" s="84">
        <f>IF(I15=0,0,1000000*I15/TrRail_act!I30)</f>
        <v>214106.90617953683</v>
      </c>
      <c r="J50" s="84">
        <f>IF(J15=0,0,1000000*J15/TrRail_act!J30)</f>
        <v>213150.46905456937</v>
      </c>
      <c r="K50" s="84">
        <f>IF(K15=0,0,1000000*K15/TrRail_act!K30)</f>
        <v>211778.84143492649</v>
      </c>
      <c r="L50" s="84">
        <f>IF(L15=0,0,1000000*L15/TrRail_act!L30)</f>
        <v>211067.13904421034</v>
      </c>
      <c r="M50" s="84">
        <f>IF(M15=0,0,1000000*M15/TrRail_act!M30)</f>
        <v>207467.18874609459</v>
      </c>
      <c r="N50" s="84">
        <f>IF(N15=0,0,1000000*N15/TrRail_act!N30)</f>
        <v>204558.46731892301</v>
      </c>
      <c r="O50" s="84">
        <f>IF(O15=0,0,1000000*O15/TrRail_act!O30)</f>
        <v>186300.92184212481</v>
      </c>
      <c r="P50" s="84">
        <f>IF(P15=0,0,1000000*P15/TrRail_act!P30)</f>
        <v>189570.94352679551</v>
      </c>
      <c r="Q50" s="84">
        <f>IF(Q15=0,0,1000000*Q15/TrRail_act!Q30)</f>
        <v>199025.29951920686</v>
      </c>
      <c r="R50" s="84">
        <f>IF(R15=0,0,1000000*R15/TrRail_act!R30)</f>
        <v>196799.27316688365</v>
      </c>
      <c r="S50" s="84">
        <f>IF(S15=0,0,1000000*S15/TrRail_act!S30)</f>
        <v>195536.39992415207</v>
      </c>
      <c r="T50" s="84">
        <f>IF(T15=0,0,1000000*T15/TrRail_act!T30)</f>
        <v>194594.56693704444</v>
      </c>
      <c r="U50" s="84">
        <f>IF(U15=0,0,1000000*U15/TrRail_act!U30)</f>
        <v>193891.16993777073</v>
      </c>
      <c r="V50" s="84">
        <f>IF(V15=0,0,1000000*V15/TrRail_act!V30)</f>
        <v>186810.25157533202</v>
      </c>
      <c r="W50" s="84">
        <f>IF(W15=0,0,1000000*W15/TrRail_act!W30)</f>
        <v>192971.81658963638</v>
      </c>
      <c r="X50" s="84">
        <f>IF(X15=0,0,1000000*X15/TrRail_act!X30)</f>
        <v>192677.23855164048</v>
      </c>
      <c r="Y50" s="84">
        <f>IF(Y15=0,0,1000000*Y15/TrRail_act!Y30)</f>
        <v>192456.5985476042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X51" s="113">
        <f>IF(X16=0,0,1000000*X16/TrRail_act!X31)</f>
        <v>0</v>
      </c>
      <c r="Y51" s="113">
        <f>IF(Y16=0,0,1000000*Y16/TrRail_act!Y31)</f>
        <v>0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674606.61301300745</v>
      </c>
      <c r="C52" s="28">
        <f>IF(C17=0,0,1000000*C17/TrRail_act!C32)</f>
        <v>698974.66877064318</v>
      </c>
      <c r="D52" s="28">
        <f>IF(D17=0,0,1000000*D17/TrRail_act!D32)</f>
        <v>674633.61261461489</v>
      </c>
      <c r="E52" s="28">
        <f>IF(E17=0,0,1000000*E17/TrRail_act!E32)</f>
        <v>674936.76645725779</v>
      </c>
      <c r="F52" s="28">
        <f>IF(F17=0,0,1000000*F17/TrRail_act!F32)</f>
        <v>676501.92967429827</v>
      </c>
      <c r="G52" s="28">
        <f>IF(G17=0,0,1000000*G17/TrRail_act!G32)</f>
        <v>663793.38582646206</v>
      </c>
      <c r="H52" s="28">
        <f>IF(H17=0,0,1000000*H17/TrRail_act!H32)</f>
        <v>653894.11927562929</v>
      </c>
      <c r="I52" s="28">
        <f>IF(I17=0,0,1000000*I17/TrRail_act!I32)</f>
        <v>668507.26476862258</v>
      </c>
      <c r="J52" s="28">
        <f>IF(J17=0,0,1000000*J17/TrRail_act!J32)</f>
        <v>639166.54825821298</v>
      </c>
      <c r="K52" s="28">
        <f>IF(K17=0,0,1000000*K17/TrRail_act!K32)</f>
        <v>558068.24014064216</v>
      </c>
      <c r="L52" s="28">
        <f>IF(L17=0,0,1000000*L17/TrRail_act!L32)</f>
        <v>617419.06228110369</v>
      </c>
      <c r="M52" s="28">
        <f>IF(M17=0,0,1000000*M17/TrRail_act!M32)</f>
        <v>590831.7699732749</v>
      </c>
      <c r="N52" s="28">
        <f>IF(N17=0,0,1000000*N17/TrRail_act!N32)</f>
        <v>582421.17650455283</v>
      </c>
      <c r="O52" s="28">
        <f>IF(O17=0,0,1000000*O17/TrRail_act!O32)</f>
        <v>584955.03753827361</v>
      </c>
      <c r="P52" s="28">
        <f>IF(P17=0,0,1000000*P17/TrRail_act!P32)</f>
        <v>577207.87790068227</v>
      </c>
      <c r="Q52" s="28">
        <f>IF(Q17=0,0,1000000*Q17/TrRail_act!Q32)</f>
        <v>518824.80543602887</v>
      </c>
      <c r="R52" s="28">
        <f>IF(R17=0,0,1000000*R17/TrRail_act!R32)</f>
        <v>518903.35429667629</v>
      </c>
      <c r="S52" s="28">
        <f>IF(S17=0,0,1000000*S17/TrRail_act!S32)</f>
        <v>495509.34089626238</v>
      </c>
      <c r="T52" s="28">
        <f>IF(T17=0,0,1000000*T17/TrRail_act!T32)</f>
        <v>458641.36775632796</v>
      </c>
      <c r="U52" s="28">
        <f>IF(U17=0,0,1000000*U17/TrRail_act!U32)</f>
        <v>464734.85837056016</v>
      </c>
      <c r="V52" s="28">
        <f>IF(V17=0,0,1000000*V17/TrRail_act!V32)</f>
        <v>465285.46126517182</v>
      </c>
      <c r="W52" s="28">
        <f>IF(W17=0,0,1000000*W17/TrRail_act!W32)</f>
        <v>440975.35099322838</v>
      </c>
      <c r="X52" s="28">
        <f>IF(X17=0,0,1000000*X17/TrRail_act!X32)</f>
        <v>469304.4237953992</v>
      </c>
      <c r="Y52" s="28">
        <f>IF(Y17=0,0,1000000*Y17/TrRail_act!Y32)</f>
        <v>394782.47200115869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1108681.9299598462</v>
      </c>
      <c r="C53" s="84">
        <f>IF(C18=0,0,1000000*C18/TrRail_act!C33)</f>
        <v>1096348.1562220182</v>
      </c>
      <c r="D53" s="84">
        <f>IF(D18=0,0,1000000*D18/TrRail_act!D33)</f>
        <v>1087800.6714075536</v>
      </c>
      <c r="E53" s="84">
        <f>IF(E18=0,0,1000000*E18/TrRail_act!E33)</f>
        <v>1076028.4039342876</v>
      </c>
      <c r="F53" s="84">
        <f>IF(F18=0,0,1000000*F18/TrRail_act!F33)</f>
        <v>1069143.7039655105</v>
      </c>
      <c r="G53" s="84">
        <f>IF(G18=0,0,1000000*G18/TrRail_act!G33)</f>
        <v>1045177.4465226926</v>
      </c>
      <c r="H53" s="84">
        <f>IF(H18=0,0,1000000*H18/TrRail_act!H33)</f>
        <v>1038429.251464203</v>
      </c>
      <c r="I53" s="84">
        <f>IF(I18=0,0,1000000*I18/TrRail_act!I33)</f>
        <v>1032208.2591443575</v>
      </c>
      <c r="J53" s="84">
        <f>IF(J18=0,0,1000000*J18/TrRail_act!J33)</f>
        <v>967398.31937228132</v>
      </c>
      <c r="K53" s="84">
        <f>IF(K18=0,0,1000000*K18/TrRail_act!K33)</f>
        <v>836708.76554960525</v>
      </c>
      <c r="L53" s="84">
        <f>IF(L18=0,0,1000000*L18/TrRail_act!L33)</f>
        <v>930275.19267066312</v>
      </c>
      <c r="M53" s="84">
        <f>IF(M18=0,0,1000000*M18/TrRail_act!M33)</f>
        <v>885342.35110140825</v>
      </c>
      <c r="N53" s="84">
        <f>IF(N18=0,0,1000000*N18/TrRail_act!N33)</f>
        <v>868587.12989729771</v>
      </c>
      <c r="O53" s="84">
        <f>IF(O18=0,0,1000000*O18/TrRail_act!O33)</f>
        <v>920578.31034134631</v>
      </c>
      <c r="P53" s="84">
        <f>IF(P18=0,0,1000000*P18/TrRail_act!P33)</f>
        <v>920331.27814727323</v>
      </c>
      <c r="Q53" s="84">
        <f>IF(Q18=0,0,1000000*Q18/TrRail_act!Q33)</f>
        <v>813303.70989577693</v>
      </c>
      <c r="R53" s="84">
        <f>IF(R18=0,0,1000000*R18/TrRail_act!R33)</f>
        <v>860212.75888931635</v>
      </c>
      <c r="S53" s="84">
        <f>IF(S18=0,0,1000000*S18/TrRail_act!S33)</f>
        <v>843642.09550479148</v>
      </c>
      <c r="T53" s="84">
        <f>IF(T18=0,0,1000000*T18/TrRail_act!T33)</f>
        <v>745898.04411082121</v>
      </c>
      <c r="U53" s="84">
        <f>IF(U18=0,0,1000000*U18/TrRail_act!U33)</f>
        <v>813115.63527837431</v>
      </c>
      <c r="V53" s="84">
        <f>IF(V18=0,0,1000000*V18/TrRail_act!V33)</f>
        <v>809048.83850030915</v>
      </c>
      <c r="W53" s="84">
        <f>IF(W18=0,0,1000000*W18/TrRail_act!W33)</f>
        <v>802501.75765694596</v>
      </c>
      <c r="X53" s="84">
        <f>IF(X18=0,0,1000000*X18/TrRail_act!X33)</f>
        <v>785619.30135155364</v>
      </c>
      <c r="Y53" s="84">
        <f>IF(Y18=0,0,1000000*Y18/TrRail_act!Y33)</f>
        <v>565745.62536562106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421234.02974139981</v>
      </c>
      <c r="C54" s="86">
        <f>IF(C19=0,0,1000000*C19/TrRail_act!C34)</f>
        <v>414718.76046714198</v>
      </c>
      <c r="D54" s="86">
        <f>IF(D19=0,0,1000000*D19/TrRail_act!D34)</f>
        <v>409162.03108460607</v>
      </c>
      <c r="E54" s="86">
        <f>IF(E19=0,0,1000000*E19/TrRail_act!E34)</f>
        <v>406582.81582515431</v>
      </c>
      <c r="F54" s="86">
        <f>IF(F19=0,0,1000000*F19/TrRail_act!F34)</f>
        <v>400202.29150838265</v>
      </c>
      <c r="G54" s="86">
        <f>IF(G19=0,0,1000000*G19/TrRail_act!G34)</f>
        <v>391996.7817374455</v>
      </c>
      <c r="H54" s="86">
        <f>IF(H19=0,0,1000000*H19/TrRail_act!H34)</f>
        <v>388274.6320799212</v>
      </c>
      <c r="I54" s="86">
        <f>IF(I19=0,0,1000000*I19/TrRail_act!I34)</f>
        <v>386752.21532430872</v>
      </c>
      <c r="J54" s="86">
        <f>IF(J19=0,0,1000000*J19/TrRail_act!J34)</f>
        <v>385024.54661238799</v>
      </c>
      <c r="K54" s="86">
        <f>IF(K19=0,0,1000000*K19/TrRail_act!K34)</f>
        <v>338500.17369763798</v>
      </c>
      <c r="L54" s="86">
        <f>IF(L19=0,0,1000000*L19/TrRail_act!L34)</f>
        <v>381261.33638640045</v>
      </c>
      <c r="M54" s="86">
        <f>IF(M19=0,0,1000000*M19/TrRail_act!M34)</f>
        <v>374758.56631404586</v>
      </c>
      <c r="N54" s="86">
        <f>IF(N19=0,0,1000000*N19/TrRail_act!N34)</f>
        <v>368988.45878812403</v>
      </c>
      <c r="O54" s="86">
        <f>IF(O19=0,0,1000000*O19/TrRail_act!O34)</f>
        <v>366655.67667042947</v>
      </c>
      <c r="P54" s="86">
        <f>IF(P19=0,0,1000000*P19/TrRail_act!P34)</f>
        <v>365428.36399922211</v>
      </c>
      <c r="Q54" s="86">
        <f>IF(Q19=0,0,1000000*Q19/TrRail_act!Q34)</f>
        <v>359509.55185339722</v>
      </c>
      <c r="R54" s="86">
        <f>IF(R19=0,0,1000000*R19/TrRail_act!R34)</f>
        <v>355488.56008848071</v>
      </c>
      <c r="S54" s="86">
        <f>IF(S19=0,0,1000000*S19/TrRail_act!S34)</f>
        <v>353207.36190454487</v>
      </c>
      <c r="T54" s="86">
        <f>IF(T19=0,0,1000000*T19/TrRail_act!T34)</f>
        <v>351506.08808351605</v>
      </c>
      <c r="U54" s="86">
        <f>IF(U19=0,0,1000000*U19/TrRail_act!U34)</f>
        <v>350235.50714899629</v>
      </c>
      <c r="V54" s="86">
        <f>IF(V19=0,0,1000000*V19/TrRail_act!V34)</f>
        <v>349285.58399890852</v>
      </c>
      <c r="W54" s="86">
        <f>IF(W19=0,0,1000000*W19/TrRail_act!W34)</f>
        <v>297356.28001513251</v>
      </c>
      <c r="X54" s="86">
        <f>IF(X19=0,0,1000000*X19/TrRail_act!X34)</f>
        <v>348042.71609418542</v>
      </c>
      <c r="Y54" s="86">
        <f>IF(Y19=0,0,1000000*Y19/TrRail_act!Y34)</f>
        <v>331264.72013176425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0.71466692966047529</v>
      </c>
      <c r="C57" s="31">
        <f t="shared" ref="C57:V57" si="18">IF(C11=0,0,C11/C$10)</f>
        <v>0.67891864498269761</v>
      </c>
      <c r="D57" s="31">
        <f t="shared" si="18"/>
        <v>0.6660383142583296</v>
      </c>
      <c r="E57" s="31">
        <f t="shared" si="18"/>
        <v>0.62882430993054172</v>
      </c>
      <c r="F57" s="31">
        <f t="shared" si="18"/>
        <v>0.62862447377944575</v>
      </c>
      <c r="G57" s="31">
        <f t="shared" si="18"/>
        <v>0.603635832637198</v>
      </c>
      <c r="H57" s="31">
        <f t="shared" si="18"/>
        <v>0.5972061114098437</v>
      </c>
      <c r="I57" s="31">
        <f t="shared" si="18"/>
        <v>0.58817502773586239</v>
      </c>
      <c r="J57" s="31">
        <f t="shared" si="18"/>
        <v>0.62139359424194984</v>
      </c>
      <c r="K57" s="31">
        <f t="shared" si="18"/>
        <v>0.655629072435578</v>
      </c>
      <c r="L57" s="31">
        <f t="shared" si="18"/>
        <v>0.63239009073500718</v>
      </c>
      <c r="M57" s="31">
        <f t="shared" si="18"/>
        <v>0.64856216247300735</v>
      </c>
      <c r="N57" s="31">
        <f t="shared" si="18"/>
        <v>0.65947330696996853</v>
      </c>
      <c r="O57" s="31">
        <f t="shared" si="18"/>
        <v>0.63431829212510182</v>
      </c>
      <c r="P57" s="31">
        <f t="shared" si="18"/>
        <v>0.61926208498344526</v>
      </c>
      <c r="Q57" s="31">
        <f t="shared" si="18"/>
        <v>0.63269376250097409</v>
      </c>
      <c r="R57" s="31">
        <f t="shared" si="18"/>
        <v>0.61280311659063846</v>
      </c>
      <c r="S57" s="31">
        <f t="shared" si="18"/>
        <v>0.59636537648055299</v>
      </c>
      <c r="T57" s="31">
        <f t="shared" si="18"/>
        <v>0.61050150906500567</v>
      </c>
      <c r="U57" s="31">
        <f t="shared" si="18"/>
        <v>0.60192995392785364</v>
      </c>
      <c r="V57" s="31">
        <f t="shared" si="18"/>
        <v>0.54044365068637712</v>
      </c>
      <c r="W57" s="31">
        <f t="shared" ref="W57:Y57" si="19">IF(W11=0,0,W11/W$10)</f>
        <v>0.59679591164659251</v>
      </c>
      <c r="X57" s="31">
        <f t="shared" si="19"/>
        <v>0.60165427747733913</v>
      </c>
      <c r="Y57" s="31">
        <f t="shared" si="19"/>
        <v>0.65782482199028136</v>
      </c>
      <c r="DA57" s="173"/>
    </row>
    <row r="58" spans="1:105" ht="11.45" customHeight="1" x14ac:dyDescent="0.25">
      <c r="A58" s="107" t="s">
        <v>23</v>
      </c>
      <c r="B58" s="123">
        <f t="shared" si="15"/>
        <v>6.0871062514933107E-2</v>
      </c>
      <c r="C58" s="123">
        <f t="shared" ref="C58:V58" si="20">IF(C12=0,0,C12/C$10)</f>
        <v>6.2533971945620714E-2</v>
      </c>
      <c r="D58" s="123">
        <f t="shared" si="20"/>
        <v>6.1800211683446106E-2</v>
      </c>
      <c r="E58" s="123">
        <f t="shared" si="20"/>
        <v>6.3668420388148572E-2</v>
      </c>
      <c r="F58" s="123">
        <f t="shared" si="20"/>
        <v>5.8553178541392137E-2</v>
      </c>
      <c r="G58" s="123">
        <f t="shared" si="20"/>
        <v>5.6287824689960207E-2</v>
      </c>
      <c r="H58" s="123">
        <f t="shared" si="20"/>
        <v>5.6225151879094042E-2</v>
      </c>
      <c r="I58" s="123">
        <f t="shared" si="20"/>
        <v>6.4237171814020624E-2</v>
      </c>
      <c r="J58" s="123">
        <f t="shared" si="20"/>
        <v>6.0370120613885844E-2</v>
      </c>
      <c r="K58" s="123">
        <f t="shared" si="20"/>
        <v>6.1793197706281257E-2</v>
      </c>
      <c r="L58" s="123">
        <f t="shared" si="20"/>
        <v>5.7935488600883371E-2</v>
      </c>
      <c r="M58" s="123">
        <f t="shared" si="20"/>
        <v>5.6377184656655428E-2</v>
      </c>
      <c r="N58" s="123">
        <f t="shared" si="20"/>
        <v>5.9386571762024963E-2</v>
      </c>
      <c r="O58" s="123">
        <f t="shared" si="20"/>
        <v>6.3053514361818899E-2</v>
      </c>
      <c r="P58" s="123">
        <f t="shared" si="20"/>
        <v>7.3592697021714393E-2</v>
      </c>
      <c r="Q58" s="123">
        <f t="shared" si="20"/>
        <v>8.0041360058832528E-2</v>
      </c>
      <c r="R58" s="123">
        <f t="shared" si="20"/>
        <v>8.1128074674473749E-2</v>
      </c>
      <c r="S58" s="123">
        <f t="shared" si="20"/>
        <v>7.8527677820839137E-2</v>
      </c>
      <c r="T58" s="123">
        <f t="shared" si="20"/>
        <v>7.7788786123587542E-2</v>
      </c>
      <c r="U58" s="123">
        <f t="shared" si="20"/>
        <v>8.5278922061225226E-2</v>
      </c>
      <c r="V58" s="123">
        <f t="shared" si="20"/>
        <v>6.9796105078372792E-2</v>
      </c>
      <c r="W58" s="123">
        <f t="shared" ref="W58:Y58" si="21">IF(W12=0,0,W12/W$10)</f>
        <v>6.3932587811963815E-2</v>
      </c>
      <c r="X58" s="123">
        <f t="shared" si="21"/>
        <v>4.7363702412677768E-2</v>
      </c>
      <c r="Y58" s="123">
        <f t="shared" si="21"/>
        <v>4.4944018471595321E-2</v>
      </c>
      <c r="DA58" s="203"/>
    </row>
    <row r="59" spans="1:105" ht="11.45" customHeight="1" x14ac:dyDescent="0.25">
      <c r="A59" s="109" t="s">
        <v>24</v>
      </c>
      <c r="B59" s="124">
        <f t="shared" si="15"/>
        <v>0.65379586714554205</v>
      </c>
      <c r="C59" s="124">
        <f t="shared" ref="C59:V59" si="22">IF(C13=0,0,C13/C$10)</f>
        <v>0.61638467303707689</v>
      </c>
      <c r="D59" s="124">
        <f t="shared" si="22"/>
        <v>0.60423810257488353</v>
      </c>
      <c r="E59" s="124">
        <f t="shared" si="22"/>
        <v>0.56515588954239315</v>
      </c>
      <c r="F59" s="124">
        <f t="shared" si="22"/>
        <v>0.57007129523805355</v>
      </c>
      <c r="G59" s="124">
        <f t="shared" si="22"/>
        <v>0.54734800794723781</v>
      </c>
      <c r="H59" s="124">
        <f t="shared" si="22"/>
        <v>0.54098095953074965</v>
      </c>
      <c r="I59" s="124">
        <f t="shared" si="22"/>
        <v>0.52393785592184172</v>
      </c>
      <c r="J59" s="124">
        <f t="shared" si="22"/>
        <v>0.56102347362806393</v>
      </c>
      <c r="K59" s="124">
        <f t="shared" si="22"/>
        <v>0.59383587472929689</v>
      </c>
      <c r="L59" s="124">
        <f t="shared" si="22"/>
        <v>0.57445460213412392</v>
      </c>
      <c r="M59" s="124">
        <f t="shared" si="22"/>
        <v>0.59218497781635204</v>
      </c>
      <c r="N59" s="124">
        <f t="shared" si="22"/>
        <v>0.60008673520794353</v>
      </c>
      <c r="O59" s="124">
        <f t="shared" si="22"/>
        <v>0.57126477776328288</v>
      </c>
      <c r="P59" s="124">
        <f t="shared" si="22"/>
        <v>0.54566938796173092</v>
      </c>
      <c r="Q59" s="124">
        <f t="shared" si="22"/>
        <v>0.55265240244214153</v>
      </c>
      <c r="R59" s="124">
        <f t="shared" si="22"/>
        <v>0.53167504191616466</v>
      </c>
      <c r="S59" s="124">
        <f t="shared" si="22"/>
        <v>0.51783769865971385</v>
      </c>
      <c r="T59" s="124">
        <f t="shared" si="22"/>
        <v>0.53271272294141803</v>
      </c>
      <c r="U59" s="124">
        <f t="shared" si="22"/>
        <v>0.51665103186662842</v>
      </c>
      <c r="V59" s="124">
        <f t="shared" si="22"/>
        <v>0.47064754560800431</v>
      </c>
      <c r="W59" s="124">
        <f t="shared" ref="W59:Y59" si="23">IF(W13=0,0,W13/W$10)</f>
        <v>0.53286332383462875</v>
      </c>
      <c r="X59" s="124">
        <f t="shared" si="23"/>
        <v>0.55429057506466139</v>
      </c>
      <c r="Y59" s="124">
        <f t="shared" si="23"/>
        <v>0.61288080351868601</v>
      </c>
      <c r="DA59" s="176"/>
    </row>
    <row r="60" spans="1:105" ht="11.45" customHeight="1" x14ac:dyDescent="0.25">
      <c r="A60" s="111" t="s">
        <v>92</v>
      </c>
      <c r="B60" s="125">
        <f t="shared" si="15"/>
        <v>0.42778510469670938</v>
      </c>
      <c r="C60" s="125">
        <f t="shared" ref="C60:V60" si="24">IF(C14=0,0,C14/C$10)</f>
        <v>0.39817293929525871</v>
      </c>
      <c r="D60" s="125">
        <f t="shared" si="24"/>
        <v>0.38661115421404202</v>
      </c>
      <c r="E60" s="125">
        <f t="shared" si="24"/>
        <v>0.35790927617390872</v>
      </c>
      <c r="F60" s="125">
        <f t="shared" si="24"/>
        <v>0.37665315514214709</v>
      </c>
      <c r="G60" s="125">
        <f t="shared" si="24"/>
        <v>0.35349797807637279</v>
      </c>
      <c r="H60" s="125">
        <f t="shared" si="24"/>
        <v>0.34839500247914945</v>
      </c>
      <c r="I60" s="125">
        <f t="shared" si="24"/>
        <v>0.33271916425187603</v>
      </c>
      <c r="J60" s="125">
        <f t="shared" si="24"/>
        <v>0.35321149541994151</v>
      </c>
      <c r="K60" s="125">
        <f t="shared" si="24"/>
        <v>0.3519981364661649</v>
      </c>
      <c r="L60" s="125">
        <f t="shared" si="24"/>
        <v>0.33827533963522377</v>
      </c>
      <c r="M60" s="125">
        <f t="shared" si="24"/>
        <v>0.34330719854048336</v>
      </c>
      <c r="N60" s="125">
        <f t="shared" si="24"/>
        <v>0.34430253071694167</v>
      </c>
      <c r="O60" s="125">
        <f t="shared" si="24"/>
        <v>0.34525878272458688</v>
      </c>
      <c r="P60" s="125">
        <f t="shared" si="24"/>
        <v>0.31570522095860981</v>
      </c>
      <c r="Q60" s="125">
        <f t="shared" si="24"/>
        <v>0.29733071006741074</v>
      </c>
      <c r="R60" s="125">
        <f t="shared" si="24"/>
        <v>0.28817294241916791</v>
      </c>
      <c r="S60" s="125">
        <f t="shared" si="24"/>
        <v>0.27797132186838652</v>
      </c>
      <c r="T60" s="125">
        <f t="shared" si="24"/>
        <v>0.25112236639673063</v>
      </c>
      <c r="U60" s="125">
        <f t="shared" si="24"/>
        <v>0.24205957122691857</v>
      </c>
      <c r="V60" s="125">
        <f t="shared" si="24"/>
        <v>0.21200260839978771</v>
      </c>
      <c r="W60" s="125">
        <f t="shared" ref="W60:Y60" si="25">IF(W14=0,0,W14/W$10)</f>
        <v>0.206433369561668</v>
      </c>
      <c r="X60" s="125">
        <f t="shared" si="25"/>
        <v>0.23403291217836197</v>
      </c>
      <c r="Y60" s="125">
        <f t="shared" si="25"/>
        <v>0.24320532591069938</v>
      </c>
      <c r="DA60" s="171"/>
    </row>
    <row r="61" spans="1:105" ht="11.45" customHeight="1" x14ac:dyDescent="0.25">
      <c r="A61" s="111" t="s">
        <v>93</v>
      </c>
      <c r="B61" s="125">
        <f t="shared" si="15"/>
        <v>0.2260107624488327</v>
      </c>
      <c r="C61" s="125">
        <f t="shared" ref="C61:V61" si="26">IF(C15=0,0,C15/C$10)</f>
        <v>0.21821173374181815</v>
      </c>
      <c r="D61" s="125">
        <f t="shared" si="26"/>
        <v>0.21762694836084145</v>
      </c>
      <c r="E61" s="125">
        <f t="shared" si="26"/>
        <v>0.20724661336848443</v>
      </c>
      <c r="F61" s="125">
        <f t="shared" si="26"/>
        <v>0.19341814009590649</v>
      </c>
      <c r="G61" s="125">
        <f t="shared" si="26"/>
        <v>0.193850029870865</v>
      </c>
      <c r="H61" s="125">
        <f t="shared" si="26"/>
        <v>0.19258595705160025</v>
      </c>
      <c r="I61" s="125">
        <f t="shared" si="26"/>
        <v>0.19121869166996569</v>
      </c>
      <c r="J61" s="125">
        <f t="shared" si="26"/>
        <v>0.20781197820812242</v>
      </c>
      <c r="K61" s="125">
        <f t="shared" si="26"/>
        <v>0.24183773826313196</v>
      </c>
      <c r="L61" s="125">
        <f t="shared" si="26"/>
        <v>0.23617926249890014</v>
      </c>
      <c r="M61" s="125">
        <f t="shared" si="26"/>
        <v>0.24887777927586863</v>
      </c>
      <c r="N61" s="125">
        <f t="shared" si="26"/>
        <v>0.25578420449100187</v>
      </c>
      <c r="O61" s="125">
        <f t="shared" si="26"/>
        <v>0.22600599503869595</v>
      </c>
      <c r="P61" s="125">
        <f t="shared" si="26"/>
        <v>0.22996416700312108</v>
      </c>
      <c r="Q61" s="125">
        <f t="shared" si="26"/>
        <v>0.25532169237473079</v>
      </c>
      <c r="R61" s="125">
        <f t="shared" si="26"/>
        <v>0.24350209949699675</v>
      </c>
      <c r="S61" s="125">
        <f t="shared" si="26"/>
        <v>0.23986637679132738</v>
      </c>
      <c r="T61" s="125">
        <f t="shared" si="26"/>
        <v>0.28159035654468745</v>
      </c>
      <c r="U61" s="125">
        <f t="shared" si="26"/>
        <v>0.27459146063970991</v>
      </c>
      <c r="V61" s="125">
        <f t="shared" si="26"/>
        <v>0.25864493720821657</v>
      </c>
      <c r="W61" s="125">
        <f t="shared" ref="W61:Y61" si="27">IF(W15=0,0,W15/W$10)</f>
        <v>0.32642995427296079</v>
      </c>
      <c r="X61" s="125">
        <f t="shared" si="27"/>
        <v>0.32025766288629937</v>
      </c>
      <c r="Y61" s="125">
        <f t="shared" si="27"/>
        <v>0.36967547760798658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0</v>
      </c>
      <c r="K62" s="126">
        <f t="shared" si="28"/>
        <v>0</v>
      </c>
      <c r="L62" s="126">
        <f t="shared" si="28"/>
        <v>0</v>
      </c>
      <c r="M62" s="126">
        <f t="shared" si="28"/>
        <v>0</v>
      </c>
      <c r="N62" s="126">
        <f t="shared" si="28"/>
        <v>0</v>
      </c>
      <c r="O62" s="126">
        <f t="shared" si="28"/>
        <v>0</v>
      </c>
      <c r="P62" s="126">
        <f t="shared" si="28"/>
        <v>0</v>
      </c>
      <c r="Q62" s="126">
        <f t="shared" si="28"/>
        <v>0</v>
      </c>
      <c r="R62" s="126">
        <f t="shared" si="28"/>
        <v>0</v>
      </c>
      <c r="S62" s="126">
        <f t="shared" si="28"/>
        <v>0</v>
      </c>
      <c r="T62" s="126">
        <f t="shared" si="28"/>
        <v>0</v>
      </c>
      <c r="U62" s="126">
        <f t="shared" si="28"/>
        <v>0</v>
      </c>
      <c r="V62" s="126">
        <f t="shared" si="28"/>
        <v>0</v>
      </c>
      <c r="W62" s="126">
        <f t="shared" ref="W62:Y62" si="29">IF(W16=0,0,W16/W$10)</f>
        <v>0</v>
      </c>
      <c r="X62" s="126">
        <f t="shared" si="29"/>
        <v>0</v>
      </c>
      <c r="Y62" s="126">
        <f t="shared" si="29"/>
        <v>0</v>
      </c>
      <c r="DA62" s="204"/>
    </row>
    <row r="63" spans="1:105" ht="11.45" customHeight="1" x14ac:dyDescent="0.25">
      <c r="A63" s="27" t="s">
        <v>34</v>
      </c>
      <c r="B63" s="31">
        <f t="shared" si="15"/>
        <v>0.28533307033952476</v>
      </c>
      <c r="C63" s="31">
        <f t="shared" ref="C63:V63" si="30">IF(C17=0,0,C17/C$10)</f>
        <v>0.32108135501730234</v>
      </c>
      <c r="D63" s="31">
        <f t="shared" si="30"/>
        <v>0.33396168574167034</v>
      </c>
      <c r="E63" s="31">
        <f t="shared" si="30"/>
        <v>0.37117569006945822</v>
      </c>
      <c r="F63" s="31">
        <f t="shared" si="30"/>
        <v>0.37137552622055431</v>
      </c>
      <c r="G63" s="31">
        <f t="shared" si="30"/>
        <v>0.396364167362802</v>
      </c>
      <c r="H63" s="31">
        <f t="shared" si="30"/>
        <v>0.40279388859015625</v>
      </c>
      <c r="I63" s="31">
        <f t="shared" si="30"/>
        <v>0.41182497226413761</v>
      </c>
      <c r="J63" s="31">
        <f t="shared" si="30"/>
        <v>0.37860640575805027</v>
      </c>
      <c r="K63" s="31">
        <f t="shared" si="30"/>
        <v>0.344370927564422</v>
      </c>
      <c r="L63" s="31">
        <f t="shared" si="30"/>
        <v>0.36760990926499276</v>
      </c>
      <c r="M63" s="31">
        <f t="shared" si="30"/>
        <v>0.35143783752699259</v>
      </c>
      <c r="N63" s="31">
        <f t="shared" si="30"/>
        <v>0.34052669303003141</v>
      </c>
      <c r="O63" s="31">
        <f t="shared" si="30"/>
        <v>0.36568170787489812</v>
      </c>
      <c r="P63" s="31">
        <f t="shared" si="30"/>
        <v>0.38073791501655474</v>
      </c>
      <c r="Q63" s="31">
        <f t="shared" si="30"/>
        <v>0.36730623749902597</v>
      </c>
      <c r="R63" s="31">
        <f t="shared" si="30"/>
        <v>0.38719688340936154</v>
      </c>
      <c r="S63" s="31">
        <f t="shared" si="30"/>
        <v>0.40363462351944684</v>
      </c>
      <c r="T63" s="31">
        <f t="shared" si="30"/>
        <v>0.38949849093499433</v>
      </c>
      <c r="U63" s="31">
        <f t="shared" si="30"/>
        <v>0.39807004607214624</v>
      </c>
      <c r="V63" s="31">
        <f t="shared" si="30"/>
        <v>0.45955634931362283</v>
      </c>
      <c r="W63" s="31">
        <f t="shared" ref="W63:Y63" si="31">IF(W17=0,0,W17/W$10)</f>
        <v>0.40320408835340749</v>
      </c>
      <c r="X63" s="31">
        <f t="shared" si="31"/>
        <v>0.39834572252266076</v>
      </c>
      <c r="Y63" s="31">
        <f t="shared" si="31"/>
        <v>0.34217517800971869</v>
      </c>
      <c r="DA63" s="173"/>
    </row>
    <row r="64" spans="1:105" ht="11.45" customHeight="1" x14ac:dyDescent="0.25">
      <c r="A64" s="83" t="s">
        <v>92</v>
      </c>
      <c r="B64" s="125">
        <f t="shared" si="15"/>
        <v>0.17283365497141037</v>
      </c>
      <c r="C64" s="125">
        <f t="shared" ref="C64:V64" si="32">IF(C18=0,0,C18/C$10)</f>
        <v>0.21002129383649595</v>
      </c>
      <c r="D64" s="125">
        <f t="shared" si="32"/>
        <v>0.21064805084035493</v>
      </c>
      <c r="E64" s="125">
        <f t="shared" si="32"/>
        <v>0.23720993971891607</v>
      </c>
      <c r="F64" s="125">
        <f t="shared" si="32"/>
        <v>0.24242229400964341</v>
      </c>
      <c r="G64" s="125">
        <f t="shared" si="32"/>
        <v>0.25969417039115122</v>
      </c>
      <c r="H64" s="125">
        <f t="shared" si="32"/>
        <v>0.26133383133278804</v>
      </c>
      <c r="I64" s="125">
        <f t="shared" si="32"/>
        <v>0.27757408228596919</v>
      </c>
      <c r="J64" s="125">
        <f t="shared" si="32"/>
        <v>0.2500655620293189</v>
      </c>
      <c r="K64" s="125">
        <f t="shared" si="32"/>
        <v>0.22754717930228152</v>
      </c>
      <c r="L64" s="125">
        <f t="shared" si="32"/>
        <v>0.23825250105593843</v>
      </c>
      <c r="M64" s="125">
        <f t="shared" si="32"/>
        <v>0.2228588116510001</v>
      </c>
      <c r="N64" s="125">
        <f t="shared" si="32"/>
        <v>0.21695372615035166</v>
      </c>
      <c r="O64" s="125">
        <f t="shared" si="32"/>
        <v>0.22680093604029306</v>
      </c>
      <c r="P64" s="125">
        <f t="shared" si="32"/>
        <v>0.23168877915564018</v>
      </c>
      <c r="Q64" s="125">
        <f t="shared" si="32"/>
        <v>0.20214303569331893</v>
      </c>
      <c r="R64" s="125">
        <f t="shared" si="32"/>
        <v>0.20782055427111193</v>
      </c>
      <c r="S64" s="125">
        <f t="shared" si="32"/>
        <v>0.1993997126900538</v>
      </c>
      <c r="T64" s="125">
        <f t="shared" si="32"/>
        <v>0.17207448678660639</v>
      </c>
      <c r="U64" s="125">
        <f t="shared" si="32"/>
        <v>0.1722824549835959</v>
      </c>
      <c r="V64" s="125">
        <f t="shared" si="32"/>
        <v>0.20161242738096671</v>
      </c>
      <c r="W64" s="125">
        <f t="shared" ref="W64:Y64" si="33">IF(W18=0,0,W18/W$10)</f>
        <v>0.20861822626369395</v>
      </c>
      <c r="X64" s="125">
        <f t="shared" si="33"/>
        <v>0.18479374206432347</v>
      </c>
      <c r="Y64" s="125">
        <f t="shared" si="33"/>
        <v>0.13283101172122491</v>
      </c>
      <c r="DA64" s="171"/>
    </row>
    <row r="65" spans="1:105" ht="11.45" customHeight="1" x14ac:dyDescent="0.25">
      <c r="A65" s="85" t="s">
        <v>93</v>
      </c>
      <c r="B65" s="127">
        <f t="shared" si="15"/>
        <v>0.11249941536811442</v>
      </c>
      <c r="C65" s="127">
        <f t="shared" ref="C65:V65" si="34">IF(C19=0,0,C19/C$10)</f>
        <v>0.1110600611808064</v>
      </c>
      <c r="D65" s="127">
        <f t="shared" si="34"/>
        <v>0.12331363490131543</v>
      </c>
      <c r="E65" s="127">
        <f t="shared" si="34"/>
        <v>0.13396575035054215</v>
      </c>
      <c r="F65" s="127">
        <f t="shared" si="34"/>
        <v>0.12895323221091087</v>
      </c>
      <c r="G65" s="127">
        <f t="shared" si="34"/>
        <v>0.1366699969716508</v>
      </c>
      <c r="H65" s="127">
        <f t="shared" si="34"/>
        <v>0.14146005725736821</v>
      </c>
      <c r="I65" s="127">
        <f t="shared" si="34"/>
        <v>0.13425088997816839</v>
      </c>
      <c r="J65" s="127">
        <f t="shared" si="34"/>
        <v>0.12854084372873137</v>
      </c>
      <c r="K65" s="127">
        <f t="shared" si="34"/>
        <v>0.11682374826214052</v>
      </c>
      <c r="L65" s="127">
        <f t="shared" si="34"/>
        <v>0.12935740820905431</v>
      </c>
      <c r="M65" s="127">
        <f t="shared" si="34"/>
        <v>0.12857902587599251</v>
      </c>
      <c r="N65" s="127">
        <f t="shared" si="34"/>
        <v>0.12357296687967974</v>
      </c>
      <c r="O65" s="127">
        <f t="shared" si="34"/>
        <v>0.13888077183460509</v>
      </c>
      <c r="P65" s="127">
        <f t="shared" si="34"/>
        <v>0.14904913586091456</v>
      </c>
      <c r="Q65" s="127">
        <f t="shared" si="34"/>
        <v>0.16516320180570701</v>
      </c>
      <c r="R65" s="127">
        <f t="shared" si="34"/>
        <v>0.17937632913824961</v>
      </c>
      <c r="S65" s="127">
        <f t="shared" si="34"/>
        <v>0.2042349108293931</v>
      </c>
      <c r="T65" s="127">
        <f t="shared" si="34"/>
        <v>0.21742400414838792</v>
      </c>
      <c r="U65" s="127">
        <f t="shared" si="34"/>
        <v>0.22578759108855037</v>
      </c>
      <c r="V65" s="127">
        <f t="shared" si="34"/>
        <v>0.25794392193265608</v>
      </c>
      <c r="W65" s="127">
        <f t="shared" ref="W65:Y65" si="35">IF(W19=0,0,W19/W$10)</f>
        <v>0.19458586208971357</v>
      </c>
      <c r="X65" s="127">
        <f t="shared" si="35"/>
        <v>0.21355198045833726</v>
      </c>
      <c r="Y65" s="127">
        <f t="shared" si="35"/>
        <v>0.20934416628849373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85.449897000000007</v>
      </c>
      <c r="C4" s="26">
        <f t="shared" ref="C4:W4" si="0">SUM(C5:C6)</f>
        <v>88.614737640000001</v>
      </c>
      <c r="D4" s="26">
        <f t="shared" si="0"/>
        <v>88.614737640000001</v>
      </c>
      <c r="E4" s="26">
        <f t="shared" si="0"/>
        <v>88.614737640000001</v>
      </c>
      <c r="F4" s="26">
        <f t="shared" si="0"/>
        <v>94.944418919999976</v>
      </c>
      <c r="G4" s="26">
        <f t="shared" si="0"/>
        <v>98.109259560000012</v>
      </c>
      <c r="H4" s="26">
        <f t="shared" si="0"/>
        <v>101.27383343999998</v>
      </c>
      <c r="I4" s="26">
        <f t="shared" si="0"/>
        <v>104.43867407999998</v>
      </c>
      <c r="J4" s="26">
        <f t="shared" si="0"/>
        <v>102.22349904000001</v>
      </c>
      <c r="K4" s="26">
        <f t="shared" si="0"/>
        <v>88.614737640000001</v>
      </c>
      <c r="L4" s="26">
        <f t="shared" si="0"/>
        <v>88.614737640000001</v>
      </c>
      <c r="M4" s="26">
        <f t="shared" si="0"/>
        <v>83.551099319999992</v>
      </c>
      <c r="N4" s="26">
        <f t="shared" si="0"/>
        <v>78.487194240000008</v>
      </c>
      <c r="O4" s="26">
        <f t="shared" si="0"/>
        <v>75.95537508000001</v>
      </c>
      <c r="P4" s="26">
        <f t="shared" si="0"/>
        <v>66.461119919999987</v>
      </c>
      <c r="Q4" s="26">
        <f t="shared" si="0"/>
        <v>56.966597999999998</v>
      </c>
      <c r="R4" s="26">
        <f t="shared" si="0"/>
        <v>56.966597999999998</v>
      </c>
      <c r="S4" s="26">
        <f t="shared" si="0"/>
        <v>55.700555040000012</v>
      </c>
      <c r="T4" s="26">
        <f t="shared" si="0"/>
        <v>46.52267724</v>
      </c>
      <c r="U4" s="26">
        <f t="shared" si="0"/>
        <v>45.256901040000002</v>
      </c>
      <c r="V4" s="26">
        <f t="shared" si="0"/>
        <v>42.092060400000001</v>
      </c>
      <c r="W4" s="26">
        <f t="shared" si="0"/>
        <v>45.256901040000002</v>
      </c>
      <c r="X4" s="26">
        <f t="shared" ref="X4:Y4" si="1">SUM(X5:X6)</f>
        <v>46.52267724</v>
      </c>
      <c r="Y4" s="26">
        <f t="shared" si="1"/>
        <v>38.294198279999996</v>
      </c>
      <c r="DA4" s="202" t="s">
        <v>1137</v>
      </c>
    </row>
    <row r="5" spans="1:105" ht="11.45" customHeight="1" x14ac:dyDescent="0.25">
      <c r="A5" s="107" t="s">
        <v>92</v>
      </c>
      <c r="B5" s="129">
        <v>85.449897000000007</v>
      </c>
      <c r="C5" s="129">
        <v>88.614737640000001</v>
      </c>
      <c r="D5" s="129">
        <v>88.614737640000001</v>
      </c>
      <c r="E5" s="129">
        <v>88.614737640000001</v>
      </c>
      <c r="F5" s="129">
        <v>94.944418919999976</v>
      </c>
      <c r="G5" s="129">
        <v>98.109259560000012</v>
      </c>
      <c r="H5" s="129">
        <v>101.27383343999998</v>
      </c>
      <c r="I5" s="129">
        <v>104.43867407999998</v>
      </c>
      <c r="J5" s="129">
        <v>102.22349904000001</v>
      </c>
      <c r="K5" s="129">
        <v>88.614737640000001</v>
      </c>
      <c r="L5" s="129">
        <v>88.614737640000001</v>
      </c>
      <c r="M5" s="129">
        <v>83.551099319999992</v>
      </c>
      <c r="N5" s="129">
        <v>78.487194240000008</v>
      </c>
      <c r="O5" s="129">
        <v>75.95537508000001</v>
      </c>
      <c r="P5" s="129">
        <v>66.461119919999987</v>
      </c>
      <c r="Q5" s="129">
        <v>56.966597999999998</v>
      </c>
      <c r="R5" s="129">
        <v>56.966597999999998</v>
      </c>
      <c r="S5" s="129">
        <v>55.700555040000012</v>
      </c>
      <c r="T5" s="129">
        <v>46.52267724</v>
      </c>
      <c r="U5" s="129">
        <v>45.256901040000002</v>
      </c>
      <c r="V5" s="129">
        <v>42.092060400000001</v>
      </c>
      <c r="W5" s="129">
        <v>45.256901040000002</v>
      </c>
      <c r="X5" s="129">
        <v>46.52267724</v>
      </c>
      <c r="Y5" s="129">
        <v>38.294198279999996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85.449896999999993</v>
      </c>
      <c r="C8" s="79">
        <f t="shared" si="2"/>
        <v>88.614737640000001</v>
      </c>
      <c r="D8" s="79">
        <f t="shared" si="2"/>
        <v>88.614737640000001</v>
      </c>
      <c r="E8" s="79">
        <f t="shared" si="2"/>
        <v>88.614737639999987</v>
      </c>
      <c r="F8" s="79">
        <f t="shared" si="2"/>
        <v>94.944418919999976</v>
      </c>
      <c r="G8" s="79">
        <f t="shared" si="2"/>
        <v>98.109259560000012</v>
      </c>
      <c r="H8" s="79">
        <f t="shared" si="2"/>
        <v>101.27383343999999</v>
      </c>
      <c r="I8" s="79">
        <f t="shared" si="2"/>
        <v>104.43867408</v>
      </c>
      <c r="J8" s="79">
        <f t="shared" si="2"/>
        <v>102.22349904000001</v>
      </c>
      <c r="K8" s="79">
        <f t="shared" si="2"/>
        <v>88.614737640000016</v>
      </c>
      <c r="L8" s="79">
        <f t="shared" si="2"/>
        <v>88.614737640000016</v>
      </c>
      <c r="M8" s="79">
        <f t="shared" si="2"/>
        <v>83.551099319999992</v>
      </c>
      <c r="N8" s="79">
        <f t="shared" si="2"/>
        <v>78.487194240000008</v>
      </c>
      <c r="O8" s="79">
        <f t="shared" si="2"/>
        <v>75.955375080000024</v>
      </c>
      <c r="P8" s="79">
        <f t="shared" si="2"/>
        <v>66.461119919999987</v>
      </c>
      <c r="Q8" s="79">
        <f t="shared" si="2"/>
        <v>56.966597999999998</v>
      </c>
      <c r="R8" s="79">
        <f t="shared" si="2"/>
        <v>56.966597999999991</v>
      </c>
      <c r="S8" s="79">
        <f t="shared" si="2"/>
        <v>55.700555040000012</v>
      </c>
      <c r="T8" s="79">
        <f t="shared" si="2"/>
        <v>46.522677239999993</v>
      </c>
      <c r="U8" s="79">
        <f t="shared" si="2"/>
        <v>45.256901040000002</v>
      </c>
      <c r="V8" s="79">
        <f t="shared" si="2"/>
        <v>42.092060400000008</v>
      </c>
      <c r="W8" s="79">
        <f t="shared" si="2"/>
        <v>45.256901040000002</v>
      </c>
      <c r="X8" s="79">
        <f t="shared" ref="X8:Y8" si="3">SUM(X9,X15)</f>
        <v>46.522677240000007</v>
      </c>
      <c r="Y8" s="79">
        <f t="shared" si="3"/>
        <v>38.294198279999996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60.860891449122498</v>
      </c>
      <c r="C9" s="32">
        <f t="shared" si="4"/>
        <v>58.014345794287294</v>
      </c>
      <c r="D9" s="32">
        <f t="shared" si="4"/>
        <v>57.361101694957796</v>
      </c>
      <c r="E9" s="32">
        <f t="shared" si="4"/>
        <v>53.293585150819553</v>
      </c>
      <c r="F9" s="32">
        <f t="shared" si="4"/>
        <v>57.765358000148254</v>
      </c>
      <c r="G9" s="32">
        <f t="shared" si="4"/>
        <v>56.558820871573595</v>
      </c>
      <c r="H9" s="32">
        <f t="shared" si="4"/>
        <v>57.867195211706871</v>
      </c>
      <c r="I9" s="32">
        <f t="shared" si="4"/>
        <v>56.937789419429279</v>
      </c>
      <c r="J9" s="32">
        <f t="shared" si="4"/>
        <v>59.850634989569699</v>
      </c>
      <c r="K9" s="32">
        <f t="shared" si="4"/>
        <v>53.821887027693229</v>
      </c>
      <c r="L9" s="32">
        <f t="shared" si="4"/>
        <v>51.994332894523765</v>
      </c>
      <c r="M9" s="32">
        <f t="shared" si="4"/>
        <v>50.663044630365128</v>
      </c>
      <c r="N9" s="32">
        <f t="shared" si="4"/>
        <v>48.14795251733598</v>
      </c>
      <c r="O9" s="32">
        <f t="shared" si="4"/>
        <v>45.841822944867339</v>
      </c>
      <c r="P9" s="32">
        <f t="shared" si="4"/>
        <v>38.330932646541527</v>
      </c>
      <c r="Q9" s="32">
        <f t="shared" si="4"/>
        <v>33.911530240027396</v>
      </c>
      <c r="R9" s="32">
        <f t="shared" si="4"/>
        <v>33.097676229252862</v>
      </c>
      <c r="S9" s="32">
        <f t="shared" si="4"/>
        <v>32.434219490491849</v>
      </c>
      <c r="T9" s="32">
        <f t="shared" si="4"/>
        <v>27.606265764360185</v>
      </c>
      <c r="U9" s="32">
        <f t="shared" si="4"/>
        <v>26.439186391475662</v>
      </c>
      <c r="V9" s="32">
        <f t="shared" si="4"/>
        <v>21.574715195923329</v>
      </c>
      <c r="W9" s="32">
        <f t="shared" si="4"/>
        <v>22.509332987933249</v>
      </c>
      <c r="X9" s="32">
        <f t="shared" ref="X9:Y9" si="5">SUM(X10,X11,X14)</f>
        <v>25.996047592764569</v>
      </c>
      <c r="Y9" s="32">
        <f t="shared" si="5"/>
        <v>24.767162215829615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60.860891449122498</v>
      </c>
      <c r="C11" s="130">
        <f t="shared" si="6"/>
        <v>58.014345794287294</v>
      </c>
      <c r="D11" s="130">
        <f t="shared" si="6"/>
        <v>57.361101694957796</v>
      </c>
      <c r="E11" s="130">
        <f t="shared" si="6"/>
        <v>53.293585150819553</v>
      </c>
      <c r="F11" s="130">
        <f t="shared" si="6"/>
        <v>57.765358000148254</v>
      </c>
      <c r="G11" s="130">
        <f t="shared" si="6"/>
        <v>56.558820871573595</v>
      </c>
      <c r="H11" s="130">
        <f t="shared" si="6"/>
        <v>57.867195211706871</v>
      </c>
      <c r="I11" s="130">
        <f t="shared" si="6"/>
        <v>56.937789419429279</v>
      </c>
      <c r="J11" s="130">
        <f t="shared" si="6"/>
        <v>59.850634989569699</v>
      </c>
      <c r="K11" s="130">
        <f t="shared" si="6"/>
        <v>53.821887027693229</v>
      </c>
      <c r="L11" s="130">
        <f t="shared" si="6"/>
        <v>51.994332894523765</v>
      </c>
      <c r="M11" s="130">
        <f t="shared" si="6"/>
        <v>50.663044630365128</v>
      </c>
      <c r="N11" s="130">
        <f t="shared" si="6"/>
        <v>48.14795251733598</v>
      </c>
      <c r="O11" s="130">
        <f t="shared" si="6"/>
        <v>45.841822944867339</v>
      </c>
      <c r="P11" s="130">
        <f t="shared" si="6"/>
        <v>38.330932646541527</v>
      </c>
      <c r="Q11" s="130">
        <f t="shared" si="6"/>
        <v>33.911530240027396</v>
      </c>
      <c r="R11" s="130">
        <f t="shared" si="6"/>
        <v>33.097676229252862</v>
      </c>
      <c r="S11" s="130">
        <f t="shared" si="6"/>
        <v>32.434219490491849</v>
      </c>
      <c r="T11" s="130">
        <f t="shared" si="6"/>
        <v>27.606265764360185</v>
      </c>
      <c r="U11" s="130">
        <f t="shared" si="6"/>
        <v>26.439186391475662</v>
      </c>
      <c r="V11" s="130">
        <f t="shared" si="6"/>
        <v>21.574715195923329</v>
      </c>
      <c r="W11" s="130">
        <f t="shared" si="6"/>
        <v>22.509332987933249</v>
      </c>
      <c r="X11" s="130">
        <f t="shared" ref="X11:Y11" si="7">SUM(X12:X13)</f>
        <v>25.996047592764569</v>
      </c>
      <c r="Y11" s="130">
        <f t="shared" si="7"/>
        <v>24.767162215829615</v>
      </c>
      <c r="DA11" s="176" t="s">
        <v>409</v>
      </c>
    </row>
    <row r="12" spans="1:105" ht="11.45" customHeight="1" x14ac:dyDescent="0.25">
      <c r="A12" s="111" t="s">
        <v>92</v>
      </c>
      <c r="B12" s="96">
        <v>60.860891449122498</v>
      </c>
      <c r="C12" s="96">
        <v>58.014345794287294</v>
      </c>
      <c r="D12" s="96">
        <v>57.361101694957796</v>
      </c>
      <c r="E12" s="96">
        <v>53.293585150819553</v>
      </c>
      <c r="F12" s="96">
        <v>57.765358000148254</v>
      </c>
      <c r="G12" s="96">
        <v>56.558820871573595</v>
      </c>
      <c r="H12" s="96">
        <v>57.867195211706871</v>
      </c>
      <c r="I12" s="96">
        <v>56.937789419429279</v>
      </c>
      <c r="J12" s="96">
        <v>59.850634989569699</v>
      </c>
      <c r="K12" s="96">
        <v>53.821887027693229</v>
      </c>
      <c r="L12" s="96">
        <v>51.994332894523765</v>
      </c>
      <c r="M12" s="96">
        <v>50.663044630365128</v>
      </c>
      <c r="N12" s="96">
        <v>48.14795251733598</v>
      </c>
      <c r="O12" s="96">
        <v>45.841822944867339</v>
      </c>
      <c r="P12" s="96">
        <v>38.330932646541527</v>
      </c>
      <c r="Q12" s="96">
        <v>33.911530240027396</v>
      </c>
      <c r="R12" s="96">
        <v>33.097676229252862</v>
      </c>
      <c r="S12" s="96">
        <v>32.434219490491849</v>
      </c>
      <c r="T12" s="96">
        <v>27.606265764360185</v>
      </c>
      <c r="U12" s="96">
        <v>26.439186391475662</v>
      </c>
      <c r="V12" s="96">
        <v>21.574715195923329</v>
      </c>
      <c r="W12" s="96">
        <v>22.509332987933249</v>
      </c>
      <c r="X12" s="96">
        <v>25.996047592764569</v>
      </c>
      <c r="Y12" s="96">
        <v>24.767162215829615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24.589005550877491</v>
      </c>
      <c r="C15" s="32">
        <f t="shared" si="8"/>
        <v>30.600391845712704</v>
      </c>
      <c r="D15" s="32">
        <f t="shared" si="8"/>
        <v>31.253635945042202</v>
      </c>
      <c r="E15" s="32">
        <f t="shared" si="8"/>
        <v>35.321152489180442</v>
      </c>
      <c r="F15" s="32">
        <f t="shared" si="8"/>
        <v>37.179060919851715</v>
      </c>
      <c r="G15" s="32">
        <f t="shared" si="8"/>
        <v>41.550438688426418</v>
      </c>
      <c r="H15" s="32">
        <f t="shared" si="8"/>
        <v>43.406638228293119</v>
      </c>
      <c r="I15" s="32">
        <f t="shared" si="8"/>
        <v>47.500884660570726</v>
      </c>
      <c r="J15" s="32">
        <f t="shared" si="8"/>
        <v>42.372864050430302</v>
      </c>
      <c r="K15" s="32">
        <f t="shared" si="8"/>
        <v>34.792850612306779</v>
      </c>
      <c r="L15" s="32">
        <f t="shared" si="8"/>
        <v>36.620404745476243</v>
      </c>
      <c r="M15" s="32">
        <f t="shared" si="8"/>
        <v>32.88805468963487</v>
      </c>
      <c r="N15" s="32">
        <f t="shared" si="8"/>
        <v>30.339241722664021</v>
      </c>
      <c r="O15" s="32">
        <f t="shared" si="8"/>
        <v>30.113552135132682</v>
      </c>
      <c r="P15" s="32">
        <f t="shared" si="8"/>
        <v>28.130187273458464</v>
      </c>
      <c r="Q15" s="32">
        <f t="shared" si="8"/>
        <v>23.055067759972601</v>
      </c>
      <c r="R15" s="32">
        <f t="shared" si="8"/>
        <v>23.868921770747129</v>
      </c>
      <c r="S15" s="32">
        <f t="shared" si="8"/>
        <v>23.266335549508163</v>
      </c>
      <c r="T15" s="32">
        <f t="shared" si="8"/>
        <v>18.916411475639812</v>
      </c>
      <c r="U15" s="32">
        <f t="shared" si="8"/>
        <v>18.817714648524337</v>
      </c>
      <c r="V15" s="32">
        <f t="shared" si="8"/>
        <v>20.51734520407668</v>
      </c>
      <c r="W15" s="32">
        <f t="shared" si="8"/>
        <v>22.747568052066757</v>
      </c>
      <c r="X15" s="32">
        <f t="shared" ref="X15:Y15" si="9">SUM(X16:X17)</f>
        <v>20.526629647235438</v>
      </c>
      <c r="Y15" s="32">
        <f t="shared" si="9"/>
        <v>13.527036064170384</v>
      </c>
      <c r="DA15" s="173" t="s">
        <v>414</v>
      </c>
    </row>
    <row r="16" spans="1:105" ht="11.45" customHeight="1" x14ac:dyDescent="0.25">
      <c r="A16" s="83" t="s">
        <v>92</v>
      </c>
      <c r="B16" s="96">
        <v>24.589005550877491</v>
      </c>
      <c r="C16" s="96">
        <v>30.600391845712704</v>
      </c>
      <c r="D16" s="96">
        <v>31.253635945042202</v>
      </c>
      <c r="E16" s="96">
        <v>35.321152489180442</v>
      </c>
      <c r="F16" s="96">
        <v>37.179060919851715</v>
      </c>
      <c r="G16" s="96">
        <v>41.550438688426418</v>
      </c>
      <c r="H16" s="96">
        <v>43.406638228293119</v>
      </c>
      <c r="I16" s="96">
        <v>47.500884660570726</v>
      </c>
      <c r="J16" s="96">
        <v>42.372864050430302</v>
      </c>
      <c r="K16" s="96">
        <v>34.792850612306779</v>
      </c>
      <c r="L16" s="96">
        <v>36.620404745476243</v>
      </c>
      <c r="M16" s="96">
        <v>32.88805468963487</v>
      </c>
      <c r="N16" s="96">
        <v>30.339241722664021</v>
      </c>
      <c r="O16" s="96">
        <v>30.113552135132682</v>
      </c>
      <c r="P16" s="96">
        <v>28.130187273458464</v>
      </c>
      <c r="Q16" s="96">
        <v>23.055067759972601</v>
      </c>
      <c r="R16" s="96">
        <v>23.868921770747129</v>
      </c>
      <c r="S16" s="96">
        <v>23.266335549508163</v>
      </c>
      <c r="T16" s="96">
        <v>18.916411475639812</v>
      </c>
      <c r="U16" s="96">
        <v>18.817714648524337</v>
      </c>
      <c r="V16" s="96">
        <v>20.51734520407668</v>
      </c>
      <c r="W16" s="96">
        <v>22.747568052066757</v>
      </c>
      <c r="X16" s="96">
        <v>20.526629647235438</v>
      </c>
      <c r="Y16" s="96">
        <v>13.527036064170384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1.863370931627057</v>
      </c>
      <c r="C22" s="134">
        <f>IF(C4=0,0,C4/TrRail_ene!C4)</f>
        <v>1.8868732229195389</v>
      </c>
      <c r="D22" s="134">
        <f>IF(D4=0,0,D4/TrRail_ene!D4)</f>
        <v>1.8529481862338162</v>
      </c>
      <c r="E22" s="134">
        <f>IF(E4=0,0,E4/TrRail_ene!E4)</f>
        <v>1.8463090436271585</v>
      </c>
      <c r="F22" s="134">
        <f>IF(F4=0,0,F4/TrRail_ene!F4)</f>
        <v>1.9206313120669591</v>
      </c>
      <c r="G22" s="134">
        <f>IF(G4=0,0,G4/TrRail_ene!G4)</f>
        <v>1.902378849418038</v>
      </c>
      <c r="H22" s="134">
        <f>IF(H4=0,0,H4/TrRail_ene!H4)</f>
        <v>1.8916341969202306</v>
      </c>
      <c r="I22" s="134">
        <f>IF(I4=0,0,I4/TrRail_ene!I4)</f>
        <v>1.893385241572046</v>
      </c>
      <c r="J22" s="134">
        <f>IF(J4=0,0,J4/TrRail_ene!J4)</f>
        <v>1.8716180846392658</v>
      </c>
      <c r="K22" s="134">
        <f>IF(K4=0,0,K4/TrRail_ene!K4)</f>
        <v>1.7979922830919646</v>
      </c>
      <c r="L22" s="134">
        <f>IF(L4=0,0,L4/TrRail_ene!L4)</f>
        <v>1.7886308116836664</v>
      </c>
      <c r="M22" s="134">
        <f>IF(M4=0,0,M4/TrRail_ene!M4)</f>
        <v>1.7564840739390499</v>
      </c>
      <c r="N22" s="134">
        <f>IF(N4=0,0,N4/TrRail_ene!N4)</f>
        <v>1.7412519629227203</v>
      </c>
      <c r="O22" s="134">
        <f>IF(O4=0,0,O4/TrRail_ene!O4)</f>
        <v>1.7747688262188765</v>
      </c>
      <c r="P22" s="134">
        <f>IF(P4=0,0,P4/TrRail_ene!P4)</f>
        <v>1.6982454369616513</v>
      </c>
      <c r="Q22" s="134">
        <f>IF(Q4=0,0,Q4/TrRail_ene!Q4)</f>
        <v>1.5495767389545081</v>
      </c>
      <c r="R22" s="134">
        <f>IF(R4=0,0,R4/TrRail_ene!R4)</f>
        <v>1.5387795488096621</v>
      </c>
      <c r="S22" s="134">
        <f>IF(S4=0,0,S4/TrRail_ene!S4)</f>
        <v>1.481004872189555</v>
      </c>
      <c r="T22" s="134">
        <f>IF(T4=0,0,T4/TrRail_ene!T4)</f>
        <v>1.3129338734168248</v>
      </c>
      <c r="U22" s="134">
        <f>IF(U4=0,0,U4/TrRail_ene!U4)</f>
        <v>1.285462491745593</v>
      </c>
      <c r="V22" s="134">
        <f>IF(V4=0,0,V4/TrRail_ene!V4)</f>
        <v>1.2832070629688854</v>
      </c>
      <c r="W22" s="134">
        <f>IF(W4=0,0,W4/TrRail_ene!W4)</f>
        <v>1.2876638738586046</v>
      </c>
      <c r="X22" s="134">
        <f>IF(X4=0,0,X4/TrRail_ene!X4)</f>
        <v>1.2993756860636072</v>
      </c>
      <c r="Y22" s="134">
        <f>IF(Y4=0,0,Y4/TrRail_ene!Y4)</f>
        <v>1.1666222033524294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1.5512094000000003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1.5512094000000003</v>
      </c>
      <c r="V23" s="129">
        <f>IF(V5=0,0,V5/SUM(TrRail_ene!V5:V7))</f>
        <v>1.5512094000000001</v>
      </c>
      <c r="W23" s="129">
        <f>IF(W5=0,0,W5/SUM(TrRail_ene!W5:W7))</f>
        <v>1.5512094000000003</v>
      </c>
      <c r="X23" s="129">
        <f>IF(X5=0,0,X5/SUM(TrRail_ene!X5:X7))</f>
        <v>1.5512094000000001</v>
      </c>
      <c r="Y23" s="129">
        <f>IF(Y5=0,0,Y5/SUM(TrRail_ene!Y5:Y7))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3621.2417263292509</v>
      </c>
      <c r="C26" s="54">
        <f>IF(C8=0,0,C8/TrRail_act!C14*1000)</f>
        <v>3635.409025502011</v>
      </c>
      <c r="D26" s="54">
        <f>IF(D8=0,0,D8/TrRail_act!D14*1000)</f>
        <v>3513.6624022992401</v>
      </c>
      <c r="E26" s="54">
        <f>IF(E8=0,0,E8/TrRail_act!E14*1000)</f>
        <v>3472.1231331521221</v>
      </c>
      <c r="F26" s="54">
        <f>IF(F8=0,0,F8/TrRail_act!F14*1000)</f>
        <v>3652.1834449829234</v>
      </c>
      <c r="G26" s="54">
        <f>IF(G8=0,0,G8/TrRail_act!G14*1000)</f>
        <v>3591.6912962276315</v>
      </c>
      <c r="H26" s="54">
        <f>IF(H8=0,0,H8/TrRail_act!H14*1000)</f>
        <v>3527.318801983582</v>
      </c>
      <c r="I26" s="54">
        <f>IF(I8=0,0,I8/TrRail_act!I14*1000)</f>
        <v>3422.7017269629041</v>
      </c>
      <c r="J26" s="54">
        <f>IF(J8=0,0,J8/TrRail_act!J14*1000)</f>
        <v>3308.4656863152823</v>
      </c>
      <c r="K26" s="54">
        <f>IF(K8=0,0,K8/TrRail_act!K14*1000)</f>
        <v>3043.4685323619638</v>
      </c>
      <c r="L26" s="54">
        <f>IF(L8=0,0,L8/TrRail_act!L14*1000)</f>
        <v>3063.1022069471851</v>
      </c>
      <c r="M26" s="54">
        <f>IF(M8=0,0,M8/TrRail_act!M14*1000)</f>
        <v>2948.2812314140056</v>
      </c>
      <c r="N26" s="54">
        <f>IF(N8=0,0,N8/TrRail_act!N14*1000)</f>
        <v>2837.7603936297946</v>
      </c>
      <c r="O26" s="54">
        <f>IF(O8=0,0,O8/TrRail_act!O14*1000)</f>
        <v>2851.6464208347511</v>
      </c>
      <c r="P26" s="54">
        <f>IF(P8=0,0,P8/TrRail_act!P14*1000)</f>
        <v>2589.9974302859196</v>
      </c>
      <c r="Q26" s="54">
        <f>IF(Q8=0,0,Q8/TrRail_act!Q14*1000)</f>
        <v>2229.2900841666337</v>
      </c>
      <c r="R26" s="54">
        <f>IF(R8=0,0,R8/TrRail_act!R14*1000)</f>
        <v>2189.626253749821</v>
      </c>
      <c r="S26" s="54">
        <f>IF(S8=0,0,S8/TrRail_act!S14*1000)</f>
        <v>2096.6899771380045</v>
      </c>
      <c r="T26" s="54">
        <f>IF(T8=0,0,T8/TrRail_act!T14*1000)</f>
        <v>1805.1391014444687</v>
      </c>
      <c r="U26" s="54">
        <f>IF(U8=0,0,U8/TrRail_act!U14*1000)</f>
        <v>1725.8718714190368</v>
      </c>
      <c r="V26" s="54">
        <f>IF(V8=0,0,V8/TrRail_act!V14*1000)</f>
        <v>1824.7000562245519</v>
      </c>
      <c r="W26" s="54">
        <f>IF(W8=0,0,W8/TrRail_act!W14*1000)</f>
        <v>1826.7151659861295</v>
      </c>
      <c r="X26" s="54">
        <f>IF(X8=0,0,X8/TrRail_act!X14*1000)</f>
        <v>1911.5581553435939</v>
      </c>
      <c r="Y26" s="54">
        <f>IF(Y8=0,0,Y8/TrRail_act!Y14*1000)</f>
        <v>1659.2789685206842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3086.6221297457892</v>
      </c>
      <c r="C27" s="28">
        <f>IF(C9=0,0,C9/TrRail_act!C15*1000)</f>
        <v>2891.9274034940568</v>
      </c>
      <c r="D27" s="28">
        <f>IF(D9=0,0,D9/TrRail_act!D15*1000)</f>
        <v>2800.1169255316386</v>
      </c>
      <c r="E27" s="28">
        <f>IF(E9=0,0,E9/TrRail_act!E15*1000)</f>
        <v>2632.7157662596387</v>
      </c>
      <c r="F27" s="28">
        <f>IF(F9=0,0,F9/TrRail_act!F15*1000)</f>
        <v>2808.3533171586241</v>
      </c>
      <c r="G27" s="28">
        <f>IF(G9=0,0,G9/TrRail_act!G15*1000)</f>
        <v>2673.3293656693281</v>
      </c>
      <c r="H27" s="28">
        <f>IF(H9=0,0,H9/TrRail_act!H15*1000)</f>
        <v>2616.5889424229899</v>
      </c>
      <c r="I27" s="28">
        <f>IF(I9=0,0,I9/TrRail_act!I15*1000)</f>
        <v>2400.6725473706383</v>
      </c>
      <c r="J27" s="28">
        <f>IF(J9=0,0,J9/TrRail_act!J15*1000)</f>
        <v>2442.4591855496346</v>
      </c>
      <c r="K27" s="28">
        <f>IF(K9=0,0,K9/TrRail_act!K15*1000)</f>
        <v>2262.2369281206034</v>
      </c>
      <c r="L27" s="28">
        <f>IF(L9=0,0,L9/TrRail_act!L15*1000)</f>
        <v>2249.4076254771057</v>
      </c>
      <c r="M27" s="28">
        <f>IF(M9=0,0,M9/TrRail_act!M15*1000)</f>
        <v>2216.6625504469503</v>
      </c>
      <c r="N27" s="28">
        <f>IF(N9=0,0,N9/TrRail_act!N15*1000)</f>
        <v>2139.0906559567757</v>
      </c>
      <c r="O27" s="28">
        <f>IF(O9=0,0,O9/TrRail_act!O15*1000)</f>
        <v>2152.9556235391105</v>
      </c>
      <c r="P27" s="28">
        <f>IF(P9=0,0,P9/TrRail_act!P15*1000)</f>
        <v>1870.0003523839632</v>
      </c>
      <c r="Q27" s="28">
        <f>IF(Q9=0,0,Q9/TrRail_act!Q15*1000)</f>
        <v>1655.2064591842006</v>
      </c>
      <c r="R27" s="28">
        <f>IF(R9=0,0,R9/TrRail_act!R15*1000)</f>
        <v>1615.1707118787622</v>
      </c>
      <c r="S27" s="28">
        <f>IF(S9=0,0,S9/TrRail_act!S15*1000)</f>
        <v>1586.9068543545957</v>
      </c>
      <c r="T27" s="28">
        <f>IF(T9=0,0,T9/TrRail_act!T15*1000)</f>
        <v>1385.9164982774973</v>
      </c>
      <c r="U27" s="28">
        <f>IF(U9=0,0,U9/TrRail_act!U15*1000)</f>
        <v>1308.8702265094637</v>
      </c>
      <c r="V27" s="28">
        <f>IF(V9=0,0,V9/TrRail_act!V15*1000)</f>
        <v>1300.6009503344121</v>
      </c>
      <c r="W27" s="28">
        <f>IF(W9=0,0,W9/TrRail_act!W15*1000)</f>
        <v>1183.226154310983</v>
      </c>
      <c r="X27" s="28">
        <f>IF(X9=0,0,X9/TrRail_act!X15*1000)</f>
        <v>1421.7255098007884</v>
      </c>
      <c r="Y27" s="28">
        <f>IF(Y9=0,0,Y9/TrRail_act!Y15*1000)</f>
        <v>1373.8745462385236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4517.1012223271846</v>
      </c>
      <c r="C29" s="110">
        <f>IF(C11=0,0,C11/TrRail_act!C17*1000)</f>
        <v>4320.6771741161965</v>
      </c>
      <c r="D29" s="110">
        <f>IF(D11=0,0,D11/TrRail_act!D17*1000)</f>
        <v>4167.2785856499668</v>
      </c>
      <c r="E29" s="110">
        <f>IF(E11=0,0,E11/TrRail_act!E17*1000)</f>
        <v>4023.5598118549324</v>
      </c>
      <c r="F29" s="110">
        <f>IF(F11=0,0,F11/TrRail_act!F17*1000)</f>
        <v>4168.5621225560071</v>
      </c>
      <c r="G29" s="110">
        <f>IF(G11=0,0,G11/TrRail_act!G17*1000)</f>
        <v>3941.0486368755169</v>
      </c>
      <c r="H29" s="110">
        <f>IF(H11=0,0,H11/TrRail_act!H17*1000)</f>
        <v>3854.3177452373343</v>
      </c>
      <c r="I29" s="110">
        <f>IF(I11=0,0,I11/TrRail_act!I17*1000)</f>
        <v>3722.1663934335002</v>
      </c>
      <c r="J29" s="110">
        <f>IF(J11=0,0,J11/TrRail_act!J17*1000)</f>
        <v>3614.9382038045046</v>
      </c>
      <c r="K29" s="110">
        <f>IF(K11=0,0,K11/TrRail_act!K17*1000)</f>
        <v>3287.4038458283271</v>
      </c>
      <c r="L29" s="110">
        <f>IF(L11=0,0,L11/TrRail_act!L17*1000)</f>
        <v>3235.3398942676463</v>
      </c>
      <c r="M29" s="110">
        <f>IF(M11=0,0,M11/TrRail_act!M17*1000)</f>
        <v>3126.3315199055974</v>
      </c>
      <c r="N29" s="110">
        <f>IF(N11=0,0,N11/TrRail_act!N17*1000)</f>
        <v>3045.0265752290852</v>
      </c>
      <c r="O29" s="110">
        <f>IF(O11=0,0,O11/TrRail_act!O17*1000)</f>
        <v>3166.064550714585</v>
      </c>
      <c r="P29" s="110">
        <f>IF(P11=0,0,P11/TrRail_act!P17*1000)</f>
        <v>2913.6516766844711</v>
      </c>
      <c r="Q29" s="110">
        <f>IF(Q11=0,0,Q11/TrRail_act!Q17*1000)</f>
        <v>2620.3330885352575</v>
      </c>
      <c r="R29" s="110">
        <f>IF(R11=0,0,R11/TrRail_act!R17*1000)</f>
        <v>2594.8463734059487</v>
      </c>
      <c r="S29" s="110">
        <f>IF(S11=0,0,S11/TrRail_act!S17*1000)</f>
        <v>2532.8600978581485</v>
      </c>
      <c r="T29" s="110">
        <f>IF(T11=0,0,T11/TrRail_act!T17*1000)</f>
        <v>2160.5735812412299</v>
      </c>
      <c r="U29" s="110">
        <f>IF(U11=0,0,U11/TrRail_act!U17*1000)</f>
        <v>2131.1433359594148</v>
      </c>
      <c r="V29" s="110">
        <f>IF(V11=0,0,V11/TrRail_act!V17*1000)</f>
        <v>2028.3354060572449</v>
      </c>
      <c r="W29" s="110">
        <f>IF(W11=0,0,W11/TrRail_act!W17*1000)</f>
        <v>1708.3206034918139</v>
      </c>
      <c r="X29" s="110">
        <f>IF(X11=0,0,X11/TrRail_act!X17*1000)</f>
        <v>1874.4861921943932</v>
      </c>
      <c r="Y29" s="110">
        <f>IF(Y11=0,0,Y11/TrRail_act!Y17*1000)</f>
        <v>1746.2841531076224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8941.2762400158535</v>
      </c>
      <c r="C30" s="84">
        <f>IF(C12=0,0,C12/TrRail_act!C18*1000)</f>
        <v>8618.1173994437868</v>
      </c>
      <c r="D30" s="84">
        <f>IF(D12=0,0,D12/TrRail_act!D18*1000)</f>
        <v>8346.4511874435193</v>
      </c>
      <c r="E30" s="84">
        <f>IF(E12=0,0,E12/TrRail_act!E18*1000)</f>
        <v>8054.5209418382947</v>
      </c>
      <c r="F30" s="84">
        <f>IF(F12=0,0,F12/TrRail_act!F18*1000)</f>
        <v>7823.1263320424196</v>
      </c>
      <c r="G30" s="84">
        <f>IF(G12=0,0,G12/TrRail_act!G18*1000)</f>
        <v>7600.9449634869052</v>
      </c>
      <c r="H30" s="84">
        <f>IF(H12=0,0,H12/TrRail_act!H18*1000)</f>
        <v>7401.3496004406079</v>
      </c>
      <c r="I30" s="84">
        <f>IF(I12=0,0,I12/TrRail_act!I18*1000)</f>
        <v>7200.4982543133692</v>
      </c>
      <c r="J30" s="84">
        <f>IF(J12=0,0,J12/TrRail_act!J18*1000)</f>
        <v>6984.5458169371459</v>
      </c>
      <c r="K30" s="84">
        <f>IF(K12=0,0,K12/TrRail_act!K18*1000)</f>
        <v>6787.0823135899345</v>
      </c>
      <c r="L30" s="84">
        <f>IF(L12=0,0,L12/TrRail_act!L18*1000)</f>
        <v>6704.5595091279165</v>
      </c>
      <c r="M30" s="84">
        <f>IF(M12=0,0,M12/TrRail_act!M18*1000)</f>
        <v>6626.0712894975504</v>
      </c>
      <c r="N30" s="84">
        <f>IF(N12=0,0,N12/TrRail_act!N18*1000)</f>
        <v>6544.010525574241</v>
      </c>
      <c r="O30" s="84">
        <f>IF(O12=0,0,O12/TrRail_act!O18*1000)</f>
        <v>6252.8655940683111</v>
      </c>
      <c r="P30" s="84">
        <f>IF(P12=0,0,P12/TrRail_act!P18*1000)</f>
        <v>5912.8278893776305</v>
      </c>
      <c r="Q30" s="84">
        <f>IF(Q12=0,0,Q12/TrRail_act!Q18*1000)</f>
        <v>5779.575169991218</v>
      </c>
      <c r="R30" s="84">
        <f>IF(R12=0,0,R12/TrRail_act!R18*1000)</f>
        <v>5624.7939829755405</v>
      </c>
      <c r="S30" s="84">
        <f>IF(S12=0,0,S12/TrRail_act!S18*1000)</f>
        <v>5511.4344708141452</v>
      </c>
      <c r="T30" s="84">
        <f>IF(T12=0,0,T12/TrRail_act!T18*1000)</f>
        <v>5427.9166364500561</v>
      </c>
      <c r="U30" s="84">
        <f>IF(U12=0,0,U12/TrRail_act!U18*1000)</f>
        <v>5366.1098593895194</v>
      </c>
      <c r="V30" s="84">
        <f>IF(V12=0,0,V12/TrRail_act!V18*1000)</f>
        <v>5320.217074283968</v>
      </c>
      <c r="W30" s="84">
        <f>IF(W12=0,0,W12/TrRail_act!W18*1000)</f>
        <v>5286.0552414794356</v>
      </c>
      <c r="X30" s="84">
        <f>IF(X12=0,0,X12/TrRail_act!X18*1000)</f>
        <v>5260.5778975799876</v>
      </c>
      <c r="Y30" s="84">
        <f>IF(Y12=0,0,Y12/TrRail_act!Y18*1000)</f>
        <v>5241.5505055314161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6338.6569147087275</v>
      </c>
      <c r="C33" s="28">
        <f>IF(C15=0,0,C15/TrRail_act!C21*1000)</f>
        <v>7092.1862954675071</v>
      </c>
      <c r="D33" s="28">
        <f>IF(D15=0,0,D15/TrRail_act!D21*1000)</f>
        <v>6600.8402328340753</v>
      </c>
      <c r="E33" s="28">
        <f>IF(E15=0,0,E15/TrRail_act!E21*1000)</f>
        <v>6690.9362929570325</v>
      </c>
      <c r="F33" s="28">
        <f>IF(F15=0,0,F15/TrRail_act!F21*1000)</f>
        <v>6850.1292719616431</v>
      </c>
      <c r="G33" s="28">
        <f>IF(G15=0,0,G15/TrRail_act!G21*1000)</f>
        <v>6746.3858105879372</v>
      </c>
      <c r="H33" s="28">
        <f>IF(H15=0,0,H15/TrRail_act!H21*1000)</f>
        <v>6580.9809894230903</v>
      </c>
      <c r="I33" s="28">
        <f>IF(I15=0,0,I15/TrRail_act!I21*1000)</f>
        <v>6989.4469115147249</v>
      </c>
      <c r="J33" s="28">
        <f>IF(J15=0,0,J15/TrRail_act!J21*1000)</f>
        <v>6627.6955630393022</v>
      </c>
      <c r="K33" s="28">
        <f>IF(K15=0,0,K15/TrRail_act!K21*1000)</f>
        <v>6533.968892228957</v>
      </c>
      <c r="L33" s="28">
        <f>IF(L15=0,0,L15/TrRail_act!L21*1000)</f>
        <v>6297.5134051280384</v>
      </c>
      <c r="M33" s="28">
        <f>IF(M15=0,0,M15/TrRail_act!M21*1000)</f>
        <v>5997.7852975352871</v>
      </c>
      <c r="N33" s="28">
        <f>IF(N15=0,0,N15/TrRail_act!N21*1000)</f>
        <v>5891.6419504728783</v>
      </c>
      <c r="O33" s="28">
        <f>IF(O15=0,0,O15/TrRail_act!O21*1000)</f>
        <v>5635.9548534128044</v>
      </c>
      <c r="P33" s="28">
        <f>IF(P15=0,0,P15/TrRail_act!P21*1000)</f>
        <v>5448.5578324311127</v>
      </c>
      <c r="Q33" s="28">
        <f>IF(Q15=0,0,Q15/TrRail_act!Q21*1000)</f>
        <v>4551.0311120498254</v>
      </c>
      <c r="R33" s="28">
        <f>IF(R15=0,0,R15/TrRail_act!R21*1000)</f>
        <v>4320.2965662596525</v>
      </c>
      <c r="S33" s="28">
        <f>IF(S15=0,0,S15/TrRail_act!S21*1000)</f>
        <v>3797.1557344934163</v>
      </c>
      <c r="T33" s="28">
        <f>IF(T15=0,0,T15/TrRail_act!T21*1000)</f>
        <v>3231.8015062750733</v>
      </c>
      <c r="U33" s="28">
        <f>IF(U15=0,0,U15/TrRail_act!U21*1000)</f>
        <v>3124.5038363151039</v>
      </c>
      <c r="V33" s="28">
        <f>IF(V15=0,0,V15/TrRail_act!V21*1000)</f>
        <v>3166.4194764022377</v>
      </c>
      <c r="W33" s="28">
        <f>IF(W15=0,0,W15/TrRail_act!W21*1000)</f>
        <v>3955.1885002966296</v>
      </c>
      <c r="X33" s="28">
        <f>IF(X15=0,0,X15/TrRail_act!X21*1000)</f>
        <v>3391.3114940361488</v>
      </c>
      <c r="Y33" s="28">
        <f>IF(Y15=0,0,Y15/TrRail_act!Y21*1000)</f>
        <v>2677.7824290830822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17197.978645394214</v>
      </c>
      <c r="C34" s="84">
        <f>IF(C16=0,0,C16/TrRail_act!C22*1000)</f>
        <v>17006.656435436144</v>
      </c>
      <c r="D34" s="84">
        <f>IF(D16=0,0,D16/TrRail_act!D22*1000)</f>
        <v>16874.06636885061</v>
      </c>
      <c r="E34" s="84">
        <f>IF(E16=0,0,E16/TrRail_act!E22*1000)</f>
        <v>16691.455189362725</v>
      </c>
      <c r="F34" s="84">
        <f>IF(F16=0,0,F16/TrRail_act!F22*1000)</f>
        <v>16584.658533612863</v>
      </c>
      <c r="G34" s="84">
        <f>IF(G16=0,0,G16/TrRail_act!G22*1000)</f>
        <v>16212.891104893642</v>
      </c>
      <c r="H34" s="84">
        <f>IF(H16=0,0,H16/TrRail_act!H22*1000)</f>
        <v>16108.213245203797</v>
      </c>
      <c r="I34" s="84">
        <f>IF(I16=0,0,I16/TrRail_act!I22*1000)</f>
        <v>16011.712455125913</v>
      </c>
      <c r="J34" s="84">
        <f>IF(J16=0,0,J16/TrRail_act!J22*1000)</f>
        <v>15428.135659084208</v>
      </c>
      <c r="K34" s="84">
        <f>IF(K16=0,0,K16/TrRail_act!K22*1000)</f>
        <v>15031.102026480705</v>
      </c>
      <c r="L34" s="84">
        <f>IF(L16=0,0,L16/TrRail_act!L22*1000)</f>
        <v>14927.815559560408</v>
      </c>
      <c r="M34" s="84">
        <f>IF(M16=0,0,M16/TrRail_act!M22*1000)</f>
        <v>14818.987127041402</v>
      </c>
      <c r="N34" s="84">
        <f>IF(N16=0,0,N16/TrRail_act!N22*1000)</f>
        <v>14212.73264232546</v>
      </c>
      <c r="O34" s="84">
        <f>IF(O16=0,0,O16/TrRail_act!O22*1000)</f>
        <v>14333.066803030117</v>
      </c>
      <c r="P34" s="84">
        <f>IF(P16=0,0,P16/TrRail_act!P22*1000)</f>
        <v>14276.265696340228</v>
      </c>
      <c r="Q34" s="84">
        <f>IF(Q16=0,0,Q16/TrRail_act!Q22*1000)</f>
        <v>13657.79278395469</v>
      </c>
      <c r="R34" s="84">
        <f>IF(R16=0,0,R16/TrRail_act!R22*1000)</f>
        <v>13343.70143452742</v>
      </c>
      <c r="S34" s="84">
        <f>IF(S16=0,0,S16/TrRail_act!S22*1000)</f>
        <v>13086.656552719134</v>
      </c>
      <c r="T34" s="84">
        <f>IF(T16=0,0,T16/TrRail_act!T22*1000)</f>
        <v>12871.333342095986</v>
      </c>
      <c r="U34" s="84">
        <f>IF(U16=0,0,U16/TrRail_act!U22*1000)</f>
        <v>12686.744796770705</v>
      </c>
      <c r="V34" s="84">
        <f>IF(V16=0,0,V16/TrRail_act!V22*1000)</f>
        <v>12550.042695085394</v>
      </c>
      <c r="W34" s="84">
        <f>IF(W16=0,0,W16/TrRail_act!W22*1000)</f>
        <v>12448.483640280579</v>
      </c>
      <c r="X34" s="84">
        <f>IF(X16=0,0,X16/TrRail_act!X22*1000)</f>
        <v>12372.854052297283</v>
      </c>
      <c r="Y34" s="84">
        <f>IF(Y16=0,0,Y16/TrRail_act!Y22*1000)</f>
        <v>12316.433548292463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34.655447248088315</v>
      </c>
      <c r="C38" s="29">
        <f>IF(C9=0,0,C9/TrRail_act!C4*1000)</f>
        <v>32.72573242063563</v>
      </c>
      <c r="D38" s="29">
        <f>IF(D9=0,0,D9/TrRail_act!D4*1000)</f>
        <v>33.161728362883743</v>
      </c>
      <c r="E38" s="29">
        <f>IF(E9=0,0,E9/TrRail_act!E4*1000)</f>
        <v>31.105665269069863</v>
      </c>
      <c r="F38" s="29">
        <f>IF(F9=0,0,F9/TrRail_act!F4*1000)</f>
        <v>34.017982631089438</v>
      </c>
      <c r="G38" s="29">
        <f>IF(G9=0,0,G9/TrRail_act!G4*1000)</f>
        <v>32.132662982680941</v>
      </c>
      <c r="H38" s="29">
        <f>IF(H9=0,0,H9/TrRail_act!H4*1000)</f>
        <v>30.751421777072405</v>
      </c>
      <c r="I38" s="29">
        <f>IF(I9=0,0,I9/TrRail_act!I4*1000)</f>
        <v>25.487380892867051</v>
      </c>
      <c r="J38" s="29">
        <f>IF(J9=0,0,J9/TrRail_act!J4*1000)</f>
        <v>25.014852014612401</v>
      </c>
      <c r="K38" s="29">
        <f>IF(K9=0,0,K9/TrRail_act!K4*1000)</f>
        <v>22.606449470221698</v>
      </c>
      <c r="L38" s="29">
        <f>IF(L9=0,0,L9/TrRail_act!L4*1000)</f>
        <v>23.002708375059235</v>
      </c>
      <c r="M38" s="29">
        <f>IF(M9=0,0,M9/TrRail_act!M4*1000)</f>
        <v>25.63230459343422</v>
      </c>
      <c r="N38" s="29">
        <f>IF(N9=0,0,N9/TrRail_act!N4*1000)</f>
        <v>30.047080452426542</v>
      </c>
      <c r="O38" s="29">
        <f>IF(O9=0,0,O9/TrRail_act!O4*1000)</f>
        <v>31.231910156553493</v>
      </c>
      <c r="P38" s="29">
        <f>IF(P9=0,0,P9/TrRail_act!P4*1000)</f>
        <v>25.678977479382308</v>
      </c>
      <c r="Q38" s="29">
        <f>IF(Q9=0,0,Q9/TrRail_act!Q4*1000)</f>
        <v>22.035269291217219</v>
      </c>
      <c r="R38" s="29">
        <f>IF(R9=0,0,R9/TrRail_act!R4*1000)</f>
        <v>23.048761811058512</v>
      </c>
      <c r="S38" s="29">
        <f>IF(S9=0,0,S9/TrRail_act!S4*1000)</f>
        <v>24.132909040138038</v>
      </c>
      <c r="T38" s="29">
        <f>IF(T9=0,0,T9/TrRail_act!T4*1000)</f>
        <v>20.863811969301022</v>
      </c>
      <c r="U38" s="29">
        <f>IF(U9=0,0,U9/TrRail_act!U4*1000)</f>
        <v>20.746705371612595</v>
      </c>
      <c r="V38" s="29">
        <f>IF(V9=0,0,V9/TrRail_act!V4*1000)</f>
        <v>25.614537609551324</v>
      </c>
      <c r="W38" s="29">
        <f>IF(W9=0,0,W9/TrRail_act!W4*1000)</f>
        <v>25.093653032824772</v>
      </c>
      <c r="X38" s="29">
        <f>IF(X9=0,0,X9/TrRail_act!X4*1000)</f>
        <v>22.195984129818921</v>
      </c>
      <c r="Y38" s="29">
        <f>IF(Y9=0,0,Y9/TrRail_act!Y4*1000)</f>
        <v>16.8217466300555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48.610935662238418</v>
      </c>
      <c r="C40" s="116">
        <f>IF(C11=0,0,C11/TrRail_act!C6*1000)</f>
        <v>46.74806268677461</v>
      </c>
      <c r="D40" s="116">
        <f>IF(D11=0,0,D11/TrRail_act!D6*1000)</f>
        <v>48.000921920466773</v>
      </c>
      <c r="E40" s="116">
        <f>IF(E11=0,0,E11/TrRail_act!E6*1000)</f>
        <v>45.824234867428679</v>
      </c>
      <c r="F40" s="116">
        <f>IF(F11=0,0,F11/TrRail_act!F6*1000)</f>
        <v>49.414335329468138</v>
      </c>
      <c r="G40" s="116">
        <f>IF(G11=0,0,G11/TrRail_act!G6*1000)</f>
        <v>46.095208534289803</v>
      </c>
      <c r="H40" s="116">
        <f>IF(H11=0,0,H11/TrRail_act!H6*1000)</f>
        <v>43.772462338658755</v>
      </c>
      <c r="I40" s="116">
        <f>IF(I11=0,0,I11/TrRail_act!I6*1000)</f>
        <v>36.196941779675321</v>
      </c>
      <c r="J40" s="116">
        <f>IF(J11=0,0,J11/TrRail_act!J6*1000)</f>
        <v>33.833032780989093</v>
      </c>
      <c r="K40" s="116">
        <f>IF(K11=0,0,K11/TrRail_act!K6*1000)</f>
        <v>29.86786183556783</v>
      </c>
      <c r="L40" s="116">
        <f>IF(L11=0,0,L11/TrRail_act!L6*1000)</f>
        <v>30.388271709248254</v>
      </c>
      <c r="M40" s="116">
        <f>IF(M11=0,0,M11/TrRail_act!M6*1000)</f>
        <v>34.772165154677509</v>
      </c>
      <c r="N40" s="116">
        <f>IF(N11=0,0,N11/TrRail_act!N6*1000)</f>
        <v>44.581437516051835</v>
      </c>
      <c r="O40" s="116">
        <f>IF(O11=0,0,O11/TrRail_act!O6*1000)</f>
        <v>49.028687641569348</v>
      </c>
      <c r="P40" s="116">
        <f>IF(P11=0,0,P11/TrRail_act!P6*1000)</f>
        <v>41.800362755225223</v>
      </c>
      <c r="Q40" s="116">
        <f>IF(Q11=0,0,Q11/TrRail_act!Q6*1000)</f>
        <v>36.037757959646541</v>
      </c>
      <c r="R40" s="116">
        <f>IF(R11=0,0,R11/TrRail_act!R6*1000)</f>
        <v>40.02137391687166</v>
      </c>
      <c r="S40" s="116">
        <f>IF(S11=0,0,S11/TrRail_act!S6*1000)</f>
        <v>44.068233003385664</v>
      </c>
      <c r="T40" s="116">
        <f>IF(T11=0,0,T11/TrRail_act!T6*1000)</f>
        <v>36.956179068755262</v>
      </c>
      <c r="U40" s="116">
        <f>IF(U11=0,0,U11/TrRail_act!U6*1000)</f>
        <v>36.518213247894558</v>
      </c>
      <c r="V40" s="116">
        <f>IF(V11=0,0,V11/TrRail_act!V6*1000)</f>
        <v>48.157846419471717</v>
      </c>
      <c r="W40" s="116">
        <f>IF(W11=0,0,W11/TrRail_act!W6*1000)</f>
        <v>41.838908899504183</v>
      </c>
      <c r="X40" s="116">
        <f>IF(X11=0,0,X11/TrRail_act!X6*1000)</f>
        <v>32.014836936902178</v>
      </c>
      <c r="Y40" s="116">
        <f>IF(Y11=0,0,Y11/TrRail_act!Y6*1000)</f>
        <v>21.687532588292132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104.46801662030347</v>
      </c>
      <c r="C41" s="87">
        <f>IF(C12=0,0,C12/TrRail_act!C7*1000)</f>
        <v>103.82156883623564</v>
      </c>
      <c r="D41" s="87">
        <f>IF(D12=0,0,D12/TrRail_act!D7*1000)</f>
        <v>107.15568968874743</v>
      </c>
      <c r="E41" s="87">
        <f>IF(E12=0,0,E12/TrRail_act!E7*1000)</f>
        <v>101.4625337586169</v>
      </c>
      <c r="F41" s="87">
        <f>IF(F12=0,0,F12/TrRail_act!F7*1000)</f>
        <v>108.00827747760663</v>
      </c>
      <c r="G41" s="87">
        <f>IF(G12=0,0,G12/TrRail_act!G7*1000)</f>
        <v>95.499167823170851</v>
      </c>
      <c r="H41" s="87">
        <f>IF(H12=0,0,H12/TrRail_act!H7*1000)</f>
        <v>91.683888155062988</v>
      </c>
      <c r="I41" s="87">
        <f>IF(I12=0,0,I12/TrRail_act!I7*1000)</f>
        <v>76.373381297894355</v>
      </c>
      <c r="J41" s="87">
        <f>IF(J12=0,0,J12/TrRail_act!J7*1000)</f>
        <v>70.537621058432961</v>
      </c>
      <c r="K41" s="87">
        <f>IF(K12=0,0,K12/TrRail_act!K7*1000)</f>
        <v>63.825100018385541</v>
      </c>
      <c r="L41" s="87">
        <f>IF(L12=0,0,L12/TrRail_act!L7*1000)</f>
        <v>65.531763336606758</v>
      </c>
      <c r="M41" s="87">
        <f>IF(M12=0,0,M12/TrRail_act!M7*1000)</f>
        <v>74.271155060929374</v>
      </c>
      <c r="N41" s="87">
        <f>IF(N12=0,0,N12/TrRail_act!N7*1000)</f>
        <v>95.744458596829816</v>
      </c>
      <c r="O41" s="87">
        <f>IF(O12=0,0,O12/TrRail_act!O7*1000)</f>
        <v>102.14164543143217</v>
      </c>
      <c r="P41" s="87">
        <f>IF(P12=0,0,P12/TrRail_act!P7*1000)</f>
        <v>89.609586063012429</v>
      </c>
      <c r="Q41" s="87">
        <f>IF(Q12=0,0,Q12/TrRail_act!Q7*1000)</f>
        <v>80.634973935841217</v>
      </c>
      <c r="R41" s="87">
        <f>IF(R12=0,0,R12/TrRail_act!R7*1000)</f>
        <v>91.569836064443919</v>
      </c>
      <c r="S41" s="87">
        <f>IF(S12=0,0,S12/TrRail_act!S7*1000)</f>
        <v>101.91974804797394</v>
      </c>
      <c r="T41" s="87">
        <f>IF(T12=0,0,T12/TrRail_act!T7*1000)</f>
        <v>98.077473202747711</v>
      </c>
      <c r="U41" s="87">
        <f>IF(U12=0,0,U12/TrRail_act!U7*1000)</f>
        <v>101.23595474237911</v>
      </c>
      <c r="V41" s="87">
        <f>IF(V12=0,0,V12/TrRail_act!V7*1000)</f>
        <v>128.38476293804752</v>
      </c>
      <c r="W41" s="87">
        <f>IF(W12=0,0,W12/TrRail_act!W7*1000)</f>
        <v>123.38818446568908</v>
      </c>
      <c r="X41" s="87">
        <f>IF(X12=0,0,X12/TrRail_act!X7*1000)</f>
        <v>107.73081317739897</v>
      </c>
      <c r="Y41" s="87">
        <f>IF(Y12=0,0,Y12/TrRail_act!Y7*1000)</f>
        <v>89.175501185002588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13.752240240982937</v>
      </c>
      <c r="C44" s="29">
        <f>IF(C15=0,0,C15/TrRail_act!C10*1000)</f>
        <v>14.754287293014805</v>
      </c>
      <c r="D44" s="29">
        <f>IF(D15=0,0,D15/TrRail_act!D10*1000)</f>
        <v>14.167559358586674</v>
      </c>
      <c r="E44" s="29">
        <f>IF(E15=0,0,E15/TrRail_act!E10*1000)</f>
        <v>14.202313023393824</v>
      </c>
      <c r="F44" s="29">
        <f>IF(F15=0,0,F15/TrRail_act!F10*1000)</f>
        <v>14.913381837084524</v>
      </c>
      <c r="G44" s="29">
        <f>IF(G15=0,0,G15/TrRail_act!G10*1000)</f>
        <v>14.65623939627034</v>
      </c>
      <c r="H44" s="29">
        <f>IF(H15=0,0,H15/TrRail_act!H10*1000)</f>
        <v>13.133627300542548</v>
      </c>
      <c r="I44" s="29">
        <f>IF(I15=0,0,I15/TrRail_act!I10*1000)</f>
        <v>13.290678416499924</v>
      </c>
      <c r="J44" s="29">
        <f>IF(J15=0,0,J15/TrRail_act!J10*1000)</f>
        <v>12.793739145661323</v>
      </c>
      <c r="K44" s="29">
        <f>IF(K15=0,0,K15/TrRail_act!K10*1000)</f>
        <v>13.174119883493669</v>
      </c>
      <c r="L44" s="29">
        <f>IF(L15=0,0,L15/TrRail_act!L10*1000)</f>
        <v>13.987931529975647</v>
      </c>
      <c r="M44" s="29">
        <f>IF(M15=0,0,M15/TrRail_act!M10*1000)</f>
        <v>13.48976812536295</v>
      </c>
      <c r="N44" s="29">
        <f>IF(N15=0,0,N15/TrRail_act!N10*1000)</f>
        <v>13.009966433389375</v>
      </c>
      <c r="O44" s="29">
        <f>IF(O15=0,0,O15/TrRail_act!O10*1000)</f>
        <v>14.436026910418351</v>
      </c>
      <c r="P44" s="29">
        <f>IF(P15=0,0,P15/TrRail_act!P10*1000)</f>
        <v>13.275218156422117</v>
      </c>
      <c r="Q44" s="29">
        <f>IF(Q15=0,0,Q15/TrRail_act!Q10*1000)</f>
        <v>10.556349706947161</v>
      </c>
      <c r="R44" s="29">
        <f>IF(R15=0,0,R15/TrRail_act!R10*1000)</f>
        <v>11.050426745716264</v>
      </c>
      <c r="S44" s="29">
        <f>IF(S15=0,0,S15/TrRail_act!S10*1000)</f>
        <v>8.9762097027423469</v>
      </c>
      <c r="T44" s="29">
        <f>IF(T15=0,0,T15/TrRail_act!T10*1000)</f>
        <v>6.8962491708493658</v>
      </c>
      <c r="U44" s="29">
        <f>IF(U15=0,0,U15/TrRail_act!U10*1000)</f>
        <v>6.4643471825916654</v>
      </c>
      <c r="V44" s="29">
        <f>IF(V15=0,0,V15/TrRail_act!V10*1000)</f>
        <v>6.2571958536372918</v>
      </c>
      <c r="W44" s="29">
        <f>IF(W15=0,0,W15/TrRail_act!W10*1000)</f>
        <v>7.171364455254337</v>
      </c>
      <c r="X44" s="29">
        <f>IF(X15=0,0,X15/TrRail_act!X10*1000)</f>
        <v>5.8165569983665169</v>
      </c>
      <c r="Y44" s="29">
        <f>IF(Y15=0,0,Y15/TrRail_act!Y10*1000)</f>
        <v>4.3011243447282617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26.442588175601813</v>
      </c>
      <c r="C45" s="87">
        <f>IF(C16=0,0,C16/TrRail_act!C11*1000)</f>
        <v>29.792654060894296</v>
      </c>
      <c r="D45" s="87">
        <f>IF(D16=0,0,D16/TrRail_act!D11*1000)</f>
        <v>29.077527429278238</v>
      </c>
      <c r="E45" s="87">
        <f>IF(E16=0,0,E16/TrRail_act!E11*1000)</f>
        <v>29.561678841839431</v>
      </c>
      <c r="F45" s="87">
        <f>IF(F16=0,0,F16/TrRail_act!F11*1000)</f>
        <v>32.160393616972101</v>
      </c>
      <c r="G45" s="87">
        <f>IF(G16=0,0,G16/TrRail_act!G11*1000)</f>
        <v>31.103053072015314</v>
      </c>
      <c r="H45" s="87">
        <f>IF(H16=0,0,H16/TrRail_act!H11*1000)</f>
        <v>27.68608753238064</v>
      </c>
      <c r="I45" s="87">
        <f>IF(I16=0,0,I16/TrRail_act!I11*1000)</f>
        <v>28.187808325590989</v>
      </c>
      <c r="J45" s="87">
        <f>IF(J16=0,0,J16/TrRail_act!J11*1000)</f>
        <v>26.455709830369138</v>
      </c>
      <c r="K45" s="87">
        <f>IF(K16=0,0,K16/TrRail_act!K11*1000)</f>
        <v>26.366291048391414</v>
      </c>
      <c r="L45" s="87">
        <f>IF(L16=0,0,L16/TrRail_act!L11*1000)</f>
        <v>28.408809507557955</v>
      </c>
      <c r="M45" s="87">
        <f>IF(M16=0,0,M16/TrRail_act!M11*1000)</f>
        <v>28.918092270721136</v>
      </c>
      <c r="N45" s="87">
        <f>IF(N16=0,0,N16/TrRail_act!N11*1000)</f>
        <v>27.946581905272645</v>
      </c>
      <c r="O45" s="87">
        <f>IF(O16=0,0,O16/TrRail_act!O11*1000)</f>
        <v>31.461473092212625</v>
      </c>
      <c r="P45" s="87">
        <f>IF(P16=0,0,P16/TrRail_act!P11*1000)</f>
        <v>27.81213060043806</v>
      </c>
      <c r="Q45" s="87">
        <f>IF(Q16=0,0,Q16/TrRail_act!Q11*1000)</f>
        <v>24.313526130859355</v>
      </c>
      <c r="R45" s="87">
        <f>IF(R16=0,0,R16/TrRail_act!R11*1000)</f>
        <v>25.623028166069073</v>
      </c>
      <c r="S45" s="87">
        <f>IF(S16=0,0,S16/TrRail_act!S11*1000)</f>
        <v>21.593574852040287</v>
      </c>
      <c r="T45" s="87">
        <f>IF(T16=0,0,T16/TrRail_act!T11*1000)</f>
        <v>18.633379522302512</v>
      </c>
      <c r="U45" s="87">
        <f>IF(U16=0,0,U16/TrRail_act!U11*1000)</f>
        <v>17.827110475930645</v>
      </c>
      <c r="V45" s="87">
        <f>IF(V16=0,0,V16/TrRail_act!V11*1000)</f>
        <v>17.28516697679548</v>
      </c>
      <c r="W45" s="87">
        <f>IF(W16=0,0,W16/TrRail_act!W11*1000)</f>
        <v>19.744197700062475</v>
      </c>
      <c r="X45" s="87">
        <f>IF(X16=0,0,X16/TrRail_act!X11*1000)</f>
        <v>15.874566345943794</v>
      </c>
      <c r="Y45" s="87">
        <f>IF(Y16=0,0,Y16/TrRail_act!Y11*1000)</f>
        <v>13.029924020935866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514.80672376106043</v>
      </c>
      <c r="C48" s="62">
        <f>IF(C8=0,0,1000000*C8/TrRail_act!C25/1000)</f>
        <v>517.02513794573758</v>
      </c>
      <c r="D48" s="62">
        <f>IF(D8=0,0,1000000*D8/TrRail_act!D25/1000)</f>
        <v>501.96775818377262</v>
      </c>
      <c r="E48" s="62">
        <f>IF(E8=0,0,1000000*E8/TrRail_act!E25/1000)</f>
        <v>496.96904426375585</v>
      </c>
      <c r="F48" s="62">
        <f>IF(F8=0,0,1000000*F8/TrRail_act!F25/1000)</f>
        <v>525.90342916004761</v>
      </c>
      <c r="G48" s="62">
        <f>IF(G8=0,0,1000000*G8/TrRail_act!G25/1000)</f>
        <v>520.92289543862876</v>
      </c>
      <c r="H48" s="62">
        <f>IF(H8=0,0,1000000*H8/TrRail_act!H25/1000)</f>
        <v>512.43558721789827</v>
      </c>
      <c r="I48" s="62">
        <f>IF(I8=0,0,1000000*I8/TrRail_act!I25/1000)</f>
        <v>491.45311099933173</v>
      </c>
      <c r="J48" s="62">
        <f>IF(J8=0,0,1000000*J8/TrRail_act!J25/1000)</f>
        <v>475.49907885789264</v>
      </c>
      <c r="K48" s="62">
        <f>IF(K8=0,0,1000000*K8/TrRail_act!K25/1000)</f>
        <v>428.07260919387335</v>
      </c>
      <c r="L48" s="62">
        <f>IF(L8=0,0,1000000*L8/TrRail_act!L25/1000)</f>
        <v>441.58986236039533</v>
      </c>
      <c r="M48" s="62">
        <f>IF(M8=0,0,1000000*M8/TrRail_act!M25/1000)</f>
        <v>424.57819864507013</v>
      </c>
      <c r="N48" s="62">
        <f>IF(N8=0,0,1000000*N8/TrRail_act!N25/1000)</f>
        <v>407.41694486104655</v>
      </c>
      <c r="O48" s="62">
        <f>IF(O8=0,0,1000000*O8/TrRail_act!O25/1000)</f>
        <v>400.84441613899168</v>
      </c>
      <c r="P48" s="62">
        <f>IF(P8=0,0,1000000*P8/TrRail_act!P25/1000)</f>
        <v>360.47062003779877</v>
      </c>
      <c r="Q48" s="62">
        <f>IF(Q8=0,0,1000000*Q8/TrRail_act!Q25/1000)</f>
        <v>313.71222881167381</v>
      </c>
      <c r="R48" s="62">
        <f>IF(R8=0,0,1000000*R8/TrRail_act!R25/1000)</f>
        <v>311.30781441190862</v>
      </c>
      <c r="S48" s="62">
        <f>IF(S8=0,0,1000000*S8/TrRail_act!S25/1000)</f>
        <v>300.43606344415048</v>
      </c>
      <c r="T48" s="62">
        <f>IF(T8=0,0,1000000*T8/TrRail_act!T25/1000)</f>
        <v>257.04785395350495</v>
      </c>
      <c r="U48" s="62">
        <f>IF(U8=0,0,1000000*U8/TrRail_act!U25/1000)</f>
        <v>246.33972958014337</v>
      </c>
      <c r="V48" s="62">
        <f>IF(V8=0,0,1000000*V8/TrRail_act!V25/1000)</f>
        <v>245.72056550511684</v>
      </c>
      <c r="W48" s="62">
        <f>IF(W8=0,0,1000000*W8/TrRail_act!W25/1000)</f>
        <v>252.15763761925831</v>
      </c>
      <c r="X48" s="62">
        <f>IF(X8=0,0,1000000*X8/TrRail_act!X25/1000)</f>
        <v>263.33080774074898</v>
      </c>
      <c r="Y48" s="62">
        <f>IF(Y8=0,0,1000000*Y8/TrRail_act!Y25/1000)</f>
        <v>223.74631447719969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415.18231294352904</v>
      </c>
      <c r="C49" s="29">
        <f>IF(C9=0,0,1000000*C9/TrRail_act!C26/1000)</f>
        <v>387.22655120749135</v>
      </c>
      <c r="D49" s="29">
        <f>IF(D9=0,0,1000000*D9/TrRail_act!D26/1000)</f>
        <v>375.25072295188863</v>
      </c>
      <c r="E49" s="29">
        <f>IF(E9=0,0,1000000*E9/TrRail_act!E26/1000)</f>
        <v>350.81048391883098</v>
      </c>
      <c r="F49" s="29">
        <f>IF(F9=0,0,1000000*F9/TrRail_act!F26/1000)</f>
        <v>376.5709140315754</v>
      </c>
      <c r="G49" s="29">
        <f>IF(G9=0,0,1000000*G9/TrRail_act!G26/1000)</f>
        <v>359.00606610758223</v>
      </c>
      <c r="H49" s="29">
        <f>IF(H9=0,0,1000000*H9/TrRail_act!H26/1000)</f>
        <v>351.44838591043373</v>
      </c>
      <c r="I49" s="29">
        <f>IF(I9=0,0,1000000*I9/TrRail_act!I26/1000)</f>
        <v>318.92648146880498</v>
      </c>
      <c r="J49" s="29">
        <f>IF(J9=0,0,1000000*J9/TrRail_act!J26/1000)</f>
        <v>327.71700601034672</v>
      </c>
      <c r="K49" s="29">
        <f>IF(K9=0,0,1000000*K9/TrRail_act!K26/1000)</f>
        <v>304.77444898033889</v>
      </c>
      <c r="L49" s="29">
        <f>IF(L9=0,0,1000000*L9/TrRail_act!L26/1000)</f>
        <v>303.75126078997539</v>
      </c>
      <c r="M49" s="29">
        <f>IF(M9=0,0,1000000*M9/TrRail_act!M26/1000)</f>
        <v>300.68473735674633</v>
      </c>
      <c r="N49" s="29">
        <f>IF(N9=0,0,1000000*N9/TrRail_act!N26/1000)</f>
        <v>289.53930477890532</v>
      </c>
      <c r="O49" s="29">
        <f>IF(O9=0,0,1000000*O9/TrRail_act!O26/1000)</f>
        <v>281.69808685916689</v>
      </c>
      <c r="P49" s="29">
        <f>IF(P9=0,0,1000000*P9/TrRail_act!P26/1000)</f>
        <v>241.74577554674482</v>
      </c>
      <c r="Q49" s="29">
        <f>IF(Q9=0,0,1000000*Q9/TrRail_act!Q26/1000)</f>
        <v>217.99328907971875</v>
      </c>
      <c r="R49" s="29">
        <f>IF(R9=0,0,1000000*R9/TrRail_act!R26/1000)</f>
        <v>213.02892466688459</v>
      </c>
      <c r="S49" s="29">
        <f>IF(S9=0,0,1000000*S9/TrRail_act!S26/1000)</f>
        <v>209.57415200753414</v>
      </c>
      <c r="T49" s="29">
        <f>IF(T9=0,0,1000000*T9/TrRail_act!T26/1000)</f>
        <v>182.94876509950757</v>
      </c>
      <c r="U49" s="29">
        <f>IF(U9=0,0,1000000*U9/TrRail_act!U26/1000)</f>
        <v>172.17381893103314</v>
      </c>
      <c r="V49" s="29">
        <f>IF(V9=0,0,1000000*V9/TrRail_act!V26/1000)</f>
        <v>155.32308449442797</v>
      </c>
      <c r="W49" s="29">
        <f>IF(W9=0,0,1000000*W9/TrRail_act!W26/1000)</f>
        <v>152.76874847028716</v>
      </c>
      <c r="X49" s="29">
        <f>IF(X9=0,0,1000000*X9/TrRail_act!X26/1000)</f>
        <v>177.71459620481707</v>
      </c>
      <c r="Y49" s="29">
        <f>IF(Y9=0,0,1000000*Y9/TrRail_act!Y26/1000)</f>
        <v>173.56184810986883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677.56517646915961</v>
      </c>
      <c r="C51" s="116">
        <f>IF(C11=0,0,1000000*C11/TrRail_act!C28/1000)</f>
        <v>648.10156710399428</v>
      </c>
      <c r="D51" s="116">
        <f>IF(D11=0,0,1000000*D11/TrRail_act!D28/1000)</f>
        <v>625.09178211080962</v>
      </c>
      <c r="E51" s="116">
        <f>IF(E11=0,0,1000000*E11/TrRail_act!E28/1000)</f>
        <v>603.53396553654886</v>
      </c>
      <c r="F51" s="116">
        <f>IF(F11=0,0,1000000*F11/TrRail_act!F28/1000)</f>
        <v>625.28431235895619</v>
      </c>
      <c r="G51" s="116">
        <f>IF(G11=0,0,1000000*G11/TrRail_act!G28/1000)</f>
        <v>591.15729272341184</v>
      </c>
      <c r="H51" s="116">
        <f>IF(H11=0,0,1000000*H11/TrRail_act!H28/1000)</f>
        <v>578.14765313634541</v>
      </c>
      <c r="I51" s="116">
        <f>IF(I11=0,0,1000000*I11/TrRail_act!I28/1000)</f>
        <v>558.32495284946356</v>
      </c>
      <c r="J51" s="116">
        <f>IF(J11=0,0,1000000*J11/TrRail_act!J28/1000)</f>
        <v>542.24072481776045</v>
      </c>
      <c r="K51" s="116">
        <f>IF(K11=0,0,1000000*K11/TrRail_act!K28/1000)</f>
        <v>493.11057000871642</v>
      </c>
      <c r="L51" s="116">
        <f>IF(L11=0,0,1000000*L11/TrRail_act!L28/1000)</f>
        <v>485.30097763919423</v>
      </c>
      <c r="M51" s="116">
        <f>IF(M11=0,0,1000000*M11/TrRail_act!M28/1000)</f>
        <v>468.9497218304399</v>
      </c>
      <c r="N51" s="116">
        <f>IF(N11=0,0,1000000*N11/TrRail_act!N28/1000)</f>
        <v>456.75397977071532</v>
      </c>
      <c r="O51" s="116">
        <f>IF(O11=0,0,1000000*O11/TrRail_act!O28/1000)</f>
        <v>454.80714711394654</v>
      </c>
      <c r="P51" s="116">
        <f>IF(P11=0,0,1000000*P11/TrRail_act!P28/1000)</f>
        <v>417.49512577359866</v>
      </c>
      <c r="Q51" s="116">
        <f>IF(Q11=0,0,1000000*Q11/TrRail_act!Q28/1000)</f>
        <v>389.96123665867395</v>
      </c>
      <c r="R51" s="116">
        <f>IF(R11=0,0,1000000*R11/TrRail_act!R28/1000)</f>
        <v>389.22694958184405</v>
      </c>
      <c r="S51" s="116">
        <f>IF(S11=0,0,1000000*S11/TrRail_act!S28/1000)</f>
        <v>379.92901218986907</v>
      </c>
      <c r="T51" s="116">
        <f>IF(T11=0,0,1000000*T11/TrRail_act!T28/1000)</f>
        <v>321.11435267257121</v>
      </c>
      <c r="U51" s="116">
        <f>IF(U11=0,0,1000000*U11/TrRail_act!U28/1000)</f>
        <v>319.67149903143644</v>
      </c>
      <c r="V51" s="116">
        <f>IF(V11=0,0,1000000*V11/TrRail_act!V28/1000)</f>
        <v>292.6374325032628</v>
      </c>
      <c r="W51" s="116">
        <f>IF(W11=0,0,1000000*W11/TrRail_act!W28/1000)</f>
        <v>256.24808769264354</v>
      </c>
      <c r="X51" s="116">
        <f>IF(X11=0,0,1000000*X11/TrRail_act!X28/1000)</f>
        <v>281.17292627628836</v>
      </c>
      <c r="Y51" s="116">
        <f>IF(Y11=0,0,1000000*Y11/TrRail_act!Y28/1000)</f>
        <v>261.94262020743952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1341.1914213118034</v>
      </c>
      <c r="C52" s="87">
        <f>IF(C12=0,0,1000000*C12/TrRail_act!C29/1000)</f>
        <v>1292.7175849229061</v>
      </c>
      <c r="D52" s="87">
        <f>IF(D12=0,0,1000000*D12/TrRail_act!D29/1000)</f>
        <v>1251.9676575767865</v>
      </c>
      <c r="E52" s="87">
        <f>IF(E12=0,0,1000000*E12/TrRail_act!E29/1000)</f>
        <v>1208.1781230962854</v>
      </c>
      <c r="F52" s="87">
        <f>IF(F12=0,0,1000000*F12/TrRail_act!F29/1000)</f>
        <v>1173.4689387682818</v>
      </c>
      <c r="G52" s="87">
        <f>IF(G12=0,0,1000000*G12/TrRail_act!G29/1000)</f>
        <v>1140.1417395779652</v>
      </c>
      <c r="H52" s="87">
        <f>IF(H12=0,0,1000000*H12/TrRail_act!H29/1000)</f>
        <v>1110.2024223635892</v>
      </c>
      <c r="I52" s="87">
        <f>IF(I12=0,0,1000000*I12/TrRail_act!I29/1000)</f>
        <v>1080.0747238025479</v>
      </c>
      <c r="J52" s="87">
        <f>IF(J12=0,0,1000000*J12/TrRail_act!J29/1000)</f>
        <v>1047.6818676703037</v>
      </c>
      <c r="K52" s="87">
        <f>IF(K12=0,0,1000000*K12/TrRail_act!K29/1000)</f>
        <v>1018.0623315218543</v>
      </c>
      <c r="L52" s="87">
        <f>IF(L12=0,0,1000000*L12/TrRail_act!L29/1000)</f>
        <v>1005.6839112517921</v>
      </c>
      <c r="M52" s="87">
        <f>IF(M12=0,0,1000000*M12/TrRail_act!M29/1000)</f>
        <v>993.91068403832458</v>
      </c>
      <c r="N52" s="87">
        <f>IF(N12=0,0,1000000*N12/TrRail_act!N29/1000)</f>
        <v>981.60156843840787</v>
      </c>
      <c r="O52" s="87">
        <f>IF(O12=0,0,1000000*O12/TrRail_act!O29/1000)</f>
        <v>937.92982536022396</v>
      </c>
      <c r="P52" s="87">
        <f>IF(P12=0,0,1000000*P12/TrRail_act!P29/1000)</f>
        <v>864.52207812386382</v>
      </c>
      <c r="Q52" s="87">
        <f>IF(Q12=0,0,1000000*Q12/TrRail_act!Q29/1000)</f>
        <v>852.05081059082772</v>
      </c>
      <c r="R52" s="87">
        <f>IF(R12=0,0,1000000*R12/TrRail_act!R29/1000)</f>
        <v>843.71908191037585</v>
      </c>
      <c r="S52" s="87">
        <f>IF(S12=0,0,1000000*S12/TrRail_act!S29/1000)</f>
        <v>826.71517042382754</v>
      </c>
      <c r="T52" s="87">
        <f>IF(T12=0,0,1000000*T12/TrRail_act!T29/1000)</f>
        <v>795.68842150063358</v>
      </c>
      <c r="U52" s="87">
        <f>IF(U12=0,0,1000000*U12/TrRail_act!U29/1000)</f>
        <v>804.91647369110638</v>
      </c>
      <c r="V52" s="87">
        <f>IF(V12=0,0,1000000*V12/TrRail_act!V29/1000)</f>
        <v>762.1070900499725</v>
      </c>
      <c r="W52" s="87">
        <f>IF(W12=0,0,1000000*W12/TrRail_act!W29/1000)</f>
        <v>792.90827286861349</v>
      </c>
      <c r="X52" s="87">
        <f>IF(X12=0,0,1000000*X12/TrRail_act!X29/1000)</f>
        <v>789.08666823773126</v>
      </c>
      <c r="Y52" s="87">
        <f>IF(Y12=0,0,1000000*Y12/TrRail_act!Y29/1000)</f>
        <v>786.23256077412543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1267.7313265459186</v>
      </c>
      <c r="C55" s="29">
        <f>IF(C15=0,0,1000000*C15/TrRail_act!C32/1000)</f>
        <v>1418.4371685905808</v>
      </c>
      <c r="D55" s="29">
        <f>IF(D15=0,0,1000000*D15/TrRail_act!D32/1000)</f>
        <v>1320.1679930611681</v>
      </c>
      <c r="E55" s="29">
        <f>IF(E15=0,0,1000000*E15/TrRail_act!E32/1000)</f>
        <v>1338.1871909423762</v>
      </c>
      <c r="F55" s="29">
        <f>IF(F15=0,0,1000000*F15/TrRail_act!F32/1000)</f>
        <v>1370.0257805659887</v>
      </c>
      <c r="G55" s="29">
        <f>IF(G15=0,0,1000000*G15/TrRail_act!G32/1000)</f>
        <v>1349.2771291928927</v>
      </c>
      <c r="H55" s="29">
        <f>IF(H15=0,0,1000000*H15/TrRail_act!H32/1000)</f>
        <v>1316.1961558969097</v>
      </c>
      <c r="I55" s="29">
        <f>IF(I15=0,0,1000000*I15/TrRail_act!I32/1000)</f>
        <v>1397.8893282663798</v>
      </c>
      <c r="J55" s="29">
        <f>IF(J15=0,0,1000000*J15/TrRail_act!J32/1000)</f>
        <v>1309.7258218663405</v>
      </c>
      <c r="K55" s="29">
        <f>IF(K15=0,0,1000000*K15/TrRail_act!K32/1000)</f>
        <v>1144.017602430484</v>
      </c>
      <c r="L55" s="29">
        <f>IF(L15=0,0,1000000*L15/TrRail_act!L32/1000)</f>
        <v>1241.4542396100969</v>
      </c>
      <c r="M55" s="29">
        <f>IF(M15=0,0,1000000*M15/TrRail_act!M32/1000)</f>
        <v>1162.3731135726157</v>
      </c>
      <c r="N55" s="29">
        <f>IF(N15=0,0,1000000*N15/TrRail_act!N32/1000)</f>
        <v>1151.207296129867</v>
      </c>
      <c r="O55" s="29">
        <f>IF(O15=0,0,1000000*O15/TrRail_act!O32/1000)</f>
        <v>1125.5492810073342</v>
      </c>
      <c r="P55" s="29">
        <f>IF(P15=0,0,1000000*P15/TrRail_act!P32/1000)</f>
        <v>1089.7115325948239</v>
      </c>
      <c r="Q55" s="29">
        <f>IF(Q15=0,0,1000000*Q15/TrRail_act!Q32/1000)</f>
        <v>885.8325518193268</v>
      </c>
      <c r="R55" s="29">
        <f>IF(R15=0,0,1000000*R15/TrRail_act!R32/1000)</f>
        <v>864.05929686531158</v>
      </c>
      <c r="S55" s="29">
        <f>IF(S15=0,0,1000000*S15/TrRail_act!S32/1000)</f>
        <v>759.43111150792663</v>
      </c>
      <c r="T55" s="29">
        <f>IF(T15=0,0,1000000*T15/TrRail_act!T32/1000)</f>
        <v>628.61443696299477</v>
      </c>
      <c r="U55" s="29">
        <f>IF(U15=0,0,1000000*U15/TrRail_act!U32/1000)</f>
        <v>624.00378640960753</v>
      </c>
      <c r="V55" s="29">
        <f>IF(V15=0,0,1000000*V15/TrRail_act!V32/1000)</f>
        <v>633.28388030511587</v>
      </c>
      <c r="W55" s="29">
        <f>IF(W15=0,0,1000000*W15/TrRail_act!W32/1000)</f>
        <v>707.85134167625358</v>
      </c>
      <c r="X55" s="29">
        <f>IF(X15=0,0,1000000*X15/TrRail_act!X32/1000)</f>
        <v>675.43284148293458</v>
      </c>
      <c r="Y55" s="29">
        <f>IF(Y15=0,0,1000000*Y15/TrRail_act!Y32/1000)</f>
        <v>475.45483068729851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3439.5956627277101</v>
      </c>
      <c r="C56" s="87">
        <f>IF(C16=0,0,1000000*C16/TrRail_act!C33/1000)</f>
        <v>3401.3311312085261</v>
      </c>
      <c r="D56" s="87">
        <f>IF(D16=0,0,1000000*D16/TrRail_act!D33/1000)</f>
        <v>3374.8132536274161</v>
      </c>
      <c r="E56" s="87">
        <f>IF(E16=0,0,1000000*E16/TrRail_act!E33/1000)</f>
        <v>3338.2907496997282</v>
      </c>
      <c r="F56" s="87">
        <f>IF(F16=0,0,1000000*F16/TrRail_act!F33/1000)</f>
        <v>3316.9315270842339</v>
      </c>
      <c r="G56" s="87">
        <f>IF(G16=0,0,1000000*G16/TrRail_act!G33/1000)</f>
        <v>3242.5781594279965</v>
      </c>
      <c r="H56" s="87">
        <f>IF(H16=0,0,1000000*H16/TrRail_act!H33/1000)</f>
        <v>3221.6424322124717</v>
      </c>
      <c r="I56" s="87">
        <f>IF(I16=0,0,1000000*I16/TrRail_act!I33/1000)</f>
        <v>3202.342308684727</v>
      </c>
      <c r="J56" s="87">
        <f>IF(J16=0,0,1000000*J16/TrRail_act!J33/1000)</f>
        <v>3001.2747331089695</v>
      </c>
      <c r="K56" s="87">
        <f>IF(K16=0,0,1000000*K16/TrRail_act!K33/1000)</f>
        <v>2595.8210043658878</v>
      </c>
      <c r="L56" s="87">
        <f>IF(L16=0,0,1000000*L16/TrRail_act!L33/1000)</f>
        <v>2886.1032469150878</v>
      </c>
      <c r="M56" s="87">
        <f>IF(M16=0,0,1000000*M16/TrRail_act!M33/1000)</f>
        <v>2746.7027544932098</v>
      </c>
      <c r="N56" s="87">
        <f>IF(N16=0,0,1000000*N16/TrRail_act!N33/1000)</f>
        <v>2694.7210412314189</v>
      </c>
      <c r="O56" s="87">
        <f>IF(O16=0,0,1000000*O16/TrRail_act!O33/1000)</f>
        <v>2856.0194568752268</v>
      </c>
      <c r="P56" s="87">
        <f>IF(P16=0,0,1000000*P16/TrRail_act!P33/1000)</f>
        <v>2855.2530595521298</v>
      </c>
      <c r="Q56" s="87">
        <f>IF(Q16=0,0,1000000*Q16/TrRail_act!Q33/1000)</f>
        <v>2523.2087196904049</v>
      </c>
      <c r="R56" s="87">
        <f>IF(R16=0,0,1000000*R16/TrRail_act!R33/1000)</f>
        <v>2668.7402351780825</v>
      </c>
      <c r="S56" s="87">
        <f>IF(S16=0,0,1000000*S16/TrRail_act!S33/1000)</f>
        <v>2617.3310975654604</v>
      </c>
      <c r="T56" s="87">
        <f>IF(T16=0,0,1000000*T16/TrRail_act!T33/1000)</f>
        <v>2314.088114932641</v>
      </c>
      <c r="U56" s="87">
        <f>IF(U16=0,0,1000000*U16/TrRail_act!U33/1000)</f>
        <v>2522.6252334615715</v>
      </c>
      <c r="V56" s="87">
        <f>IF(V16=0,0,1000000*V16/TrRail_act!V33/1000)</f>
        <v>2510.0083266815236</v>
      </c>
      <c r="W56" s="87">
        <f>IF(W16=0,0,1000000*W16/TrRail_act!W33/1000)</f>
        <v>2489.6965399879537</v>
      </c>
      <c r="X56" s="87">
        <f>IF(X16=0,0,1000000*X16/TrRail_act!X33/1000)</f>
        <v>2437.3200901559253</v>
      </c>
      <c r="Y56" s="87">
        <f>IF(Y16=0,0,1000000*Y16/TrRail_act!Y33/1000)</f>
        <v>1755.1798641520597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0.71224066483219406</v>
      </c>
      <c r="C60" s="31">
        <f t="shared" ref="C60:V60" si="13">IF(C9=0,0,C9/C$8)</f>
        <v>0.65468055697430705</v>
      </c>
      <c r="D60" s="31">
        <f t="shared" si="13"/>
        <v>0.64730882494951314</v>
      </c>
      <c r="E60" s="31">
        <f t="shared" si="13"/>
        <v>0.6014076954933425</v>
      </c>
      <c r="F60" s="31">
        <f t="shared" si="13"/>
        <v>0.60841236017065159</v>
      </c>
      <c r="G60" s="31">
        <f t="shared" si="13"/>
        <v>0.57648810239959358</v>
      </c>
      <c r="H60" s="31">
        <f t="shared" si="13"/>
        <v>0.5713933525187479</v>
      </c>
      <c r="I60" s="31">
        <f t="shared" si="13"/>
        <v>0.54517916778429176</v>
      </c>
      <c r="J60" s="31">
        <f t="shared" si="13"/>
        <v>0.58548802918740017</v>
      </c>
      <c r="K60" s="31">
        <f t="shared" si="13"/>
        <v>0.60736947894994886</v>
      </c>
      <c r="L60" s="31">
        <f t="shared" si="13"/>
        <v>0.58674588763950619</v>
      </c>
      <c r="M60" s="31">
        <f t="shared" si="13"/>
        <v>0.60637196928224846</v>
      </c>
      <c r="N60" s="31">
        <f t="shared" si="13"/>
        <v>0.61344978609004708</v>
      </c>
      <c r="O60" s="31">
        <f t="shared" si="13"/>
        <v>0.60353625923885468</v>
      </c>
      <c r="P60" s="31">
        <f t="shared" si="13"/>
        <v>0.57674220194725745</v>
      </c>
      <c r="Q60" s="31">
        <f t="shared" si="13"/>
        <v>0.59528796576596332</v>
      </c>
      <c r="R60" s="31">
        <f t="shared" si="13"/>
        <v>0.58100145332977171</v>
      </c>
      <c r="S60" s="31">
        <f t="shared" si="13"/>
        <v>0.58229616324648825</v>
      </c>
      <c r="T60" s="31">
        <f t="shared" si="13"/>
        <v>0.59339374692358504</v>
      </c>
      <c r="U60" s="31">
        <f t="shared" si="13"/>
        <v>0.5842023157552827</v>
      </c>
      <c r="V60" s="31">
        <f t="shared" si="13"/>
        <v>0.51256020710079864</v>
      </c>
      <c r="W60" s="31">
        <f t="shared" ref="W60:Y60" si="14">IF(W9=0,0,W9/W$8)</f>
        <v>0.4973679697608665</v>
      </c>
      <c r="X60" s="31">
        <f t="shared" si="14"/>
        <v>0.5587822785575477</v>
      </c>
      <c r="Y60" s="31">
        <f t="shared" si="14"/>
        <v>0.64676017068530245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0.71224066483219406</v>
      </c>
      <c r="C62" s="124">
        <f t="shared" ref="C62:V62" si="17">IF(C11=0,0,C11/C$8)</f>
        <v>0.65468055697430705</v>
      </c>
      <c r="D62" s="124">
        <f t="shared" si="17"/>
        <v>0.64730882494951314</v>
      </c>
      <c r="E62" s="124">
        <f t="shared" si="17"/>
        <v>0.6014076954933425</v>
      </c>
      <c r="F62" s="124">
        <f t="shared" si="17"/>
        <v>0.60841236017065159</v>
      </c>
      <c r="G62" s="124">
        <f t="shared" si="17"/>
        <v>0.57648810239959358</v>
      </c>
      <c r="H62" s="124">
        <f t="shared" si="17"/>
        <v>0.5713933525187479</v>
      </c>
      <c r="I62" s="124">
        <f t="shared" si="17"/>
        <v>0.54517916778429176</v>
      </c>
      <c r="J62" s="124">
        <f t="shared" si="17"/>
        <v>0.58548802918740017</v>
      </c>
      <c r="K62" s="124">
        <f t="shared" si="17"/>
        <v>0.60736947894994886</v>
      </c>
      <c r="L62" s="124">
        <f t="shared" si="17"/>
        <v>0.58674588763950619</v>
      </c>
      <c r="M62" s="124">
        <f t="shared" si="17"/>
        <v>0.60637196928224846</v>
      </c>
      <c r="N62" s="124">
        <f t="shared" si="17"/>
        <v>0.61344978609004708</v>
      </c>
      <c r="O62" s="124">
        <f t="shared" si="17"/>
        <v>0.60353625923885468</v>
      </c>
      <c r="P62" s="124">
        <f t="shared" si="17"/>
        <v>0.57674220194725745</v>
      </c>
      <c r="Q62" s="124">
        <f t="shared" si="17"/>
        <v>0.59528796576596332</v>
      </c>
      <c r="R62" s="124">
        <f t="shared" si="17"/>
        <v>0.58100145332977171</v>
      </c>
      <c r="S62" s="124">
        <f t="shared" si="17"/>
        <v>0.58229616324648825</v>
      </c>
      <c r="T62" s="124">
        <f t="shared" si="17"/>
        <v>0.59339374692358504</v>
      </c>
      <c r="U62" s="124">
        <f t="shared" si="17"/>
        <v>0.5842023157552827</v>
      </c>
      <c r="V62" s="124">
        <f t="shared" si="17"/>
        <v>0.51256020710079864</v>
      </c>
      <c r="W62" s="124">
        <f t="shared" ref="W62:Y62" si="18">IF(W11=0,0,W11/W$8)</f>
        <v>0.4973679697608665</v>
      </c>
      <c r="X62" s="124">
        <f t="shared" si="18"/>
        <v>0.5587822785575477</v>
      </c>
      <c r="Y62" s="124">
        <f t="shared" si="18"/>
        <v>0.64676017068530245</v>
      </c>
      <c r="DA62" s="176"/>
    </row>
    <row r="63" spans="1:105" ht="11.45" customHeight="1" x14ac:dyDescent="0.25">
      <c r="A63" s="111" t="s">
        <v>92</v>
      </c>
      <c r="B63" s="125">
        <f t="shared" si="10"/>
        <v>0.71224066483219406</v>
      </c>
      <c r="C63" s="125">
        <f t="shared" ref="C63:V63" si="19">IF(C12=0,0,C12/C$8)</f>
        <v>0.65468055697430705</v>
      </c>
      <c r="D63" s="125">
        <f t="shared" si="19"/>
        <v>0.64730882494951314</v>
      </c>
      <c r="E63" s="125">
        <f t="shared" si="19"/>
        <v>0.6014076954933425</v>
      </c>
      <c r="F63" s="125">
        <f t="shared" si="19"/>
        <v>0.60841236017065159</v>
      </c>
      <c r="G63" s="125">
        <f t="shared" si="19"/>
        <v>0.57648810239959358</v>
      </c>
      <c r="H63" s="125">
        <f t="shared" si="19"/>
        <v>0.5713933525187479</v>
      </c>
      <c r="I63" s="125">
        <f t="shared" si="19"/>
        <v>0.54517916778429176</v>
      </c>
      <c r="J63" s="125">
        <f t="shared" si="19"/>
        <v>0.58548802918740017</v>
      </c>
      <c r="K63" s="125">
        <f t="shared" si="19"/>
        <v>0.60736947894994886</v>
      </c>
      <c r="L63" s="125">
        <f t="shared" si="19"/>
        <v>0.58674588763950619</v>
      </c>
      <c r="M63" s="125">
        <f t="shared" si="19"/>
        <v>0.60637196928224846</v>
      </c>
      <c r="N63" s="125">
        <f t="shared" si="19"/>
        <v>0.61344978609004708</v>
      </c>
      <c r="O63" s="125">
        <f t="shared" si="19"/>
        <v>0.60353625923885468</v>
      </c>
      <c r="P63" s="125">
        <f t="shared" si="19"/>
        <v>0.57674220194725745</v>
      </c>
      <c r="Q63" s="125">
        <f t="shared" si="19"/>
        <v>0.59528796576596332</v>
      </c>
      <c r="R63" s="125">
        <f t="shared" si="19"/>
        <v>0.58100145332977171</v>
      </c>
      <c r="S63" s="125">
        <f t="shared" si="19"/>
        <v>0.58229616324648825</v>
      </c>
      <c r="T63" s="125">
        <f t="shared" si="19"/>
        <v>0.59339374692358504</v>
      </c>
      <c r="U63" s="125">
        <f t="shared" si="19"/>
        <v>0.5842023157552827</v>
      </c>
      <c r="V63" s="125">
        <f t="shared" si="19"/>
        <v>0.51256020710079864</v>
      </c>
      <c r="W63" s="125">
        <f t="shared" ref="W63:Y63" si="20">IF(W12=0,0,W12/W$8)</f>
        <v>0.4973679697608665</v>
      </c>
      <c r="X63" s="125">
        <f t="shared" si="20"/>
        <v>0.5587822785575477</v>
      </c>
      <c r="Y63" s="125">
        <f t="shared" si="20"/>
        <v>0.64676017068530245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0.28775933516780594</v>
      </c>
      <c r="C66" s="31">
        <f t="shared" ref="C66:V66" si="25">IF(C15=0,0,C15/C$8)</f>
        <v>0.3453194430256929</v>
      </c>
      <c r="D66" s="31">
        <f t="shared" si="25"/>
        <v>0.3526911750504868</v>
      </c>
      <c r="E66" s="31">
        <f t="shared" si="25"/>
        <v>0.39859230450665756</v>
      </c>
      <c r="F66" s="31">
        <f t="shared" si="25"/>
        <v>0.3915876398293483</v>
      </c>
      <c r="G66" s="31">
        <f t="shared" si="25"/>
        <v>0.42351189760040642</v>
      </c>
      <c r="H66" s="31">
        <f t="shared" si="25"/>
        <v>0.4286066474812521</v>
      </c>
      <c r="I66" s="31">
        <f t="shared" si="25"/>
        <v>0.45482083221570835</v>
      </c>
      <c r="J66" s="31">
        <f t="shared" si="25"/>
        <v>0.41451197081259977</v>
      </c>
      <c r="K66" s="31">
        <f t="shared" si="25"/>
        <v>0.39263052105005108</v>
      </c>
      <c r="L66" s="31">
        <f t="shared" si="25"/>
        <v>0.41325411236049375</v>
      </c>
      <c r="M66" s="31">
        <f t="shared" si="25"/>
        <v>0.3936280307177516</v>
      </c>
      <c r="N66" s="31">
        <f t="shared" si="25"/>
        <v>0.38655021390995281</v>
      </c>
      <c r="O66" s="31">
        <f t="shared" si="25"/>
        <v>0.39646374076114527</v>
      </c>
      <c r="P66" s="31">
        <f t="shared" si="25"/>
        <v>0.42325779805274261</v>
      </c>
      <c r="Q66" s="31">
        <f t="shared" si="25"/>
        <v>0.40471203423403662</v>
      </c>
      <c r="R66" s="31">
        <f t="shared" si="25"/>
        <v>0.41899854667022829</v>
      </c>
      <c r="S66" s="31">
        <f t="shared" si="25"/>
        <v>0.4177038367535118</v>
      </c>
      <c r="T66" s="31">
        <f t="shared" si="25"/>
        <v>0.40660625307641507</v>
      </c>
      <c r="U66" s="31">
        <f t="shared" si="25"/>
        <v>0.41579768424471725</v>
      </c>
      <c r="V66" s="31">
        <f t="shared" si="25"/>
        <v>0.48743979289920136</v>
      </c>
      <c r="W66" s="31">
        <f t="shared" ref="W66:Y66" si="26">IF(W15=0,0,W15/W$8)</f>
        <v>0.50263203023913361</v>
      </c>
      <c r="X66" s="31">
        <f t="shared" si="26"/>
        <v>0.4412177214424523</v>
      </c>
      <c r="Y66" s="31">
        <f t="shared" si="26"/>
        <v>0.35323982931469755</v>
      </c>
      <c r="DA66" s="173"/>
    </row>
    <row r="67" spans="1:105" ht="11.45" customHeight="1" x14ac:dyDescent="0.25">
      <c r="A67" s="83" t="s">
        <v>92</v>
      </c>
      <c r="B67" s="125">
        <f t="shared" si="10"/>
        <v>0.28775933516780594</v>
      </c>
      <c r="C67" s="125">
        <f t="shared" ref="C67:V67" si="27">IF(C16=0,0,C16/C$8)</f>
        <v>0.3453194430256929</v>
      </c>
      <c r="D67" s="125">
        <f t="shared" si="27"/>
        <v>0.3526911750504868</v>
      </c>
      <c r="E67" s="125">
        <f t="shared" si="27"/>
        <v>0.39859230450665756</v>
      </c>
      <c r="F67" s="125">
        <f t="shared" si="27"/>
        <v>0.3915876398293483</v>
      </c>
      <c r="G67" s="125">
        <f t="shared" si="27"/>
        <v>0.42351189760040642</v>
      </c>
      <c r="H67" s="125">
        <f t="shared" si="27"/>
        <v>0.4286066474812521</v>
      </c>
      <c r="I67" s="125">
        <f t="shared" si="27"/>
        <v>0.45482083221570835</v>
      </c>
      <c r="J67" s="125">
        <f t="shared" si="27"/>
        <v>0.41451197081259977</v>
      </c>
      <c r="K67" s="125">
        <f t="shared" si="27"/>
        <v>0.39263052105005108</v>
      </c>
      <c r="L67" s="125">
        <f t="shared" si="27"/>
        <v>0.41325411236049375</v>
      </c>
      <c r="M67" s="125">
        <f t="shared" si="27"/>
        <v>0.3936280307177516</v>
      </c>
      <c r="N67" s="125">
        <f t="shared" si="27"/>
        <v>0.38655021390995281</v>
      </c>
      <c r="O67" s="125">
        <f t="shared" si="27"/>
        <v>0.39646374076114527</v>
      </c>
      <c r="P67" s="125">
        <f t="shared" si="27"/>
        <v>0.42325779805274261</v>
      </c>
      <c r="Q67" s="125">
        <f t="shared" si="27"/>
        <v>0.40471203423403662</v>
      </c>
      <c r="R67" s="125">
        <f t="shared" si="27"/>
        <v>0.41899854667022829</v>
      </c>
      <c r="S67" s="125">
        <f t="shared" si="27"/>
        <v>0.4177038367535118</v>
      </c>
      <c r="T67" s="125">
        <f t="shared" si="27"/>
        <v>0.40660625307641507</v>
      </c>
      <c r="U67" s="125">
        <f t="shared" si="27"/>
        <v>0.41579768424471725</v>
      </c>
      <c r="V67" s="125">
        <f t="shared" si="27"/>
        <v>0.48743979289920136</v>
      </c>
      <c r="W67" s="125">
        <f t="shared" ref="W67:Y67" si="28">IF(W16=0,0,W16/W$8)</f>
        <v>0.50263203023913361</v>
      </c>
      <c r="X67" s="125">
        <f t="shared" si="28"/>
        <v>0.4412177214424523</v>
      </c>
      <c r="Y67" s="125">
        <f t="shared" si="28"/>
        <v>0.35323982931469755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1729.166508748428</v>
      </c>
      <c r="C4" s="11">
        <f t="shared" si="0"/>
        <v>1742.3729335317958</v>
      </c>
      <c r="D4" s="11">
        <f t="shared" ref="D4:V4" si="1">SUM(D5:D7)</f>
        <v>1669.5224191930072</v>
      </c>
      <c r="E4" s="11">
        <f t="shared" si="1"/>
        <v>1629.219548506901</v>
      </c>
      <c r="F4" s="11">
        <f t="shared" si="1"/>
        <v>1862.1317033110797</v>
      </c>
      <c r="G4" s="11">
        <f t="shared" si="1"/>
        <v>2312.8200158898139</v>
      </c>
      <c r="H4" s="11">
        <f t="shared" si="1"/>
        <v>2555.3519890447947</v>
      </c>
      <c r="I4" s="11">
        <f t="shared" si="1"/>
        <v>2626.8607139308037</v>
      </c>
      <c r="J4" s="11">
        <f t="shared" si="1"/>
        <v>2647.5043813493085</v>
      </c>
      <c r="K4" s="11">
        <f t="shared" si="1"/>
        <v>2564.1137051780006</v>
      </c>
      <c r="L4" s="11">
        <f t="shared" si="1"/>
        <v>2886.5044639219041</v>
      </c>
      <c r="M4" s="11">
        <f t="shared" si="1"/>
        <v>3037.5351755208558</v>
      </c>
      <c r="N4" s="11">
        <f t="shared" si="1"/>
        <v>3347.9116383030114</v>
      </c>
      <c r="O4" s="11">
        <f t="shared" si="1"/>
        <v>3544.0073904096826</v>
      </c>
      <c r="P4" s="11">
        <f t="shared" si="1"/>
        <v>3774.5315269211515</v>
      </c>
      <c r="Q4" s="11">
        <f t="shared" si="1"/>
        <v>4079.1679725876911</v>
      </c>
      <c r="R4" s="11">
        <f t="shared" si="1"/>
        <v>4774.9442266603737</v>
      </c>
      <c r="S4" s="11">
        <f t="shared" si="1"/>
        <v>5888.6888259390862</v>
      </c>
      <c r="T4" s="11">
        <f t="shared" si="1"/>
        <v>6742.8326397561868</v>
      </c>
      <c r="U4" s="11">
        <f t="shared" si="1"/>
        <v>7285.8860369492377</v>
      </c>
      <c r="V4" s="11">
        <f t="shared" si="1"/>
        <v>1134.9139198349028</v>
      </c>
      <c r="W4" s="11">
        <f t="shared" ref="W4:Y4" si="2">SUM(W5:W7)</f>
        <v>2737.427690255608</v>
      </c>
      <c r="X4" s="11">
        <f t="shared" si="2"/>
        <v>5887.6131817906198</v>
      </c>
      <c r="Y4" s="11">
        <f t="shared" si="2"/>
        <v>6721.5035569910715</v>
      </c>
      <c r="DA4" s="189" t="s">
        <v>190</v>
      </c>
    </row>
    <row r="5" spans="1:105" ht="11.45" customHeight="1" x14ac:dyDescent="0.25">
      <c r="A5" s="83" t="s">
        <v>27</v>
      </c>
      <c r="B5" s="84">
        <v>133.08350078286014</v>
      </c>
      <c r="C5" s="84">
        <v>132.38897354473085</v>
      </c>
      <c r="D5" s="84">
        <v>156.98094520218447</v>
      </c>
      <c r="E5" s="84">
        <v>173.73224543495138</v>
      </c>
      <c r="F5" s="84">
        <v>190.45982648776081</v>
      </c>
      <c r="G5" s="84">
        <v>193.89219005565789</v>
      </c>
      <c r="H5" s="84">
        <v>180.95634442824687</v>
      </c>
      <c r="I5" s="84">
        <v>188.54976275813473</v>
      </c>
      <c r="J5" s="84">
        <v>205.43643377730743</v>
      </c>
      <c r="K5" s="84">
        <v>187.6237415848361</v>
      </c>
      <c r="L5" s="84">
        <v>172.65617975120355</v>
      </c>
      <c r="M5" s="84">
        <v>188.48798858763766</v>
      </c>
      <c r="N5" s="84">
        <v>181.21329219382292</v>
      </c>
      <c r="O5" s="84">
        <v>175.64250284280794</v>
      </c>
      <c r="P5" s="84">
        <v>174.97774556159493</v>
      </c>
      <c r="Q5" s="84">
        <v>174.68251251389609</v>
      </c>
      <c r="R5" s="84">
        <v>187.63411404640573</v>
      </c>
      <c r="S5" s="84">
        <v>199.98861485836321</v>
      </c>
      <c r="T5" s="84">
        <v>199.1459370143655</v>
      </c>
      <c r="U5" s="84">
        <v>193.68869103997761</v>
      </c>
      <c r="V5" s="84">
        <v>64.023109379835375</v>
      </c>
      <c r="W5" s="84">
        <v>86.527743796431821</v>
      </c>
      <c r="X5" s="84">
        <v>132.24699836031834</v>
      </c>
      <c r="Y5" s="84">
        <v>155.87257931493428</v>
      </c>
      <c r="DA5" s="171" t="s">
        <v>191</v>
      </c>
    </row>
    <row r="6" spans="1:105" ht="11.45" customHeight="1" x14ac:dyDescent="0.25">
      <c r="A6" s="83" t="s">
        <v>181</v>
      </c>
      <c r="B6" s="84">
        <v>1307.370363465742</v>
      </c>
      <c r="C6" s="84">
        <v>1320.0543644464885</v>
      </c>
      <c r="D6" s="84">
        <v>1238.8183353117513</v>
      </c>
      <c r="E6" s="84">
        <v>1188.7668375667154</v>
      </c>
      <c r="F6" s="84">
        <v>1362.8823790726644</v>
      </c>
      <c r="G6" s="84">
        <v>1815.0290377485182</v>
      </c>
      <c r="H6" s="84">
        <v>2071.6849448460166</v>
      </c>
      <c r="I6" s="84">
        <v>2089.8696603306726</v>
      </c>
      <c r="J6" s="84">
        <v>2002.0084274797266</v>
      </c>
      <c r="K6" s="84">
        <v>2004.2962802652455</v>
      </c>
      <c r="L6" s="84">
        <v>2190.1556461074429</v>
      </c>
      <c r="M6" s="84">
        <v>2257.3308894577713</v>
      </c>
      <c r="N6" s="84">
        <v>2527.2107827719992</v>
      </c>
      <c r="O6" s="84">
        <v>2890.2542552831155</v>
      </c>
      <c r="P6" s="84">
        <v>3132.5535682113536</v>
      </c>
      <c r="Q6" s="84">
        <v>3313.4716391076317</v>
      </c>
      <c r="R6" s="84">
        <v>3885.0464410272807</v>
      </c>
      <c r="S6" s="84">
        <v>4706.1706613339074</v>
      </c>
      <c r="T6" s="84">
        <v>5156.6864309252924</v>
      </c>
      <c r="U6" s="84">
        <v>5625.7160022123544</v>
      </c>
      <c r="V6" s="84">
        <v>894.64428676166176</v>
      </c>
      <c r="W6" s="84">
        <v>2165.5415669961412</v>
      </c>
      <c r="X6" s="84">
        <v>5135.1012983309229</v>
      </c>
      <c r="Y6" s="84">
        <v>5793.2445062412198</v>
      </c>
      <c r="DA6" s="171" t="s">
        <v>192</v>
      </c>
    </row>
    <row r="7" spans="1:105" ht="11.45" customHeight="1" x14ac:dyDescent="0.25">
      <c r="A7" s="83" t="s">
        <v>182</v>
      </c>
      <c r="B7" s="84">
        <v>288.71264449982579</v>
      </c>
      <c r="C7" s="84">
        <v>289.92959554057643</v>
      </c>
      <c r="D7" s="84">
        <v>273.72313867907138</v>
      </c>
      <c r="E7" s="84">
        <v>266.72046550523413</v>
      </c>
      <c r="F7" s="84">
        <v>308.78949775065439</v>
      </c>
      <c r="G7" s="84">
        <v>303.89878808563759</v>
      </c>
      <c r="H7" s="84">
        <v>302.71069977053133</v>
      </c>
      <c r="I7" s="84">
        <v>348.44129084199614</v>
      </c>
      <c r="J7" s="84">
        <v>440.05952009227462</v>
      </c>
      <c r="K7" s="84">
        <v>372.19368332791913</v>
      </c>
      <c r="L7" s="84">
        <v>523.69263806325773</v>
      </c>
      <c r="M7" s="84">
        <v>591.71629747544671</v>
      </c>
      <c r="N7" s="84">
        <v>639.48756333718916</v>
      </c>
      <c r="O7" s="84">
        <v>478.11063228375889</v>
      </c>
      <c r="P7" s="84">
        <v>467.00021314820293</v>
      </c>
      <c r="Q7" s="84">
        <v>591.01382096616339</v>
      </c>
      <c r="R7" s="84">
        <v>702.26367158668711</v>
      </c>
      <c r="S7" s="84">
        <v>982.52954974681597</v>
      </c>
      <c r="T7" s="84">
        <v>1387.0002718165288</v>
      </c>
      <c r="U7" s="84">
        <v>1466.4813436969057</v>
      </c>
      <c r="V7" s="84">
        <v>176.24652369340566</v>
      </c>
      <c r="W7" s="84">
        <v>485.35837946303479</v>
      </c>
      <c r="X7" s="84">
        <v>620.2648850993786</v>
      </c>
      <c r="Y7" s="84">
        <v>772.38647143491755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3.2191644395272219</v>
      </c>
      <c r="C8" s="13">
        <f t="shared" si="3"/>
        <v>3.9078150812952375</v>
      </c>
      <c r="D8" s="13">
        <f t="shared" ref="D8:V8" si="4">SUM(D9:D11)</f>
        <v>3.7576848763205968</v>
      </c>
      <c r="E8" s="13">
        <f t="shared" si="4"/>
        <v>3.6404407617055288</v>
      </c>
      <c r="F8" s="13">
        <f t="shared" si="4"/>
        <v>3.4487031180673</v>
      </c>
      <c r="G8" s="13">
        <f t="shared" si="4"/>
        <v>4.0364524183191275</v>
      </c>
      <c r="H8" s="13">
        <f t="shared" si="4"/>
        <v>3.63157321926538</v>
      </c>
      <c r="I8" s="13">
        <f t="shared" si="4"/>
        <v>4.1236125970901343</v>
      </c>
      <c r="J8" s="13">
        <f t="shared" si="4"/>
        <v>3.9051151277848302</v>
      </c>
      <c r="K8" s="13">
        <f t="shared" si="4"/>
        <v>4.4440898189224978</v>
      </c>
      <c r="L8" s="13">
        <f t="shared" si="4"/>
        <v>3.5300678259769205</v>
      </c>
      <c r="M8" s="13">
        <f t="shared" si="4"/>
        <v>4.8651903430721788</v>
      </c>
      <c r="N8" s="13">
        <f t="shared" si="4"/>
        <v>3.8833250763391023</v>
      </c>
      <c r="O8" s="13">
        <f t="shared" si="4"/>
        <v>5.4773179654470754</v>
      </c>
      <c r="P8" s="13">
        <f t="shared" si="4"/>
        <v>6.253489072011936</v>
      </c>
      <c r="Q8" s="13">
        <f t="shared" si="4"/>
        <v>7.1677581098027794</v>
      </c>
      <c r="R8" s="13">
        <f t="shared" si="4"/>
        <v>8.6665076021520733</v>
      </c>
      <c r="S8" s="13">
        <f t="shared" si="4"/>
        <v>9.8786971830213197</v>
      </c>
      <c r="T8" s="13">
        <f t="shared" si="4"/>
        <v>40.134157825622523</v>
      </c>
      <c r="U8" s="13">
        <f t="shared" si="4"/>
        <v>25.897949210224617</v>
      </c>
      <c r="V8" s="13">
        <f t="shared" si="4"/>
        <v>3.4616547002321378</v>
      </c>
      <c r="W8" s="13">
        <f t="shared" ref="W8:Y8" si="5">SUM(W9:W11)</f>
        <v>5.5916859250165825</v>
      </c>
      <c r="X8" s="13">
        <f t="shared" si="5"/>
        <v>4.1920297638535517</v>
      </c>
      <c r="Y8" s="13">
        <f t="shared" si="5"/>
        <v>4.4935315309970587</v>
      </c>
      <c r="DA8" s="193" t="s">
        <v>194</v>
      </c>
    </row>
    <row r="9" spans="1:105" ht="11.45" customHeight="1" x14ac:dyDescent="0.25">
      <c r="A9" s="92" t="s">
        <v>27</v>
      </c>
      <c r="B9" s="102">
        <v>0.18552441428390354</v>
      </c>
      <c r="C9" s="102">
        <v>0.22297713077092071</v>
      </c>
      <c r="D9" s="102">
        <v>0.22929363125744195</v>
      </c>
      <c r="E9" s="102">
        <v>0.22152206763212912</v>
      </c>
      <c r="F9" s="102">
        <v>0.21281105295553282</v>
      </c>
      <c r="G9" s="102">
        <v>0.26390519390499123</v>
      </c>
      <c r="H9" s="102">
        <v>0.31700707829110292</v>
      </c>
      <c r="I9" s="102">
        <v>0.44369133444189129</v>
      </c>
      <c r="J9" s="102">
        <v>0.47784196046362526</v>
      </c>
      <c r="K9" s="102">
        <v>0.38259972489608307</v>
      </c>
      <c r="L9" s="102">
        <v>0.36830053084786946</v>
      </c>
      <c r="M9" s="102">
        <v>0.26686996908947797</v>
      </c>
      <c r="N9" s="102">
        <v>0.13613733207185619</v>
      </c>
      <c r="O9" s="102">
        <v>0.12322902467282092</v>
      </c>
      <c r="P9" s="102">
        <v>0.12553463353569477</v>
      </c>
      <c r="Q9" s="102">
        <v>0.12137014265832773</v>
      </c>
      <c r="R9" s="102">
        <v>0.11592765996263554</v>
      </c>
      <c r="S9" s="102">
        <v>0.1111364580961092</v>
      </c>
      <c r="T9" s="102">
        <v>9.7613165686700809E-2</v>
      </c>
      <c r="U9" s="102">
        <v>0.11179102946520407</v>
      </c>
      <c r="V9" s="102">
        <v>2.2203875873784515E-2</v>
      </c>
      <c r="W9" s="102">
        <v>1.7592323072581323E-2</v>
      </c>
      <c r="X9" s="102">
        <v>2.2580482181332608E-2</v>
      </c>
      <c r="Y9" s="102">
        <v>2.1186627635291909E-2</v>
      </c>
      <c r="DA9" s="175" t="s">
        <v>195</v>
      </c>
    </row>
    <row r="10" spans="1:105" ht="11.45" customHeight="1" x14ac:dyDescent="0.25">
      <c r="A10" s="92" t="s">
        <v>181</v>
      </c>
      <c r="B10" s="102">
        <v>2.0018462095814011</v>
      </c>
      <c r="C10" s="102">
        <v>2.4491374178595655</v>
      </c>
      <c r="D10" s="102">
        <v>2.3616690359016737</v>
      </c>
      <c r="E10" s="102">
        <v>2.2262889027893333</v>
      </c>
      <c r="F10" s="102">
        <v>2.0783522076389698</v>
      </c>
      <c r="G10" s="102">
        <v>2.6393253467145756</v>
      </c>
      <c r="H10" s="102">
        <v>2.3683487410955673</v>
      </c>
      <c r="I10" s="102">
        <v>2.6262174465811801</v>
      </c>
      <c r="J10" s="102">
        <v>2.3508324323273184</v>
      </c>
      <c r="K10" s="102">
        <v>3.2120143500929843</v>
      </c>
      <c r="L10" s="102">
        <v>2.1157658628544844</v>
      </c>
      <c r="M10" s="102">
        <v>1.3961268325956369</v>
      </c>
      <c r="N10" s="102">
        <v>1.6439736338931454</v>
      </c>
      <c r="O10" s="102">
        <v>1.8082324386691855</v>
      </c>
      <c r="P10" s="102">
        <v>1.9386708998398072</v>
      </c>
      <c r="Q10" s="102">
        <v>1.9712318045206532</v>
      </c>
      <c r="R10" s="102">
        <v>2.2294596167293408</v>
      </c>
      <c r="S10" s="102">
        <v>1.92985989011041</v>
      </c>
      <c r="T10" s="102">
        <v>2.2756895855592081</v>
      </c>
      <c r="U10" s="102">
        <v>2.8064632231846085</v>
      </c>
      <c r="V10" s="102">
        <v>2.1678632847162844</v>
      </c>
      <c r="W10" s="102">
        <v>2.7641773815604771</v>
      </c>
      <c r="X10" s="102">
        <v>3.1165749859067557</v>
      </c>
      <c r="Y10" s="102">
        <v>3.514543110573134</v>
      </c>
      <c r="DA10" s="175" t="s">
        <v>196</v>
      </c>
    </row>
    <row r="11" spans="1:105" ht="11.45" customHeight="1" x14ac:dyDescent="0.25">
      <c r="A11" s="85" t="s">
        <v>182</v>
      </c>
      <c r="B11" s="86">
        <v>1.0317938156619171</v>
      </c>
      <c r="C11" s="86">
        <v>1.2357005326647517</v>
      </c>
      <c r="D11" s="86">
        <v>1.1667222091614811</v>
      </c>
      <c r="E11" s="86">
        <v>1.1926297912840664</v>
      </c>
      <c r="F11" s="86">
        <v>1.1575398574727978</v>
      </c>
      <c r="G11" s="86">
        <v>1.1332218776995613</v>
      </c>
      <c r="H11" s="86">
        <v>0.94621739987871001</v>
      </c>
      <c r="I11" s="86">
        <v>1.0537038160670626</v>
      </c>
      <c r="J11" s="86">
        <v>1.0764407349938865</v>
      </c>
      <c r="K11" s="86">
        <v>0.84947574393343039</v>
      </c>
      <c r="L11" s="86">
        <v>1.0460014322745665</v>
      </c>
      <c r="M11" s="86">
        <v>3.2021935413870644</v>
      </c>
      <c r="N11" s="86">
        <v>2.1032141103741009</v>
      </c>
      <c r="O11" s="86">
        <v>3.5458565021050692</v>
      </c>
      <c r="P11" s="86">
        <v>4.1892835386364347</v>
      </c>
      <c r="Q11" s="86">
        <v>5.0751561626237987</v>
      </c>
      <c r="R11" s="86">
        <v>6.3211203254600976</v>
      </c>
      <c r="S11" s="86">
        <v>7.8377008348147994</v>
      </c>
      <c r="T11" s="86">
        <v>37.760855074376614</v>
      </c>
      <c r="U11" s="86">
        <v>22.979694957574804</v>
      </c>
      <c r="V11" s="86">
        <v>1.2715875396420691</v>
      </c>
      <c r="W11" s="86">
        <v>2.8099162203835242</v>
      </c>
      <c r="X11" s="86">
        <v>1.0528742957654631</v>
      </c>
      <c r="Y11" s="86">
        <v>0.95780179278863242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17.387682671380389</v>
      </c>
      <c r="C13" s="54">
        <f t="shared" si="6"/>
        <v>17.423341024544559</v>
      </c>
      <c r="D13" s="54">
        <f t="shared" ref="D13:V13" si="7">SUM(D14,D18)</f>
        <v>16.775716886789905</v>
      </c>
      <c r="E13" s="54">
        <f t="shared" si="7"/>
        <v>16.502136079618229</v>
      </c>
      <c r="F13" s="54">
        <f t="shared" si="7"/>
        <v>18.935237836907582</v>
      </c>
      <c r="G13" s="54">
        <f t="shared" si="7"/>
        <v>23.334554894394611</v>
      </c>
      <c r="H13" s="54">
        <f t="shared" si="7"/>
        <v>26.139273090408889</v>
      </c>
      <c r="I13" s="54">
        <f t="shared" si="7"/>
        <v>27.490828129797364</v>
      </c>
      <c r="J13" s="54">
        <f t="shared" si="7"/>
        <v>27.983791500526767</v>
      </c>
      <c r="K13" s="54">
        <f t="shared" si="7"/>
        <v>27.683148048427103</v>
      </c>
      <c r="L13" s="54">
        <f t="shared" si="7"/>
        <v>29.587546580099726</v>
      </c>
      <c r="M13" s="54">
        <f t="shared" si="7"/>
        <v>28.81710921372245</v>
      </c>
      <c r="N13" s="54">
        <f t="shared" si="7"/>
        <v>30.189509409442028</v>
      </c>
      <c r="O13" s="54">
        <f t="shared" si="7"/>
        <v>32.127318555506989</v>
      </c>
      <c r="P13" s="54">
        <f t="shared" si="7"/>
        <v>34.000466882912619</v>
      </c>
      <c r="Q13" s="54">
        <f t="shared" si="7"/>
        <v>35.875304692572001</v>
      </c>
      <c r="R13" s="54">
        <f t="shared" si="7"/>
        <v>40.852265789574233</v>
      </c>
      <c r="S13" s="54">
        <f t="shared" si="7"/>
        <v>47.20519026718803</v>
      </c>
      <c r="T13" s="54">
        <f t="shared" si="7"/>
        <v>53.710832279001366</v>
      </c>
      <c r="U13" s="54">
        <f t="shared" si="7"/>
        <v>56.487219691702926</v>
      </c>
      <c r="V13" s="54">
        <f t="shared" si="7"/>
        <v>14.919200264700475</v>
      </c>
      <c r="W13" s="54">
        <f t="shared" ref="W13:Y13" si="8">SUM(W14,W18)</f>
        <v>27.628083378826336</v>
      </c>
      <c r="X13" s="54">
        <f t="shared" si="8"/>
        <v>48.206798358922462</v>
      </c>
      <c r="Y13" s="54">
        <f t="shared" si="8"/>
        <v>51.974445603125695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17.286480573607641</v>
      </c>
      <c r="C14" s="11">
        <f t="shared" si="9"/>
        <v>17.303837069798902</v>
      </c>
      <c r="D14" s="11">
        <f t="shared" ref="D14:V14" si="10">SUM(D15:D17)</f>
        <v>16.653896201208767</v>
      </c>
      <c r="E14" s="11">
        <f t="shared" si="10"/>
        <v>16.387489284314476</v>
      </c>
      <c r="F14" s="11">
        <f t="shared" si="10"/>
        <v>18.817895356550672</v>
      </c>
      <c r="G14" s="11">
        <f t="shared" si="10"/>
        <v>23.187196273138849</v>
      </c>
      <c r="H14" s="11">
        <f t="shared" si="10"/>
        <v>25.980999613711184</v>
      </c>
      <c r="I14" s="11">
        <f t="shared" si="10"/>
        <v>27.299921294033545</v>
      </c>
      <c r="J14" s="11">
        <f t="shared" si="10"/>
        <v>27.79714956484754</v>
      </c>
      <c r="K14" s="11">
        <f t="shared" si="10"/>
        <v>27.470408711967799</v>
      </c>
      <c r="L14" s="11">
        <f t="shared" si="10"/>
        <v>29.431391734598876</v>
      </c>
      <c r="M14" s="11">
        <f t="shared" si="10"/>
        <v>28.686538790422723</v>
      </c>
      <c r="N14" s="11">
        <f t="shared" si="10"/>
        <v>30.078851450120784</v>
      </c>
      <c r="O14" s="11">
        <f t="shared" si="10"/>
        <v>31.992425891816509</v>
      </c>
      <c r="P14" s="11">
        <f t="shared" si="10"/>
        <v>33.86964506128389</v>
      </c>
      <c r="Q14" s="11">
        <f t="shared" si="10"/>
        <v>35.737327395360587</v>
      </c>
      <c r="R14" s="11">
        <f t="shared" si="10"/>
        <v>40.704307161292824</v>
      </c>
      <c r="S14" s="11">
        <f t="shared" si="10"/>
        <v>47.050619202632141</v>
      </c>
      <c r="T14" s="11">
        <f t="shared" si="10"/>
        <v>53.276945063733166</v>
      </c>
      <c r="U14" s="11">
        <f t="shared" si="10"/>
        <v>56.184312574026663</v>
      </c>
      <c r="V14" s="11">
        <f t="shared" si="10"/>
        <v>14.80373076489095</v>
      </c>
      <c r="W14" s="11">
        <f t="shared" ref="W14:Y14" si="11">SUM(W15:W17)</f>
        <v>27.460962996322845</v>
      </c>
      <c r="X14" s="11">
        <f t="shared" si="11"/>
        <v>48.048665406974806</v>
      </c>
      <c r="Y14" s="11">
        <f t="shared" si="11"/>
        <v>51.796812768812373</v>
      </c>
      <c r="DA14" s="189" t="s">
        <v>199</v>
      </c>
    </row>
    <row r="15" spans="1:105" ht="11.45" customHeight="1" x14ac:dyDescent="0.25">
      <c r="A15" s="83" t="s">
        <v>27</v>
      </c>
      <c r="B15" s="84">
        <v>1.6574014632598562</v>
      </c>
      <c r="C15" s="84">
        <v>1.6591087165182616</v>
      </c>
      <c r="D15" s="84">
        <v>1.972901865413154</v>
      </c>
      <c r="E15" s="84">
        <v>2.1832354668486857</v>
      </c>
      <c r="F15" s="84">
        <v>2.3932276176325367</v>
      </c>
      <c r="G15" s="84">
        <v>2.4481087891485354</v>
      </c>
      <c r="H15" s="84">
        <v>2.2946663505239187</v>
      </c>
      <c r="I15" s="84">
        <v>2.4044637261084496</v>
      </c>
      <c r="J15" s="84">
        <v>2.6269925314239315</v>
      </c>
      <c r="K15" s="84">
        <v>2.6968817871971447</v>
      </c>
      <c r="L15" s="84">
        <v>2.4524503107074564</v>
      </c>
      <c r="M15" s="84">
        <v>2.4793610635273109</v>
      </c>
      <c r="N15" s="84">
        <v>2.2508713640368443</v>
      </c>
      <c r="O15" s="84">
        <v>2.172525600713576</v>
      </c>
      <c r="P15" s="84">
        <v>2.4210228473451751</v>
      </c>
      <c r="Q15" s="84">
        <v>2.3933687474583456</v>
      </c>
      <c r="R15" s="84">
        <v>2.6386454907236621</v>
      </c>
      <c r="S15" s="84">
        <v>2.6600200878260556</v>
      </c>
      <c r="T15" s="84">
        <v>2.6965420119126406</v>
      </c>
      <c r="U15" s="84">
        <v>2.7437340607720393</v>
      </c>
      <c r="V15" s="84">
        <v>1.6437676052572956</v>
      </c>
      <c r="W15" s="84">
        <v>2.1886143893805308</v>
      </c>
      <c r="X15" s="84">
        <v>2.2627042256999275</v>
      </c>
      <c r="Y15" s="84">
        <v>2.579556655519927</v>
      </c>
      <c r="DA15" s="171" t="s">
        <v>200</v>
      </c>
    </row>
    <row r="16" spans="1:105" ht="11.45" customHeight="1" x14ac:dyDescent="0.25">
      <c r="A16" s="83" t="s">
        <v>181</v>
      </c>
      <c r="B16" s="84">
        <v>12.870403978385902</v>
      </c>
      <c r="C16" s="84">
        <v>12.883259626248414</v>
      </c>
      <c r="D16" s="84">
        <v>12.089934908054195</v>
      </c>
      <c r="E16" s="84">
        <v>11.698399039369781</v>
      </c>
      <c r="F16" s="84">
        <v>13.527709650974362</v>
      </c>
      <c r="G16" s="84">
        <v>17.921319498979607</v>
      </c>
      <c r="H16" s="84">
        <v>20.887189001218431</v>
      </c>
      <c r="I16" s="84">
        <v>21.67071794012195</v>
      </c>
      <c r="J16" s="84">
        <v>21.089594058306702</v>
      </c>
      <c r="K16" s="84">
        <v>20.975725660787049</v>
      </c>
      <c r="L16" s="84">
        <v>22.290660456210812</v>
      </c>
      <c r="M16" s="84">
        <v>21.267291345067648</v>
      </c>
      <c r="N16" s="84">
        <v>22.631350541222996</v>
      </c>
      <c r="O16" s="84">
        <v>25.307103145588982</v>
      </c>
      <c r="P16" s="84">
        <v>26.961222447623427</v>
      </c>
      <c r="Q16" s="84">
        <v>27.691376204979399</v>
      </c>
      <c r="R16" s="84">
        <v>31.357051837953442</v>
      </c>
      <c r="S16" s="84">
        <v>36.846960986792212</v>
      </c>
      <c r="T16" s="84">
        <v>40.322478547858559</v>
      </c>
      <c r="U16" s="84">
        <v>43.251788205846594</v>
      </c>
      <c r="V16" s="84">
        <v>11.096087071971318</v>
      </c>
      <c r="W16" s="84">
        <v>20.979777165111415</v>
      </c>
      <c r="X16" s="84">
        <v>40.73614396586332</v>
      </c>
      <c r="Y16" s="84">
        <v>43.106506326287281</v>
      </c>
      <c r="DA16" s="171" t="s">
        <v>201</v>
      </c>
    </row>
    <row r="17" spans="1:105" ht="11.45" customHeight="1" x14ac:dyDescent="0.25">
      <c r="A17" s="83" t="s">
        <v>182</v>
      </c>
      <c r="B17" s="84">
        <v>2.7586751319618843</v>
      </c>
      <c r="C17" s="84">
        <v>2.7614687270322258</v>
      </c>
      <c r="D17" s="84">
        <v>2.5910594277414152</v>
      </c>
      <c r="E17" s="84">
        <v>2.5058547780960105</v>
      </c>
      <c r="F17" s="84">
        <v>2.8969580879437711</v>
      </c>
      <c r="G17" s="84">
        <v>2.8177679850107067</v>
      </c>
      <c r="H17" s="84">
        <v>2.7991442619688351</v>
      </c>
      <c r="I17" s="84">
        <v>3.2247396278031442</v>
      </c>
      <c r="J17" s="84">
        <v>4.0805629751169086</v>
      </c>
      <c r="K17" s="84">
        <v>3.7978012639836041</v>
      </c>
      <c r="L17" s="84">
        <v>4.6882809676806083</v>
      </c>
      <c r="M17" s="84">
        <v>4.9398863818277663</v>
      </c>
      <c r="N17" s="84">
        <v>5.1966295448609436</v>
      </c>
      <c r="O17" s="84">
        <v>4.5127971455139502</v>
      </c>
      <c r="P17" s="84">
        <v>4.4873997663152876</v>
      </c>
      <c r="Q17" s="84">
        <v>5.6525824429228395</v>
      </c>
      <c r="R17" s="84">
        <v>6.7086098326157195</v>
      </c>
      <c r="S17" s="84">
        <v>7.5436381280138747</v>
      </c>
      <c r="T17" s="84">
        <v>10.257924503961965</v>
      </c>
      <c r="U17" s="84">
        <v>10.188790307408029</v>
      </c>
      <c r="V17" s="84">
        <v>2.0638760876623374</v>
      </c>
      <c r="W17" s="84">
        <v>4.2925714418308969</v>
      </c>
      <c r="X17" s="84">
        <v>5.0498172154115579</v>
      </c>
      <c r="Y17" s="84">
        <v>6.1107497870051635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0.10120209777275031</v>
      </c>
      <c r="C18" s="13">
        <f t="shared" si="12"/>
        <v>0.11950395474565788</v>
      </c>
      <c r="D18" s="13">
        <f t="shared" ref="D18:V18" si="13">SUM(D19:D21)</f>
        <v>0.1218206855811368</v>
      </c>
      <c r="E18" s="13">
        <f t="shared" si="13"/>
        <v>0.1146467953037533</v>
      </c>
      <c r="F18" s="13">
        <f t="shared" si="13"/>
        <v>0.11734248035691075</v>
      </c>
      <c r="G18" s="13">
        <f t="shared" si="13"/>
        <v>0.14735862125576038</v>
      </c>
      <c r="H18" s="13">
        <f t="shared" si="13"/>
        <v>0.15827347669770356</v>
      </c>
      <c r="I18" s="13">
        <f t="shared" si="13"/>
        <v>0.19090683576381792</v>
      </c>
      <c r="J18" s="13">
        <f t="shared" si="13"/>
        <v>0.18664193567922541</v>
      </c>
      <c r="K18" s="13">
        <f t="shared" si="13"/>
        <v>0.21273933645930229</v>
      </c>
      <c r="L18" s="13">
        <f t="shared" si="13"/>
        <v>0.15615484550084888</v>
      </c>
      <c r="M18" s="13">
        <f t="shared" si="13"/>
        <v>0.13057042329972515</v>
      </c>
      <c r="N18" s="13">
        <f t="shared" si="13"/>
        <v>0.11065795932124593</v>
      </c>
      <c r="O18" s="13">
        <f t="shared" si="13"/>
        <v>0.13489266369048222</v>
      </c>
      <c r="P18" s="13">
        <f t="shared" si="13"/>
        <v>0.13082182162872624</v>
      </c>
      <c r="Q18" s="13">
        <f t="shared" si="13"/>
        <v>0.13797729721141105</v>
      </c>
      <c r="R18" s="13">
        <f t="shared" si="13"/>
        <v>0.14795862828140488</v>
      </c>
      <c r="S18" s="13">
        <f t="shared" si="13"/>
        <v>0.1545710645558889</v>
      </c>
      <c r="T18" s="13">
        <f t="shared" si="13"/>
        <v>0.4338872152681969</v>
      </c>
      <c r="U18" s="13">
        <f t="shared" si="13"/>
        <v>0.30290711767626616</v>
      </c>
      <c r="V18" s="13">
        <f t="shared" si="13"/>
        <v>0.11546949980952377</v>
      </c>
      <c r="W18" s="13">
        <f t="shared" ref="W18:Y18" si="14">SUM(W19:W21)</f>
        <v>0.16712038250348998</v>
      </c>
      <c r="X18" s="13">
        <f t="shared" si="14"/>
        <v>0.15813295194765398</v>
      </c>
      <c r="Y18" s="13">
        <f t="shared" si="14"/>
        <v>0.17763283431332449</v>
      </c>
      <c r="DA18" s="193" t="s">
        <v>203</v>
      </c>
    </row>
    <row r="19" spans="1:105" ht="11.45" customHeight="1" x14ac:dyDescent="0.25">
      <c r="A19" s="92" t="s">
        <v>27</v>
      </c>
      <c r="B19" s="102">
        <v>1.7052939795533753E-2</v>
      </c>
      <c r="C19" s="102">
        <v>2.0653004863479762E-2</v>
      </c>
      <c r="D19" s="102">
        <v>2.0653004863479762E-2</v>
      </c>
      <c r="E19" s="102">
        <v>1.8758233775087126E-2</v>
      </c>
      <c r="F19" s="102">
        <v>1.9137187992765654E-2</v>
      </c>
      <c r="G19" s="102">
        <v>2.4250000000000001E-2</v>
      </c>
      <c r="H19" s="102">
        <v>3.0283544075688854E-2</v>
      </c>
      <c r="I19" s="102">
        <v>4.2543597385760787E-2</v>
      </c>
      <c r="J19" s="102">
        <v>4.7623428084487378E-2</v>
      </c>
      <c r="K19" s="102">
        <v>3.7804716737367183E-2</v>
      </c>
      <c r="L19" s="102">
        <v>3.4025E-2</v>
      </c>
      <c r="M19" s="102">
        <v>2.2312019131760407E-2</v>
      </c>
      <c r="N19" s="102">
        <v>1.1096999999999999E-2</v>
      </c>
      <c r="O19" s="102">
        <v>9.7590214458200143E-3</v>
      </c>
      <c r="P19" s="102">
        <v>8.9461747101835989E-3</v>
      </c>
      <c r="Q19" s="102">
        <v>8.3701896768449569E-3</v>
      </c>
      <c r="R19" s="102">
        <v>6.8953810510722271E-3</v>
      </c>
      <c r="S19" s="102">
        <v>7.1827673029791084E-3</v>
      </c>
      <c r="T19" s="102">
        <v>6.2350000000000001E-3</v>
      </c>
      <c r="U19" s="102">
        <v>6.4859999999999996E-3</v>
      </c>
      <c r="V19" s="102">
        <v>1.41E-3</v>
      </c>
      <c r="W19" s="102">
        <v>1.1280000000000001E-3</v>
      </c>
      <c r="X19" s="102">
        <v>1.41E-3</v>
      </c>
      <c r="Y19" s="102">
        <v>1.3133333333333332E-3</v>
      </c>
      <c r="DA19" s="175" t="s">
        <v>204</v>
      </c>
    </row>
    <row r="20" spans="1:105" ht="11.45" customHeight="1" x14ac:dyDescent="0.25">
      <c r="A20" s="92" t="s">
        <v>181</v>
      </c>
      <c r="B20" s="102">
        <v>7.2451644755095204E-2</v>
      </c>
      <c r="C20" s="102">
        <v>8.5482363342610862E-2</v>
      </c>
      <c r="D20" s="102">
        <v>8.7799094178089787E-2</v>
      </c>
      <c r="E20" s="102">
        <v>8.0848901671653012E-2</v>
      </c>
      <c r="F20" s="102">
        <v>8.3165632507131937E-2</v>
      </c>
      <c r="G20" s="102">
        <v>0.10745216964285716</v>
      </c>
      <c r="H20" s="102">
        <v>0.11446691228959695</v>
      </c>
      <c r="I20" s="102">
        <v>0.13304857887724003</v>
      </c>
      <c r="J20" s="102">
        <v>0.12305168609005129</v>
      </c>
      <c r="K20" s="102">
        <v>0.16376221389482845</v>
      </c>
      <c r="L20" s="102">
        <v>0.10859716129032258</v>
      </c>
      <c r="M20" s="102">
        <v>6.8787873817325804E-2</v>
      </c>
      <c r="N20" s="102">
        <v>7.5497237099023715E-2</v>
      </c>
      <c r="O20" s="102">
        <v>8.340411370631827E-2</v>
      </c>
      <c r="P20" s="102">
        <v>7.7002454280028554E-2</v>
      </c>
      <c r="Q20" s="102">
        <v>7.8839767157416876E-2</v>
      </c>
      <c r="R20" s="102">
        <v>8.052809589513836E-2</v>
      </c>
      <c r="S20" s="102">
        <v>7.6325034912298167E-2</v>
      </c>
      <c r="T20" s="102">
        <v>8.9571185856432131E-2</v>
      </c>
      <c r="U20" s="102">
        <v>0.10585500446871896</v>
      </c>
      <c r="V20" s="102">
        <v>9.655964266666664E-2</v>
      </c>
      <c r="W20" s="102">
        <v>0.12764481107491857</v>
      </c>
      <c r="X20" s="102">
        <v>0.14455986469933182</v>
      </c>
      <c r="Y20" s="102">
        <v>0.16621147825271843</v>
      </c>
      <c r="DA20" s="175" t="s">
        <v>205</v>
      </c>
    </row>
    <row r="21" spans="1:105" ht="11.45" customHeight="1" x14ac:dyDescent="0.25">
      <c r="A21" s="85" t="s">
        <v>182</v>
      </c>
      <c r="B21" s="86">
        <v>1.169751322212135E-2</v>
      </c>
      <c r="C21" s="86">
        <v>1.3368586539567257E-2</v>
      </c>
      <c r="D21" s="86">
        <v>1.3368586539567257E-2</v>
      </c>
      <c r="E21" s="86">
        <v>1.5039659857013164E-2</v>
      </c>
      <c r="F21" s="86">
        <v>1.5039659857013164E-2</v>
      </c>
      <c r="G21" s="86">
        <v>1.5656451612903226E-2</v>
      </c>
      <c r="H21" s="86">
        <v>1.3523020332417765E-2</v>
      </c>
      <c r="I21" s="86">
        <v>1.5314659500817096E-2</v>
      </c>
      <c r="J21" s="86">
        <v>1.5966821504686736E-2</v>
      </c>
      <c r="K21" s="86">
        <v>1.1172405827106645E-2</v>
      </c>
      <c r="L21" s="86">
        <v>1.3532684210526315E-2</v>
      </c>
      <c r="M21" s="86">
        <v>3.9470530350638945E-2</v>
      </c>
      <c r="N21" s="86">
        <v>2.4063722222222226E-2</v>
      </c>
      <c r="O21" s="86">
        <v>4.1729528538343948E-2</v>
      </c>
      <c r="P21" s="86">
        <v>4.4873192638514102E-2</v>
      </c>
      <c r="Q21" s="86">
        <v>5.0767340377149237E-2</v>
      </c>
      <c r="R21" s="86">
        <v>6.0535151335194298E-2</v>
      </c>
      <c r="S21" s="86">
        <v>7.1063262340611624E-2</v>
      </c>
      <c r="T21" s="86">
        <v>0.33808102941176477</v>
      </c>
      <c r="U21" s="86">
        <v>0.19056611320754721</v>
      </c>
      <c r="V21" s="86">
        <v>1.749985714285714E-2</v>
      </c>
      <c r="W21" s="86">
        <v>3.8347571428571432E-2</v>
      </c>
      <c r="X21" s="86">
        <v>1.2163087248322149E-2</v>
      </c>
      <c r="Y21" s="86">
        <v>1.0108022727272728E-2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20505</v>
      </c>
      <c r="C23" s="54">
        <f t="shared" si="15"/>
        <v>20557</v>
      </c>
      <c r="D23" s="54">
        <f t="shared" ref="D23:V23" si="16">SUM(D24,D28)</f>
        <v>20523</v>
      </c>
      <c r="E23" s="54">
        <f t="shared" si="16"/>
        <v>20652</v>
      </c>
      <c r="F23" s="54">
        <f t="shared" si="16"/>
        <v>23472</v>
      </c>
      <c r="G23" s="54">
        <f t="shared" si="16"/>
        <v>27769</v>
      </c>
      <c r="H23" s="54">
        <f t="shared" si="16"/>
        <v>30656</v>
      </c>
      <c r="I23" s="54">
        <f t="shared" si="16"/>
        <v>32071</v>
      </c>
      <c r="J23" s="54">
        <f t="shared" si="16"/>
        <v>32488</v>
      </c>
      <c r="K23" s="54">
        <f t="shared" si="16"/>
        <v>32276</v>
      </c>
      <c r="L23" s="54">
        <f t="shared" si="16"/>
        <v>32526</v>
      </c>
      <c r="M23" s="54">
        <f t="shared" si="16"/>
        <v>32484</v>
      </c>
      <c r="N23" s="54">
        <f t="shared" si="16"/>
        <v>32646</v>
      </c>
      <c r="O23" s="54">
        <f t="shared" si="16"/>
        <v>33389</v>
      </c>
      <c r="P23" s="54">
        <f t="shared" si="16"/>
        <v>35481</v>
      </c>
      <c r="Q23" s="54">
        <f t="shared" si="16"/>
        <v>36666</v>
      </c>
      <c r="R23" s="54">
        <f t="shared" si="16"/>
        <v>40523</v>
      </c>
      <c r="S23" s="54">
        <f t="shared" si="16"/>
        <v>44391</v>
      </c>
      <c r="T23" s="54">
        <f t="shared" si="16"/>
        <v>47963</v>
      </c>
      <c r="U23" s="54">
        <f t="shared" si="16"/>
        <v>50563</v>
      </c>
      <c r="V23" s="54">
        <f t="shared" si="16"/>
        <v>17183</v>
      </c>
      <c r="W23" s="54">
        <f t="shared" ref="W23:Y23" si="17">SUM(W24,W28)</f>
        <v>28203</v>
      </c>
      <c r="X23" s="54">
        <f t="shared" si="17"/>
        <v>44892</v>
      </c>
      <c r="Y23" s="54">
        <f t="shared" si="17"/>
        <v>49381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20346</v>
      </c>
      <c r="C24" s="11">
        <f t="shared" si="18"/>
        <v>20367</v>
      </c>
      <c r="D24" s="11">
        <f t="shared" ref="D24:V24" si="19">SUM(D25:D27)</f>
        <v>20331</v>
      </c>
      <c r="E24" s="11">
        <f t="shared" si="19"/>
        <v>20475</v>
      </c>
      <c r="F24" s="11">
        <f t="shared" si="19"/>
        <v>23291</v>
      </c>
      <c r="G24" s="11">
        <f t="shared" si="19"/>
        <v>27543</v>
      </c>
      <c r="H24" s="11">
        <f t="shared" si="19"/>
        <v>30402</v>
      </c>
      <c r="I24" s="11">
        <f t="shared" si="19"/>
        <v>31757</v>
      </c>
      <c r="J24" s="11">
        <f t="shared" si="19"/>
        <v>32176</v>
      </c>
      <c r="K24" s="11">
        <f t="shared" si="19"/>
        <v>31955</v>
      </c>
      <c r="L24" s="11">
        <f t="shared" si="19"/>
        <v>32286</v>
      </c>
      <c r="M24" s="11">
        <f t="shared" si="19"/>
        <v>32278</v>
      </c>
      <c r="N24" s="11">
        <f t="shared" si="19"/>
        <v>32449</v>
      </c>
      <c r="O24" s="11">
        <f t="shared" si="19"/>
        <v>33200</v>
      </c>
      <c r="P24" s="11">
        <f t="shared" si="19"/>
        <v>35312</v>
      </c>
      <c r="Q24" s="11">
        <f t="shared" si="19"/>
        <v>36504</v>
      </c>
      <c r="R24" s="11">
        <f t="shared" si="19"/>
        <v>40373</v>
      </c>
      <c r="S24" s="11">
        <f t="shared" si="19"/>
        <v>44250</v>
      </c>
      <c r="T24" s="11">
        <f t="shared" si="19"/>
        <v>47779</v>
      </c>
      <c r="U24" s="11">
        <f t="shared" si="19"/>
        <v>50398</v>
      </c>
      <c r="V24" s="11">
        <f t="shared" si="19"/>
        <v>17031</v>
      </c>
      <c r="W24" s="11">
        <f t="shared" ref="W24:Y24" si="20">SUM(W25:W27)</f>
        <v>28007</v>
      </c>
      <c r="X24" s="11">
        <f t="shared" si="20"/>
        <v>44683</v>
      </c>
      <c r="Y24" s="11">
        <f t="shared" si="20"/>
        <v>49187</v>
      </c>
      <c r="DA24" s="189" t="s">
        <v>208</v>
      </c>
    </row>
    <row r="25" spans="1:105" ht="11.45" customHeight="1" x14ac:dyDescent="0.25">
      <c r="A25" s="83" t="s">
        <v>27</v>
      </c>
      <c r="B25" s="84">
        <v>4854</v>
      </c>
      <c r="C25" s="84">
        <v>4859</v>
      </c>
      <c r="D25" s="84">
        <v>5778</v>
      </c>
      <c r="E25" s="84">
        <v>6394</v>
      </c>
      <c r="F25" s="84">
        <v>7009</v>
      </c>
      <c r="G25" s="84">
        <v>7076</v>
      </c>
      <c r="H25" s="84">
        <v>6767</v>
      </c>
      <c r="I25" s="84">
        <v>7087</v>
      </c>
      <c r="J25" s="84">
        <v>7804</v>
      </c>
      <c r="K25" s="84">
        <v>8137</v>
      </c>
      <c r="L25" s="84">
        <v>7245</v>
      </c>
      <c r="M25" s="84">
        <v>7685</v>
      </c>
      <c r="N25" s="84">
        <v>7278</v>
      </c>
      <c r="O25" s="84">
        <v>6911</v>
      </c>
      <c r="P25" s="84">
        <v>7707</v>
      </c>
      <c r="Q25" s="84">
        <v>7587</v>
      </c>
      <c r="R25" s="84">
        <v>8189</v>
      </c>
      <c r="S25" s="84">
        <v>8172</v>
      </c>
      <c r="T25" s="84">
        <v>8300</v>
      </c>
      <c r="U25" s="84">
        <v>8377</v>
      </c>
      <c r="V25" s="84">
        <v>5079</v>
      </c>
      <c r="W25" s="84">
        <v>6662</v>
      </c>
      <c r="X25" s="84">
        <v>6997</v>
      </c>
      <c r="Y25" s="84">
        <v>8004</v>
      </c>
      <c r="DA25" s="171" t="s">
        <v>209</v>
      </c>
    </row>
    <row r="26" spans="1:105" ht="11.45" customHeight="1" x14ac:dyDescent="0.25">
      <c r="A26" s="83" t="s">
        <v>181</v>
      </c>
      <c r="B26" s="84">
        <v>13517</v>
      </c>
      <c r="C26" s="84">
        <v>13531</v>
      </c>
      <c r="D26" s="84">
        <v>12698</v>
      </c>
      <c r="E26" s="84">
        <v>12287</v>
      </c>
      <c r="F26" s="84">
        <v>14208</v>
      </c>
      <c r="G26" s="84">
        <v>18285</v>
      </c>
      <c r="H26" s="84">
        <v>21057</v>
      </c>
      <c r="I26" s="84">
        <v>21825</v>
      </c>
      <c r="J26" s="84">
        <v>20973</v>
      </c>
      <c r="K26" s="84">
        <v>20525</v>
      </c>
      <c r="L26" s="84">
        <v>21344</v>
      </c>
      <c r="M26" s="84">
        <v>20883</v>
      </c>
      <c r="N26" s="84">
        <v>21255</v>
      </c>
      <c r="O26" s="84">
        <v>22878</v>
      </c>
      <c r="P26" s="84">
        <v>24112</v>
      </c>
      <c r="Q26" s="84">
        <v>24771</v>
      </c>
      <c r="R26" s="84">
        <v>27571</v>
      </c>
      <c r="S26" s="84">
        <v>31405</v>
      </c>
      <c r="T26" s="84">
        <v>33993</v>
      </c>
      <c r="U26" s="84">
        <v>36371</v>
      </c>
      <c r="V26" s="84">
        <v>10582</v>
      </c>
      <c r="W26" s="84">
        <v>18718</v>
      </c>
      <c r="X26" s="84">
        <v>34476</v>
      </c>
      <c r="Y26" s="84">
        <v>36978</v>
      </c>
      <c r="DA26" s="171" t="s">
        <v>210</v>
      </c>
    </row>
    <row r="27" spans="1:105" ht="11.45" customHeight="1" x14ac:dyDescent="0.25">
      <c r="A27" s="83" t="s">
        <v>182</v>
      </c>
      <c r="B27" s="84">
        <v>1975</v>
      </c>
      <c r="C27" s="84">
        <v>1977</v>
      </c>
      <c r="D27" s="84">
        <v>1855</v>
      </c>
      <c r="E27" s="84">
        <v>1794</v>
      </c>
      <c r="F27" s="84">
        <v>2074</v>
      </c>
      <c r="G27" s="84">
        <v>2182</v>
      </c>
      <c r="H27" s="84">
        <v>2578</v>
      </c>
      <c r="I27" s="84">
        <v>2845</v>
      </c>
      <c r="J27" s="84">
        <v>3399</v>
      </c>
      <c r="K27" s="84">
        <v>3293</v>
      </c>
      <c r="L27" s="84">
        <v>3697</v>
      </c>
      <c r="M27" s="84">
        <v>3710</v>
      </c>
      <c r="N27" s="84">
        <v>3916</v>
      </c>
      <c r="O27" s="84">
        <v>3411</v>
      </c>
      <c r="P27" s="84">
        <v>3493</v>
      </c>
      <c r="Q27" s="84">
        <v>4146</v>
      </c>
      <c r="R27" s="84">
        <v>4613</v>
      </c>
      <c r="S27" s="84">
        <v>4673</v>
      </c>
      <c r="T27" s="84">
        <v>5486</v>
      </c>
      <c r="U27" s="84">
        <v>5650</v>
      </c>
      <c r="V27" s="84">
        <v>1370</v>
      </c>
      <c r="W27" s="84">
        <v>2627</v>
      </c>
      <c r="X27" s="84">
        <v>3210</v>
      </c>
      <c r="Y27" s="84">
        <v>4205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159</v>
      </c>
      <c r="C28" s="13">
        <f t="shared" si="21"/>
        <v>190</v>
      </c>
      <c r="D28" s="13">
        <f t="shared" ref="D28:V28" si="22">SUM(D29:D31)</f>
        <v>192</v>
      </c>
      <c r="E28" s="13">
        <f t="shared" si="22"/>
        <v>177</v>
      </c>
      <c r="F28" s="13">
        <f t="shared" si="22"/>
        <v>181</v>
      </c>
      <c r="G28" s="13">
        <f t="shared" si="22"/>
        <v>226</v>
      </c>
      <c r="H28" s="13">
        <f t="shared" si="22"/>
        <v>254</v>
      </c>
      <c r="I28" s="13">
        <f t="shared" si="22"/>
        <v>314</v>
      </c>
      <c r="J28" s="13">
        <f t="shared" si="22"/>
        <v>312</v>
      </c>
      <c r="K28" s="13">
        <f t="shared" si="22"/>
        <v>321</v>
      </c>
      <c r="L28" s="13">
        <f t="shared" si="22"/>
        <v>240</v>
      </c>
      <c r="M28" s="13">
        <f t="shared" si="22"/>
        <v>206</v>
      </c>
      <c r="N28" s="13">
        <f t="shared" si="22"/>
        <v>197</v>
      </c>
      <c r="O28" s="13">
        <f t="shared" si="22"/>
        <v>189</v>
      </c>
      <c r="P28" s="13">
        <f t="shared" si="22"/>
        <v>169</v>
      </c>
      <c r="Q28" s="13">
        <f t="shared" si="22"/>
        <v>162</v>
      </c>
      <c r="R28" s="13">
        <f t="shared" si="22"/>
        <v>150</v>
      </c>
      <c r="S28" s="13">
        <f t="shared" si="22"/>
        <v>141</v>
      </c>
      <c r="T28" s="13">
        <f t="shared" si="22"/>
        <v>184</v>
      </c>
      <c r="U28" s="13">
        <f t="shared" si="22"/>
        <v>165</v>
      </c>
      <c r="V28" s="13">
        <f t="shared" si="22"/>
        <v>152</v>
      </c>
      <c r="W28" s="13">
        <f t="shared" ref="W28:Y28" si="23">SUM(W29:W31)</f>
        <v>196</v>
      </c>
      <c r="X28" s="13">
        <f t="shared" si="23"/>
        <v>209</v>
      </c>
      <c r="Y28" s="13">
        <f t="shared" si="23"/>
        <v>194</v>
      </c>
      <c r="DA28" s="193" t="s">
        <v>212</v>
      </c>
    </row>
    <row r="29" spans="1:105" ht="11.45" customHeight="1" x14ac:dyDescent="0.25">
      <c r="A29" s="92" t="s">
        <v>27</v>
      </c>
      <c r="B29" s="102">
        <v>90</v>
      </c>
      <c r="C29" s="102">
        <v>109</v>
      </c>
      <c r="D29" s="102">
        <v>109</v>
      </c>
      <c r="E29" s="102">
        <v>99</v>
      </c>
      <c r="F29" s="102">
        <v>101</v>
      </c>
      <c r="G29" s="102">
        <v>125</v>
      </c>
      <c r="H29" s="102">
        <v>139</v>
      </c>
      <c r="I29" s="102">
        <v>171</v>
      </c>
      <c r="J29" s="102">
        <v>172</v>
      </c>
      <c r="K29" s="102">
        <v>125</v>
      </c>
      <c r="L29" s="102">
        <v>100</v>
      </c>
      <c r="M29" s="102">
        <v>94</v>
      </c>
      <c r="N29" s="102">
        <v>81</v>
      </c>
      <c r="O29" s="102">
        <v>64</v>
      </c>
      <c r="P29" s="102">
        <v>55</v>
      </c>
      <c r="Q29" s="102">
        <v>48</v>
      </c>
      <c r="R29" s="102">
        <v>36</v>
      </c>
      <c r="S29" s="102">
        <v>35</v>
      </c>
      <c r="T29" s="102">
        <v>29</v>
      </c>
      <c r="U29" s="102">
        <v>23</v>
      </c>
      <c r="V29" s="102">
        <v>5</v>
      </c>
      <c r="W29" s="102">
        <v>4</v>
      </c>
      <c r="X29" s="102">
        <v>5</v>
      </c>
      <c r="Y29" s="102">
        <v>4</v>
      </c>
      <c r="DA29" s="175" t="s">
        <v>213</v>
      </c>
    </row>
    <row r="30" spans="1:105" ht="11.45" customHeight="1" x14ac:dyDescent="0.25">
      <c r="A30" s="92" t="s">
        <v>181</v>
      </c>
      <c r="B30" s="102">
        <v>62</v>
      </c>
      <c r="C30" s="102">
        <v>73</v>
      </c>
      <c r="D30" s="102">
        <v>75</v>
      </c>
      <c r="E30" s="102">
        <v>69</v>
      </c>
      <c r="F30" s="102">
        <v>71</v>
      </c>
      <c r="G30" s="102">
        <v>91</v>
      </c>
      <c r="H30" s="102">
        <v>105</v>
      </c>
      <c r="I30" s="102">
        <v>132</v>
      </c>
      <c r="J30" s="102">
        <v>129</v>
      </c>
      <c r="K30" s="102">
        <v>188</v>
      </c>
      <c r="L30" s="102">
        <v>131</v>
      </c>
      <c r="M30" s="102">
        <v>91</v>
      </c>
      <c r="N30" s="102">
        <v>105</v>
      </c>
      <c r="O30" s="102">
        <v>111</v>
      </c>
      <c r="P30" s="102">
        <v>102</v>
      </c>
      <c r="Q30" s="102">
        <v>103</v>
      </c>
      <c r="R30" s="102">
        <v>103</v>
      </c>
      <c r="S30" s="102">
        <v>95</v>
      </c>
      <c r="T30" s="102">
        <v>110</v>
      </c>
      <c r="U30" s="102">
        <v>118</v>
      </c>
      <c r="V30" s="102">
        <v>134</v>
      </c>
      <c r="W30" s="102">
        <v>169</v>
      </c>
      <c r="X30" s="102">
        <v>179</v>
      </c>
      <c r="Y30" s="102">
        <v>172</v>
      </c>
      <c r="DA30" s="175" t="s">
        <v>214</v>
      </c>
    </row>
    <row r="31" spans="1:105" ht="11.45" customHeight="1" x14ac:dyDescent="0.25">
      <c r="A31" s="85" t="s">
        <v>182</v>
      </c>
      <c r="B31" s="86">
        <v>7</v>
      </c>
      <c r="C31" s="86">
        <v>8</v>
      </c>
      <c r="D31" s="86">
        <v>8</v>
      </c>
      <c r="E31" s="86">
        <v>9</v>
      </c>
      <c r="F31" s="86">
        <v>9</v>
      </c>
      <c r="G31" s="86">
        <v>10</v>
      </c>
      <c r="H31" s="86">
        <v>10</v>
      </c>
      <c r="I31" s="86">
        <v>11</v>
      </c>
      <c r="J31" s="86">
        <v>11</v>
      </c>
      <c r="K31" s="86">
        <v>8</v>
      </c>
      <c r="L31" s="86">
        <v>9</v>
      </c>
      <c r="M31" s="86">
        <v>21</v>
      </c>
      <c r="N31" s="86">
        <v>11</v>
      </c>
      <c r="O31" s="86">
        <v>14</v>
      </c>
      <c r="P31" s="86">
        <v>12</v>
      </c>
      <c r="Q31" s="86">
        <v>11</v>
      </c>
      <c r="R31" s="86">
        <v>11</v>
      </c>
      <c r="S31" s="86">
        <v>11</v>
      </c>
      <c r="T31" s="86">
        <v>45</v>
      </c>
      <c r="U31" s="86">
        <v>24</v>
      </c>
      <c r="V31" s="86">
        <v>13</v>
      </c>
      <c r="W31" s="86">
        <v>23</v>
      </c>
      <c r="X31" s="86">
        <v>25</v>
      </c>
      <c r="Y31" s="86">
        <v>18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1497012</v>
      </c>
      <c r="C34" s="11">
        <f t="shared" si="24"/>
        <v>1503230</v>
      </c>
      <c r="D34" s="11">
        <f t="shared" ref="D34:V34" si="25">SUM(D35:D37)</f>
        <v>1509339</v>
      </c>
      <c r="E34" s="11">
        <f t="shared" si="25"/>
        <v>1532376</v>
      </c>
      <c r="F34" s="11">
        <f t="shared" si="25"/>
        <v>1759001</v>
      </c>
      <c r="G34" s="11">
        <f t="shared" si="25"/>
        <v>2115120</v>
      </c>
      <c r="H34" s="11">
        <f t="shared" si="25"/>
        <v>2383931</v>
      </c>
      <c r="I34" s="11">
        <f t="shared" si="25"/>
        <v>2522329</v>
      </c>
      <c r="J34" s="11">
        <f t="shared" si="25"/>
        <v>2566321</v>
      </c>
      <c r="K34" s="11">
        <f t="shared" si="25"/>
        <v>2464838</v>
      </c>
      <c r="L34" s="11">
        <f t="shared" si="25"/>
        <v>2602050</v>
      </c>
      <c r="M34" s="11">
        <f t="shared" si="25"/>
        <v>2789790</v>
      </c>
      <c r="N34" s="11">
        <f t="shared" si="25"/>
        <v>3010197</v>
      </c>
      <c r="O34" s="11">
        <f t="shared" si="25"/>
        <v>3146697</v>
      </c>
      <c r="P34" s="11">
        <f t="shared" si="25"/>
        <v>3351681</v>
      </c>
      <c r="Q34" s="11">
        <f t="shared" si="25"/>
        <v>3574004</v>
      </c>
      <c r="R34" s="11">
        <f t="shared" si="25"/>
        <v>4037055</v>
      </c>
      <c r="S34" s="11">
        <f t="shared" si="25"/>
        <v>4741834</v>
      </c>
      <c r="T34" s="11">
        <f t="shared" si="25"/>
        <v>5199632</v>
      </c>
      <c r="U34" s="11">
        <f t="shared" si="25"/>
        <v>5634831</v>
      </c>
      <c r="V34" s="11">
        <f t="shared" si="25"/>
        <v>1071988</v>
      </c>
      <c r="W34" s="11">
        <f t="shared" ref="W34:Y34" si="26">SUM(W35:W37)</f>
        <v>2350028</v>
      </c>
      <c r="X34" s="11">
        <f t="shared" si="26"/>
        <v>4922920</v>
      </c>
      <c r="Y34" s="11">
        <f t="shared" si="26"/>
        <v>5662415</v>
      </c>
      <c r="DA34" s="189" t="s">
        <v>216</v>
      </c>
    </row>
    <row r="35" spans="1:105" ht="11.45" customHeight="1" x14ac:dyDescent="0.25">
      <c r="A35" s="83" t="s">
        <v>27</v>
      </c>
      <c r="B35" s="84">
        <v>359091</v>
      </c>
      <c r="C35" s="84">
        <v>357217</v>
      </c>
      <c r="D35" s="84">
        <v>423572</v>
      </c>
      <c r="E35" s="84">
        <v>468771</v>
      </c>
      <c r="F35" s="84">
        <v>513906</v>
      </c>
      <c r="G35" s="84">
        <v>516328</v>
      </c>
      <c r="H35" s="84">
        <v>491653</v>
      </c>
      <c r="I35" s="84">
        <v>512010</v>
      </c>
      <c r="J35" s="84">
        <v>562269</v>
      </c>
      <c r="K35" s="84">
        <v>521553</v>
      </c>
      <c r="L35" s="84">
        <v>469925</v>
      </c>
      <c r="M35" s="84">
        <v>532196</v>
      </c>
      <c r="N35" s="84">
        <v>534517</v>
      </c>
      <c r="O35" s="84">
        <v>507646</v>
      </c>
      <c r="P35" s="84">
        <v>510768</v>
      </c>
      <c r="Q35" s="84">
        <v>505628</v>
      </c>
      <c r="R35" s="84">
        <v>528594</v>
      </c>
      <c r="S35" s="84">
        <v>557405</v>
      </c>
      <c r="T35" s="84">
        <v>559416</v>
      </c>
      <c r="U35" s="84">
        <v>542215</v>
      </c>
      <c r="V35" s="84">
        <v>182975</v>
      </c>
      <c r="W35" s="84">
        <v>248825</v>
      </c>
      <c r="X35" s="84">
        <v>380569</v>
      </c>
      <c r="Y35" s="84">
        <v>443458</v>
      </c>
      <c r="DA35" s="171" t="s">
        <v>217</v>
      </c>
    </row>
    <row r="36" spans="1:105" ht="11.45" customHeight="1" x14ac:dyDescent="0.25">
      <c r="A36" s="83" t="s">
        <v>181</v>
      </c>
      <c r="B36" s="84">
        <v>985374</v>
      </c>
      <c r="C36" s="84">
        <v>992823</v>
      </c>
      <c r="D36" s="84">
        <v>941140</v>
      </c>
      <c r="E36" s="84">
        <v>922678</v>
      </c>
      <c r="F36" s="84">
        <v>1081940</v>
      </c>
      <c r="G36" s="84">
        <v>1425112</v>
      </c>
      <c r="H36" s="84">
        <v>1686520</v>
      </c>
      <c r="I36" s="84">
        <v>1783443</v>
      </c>
      <c r="J36" s="84">
        <v>1733523</v>
      </c>
      <c r="K36" s="84">
        <v>1705108</v>
      </c>
      <c r="L36" s="84">
        <v>1827347</v>
      </c>
      <c r="M36" s="84">
        <v>1931736</v>
      </c>
      <c r="N36" s="84">
        <v>2118037</v>
      </c>
      <c r="O36" s="84">
        <v>2360643</v>
      </c>
      <c r="P36" s="84">
        <v>2548094</v>
      </c>
      <c r="Q36" s="84">
        <v>2742978</v>
      </c>
      <c r="R36" s="84">
        <v>3130763</v>
      </c>
      <c r="S36" s="84">
        <v>3736041</v>
      </c>
      <c r="T36" s="84">
        <v>4090826</v>
      </c>
      <c r="U36" s="84">
        <v>4510873</v>
      </c>
      <c r="V36" s="84">
        <v>798047</v>
      </c>
      <c r="W36" s="84">
        <v>1863816</v>
      </c>
      <c r="X36" s="84">
        <v>4244684</v>
      </c>
      <c r="Y36" s="84">
        <v>4838737</v>
      </c>
      <c r="DA36" s="171" t="s">
        <v>218</v>
      </c>
    </row>
    <row r="37" spans="1:105" ht="11.45" customHeight="1" x14ac:dyDescent="0.25">
      <c r="A37" s="83" t="s">
        <v>182</v>
      </c>
      <c r="B37" s="84">
        <v>152547</v>
      </c>
      <c r="C37" s="84">
        <v>153190</v>
      </c>
      <c r="D37" s="84">
        <v>144627</v>
      </c>
      <c r="E37" s="84">
        <v>140927</v>
      </c>
      <c r="F37" s="84">
        <v>163155</v>
      </c>
      <c r="G37" s="84">
        <v>173680</v>
      </c>
      <c r="H37" s="84">
        <v>205758</v>
      </c>
      <c r="I37" s="84">
        <v>226876</v>
      </c>
      <c r="J37" s="84">
        <v>270529</v>
      </c>
      <c r="K37" s="84">
        <v>238177</v>
      </c>
      <c r="L37" s="84">
        <v>304778</v>
      </c>
      <c r="M37" s="84">
        <v>325858</v>
      </c>
      <c r="N37" s="84">
        <v>357643</v>
      </c>
      <c r="O37" s="84">
        <v>278408</v>
      </c>
      <c r="P37" s="84">
        <v>292819</v>
      </c>
      <c r="Q37" s="84">
        <v>325398</v>
      </c>
      <c r="R37" s="84">
        <v>377698</v>
      </c>
      <c r="S37" s="84">
        <v>448388</v>
      </c>
      <c r="T37" s="84">
        <v>549390</v>
      </c>
      <c r="U37" s="84">
        <v>581743</v>
      </c>
      <c r="V37" s="84">
        <v>90966</v>
      </c>
      <c r="W37" s="84">
        <v>237387</v>
      </c>
      <c r="X37" s="84">
        <v>297667</v>
      </c>
      <c r="Y37" s="84">
        <v>380220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2269.467951277039</v>
      </c>
      <c r="C38" s="13">
        <f t="shared" si="27"/>
        <v>2708.5149181796396</v>
      </c>
      <c r="D38" s="13">
        <f t="shared" ref="D38:V38" si="28">SUM(D39:D41)</f>
        <v>2765.530754471707</v>
      </c>
      <c r="E38" s="13">
        <f t="shared" si="28"/>
        <v>2703.9674456321541</v>
      </c>
      <c r="F38" s="13">
        <f t="shared" si="28"/>
        <v>2607.9934169013868</v>
      </c>
      <c r="G38" s="13">
        <f t="shared" si="28"/>
        <v>3078.8790393809591</v>
      </c>
      <c r="H38" s="13">
        <f t="shared" si="28"/>
        <v>3264.0724294562428</v>
      </c>
      <c r="I38" s="13">
        <f t="shared" si="28"/>
        <v>3959.9586202250989</v>
      </c>
      <c r="J38" s="13">
        <f t="shared" si="28"/>
        <v>3852.1364273498443</v>
      </c>
      <c r="K38" s="13">
        <f t="shared" si="28"/>
        <v>4140.1040667031193</v>
      </c>
      <c r="L38" s="13">
        <f t="shared" si="28"/>
        <v>3370.1461071081462</v>
      </c>
      <c r="M38" s="13">
        <f t="shared" si="28"/>
        <v>3599.6189618173048</v>
      </c>
      <c r="N38" s="13">
        <f t="shared" si="28"/>
        <v>3306.569044460683</v>
      </c>
      <c r="O38" s="13">
        <f t="shared" si="28"/>
        <v>3429.5802257932037</v>
      </c>
      <c r="P38" s="13">
        <f t="shared" si="28"/>
        <v>3387.0721262657908</v>
      </c>
      <c r="Q38" s="13">
        <f t="shared" si="28"/>
        <v>3267.636530272026</v>
      </c>
      <c r="R38" s="13">
        <f t="shared" si="28"/>
        <v>3504.6052907116009</v>
      </c>
      <c r="S38" s="13">
        <f t="shared" si="28"/>
        <v>3138.7593875992388</v>
      </c>
      <c r="T38" s="13">
        <f t="shared" si="28"/>
        <v>5840.8194180817791</v>
      </c>
      <c r="U38" s="13">
        <f t="shared" si="28"/>
        <v>4498.0215939345717</v>
      </c>
      <c r="V38" s="13">
        <f t="shared" si="28"/>
        <v>3093.5226255158891</v>
      </c>
      <c r="W38" s="13">
        <f t="shared" ref="W38:Y38" si="29">SUM(W39:W41)</f>
        <v>4294.2957093587338</v>
      </c>
      <c r="X38" s="13">
        <f t="shared" si="29"/>
        <v>4789.4523894721306</v>
      </c>
      <c r="Y38" s="13">
        <f t="shared" si="29"/>
        <v>4285.2257154864465</v>
      </c>
      <c r="DA38" s="193" t="s">
        <v>220</v>
      </c>
    </row>
    <row r="39" spans="1:105" ht="11.45" customHeight="1" x14ac:dyDescent="0.25">
      <c r="A39" s="92" t="s">
        <v>27</v>
      </c>
      <c r="B39" s="102">
        <v>902.09561052767674</v>
      </c>
      <c r="C39" s="102">
        <v>1084.2060420613614</v>
      </c>
      <c r="D39" s="102">
        <v>1114.9194518558647</v>
      </c>
      <c r="E39" s="102">
        <v>1077.130929733903</v>
      </c>
      <c r="F39" s="102">
        <v>1034.7744122193158</v>
      </c>
      <c r="G39" s="102">
        <v>1253.298320017203</v>
      </c>
      <c r="H39" s="102">
        <v>1340.5570790387578</v>
      </c>
      <c r="I39" s="102">
        <v>1643.0512000633771</v>
      </c>
      <c r="J39" s="102">
        <v>1590.0117224317737</v>
      </c>
      <c r="K39" s="102">
        <v>1165.512479237005</v>
      </c>
      <c r="L39" s="102">
        <v>997.26932495609367</v>
      </c>
      <c r="M39" s="102">
        <v>1024.1710986048713</v>
      </c>
      <c r="N39" s="102">
        <v>906.49782149349005</v>
      </c>
      <c r="O39" s="102">
        <v>734.24681968495702</v>
      </c>
      <c r="P39" s="102">
        <v>707.69033773718695</v>
      </c>
      <c r="Q39" s="102">
        <v>635.53433379219473</v>
      </c>
      <c r="R39" s="102">
        <v>549.40410735040484</v>
      </c>
      <c r="S39" s="102">
        <v>491.30925489826149</v>
      </c>
      <c r="T39" s="102">
        <v>414.34535014706535</v>
      </c>
      <c r="U39" s="102">
        <v>363.4784020285183</v>
      </c>
      <c r="V39" s="102">
        <v>72.827747919707036</v>
      </c>
      <c r="W39" s="102">
        <v>58.935549700369144</v>
      </c>
      <c r="X39" s="102">
        <v>74.515668639479557</v>
      </c>
      <c r="Y39" s="102">
        <v>59.165374910884353</v>
      </c>
      <c r="DA39" s="175" t="s">
        <v>221</v>
      </c>
    </row>
    <row r="40" spans="1:105" ht="11.45" customHeight="1" x14ac:dyDescent="0.25">
      <c r="A40" s="92" t="s">
        <v>181</v>
      </c>
      <c r="B40" s="102">
        <v>1002.4040814567577</v>
      </c>
      <c r="C40" s="102">
        <v>1193.3698199579032</v>
      </c>
      <c r="D40" s="102">
        <v>1227.3857951307261</v>
      </c>
      <c r="E40" s="102">
        <v>1188.2970707343004</v>
      </c>
      <c r="F40" s="102">
        <v>1140.6822530686443</v>
      </c>
      <c r="G40" s="102">
        <v>1383.4253063579433</v>
      </c>
      <c r="H40" s="102">
        <v>1471.8740234379475</v>
      </c>
      <c r="I40" s="102">
        <v>1819.8633766244743</v>
      </c>
      <c r="J40" s="102">
        <v>1768.0803875190136</v>
      </c>
      <c r="K40" s="102">
        <v>2575.392119809042</v>
      </c>
      <c r="L40" s="102">
        <v>1900.1254514534717</v>
      </c>
      <c r="M40" s="102">
        <v>1419.0531789040444</v>
      </c>
      <c r="N40" s="102">
        <v>1750.1686066934444</v>
      </c>
      <c r="O40" s="102">
        <v>1860.027730940652</v>
      </c>
      <c r="P40" s="102">
        <v>1881.8400932237798</v>
      </c>
      <c r="Q40" s="102">
        <v>1903.1934755248399</v>
      </c>
      <c r="R40" s="102">
        <v>2147.3356985113742</v>
      </c>
      <c r="S40" s="102">
        <v>1840.8648925823127</v>
      </c>
      <c r="T40" s="102">
        <v>2114.8007315939212</v>
      </c>
      <c r="U40" s="102">
        <v>2324.9066368805707</v>
      </c>
      <c r="V40" s="102">
        <v>2363.8278193414908</v>
      </c>
      <c r="W40" s="102">
        <v>3002.8588826743958</v>
      </c>
      <c r="X40" s="102">
        <v>3202.3948692952436</v>
      </c>
      <c r="Y40" s="102">
        <v>3090.8464058549448</v>
      </c>
      <c r="DA40" s="175" t="s">
        <v>222</v>
      </c>
    </row>
    <row r="41" spans="1:105" ht="11.45" customHeight="1" x14ac:dyDescent="0.25">
      <c r="A41" s="85" t="s">
        <v>182</v>
      </c>
      <c r="B41" s="86">
        <v>364.9682592926045</v>
      </c>
      <c r="C41" s="86">
        <v>430.93905616037523</v>
      </c>
      <c r="D41" s="86">
        <v>423.2255074851164</v>
      </c>
      <c r="E41" s="86">
        <v>438.53944516395075</v>
      </c>
      <c r="F41" s="86">
        <v>432.53675161342676</v>
      </c>
      <c r="G41" s="86">
        <v>442.15541300581253</v>
      </c>
      <c r="H41" s="86">
        <v>451.64132697953744</v>
      </c>
      <c r="I41" s="86">
        <v>497.0440435372476</v>
      </c>
      <c r="J41" s="86">
        <v>494.04431739905709</v>
      </c>
      <c r="K41" s="86">
        <v>399.19946765707209</v>
      </c>
      <c r="L41" s="86">
        <v>472.7513306985806</v>
      </c>
      <c r="M41" s="86">
        <v>1156.3946843083888</v>
      </c>
      <c r="N41" s="86">
        <v>649.90261627374855</v>
      </c>
      <c r="O41" s="86">
        <v>835.3056751675947</v>
      </c>
      <c r="P41" s="86">
        <v>797.54169530482363</v>
      </c>
      <c r="Q41" s="86">
        <v>728.90872095499151</v>
      </c>
      <c r="R41" s="86">
        <v>807.86548484982166</v>
      </c>
      <c r="S41" s="86">
        <v>806.58524011866496</v>
      </c>
      <c r="T41" s="86">
        <v>3311.6733363407925</v>
      </c>
      <c r="U41" s="86">
        <v>1809.6365550254829</v>
      </c>
      <c r="V41" s="86">
        <v>656.86705825469096</v>
      </c>
      <c r="W41" s="86">
        <v>1232.5012769839691</v>
      </c>
      <c r="X41" s="86">
        <v>1512.5418515374079</v>
      </c>
      <c r="Y41" s="86">
        <v>1135.2139347206171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13.712009288562189</v>
      </c>
      <c r="C43" s="54">
        <f t="shared" si="30"/>
        <v>13.750579915298495</v>
      </c>
      <c r="D43" s="54">
        <f t="shared" ref="D43:V43" si="31">SUM(D44,D48)</f>
        <v>13.430021230852713</v>
      </c>
      <c r="E43" s="54">
        <f t="shared" si="31"/>
        <v>13.328434606622267</v>
      </c>
      <c r="F43" s="54">
        <f t="shared" si="31"/>
        <v>15.228850627400213</v>
      </c>
      <c r="G43" s="54">
        <f t="shared" si="31"/>
        <v>18.306517181175927</v>
      </c>
      <c r="H43" s="54">
        <f t="shared" si="31"/>
        <v>20.370292344935006</v>
      </c>
      <c r="I43" s="54">
        <f t="shared" si="31"/>
        <v>21.418809842241661</v>
      </c>
      <c r="J43" s="54">
        <f t="shared" si="31"/>
        <v>22.054284453779015</v>
      </c>
      <c r="K43" s="54">
        <f t="shared" si="31"/>
        <v>21.660194872913923</v>
      </c>
      <c r="L43" s="54">
        <f t="shared" si="31"/>
        <v>22.715191757118717</v>
      </c>
      <c r="M43" s="54">
        <f t="shared" si="31"/>
        <v>22.409869805955644</v>
      </c>
      <c r="N43" s="54">
        <f t="shared" si="31"/>
        <v>22.899415736846624</v>
      </c>
      <c r="O43" s="54">
        <f t="shared" si="31"/>
        <v>24.02166471988993</v>
      </c>
      <c r="P43" s="54">
        <f t="shared" si="31"/>
        <v>25.132827898607935</v>
      </c>
      <c r="Q43" s="54">
        <f t="shared" si="31"/>
        <v>26.473255654011876</v>
      </c>
      <c r="R43" s="54">
        <f t="shared" si="31"/>
        <v>29.603049339210905</v>
      </c>
      <c r="S43" s="54">
        <f t="shared" si="31"/>
        <v>33.171325594240123</v>
      </c>
      <c r="T43" s="54">
        <f t="shared" si="31"/>
        <v>37.0801307722693</v>
      </c>
      <c r="U43" s="54">
        <f t="shared" si="31"/>
        <v>39.005223227954502</v>
      </c>
      <c r="V43" s="54">
        <f t="shared" si="31"/>
        <v>38.329985129648293</v>
      </c>
      <c r="W43" s="54">
        <f t="shared" ref="W43:Y43" si="32">SUM(W44,W48)</f>
        <v>37.676233703285021</v>
      </c>
      <c r="X43" s="54">
        <f t="shared" si="32"/>
        <v>37.483180503126839</v>
      </c>
      <c r="Y43" s="54">
        <f t="shared" si="32"/>
        <v>39.06634261081031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13.58232562022968</v>
      </c>
      <c r="C44" s="11">
        <f t="shared" si="33"/>
        <v>13.596182661156348</v>
      </c>
      <c r="D44" s="11">
        <f t="shared" ref="D44:V44" si="34">SUM(D45:D47)</f>
        <v>13.27363984972644</v>
      </c>
      <c r="E44" s="11">
        <f t="shared" si="34"/>
        <v>13.182301966993398</v>
      </c>
      <c r="F44" s="11">
        <f t="shared" si="34"/>
        <v>15.080282500906034</v>
      </c>
      <c r="G44" s="11">
        <f t="shared" si="34"/>
        <v>18.1210348953351</v>
      </c>
      <c r="H44" s="11">
        <f t="shared" si="34"/>
        <v>20.164867320806604</v>
      </c>
      <c r="I44" s="11">
        <f t="shared" si="34"/>
        <v>21.166678638793105</v>
      </c>
      <c r="J44" s="11">
        <f t="shared" si="34"/>
        <v>21.804710004656346</v>
      </c>
      <c r="K44" s="11">
        <f t="shared" si="34"/>
        <v>21.368638726599894</v>
      </c>
      <c r="L44" s="11">
        <f t="shared" si="34"/>
        <v>22.43598958133343</v>
      </c>
      <c r="M44" s="11">
        <f t="shared" si="34"/>
        <v>22.123340849541901</v>
      </c>
      <c r="N44" s="11">
        <f t="shared" si="34"/>
        <v>22.623996203005127</v>
      </c>
      <c r="O44" s="11">
        <f t="shared" si="34"/>
        <v>23.75917691033289</v>
      </c>
      <c r="P44" s="11">
        <f t="shared" si="34"/>
        <v>24.883308455884148</v>
      </c>
      <c r="Q44" s="11">
        <f t="shared" si="34"/>
        <v>26.234084776173475</v>
      </c>
      <c r="R44" s="11">
        <f t="shared" si="34"/>
        <v>29.371642670601663</v>
      </c>
      <c r="S44" s="11">
        <f t="shared" si="34"/>
        <v>32.947312433201979</v>
      </c>
      <c r="T44" s="11">
        <f t="shared" si="34"/>
        <v>36.72903568148967</v>
      </c>
      <c r="U44" s="11">
        <f t="shared" si="34"/>
        <v>38.666736378554241</v>
      </c>
      <c r="V44" s="11">
        <f t="shared" si="34"/>
        <v>37.987620097542752</v>
      </c>
      <c r="W44" s="11">
        <f t="shared" ref="W44:Y44" si="35">SUM(W45:W47)</f>
        <v>37.308503816531264</v>
      </c>
      <c r="X44" s="11">
        <f t="shared" si="35"/>
        <v>37.109050792369572</v>
      </c>
      <c r="Y44" s="11">
        <f t="shared" si="35"/>
        <v>38.681585047074535</v>
      </c>
      <c r="DA44" s="189" t="s">
        <v>225</v>
      </c>
    </row>
    <row r="45" spans="1:105" ht="11.45" customHeight="1" x14ac:dyDescent="0.25">
      <c r="A45" s="83" t="s">
        <v>27</v>
      </c>
      <c r="B45" s="84">
        <v>2.0515638207945899</v>
      </c>
      <c r="C45" s="84">
        <v>2.0536770921386305</v>
      </c>
      <c r="D45" s="84">
        <v>2.4420963651732883</v>
      </c>
      <c r="E45" s="84">
        <v>2.7024513947590871</v>
      </c>
      <c r="F45" s="84">
        <v>2.9623837700760776</v>
      </c>
      <c r="G45" s="84">
        <v>3.0008481764206953</v>
      </c>
      <c r="H45" s="84">
        <v>2.8540700126528891</v>
      </c>
      <c r="I45" s="84">
        <v>2.9902953586497891</v>
      </c>
      <c r="J45" s="84">
        <v>3.2845117845117846</v>
      </c>
      <c r="K45" s="84">
        <v>3.4103101424979045</v>
      </c>
      <c r="L45" s="84">
        <v>3.2051537604184457</v>
      </c>
      <c r="M45" s="84">
        <v>3.1980857261756137</v>
      </c>
      <c r="N45" s="84">
        <v>2.9962947715109101</v>
      </c>
      <c r="O45" s="84">
        <v>2.8569656883009507</v>
      </c>
      <c r="P45" s="84">
        <v>3.1847107438016531</v>
      </c>
      <c r="Q45" s="84">
        <v>3.139015308233347</v>
      </c>
      <c r="R45" s="84">
        <v>3.4078235538909696</v>
      </c>
      <c r="S45" s="84">
        <v>3.4092615769712142</v>
      </c>
      <c r="T45" s="84">
        <v>3.4612176814011675</v>
      </c>
      <c r="U45" s="84">
        <v>3.5006268282490596</v>
      </c>
      <c r="V45" s="84">
        <v>3.3980486372093299</v>
      </c>
      <c r="W45" s="84">
        <v>3.2954704461696003</v>
      </c>
      <c r="X45" s="84">
        <v>3.1928922551298706</v>
      </c>
      <c r="Y45" s="84">
        <v>3.3308364544319602</v>
      </c>
      <c r="DA45" s="171" t="s">
        <v>226</v>
      </c>
    </row>
    <row r="46" spans="1:105" ht="11.45" customHeight="1" x14ac:dyDescent="0.25">
      <c r="A46" s="83" t="s">
        <v>181</v>
      </c>
      <c r="B46" s="84">
        <v>9.3956266642999555</v>
      </c>
      <c r="C46" s="84">
        <v>9.4052082717204204</v>
      </c>
      <c r="D46" s="84">
        <v>8.8261380791477464</v>
      </c>
      <c r="E46" s="84">
        <v>8.5403911127748504</v>
      </c>
      <c r="F46" s="84">
        <v>9.8757365686677936</v>
      </c>
      <c r="G46" s="84">
        <v>12.86838073336229</v>
      </c>
      <c r="H46" s="84">
        <v>14.896939630251092</v>
      </c>
      <c r="I46" s="84">
        <v>15.448674747065656</v>
      </c>
      <c r="J46" s="84">
        <v>15.154851685491096</v>
      </c>
      <c r="K46" s="84">
        <v>14.77052606716104</v>
      </c>
      <c r="L46" s="84">
        <v>15.454533471578927</v>
      </c>
      <c r="M46" s="84">
        <v>15.028196299836873</v>
      </c>
      <c r="N46" s="84">
        <v>15.522879628559206</v>
      </c>
      <c r="O46" s="84">
        <v>17.010902932610446</v>
      </c>
      <c r="P46" s="84">
        <v>18.020802936174512</v>
      </c>
      <c r="Q46" s="84">
        <v>18.679734004681343</v>
      </c>
      <c r="R46" s="84">
        <v>20.855291984927746</v>
      </c>
      <c r="S46" s="84">
        <v>24.014410194292232</v>
      </c>
      <c r="T46" s="84">
        <v>26.133877818033888</v>
      </c>
      <c r="U46" s="84">
        <v>27.996058788883857</v>
      </c>
      <c r="V46" s="84">
        <v>27.526277455668858</v>
      </c>
      <c r="W46" s="84">
        <v>27.056496122453861</v>
      </c>
      <c r="X46" s="84">
        <v>27.066378046088651</v>
      </c>
      <c r="Y46" s="84">
        <v>28.607724858248279</v>
      </c>
      <c r="DA46" s="171" t="s">
        <v>227</v>
      </c>
    </row>
    <row r="47" spans="1:105" ht="11.45" customHeight="1" x14ac:dyDescent="0.25">
      <c r="A47" s="83" t="s">
        <v>182</v>
      </c>
      <c r="B47" s="84">
        <v>2.1351351351351351</v>
      </c>
      <c r="C47" s="84">
        <v>2.1372972972972972</v>
      </c>
      <c r="D47" s="84">
        <v>2.0054054054054054</v>
      </c>
      <c r="E47" s="84">
        <v>1.9394594594594594</v>
      </c>
      <c r="F47" s="84">
        <v>2.2421621621621624</v>
      </c>
      <c r="G47" s="84">
        <v>2.2518059855521155</v>
      </c>
      <c r="H47" s="84">
        <v>2.4138576779026217</v>
      </c>
      <c r="I47" s="84">
        <v>2.7277085330776605</v>
      </c>
      <c r="J47" s="84">
        <v>3.3653465346534652</v>
      </c>
      <c r="K47" s="84">
        <v>3.1878025169409487</v>
      </c>
      <c r="L47" s="84">
        <v>3.7763023493360572</v>
      </c>
      <c r="M47" s="84">
        <v>3.8970588235294117</v>
      </c>
      <c r="N47" s="84">
        <v>4.1048218029350103</v>
      </c>
      <c r="O47" s="84">
        <v>3.891308289421497</v>
      </c>
      <c r="P47" s="84">
        <v>3.6777947759079836</v>
      </c>
      <c r="Q47" s="84">
        <v>4.4153354632587858</v>
      </c>
      <c r="R47" s="84">
        <v>5.1085271317829459</v>
      </c>
      <c r="S47" s="84">
        <v>5.5236406619385345</v>
      </c>
      <c r="T47" s="84">
        <v>7.1339401820546167</v>
      </c>
      <c r="U47" s="84">
        <v>7.1700507614213196</v>
      </c>
      <c r="V47" s="84">
        <v>7.0632940046645629</v>
      </c>
      <c r="W47" s="84">
        <v>6.9565372479078063</v>
      </c>
      <c r="X47" s="84">
        <v>6.8497804911510496</v>
      </c>
      <c r="Y47" s="84">
        <v>6.7430237343942929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0.1296836683325101</v>
      </c>
      <c r="C48" s="13">
        <f t="shared" si="36"/>
        <v>0.154397254142147</v>
      </c>
      <c r="D48" s="13">
        <f t="shared" ref="D48:V48" si="37">SUM(D49:D51)</f>
        <v>0.15638138112627401</v>
      </c>
      <c r="E48" s="13">
        <f t="shared" si="37"/>
        <v>0.14613263962886788</v>
      </c>
      <c r="F48" s="13">
        <f t="shared" si="37"/>
        <v>0.1485681264941793</v>
      </c>
      <c r="G48" s="13">
        <f t="shared" si="37"/>
        <v>0.18548228584082777</v>
      </c>
      <c r="H48" s="13">
        <f t="shared" si="37"/>
        <v>0.20542502412840408</v>
      </c>
      <c r="I48" s="13">
        <f t="shared" si="37"/>
        <v>0.25213120344855511</v>
      </c>
      <c r="J48" s="13">
        <f t="shared" si="37"/>
        <v>0.24957444912266963</v>
      </c>
      <c r="K48" s="13">
        <f t="shared" si="37"/>
        <v>0.29155614631403087</v>
      </c>
      <c r="L48" s="13">
        <f t="shared" si="37"/>
        <v>0.27920217578528705</v>
      </c>
      <c r="M48" s="13">
        <f t="shared" si="37"/>
        <v>0.28652895641374432</v>
      </c>
      <c r="N48" s="13">
        <f t="shared" si="37"/>
        <v>0.27541953384149725</v>
      </c>
      <c r="O48" s="13">
        <f t="shared" si="37"/>
        <v>0.26248780955703871</v>
      </c>
      <c r="P48" s="13">
        <f t="shared" si="37"/>
        <v>0.24951944272378765</v>
      </c>
      <c r="Q48" s="13">
        <f t="shared" si="37"/>
        <v>0.23917087783840127</v>
      </c>
      <c r="R48" s="13">
        <f t="shared" si="37"/>
        <v>0.23140666860924153</v>
      </c>
      <c r="S48" s="13">
        <f t="shared" si="37"/>
        <v>0.22401316103814314</v>
      </c>
      <c r="T48" s="13">
        <f t="shared" si="37"/>
        <v>0.35109509077963208</v>
      </c>
      <c r="U48" s="13">
        <f t="shared" si="37"/>
        <v>0.33848684940025875</v>
      </c>
      <c r="V48" s="13">
        <f t="shared" si="37"/>
        <v>0.34236503210554292</v>
      </c>
      <c r="W48" s="13">
        <f t="shared" ref="W48:Y48" si="38">SUM(W49:W51)</f>
        <v>0.36772988675375573</v>
      </c>
      <c r="X48" s="13">
        <f t="shared" si="38"/>
        <v>0.37412971075726653</v>
      </c>
      <c r="Y48" s="13">
        <f t="shared" si="38"/>
        <v>0.38475756373577374</v>
      </c>
      <c r="DA48" s="193" t="s">
        <v>229</v>
      </c>
    </row>
    <row r="49" spans="1:105" ht="11.45" customHeight="1" x14ac:dyDescent="0.25">
      <c r="A49" s="92" t="s">
        <v>27</v>
      </c>
      <c r="B49" s="102">
        <v>5.8479532163742687E-2</v>
      </c>
      <c r="C49" s="102">
        <v>7.0825211176088365E-2</v>
      </c>
      <c r="D49" s="102">
        <v>7.0825211176088365E-2</v>
      </c>
      <c r="E49" s="102">
        <v>6.4977257959714096E-2</v>
      </c>
      <c r="F49" s="102">
        <v>6.5627030539311237E-2</v>
      </c>
      <c r="G49" s="102">
        <v>8.143322475570032E-2</v>
      </c>
      <c r="H49" s="102">
        <v>9.1688654353562007E-2</v>
      </c>
      <c r="I49" s="102">
        <v>0.11468812877263582</v>
      </c>
      <c r="J49" s="102">
        <v>0.11708645336963922</v>
      </c>
      <c r="K49" s="102">
        <v>0.11123850015326495</v>
      </c>
      <c r="L49" s="102">
        <v>0.10539054693689068</v>
      </c>
      <c r="M49" s="102">
        <v>9.9542593720516409E-2</v>
      </c>
      <c r="N49" s="102">
        <v>9.369464050414214E-2</v>
      </c>
      <c r="O49" s="102">
        <v>8.7846687287767872E-2</v>
      </c>
      <c r="P49" s="102">
        <v>8.1998734071393603E-2</v>
      </c>
      <c r="Q49" s="102">
        <v>7.6150780855019334E-2</v>
      </c>
      <c r="R49" s="102">
        <v>7.0302827638645066E-2</v>
      </c>
      <c r="S49" s="102">
        <v>6.4454874422270797E-2</v>
      </c>
      <c r="T49" s="102">
        <v>5.8606921205896528E-2</v>
      </c>
      <c r="U49" s="102">
        <v>5.275896798952226E-2</v>
      </c>
      <c r="V49" s="102">
        <v>4.9834991381335125E-2</v>
      </c>
      <c r="W49" s="102">
        <v>4.6911014773147991E-2</v>
      </c>
      <c r="X49" s="102">
        <v>4.3987038164960857E-2</v>
      </c>
      <c r="Y49" s="102">
        <v>4.1063061556773722E-2</v>
      </c>
      <c r="DA49" s="175" t="s">
        <v>230</v>
      </c>
    </row>
    <row r="50" spans="1:105" ht="11.45" customHeight="1" x14ac:dyDescent="0.25">
      <c r="A50" s="92" t="s">
        <v>181</v>
      </c>
      <c r="B50" s="102">
        <v>6.173187635821261E-2</v>
      </c>
      <c r="C50" s="102">
        <v>7.274660318256744E-2</v>
      </c>
      <c r="D50" s="102">
        <v>7.4730730166694431E-2</v>
      </c>
      <c r="E50" s="102">
        <v>6.897676191272617E-2</v>
      </c>
      <c r="F50" s="102">
        <v>7.0762476198440463E-2</v>
      </c>
      <c r="G50" s="102">
        <v>9.0977165660290835E-2</v>
      </c>
      <c r="H50" s="102">
        <v>0.101600447444745</v>
      </c>
      <c r="I50" s="102">
        <v>0.12389627664636266</v>
      </c>
      <c r="J50" s="102">
        <v>0.11865151776560903</v>
      </c>
      <c r="K50" s="102">
        <v>0.1674283941544</v>
      </c>
      <c r="L50" s="102">
        <v>0.16186960282308596</v>
      </c>
      <c r="M50" s="102">
        <v>0.15663954188397938</v>
      </c>
      <c r="N50" s="102">
        <v>0.15232529850916202</v>
      </c>
      <c r="O50" s="102">
        <v>0.14618875342213322</v>
      </c>
      <c r="P50" s="102">
        <v>0.14001556578631194</v>
      </c>
      <c r="Q50" s="102">
        <v>0.13384237815049069</v>
      </c>
      <c r="R50" s="102">
        <v>0.12766919051466941</v>
      </c>
      <c r="S50" s="102">
        <v>0.12149600287884814</v>
      </c>
      <c r="T50" s="102">
        <v>0.11532281524302687</v>
      </c>
      <c r="U50" s="102">
        <v>0.10950975306108329</v>
      </c>
      <c r="V50" s="102">
        <v>0.11678552536508233</v>
      </c>
      <c r="W50" s="102">
        <v>0.14554796961201003</v>
      </c>
      <c r="X50" s="102">
        <v>0.15534538321423566</v>
      </c>
      <c r="Y50" s="102">
        <v>0.16937082579145774</v>
      </c>
      <c r="DA50" s="175" t="s">
        <v>231</v>
      </c>
    </row>
    <row r="51" spans="1:105" ht="11.45" customHeight="1" x14ac:dyDescent="0.25">
      <c r="A51" s="85" t="s">
        <v>182</v>
      </c>
      <c r="B51" s="86">
        <v>9.4722598105548041E-3</v>
      </c>
      <c r="C51" s="86">
        <v>1.0825439783491205E-2</v>
      </c>
      <c r="D51" s="86">
        <v>1.0825439783491205E-2</v>
      </c>
      <c r="E51" s="86">
        <v>1.2178619756427604E-2</v>
      </c>
      <c r="F51" s="86">
        <v>1.2178619756427604E-2</v>
      </c>
      <c r="G51" s="86">
        <v>1.3071895424836602E-2</v>
      </c>
      <c r="H51" s="86">
        <v>1.2135922330097087E-2</v>
      </c>
      <c r="I51" s="86">
        <v>1.3546798029556651E-2</v>
      </c>
      <c r="J51" s="86">
        <v>1.3836477987421384E-2</v>
      </c>
      <c r="K51" s="86">
        <v>1.2889252006365903E-2</v>
      </c>
      <c r="L51" s="86">
        <v>1.1942026025310422E-2</v>
      </c>
      <c r="M51" s="86">
        <v>3.0346820809248554E-2</v>
      </c>
      <c r="N51" s="86">
        <v>2.9399594828193074E-2</v>
      </c>
      <c r="O51" s="86">
        <v>2.8452368847137595E-2</v>
      </c>
      <c r="P51" s="86">
        <v>2.7505142866082116E-2</v>
      </c>
      <c r="Q51" s="86">
        <v>2.9177718832891247E-2</v>
      </c>
      <c r="R51" s="86">
        <v>3.3434650455927049E-2</v>
      </c>
      <c r="S51" s="86">
        <v>3.8062283737024222E-2</v>
      </c>
      <c r="T51" s="86">
        <v>0.17716535433070865</v>
      </c>
      <c r="U51" s="86">
        <v>0.17621812834965317</v>
      </c>
      <c r="V51" s="86">
        <v>0.17574451535912544</v>
      </c>
      <c r="W51" s="86">
        <v>0.17527090236859771</v>
      </c>
      <c r="X51" s="86">
        <v>0.17479728937806999</v>
      </c>
      <c r="Y51" s="86">
        <v>0.17432367638754226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7.1755547291155825E-2</v>
      </c>
      <c r="C53" s="54">
        <f t="shared" si="39"/>
        <v>0.49692329058030454</v>
      </c>
      <c r="D53" s="54">
        <f t="shared" ref="D53:V53" si="40">SUM(D54,D58)</f>
        <v>0.46400587822878475</v>
      </c>
      <c r="E53" s="54">
        <f t="shared" si="40"/>
        <v>0.36375844346189296</v>
      </c>
      <c r="F53" s="54">
        <f t="shared" si="40"/>
        <v>2.3587686846219489</v>
      </c>
      <c r="G53" s="54">
        <f t="shared" si="40"/>
        <v>3.5360192176197156</v>
      </c>
      <c r="H53" s="54">
        <f t="shared" si="40"/>
        <v>2.6010252134016243</v>
      </c>
      <c r="I53" s="54">
        <f t="shared" si="40"/>
        <v>1.5068701611506516</v>
      </c>
      <c r="J53" s="54">
        <f t="shared" si="40"/>
        <v>1.1722627046778407</v>
      </c>
      <c r="K53" s="54">
        <f t="shared" si="40"/>
        <v>0.39495941222313735</v>
      </c>
      <c r="L53" s="54">
        <f t="shared" si="40"/>
        <v>1.6822407558262436</v>
      </c>
      <c r="M53" s="54">
        <f t="shared" si="40"/>
        <v>0.27303569453143811</v>
      </c>
      <c r="N53" s="54">
        <f t="shared" si="40"/>
        <v>1.0889947768161983</v>
      </c>
      <c r="O53" s="54">
        <f t="shared" si="40"/>
        <v>1.8015302464422398</v>
      </c>
      <c r="P53" s="54">
        <f t="shared" si="40"/>
        <v>1.7196079045267711</v>
      </c>
      <c r="Q53" s="54">
        <f t="shared" si="40"/>
        <v>1.8174484874733416</v>
      </c>
      <c r="R53" s="54">
        <f t="shared" si="40"/>
        <v>3.6068144172684251</v>
      </c>
      <c r="S53" s="54">
        <f t="shared" si="40"/>
        <v>4.0437627376556691</v>
      </c>
      <c r="T53" s="54">
        <f t="shared" si="40"/>
        <v>4.374393255579375</v>
      </c>
      <c r="U53" s="54">
        <f t="shared" si="40"/>
        <v>2.3912062500167073</v>
      </c>
      <c r="V53" s="54">
        <f t="shared" si="40"/>
        <v>9.7340592439255497E-3</v>
      </c>
      <c r="W53" s="54">
        <f t="shared" ref="W53:Y53" si="41">SUM(W54,W58)</f>
        <v>3.12207311868542E-2</v>
      </c>
      <c r="X53" s="54">
        <f t="shared" si="41"/>
        <v>0.36330935401691378</v>
      </c>
      <c r="Y53" s="54">
        <f t="shared" si="41"/>
        <v>2.0872281425713997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6.6765285995767254E-2</v>
      </c>
      <c r="C54" s="11">
        <f t="shared" si="42"/>
        <v>0.46706312963166763</v>
      </c>
      <c r="D54" s="11">
        <f t="shared" ref="D54:V54" si="43">SUM(D55:D57)</f>
        <v>0.45687517610565775</v>
      </c>
      <c r="E54" s="11">
        <f t="shared" si="43"/>
        <v>0.36186820597195657</v>
      </c>
      <c r="F54" s="11">
        <f t="shared" si="43"/>
        <v>2.3511866226176377</v>
      </c>
      <c r="G54" s="11">
        <f t="shared" si="43"/>
        <v>3.4939584831340671</v>
      </c>
      <c r="H54" s="11">
        <f t="shared" si="43"/>
        <v>2.5753607748733085</v>
      </c>
      <c r="I54" s="11">
        <f t="shared" si="43"/>
        <v>1.4550174066915007</v>
      </c>
      <c r="J54" s="11">
        <f t="shared" si="43"/>
        <v>1.1666011190688126</v>
      </c>
      <c r="K54" s="11">
        <f t="shared" si="43"/>
        <v>0.34375764906134643</v>
      </c>
      <c r="L54" s="11">
        <f t="shared" si="43"/>
        <v>1.6818693693795894</v>
      </c>
      <c r="M54" s="11">
        <f t="shared" si="43"/>
        <v>0.25338758626452229</v>
      </c>
      <c r="N54" s="11">
        <f t="shared" si="43"/>
        <v>1.0871964937619314</v>
      </c>
      <c r="O54" s="11">
        <f t="shared" si="43"/>
        <v>1.8015302464422398</v>
      </c>
      <c r="P54" s="11">
        <f t="shared" si="43"/>
        <v>1.7196079045267711</v>
      </c>
      <c r="Q54" s="11">
        <f t="shared" si="43"/>
        <v>1.8154150635135324</v>
      </c>
      <c r="R54" s="11">
        <f t="shared" si="43"/>
        <v>3.6021966376523893</v>
      </c>
      <c r="S54" s="11">
        <f t="shared" si="43"/>
        <v>4.0387742563815721</v>
      </c>
      <c r="T54" s="11">
        <f t="shared" si="43"/>
        <v>4.2349293369926908</v>
      </c>
      <c r="U54" s="11">
        <f t="shared" si="43"/>
        <v>2.3909067857695665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0.35108705364168813</v>
      </c>
      <c r="Y54" s="11">
        <f t="shared" si="44"/>
        <v>2.0701343410418249</v>
      </c>
      <c r="DA54" s="189" t="s">
        <v>234</v>
      </c>
    </row>
    <row r="55" spans="1:105" ht="11.45" customHeight="1" x14ac:dyDescent="0.25">
      <c r="A55" s="83" t="s">
        <v>27</v>
      </c>
      <c r="B55" s="84">
        <v>6.6765285995767254E-2</v>
      </c>
      <c r="C55" s="84">
        <v>7.0569174415040514E-2</v>
      </c>
      <c r="D55" s="84">
        <v>0.45687517610565775</v>
      </c>
      <c r="E55" s="84">
        <v>0.32881093265679873</v>
      </c>
      <c r="F55" s="84">
        <v>0.32838827838799034</v>
      </c>
      <c r="G55" s="84">
        <v>0.1069203094156177</v>
      </c>
      <c r="H55" s="84">
        <v>0</v>
      </c>
      <c r="I55" s="84">
        <v>0.20468124906789997</v>
      </c>
      <c r="J55" s="84">
        <v>0.36267232893299539</v>
      </c>
      <c r="K55" s="84">
        <v>0.19425426105711985</v>
      </c>
      <c r="L55" s="84">
        <v>0</v>
      </c>
      <c r="M55" s="84">
        <v>6.1387868828167935E-2</v>
      </c>
      <c r="N55" s="84">
        <v>0</v>
      </c>
      <c r="O55" s="84">
        <v>0</v>
      </c>
      <c r="P55" s="84">
        <v>0.39620095857170234</v>
      </c>
      <c r="Q55" s="84">
        <v>2.2760467502693782E-2</v>
      </c>
      <c r="R55" s="84">
        <v>0.33726414872862254</v>
      </c>
      <c r="S55" s="84">
        <v>6.9893926151244568E-2</v>
      </c>
      <c r="T55" s="84">
        <v>0.12041200750095316</v>
      </c>
      <c r="U55" s="84">
        <v>0.10786504991889201</v>
      </c>
      <c r="V55" s="84">
        <v>0</v>
      </c>
      <c r="W55" s="84">
        <v>0</v>
      </c>
      <c r="X55" s="84">
        <v>0</v>
      </c>
      <c r="Y55" s="84">
        <v>0.20640010237308948</v>
      </c>
      <c r="DA55" s="171" t="s">
        <v>235</v>
      </c>
    </row>
    <row r="56" spans="1:105" ht="11.45" customHeight="1" x14ac:dyDescent="0.25">
      <c r="A56" s="83" t="s">
        <v>181</v>
      </c>
      <c r="B56" s="84">
        <v>0</v>
      </c>
      <c r="C56" s="84">
        <v>0.32308854981146506</v>
      </c>
      <c r="D56" s="84">
        <v>0</v>
      </c>
      <c r="E56" s="84">
        <v>2.7759976018103621E-2</v>
      </c>
      <c r="F56" s="84">
        <v>1.6488523982839443</v>
      </c>
      <c r="G56" s="84">
        <v>3.3061511070854963</v>
      </c>
      <c r="H56" s="84">
        <v>2.3420658392798024</v>
      </c>
      <c r="I56" s="84">
        <v>0.86524205920556196</v>
      </c>
      <c r="J56" s="84">
        <v>9.5047545317012538E-2</v>
      </c>
      <c r="K56" s="84">
        <v>0.14950338800422658</v>
      </c>
      <c r="L56" s="84">
        <v>1.022126293741481</v>
      </c>
      <c r="M56" s="84">
        <v>0</v>
      </c>
      <c r="N56" s="84">
        <v>0.80819027111333297</v>
      </c>
      <c r="O56" s="84">
        <v>1.8015302464422398</v>
      </c>
      <c r="P56" s="84">
        <v>1.3234069459550688</v>
      </c>
      <c r="Q56" s="84">
        <v>0.98387066541703649</v>
      </c>
      <c r="R56" s="84">
        <v>2.5004975771566067</v>
      </c>
      <c r="S56" s="84">
        <v>3.4825235568317385</v>
      </c>
      <c r="T56" s="84">
        <v>2.4329745661326561</v>
      </c>
      <c r="U56" s="84">
        <v>2.1756879132409717</v>
      </c>
      <c r="V56" s="84">
        <v>0</v>
      </c>
      <c r="W56" s="84">
        <v>0</v>
      </c>
      <c r="X56" s="84">
        <v>0.35108705364168813</v>
      </c>
      <c r="Y56" s="84">
        <v>1.8637342386687354</v>
      </c>
      <c r="DA56" s="171" t="s">
        <v>236</v>
      </c>
    </row>
    <row r="57" spans="1:105" ht="11.45" customHeight="1" x14ac:dyDescent="0.25">
      <c r="A57" s="83" t="s">
        <v>182</v>
      </c>
      <c r="B57" s="84">
        <v>0</v>
      </c>
      <c r="C57" s="84">
        <v>7.340540540516205E-2</v>
      </c>
      <c r="D57" s="84">
        <v>0</v>
      </c>
      <c r="E57" s="84">
        <v>5.2972972970541932E-3</v>
      </c>
      <c r="F57" s="84">
        <v>0.37394594594570285</v>
      </c>
      <c r="G57" s="84">
        <v>8.0887066632953086E-2</v>
      </c>
      <c r="H57" s="84">
        <v>0.23329493559350611</v>
      </c>
      <c r="I57" s="84">
        <v>0.38509409841803866</v>
      </c>
      <c r="J57" s="84">
        <v>0.70888124481880466</v>
      </c>
      <c r="K57" s="84">
        <v>0</v>
      </c>
      <c r="L57" s="84">
        <v>0.65974307563810841</v>
      </c>
      <c r="M57" s="84">
        <v>0.19199971743635436</v>
      </c>
      <c r="N57" s="84">
        <v>0.27900622264859853</v>
      </c>
      <c r="O57" s="84">
        <v>0</v>
      </c>
      <c r="P57" s="84">
        <v>0</v>
      </c>
      <c r="Q57" s="84">
        <v>0.80878393059380205</v>
      </c>
      <c r="R57" s="84">
        <v>0.76443491176716005</v>
      </c>
      <c r="S57" s="84">
        <v>0.48635677339858852</v>
      </c>
      <c r="T57" s="84">
        <v>1.681542763359082</v>
      </c>
      <c r="U57" s="84">
        <v>0.10735382260970283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4.9902612953885653E-3</v>
      </c>
      <c r="C58" s="13">
        <f t="shared" si="45"/>
        <v>2.9860160948636909E-2</v>
      </c>
      <c r="D58" s="13">
        <f t="shared" ref="D58:V58" si="46">SUM(D59:D61)</f>
        <v>7.1307021231269904E-3</v>
      </c>
      <c r="E58" s="13">
        <f t="shared" si="46"/>
        <v>1.8902374899364004E-3</v>
      </c>
      <c r="F58" s="13">
        <f t="shared" si="46"/>
        <v>7.5820620043114354E-3</v>
      </c>
      <c r="G58" s="13">
        <f t="shared" si="46"/>
        <v>4.2060734485648447E-2</v>
      </c>
      <c r="H58" s="13">
        <f t="shared" si="46"/>
        <v>2.5664438528315858E-2</v>
      </c>
      <c r="I58" s="13">
        <f t="shared" si="46"/>
        <v>5.1852754459151038E-2</v>
      </c>
      <c r="J58" s="13">
        <f t="shared" si="46"/>
        <v>5.6615856090280487E-3</v>
      </c>
      <c r="K58" s="13">
        <f t="shared" si="46"/>
        <v>5.1201763161790953E-2</v>
      </c>
      <c r="L58" s="13">
        <f t="shared" si="46"/>
        <v>3.7138644665421017E-4</v>
      </c>
      <c r="M58" s="13">
        <f t="shared" si="46"/>
        <v>1.9648108266915813E-2</v>
      </c>
      <c r="N58" s="13">
        <f t="shared" si="46"/>
        <v>1.7982830542668604E-3</v>
      </c>
      <c r="O58" s="13">
        <f t="shared" si="46"/>
        <v>0</v>
      </c>
      <c r="P58" s="13">
        <f t="shared" si="46"/>
        <v>0</v>
      </c>
      <c r="Q58" s="13">
        <f t="shared" si="46"/>
        <v>2.033423959809131E-3</v>
      </c>
      <c r="R58" s="13">
        <f t="shared" si="46"/>
        <v>4.6177796160358012E-3</v>
      </c>
      <c r="S58" s="13">
        <f t="shared" si="46"/>
        <v>4.9884812740971715E-3</v>
      </c>
      <c r="T58" s="13">
        <f t="shared" si="46"/>
        <v>0.13946391858668444</v>
      </c>
      <c r="U58" s="13">
        <f t="shared" si="46"/>
        <v>2.9946424714065532E-4</v>
      </c>
      <c r="V58" s="13">
        <f t="shared" si="46"/>
        <v>9.7340592439255497E-3</v>
      </c>
      <c r="W58" s="13">
        <f t="shared" ref="W58:Y58" si="47">SUM(W59:W61)</f>
        <v>3.12207311868542E-2</v>
      </c>
      <c r="X58" s="13">
        <f t="shared" si="47"/>
        <v>1.2222300375225623E-2</v>
      </c>
      <c r="Y58" s="13">
        <f t="shared" si="47"/>
        <v>1.7093801529574713E-2</v>
      </c>
      <c r="DA58" s="193" t="s">
        <v>238</v>
      </c>
    </row>
    <row r="59" spans="1:105" ht="11.45" customHeight="1" x14ac:dyDescent="0.25">
      <c r="A59" s="92" t="s">
        <v>27</v>
      </c>
      <c r="B59" s="102">
        <v>4.9599306913885657E-3</v>
      </c>
      <c r="C59" s="102">
        <v>1.4706519385345673E-2</v>
      </c>
      <c r="D59" s="102">
        <v>2.3608403729999949E-3</v>
      </c>
      <c r="E59" s="102">
        <v>0</v>
      </c>
      <c r="F59" s="102">
        <v>3.0106129525971359E-3</v>
      </c>
      <c r="G59" s="102">
        <v>1.8167034589389078E-2</v>
      </c>
      <c r="H59" s="102">
        <v>1.2616269970861682E-2</v>
      </c>
      <c r="I59" s="102">
        <v>2.5360314792073804E-2</v>
      </c>
      <c r="J59" s="102">
        <v>4.7591649700033933E-3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3.0330604000000042E-5</v>
      </c>
      <c r="C60" s="102">
        <v>1.3439613597354837E-2</v>
      </c>
      <c r="D60" s="102">
        <v>4.4090137571269963E-3</v>
      </c>
      <c r="E60" s="102">
        <v>1.7620952400000016E-4</v>
      </c>
      <c r="F60" s="102">
        <v>4.2106010587142986E-3</v>
      </c>
      <c r="G60" s="102">
        <v>2.263957623485037E-2</v>
      </c>
      <c r="H60" s="102">
        <v>1.3048168557454175E-2</v>
      </c>
      <c r="I60" s="102">
        <v>2.4720715974617669E-2</v>
      </c>
      <c r="J60" s="102">
        <v>2.518926881599228E-4</v>
      </c>
      <c r="K60" s="102">
        <v>5.1201763161790953E-2</v>
      </c>
      <c r="L60" s="102">
        <v>3.7138644665421017E-4</v>
      </c>
      <c r="M60" s="102">
        <v>8.8246548997768064E-4</v>
      </c>
      <c r="N60" s="102">
        <v>1.7982830542668604E-3</v>
      </c>
      <c r="O60" s="102">
        <v>0</v>
      </c>
      <c r="P60" s="102">
        <v>0</v>
      </c>
      <c r="Q60" s="102">
        <v>0</v>
      </c>
      <c r="R60" s="102">
        <v>0</v>
      </c>
      <c r="S60" s="102">
        <v>0</v>
      </c>
      <c r="T60" s="102">
        <v>0</v>
      </c>
      <c r="U60" s="102">
        <v>2.9946424714065532E-4</v>
      </c>
      <c r="V60" s="102">
        <v>9.7340592439255497E-3</v>
      </c>
      <c r="W60" s="102">
        <v>3.12207311868542E-2</v>
      </c>
      <c r="X60" s="102">
        <v>1.2222300375225623E-2</v>
      </c>
      <c r="Y60" s="102">
        <v>1.7093801529574713E-2</v>
      </c>
      <c r="DA60" s="175" t="s">
        <v>240</v>
      </c>
    </row>
    <row r="61" spans="1:105" ht="11.45" customHeight="1" x14ac:dyDescent="0.25">
      <c r="A61" s="85" t="s">
        <v>182</v>
      </c>
      <c r="B61" s="86">
        <v>0</v>
      </c>
      <c r="C61" s="86">
        <v>1.7140279659364002E-3</v>
      </c>
      <c r="D61" s="86">
        <v>3.6084799299999915E-4</v>
      </c>
      <c r="E61" s="86">
        <v>1.7140279659364002E-3</v>
      </c>
      <c r="F61" s="86">
        <v>3.6084799300000088E-4</v>
      </c>
      <c r="G61" s="86">
        <v>1.2541236614089981E-3</v>
      </c>
      <c r="H61" s="86">
        <v>0</v>
      </c>
      <c r="I61" s="86">
        <v>1.771723692459563E-3</v>
      </c>
      <c r="J61" s="86">
        <v>6.5052795086473214E-4</v>
      </c>
      <c r="K61" s="86">
        <v>0</v>
      </c>
      <c r="L61" s="86">
        <v>0</v>
      </c>
      <c r="M61" s="86">
        <v>1.8765642776938131E-2</v>
      </c>
      <c r="N61" s="86">
        <v>0</v>
      </c>
      <c r="O61" s="86">
        <v>0</v>
      </c>
      <c r="P61" s="86">
        <v>0</v>
      </c>
      <c r="Q61" s="86">
        <v>2.033423959809131E-3</v>
      </c>
      <c r="R61" s="86">
        <v>4.6177796160358012E-3</v>
      </c>
      <c r="S61" s="86">
        <v>4.9884812740971715E-3</v>
      </c>
      <c r="T61" s="86">
        <v>0.13946391858668444</v>
      </c>
      <c r="U61" s="86">
        <v>0</v>
      </c>
      <c r="V61" s="86">
        <v>0</v>
      </c>
      <c r="W61" s="86">
        <v>0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73.577705691536423</v>
      </c>
      <c r="C66" s="14">
        <f t="shared" si="48"/>
        <v>73.807138999361712</v>
      </c>
      <c r="D66" s="14">
        <f t="shared" ref="D66:V66" si="49">IF(D34=0,0,D34/D24)</f>
        <v>74.238306035118782</v>
      </c>
      <c r="E66" s="14">
        <f t="shared" si="49"/>
        <v>74.841318681318683</v>
      </c>
      <c r="F66" s="14">
        <f t="shared" si="49"/>
        <v>75.52277703834099</v>
      </c>
      <c r="G66" s="14">
        <f t="shared" si="49"/>
        <v>76.793377627709404</v>
      </c>
      <c r="H66" s="14">
        <f t="shared" si="49"/>
        <v>78.413624103677392</v>
      </c>
      <c r="I66" s="14">
        <f t="shared" si="49"/>
        <v>79.4259218440029</v>
      </c>
      <c r="J66" s="14">
        <f t="shared" si="49"/>
        <v>79.75885753356539</v>
      </c>
      <c r="K66" s="14">
        <f t="shared" si="49"/>
        <v>77.134658112971366</v>
      </c>
      <c r="L66" s="14">
        <f t="shared" si="49"/>
        <v>80.593755807470728</v>
      </c>
      <c r="M66" s="14">
        <f t="shared" si="49"/>
        <v>86.430076212900431</v>
      </c>
      <c r="N66" s="14">
        <f t="shared" si="49"/>
        <v>92.767019014453453</v>
      </c>
      <c r="O66" s="14">
        <f t="shared" si="49"/>
        <v>94.780030120481925</v>
      </c>
      <c r="P66" s="14">
        <f t="shared" si="49"/>
        <v>94.916204123244228</v>
      </c>
      <c r="Q66" s="14">
        <f t="shared" si="49"/>
        <v>97.907188253342099</v>
      </c>
      <c r="R66" s="14">
        <f t="shared" si="49"/>
        <v>99.993931587942441</v>
      </c>
      <c r="S66" s="14">
        <f t="shared" si="49"/>
        <v>107.16009039548022</v>
      </c>
      <c r="T66" s="14">
        <f t="shared" si="49"/>
        <v>108.82672303731765</v>
      </c>
      <c r="U66" s="14">
        <f t="shared" si="49"/>
        <v>111.80663915234732</v>
      </c>
      <c r="V66" s="14">
        <f t="shared" si="49"/>
        <v>62.943338617814575</v>
      </c>
      <c r="W66" s="14">
        <f t="shared" ref="W66:Y66" si="50">IF(W34=0,0,W34/W24)</f>
        <v>83.908594280001424</v>
      </c>
      <c r="X66" s="14">
        <f t="shared" si="50"/>
        <v>110.17433923416064</v>
      </c>
      <c r="Y66" s="14">
        <f t="shared" si="50"/>
        <v>115.12015369914815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73.978368355995059</v>
      </c>
      <c r="C67" s="87">
        <f t="shared" si="48"/>
        <v>73.516567194896069</v>
      </c>
      <c r="D67" s="87">
        <f t="shared" ref="D67:V67" si="51">IF(D35=0,0,D35/D25)</f>
        <v>73.307718933887159</v>
      </c>
      <c r="E67" s="87">
        <f t="shared" si="51"/>
        <v>73.314200813262431</v>
      </c>
      <c r="F67" s="87">
        <f t="shared" si="51"/>
        <v>73.320873163076044</v>
      </c>
      <c r="G67" s="87">
        <f t="shared" si="51"/>
        <v>72.968908988128888</v>
      </c>
      <c r="H67" s="87">
        <f t="shared" si="51"/>
        <v>72.654499778336046</v>
      </c>
      <c r="I67" s="87">
        <f t="shared" si="51"/>
        <v>72.246366586708064</v>
      </c>
      <c r="J67" s="87">
        <f t="shared" si="51"/>
        <v>72.048821117375709</v>
      </c>
      <c r="K67" s="87">
        <f t="shared" si="51"/>
        <v>64.096472901560773</v>
      </c>
      <c r="L67" s="87">
        <f t="shared" si="51"/>
        <v>64.861973775017248</v>
      </c>
      <c r="M67" s="87">
        <f t="shared" si="51"/>
        <v>69.251268705270007</v>
      </c>
      <c r="N67" s="87">
        <f t="shared" si="51"/>
        <v>73.442841439956027</v>
      </c>
      <c r="O67" s="87">
        <f t="shared" si="51"/>
        <v>73.454782231225579</v>
      </c>
      <c r="P67" s="87">
        <f t="shared" si="51"/>
        <v>66.273258077072796</v>
      </c>
      <c r="Q67" s="87">
        <f t="shared" si="51"/>
        <v>66.643996309476734</v>
      </c>
      <c r="R67" s="87">
        <f t="shared" si="51"/>
        <v>64.549273415557451</v>
      </c>
      <c r="S67" s="87">
        <f t="shared" si="51"/>
        <v>68.209128732256488</v>
      </c>
      <c r="T67" s="87">
        <f t="shared" si="51"/>
        <v>67.399518072289155</v>
      </c>
      <c r="U67" s="87">
        <f t="shared" si="51"/>
        <v>64.726632445983043</v>
      </c>
      <c r="V67" s="87">
        <f t="shared" si="51"/>
        <v>36.025792478834418</v>
      </c>
      <c r="W67" s="87">
        <f t="shared" ref="W67:Y67" si="52">IF(W35=0,0,W35/W25)</f>
        <v>37.349894926448513</v>
      </c>
      <c r="X67" s="87">
        <f t="shared" si="52"/>
        <v>54.390310132914109</v>
      </c>
      <c r="Y67" s="87">
        <f t="shared" si="52"/>
        <v>55.404547726136933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72.898868092032259</v>
      </c>
      <c r="C68" s="87">
        <f t="shared" si="48"/>
        <v>73.373956100805557</v>
      </c>
      <c r="D68" s="87">
        <f t="shared" ref="D68:V68" si="53">IF(D36=0,0,D36/D26)</f>
        <v>74.117183808473769</v>
      </c>
      <c r="E68" s="87">
        <f t="shared" si="53"/>
        <v>75.09383901684707</v>
      </c>
      <c r="F68" s="87">
        <f t="shared" si="53"/>
        <v>76.150056306306311</v>
      </c>
      <c r="G68" s="87">
        <f t="shared" si="53"/>
        <v>77.938856986601039</v>
      </c>
      <c r="H68" s="87">
        <f t="shared" si="53"/>
        <v>80.093080685757698</v>
      </c>
      <c r="I68" s="87">
        <f t="shared" si="53"/>
        <v>81.71560137457044</v>
      </c>
      <c r="J68" s="87">
        <f t="shared" si="53"/>
        <v>82.654984980689463</v>
      </c>
      <c r="K68" s="87">
        <f t="shared" si="53"/>
        <v>83.074689403166872</v>
      </c>
      <c r="L68" s="87">
        <f t="shared" si="53"/>
        <v>85.614083583208398</v>
      </c>
      <c r="M68" s="87">
        <f t="shared" si="53"/>
        <v>92.502801321649187</v>
      </c>
      <c r="N68" s="87">
        <f t="shared" si="53"/>
        <v>99.648882615855086</v>
      </c>
      <c r="O68" s="87">
        <f t="shared" si="53"/>
        <v>103.18397587201679</v>
      </c>
      <c r="P68" s="87">
        <f t="shared" si="53"/>
        <v>105.67742203052423</v>
      </c>
      <c r="Q68" s="87">
        <f t="shared" si="53"/>
        <v>110.73343829478019</v>
      </c>
      <c r="R68" s="87">
        <f t="shared" si="53"/>
        <v>113.55275470603171</v>
      </c>
      <c r="S68" s="87">
        <f t="shared" si="53"/>
        <v>118.96325425887598</v>
      </c>
      <c r="T68" s="87">
        <f t="shared" si="53"/>
        <v>120.34318830347425</v>
      </c>
      <c r="U68" s="87">
        <f t="shared" si="53"/>
        <v>124.023892661736</v>
      </c>
      <c r="V68" s="87">
        <f t="shared" si="53"/>
        <v>75.415516915516918</v>
      </c>
      <c r="W68" s="87">
        <f t="shared" ref="W68:Y68" si="54">IF(W36=0,0,W36/W26)</f>
        <v>99.573458702852875</v>
      </c>
      <c r="X68" s="87">
        <f t="shared" si="54"/>
        <v>123.11996751363267</v>
      </c>
      <c r="Y68" s="87">
        <f t="shared" si="54"/>
        <v>130.8544810427822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77.238987341772159</v>
      </c>
      <c r="C69" s="87">
        <f t="shared" si="48"/>
        <v>77.486090035407187</v>
      </c>
      <c r="D69" s="87">
        <f t="shared" ref="D69:V69" si="55">IF(D37=0,0,D37/D27)</f>
        <v>77.966037735849056</v>
      </c>
      <c r="E69" s="87">
        <f t="shared" si="55"/>
        <v>78.554626532887397</v>
      </c>
      <c r="F69" s="87">
        <f t="shared" si="55"/>
        <v>78.666827386692376</v>
      </c>
      <c r="G69" s="87">
        <f t="shared" si="55"/>
        <v>79.596700274977081</v>
      </c>
      <c r="H69" s="87">
        <f t="shared" si="55"/>
        <v>79.81303335919317</v>
      </c>
      <c r="I69" s="87">
        <f t="shared" si="55"/>
        <v>79.745518453427067</v>
      </c>
      <c r="J69" s="87">
        <f t="shared" si="55"/>
        <v>79.590761988820248</v>
      </c>
      <c r="K69" s="87">
        <f t="shared" si="55"/>
        <v>72.328272092317036</v>
      </c>
      <c r="L69" s="87">
        <f t="shared" si="55"/>
        <v>82.43927508790911</v>
      </c>
      <c r="M69" s="87">
        <f t="shared" si="55"/>
        <v>87.832345013477095</v>
      </c>
      <c r="N69" s="87">
        <f t="shared" si="55"/>
        <v>91.328651685393254</v>
      </c>
      <c r="O69" s="87">
        <f t="shared" si="55"/>
        <v>81.620639108765758</v>
      </c>
      <c r="P69" s="87">
        <f t="shared" si="55"/>
        <v>83.830231892356139</v>
      </c>
      <c r="Q69" s="87">
        <f t="shared" si="55"/>
        <v>78.484804630969606</v>
      </c>
      <c r="R69" s="87">
        <f t="shared" si="55"/>
        <v>81.876869716019939</v>
      </c>
      <c r="S69" s="87">
        <f t="shared" si="55"/>
        <v>95.952921035737219</v>
      </c>
      <c r="T69" s="87">
        <f t="shared" si="55"/>
        <v>100.14400291651476</v>
      </c>
      <c r="U69" s="87">
        <f t="shared" si="55"/>
        <v>102.9633628318584</v>
      </c>
      <c r="V69" s="87">
        <f t="shared" si="55"/>
        <v>66.398540145985407</v>
      </c>
      <c r="W69" s="87">
        <f t="shared" ref="W69:Y69" si="56">IF(W37=0,0,W37/W27)</f>
        <v>90.36429387133613</v>
      </c>
      <c r="X69" s="87">
        <f t="shared" si="56"/>
        <v>92.73115264797508</v>
      </c>
      <c r="Y69" s="87">
        <f t="shared" si="56"/>
        <v>90.420927467300828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14.273383341365026</v>
      </c>
      <c r="C70" s="15">
        <f t="shared" si="48"/>
        <v>14.255341674629681</v>
      </c>
      <c r="D70" s="15">
        <f t="shared" ref="D70:V70" si="57">IF(D38=0,0,D38/D28)</f>
        <v>14.403806012873474</v>
      </c>
      <c r="E70" s="15">
        <f t="shared" si="57"/>
        <v>15.276652235209911</v>
      </c>
      <c r="F70" s="15">
        <f t="shared" si="57"/>
        <v>14.408803408294954</v>
      </c>
      <c r="G70" s="15">
        <f t="shared" si="57"/>
        <v>13.623358581331678</v>
      </c>
      <c r="H70" s="15">
        <f t="shared" si="57"/>
        <v>12.85067885612694</v>
      </c>
      <c r="I70" s="15">
        <f t="shared" si="57"/>
        <v>12.611333185430251</v>
      </c>
      <c r="J70" s="15">
        <f t="shared" si="57"/>
        <v>12.346591113300784</v>
      </c>
      <c r="K70" s="15">
        <f t="shared" si="57"/>
        <v>12.897520457019063</v>
      </c>
      <c r="L70" s="15">
        <f t="shared" si="57"/>
        <v>14.042275446283943</v>
      </c>
      <c r="M70" s="15">
        <f t="shared" si="57"/>
        <v>17.473878455423808</v>
      </c>
      <c r="N70" s="15">
        <f t="shared" si="57"/>
        <v>16.784614438886717</v>
      </c>
      <c r="O70" s="15">
        <f t="shared" si="57"/>
        <v>18.145927120598962</v>
      </c>
      <c r="P70" s="15">
        <f t="shared" si="57"/>
        <v>20.04184690098101</v>
      </c>
      <c r="Q70" s="15">
        <f t="shared" si="57"/>
        <v>20.170595865876702</v>
      </c>
      <c r="R70" s="15">
        <f t="shared" si="57"/>
        <v>23.364035271410671</v>
      </c>
      <c r="S70" s="15">
        <f t="shared" si="57"/>
        <v>22.260704876590346</v>
      </c>
      <c r="T70" s="15">
        <f t="shared" si="57"/>
        <v>31.743583793922713</v>
      </c>
      <c r="U70" s="15">
        <f t="shared" si="57"/>
        <v>27.260736932936798</v>
      </c>
      <c r="V70" s="15">
        <f t="shared" si="57"/>
        <v>20.352122536288743</v>
      </c>
      <c r="W70" s="15">
        <f t="shared" ref="W70:Y70" si="58">IF(W38=0,0,W38/W28)</f>
        <v>21.909671986524152</v>
      </c>
      <c r="X70" s="15">
        <f t="shared" si="58"/>
        <v>22.916040141014978</v>
      </c>
      <c r="Y70" s="15">
        <f t="shared" si="58"/>
        <v>22.088792347868281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10.023284561418631</v>
      </c>
      <c r="C71" s="41">
        <f t="shared" si="48"/>
        <v>9.9468444225812966</v>
      </c>
      <c r="D71" s="41">
        <f t="shared" ref="D71:V71" si="59">IF(D39=0,0,D39/D29)</f>
        <v>10.228618824365732</v>
      </c>
      <c r="E71" s="41">
        <f t="shared" si="59"/>
        <v>10.880110401352557</v>
      </c>
      <c r="F71" s="41">
        <f t="shared" si="59"/>
        <v>10.245291210092235</v>
      </c>
      <c r="G71" s="41">
        <f t="shared" si="59"/>
        <v>10.026386560137624</v>
      </c>
      <c r="H71" s="41">
        <f t="shared" si="59"/>
        <v>9.6442955326529347</v>
      </c>
      <c r="I71" s="41">
        <f t="shared" si="59"/>
        <v>9.6084865500782293</v>
      </c>
      <c r="J71" s="41">
        <f t="shared" si="59"/>
        <v>9.2442542001847308</v>
      </c>
      <c r="K71" s="41">
        <f t="shared" si="59"/>
        <v>9.3240998338960406</v>
      </c>
      <c r="L71" s="41">
        <f t="shared" si="59"/>
        <v>9.9726932495609368</v>
      </c>
      <c r="M71" s="41">
        <f t="shared" si="59"/>
        <v>10.895437219200758</v>
      </c>
      <c r="N71" s="41">
        <f t="shared" si="59"/>
        <v>11.19133112954926</v>
      </c>
      <c r="O71" s="41">
        <f t="shared" si="59"/>
        <v>11.472606557577453</v>
      </c>
      <c r="P71" s="41">
        <f t="shared" si="59"/>
        <v>12.867097049767036</v>
      </c>
      <c r="Q71" s="41">
        <f t="shared" si="59"/>
        <v>13.240298620670723</v>
      </c>
      <c r="R71" s="41">
        <f t="shared" si="59"/>
        <v>15.261225204177912</v>
      </c>
      <c r="S71" s="41">
        <f t="shared" si="59"/>
        <v>14.037407282807472</v>
      </c>
      <c r="T71" s="41">
        <f t="shared" si="59"/>
        <v>14.287770694726392</v>
      </c>
      <c r="U71" s="41">
        <f t="shared" si="59"/>
        <v>15.803408783848623</v>
      </c>
      <c r="V71" s="41">
        <f t="shared" si="59"/>
        <v>14.565549583941408</v>
      </c>
      <c r="W71" s="41">
        <f t="shared" ref="W71:Y71" si="60">IF(W39=0,0,W39/W29)</f>
        <v>14.733887425092286</v>
      </c>
      <c r="X71" s="41">
        <f t="shared" si="60"/>
        <v>14.903133727895911</v>
      </c>
      <c r="Y71" s="41">
        <f t="shared" si="60"/>
        <v>14.791343727721088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16.347531780245252</v>
      </c>
      <c r="D72" s="41">
        <f t="shared" ref="D72:V72" si="61">IF(D40=0,0,D40/D30)</f>
        <v>16.365143935076347</v>
      </c>
      <c r="E72" s="41">
        <f t="shared" si="61"/>
        <v>17.221696677308703</v>
      </c>
      <c r="F72" s="41">
        <f t="shared" si="61"/>
        <v>16.065947226318933</v>
      </c>
      <c r="G72" s="41">
        <f t="shared" si="61"/>
        <v>15.202475894043333</v>
      </c>
      <c r="H72" s="41">
        <f t="shared" si="61"/>
        <v>14.017847842266166</v>
      </c>
      <c r="I72" s="41">
        <f t="shared" si="61"/>
        <v>13.786843762306624</v>
      </c>
      <c r="J72" s="41">
        <f t="shared" si="61"/>
        <v>13.706049515651268</v>
      </c>
      <c r="K72" s="41">
        <f t="shared" si="61"/>
        <v>13.698894254303415</v>
      </c>
      <c r="L72" s="41">
        <f t="shared" si="61"/>
        <v>14.504774438576119</v>
      </c>
      <c r="M72" s="41">
        <f t="shared" si="61"/>
        <v>15.593990976967522</v>
      </c>
      <c r="N72" s="41">
        <f t="shared" si="61"/>
        <v>16.668272444699472</v>
      </c>
      <c r="O72" s="41">
        <f t="shared" si="61"/>
        <v>16.75700658505092</v>
      </c>
      <c r="P72" s="41">
        <f t="shared" si="61"/>
        <v>18.449412678664508</v>
      </c>
      <c r="Q72" s="41">
        <f t="shared" si="61"/>
        <v>18.477606558493591</v>
      </c>
      <c r="R72" s="41">
        <f t="shared" si="61"/>
        <v>20.847919403023049</v>
      </c>
      <c r="S72" s="41">
        <f t="shared" si="61"/>
        <v>19.377525185076976</v>
      </c>
      <c r="T72" s="41">
        <f t="shared" si="61"/>
        <v>19.225461196308373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53.587012042781268</v>
      </c>
      <c r="X73" s="40">
        <f t="shared" si="64"/>
        <v>60.501674061496317</v>
      </c>
      <c r="Y73" s="40">
        <f t="shared" si="64"/>
        <v>63.067440817812063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847.97281986736846</v>
      </c>
      <c r="C75" s="62">
        <f t="shared" si="65"/>
        <v>847.56243734711097</v>
      </c>
      <c r="D75" s="62">
        <f t="shared" ref="D75:V75" si="66">IF(D13=0,0,D13*1000000/D23)</f>
        <v>817.41055824148054</v>
      </c>
      <c r="E75" s="62">
        <f t="shared" si="66"/>
        <v>799.05752855017568</v>
      </c>
      <c r="F75" s="62">
        <f t="shared" si="66"/>
        <v>806.71599509660791</v>
      </c>
      <c r="G75" s="62">
        <f t="shared" si="66"/>
        <v>840.30951400463141</v>
      </c>
      <c r="H75" s="62">
        <f t="shared" si="66"/>
        <v>852.66417961928778</v>
      </c>
      <c r="I75" s="62">
        <f t="shared" si="66"/>
        <v>857.18649651702049</v>
      </c>
      <c r="J75" s="62">
        <f t="shared" si="66"/>
        <v>861.35777827280128</v>
      </c>
      <c r="K75" s="62">
        <f t="shared" si="66"/>
        <v>857.70070790764362</v>
      </c>
      <c r="L75" s="62">
        <f t="shared" si="66"/>
        <v>909.65832196088445</v>
      </c>
      <c r="M75" s="62">
        <f t="shared" si="66"/>
        <v>887.117018031106</v>
      </c>
      <c r="N75" s="62">
        <f t="shared" si="66"/>
        <v>924.75370365257697</v>
      </c>
      <c r="O75" s="62">
        <f t="shared" si="66"/>
        <v>962.21266152047053</v>
      </c>
      <c r="P75" s="62">
        <f t="shared" si="66"/>
        <v>958.27250874869992</v>
      </c>
      <c r="Q75" s="62">
        <f t="shared" si="66"/>
        <v>978.4351904372445</v>
      </c>
      <c r="R75" s="62">
        <f t="shared" si="66"/>
        <v>1008.1254050680906</v>
      </c>
      <c r="S75" s="62">
        <f t="shared" si="66"/>
        <v>1063.395514117457</v>
      </c>
      <c r="T75" s="62">
        <f t="shared" si="66"/>
        <v>1119.8388816171082</v>
      </c>
      <c r="U75" s="62">
        <f t="shared" si="66"/>
        <v>1117.1651146431764</v>
      </c>
      <c r="V75" s="62">
        <f t="shared" si="66"/>
        <v>868.25352177736568</v>
      </c>
      <c r="W75" s="62">
        <f t="shared" ref="W75:Y75" si="67">IF(W13=0,0,W13*1000000/W23)</f>
        <v>979.61505438521908</v>
      </c>
      <c r="X75" s="62">
        <f t="shared" si="67"/>
        <v>1073.8394003145875</v>
      </c>
      <c r="Y75" s="62">
        <f t="shared" si="67"/>
        <v>1052.5190985019683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849.62550740232189</v>
      </c>
      <c r="C76" s="14">
        <f t="shared" si="65"/>
        <v>849.60166297436547</v>
      </c>
      <c r="D76" s="14">
        <f t="shared" ref="D76:V76" si="68">IF(D14=0,0,D14*1000000/D24)</f>
        <v>819.13807492050398</v>
      </c>
      <c r="E76" s="14">
        <f t="shared" si="68"/>
        <v>800.36577701169597</v>
      </c>
      <c r="F76" s="14">
        <f t="shared" si="68"/>
        <v>807.94707640507795</v>
      </c>
      <c r="G76" s="14">
        <f t="shared" si="68"/>
        <v>841.854419385646</v>
      </c>
      <c r="H76" s="14">
        <f t="shared" si="68"/>
        <v>854.58192269295387</v>
      </c>
      <c r="I76" s="14">
        <f t="shared" si="68"/>
        <v>859.65051151032992</v>
      </c>
      <c r="J76" s="14">
        <f t="shared" si="68"/>
        <v>863.90942208004537</v>
      </c>
      <c r="K76" s="14">
        <f t="shared" si="68"/>
        <v>859.659167953929</v>
      </c>
      <c r="L76" s="14">
        <f t="shared" si="68"/>
        <v>911.58371227773262</v>
      </c>
      <c r="M76" s="14">
        <f t="shared" si="68"/>
        <v>888.7334652215975</v>
      </c>
      <c r="N76" s="14">
        <f t="shared" si="68"/>
        <v>926.95773213722407</v>
      </c>
      <c r="O76" s="14">
        <f t="shared" si="68"/>
        <v>963.62728589808762</v>
      </c>
      <c r="P76" s="14">
        <f t="shared" si="68"/>
        <v>959.15397205720137</v>
      </c>
      <c r="Q76" s="14">
        <f t="shared" si="68"/>
        <v>978.99757274163346</v>
      </c>
      <c r="R76" s="14">
        <f t="shared" si="68"/>
        <v>1008.2061566218221</v>
      </c>
      <c r="S76" s="14">
        <f t="shared" si="68"/>
        <v>1063.2908294380145</v>
      </c>
      <c r="T76" s="14">
        <f t="shared" si="68"/>
        <v>1115.0703251163309</v>
      </c>
      <c r="U76" s="14">
        <f t="shared" si="68"/>
        <v>1114.8123452126408</v>
      </c>
      <c r="V76" s="14">
        <f t="shared" si="68"/>
        <v>869.22263900481187</v>
      </c>
      <c r="W76" s="14">
        <f t="shared" ref="W76:Y76" si="69">IF(W14=0,0,W14*1000000/W24)</f>
        <v>980.50355255196359</v>
      </c>
      <c r="X76" s="14">
        <f t="shared" si="69"/>
        <v>1075.3231745177093</v>
      </c>
      <c r="Y76" s="14">
        <f t="shared" si="69"/>
        <v>1053.0589946289135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341.45065168105816</v>
      </c>
      <c r="C77" s="39">
        <f t="shared" si="65"/>
        <v>341.45065168105816</v>
      </c>
      <c r="D77" s="39">
        <f t="shared" ref="D77:V77" si="70">IF(D15=0,0,D15*1000000/D25)</f>
        <v>341.45065168105816</v>
      </c>
      <c r="E77" s="39">
        <f t="shared" si="70"/>
        <v>341.45065168105816</v>
      </c>
      <c r="F77" s="39">
        <f t="shared" si="70"/>
        <v>341.45065168105816</v>
      </c>
      <c r="G77" s="39">
        <f t="shared" si="70"/>
        <v>345.9735428417942</v>
      </c>
      <c r="H77" s="39">
        <f t="shared" si="70"/>
        <v>339.09654950848511</v>
      </c>
      <c r="I77" s="39">
        <f t="shared" si="70"/>
        <v>339.27807621115414</v>
      </c>
      <c r="J77" s="39">
        <f t="shared" si="70"/>
        <v>336.62128798358935</v>
      </c>
      <c r="K77" s="39">
        <f t="shared" si="70"/>
        <v>331.43440914306802</v>
      </c>
      <c r="L77" s="39">
        <f t="shared" si="70"/>
        <v>338.50245834471446</v>
      </c>
      <c r="M77" s="39">
        <f t="shared" si="70"/>
        <v>322.62343051754203</v>
      </c>
      <c r="N77" s="39">
        <f t="shared" si="70"/>
        <v>309.27059137631824</v>
      </c>
      <c r="O77" s="39">
        <f t="shared" si="70"/>
        <v>314.35763286262136</v>
      </c>
      <c r="P77" s="39">
        <f t="shared" si="70"/>
        <v>314.13297617038734</v>
      </c>
      <c r="Q77" s="39">
        <f t="shared" si="70"/>
        <v>315.45653716335124</v>
      </c>
      <c r="R77" s="39">
        <f t="shared" si="70"/>
        <v>322.21827948756408</v>
      </c>
      <c r="S77" s="39">
        <f t="shared" si="70"/>
        <v>325.50417129540568</v>
      </c>
      <c r="T77" s="39">
        <f t="shared" si="70"/>
        <v>324.88457974851093</v>
      </c>
      <c r="U77" s="39">
        <f t="shared" si="70"/>
        <v>327.53182055294729</v>
      </c>
      <c r="V77" s="39">
        <f t="shared" si="70"/>
        <v>323.64000891067053</v>
      </c>
      <c r="W77" s="39">
        <f t="shared" ref="W77:Y77" si="71">IF(W15=0,0,W15*1000000/W25)</f>
        <v>328.52212389380531</v>
      </c>
      <c r="X77" s="39">
        <f t="shared" si="71"/>
        <v>323.38205312275659</v>
      </c>
      <c r="Y77" s="39">
        <f t="shared" si="71"/>
        <v>322.2834402198809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952.16423602766156</v>
      </c>
      <c r="C78" s="39">
        <f t="shared" si="65"/>
        <v>952.12915721294905</v>
      </c>
      <c r="D78" s="39">
        <f t="shared" ref="D78:V78" si="72">IF(D16=0,0,D16*1000000/D26)</f>
        <v>952.11331769209289</v>
      </c>
      <c r="E78" s="39">
        <f t="shared" si="72"/>
        <v>952.09563273132426</v>
      </c>
      <c r="F78" s="39">
        <f t="shared" si="72"/>
        <v>952.11920403817305</v>
      </c>
      <c r="G78" s="39">
        <f t="shared" si="72"/>
        <v>980.11044566473095</v>
      </c>
      <c r="H78" s="39">
        <f t="shared" si="72"/>
        <v>991.93565091031155</v>
      </c>
      <c r="I78" s="39">
        <f t="shared" si="72"/>
        <v>992.93094800100562</v>
      </c>
      <c r="J78" s="39">
        <f t="shared" si="72"/>
        <v>1005.5592456161113</v>
      </c>
      <c r="K78" s="39">
        <f t="shared" si="72"/>
        <v>1021.9598373099659</v>
      </c>
      <c r="L78" s="39">
        <f t="shared" si="72"/>
        <v>1044.3525326185725</v>
      </c>
      <c r="M78" s="39">
        <f t="shared" si="72"/>
        <v>1018.402113923653</v>
      </c>
      <c r="N78" s="39">
        <f t="shared" si="72"/>
        <v>1064.7542009514466</v>
      </c>
      <c r="O78" s="39">
        <f t="shared" si="72"/>
        <v>1106.1763766758013</v>
      </c>
      <c r="P78" s="39">
        <f t="shared" si="72"/>
        <v>1118.1661599047541</v>
      </c>
      <c r="Q78" s="39">
        <f t="shared" si="72"/>
        <v>1117.8949660885469</v>
      </c>
      <c r="R78" s="39">
        <f t="shared" si="72"/>
        <v>1137.3200768181582</v>
      </c>
      <c r="S78" s="39">
        <f t="shared" si="72"/>
        <v>1173.2832665751382</v>
      </c>
      <c r="T78" s="39">
        <f t="shared" si="72"/>
        <v>1186.1994689453286</v>
      </c>
      <c r="U78" s="39">
        <f t="shared" si="72"/>
        <v>1189.1833660291604</v>
      </c>
      <c r="V78" s="39">
        <f t="shared" si="72"/>
        <v>1048.5812768825665</v>
      </c>
      <c r="W78" s="39">
        <f t="shared" ref="W78:Y78" si="73">IF(W16=0,0,W16*1000000/W26)</f>
        <v>1120.8343394118717</v>
      </c>
      <c r="X78" s="39">
        <f t="shared" si="73"/>
        <v>1181.5797646439064</v>
      </c>
      <c r="Y78" s="39">
        <f t="shared" si="73"/>
        <v>1165.7338505675614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1396.7975351705743</v>
      </c>
      <c r="C79" s="39">
        <f t="shared" si="65"/>
        <v>1396.7975351705743</v>
      </c>
      <c r="D79" s="39">
        <f t="shared" ref="D79:V79" si="74">IF(D17=0,0,D17*1000000/D27)</f>
        <v>1396.7975351705743</v>
      </c>
      <c r="E79" s="39">
        <f t="shared" si="74"/>
        <v>1396.7975351705743</v>
      </c>
      <c r="F79" s="39">
        <f t="shared" si="74"/>
        <v>1396.7975351705743</v>
      </c>
      <c r="G79" s="39">
        <f t="shared" si="74"/>
        <v>1291.3693790149894</v>
      </c>
      <c r="H79" s="39">
        <f t="shared" si="74"/>
        <v>1085.7813273734814</v>
      </c>
      <c r="I79" s="39">
        <f t="shared" si="74"/>
        <v>1133.4761433402966</v>
      </c>
      <c r="J79" s="39">
        <f t="shared" si="74"/>
        <v>1200.5186746445745</v>
      </c>
      <c r="K79" s="39">
        <f t="shared" si="74"/>
        <v>1153.2952517411491</v>
      </c>
      <c r="L79" s="39">
        <f t="shared" si="74"/>
        <v>1268.1311787072243</v>
      </c>
      <c r="M79" s="39">
        <f t="shared" si="74"/>
        <v>1331.5057632958938</v>
      </c>
      <c r="N79" s="39">
        <f t="shared" si="74"/>
        <v>1327.0249093107618</v>
      </c>
      <c r="O79" s="39">
        <f t="shared" si="74"/>
        <v>1323.0129421031809</v>
      </c>
      <c r="P79" s="39">
        <f t="shared" si="74"/>
        <v>1284.6835861194641</v>
      </c>
      <c r="Q79" s="39">
        <f t="shared" si="74"/>
        <v>1363.3821618241293</v>
      </c>
      <c r="R79" s="39">
        <f t="shared" si="74"/>
        <v>1454.2835102136828</v>
      </c>
      <c r="S79" s="39">
        <f t="shared" si="74"/>
        <v>1614.303044727985</v>
      </c>
      <c r="T79" s="39">
        <f t="shared" si="74"/>
        <v>1869.8367670364501</v>
      </c>
      <c r="U79" s="39">
        <f t="shared" si="74"/>
        <v>1803.325718125315</v>
      </c>
      <c r="V79" s="39">
        <f t="shared" si="74"/>
        <v>1506.478896103896</v>
      </c>
      <c r="W79" s="39">
        <f t="shared" ref="W79:Y79" si="75">IF(W17=0,0,W17*1000000/W27)</f>
        <v>1634.0203432930707</v>
      </c>
      <c r="X79" s="39">
        <f t="shared" si="75"/>
        <v>1573.151780502043</v>
      </c>
      <c r="Y79" s="39">
        <f t="shared" si="75"/>
        <v>1453.210413080895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636.49118096069378</v>
      </c>
      <c r="C80" s="15">
        <f t="shared" si="65"/>
        <v>628.96818287188353</v>
      </c>
      <c r="D80" s="15">
        <f t="shared" ref="D80:V80" si="76">IF(D18=0,0,D18*1000000/D28)</f>
        <v>634.48273740175421</v>
      </c>
      <c r="E80" s="15">
        <f t="shared" si="76"/>
        <v>647.72200736583784</v>
      </c>
      <c r="F80" s="15">
        <f t="shared" si="76"/>
        <v>648.30099644702068</v>
      </c>
      <c r="G80" s="15">
        <f t="shared" si="76"/>
        <v>652.02929759186009</v>
      </c>
      <c r="H80" s="15">
        <f t="shared" si="76"/>
        <v>623.12392400670694</v>
      </c>
      <c r="I80" s="15">
        <f t="shared" si="76"/>
        <v>607.98355338795511</v>
      </c>
      <c r="J80" s="15">
        <f t="shared" si="76"/>
        <v>598.21133230520957</v>
      </c>
      <c r="K80" s="15">
        <f t="shared" si="76"/>
        <v>662.73936591682957</v>
      </c>
      <c r="L80" s="15">
        <f t="shared" si="76"/>
        <v>650.64518958687029</v>
      </c>
      <c r="M80" s="15">
        <f t="shared" si="76"/>
        <v>633.83700630934538</v>
      </c>
      <c r="N80" s="15">
        <f t="shared" si="76"/>
        <v>561.71552954947174</v>
      </c>
      <c r="O80" s="15">
        <f t="shared" si="76"/>
        <v>713.7177973041388</v>
      </c>
      <c r="P80" s="15">
        <f t="shared" si="76"/>
        <v>774.09361910488906</v>
      </c>
      <c r="Q80" s="15">
        <f t="shared" si="76"/>
        <v>851.71171118154973</v>
      </c>
      <c r="R80" s="15">
        <f t="shared" si="76"/>
        <v>986.39085520936578</v>
      </c>
      <c r="S80" s="15">
        <f t="shared" si="76"/>
        <v>1096.2486847935384</v>
      </c>
      <c r="T80" s="15">
        <f t="shared" si="76"/>
        <v>2358.0826916749829</v>
      </c>
      <c r="U80" s="15">
        <f t="shared" si="76"/>
        <v>1835.8007131894919</v>
      </c>
      <c r="V80" s="15">
        <f t="shared" si="76"/>
        <v>759.66776190476162</v>
      </c>
      <c r="W80" s="15">
        <f t="shared" ref="W80:Y80" si="77">IF(W18=0,0,W18*1000000/W28)</f>
        <v>852.65501277290809</v>
      </c>
      <c r="X80" s="15">
        <f t="shared" si="77"/>
        <v>756.61699496485164</v>
      </c>
      <c r="Y80" s="15">
        <f t="shared" si="77"/>
        <v>915.63316656352833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189.47710883926391</v>
      </c>
      <c r="C81" s="41">
        <f t="shared" si="65"/>
        <v>189.47710883926388</v>
      </c>
      <c r="D81" s="41">
        <f t="shared" ref="D81:V81" si="78">IF(D19=0,0,D19*1000000/D29)</f>
        <v>189.47710883926388</v>
      </c>
      <c r="E81" s="41">
        <f t="shared" si="78"/>
        <v>189.47710883926391</v>
      </c>
      <c r="F81" s="41">
        <f t="shared" si="78"/>
        <v>189.47710883926391</v>
      </c>
      <c r="G81" s="41">
        <f t="shared" si="78"/>
        <v>194</v>
      </c>
      <c r="H81" s="41">
        <f t="shared" si="78"/>
        <v>217.86722356610684</v>
      </c>
      <c r="I81" s="41">
        <f t="shared" si="78"/>
        <v>248.79296716819175</v>
      </c>
      <c r="J81" s="41">
        <f t="shared" si="78"/>
        <v>276.88039584004292</v>
      </c>
      <c r="K81" s="41">
        <f t="shared" si="78"/>
        <v>302.43773389893749</v>
      </c>
      <c r="L81" s="41">
        <f t="shared" si="78"/>
        <v>340.25</v>
      </c>
      <c r="M81" s="41">
        <f t="shared" si="78"/>
        <v>237.3619056570256</v>
      </c>
      <c r="N81" s="41">
        <f t="shared" si="78"/>
        <v>137</v>
      </c>
      <c r="O81" s="41">
        <f t="shared" si="78"/>
        <v>152.48471009093771</v>
      </c>
      <c r="P81" s="41">
        <f t="shared" si="78"/>
        <v>162.65772200333816</v>
      </c>
      <c r="Q81" s="41">
        <f t="shared" si="78"/>
        <v>174.3789516009366</v>
      </c>
      <c r="R81" s="41">
        <f t="shared" si="78"/>
        <v>191.53836252978408</v>
      </c>
      <c r="S81" s="41">
        <f t="shared" si="78"/>
        <v>205.22192294226025</v>
      </c>
      <c r="T81" s="41">
        <f t="shared" si="78"/>
        <v>215</v>
      </c>
      <c r="U81" s="41">
        <f t="shared" si="78"/>
        <v>282</v>
      </c>
      <c r="V81" s="41">
        <f t="shared" si="78"/>
        <v>282</v>
      </c>
      <c r="W81" s="41">
        <f t="shared" ref="W81:Y81" si="79">IF(W19=0,0,W19*1000000/W29)</f>
        <v>282</v>
      </c>
      <c r="X81" s="41">
        <f t="shared" si="79"/>
        <v>282</v>
      </c>
      <c r="Y81" s="41">
        <f t="shared" si="79"/>
        <v>328.33333333333331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1168.5749154047612</v>
      </c>
      <c r="C82" s="41">
        <f t="shared" si="65"/>
        <v>1170.9912786659022</v>
      </c>
      <c r="D82" s="41">
        <f t="shared" ref="D82:V82" si="80">IF(D20=0,0,D20*1000000/D30)</f>
        <v>1170.6545890411971</v>
      </c>
      <c r="E82" s="41">
        <f t="shared" si="80"/>
        <v>1171.7232126326523</v>
      </c>
      <c r="F82" s="41">
        <f t="shared" si="80"/>
        <v>1171.3469367201681</v>
      </c>
      <c r="G82" s="41">
        <f t="shared" si="80"/>
        <v>1180.7930729984303</v>
      </c>
      <c r="H82" s="41">
        <f t="shared" si="80"/>
        <v>1090.1610694247329</v>
      </c>
      <c r="I82" s="41">
        <f t="shared" si="80"/>
        <v>1007.9437793730306</v>
      </c>
      <c r="J82" s="41">
        <f t="shared" si="80"/>
        <v>953.88903945776201</v>
      </c>
      <c r="K82" s="41">
        <f t="shared" si="80"/>
        <v>871.07560582355563</v>
      </c>
      <c r="L82" s="41">
        <f t="shared" si="80"/>
        <v>828.9859640482639</v>
      </c>
      <c r="M82" s="41">
        <f t="shared" si="80"/>
        <v>755.91070128929448</v>
      </c>
      <c r="N82" s="41">
        <f t="shared" si="80"/>
        <v>719.02130570498775</v>
      </c>
      <c r="O82" s="41">
        <f t="shared" si="80"/>
        <v>751.38841176863309</v>
      </c>
      <c r="P82" s="41">
        <f t="shared" si="80"/>
        <v>754.92602235322113</v>
      </c>
      <c r="Q82" s="41">
        <f t="shared" si="80"/>
        <v>765.43463259628038</v>
      </c>
      <c r="R82" s="41">
        <f t="shared" si="80"/>
        <v>781.82617373920743</v>
      </c>
      <c r="S82" s="41">
        <f t="shared" si="80"/>
        <v>803.42142012945442</v>
      </c>
      <c r="T82" s="41">
        <f t="shared" si="80"/>
        <v>814.28350778574668</v>
      </c>
      <c r="U82" s="41">
        <f t="shared" si="80"/>
        <v>897.07630905694032</v>
      </c>
      <c r="V82" s="41">
        <f t="shared" si="80"/>
        <v>720.5943482587063</v>
      </c>
      <c r="W82" s="41">
        <f t="shared" ref="W82:Y82" si="81">IF(W20=0,0,W20*1000000/W30)</f>
        <v>755.2947400882756</v>
      </c>
      <c r="X82" s="41">
        <f t="shared" si="81"/>
        <v>807.59700949347382</v>
      </c>
      <c r="Y82" s="41">
        <f t="shared" si="81"/>
        <v>966.34580379487454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1671.0733174459072</v>
      </c>
      <c r="C83" s="40">
        <f t="shared" si="65"/>
        <v>1671.0733174459072</v>
      </c>
      <c r="D83" s="40">
        <f t="shared" ref="D83:V83" si="82">IF(D21=0,0,D21*1000000/D31)</f>
        <v>1671.0733174459072</v>
      </c>
      <c r="E83" s="40">
        <f t="shared" si="82"/>
        <v>1671.0733174459072</v>
      </c>
      <c r="F83" s="40">
        <f t="shared" si="82"/>
        <v>1671.0733174459072</v>
      </c>
      <c r="G83" s="40">
        <f t="shared" si="82"/>
        <v>1565.6451612903227</v>
      </c>
      <c r="H83" s="40">
        <f t="shared" si="82"/>
        <v>1352.3020332417766</v>
      </c>
      <c r="I83" s="40">
        <f t="shared" si="82"/>
        <v>1392.2417728015541</v>
      </c>
      <c r="J83" s="40">
        <f t="shared" si="82"/>
        <v>1451.5292276987941</v>
      </c>
      <c r="K83" s="40">
        <f t="shared" si="82"/>
        <v>1396.5507283883308</v>
      </c>
      <c r="L83" s="40">
        <f t="shared" si="82"/>
        <v>1503.6315789473683</v>
      </c>
      <c r="M83" s="40">
        <f t="shared" si="82"/>
        <v>1879.5490643161404</v>
      </c>
      <c r="N83" s="40">
        <f t="shared" si="82"/>
        <v>2187.6111111111113</v>
      </c>
      <c r="O83" s="40">
        <f t="shared" si="82"/>
        <v>2980.6806098817106</v>
      </c>
      <c r="P83" s="40">
        <f t="shared" si="82"/>
        <v>3739.4327198761753</v>
      </c>
      <c r="Q83" s="40">
        <f t="shared" si="82"/>
        <v>4615.2127615590216</v>
      </c>
      <c r="R83" s="40">
        <f t="shared" si="82"/>
        <v>5503.1955759267548</v>
      </c>
      <c r="S83" s="40">
        <f t="shared" si="82"/>
        <v>6460.2965764192377</v>
      </c>
      <c r="T83" s="40">
        <f t="shared" si="82"/>
        <v>7512.9117647058838</v>
      </c>
      <c r="U83" s="40">
        <f t="shared" si="82"/>
        <v>7940.2547169811332</v>
      </c>
      <c r="V83" s="40">
        <f t="shared" si="82"/>
        <v>1346.1428571428571</v>
      </c>
      <c r="W83" s="40">
        <f t="shared" ref="W83:Y83" si="83">IF(W21=0,0,W21*1000000/W31)</f>
        <v>1667.2857142857144</v>
      </c>
      <c r="X83" s="40">
        <f t="shared" si="83"/>
        <v>486.52348993288592</v>
      </c>
      <c r="Y83" s="40">
        <f t="shared" si="83"/>
        <v>561.55681818181824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84988.032475593631</v>
      </c>
      <c r="C86" s="11">
        <f t="shared" si="84"/>
        <v>85548.825724544397</v>
      </c>
      <c r="D86" s="11">
        <f t="shared" ref="D86:V86" si="85">IF(D4=0,0,D4*1000000/D24)</f>
        <v>82117.08323215814</v>
      </c>
      <c r="E86" s="11">
        <f t="shared" si="85"/>
        <v>79571.162320239368</v>
      </c>
      <c r="F86" s="11">
        <f t="shared" si="85"/>
        <v>79950.697836549734</v>
      </c>
      <c r="G86" s="11">
        <f t="shared" si="85"/>
        <v>83971.245539331736</v>
      </c>
      <c r="H86" s="11">
        <f t="shared" si="85"/>
        <v>84052.10147506067</v>
      </c>
      <c r="I86" s="11">
        <f t="shared" si="85"/>
        <v>82717.533580968098</v>
      </c>
      <c r="J86" s="11">
        <f t="shared" si="85"/>
        <v>82281.961130945696</v>
      </c>
      <c r="K86" s="11">
        <f t="shared" si="85"/>
        <v>80241.392745360674</v>
      </c>
      <c r="L86" s="11">
        <f t="shared" si="85"/>
        <v>89404.214331967538</v>
      </c>
      <c r="M86" s="11">
        <f t="shared" si="85"/>
        <v>94105.43328337741</v>
      </c>
      <c r="N86" s="11">
        <f t="shared" si="85"/>
        <v>103174.57050457677</v>
      </c>
      <c r="O86" s="11">
        <f t="shared" si="85"/>
        <v>106747.21055450852</v>
      </c>
      <c r="P86" s="11">
        <f t="shared" si="85"/>
        <v>106890.90187248391</v>
      </c>
      <c r="Q86" s="11">
        <f t="shared" si="85"/>
        <v>111745.78053330297</v>
      </c>
      <c r="R86" s="11">
        <f t="shared" si="85"/>
        <v>118270.73109901107</v>
      </c>
      <c r="S86" s="11">
        <f t="shared" si="85"/>
        <v>133077.71358054431</v>
      </c>
      <c r="T86" s="11">
        <f t="shared" si="85"/>
        <v>141125.4450649069</v>
      </c>
      <c r="U86" s="11">
        <f t="shared" si="85"/>
        <v>144566.96767628155</v>
      </c>
      <c r="V86" s="11">
        <f t="shared" si="85"/>
        <v>66638.125760959592</v>
      </c>
      <c r="W86" s="11">
        <f t="shared" ref="W86:Y86" si="86">IF(W4=0,0,W4*1000000/W24)</f>
        <v>97740.839442125478</v>
      </c>
      <c r="X86" s="11">
        <f t="shared" si="86"/>
        <v>131764.05303562025</v>
      </c>
      <c r="Y86" s="11">
        <f t="shared" si="86"/>
        <v>136652.0331996477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27417.284874919686</v>
      </c>
      <c r="C87" s="36">
        <f t="shared" si="84"/>
        <v>27246.135736721721</v>
      </c>
      <c r="D87" s="36">
        <f t="shared" ref="D87:V87" si="87">IF(D5=0,0,D5*1000000/D25)</f>
        <v>27168.734025992468</v>
      </c>
      <c r="E87" s="36">
        <f t="shared" si="87"/>
        <v>27171.136289482547</v>
      </c>
      <c r="F87" s="36">
        <f t="shared" si="87"/>
        <v>27173.609143638296</v>
      </c>
      <c r="G87" s="36">
        <f t="shared" si="87"/>
        <v>27401.383557893994</v>
      </c>
      <c r="H87" s="36">
        <f t="shared" si="87"/>
        <v>26740.999619956681</v>
      </c>
      <c r="I87" s="36">
        <f t="shared" si="87"/>
        <v>26605.018027110869</v>
      </c>
      <c r="J87" s="36">
        <f t="shared" si="87"/>
        <v>26324.504584483268</v>
      </c>
      <c r="K87" s="36">
        <f t="shared" si="87"/>
        <v>23058.097773729394</v>
      </c>
      <c r="L87" s="36">
        <f t="shared" si="87"/>
        <v>23831.080711001181</v>
      </c>
      <c r="M87" s="36">
        <f t="shared" si="87"/>
        <v>24526.738918365343</v>
      </c>
      <c r="N87" s="36">
        <f t="shared" si="87"/>
        <v>24898.776064004247</v>
      </c>
      <c r="O87" s="36">
        <f t="shared" si="87"/>
        <v>25414.918657619441</v>
      </c>
      <c r="P87" s="36">
        <f t="shared" si="87"/>
        <v>22703.742774308412</v>
      </c>
      <c r="Q87" s="36">
        <f t="shared" si="87"/>
        <v>23023.924148398059</v>
      </c>
      <c r="R87" s="36">
        <f t="shared" si="87"/>
        <v>22912.945908707501</v>
      </c>
      <c r="S87" s="36">
        <f t="shared" si="87"/>
        <v>24472.419830930397</v>
      </c>
      <c r="T87" s="36">
        <f t="shared" si="87"/>
        <v>23993.486387272951</v>
      </c>
      <c r="U87" s="36">
        <f t="shared" si="87"/>
        <v>23121.486336394606</v>
      </c>
      <c r="V87" s="36">
        <f t="shared" si="87"/>
        <v>12605.455676281823</v>
      </c>
      <c r="W87" s="36">
        <f t="shared" ref="W87:Y87" si="88">IF(W5=0,0,W5*1000000/W25)</f>
        <v>12988.25334680754</v>
      </c>
      <c r="X87" s="36">
        <f t="shared" si="88"/>
        <v>18900.528563715641</v>
      </c>
      <c r="Y87" s="36">
        <f t="shared" si="88"/>
        <v>19474.335246743412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96720.453019585868</v>
      </c>
      <c r="C88" s="36">
        <f t="shared" si="84"/>
        <v>97557.783197582481</v>
      </c>
      <c r="D88" s="36">
        <f t="shared" ref="D88:V88" si="89">IF(D6=0,0,D6*1000000/D26)</f>
        <v>97560.114609525233</v>
      </c>
      <c r="E88" s="36">
        <f t="shared" si="89"/>
        <v>96749.966433361726</v>
      </c>
      <c r="F88" s="36">
        <f t="shared" si="89"/>
        <v>95923.590869416134</v>
      </c>
      <c r="G88" s="36">
        <f t="shared" si="89"/>
        <v>99263.277973667937</v>
      </c>
      <c r="H88" s="36">
        <f t="shared" si="89"/>
        <v>98384.620071520956</v>
      </c>
      <c r="I88" s="36">
        <f t="shared" si="89"/>
        <v>95755.769087316032</v>
      </c>
      <c r="J88" s="36">
        <f t="shared" si="89"/>
        <v>95456.464381811209</v>
      </c>
      <c r="K88" s="36">
        <f t="shared" si="89"/>
        <v>97651.463106711104</v>
      </c>
      <c r="L88" s="36">
        <f t="shared" si="89"/>
        <v>102612.23979139069</v>
      </c>
      <c r="M88" s="36">
        <f t="shared" si="89"/>
        <v>108094.18615418146</v>
      </c>
      <c r="N88" s="36">
        <f t="shared" si="89"/>
        <v>118899.58987400608</v>
      </c>
      <c r="O88" s="36">
        <f t="shared" si="89"/>
        <v>126333.34449178755</v>
      </c>
      <c r="P88" s="36">
        <f t="shared" si="89"/>
        <v>129916.78700279337</v>
      </c>
      <c r="Q88" s="36">
        <f t="shared" si="89"/>
        <v>133764.14513373023</v>
      </c>
      <c r="R88" s="36">
        <f t="shared" si="89"/>
        <v>140910.61046125571</v>
      </c>
      <c r="S88" s="36">
        <f t="shared" si="89"/>
        <v>149854.18440802125</v>
      </c>
      <c r="T88" s="36">
        <f t="shared" si="89"/>
        <v>151698.48000839268</v>
      </c>
      <c r="U88" s="36">
        <f t="shared" si="89"/>
        <v>154675.86819752975</v>
      </c>
      <c r="V88" s="36">
        <f t="shared" si="89"/>
        <v>84543.969642946686</v>
      </c>
      <c r="W88" s="36">
        <f t="shared" ref="W88:Y88" si="90">IF(W6=0,0,W6*1000000/W26)</f>
        <v>115692.99962582228</v>
      </c>
      <c r="X88" s="36">
        <f t="shared" si="90"/>
        <v>148947.13128932947</v>
      </c>
      <c r="Y88" s="36">
        <f t="shared" si="90"/>
        <v>156667.32939156308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146183.61746826622</v>
      </c>
      <c r="C89" s="36">
        <f t="shared" si="84"/>
        <v>146651.28757742865</v>
      </c>
      <c r="D89" s="36">
        <f t="shared" ref="D89:V89" si="91">IF(D7=0,0,D7*1000000/D27)</f>
        <v>147559.64349276084</v>
      </c>
      <c r="E89" s="36">
        <f t="shared" si="91"/>
        <v>148673.61510882617</v>
      </c>
      <c r="F89" s="36">
        <f t="shared" si="91"/>
        <v>148885.96805721041</v>
      </c>
      <c r="G89" s="36">
        <f t="shared" si="91"/>
        <v>139275.33826106213</v>
      </c>
      <c r="H89" s="36">
        <f t="shared" si="91"/>
        <v>117420.75243232404</v>
      </c>
      <c r="I89" s="36">
        <f t="shared" si="91"/>
        <v>122474.97041897931</v>
      </c>
      <c r="J89" s="36">
        <f t="shared" si="91"/>
        <v>129467.3492475065</v>
      </c>
      <c r="K89" s="36">
        <f t="shared" si="91"/>
        <v>113025.71616395965</v>
      </c>
      <c r="L89" s="36">
        <f t="shared" si="91"/>
        <v>141653.40494002102</v>
      </c>
      <c r="M89" s="36">
        <f t="shared" si="91"/>
        <v>159492.26347047082</v>
      </c>
      <c r="N89" s="36">
        <f t="shared" si="91"/>
        <v>163301.21637824035</v>
      </c>
      <c r="O89" s="36">
        <f t="shared" si="91"/>
        <v>140167.29178650217</v>
      </c>
      <c r="P89" s="36">
        <f t="shared" si="91"/>
        <v>133696.02437681161</v>
      </c>
      <c r="Q89" s="36">
        <f t="shared" si="91"/>
        <v>142550.36685146246</v>
      </c>
      <c r="R89" s="36">
        <f t="shared" si="91"/>
        <v>152235.78399884829</v>
      </c>
      <c r="S89" s="36">
        <f t="shared" si="91"/>
        <v>210256.69799846265</v>
      </c>
      <c r="T89" s="36">
        <f t="shared" si="91"/>
        <v>252825.42322576171</v>
      </c>
      <c r="U89" s="36">
        <f t="shared" si="91"/>
        <v>259554.22012334614</v>
      </c>
      <c r="V89" s="36">
        <f t="shared" si="91"/>
        <v>128647.09758642748</v>
      </c>
      <c r="W89" s="36">
        <f t="shared" ref="W89:Y89" si="92">IF(W7=0,0,W7*1000000/W27)</f>
        <v>184757.66252875325</v>
      </c>
      <c r="X89" s="36">
        <f t="shared" si="92"/>
        <v>193228.93616803072</v>
      </c>
      <c r="Y89" s="36">
        <f t="shared" si="92"/>
        <v>183682.87073363081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20246.317229730957</v>
      </c>
      <c r="C90" s="13">
        <f t="shared" si="84"/>
        <v>20567.447796290722</v>
      </c>
      <c r="D90" s="13">
        <f t="shared" ref="D90:V90" si="93">IF(D8=0,0,D8*1000000/D28)</f>
        <v>19571.275397503108</v>
      </c>
      <c r="E90" s="13">
        <f t="shared" si="93"/>
        <v>20567.46193053971</v>
      </c>
      <c r="F90" s="13">
        <f t="shared" si="93"/>
        <v>19053.608387112155</v>
      </c>
      <c r="G90" s="13">
        <f t="shared" si="93"/>
        <v>17860.408930615609</v>
      </c>
      <c r="H90" s="13">
        <f t="shared" si="93"/>
        <v>14297.532359312519</v>
      </c>
      <c r="I90" s="13">
        <f t="shared" si="93"/>
        <v>13132.524194554568</v>
      </c>
      <c r="J90" s="13">
        <f t="shared" si="93"/>
        <v>12516.394640335993</v>
      </c>
      <c r="K90" s="13">
        <f t="shared" si="93"/>
        <v>13844.516569852016</v>
      </c>
      <c r="L90" s="13">
        <f t="shared" si="93"/>
        <v>14708.615941570501</v>
      </c>
      <c r="M90" s="13">
        <f t="shared" si="93"/>
        <v>23617.428849864944</v>
      </c>
      <c r="N90" s="13">
        <f t="shared" si="93"/>
        <v>19712.310032178186</v>
      </c>
      <c r="O90" s="13">
        <f t="shared" si="93"/>
        <v>28980.518335698813</v>
      </c>
      <c r="P90" s="13">
        <f t="shared" si="93"/>
        <v>37002.893917230394</v>
      </c>
      <c r="Q90" s="13">
        <f t="shared" si="93"/>
        <v>44245.420430881357</v>
      </c>
      <c r="R90" s="13">
        <f t="shared" si="93"/>
        <v>57776.717347680489</v>
      </c>
      <c r="S90" s="13">
        <f t="shared" si="93"/>
        <v>70061.68214908737</v>
      </c>
      <c r="T90" s="13">
        <f t="shared" si="93"/>
        <v>218120.42296533979</v>
      </c>
      <c r="U90" s="13">
        <f t="shared" si="93"/>
        <v>156957.26794075526</v>
      </c>
      <c r="V90" s="13">
        <f t="shared" si="93"/>
        <v>22774.044080474592</v>
      </c>
      <c r="W90" s="13">
        <f t="shared" ref="W90:Y90" si="94">IF(W8=0,0,W8*1000000/W28)</f>
        <v>28529.009821513173</v>
      </c>
      <c r="X90" s="13">
        <f t="shared" si="94"/>
        <v>20057.558678725127</v>
      </c>
      <c r="Y90" s="13">
        <f t="shared" si="94"/>
        <v>23162.533664933289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2061.3823809322616</v>
      </c>
      <c r="C91" s="34">
        <f t="shared" si="84"/>
        <v>2045.6617501919332</v>
      </c>
      <c r="D91" s="34">
        <f t="shared" ref="D91:V91" si="95">IF(D9=0,0,D9*1000000/D29)</f>
        <v>2103.6112959398342</v>
      </c>
      <c r="E91" s="34">
        <f t="shared" si="95"/>
        <v>2237.5966427487792</v>
      </c>
      <c r="F91" s="34">
        <f t="shared" si="95"/>
        <v>2107.040128272602</v>
      </c>
      <c r="G91" s="34">
        <f t="shared" si="95"/>
        <v>2111.2415512399298</v>
      </c>
      <c r="H91" s="34">
        <f t="shared" si="95"/>
        <v>2280.62646252592</v>
      </c>
      <c r="I91" s="34">
        <f t="shared" si="95"/>
        <v>2594.6861663268496</v>
      </c>
      <c r="J91" s="34">
        <f t="shared" si="95"/>
        <v>2778.1509329280539</v>
      </c>
      <c r="K91" s="34">
        <f t="shared" si="95"/>
        <v>3060.7977991686644</v>
      </c>
      <c r="L91" s="34">
        <f t="shared" si="95"/>
        <v>3683.0053084786946</v>
      </c>
      <c r="M91" s="34">
        <f t="shared" si="95"/>
        <v>2839.0422243561484</v>
      </c>
      <c r="N91" s="34">
        <f t="shared" si="95"/>
        <v>1680.7078033562493</v>
      </c>
      <c r="O91" s="34">
        <f t="shared" si="95"/>
        <v>1925.4535105128268</v>
      </c>
      <c r="P91" s="34">
        <f t="shared" si="95"/>
        <v>2282.4478824671778</v>
      </c>
      <c r="Q91" s="34">
        <f t="shared" si="95"/>
        <v>2528.544638715161</v>
      </c>
      <c r="R91" s="34">
        <f t="shared" si="95"/>
        <v>3220.2127767398761</v>
      </c>
      <c r="S91" s="34">
        <f t="shared" si="95"/>
        <v>3175.3273741745484</v>
      </c>
      <c r="T91" s="34">
        <f t="shared" si="95"/>
        <v>3365.9712305758903</v>
      </c>
      <c r="U91" s="34">
        <f t="shared" si="95"/>
        <v>4860.4795419653947</v>
      </c>
      <c r="V91" s="34">
        <f t="shared" si="95"/>
        <v>4440.7751747569037</v>
      </c>
      <c r="W91" s="34">
        <f t="shared" ref="W91:Y91" si="96">IF(W9=0,0,W9*1000000/W29)</f>
        <v>4398.0807681453307</v>
      </c>
      <c r="X91" s="34">
        <f t="shared" si="96"/>
        <v>4516.0964362665218</v>
      </c>
      <c r="Y91" s="34">
        <f t="shared" si="96"/>
        <v>5296.6569088229771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32287.842090022601</v>
      </c>
      <c r="C92" s="34">
        <f t="shared" si="84"/>
        <v>33549.827641911856</v>
      </c>
      <c r="D92" s="34">
        <f t="shared" ref="D92:V92" si="97">IF(D10=0,0,D10*1000000/D30)</f>
        <v>31488.920478688982</v>
      </c>
      <c r="E92" s="34">
        <f t="shared" si="97"/>
        <v>32265.056562164253</v>
      </c>
      <c r="F92" s="34">
        <f t="shared" si="97"/>
        <v>29272.566304774224</v>
      </c>
      <c r="G92" s="34">
        <f t="shared" si="97"/>
        <v>29003.57523862171</v>
      </c>
      <c r="H92" s="34">
        <f t="shared" si="97"/>
        <v>22555.702296148258</v>
      </c>
      <c r="I92" s="34">
        <f t="shared" si="97"/>
        <v>19895.586716524092</v>
      </c>
      <c r="J92" s="34">
        <f t="shared" si="97"/>
        <v>18223.507227343554</v>
      </c>
      <c r="K92" s="34">
        <f t="shared" si="97"/>
        <v>17085.182713260554</v>
      </c>
      <c r="L92" s="34">
        <f t="shared" si="97"/>
        <v>16150.884449270874</v>
      </c>
      <c r="M92" s="34">
        <f t="shared" si="97"/>
        <v>15342.053105446559</v>
      </c>
      <c r="N92" s="34">
        <f t="shared" si="97"/>
        <v>15656.89175136329</v>
      </c>
      <c r="O92" s="34">
        <f t="shared" si="97"/>
        <v>16290.382330353021</v>
      </c>
      <c r="P92" s="34">
        <f t="shared" si="97"/>
        <v>19006.577449409877</v>
      </c>
      <c r="Q92" s="34">
        <f t="shared" si="97"/>
        <v>19138.172859423816</v>
      </c>
      <c r="R92" s="34">
        <f t="shared" si="97"/>
        <v>21645.238997372242</v>
      </c>
      <c r="S92" s="34">
        <f t="shared" si="97"/>
        <v>20314.31463274116</v>
      </c>
      <c r="T92" s="34">
        <f t="shared" si="97"/>
        <v>20688.087141447344</v>
      </c>
      <c r="U92" s="34">
        <f t="shared" si="97"/>
        <v>23783.586637157699</v>
      </c>
      <c r="V92" s="34">
        <f t="shared" si="97"/>
        <v>16178.08421430063</v>
      </c>
      <c r="W92" s="34">
        <f t="shared" ref="W92:Y92" si="98">IF(W10=0,0,W10*1000000/W30)</f>
        <v>16356.079180831224</v>
      </c>
      <c r="X92" s="34">
        <f t="shared" si="98"/>
        <v>17411.033440819865</v>
      </c>
      <c r="Y92" s="34">
        <f t="shared" si="98"/>
        <v>20433.390177750778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147399.116523131</v>
      </c>
      <c r="C93" s="35">
        <f t="shared" si="84"/>
        <v>154462.56658309395</v>
      </c>
      <c r="D93" s="35">
        <f t="shared" ref="D93:V93" si="99">IF(D11=0,0,D11*1000000/D31)</f>
        <v>145840.27614518514</v>
      </c>
      <c r="E93" s="35">
        <f t="shared" si="99"/>
        <v>132514.42125378514</v>
      </c>
      <c r="F93" s="35">
        <f t="shared" si="99"/>
        <v>128615.53971919976</v>
      </c>
      <c r="G93" s="35">
        <f t="shared" si="99"/>
        <v>113322.18776995612</v>
      </c>
      <c r="H93" s="35">
        <f t="shared" si="99"/>
        <v>94621.739987870998</v>
      </c>
      <c r="I93" s="35">
        <f t="shared" si="99"/>
        <v>95791.256006096592</v>
      </c>
      <c r="J93" s="35">
        <f t="shared" si="99"/>
        <v>97858.24863580786</v>
      </c>
      <c r="K93" s="35">
        <f t="shared" si="99"/>
        <v>106184.4679916788</v>
      </c>
      <c r="L93" s="35">
        <f t="shared" si="99"/>
        <v>116222.38136384072</v>
      </c>
      <c r="M93" s="35">
        <f t="shared" si="99"/>
        <v>152485.40673271735</v>
      </c>
      <c r="N93" s="35">
        <f t="shared" si="99"/>
        <v>191201.28276128191</v>
      </c>
      <c r="O93" s="35">
        <f t="shared" si="99"/>
        <v>253275.46443607638</v>
      </c>
      <c r="P93" s="35">
        <f t="shared" si="99"/>
        <v>349106.96155303624</v>
      </c>
      <c r="Q93" s="35">
        <f t="shared" si="99"/>
        <v>461377.83296579984</v>
      </c>
      <c r="R93" s="35">
        <f t="shared" si="99"/>
        <v>574647.30231455434</v>
      </c>
      <c r="S93" s="35">
        <f t="shared" si="99"/>
        <v>712518.25771043624</v>
      </c>
      <c r="T93" s="35">
        <f t="shared" si="99"/>
        <v>839130.11276392476</v>
      </c>
      <c r="U93" s="35">
        <f t="shared" si="99"/>
        <v>957487.28989895014</v>
      </c>
      <c r="V93" s="35">
        <f t="shared" si="99"/>
        <v>97814.426126313003</v>
      </c>
      <c r="W93" s="35">
        <f t="shared" ref="W93:Y93" si="100">IF(W11=0,0,W11*1000000/W31)</f>
        <v>122170.27045145756</v>
      </c>
      <c r="X93" s="35">
        <f t="shared" si="100"/>
        <v>42114.971830618524</v>
      </c>
      <c r="Y93" s="35">
        <f t="shared" si="100"/>
        <v>53211.21071047958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1495.4044712545633</v>
      </c>
      <c r="C95" s="62">
        <f t="shared" si="101"/>
        <v>1494.9914932045069</v>
      </c>
      <c r="D95" s="62">
        <f t="shared" ref="D95:V95" si="102">IF(D23=0,0,D23/D43)</f>
        <v>1528.1435261511447</v>
      </c>
      <c r="E95" s="62">
        <f t="shared" si="102"/>
        <v>1549.4692819919753</v>
      </c>
      <c r="F95" s="62">
        <f t="shared" si="102"/>
        <v>1541.2850630873259</v>
      </c>
      <c r="G95" s="62">
        <f t="shared" si="102"/>
        <v>1516.8914832447799</v>
      </c>
      <c r="H95" s="62">
        <f t="shared" si="102"/>
        <v>1504.9366735093763</v>
      </c>
      <c r="I95" s="62">
        <f t="shared" si="102"/>
        <v>1497.3287608516112</v>
      </c>
      <c r="J95" s="62">
        <f t="shared" si="102"/>
        <v>1473.09245367211</v>
      </c>
      <c r="K95" s="62">
        <f t="shared" si="102"/>
        <v>1490.1066305899742</v>
      </c>
      <c r="L95" s="62">
        <f t="shared" si="102"/>
        <v>1431.905147347333</v>
      </c>
      <c r="M95" s="62">
        <f t="shared" si="102"/>
        <v>1449.539880475658</v>
      </c>
      <c r="N95" s="62">
        <f t="shared" si="102"/>
        <v>1425.6258926060939</v>
      </c>
      <c r="O95" s="62">
        <f t="shared" si="102"/>
        <v>1389.9536268339436</v>
      </c>
      <c r="P95" s="62">
        <f t="shared" si="102"/>
        <v>1411.7392655987285</v>
      </c>
      <c r="Q95" s="62">
        <f t="shared" si="102"/>
        <v>1385.0204326661074</v>
      </c>
      <c r="R95" s="62">
        <f t="shared" si="102"/>
        <v>1368.8792507711362</v>
      </c>
      <c r="S95" s="62">
        <f t="shared" si="102"/>
        <v>1338.2341285663924</v>
      </c>
      <c r="T95" s="62">
        <f t="shared" si="102"/>
        <v>1293.4959775241555</v>
      </c>
      <c r="U95" s="62">
        <f t="shared" si="102"/>
        <v>1296.3135656088798</v>
      </c>
      <c r="V95" s="62">
        <f t="shared" si="102"/>
        <v>448.29132966996451</v>
      </c>
      <c r="W95" s="62">
        <f t="shared" ref="W95:Y95" si="103">IF(W23=0,0,W23/W43)</f>
        <v>748.56208351688178</v>
      </c>
      <c r="X95" s="62">
        <f t="shared" si="103"/>
        <v>1197.6571730954133</v>
      </c>
      <c r="Y95" s="62">
        <f t="shared" si="103"/>
        <v>1264.0292563843807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1497.976161733041</v>
      </c>
      <c r="C96" s="11">
        <f t="shared" si="104"/>
        <v>1497.9939963727875</v>
      </c>
      <c r="D96" s="11">
        <f t="shared" ref="D96:V96" si="105">IF(D24=0,0,D24/D44)</f>
        <v>1531.6823591849229</v>
      </c>
      <c r="E96" s="11">
        <f t="shared" si="105"/>
        <v>1553.2188574701502</v>
      </c>
      <c r="F96" s="11">
        <f t="shared" si="105"/>
        <v>1544.4670879740258</v>
      </c>
      <c r="G96" s="11">
        <f t="shared" si="105"/>
        <v>1519.9463032373717</v>
      </c>
      <c r="H96" s="11">
        <f t="shared" si="105"/>
        <v>1507.6717102239732</v>
      </c>
      <c r="I96" s="11">
        <f t="shared" si="105"/>
        <v>1500.3298600564353</v>
      </c>
      <c r="J96" s="11">
        <f t="shared" si="105"/>
        <v>1475.6444820008562</v>
      </c>
      <c r="K96" s="11">
        <f t="shared" si="105"/>
        <v>1495.4158011114719</v>
      </c>
      <c r="L96" s="11">
        <f t="shared" si="105"/>
        <v>1439.0272326949955</v>
      </c>
      <c r="M96" s="11">
        <f t="shared" si="105"/>
        <v>1459.0020657150599</v>
      </c>
      <c r="N96" s="11">
        <f t="shared" si="105"/>
        <v>1434.2735787627928</v>
      </c>
      <c r="O96" s="11">
        <f t="shared" si="105"/>
        <v>1397.3548042214074</v>
      </c>
      <c r="P96" s="11">
        <f t="shared" si="105"/>
        <v>1419.1038970000704</v>
      </c>
      <c r="Q96" s="11">
        <f t="shared" si="105"/>
        <v>1391.4722130178502</v>
      </c>
      <c r="R96" s="11">
        <f t="shared" si="105"/>
        <v>1374.5571009690136</v>
      </c>
      <c r="S96" s="11">
        <f t="shared" si="105"/>
        <v>1343.0534004773017</v>
      </c>
      <c r="T96" s="11">
        <f t="shared" si="105"/>
        <v>1300.8509238939585</v>
      </c>
      <c r="U96" s="11">
        <f t="shared" si="105"/>
        <v>1303.3942018430157</v>
      </c>
      <c r="V96" s="11">
        <f t="shared" si="105"/>
        <v>448.3302706584048</v>
      </c>
      <c r="W96" s="11">
        <f t="shared" ref="W96:Y96" si="106">IF(W24=0,0,W24/W44)</f>
        <v>750.68676400767913</v>
      </c>
      <c r="X96" s="11">
        <f t="shared" si="106"/>
        <v>1204.0997828267759</v>
      </c>
      <c r="Y96" s="11">
        <f t="shared" si="106"/>
        <v>1271.5869822847392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2366</v>
      </c>
      <c r="C97" s="36">
        <f t="shared" si="104"/>
        <v>2366</v>
      </c>
      <c r="D97" s="36">
        <f t="shared" ref="D97:V97" si="107">IF(D25=0,0,D25/D45)</f>
        <v>2366</v>
      </c>
      <c r="E97" s="36">
        <f t="shared" si="107"/>
        <v>2366</v>
      </c>
      <c r="F97" s="36">
        <f t="shared" si="107"/>
        <v>2366</v>
      </c>
      <c r="G97" s="36">
        <f t="shared" si="107"/>
        <v>2358</v>
      </c>
      <c r="H97" s="36">
        <f t="shared" si="107"/>
        <v>2371</v>
      </c>
      <c r="I97" s="36">
        <f t="shared" si="107"/>
        <v>2370</v>
      </c>
      <c r="J97" s="36">
        <f t="shared" si="107"/>
        <v>2376</v>
      </c>
      <c r="K97" s="36">
        <f t="shared" si="107"/>
        <v>2386</v>
      </c>
      <c r="L97" s="36">
        <f t="shared" si="107"/>
        <v>2260.4219770892164</v>
      </c>
      <c r="M97" s="36">
        <f t="shared" si="107"/>
        <v>2403</v>
      </c>
      <c r="N97" s="36">
        <f t="shared" si="107"/>
        <v>2429</v>
      </c>
      <c r="O97" s="36">
        <f t="shared" si="107"/>
        <v>2419</v>
      </c>
      <c r="P97" s="36">
        <f t="shared" si="107"/>
        <v>2420</v>
      </c>
      <c r="Q97" s="36">
        <f t="shared" si="107"/>
        <v>2417</v>
      </c>
      <c r="R97" s="36">
        <f t="shared" si="107"/>
        <v>2403</v>
      </c>
      <c r="S97" s="36">
        <f t="shared" si="107"/>
        <v>2397</v>
      </c>
      <c r="T97" s="36">
        <f t="shared" si="107"/>
        <v>2398</v>
      </c>
      <c r="U97" s="36">
        <f t="shared" si="107"/>
        <v>2393</v>
      </c>
      <c r="V97" s="36">
        <f t="shared" si="107"/>
        <v>1494.6813722393222</v>
      </c>
      <c r="W97" s="36">
        <f t="shared" ref="W97:Y97" si="108">IF(W25=0,0,W25/W45)</f>
        <v>2021.5626596631728</v>
      </c>
      <c r="X97" s="36">
        <f t="shared" si="108"/>
        <v>2191.4300392561781</v>
      </c>
      <c r="Y97" s="36">
        <f t="shared" si="108"/>
        <v>2403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1438.6480522219767</v>
      </c>
      <c r="C98" s="36">
        <f t="shared" si="104"/>
        <v>1438.6709585884462</v>
      </c>
      <c r="D98" s="36">
        <f t="shared" ref="D98:V98" si="109">IF(D26=0,0,D26/D46)</f>
        <v>1438.6813220155425</v>
      </c>
      <c r="E98" s="36">
        <f t="shared" si="109"/>
        <v>1438.6928933056606</v>
      </c>
      <c r="F98" s="36">
        <f t="shared" si="109"/>
        <v>1438.6775002764796</v>
      </c>
      <c r="G98" s="36">
        <f t="shared" si="109"/>
        <v>1420.9246974325758</v>
      </c>
      <c r="H98" s="36">
        <f t="shared" si="109"/>
        <v>1413.5118032726484</v>
      </c>
      <c r="I98" s="36">
        <f t="shared" si="109"/>
        <v>1412.7425398832656</v>
      </c>
      <c r="J98" s="36">
        <f t="shared" si="109"/>
        <v>1383.9132467445436</v>
      </c>
      <c r="K98" s="36">
        <f t="shared" si="109"/>
        <v>1389.5916710531214</v>
      </c>
      <c r="L98" s="36">
        <f t="shared" si="109"/>
        <v>1381.083423789652</v>
      </c>
      <c r="M98" s="36">
        <f t="shared" si="109"/>
        <v>1389.5879174952406</v>
      </c>
      <c r="N98" s="36">
        <f t="shared" si="109"/>
        <v>1369.2691374669143</v>
      </c>
      <c r="O98" s="36">
        <f t="shared" si="109"/>
        <v>1344.902154261438</v>
      </c>
      <c r="P98" s="36">
        <f t="shared" si="109"/>
        <v>1338.0091933416668</v>
      </c>
      <c r="Q98" s="36">
        <f t="shared" si="109"/>
        <v>1326.0895467672142</v>
      </c>
      <c r="R98" s="36">
        <f t="shared" si="109"/>
        <v>1322.0145764406338</v>
      </c>
      <c r="S98" s="36">
        <f t="shared" si="109"/>
        <v>1307.7564573068037</v>
      </c>
      <c r="T98" s="36">
        <f t="shared" si="109"/>
        <v>1300.7254505698677</v>
      </c>
      <c r="U98" s="36">
        <f t="shared" si="109"/>
        <v>1299.1471504711051</v>
      </c>
      <c r="V98" s="36">
        <f t="shared" si="109"/>
        <v>384.43265774103816</v>
      </c>
      <c r="W98" s="36">
        <f t="shared" ref="W98:Y98" si="110">IF(W26=0,0,W26/W46)</f>
        <v>691.81167861813992</v>
      </c>
      <c r="X98" s="36">
        <f t="shared" si="110"/>
        <v>1273.7574248499093</v>
      </c>
      <c r="Y98" s="36">
        <f t="shared" si="110"/>
        <v>1292.5879350149851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925</v>
      </c>
      <c r="C99" s="36">
        <f t="shared" si="104"/>
        <v>925</v>
      </c>
      <c r="D99" s="36">
        <f t="shared" ref="D99:V99" si="111">IF(D27=0,0,D27/D47)</f>
        <v>925</v>
      </c>
      <c r="E99" s="36">
        <f t="shared" si="111"/>
        <v>925</v>
      </c>
      <c r="F99" s="36">
        <f t="shared" si="111"/>
        <v>924.99999999999989</v>
      </c>
      <c r="G99" s="36">
        <f t="shared" si="111"/>
        <v>969</v>
      </c>
      <c r="H99" s="36">
        <f t="shared" si="111"/>
        <v>1068</v>
      </c>
      <c r="I99" s="36">
        <f t="shared" si="111"/>
        <v>1043</v>
      </c>
      <c r="J99" s="36">
        <f t="shared" si="111"/>
        <v>1010</v>
      </c>
      <c r="K99" s="36">
        <f t="shared" si="111"/>
        <v>1033</v>
      </c>
      <c r="L99" s="36">
        <f t="shared" si="111"/>
        <v>979</v>
      </c>
      <c r="M99" s="36">
        <f t="shared" si="111"/>
        <v>952</v>
      </c>
      <c r="N99" s="36">
        <f t="shared" si="111"/>
        <v>954</v>
      </c>
      <c r="O99" s="36">
        <f t="shared" si="111"/>
        <v>876.56894450454809</v>
      </c>
      <c r="P99" s="36">
        <f t="shared" si="111"/>
        <v>949.75391853876317</v>
      </c>
      <c r="Q99" s="36">
        <f t="shared" si="111"/>
        <v>939</v>
      </c>
      <c r="R99" s="36">
        <f t="shared" si="111"/>
        <v>903</v>
      </c>
      <c r="S99" s="36">
        <f t="shared" si="111"/>
        <v>846</v>
      </c>
      <c r="T99" s="36">
        <f t="shared" si="111"/>
        <v>769</v>
      </c>
      <c r="U99" s="36">
        <f t="shared" si="111"/>
        <v>788</v>
      </c>
      <c r="V99" s="36">
        <f t="shared" si="111"/>
        <v>193.96049479113557</v>
      </c>
      <c r="W99" s="36">
        <f t="shared" ref="W99:Y99" si="112">IF(W27=0,0,W27/W47)</f>
        <v>377.63040811577281</v>
      </c>
      <c r="X99" s="36">
        <f t="shared" si="112"/>
        <v>468.62815591636365</v>
      </c>
      <c r="Y99" s="36">
        <f t="shared" si="112"/>
        <v>623.60747427766887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1226.0603208132775</v>
      </c>
      <c r="C100" s="13">
        <f t="shared" si="104"/>
        <v>1230.591833097466</v>
      </c>
      <c r="D100" s="13">
        <f t="shared" ref="D100:V100" si="113">IF(D28=0,0,D28/D48)</f>
        <v>1227.767644825728</v>
      </c>
      <c r="E100" s="13">
        <f t="shared" si="113"/>
        <v>1211.2283775173414</v>
      </c>
      <c r="F100" s="13">
        <f t="shared" si="113"/>
        <v>1218.2963080381264</v>
      </c>
      <c r="G100" s="13">
        <f t="shared" si="113"/>
        <v>1218.4451953214693</v>
      </c>
      <c r="H100" s="13">
        <f t="shared" si="113"/>
        <v>1236.4608502673627</v>
      </c>
      <c r="I100" s="13">
        <f t="shared" si="113"/>
        <v>1245.3833389331703</v>
      </c>
      <c r="J100" s="13">
        <f t="shared" si="113"/>
        <v>1250.1279722214163</v>
      </c>
      <c r="K100" s="13">
        <f t="shared" si="113"/>
        <v>1100.9886228028806</v>
      </c>
      <c r="L100" s="13">
        <f t="shared" si="113"/>
        <v>859.59215512906883</v>
      </c>
      <c r="M100" s="13">
        <f t="shared" si="113"/>
        <v>718.95002368465168</v>
      </c>
      <c r="N100" s="13">
        <f t="shared" si="113"/>
        <v>715.27243275842829</v>
      </c>
      <c r="O100" s="13">
        <f t="shared" si="113"/>
        <v>720.0334381964135</v>
      </c>
      <c r="P100" s="13">
        <f t="shared" si="113"/>
        <v>677.30192948162028</v>
      </c>
      <c r="Q100" s="13">
        <f t="shared" si="113"/>
        <v>677.33998998597679</v>
      </c>
      <c r="R100" s="13">
        <f t="shared" si="113"/>
        <v>648.20949586934057</v>
      </c>
      <c r="S100" s="13">
        <f t="shared" si="113"/>
        <v>629.42730394305568</v>
      </c>
      <c r="T100" s="13">
        <f t="shared" si="113"/>
        <v>524.07454513651749</v>
      </c>
      <c r="U100" s="13">
        <f t="shared" si="113"/>
        <v>487.46354634560248</v>
      </c>
      <c r="V100" s="13">
        <f t="shared" si="113"/>
        <v>443.97057452158856</v>
      </c>
      <c r="W100" s="13">
        <f t="shared" ref="W100:Y100" si="114">IF(W28=0,0,W28/W48)</f>
        <v>532.99991939803408</v>
      </c>
      <c r="X100" s="13">
        <f t="shared" si="114"/>
        <v>558.62978531421186</v>
      </c>
      <c r="Y100" s="13">
        <f t="shared" si="114"/>
        <v>504.21360951652787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1539</v>
      </c>
      <c r="C101" s="34">
        <f t="shared" si="104"/>
        <v>1539</v>
      </c>
      <c r="D101" s="34">
        <f t="shared" ref="D101:V101" si="115">IF(D29=0,0,D29/D49)</f>
        <v>1539</v>
      </c>
      <c r="E101" s="34">
        <f t="shared" si="115"/>
        <v>1523.6100000000001</v>
      </c>
      <c r="F101" s="34">
        <f t="shared" si="115"/>
        <v>1539</v>
      </c>
      <c r="G101" s="34">
        <f t="shared" si="115"/>
        <v>1535</v>
      </c>
      <c r="H101" s="34">
        <f t="shared" si="115"/>
        <v>1516</v>
      </c>
      <c r="I101" s="34">
        <f t="shared" si="115"/>
        <v>1491</v>
      </c>
      <c r="J101" s="34">
        <f t="shared" si="115"/>
        <v>1469</v>
      </c>
      <c r="K101" s="34">
        <f t="shared" si="115"/>
        <v>1123.7116630283076</v>
      </c>
      <c r="L101" s="34">
        <f t="shared" si="115"/>
        <v>948.85170355820799</v>
      </c>
      <c r="M101" s="34">
        <f t="shared" si="115"/>
        <v>944.31937612477498</v>
      </c>
      <c r="N101" s="34">
        <f t="shared" si="115"/>
        <v>864.51049456152271</v>
      </c>
      <c r="O101" s="34">
        <f t="shared" si="115"/>
        <v>728.54198577060765</v>
      </c>
      <c r="P101" s="34">
        <f t="shared" si="115"/>
        <v>670.74206233614905</v>
      </c>
      <c r="Q101" s="34">
        <f t="shared" si="115"/>
        <v>630.32840190286993</v>
      </c>
      <c r="R101" s="34">
        <f t="shared" si="115"/>
        <v>512.07044167610411</v>
      </c>
      <c r="S101" s="34">
        <f t="shared" si="115"/>
        <v>543.01556420233453</v>
      </c>
      <c r="T101" s="34">
        <f t="shared" si="115"/>
        <v>494.82210297513916</v>
      </c>
      <c r="U101" s="34">
        <f t="shared" si="115"/>
        <v>435.94484267712966</v>
      </c>
      <c r="V101" s="34">
        <f t="shared" si="115"/>
        <v>100.33110995726324</v>
      </c>
      <c r="W101" s="34">
        <f t="shared" ref="W101:Y101" si="116">IF(W29=0,0,W29/W49)</f>
        <v>85.267820773930737</v>
      </c>
      <c r="X101" s="34">
        <f t="shared" si="116"/>
        <v>113.6698493144486</v>
      </c>
      <c r="Y101" s="34">
        <f t="shared" si="116"/>
        <v>97.411148812409095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1004.3433580445788</v>
      </c>
      <c r="C102" s="34">
        <f t="shared" si="104"/>
        <v>1003.4832804055005</v>
      </c>
      <c r="D102" s="34">
        <f t="shared" ref="D102:V102" si="117">IF(D30=0,0,D30/D50)</f>
        <v>1003.6032008881077</v>
      </c>
      <c r="E102" s="34">
        <f t="shared" si="117"/>
        <v>1000.3368973351232</v>
      </c>
      <c r="F102" s="34">
        <f t="shared" si="117"/>
        <v>1003.3566349613521</v>
      </c>
      <c r="G102" s="34">
        <f t="shared" si="117"/>
        <v>1000.2509897900582</v>
      </c>
      <c r="H102" s="34">
        <f t="shared" si="117"/>
        <v>1033.4600155880596</v>
      </c>
      <c r="I102" s="34">
        <f t="shared" si="117"/>
        <v>1065.407319517501</v>
      </c>
      <c r="J102" s="34">
        <f t="shared" si="117"/>
        <v>1087.2174450800869</v>
      </c>
      <c r="K102" s="34">
        <f t="shared" si="117"/>
        <v>1122.8680830960438</v>
      </c>
      <c r="L102" s="34">
        <f t="shared" si="117"/>
        <v>809.29339243004972</v>
      </c>
      <c r="M102" s="34">
        <f t="shared" si="117"/>
        <v>580.95164800342923</v>
      </c>
      <c r="N102" s="34">
        <f t="shared" si="117"/>
        <v>689.31425723537643</v>
      </c>
      <c r="O102" s="34">
        <f t="shared" si="117"/>
        <v>759.29233543347539</v>
      </c>
      <c r="P102" s="34">
        <f t="shared" si="117"/>
        <v>728.49043195432785</v>
      </c>
      <c r="Q102" s="34">
        <f t="shared" si="117"/>
        <v>769.56193862745101</v>
      </c>
      <c r="R102" s="34">
        <f t="shared" si="117"/>
        <v>806.77256262672961</v>
      </c>
      <c r="S102" s="34">
        <f t="shared" si="117"/>
        <v>781.91872776860737</v>
      </c>
      <c r="T102" s="34">
        <f t="shared" si="117"/>
        <v>953.84421346452757</v>
      </c>
      <c r="U102" s="34">
        <f t="shared" si="117"/>
        <v>1077.5295962377063</v>
      </c>
      <c r="V102" s="34">
        <f t="shared" si="117"/>
        <v>1147.4024677382204</v>
      </c>
      <c r="W102" s="34">
        <f t="shared" ref="W102:Y102" si="118">IF(W30=0,0,W30/W50)</f>
        <v>1161.1292170581733</v>
      </c>
      <c r="X102" s="34">
        <f t="shared" si="118"/>
        <v>1152.2711283485164</v>
      </c>
      <c r="Y102" s="34">
        <f t="shared" si="118"/>
        <v>1015.5231823205462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739</v>
      </c>
      <c r="C103" s="35">
        <f t="shared" si="104"/>
        <v>739</v>
      </c>
      <c r="D103" s="35">
        <f t="shared" ref="D103:V103" si="119">IF(D31=0,0,D31/D51)</f>
        <v>739</v>
      </c>
      <c r="E103" s="35">
        <f t="shared" si="119"/>
        <v>739</v>
      </c>
      <c r="F103" s="35">
        <f t="shared" si="119"/>
        <v>739</v>
      </c>
      <c r="G103" s="35">
        <f t="shared" si="119"/>
        <v>765</v>
      </c>
      <c r="H103" s="35">
        <f t="shared" si="119"/>
        <v>824</v>
      </c>
      <c r="I103" s="35">
        <f t="shared" si="119"/>
        <v>812</v>
      </c>
      <c r="J103" s="35">
        <f t="shared" si="119"/>
        <v>795</v>
      </c>
      <c r="K103" s="35">
        <f t="shared" si="119"/>
        <v>620.67216903268411</v>
      </c>
      <c r="L103" s="35">
        <f t="shared" si="119"/>
        <v>753.6409635119727</v>
      </c>
      <c r="M103" s="35">
        <f t="shared" si="119"/>
        <v>692</v>
      </c>
      <c r="N103" s="35">
        <f t="shared" si="119"/>
        <v>374.15481622391019</v>
      </c>
      <c r="O103" s="35">
        <f t="shared" si="119"/>
        <v>492.05041855094777</v>
      </c>
      <c r="P103" s="35">
        <f t="shared" si="119"/>
        <v>436.28204581324911</v>
      </c>
      <c r="Q103" s="35">
        <f t="shared" si="119"/>
        <v>377</v>
      </c>
      <c r="R103" s="35">
        <f t="shared" si="119"/>
        <v>329</v>
      </c>
      <c r="S103" s="35">
        <f t="shared" si="119"/>
        <v>289</v>
      </c>
      <c r="T103" s="35">
        <f t="shared" si="119"/>
        <v>254</v>
      </c>
      <c r="U103" s="35">
        <f t="shared" si="119"/>
        <v>136.19484115946938</v>
      </c>
      <c r="V103" s="35">
        <f t="shared" si="119"/>
        <v>73.971013965557489</v>
      </c>
      <c r="W103" s="35">
        <f t="shared" ref="W103:Y103" si="120">IF(W31=0,0,W31/W51)</f>
        <v>131.2254326826629</v>
      </c>
      <c r="X103" s="35">
        <f t="shared" si="120"/>
        <v>143.02281281906704</v>
      </c>
      <c r="Y103" s="35">
        <f t="shared" si="120"/>
        <v>103.25619774094174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7.6963959288794043E-2</v>
      </c>
      <c r="C107" s="43">
        <f t="shared" si="124"/>
        <v>7.5981996159902435E-2</v>
      </c>
      <c r="D107" s="43">
        <f t="shared" ref="D107:V107" si="125">IF(D5=0,0,D5/D$4)</f>
        <v>9.4027455634925802E-2</v>
      </c>
      <c r="E107" s="43">
        <f t="shared" si="125"/>
        <v>0.10663525710464766</v>
      </c>
      <c r="F107" s="43">
        <f t="shared" si="125"/>
        <v>0.10228053480272195</v>
      </c>
      <c r="G107" s="43">
        <f t="shared" si="125"/>
        <v>8.3833670032063226E-2</v>
      </c>
      <c r="H107" s="43">
        <f t="shared" si="125"/>
        <v>7.0814645185491409E-2</v>
      </c>
      <c r="I107" s="43">
        <f t="shared" si="125"/>
        <v>7.1777601971134225E-2</v>
      </c>
      <c r="J107" s="43">
        <f t="shared" si="125"/>
        <v>7.7596258281773314E-2</v>
      </c>
      <c r="K107" s="43">
        <f t="shared" si="125"/>
        <v>7.3172941280235174E-2</v>
      </c>
      <c r="L107" s="43">
        <f t="shared" si="125"/>
        <v>5.9814970636357503E-2</v>
      </c>
      <c r="M107" s="43">
        <f t="shared" si="125"/>
        <v>6.2052940195274291E-2</v>
      </c>
      <c r="N107" s="43">
        <f t="shared" si="125"/>
        <v>5.4127262536019696E-2</v>
      </c>
      <c r="O107" s="43">
        <f t="shared" si="125"/>
        <v>4.9560422283008811E-2</v>
      </c>
      <c r="P107" s="43">
        <f t="shared" si="125"/>
        <v>4.6357473586748014E-2</v>
      </c>
      <c r="Q107" s="43">
        <f t="shared" si="125"/>
        <v>4.2823074138592827E-2</v>
      </c>
      <c r="R107" s="43">
        <f t="shared" si="125"/>
        <v>3.9295561401276977E-2</v>
      </c>
      <c r="S107" s="43">
        <f t="shared" si="125"/>
        <v>3.3961484596950232E-2</v>
      </c>
      <c r="T107" s="43">
        <f t="shared" si="125"/>
        <v>2.9534462391990556E-2</v>
      </c>
      <c r="U107" s="43">
        <f t="shared" si="125"/>
        <v>2.6584095614138836E-2</v>
      </c>
      <c r="V107" s="43">
        <f t="shared" si="125"/>
        <v>5.6412304282203965E-2</v>
      </c>
      <c r="W107" s="43">
        <f t="shared" ref="W107:Y107" si="126">IF(W5=0,0,W5/W$4)</f>
        <v>3.1609143176436663E-2</v>
      </c>
      <c r="X107" s="43">
        <f t="shared" si="126"/>
        <v>2.2461903368471231E-2</v>
      </c>
      <c r="Y107" s="43">
        <f t="shared" si="126"/>
        <v>2.3190135658384112E-2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0.75606967683639537</v>
      </c>
      <c r="C108" s="43">
        <f t="shared" si="127"/>
        <v>0.75761872733567659</v>
      </c>
      <c r="D108" s="43">
        <f t="shared" ref="D108:V108" si="128">IF(D6=0,0,D6/D$4)</f>
        <v>0.7420195866016317</v>
      </c>
      <c r="E108" s="43">
        <f t="shared" si="128"/>
        <v>0.72965417009399458</v>
      </c>
      <c r="F108" s="43">
        <f t="shared" si="128"/>
        <v>0.73189365534634643</v>
      </c>
      <c r="G108" s="43">
        <f t="shared" si="128"/>
        <v>0.78476882129983638</v>
      </c>
      <c r="H108" s="43">
        <f t="shared" si="128"/>
        <v>0.81072390564104801</v>
      </c>
      <c r="I108" s="43">
        <f t="shared" si="128"/>
        <v>0.79557688355825151</v>
      </c>
      <c r="J108" s="43">
        <f t="shared" si="128"/>
        <v>0.75618701203410177</v>
      </c>
      <c r="K108" s="43">
        <f t="shared" si="128"/>
        <v>0.78167215292276104</v>
      </c>
      <c r="L108" s="43">
        <f t="shared" si="128"/>
        <v>0.75875706186564162</v>
      </c>
      <c r="M108" s="43">
        <f t="shared" si="128"/>
        <v>0.74314559635369482</v>
      </c>
      <c r="N108" s="43">
        <f t="shared" si="128"/>
        <v>0.75486185294095487</v>
      </c>
      <c r="O108" s="43">
        <f t="shared" si="128"/>
        <v>0.81553279575667192</v>
      </c>
      <c r="P108" s="43">
        <f t="shared" si="128"/>
        <v>0.8299185066726803</v>
      </c>
      <c r="Q108" s="43">
        <f t="shared" si="128"/>
        <v>0.81229105086488351</v>
      </c>
      <c r="R108" s="43">
        <f t="shared" si="128"/>
        <v>0.81363179476224101</v>
      </c>
      <c r="S108" s="43">
        <f t="shared" si="128"/>
        <v>0.79918820648217914</v>
      </c>
      <c r="T108" s="43">
        <f t="shared" si="128"/>
        <v>0.7647655972537607</v>
      </c>
      <c r="U108" s="43">
        <f t="shared" si="128"/>
        <v>0.77213889617301323</v>
      </c>
      <c r="V108" s="43">
        <f t="shared" si="128"/>
        <v>0.78829263711190245</v>
      </c>
      <c r="W108" s="43">
        <f t="shared" ref="W108:Y108" si="129">IF(W6=0,0,W6/W$4)</f>
        <v>0.79108630876526764</v>
      </c>
      <c r="X108" s="43">
        <f t="shared" si="129"/>
        <v>0.87218727517849037</v>
      </c>
      <c r="Y108" s="43">
        <f t="shared" si="129"/>
        <v>0.86189711232327404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0.16696636387481054</v>
      </c>
      <c r="C109" s="43">
        <f t="shared" si="130"/>
        <v>0.16639927650442099</v>
      </c>
      <c r="D109" s="43">
        <f t="shared" ref="D109:V109" si="131">IF(D7=0,0,D7/D$4)</f>
        <v>0.16395295776344246</v>
      </c>
      <c r="E109" s="43">
        <f t="shared" si="131"/>
        <v>0.1637105728013577</v>
      </c>
      <c r="F109" s="43">
        <f t="shared" si="131"/>
        <v>0.16582580985093154</v>
      </c>
      <c r="G109" s="43">
        <f t="shared" si="131"/>
        <v>0.13139750866810027</v>
      </c>
      <c r="H109" s="43">
        <f t="shared" si="131"/>
        <v>0.11846144917346058</v>
      </c>
      <c r="I109" s="43">
        <f t="shared" si="131"/>
        <v>0.1326455144706141</v>
      </c>
      <c r="J109" s="43">
        <f t="shared" si="131"/>
        <v>0.16621672968412501</v>
      </c>
      <c r="K109" s="43">
        <f t="shared" si="131"/>
        <v>0.14515490579700382</v>
      </c>
      <c r="L109" s="43">
        <f t="shared" si="131"/>
        <v>0.18142796749800091</v>
      </c>
      <c r="M109" s="43">
        <f t="shared" si="131"/>
        <v>0.19480146345103089</v>
      </c>
      <c r="N109" s="43">
        <f t="shared" si="131"/>
        <v>0.19101088452302536</v>
      </c>
      <c r="O109" s="43">
        <f t="shared" si="131"/>
        <v>0.13490678196031919</v>
      </c>
      <c r="P109" s="43">
        <f t="shared" si="131"/>
        <v>0.12372401974057173</v>
      </c>
      <c r="Q109" s="43">
        <f t="shared" si="131"/>
        <v>0.14488587499652375</v>
      </c>
      <c r="R109" s="43">
        <f t="shared" si="131"/>
        <v>0.147072643836482</v>
      </c>
      <c r="S109" s="43">
        <f t="shared" si="131"/>
        <v>0.16685030892087072</v>
      </c>
      <c r="T109" s="43">
        <f t="shared" si="131"/>
        <v>0.20569994035424868</v>
      </c>
      <c r="U109" s="43">
        <f t="shared" si="131"/>
        <v>0.20127700821284791</v>
      </c>
      <c r="V109" s="43">
        <f t="shared" si="131"/>
        <v>0.1552950586058936</v>
      </c>
      <c r="W109" s="43">
        <f t="shared" ref="W109:Y109" si="132">IF(W7=0,0,W7/W$4)</f>
        <v>0.17730454805829568</v>
      </c>
      <c r="X109" s="43">
        <f t="shared" si="132"/>
        <v>0.10535082145303835</v>
      </c>
      <c r="Y109" s="43">
        <f t="shared" si="132"/>
        <v>0.11491275201834183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5.7631232504279997E-2</v>
      </c>
      <c r="C111" s="44">
        <f t="shared" si="136"/>
        <v>5.7059284058296689E-2</v>
      </c>
      <c r="D111" s="44">
        <f t="shared" ref="D111:V111" si="137">IF(D9=0,0,D9/D$8)</f>
        <v>6.1019920191380937E-2</v>
      </c>
      <c r="E111" s="44">
        <f t="shared" si="137"/>
        <v>6.0850342618498511E-2</v>
      </c>
      <c r="F111" s="44">
        <f t="shared" si="137"/>
        <v>6.1707559528868645E-2</v>
      </c>
      <c r="G111" s="44">
        <f t="shared" si="137"/>
        <v>6.53804793306315E-2</v>
      </c>
      <c r="H111" s="44">
        <f t="shared" si="137"/>
        <v>8.7291941853021304E-2</v>
      </c>
      <c r="I111" s="44">
        <f t="shared" si="137"/>
        <v>0.10759772505181166</v>
      </c>
      <c r="J111" s="44">
        <f t="shared" si="137"/>
        <v>0.12236309169575758</v>
      </c>
      <c r="K111" s="44">
        <f t="shared" si="137"/>
        <v>8.609180743085143E-2</v>
      </c>
      <c r="L111" s="44">
        <f t="shared" si="137"/>
        <v>0.1043324233425869</v>
      </c>
      <c r="M111" s="44">
        <f t="shared" si="137"/>
        <v>5.4852934884549641E-2</v>
      </c>
      <c r="N111" s="44">
        <f t="shared" si="137"/>
        <v>3.5056898249732911E-2</v>
      </c>
      <c r="O111" s="44">
        <f t="shared" si="137"/>
        <v>2.2498059351345797E-2</v>
      </c>
      <c r="P111" s="44">
        <f t="shared" si="137"/>
        <v>2.0074334837736671E-2</v>
      </c>
      <c r="Q111" s="44">
        <f t="shared" si="137"/>
        <v>1.6932789974083991E-2</v>
      </c>
      <c r="R111" s="44">
        <f t="shared" si="137"/>
        <v>1.337651396438495E-2</v>
      </c>
      <c r="S111" s="44">
        <f t="shared" si="137"/>
        <v>1.1250112847584929E-2</v>
      </c>
      <c r="T111" s="44">
        <f t="shared" si="137"/>
        <v>2.4321717702615511E-3</v>
      </c>
      <c r="U111" s="44">
        <f t="shared" si="137"/>
        <v>4.3165977567470289E-3</v>
      </c>
      <c r="V111" s="44">
        <f t="shared" si="137"/>
        <v>6.4142376396743236E-3</v>
      </c>
      <c r="W111" s="44">
        <f t="shared" ref="W111:Y111" si="138">IF(W9=0,0,W9/W$8)</f>
        <v>3.1461572249391226E-3</v>
      </c>
      <c r="X111" s="44">
        <f t="shared" si="138"/>
        <v>5.3865271606696194E-3</v>
      </c>
      <c r="Y111" s="44">
        <f t="shared" si="138"/>
        <v>4.7149168730971072E-3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0.62185273451746981</v>
      </c>
      <c r="C112" s="44">
        <f t="shared" si="139"/>
        <v>0.6267280735934424</v>
      </c>
      <c r="D112" s="44">
        <f t="shared" ref="D112:V112" si="140">IF(D10=0,0,D10/D$8)</f>
        <v>0.62849044388579578</v>
      </c>
      <c r="E112" s="44">
        <f t="shared" si="140"/>
        <v>0.61154377959066908</v>
      </c>
      <c r="F112" s="44">
        <f t="shared" si="140"/>
        <v>0.60264746963887883</v>
      </c>
      <c r="G112" s="44">
        <f t="shared" si="140"/>
        <v>0.65387252794959294</v>
      </c>
      <c r="H112" s="44">
        <f t="shared" si="140"/>
        <v>0.65215502981780815</v>
      </c>
      <c r="I112" s="44">
        <f t="shared" si="140"/>
        <v>0.63687298085043076</v>
      </c>
      <c r="J112" s="44">
        <f t="shared" si="140"/>
        <v>0.601987996615307</v>
      </c>
      <c r="K112" s="44">
        <f t="shared" si="140"/>
        <v>0.72276089839960989</v>
      </c>
      <c r="L112" s="44">
        <f t="shared" si="140"/>
        <v>0.59935558384603038</v>
      </c>
      <c r="M112" s="44">
        <f t="shared" si="140"/>
        <v>0.28696242780791942</v>
      </c>
      <c r="N112" s="44">
        <f t="shared" si="140"/>
        <v>0.42334175006614594</v>
      </c>
      <c r="O112" s="44">
        <f t="shared" si="140"/>
        <v>0.33013099660749601</v>
      </c>
      <c r="P112" s="44">
        <f t="shared" si="140"/>
        <v>0.31001427803184411</v>
      </c>
      <c r="Q112" s="44">
        <f t="shared" si="140"/>
        <v>0.27501371758412918</v>
      </c>
      <c r="R112" s="44">
        <f t="shared" si="140"/>
        <v>0.25725006185602606</v>
      </c>
      <c r="S112" s="44">
        <f t="shared" si="140"/>
        <v>0.19535570878994976</v>
      </c>
      <c r="T112" s="44">
        <f t="shared" si="140"/>
        <v>5.6702063998621099E-2</v>
      </c>
      <c r="U112" s="44">
        <f t="shared" si="140"/>
        <v>0.10836623395942893</v>
      </c>
      <c r="V112" s="44">
        <f t="shared" si="140"/>
        <v>0.6262505860480273</v>
      </c>
      <c r="W112" s="44">
        <f t="shared" ref="W112:Y112" si="141">IF(W10=0,0,W10/W$8)</f>
        <v>0.49433702440150551</v>
      </c>
      <c r="X112" s="44">
        <f t="shared" si="141"/>
        <v>0.74345249472699904</v>
      </c>
      <c r="Y112" s="44">
        <f t="shared" si="141"/>
        <v>0.78213384869546043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0.3205160329782501</v>
      </c>
      <c r="C113" s="45">
        <f t="shared" si="142"/>
        <v>0.31621264234826107</v>
      </c>
      <c r="D113" s="45">
        <f t="shared" ref="D113:V113" si="143">IF(D11=0,0,D11/D$8)</f>
        <v>0.31048963592282319</v>
      </c>
      <c r="E113" s="45">
        <f t="shared" si="143"/>
        <v>0.32760587779083244</v>
      </c>
      <c r="F113" s="45">
        <f t="shared" si="143"/>
        <v>0.3356449708322527</v>
      </c>
      <c r="G113" s="45">
        <f t="shared" si="143"/>
        <v>0.28074699271977577</v>
      </c>
      <c r="H113" s="45">
        <f t="shared" si="143"/>
        <v>0.26055302832917066</v>
      </c>
      <c r="I113" s="45">
        <f t="shared" si="143"/>
        <v>0.25552929409775754</v>
      </c>
      <c r="J113" s="45">
        <f t="shared" si="143"/>
        <v>0.27564891168893546</v>
      </c>
      <c r="K113" s="45">
        <f t="shared" si="143"/>
        <v>0.19114729416953863</v>
      </c>
      <c r="L113" s="45">
        <f t="shared" si="143"/>
        <v>0.29631199281138265</v>
      </c>
      <c r="M113" s="45">
        <f t="shared" si="143"/>
        <v>0.65818463730753096</v>
      </c>
      <c r="N113" s="45">
        <f t="shared" si="143"/>
        <v>0.54160135168412116</v>
      </c>
      <c r="O113" s="45">
        <f t="shared" si="143"/>
        <v>0.64737094404115825</v>
      </c>
      <c r="P113" s="45">
        <f t="shared" si="143"/>
        <v>0.66991138713041931</v>
      </c>
      <c r="Q113" s="45">
        <f t="shared" si="143"/>
        <v>0.70805349244178684</v>
      </c>
      <c r="R113" s="45">
        <f t="shared" si="143"/>
        <v>0.72937342417958906</v>
      </c>
      <c r="S113" s="45">
        <f t="shared" si="143"/>
        <v>0.79339417836246517</v>
      </c>
      <c r="T113" s="45">
        <f t="shared" si="143"/>
        <v>0.94086576423111734</v>
      </c>
      <c r="U113" s="45">
        <f t="shared" si="143"/>
        <v>0.88731716828382401</v>
      </c>
      <c r="V113" s="45">
        <f t="shared" si="143"/>
        <v>0.36733517631229845</v>
      </c>
      <c r="W113" s="45">
        <f t="shared" ref="W113:Y113" si="144">IF(W11=0,0,W11/W$8)</f>
        <v>0.50251681837355544</v>
      </c>
      <c r="X113" s="45">
        <f t="shared" si="144"/>
        <v>0.25116097811233123</v>
      </c>
      <c r="Y113" s="45">
        <f t="shared" si="144"/>
        <v>0.2131512344314424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9.5878478918971832E-2</v>
      </c>
      <c r="C117" s="43">
        <f t="shared" si="148"/>
        <v>9.5880971938528722E-2</v>
      </c>
      <c r="D117" s="43">
        <f t="shared" ref="D117:V117" si="149">IF(D15=0,0,D15/D$14)</f>
        <v>0.11846488302658915</v>
      </c>
      <c r="E117" s="43">
        <f t="shared" si="149"/>
        <v>0.13322574489421032</v>
      </c>
      <c r="F117" s="43">
        <f t="shared" si="149"/>
        <v>0.12717828281468435</v>
      </c>
      <c r="G117" s="43">
        <f t="shared" si="149"/>
        <v>0.10558019867130469</v>
      </c>
      <c r="H117" s="43">
        <f t="shared" si="149"/>
        <v>8.8320941635861225E-2</v>
      </c>
      <c r="I117" s="43">
        <f t="shared" si="149"/>
        <v>8.8075848285831884E-2</v>
      </c>
      <c r="J117" s="43">
        <f t="shared" si="149"/>
        <v>9.4505824249909554E-2</v>
      </c>
      <c r="K117" s="43">
        <f t="shared" si="149"/>
        <v>9.817406852131097E-2</v>
      </c>
      <c r="L117" s="43">
        <f t="shared" si="149"/>
        <v>8.3327704405646963E-2</v>
      </c>
      <c r="M117" s="43">
        <f t="shared" si="149"/>
        <v>8.6429425370587731E-2</v>
      </c>
      <c r="N117" s="43">
        <f t="shared" si="149"/>
        <v>7.4832357471142932E-2</v>
      </c>
      <c r="O117" s="43">
        <f t="shared" si="149"/>
        <v>6.7907498107834849E-2</v>
      </c>
      <c r="P117" s="43">
        <f t="shared" si="149"/>
        <v>7.1480608756441508E-2</v>
      </c>
      <c r="Q117" s="43">
        <f t="shared" si="149"/>
        <v>6.6971117369259467E-2</v>
      </c>
      <c r="R117" s="43">
        <f t="shared" si="149"/>
        <v>6.482472432875222E-2</v>
      </c>
      <c r="S117" s="43">
        <f t="shared" si="149"/>
        <v>5.6535283337509123E-2</v>
      </c>
      <c r="T117" s="43">
        <f t="shared" si="149"/>
        <v>5.0613675553034636E-2</v>
      </c>
      <c r="U117" s="43">
        <f t="shared" si="149"/>
        <v>4.8834522219293554E-2</v>
      </c>
      <c r="V117" s="43">
        <f t="shared" si="149"/>
        <v>0.11103738857205596</v>
      </c>
      <c r="W117" s="43">
        <f t="shared" ref="W117:Y117" si="150">IF(W15=0,0,W15/W$14)</f>
        <v>7.9699112870644656E-2</v>
      </c>
      <c r="X117" s="43">
        <f t="shared" si="150"/>
        <v>4.7091926623449368E-2</v>
      </c>
      <c r="Y117" s="43">
        <f t="shared" si="150"/>
        <v>4.9801455294815285E-2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0.74453581939842395</v>
      </c>
      <c r="C118" s="43">
        <f t="shared" si="151"/>
        <v>0.74453195405625361</v>
      </c>
      <c r="D118" s="43">
        <f t="shared" ref="D118:V118" si="152">IF(D16=0,0,D16/D$14)</f>
        <v>0.72595233943974546</v>
      </c>
      <c r="E118" s="43">
        <f t="shared" si="152"/>
        <v>0.71386158284582824</v>
      </c>
      <c r="F118" s="43">
        <f t="shared" si="152"/>
        <v>0.71887474101960347</v>
      </c>
      <c r="G118" s="43">
        <f t="shared" si="152"/>
        <v>0.77289721826957214</v>
      </c>
      <c r="H118" s="43">
        <f t="shared" si="152"/>
        <v>0.80394093036341252</v>
      </c>
      <c r="I118" s="43">
        <f t="shared" si="152"/>
        <v>0.79380148047745946</v>
      </c>
      <c r="J118" s="43">
        <f t="shared" si="152"/>
        <v>0.75869628319648796</v>
      </c>
      <c r="K118" s="43">
        <f t="shared" si="152"/>
        <v>0.76357530318246536</v>
      </c>
      <c r="L118" s="43">
        <f t="shared" si="152"/>
        <v>0.75737704343782075</v>
      </c>
      <c r="M118" s="43">
        <f t="shared" si="152"/>
        <v>0.74136832960022137</v>
      </c>
      <c r="N118" s="43">
        <f t="shared" si="152"/>
        <v>0.75240075502058834</v>
      </c>
      <c r="O118" s="43">
        <f t="shared" si="152"/>
        <v>0.79103420388206336</v>
      </c>
      <c r="P118" s="43">
        <f t="shared" si="152"/>
        <v>0.79602908146334772</v>
      </c>
      <c r="Q118" s="43">
        <f t="shared" si="152"/>
        <v>0.77485862047351328</v>
      </c>
      <c r="R118" s="43">
        <f t="shared" si="152"/>
        <v>0.77036200895643736</v>
      </c>
      <c r="S118" s="43">
        <f t="shared" si="152"/>
        <v>0.78313445415253724</v>
      </c>
      <c r="T118" s="43">
        <f t="shared" si="152"/>
        <v>0.7568466716629928</v>
      </c>
      <c r="U118" s="43">
        <f t="shared" si="152"/>
        <v>0.76981965648969031</v>
      </c>
      <c r="V118" s="43">
        <f t="shared" si="152"/>
        <v>0.74954666821469018</v>
      </c>
      <c r="W118" s="43">
        <f t="shared" ref="W118:Y118" si="153">IF(W16=0,0,W16/W$14)</f>
        <v>0.76398548615795836</v>
      </c>
      <c r="X118" s="43">
        <f t="shared" si="153"/>
        <v>0.84781010296177783</v>
      </c>
      <c r="Y118" s="43">
        <f t="shared" si="153"/>
        <v>0.83222314312440371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0.15958570168260436</v>
      </c>
      <c r="C119" s="43">
        <f t="shared" si="154"/>
        <v>0.15958707400521763</v>
      </c>
      <c r="D119" s="43">
        <f t="shared" ref="D119:V119" si="155">IF(D17=0,0,D17/D$14)</f>
        <v>0.15558277753366517</v>
      </c>
      <c r="E119" s="43">
        <f t="shared" si="155"/>
        <v>0.1529126722599615</v>
      </c>
      <c r="F119" s="43">
        <f t="shared" si="155"/>
        <v>0.15394697616571212</v>
      </c>
      <c r="G119" s="43">
        <f t="shared" si="155"/>
        <v>0.12152258305912315</v>
      </c>
      <c r="H119" s="43">
        <f t="shared" si="155"/>
        <v>0.10773812800072627</v>
      </c>
      <c r="I119" s="43">
        <f t="shared" si="155"/>
        <v>0.11812267123670857</v>
      </c>
      <c r="J119" s="43">
        <f t="shared" si="155"/>
        <v>0.14679789255360254</v>
      </c>
      <c r="K119" s="43">
        <f t="shared" si="155"/>
        <v>0.13825062829622364</v>
      </c>
      <c r="L119" s="43">
        <f t="shared" si="155"/>
        <v>0.15929525215653229</v>
      </c>
      <c r="M119" s="43">
        <f t="shared" si="155"/>
        <v>0.17220224502919101</v>
      </c>
      <c r="N119" s="43">
        <f t="shared" si="155"/>
        <v>0.17276688750826874</v>
      </c>
      <c r="O119" s="43">
        <f t="shared" si="155"/>
        <v>0.14105829801010181</v>
      </c>
      <c r="P119" s="43">
        <f t="shared" si="155"/>
        <v>0.13249030978021076</v>
      </c>
      <c r="Q119" s="43">
        <f t="shared" si="155"/>
        <v>0.15817026215722715</v>
      </c>
      <c r="R119" s="43">
        <f t="shared" si="155"/>
        <v>0.16481326671481036</v>
      </c>
      <c r="S119" s="43">
        <f t="shared" si="155"/>
        <v>0.16033026250995358</v>
      </c>
      <c r="T119" s="43">
        <f t="shared" si="155"/>
        <v>0.19253965278397256</v>
      </c>
      <c r="U119" s="43">
        <f t="shared" si="155"/>
        <v>0.18134582129101612</v>
      </c>
      <c r="V119" s="43">
        <f t="shared" si="155"/>
        <v>0.13941594321325396</v>
      </c>
      <c r="W119" s="43">
        <f t="shared" ref="W119:Y119" si="156">IF(W17=0,0,W17/W$14)</f>
        <v>0.15631540097139685</v>
      </c>
      <c r="X119" s="43">
        <f t="shared" si="156"/>
        <v>0.10509797041477285</v>
      </c>
      <c r="Y119" s="43">
        <f t="shared" si="156"/>
        <v>0.11797540158078097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0.16850381732033057</v>
      </c>
      <c r="C121" s="44">
        <f t="shared" si="160"/>
        <v>0.17282277316625941</v>
      </c>
      <c r="D121" s="44">
        <f t="shared" ref="D121:V121" si="161">IF(D19=0,0,D19/D$18)</f>
        <v>0.16953610764014412</v>
      </c>
      <c r="E121" s="44">
        <f t="shared" si="161"/>
        <v>0.16361760244050205</v>
      </c>
      <c r="F121" s="44">
        <f t="shared" si="161"/>
        <v>0.16308832005730303</v>
      </c>
      <c r="G121" s="44">
        <f t="shared" si="161"/>
        <v>0.16456451474197031</v>
      </c>
      <c r="H121" s="44">
        <f t="shared" si="161"/>
        <v>0.19133682223667389</v>
      </c>
      <c r="I121" s="44">
        <f t="shared" si="161"/>
        <v>0.22285004733090844</v>
      </c>
      <c r="J121" s="44">
        <f t="shared" si="161"/>
        <v>0.25515931299778205</v>
      </c>
      <c r="K121" s="44">
        <f t="shared" si="161"/>
        <v>0.17770440279905331</v>
      </c>
      <c r="L121" s="44">
        <f t="shared" si="161"/>
        <v>0.21789269420919144</v>
      </c>
      <c r="M121" s="44">
        <f t="shared" si="161"/>
        <v>0.17088111203057862</v>
      </c>
      <c r="N121" s="44">
        <f t="shared" si="161"/>
        <v>0.10028198665569839</v>
      </c>
      <c r="O121" s="44">
        <f t="shared" si="161"/>
        <v>7.2346569330208818E-2</v>
      </c>
      <c r="P121" s="44">
        <f t="shared" si="161"/>
        <v>6.8384422406018316E-2</v>
      </c>
      <c r="Q121" s="44">
        <f t="shared" si="161"/>
        <v>6.0663528319590258E-2</v>
      </c>
      <c r="R121" s="44">
        <f t="shared" si="161"/>
        <v>4.6603439969433828E-2</v>
      </c>
      <c r="S121" s="44">
        <f t="shared" si="161"/>
        <v>4.6469029139551574E-2</v>
      </c>
      <c r="T121" s="44">
        <f t="shared" si="161"/>
        <v>1.437009384142832E-2</v>
      </c>
      <c r="U121" s="44">
        <f t="shared" si="161"/>
        <v>2.1412504432899961E-2</v>
      </c>
      <c r="V121" s="44">
        <f t="shared" si="161"/>
        <v>1.2211016782145142E-2</v>
      </c>
      <c r="W121" s="44">
        <f t="shared" ref="W121:Y121" si="162">IF(W19=0,0,W19/W$18)</f>
        <v>6.7496255280318305E-3</v>
      </c>
      <c r="X121" s="44">
        <f t="shared" si="162"/>
        <v>8.9165476431929628E-3</v>
      </c>
      <c r="Y121" s="44">
        <f t="shared" si="162"/>
        <v>7.3935279950369977E-3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0.71591050333547079</v>
      </c>
      <c r="C122" s="44">
        <f t="shared" si="163"/>
        <v>0.71530991191500148</v>
      </c>
      <c r="D122" s="44">
        <f t="shared" ref="D122:V122" si="164">IF(D20=0,0,D20/D$18)</f>
        <v>0.72072401956408749</v>
      </c>
      <c r="E122" s="44">
        <f t="shared" si="164"/>
        <v>0.70519983971157885</v>
      </c>
      <c r="F122" s="44">
        <f t="shared" si="164"/>
        <v>0.70874275244714469</v>
      </c>
      <c r="G122" s="44">
        <f t="shared" si="164"/>
        <v>0.72918821258757371</v>
      </c>
      <c r="H122" s="44">
        <f t="shared" si="164"/>
        <v>0.72322232807348064</v>
      </c>
      <c r="I122" s="44">
        <f t="shared" si="164"/>
        <v>0.69692936004576733</v>
      </c>
      <c r="J122" s="44">
        <f t="shared" si="164"/>
        <v>0.65929280920840683</v>
      </c>
      <c r="K122" s="44">
        <f t="shared" si="164"/>
        <v>0.76977871897309735</v>
      </c>
      <c r="L122" s="44">
        <f t="shared" si="164"/>
        <v>0.69544535068386482</v>
      </c>
      <c r="M122" s="44">
        <f t="shared" si="164"/>
        <v>0.52682584676487454</v>
      </c>
      <c r="N122" s="44">
        <f t="shared" si="164"/>
        <v>0.68225763028804121</v>
      </c>
      <c r="O122" s="44">
        <f t="shared" si="164"/>
        <v>0.61829984985464492</v>
      </c>
      <c r="P122" s="44">
        <f t="shared" si="164"/>
        <v>0.58860558063900348</v>
      </c>
      <c r="Q122" s="44">
        <f t="shared" si="164"/>
        <v>0.57139666271776079</v>
      </c>
      <c r="R122" s="44">
        <f t="shared" si="164"/>
        <v>0.54426089799900479</v>
      </c>
      <c r="S122" s="44">
        <f t="shared" si="164"/>
        <v>0.49378604677139304</v>
      </c>
      <c r="T122" s="44">
        <f t="shared" si="164"/>
        <v>0.20643886868403316</v>
      </c>
      <c r="U122" s="44">
        <f t="shared" si="164"/>
        <v>0.34946357576797565</v>
      </c>
      <c r="V122" s="44">
        <f t="shared" si="164"/>
        <v>0.83623504757489675</v>
      </c>
      <c r="W122" s="44">
        <f t="shared" ref="W122:Y122" si="165">IF(W20=0,0,W20/W$18)</f>
        <v>0.76378960580857314</v>
      </c>
      <c r="X122" s="44">
        <f t="shared" si="165"/>
        <v>0.91416661055682313</v>
      </c>
      <c r="Y122" s="44">
        <f t="shared" si="165"/>
        <v>0.93570244991722606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0.11558567934419857</v>
      </c>
      <c r="C123" s="45">
        <f t="shared" si="166"/>
        <v>0.11186731491873911</v>
      </c>
      <c r="D123" s="45">
        <f t="shared" ref="D123:V123" si="167">IF(D21=0,0,D21/D$18)</f>
        <v>0.10973987279576845</v>
      </c>
      <c r="E123" s="45">
        <f t="shared" si="167"/>
        <v>0.13118255784791916</v>
      </c>
      <c r="F123" s="45">
        <f t="shared" si="167"/>
        <v>0.12816892749555231</v>
      </c>
      <c r="G123" s="45">
        <f t="shared" si="167"/>
        <v>0.106247272670456</v>
      </c>
      <c r="H123" s="45">
        <f t="shared" si="167"/>
        <v>8.5440849689845569E-2</v>
      </c>
      <c r="I123" s="45">
        <f t="shared" si="167"/>
        <v>8.0220592623324191E-2</v>
      </c>
      <c r="J123" s="45">
        <f t="shared" si="167"/>
        <v>8.554787779381115E-2</v>
      </c>
      <c r="K123" s="45">
        <f t="shared" si="167"/>
        <v>5.2516878227849326E-2</v>
      </c>
      <c r="L123" s="45">
        <f t="shared" si="167"/>
        <v>8.6661955106943828E-2</v>
      </c>
      <c r="M123" s="45">
        <f t="shared" si="167"/>
        <v>0.30229304120454692</v>
      </c>
      <c r="N123" s="45">
        <f t="shared" si="167"/>
        <v>0.21746038305626045</v>
      </c>
      <c r="O123" s="45">
        <f t="shared" si="167"/>
        <v>0.30935358081514636</v>
      </c>
      <c r="P123" s="45">
        <f t="shared" si="167"/>
        <v>0.3430099969549783</v>
      </c>
      <c r="Q123" s="45">
        <f t="shared" si="167"/>
        <v>0.36793980896264905</v>
      </c>
      <c r="R123" s="45">
        <f t="shared" si="167"/>
        <v>0.40913566203156149</v>
      </c>
      <c r="S123" s="45">
        <f t="shared" si="167"/>
        <v>0.45974492408905543</v>
      </c>
      <c r="T123" s="45">
        <f t="shared" si="167"/>
        <v>0.77919103747453855</v>
      </c>
      <c r="U123" s="45">
        <f t="shared" si="167"/>
        <v>0.62912391979912441</v>
      </c>
      <c r="V123" s="45">
        <f t="shared" si="167"/>
        <v>0.15155393564295822</v>
      </c>
      <c r="W123" s="45">
        <f t="shared" ref="W123:Y123" si="168">IF(W21=0,0,W21/W$18)</f>
        <v>0.22946076866339518</v>
      </c>
      <c r="X123" s="45">
        <f t="shared" si="168"/>
        <v>7.6916841799983843E-2</v>
      </c>
      <c r="Y123" s="45">
        <f t="shared" si="168"/>
        <v>5.6904022087736907E-2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75.597592433361982</v>
      </c>
      <c r="C3" s="79">
        <f t="shared" si="0"/>
        <v>75.597592433361982</v>
      </c>
      <c r="D3" s="79">
        <f t="shared" ref="D3" si="1">SUM(D4:D5)</f>
        <v>72.976784178847808</v>
      </c>
      <c r="E3" s="79">
        <f t="shared" ref="E3" si="2">SUM(E4:E5)</f>
        <v>71.930180567497857</v>
      </c>
      <c r="F3" s="79">
        <f t="shared" ref="F3" si="3">SUM(F4:F5)</f>
        <v>82.429836629406694</v>
      </c>
      <c r="G3" s="79">
        <f t="shared" ref="G3" si="4">SUM(G4:G5)</f>
        <v>98.179363714531348</v>
      </c>
      <c r="H3" s="79">
        <f t="shared" ref="H3" si="5">SUM(H4:H5)</f>
        <v>101.32923473774717</v>
      </c>
      <c r="I3" s="79">
        <f t="shared" ref="I3" si="6">SUM(I4:I5)</f>
        <v>105.52914875322443</v>
      </c>
      <c r="J3" s="79">
        <f t="shared" ref="J3" si="7">SUM(J4:J5)</f>
        <v>119.17867583834905</v>
      </c>
      <c r="K3" s="79">
        <f t="shared" ref="K3" si="8">SUM(K4:K5)</f>
        <v>102.37927773000858</v>
      </c>
      <c r="L3" s="79">
        <f t="shared" ref="L3" si="9">SUM(L4:L5)</f>
        <v>108.67901977644021</v>
      </c>
      <c r="M3" s="79">
        <f t="shared" ref="M3" si="10">SUM(M4:M5)</f>
        <v>114.97884780739462</v>
      </c>
      <c r="N3" s="79">
        <f t="shared" ref="N3" si="11">SUM(N4:N5)</f>
        <v>120.22871883061053</v>
      </c>
      <c r="O3" s="79">
        <f t="shared" ref="O3" si="12">SUM(O4:O5)</f>
        <v>130.72837489251933</v>
      </c>
      <c r="P3" s="79">
        <f t="shared" ref="P3" si="13">SUM(P4:P5)</f>
        <v>130.7283748925193</v>
      </c>
      <c r="Q3" s="79">
        <f t="shared" ref="Q3" si="14">SUM(Q4:Q5)</f>
        <v>127.47188306104898</v>
      </c>
      <c r="R3" s="79">
        <f t="shared" ref="R3" si="15">SUM(R4:R5)</f>
        <v>134.92820292347375</v>
      </c>
      <c r="S3" s="79">
        <f t="shared" ref="S3" si="16">SUM(S4:S5)</f>
        <v>158.44746345657782</v>
      </c>
      <c r="T3" s="79">
        <f t="shared" ref="T3" si="17">SUM(T4:T5)</f>
        <v>194.9863284608771</v>
      </c>
      <c r="U3" s="79">
        <f t="shared" ref="U3" si="18">SUM(U4:U5)</f>
        <v>210.31582115219257</v>
      </c>
      <c r="V3" s="79">
        <f t="shared" ref="V3:W3" si="19">SUM(V4:V5)</f>
        <v>59.539036973344786</v>
      </c>
      <c r="W3" s="79">
        <f t="shared" si="19"/>
        <v>105.73912295786758</v>
      </c>
      <c r="X3" s="79">
        <f t="shared" ref="X3:Y3" si="20">SUM(X4:X5)</f>
        <v>194.56483233018062</v>
      </c>
      <c r="Y3" s="79">
        <f t="shared" si="20"/>
        <v>209.26586414445399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8.3997420464316406</v>
      </c>
      <c r="C4" s="96">
        <f t="shared" si="21"/>
        <v>8.3997420464316406</v>
      </c>
      <c r="D4" s="96">
        <f t="shared" ref="D4:V4" si="22">SUM(D7,D11)</f>
        <v>9.9787618228718831</v>
      </c>
      <c r="E4" s="96">
        <f t="shared" si="22"/>
        <v>11.03215821152193</v>
      </c>
      <c r="F4" s="96">
        <f t="shared" si="22"/>
        <v>12.08211521926053</v>
      </c>
      <c r="G4" s="96">
        <f t="shared" si="22"/>
        <v>12.08211521926053</v>
      </c>
      <c r="H4" s="96">
        <f t="shared" si="22"/>
        <v>13.13207222699914</v>
      </c>
      <c r="I4" s="96">
        <f t="shared" si="22"/>
        <v>13.13207222699914</v>
      </c>
      <c r="J4" s="96">
        <f t="shared" si="22"/>
        <v>13.13207222699914</v>
      </c>
      <c r="K4" s="96">
        <f t="shared" si="22"/>
        <v>12.08211521926053</v>
      </c>
      <c r="L4" s="96">
        <f t="shared" si="22"/>
        <v>9.982201203783319</v>
      </c>
      <c r="M4" s="96">
        <f t="shared" si="22"/>
        <v>11.03215821152193</v>
      </c>
      <c r="N4" s="96">
        <f t="shared" si="22"/>
        <v>9.982201203783319</v>
      </c>
      <c r="O4" s="96">
        <f t="shared" si="22"/>
        <v>9.982201203783319</v>
      </c>
      <c r="P4" s="96">
        <f t="shared" si="22"/>
        <v>9.982201203783319</v>
      </c>
      <c r="Q4" s="96">
        <f t="shared" si="22"/>
        <v>10.925623387790202</v>
      </c>
      <c r="R4" s="96">
        <f t="shared" si="22"/>
        <v>11.03215821152193</v>
      </c>
      <c r="S4" s="96">
        <f t="shared" si="22"/>
        <v>10.612209802235599</v>
      </c>
      <c r="T4" s="96">
        <f t="shared" si="22"/>
        <v>10.717196904557179</v>
      </c>
      <c r="U4" s="96">
        <f t="shared" si="22"/>
        <v>10.715649183147031</v>
      </c>
      <c r="V4" s="96">
        <f t="shared" si="22"/>
        <v>5.5707652622527943</v>
      </c>
      <c r="W4" s="96">
        <f t="shared" ref="W4:Y4" si="23">SUM(W7,W11)</f>
        <v>7.4622527944969903</v>
      </c>
      <c r="X4" s="96">
        <f t="shared" si="23"/>
        <v>8.6157351676698184</v>
      </c>
      <c r="Y4" s="96">
        <f t="shared" si="23"/>
        <v>10.087188306104901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67.197850386930341</v>
      </c>
      <c r="C5" s="96">
        <f t="shared" si="24"/>
        <v>67.197850386930341</v>
      </c>
      <c r="D5" s="96">
        <f t="shared" ref="D5:V5" si="25">SUM(D8:D9,D12:D13)</f>
        <v>62.998022355975927</v>
      </c>
      <c r="E5" s="96">
        <f t="shared" si="25"/>
        <v>60.898022355975925</v>
      </c>
      <c r="F5" s="96">
        <f t="shared" si="25"/>
        <v>70.347721410146164</v>
      </c>
      <c r="G5" s="96">
        <f t="shared" si="25"/>
        <v>86.097248495270819</v>
      </c>
      <c r="H5" s="96">
        <f t="shared" si="25"/>
        <v>88.197162510748029</v>
      </c>
      <c r="I5" s="96">
        <f t="shared" si="25"/>
        <v>92.397076526225291</v>
      </c>
      <c r="J5" s="96">
        <f t="shared" si="25"/>
        <v>106.04660361134991</v>
      </c>
      <c r="K5" s="96">
        <f t="shared" si="25"/>
        <v>90.297162510748052</v>
      </c>
      <c r="L5" s="96">
        <f t="shared" si="25"/>
        <v>98.696818572656895</v>
      </c>
      <c r="M5" s="96">
        <f t="shared" si="25"/>
        <v>103.94668959587268</v>
      </c>
      <c r="N5" s="96">
        <f t="shared" si="25"/>
        <v>110.24651762682721</v>
      </c>
      <c r="O5" s="96">
        <f t="shared" si="25"/>
        <v>120.74617368873601</v>
      </c>
      <c r="P5" s="96">
        <f t="shared" si="25"/>
        <v>120.74617368873599</v>
      </c>
      <c r="Q5" s="96">
        <f t="shared" si="25"/>
        <v>116.54625967325879</v>
      </c>
      <c r="R5" s="96">
        <f t="shared" si="25"/>
        <v>123.89604471195182</v>
      </c>
      <c r="S5" s="96">
        <f t="shared" si="25"/>
        <v>147.83525365434221</v>
      </c>
      <c r="T5" s="96">
        <f t="shared" si="25"/>
        <v>184.26913155631993</v>
      </c>
      <c r="U5" s="96">
        <f t="shared" si="25"/>
        <v>199.60017196904553</v>
      </c>
      <c r="V5" s="96">
        <f t="shared" si="25"/>
        <v>53.968271711091994</v>
      </c>
      <c r="W5" s="96">
        <f t="shared" ref="W5:Y5" si="26">SUM(W8:W9,W12:W13)</f>
        <v>98.276870163370589</v>
      </c>
      <c r="X5" s="96">
        <f t="shared" si="26"/>
        <v>185.94909716251081</v>
      </c>
      <c r="Y5" s="96">
        <f t="shared" si="26"/>
        <v>199.17867583834908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75.128367225647679</v>
      </c>
      <c r="C6" s="21">
        <f t="shared" si="27"/>
        <v>75.041950045139444</v>
      </c>
      <c r="D6" s="21">
        <f t="shared" ref="D6:V6" si="28">SUM(D7:D9)</f>
        <v>72.41227037052677</v>
      </c>
      <c r="E6" s="21">
        <f t="shared" si="28"/>
        <v>71.402066123750714</v>
      </c>
      <c r="F6" s="21">
        <f t="shared" si="28"/>
        <v>81.889678103664096</v>
      </c>
      <c r="G6" s="21">
        <f t="shared" si="28"/>
        <v>97.540697259815303</v>
      </c>
      <c r="H6" s="21">
        <f t="shared" si="28"/>
        <v>100.67597596736304</v>
      </c>
      <c r="I6" s="21">
        <f t="shared" si="28"/>
        <v>104.75374847245797</v>
      </c>
      <c r="J6" s="21">
        <f t="shared" si="28"/>
        <v>118.36831788743135</v>
      </c>
      <c r="K6" s="21">
        <f t="shared" si="28"/>
        <v>101.59979286165846</v>
      </c>
      <c r="L6" s="21">
        <f t="shared" si="28"/>
        <v>108.10138183882637</v>
      </c>
      <c r="M6" s="21">
        <f t="shared" si="28"/>
        <v>114.42972385239383</v>
      </c>
      <c r="N6" s="21">
        <f t="shared" si="28"/>
        <v>119.69930310396009</v>
      </c>
      <c r="O6" s="21">
        <f t="shared" si="28"/>
        <v>130.0959709579667</v>
      </c>
      <c r="P6" s="21">
        <f t="shared" si="28"/>
        <v>130.13355142982485</v>
      </c>
      <c r="Q6" s="21">
        <f t="shared" si="28"/>
        <v>126.88405472125585</v>
      </c>
      <c r="R6" s="21">
        <f t="shared" si="28"/>
        <v>134.39437055247609</v>
      </c>
      <c r="S6" s="21">
        <f t="shared" si="28"/>
        <v>157.93156988942954</v>
      </c>
      <c r="T6" s="21">
        <f t="shared" si="28"/>
        <v>193.76258455096283</v>
      </c>
      <c r="U6" s="21">
        <f t="shared" si="28"/>
        <v>209.41705540465406</v>
      </c>
      <c r="V6" s="21">
        <f t="shared" si="28"/>
        <v>59.009496462421922</v>
      </c>
      <c r="W6" s="21">
        <f t="shared" ref="W6:Y6" si="29">SUM(W7:W9)</f>
        <v>105.0679051811493</v>
      </c>
      <c r="X6" s="21">
        <f t="shared" si="29"/>
        <v>193.9879172630576</v>
      </c>
      <c r="Y6" s="21">
        <f t="shared" si="29"/>
        <v>208.49026348453063</v>
      </c>
      <c r="DA6" s="189" t="s">
        <v>280</v>
      </c>
    </row>
    <row r="7" spans="1:105" ht="11.45" customHeight="1" x14ac:dyDescent="0.25">
      <c r="A7" s="83" t="s">
        <v>27</v>
      </c>
      <c r="B7" s="96">
        <v>8.2610578795827241</v>
      </c>
      <c r="C7" s="96">
        <v>8.2325323251633211</v>
      </c>
      <c r="D7" s="96">
        <v>9.8111831211412728</v>
      </c>
      <c r="E7" s="96">
        <v>10.879638662050702</v>
      </c>
      <c r="F7" s="96">
        <v>11.926508935424586</v>
      </c>
      <c r="G7" s="96">
        <v>11.891910063786895</v>
      </c>
      <c r="H7" s="96">
        <v>12.887376468588378</v>
      </c>
      <c r="I7" s="96">
        <v>12.839706381915153</v>
      </c>
      <c r="J7" s="96">
        <v>12.859016610247798</v>
      </c>
      <c r="K7" s="96">
        <v>11.902268851632298</v>
      </c>
      <c r="L7" s="96">
        <v>9.8457335591586173</v>
      </c>
      <c r="M7" s="96">
        <v>10.905852629383931</v>
      </c>
      <c r="N7" s="96">
        <v>9.8839944665024895</v>
      </c>
      <c r="O7" s="96">
        <v>9.8997973556021091</v>
      </c>
      <c r="P7" s="96">
        <v>9.9181486662485963</v>
      </c>
      <c r="Q7" s="96">
        <v>10.863005869286694</v>
      </c>
      <c r="R7" s="96">
        <v>10.987847855023773</v>
      </c>
      <c r="S7" s="96">
        <v>10.570398056594213</v>
      </c>
      <c r="T7" s="96">
        <v>10.682490789695636</v>
      </c>
      <c r="U7" s="96">
        <v>10.687206084683293</v>
      </c>
      <c r="V7" s="96">
        <v>5.5654403295743196</v>
      </c>
      <c r="W7" s="96">
        <v>7.4579149350511438</v>
      </c>
      <c r="X7" s="96">
        <v>8.6097546272666445</v>
      </c>
      <c r="Y7" s="96">
        <v>10.082124740447767</v>
      </c>
      <c r="DA7" s="171" t="s">
        <v>281</v>
      </c>
    </row>
    <row r="8" spans="1:105" ht="11.45" customHeight="1" x14ac:dyDescent="0.25">
      <c r="A8" s="83" t="s">
        <v>181</v>
      </c>
      <c r="B8" s="96">
        <v>55.853796547326787</v>
      </c>
      <c r="C8" s="96">
        <v>55.805188099972149</v>
      </c>
      <c r="D8" s="96">
        <v>52.291140668271233</v>
      </c>
      <c r="E8" s="96">
        <v>50.559012853577435</v>
      </c>
      <c r="F8" s="96">
        <v>58.448020930828008</v>
      </c>
      <c r="G8" s="96">
        <v>72.743685388742023</v>
      </c>
      <c r="H8" s="96">
        <v>75.805257313441913</v>
      </c>
      <c r="I8" s="96">
        <v>79.938048158994633</v>
      </c>
      <c r="J8" s="96">
        <v>91.011877833537852</v>
      </c>
      <c r="K8" s="96">
        <v>77.232988683561558</v>
      </c>
      <c r="L8" s="96">
        <v>84.762855355745145</v>
      </c>
      <c r="M8" s="96">
        <v>89.025238542299832</v>
      </c>
      <c r="N8" s="96">
        <v>94.89696785797419</v>
      </c>
      <c r="O8" s="96">
        <v>104.95866612651591</v>
      </c>
      <c r="P8" s="96">
        <v>105.43063421883609</v>
      </c>
      <c r="Q8" s="96">
        <v>101.74275922717467</v>
      </c>
      <c r="R8" s="96">
        <v>109.42304718837218</v>
      </c>
      <c r="S8" s="96">
        <v>132.58970048251302</v>
      </c>
      <c r="T8" s="96">
        <v>164.88199788231123</v>
      </c>
      <c r="U8" s="96">
        <v>179.08587743924187</v>
      </c>
      <c r="V8" s="96">
        <v>43.558113831117396</v>
      </c>
      <c r="W8" s="96">
        <v>82.964209560698066</v>
      </c>
      <c r="X8" s="96">
        <v>167.21658081236993</v>
      </c>
      <c r="Y8" s="96">
        <v>178.54911285757612</v>
      </c>
      <c r="DA8" s="171" t="s">
        <v>282</v>
      </c>
    </row>
    <row r="9" spans="1:105" ht="11.45" customHeight="1" x14ac:dyDescent="0.25">
      <c r="A9" s="83" t="s">
        <v>182</v>
      </c>
      <c r="B9" s="96">
        <v>11.013512798738166</v>
      </c>
      <c r="C9" s="96">
        <v>11.004229620003963</v>
      </c>
      <c r="D9" s="96">
        <v>10.309946581114266</v>
      </c>
      <c r="E9" s="96">
        <v>9.9634146081225818</v>
      </c>
      <c r="F9" s="96">
        <v>11.515148237411493</v>
      </c>
      <c r="G9" s="96">
        <v>12.905101807286382</v>
      </c>
      <c r="H9" s="96">
        <v>11.983342185332742</v>
      </c>
      <c r="I9" s="96">
        <v>11.975993931548187</v>
      </c>
      <c r="J9" s="96">
        <v>14.497423443645697</v>
      </c>
      <c r="K9" s="96">
        <v>12.464535326464603</v>
      </c>
      <c r="L9" s="96">
        <v>13.492792923922609</v>
      </c>
      <c r="M9" s="96">
        <v>14.498632680710067</v>
      </c>
      <c r="N9" s="96">
        <v>14.918340779483422</v>
      </c>
      <c r="O9" s="96">
        <v>15.237507475848686</v>
      </c>
      <c r="P9" s="96">
        <v>14.784768544740162</v>
      </c>
      <c r="Q9" s="96">
        <v>14.27828962479448</v>
      </c>
      <c r="R9" s="96">
        <v>13.983475509080142</v>
      </c>
      <c r="S9" s="96">
        <v>14.771471350322303</v>
      </c>
      <c r="T9" s="96">
        <v>18.198095878955957</v>
      </c>
      <c r="U9" s="96">
        <v>19.643971880728902</v>
      </c>
      <c r="V9" s="96">
        <v>9.8859423017302017</v>
      </c>
      <c r="W9" s="96">
        <v>14.645780685400089</v>
      </c>
      <c r="X9" s="96">
        <v>18.161581823421027</v>
      </c>
      <c r="Y9" s="96">
        <v>19.85902588650675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0.4692252077142996</v>
      </c>
      <c r="C10" s="22">
        <f t="shared" si="30"/>
        <v>0.55564238822255441</v>
      </c>
      <c r="D10" s="22">
        <f t="shared" ref="D10:V10" si="31">SUM(D11:D13)</f>
        <v>0.56451380832103348</v>
      </c>
      <c r="E10" s="22">
        <f t="shared" si="31"/>
        <v>0.52811444374713745</v>
      </c>
      <c r="F10" s="22">
        <f t="shared" si="31"/>
        <v>0.54015852574261136</v>
      </c>
      <c r="G10" s="22">
        <f t="shared" si="31"/>
        <v>0.63866645471605099</v>
      </c>
      <c r="H10" s="22">
        <f t="shared" si="31"/>
        <v>0.65325877038413127</v>
      </c>
      <c r="I10" s="22">
        <f t="shared" si="31"/>
        <v>0.77540028076646172</v>
      </c>
      <c r="J10" s="22">
        <f t="shared" si="31"/>
        <v>0.81035795091769836</v>
      </c>
      <c r="K10" s="22">
        <f t="shared" si="31"/>
        <v>0.77948486835012099</v>
      </c>
      <c r="L10" s="22">
        <f t="shared" si="31"/>
        <v>0.57763793761384918</v>
      </c>
      <c r="M10" s="22">
        <f t="shared" si="31"/>
        <v>0.5491239550007847</v>
      </c>
      <c r="N10" s="22">
        <f t="shared" si="31"/>
        <v>0.52941572665044234</v>
      </c>
      <c r="O10" s="22">
        <f t="shared" si="31"/>
        <v>0.63240393455261701</v>
      </c>
      <c r="P10" s="22">
        <f t="shared" si="31"/>
        <v>0.5948234626944584</v>
      </c>
      <c r="Q10" s="22">
        <f t="shared" si="31"/>
        <v>0.58782833979313465</v>
      </c>
      <c r="R10" s="22">
        <f t="shared" si="31"/>
        <v>0.53383237099764713</v>
      </c>
      <c r="S10" s="22">
        <f t="shared" si="31"/>
        <v>0.51589356714824897</v>
      </c>
      <c r="T10" s="22">
        <f t="shared" si="31"/>
        <v>1.2237439099142708</v>
      </c>
      <c r="U10" s="22">
        <f t="shared" si="31"/>
        <v>0.89876574753849447</v>
      </c>
      <c r="V10" s="22">
        <f t="shared" si="31"/>
        <v>0.52954051092287191</v>
      </c>
      <c r="W10" s="22">
        <f t="shared" ref="W10:Y10" si="32">SUM(W11:W13)</f>
        <v>0.67121777671828908</v>
      </c>
      <c r="X10" s="22">
        <f t="shared" si="32"/>
        <v>0.57691506712305007</v>
      </c>
      <c r="Y10" s="22">
        <f t="shared" si="32"/>
        <v>0.77560065992336813</v>
      </c>
      <c r="DA10" s="193" t="s">
        <v>284</v>
      </c>
    </row>
    <row r="11" spans="1:105" ht="11.45" customHeight="1" x14ac:dyDescent="0.25">
      <c r="A11" s="92" t="s">
        <v>27</v>
      </c>
      <c r="B11" s="97">
        <v>0.13868416684891563</v>
      </c>
      <c r="C11" s="97">
        <v>0.16720972126831948</v>
      </c>
      <c r="D11" s="97">
        <v>0.16757870173061104</v>
      </c>
      <c r="E11" s="97">
        <v>0.15251954947122817</v>
      </c>
      <c r="F11" s="97">
        <v>0.15560628383594385</v>
      </c>
      <c r="G11" s="97">
        <v>0.19020515547363534</v>
      </c>
      <c r="H11" s="97">
        <v>0.24469575841076183</v>
      </c>
      <c r="I11" s="97">
        <v>0.29236584508398739</v>
      </c>
      <c r="J11" s="97">
        <v>0.27305561675134254</v>
      </c>
      <c r="K11" s="97">
        <v>0.17984636762823097</v>
      </c>
      <c r="L11" s="97">
        <v>0.13646764462470243</v>
      </c>
      <c r="M11" s="97">
        <v>0.1263055821379982</v>
      </c>
      <c r="N11" s="97">
        <v>9.8206737280830181E-2</v>
      </c>
      <c r="O11" s="97">
        <v>8.2403848181210645E-2</v>
      </c>
      <c r="P11" s="97">
        <v>6.4052537534722606E-2</v>
      </c>
      <c r="Q11" s="97">
        <v>6.2617518503508371E-2</v>
      </c>
      <c r="R11" s="97">
        <v>4.431035649815742E-2</v>
      </c>
      <c r="S11" s="97">
        <v>4.1811745641386878E-2</v>
      </c>
      <c r="T11" s="97">
        <v>3.4706114861541619E-2</v>
      </c>
      <c r="U11" s="97">
        <v>2.8443098463737521E-2</v>
      </c>
      <c r="V11" s="97">
        <v>5.3249326784750506E-3</v>
      </c>
      <c r="W11" s="97">
        <v>4.3378594458465449E-3</v>
      </c>
      <c r="X11" s="97">
        <v>5.9805404031736606E-3</v>
      </c>
      <c r="Y11" s="97">
        <v>5.0635656571331455E-3</v>
      </c>
      <c r="DA11" s="175" t="s">
        <v>285</v>
      </c>
    </row>
    <row r="12" spans="1:105" ht="11.45" customHeight="1" x14ac:dyDescent="0.25">
      <c r="A12" s="92" t="s">
        <v>181</v>
      </c>
      <c r="B12" s="97">
        <v>0.2872277723121146</v>
      </c>
      <c r="C12" s="97">
        <v>0.3390235469500904</v>
      </c>
      <c r="D12" s="97">
        <v>0.34759879873249072</v>
      </c>
      <c r="E12" s="97">
        <v>0.32013328958275722</v>
      </c>
      <c r="F12" s="97">
        <v>0.32910659590982599</v>
      </c>
      <c r="G12" s="97">
        <v>0.38283606810288046</v>
      </c>
      <c r="H12" s="97">
        <v>0.35871311370178682</v>
      </c>
      <c r="I12" s="97">
        <v>0.4350793887331198</v>
      </c>
      <c r="J12" s="97">
        <v>0.49042056700278713</v>
      </c>
      <c r="K12" s="97">
        <v>0.57047111209366586</v>
      </c>
      <c r="L12" s="97">
        <v>0.41070286733272954</v>
      </c>
      <c r="M12" s="97">
        <v>0.30663846429643171</v>
      </c>
      <c r="N12" s="97">
        <v>0.34442498304192365</v>
      </c>
      <c r="O12" s="97">
        <v>0.35891793092663549</v>
      </c>
      <c r="P12" s="97">
        <v>0.30171583299516569</v>
      </c>
      <c r="Q12" s="97">
        <v>0.28679029366905595</v>
      </c>
      <c r="R12" s="97">
        <v>0.26850647590948662</v>
      </c>
      <c r="S12" s="97">
        <v>0.24751802260336528</v>
      </c>
      <c r="T12" s="97">
        <v>0.31590911682755096</v>
      </c>
      <c r="U12" s="97">
        <v>0.34470485087087177</v>
      </c>
      <c r="V12" s="97">
        <v>0.43639343456865703</v>
      </c>
      <c r="W12" s="97">
        <v>0.53480667075763322</v>
      </c>
      <c r="X12" s="97">
        <v>0.53140562211674747</v>
      </c>
      <c r="Y12" s="97">
        <v>0.7408452915925493</v>
      </c>
      <c r="DA12" s="175" t="s">
        <v>286</v>
      </c>
    </row>
    <row r="13" spans="1:105" ht="11.45" customHeight="1" x14ac:dyDescent="0.25">
      <c r="A13" s="85" t="s">
        <v>182</v>
      </c>
      <c r="B13" s="98">
        <v>4.3313268553269391E-2</v>
      </c>
      <c r="C13" s="98">
        <v>4.9409120004144554E-2</v>
      </c>
      <c r="D13" s="98">
        <v>4.9336307857931722E-2</v>
      </c>
      <c r="E13" s="98">
        <v>5.5461604693152124E-2</v>
      </c>
      <c r="F13" s="98">
        <v>5.5445645996841542E-2</v>
      </c>
      <c r="G13" s="98">
        <v>6.5625231139535195E-2</v>
      </c>
      <c r="H13" s="98">
        <v>4.9849898271582566E-2</v>
      </c>
      <c r="I13" s="98">
        <v>4.7955046949354541E-2</v>
      </c>
      <c r="J13" s="98">
        <v>4.6881767163568677E-2</v>
      </c>
      <c r="K13" s="98">
        <v>2.916738862822418E-2</v>
      </c>
      <c r="L13" s="98">
        <v>3.0467425656417295E-2</v>
      </c>
      <c r="M13" s="98">
        <v>0.11617990856635485</v>
      </c>
      <c r="N13" s="98">
        <v>8.6784006327688554E-2</v>
      </c>
      <c r="O13" s="98">
        <v>0.19108215544477083</v>
      </c>
      <c r="P13" s="98">
        <v>0.22905509216457012</v>
      </c>
      <c r="Q13" s="98">
        <v>0.23842052762057028</v>
      </c>
      <c r="R13" s="98">
        <v>0.22101553859000311</v>
      </c>
      <c r="S13" s="98">
        <v>0.22656379890349682</v>
      </c>
      <c r="T13" s="98">
        <v>0.87312867822517826</v>
      </c>
      <c r="U13" s="98">
        <v>0.52561779820388521</v>
      </c>
      <c r="V13" s="98">
        <v>8.7822143675739789E-2</v>
      </c>
      <c r="W13" s="98">
        <v>0.13207324651480937</v>
      </c>
      <c r="X13" s="98">
        <v>3.9528904603128967E-2</v>
      </c>
      <c r="Y13" s="98">
        <v>2.9691802673685652E-2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434.77669717192032</v>
      </c>
      <c r="C17" s="62">
        <f>IF(C3=0,0,C3/TrAvia_act!C13*100)</f>
        <v>433.88688958602347</v>
      </c>
      <c r="D17" s="62">
        <f>IF(D3=0,0,D3/TrAvia_act!D13*100)</f>
        <v>435.01440010777497</v>
      </c>
      <c r="E17" s="62">
        <f>IF(E3=0,0,E3/TrAvia_act!E13*100)</f>
        <v>435.88405901184365</v>
      </c>
      <c r="F17" s="62">
        <f>IF(F3=0,0,F3/TrAvia_act!F13*100)</f>
        <v>435.32506609839743</v>
      </c>
      <c r="G17" s="62">
        <f>IF(G3=0,0,G3/TrAvia_act!G13*100)</f>
        <v>420.74667444424165</v>
      </c>
      <c r="H17" s="62">
        <f>IF(H3=0,0,H3/TrAvia_act!H13*100)</f>
        <v>387.65131068211394</v>
      </c>
      <c r="I17" s="62">
        <f>IF(I3=0,0,I3/TrAvia_act!I13*100)</f>
        <v>383.87038853457159</v>
      </c>
      <c r="J17" s="62">
        <f>IF(J3=0,0,J3/TrAvia_act!J13*100)</f>
        <v>425.88466196978931</v>
      </c>
      <c r="K17" s="62">
        <f>IF(K3=0,0,K3/TrAvia_act!K13*100)</f>
        <v>369.82527258429178</v>
      </c>
      <c r="L17" s="62">
        <f>IF(L3=0,0,L3/TrAvia_act!L13*100)</f>
        <v>367.3133880236511</v>
      </c>
      <c r="M17" s="62">
        <f>IF(M3=0,0,M3/TrAvia_act!M13*100)</f>
        <v>398.99507946703659</v>
      </c>
      <c r="N17" s="62">
        <f>IF(N3=0,0,N3/TrAvia_act!N13*100)</f>
        <v>398.24667966617557</v>
      </c>
      <c r="O17" s="62">
        <f>IF(O3=0,0,O3/TrAvia_act!O13*100)</f>
        <v>406.90720785383132</v>
      </c>
      <c r="P17" s="62">
        <f>IF(P3=0,0,P3/TrAvia_act!P13*100)</f>
        <v>384.48994051378327</v>
      </c>
      <c r="Q17" s="62">
        <f>IF(Q3=0,0,Q3/TrAvia_act!Q13*100)</f>
        <v>355.31930433316182</v>
      </c>
      <c r="R17" s="62">
        <f>IF(R3=0,0,R3/TrAvia_act!R13*100)</f>
        <v>330.28327882344365</v>
      </c>
      <c r="S17" s="62">
        <f>IF(S3=0,0,S3/TrAvia_act!S13*100)</f>
        <v>335.65686857682988</v>
      </c>
      <c r="T17" s="62">
        <f>IF(T3=0,0,T3/TrAvia_act!T13*100)</f>
        <v>363.02980271841443</v>
      </c>
      <c r="U17" s="62">
        <f>IF(U3=0,0,U3/TrAvia_act!U13*100)</f>
        <v>372.32461130156247</v>
      </c>
      <c r="V17" s="62">
        <f>IF(V3=0,0,V3/TrAvia_act!V13*100)</f>
        <v>399.07659872504644</v>
      </c>
      <c r="W17" s="62">
        <f>IF(W3=0,0,W3/TrAvia_act!W13*100)</f>
        <v>382.72333809048848</v>
      </c>
      <c r="X17" s="62">
        <f>IF(X3=0,0,X3/TrAvia_act!X13*100)</f>
        <v>403.60455154385744</v>
      </c>
      <c r="Y17" s="62">
        <f>IF(Y3=0,0,Y3/TrAvia_act!Y13*100)</f>
        <v>402.63221996132063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434.60765137092682</v>
      </c>
      <c r="C18" s="14">
        <f>IF(C6=0,0,C6/TrAvia_act!C14*100)</f>
        <v>433.67231061203898</v>
      </c>
      <c r="D18" s="14">
        <f>IF(D6=0,0,D6/TrAvia_act!D14*100)</f>
        <v>434.80678332359827</v>
      </c>
      <c r="E18" s="14">
        <f>IF(E6=0,0,E6/TrAvia_act!E14*100)</f>
        <v>435.71083333732059</v>
      </c>
      <c r="F18" s="14">
        <f>IF(F6=0,0,F6/TrAvia_act!F14*100)</f>
        <v>435.1691650530812</v>
      </c>
      <c r="G18" s="14">
        <f>IF(G6=0,0,G6/TrAvia_act!G14*100)</f>
        <v>420.66619918515585</v>
      </c>
      <c r="H18" s="14">
        <f>IF(H6=0,0,H6/TrAvia_act!H14*100)</f>
        <v>387.49846989810362</v>
      </c>
      <c r="I18" s="14">
        <f>IF(I6=0,0,I6/TrAvia_act!I14*100)</f>
        <v>383.71447061773074</v>
      </c>
      <c r="J18" s="14">
        <f>IF(J6=0,0,J6/TrAvia_act!J14*100)</f>
        <v>425.82897793635902</v>
      </c>
      <c r="K18" s="14">
        <f>IF(K6=0,0,K6/TrAvia_act!K14*100)</f>
        <v>369.8517700517333</v>
      </c>
      <c r="L18" s="14">
        <f>IF(L6=0,0,L6/TrAvia_act!L14*100)</f>
        <v>367.29959226408192</v>
      </c>
      <c r="M18" s="14">
        <f>IF(M6=0,0,M6/TrAvia_act!M14*100)</f>
        <v>398.89693451130921</v>
      </c>
      <c r="N18" s="14">
        <f>IF(N6=0,0,N6/TrAvia_act!N14*100)</f>
        <v>397.95170803797242</v>
      </c>
      <c r="O18" s="14">
        <f>IF(O6=0,0,O6/TrAvia_act!O14*100)</f>
        <v>406.64615868109132</v>
      </c>
      <c r="P18" s="14">
        <f>IF(P6=0,0,P6/TrAvia_act!P14*100)</f>
        <v>384.21882247174602</v>
      </c>
      <c r="Q18" s="14">
        <f>IF(Q6=0,0,Q6/TrAvia_act!Q14*100)</f>
        <v>355.04628904546428</v>
      </c>
      <c r="R18" s="14">
        <f>IF(R6=0,0,R6/TrAvia_act!R14*100)</f>
        <v>330.17235748524541</v>
      </c>
      <c r="S18" s="14">
        <f>IF(S6=0,0,S6/TrAvia_act!S14*100)</f>
        <v>335.66310617351962</v>
      </c>
      <c r="T18" s="14">
        <f>IF(T6=0,0,T6/TrAvia_act!T14*100)</f>
        <v>363.6893675475801</v>
      </c>
      <c r="U18" s="14">
        <f>IF(U6=0,0,U6/TrAvia_act!U14*100)</f>
        <v>372.73225534037249</v>
      </c>
      <c r="V18" s="14">
        <f>IF(V6=0,0,V6/TrAvia_act!V14*100)</f>
        <v>398.61233225323798</v>
      </c>
      <c r="W18" s="14">
        <f>IF(W6=0,0,W6/TrAvia_act!W14*100)</f>
        <v>382.60823262177075</v>
      </c>
      <c r="X18" s="14">
        <f>IF(X6=0,0,X6/TrAvia_act!X14*100)</f>
        <v>403.73216533689214</v>
      </c>
      <c r="Y18" s="14">
        <f>IF(Y6=0,0,Y6/TrAvia_act!Y14*100)</f>
        <v>402.51562275674553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498.43433004665519</v>
      </c>
      <c r="C19" s="87">
        <f>IF(C7=0,0,C7/TrAvia_act!C15*100)</f>
        <v>496.20210195988727</v>
      </c>
      <c r="D19" s="87">
        <f>IF(D7=0,0,D7/TrAvia_act!D15*100)</f>
        <v>497.29706748929806</v>
      </c>
      <c r="E19" s="87">
        <f>IF(E7=0,0,E7/TrAvia_act!E15*100)</f>
        <v>498.32639801122934</v>
      </c>
      <c r="F19" s="87">
        <f>IF(F7=0,0,F7/TrAvia_act!F15*100)</f>
        <v>498.34411267669975</v>
      </c>
      <c r="G19" s="87">
        <f>IF(G7=0,0,G7/TrAvia_act!G15*100)</f>
        <v>485.75905272261048</v>
      </c>
      <c r="H19" s="87">
        <f>IF(H7=0,0,H7/TrAvia_act!H15*100)</f>
        <v>561.62310767514987</v>
      </c>
      <c r="I19" s="87">
        <f>IF(I7=0,0,I7/TrAvia_act!I15*100)</f>
        <v>533.99459690314495</v>
      </c>
      <c r="J19" s="87">
        <f>IF(J7=0,0,J7/TrAvia_act!J15*100)</f>
        <v>489.49574299998915</v>
      </c>
      <c r="K19" s="87">
        <f>IF(K7=0,0,K7/TrAvia_act!K15*100)</f>
        <v>441.33446664721123</v>
      </c>
      <c r="L19" s="87">
        <f>IF(L7=0,0,L7/TrAvia_act!L15*100)</f>
        <v>401.46515981065585</v>
      </c>
      <c r="M19" s="87">
        <f>IF(M7=0,0,M7/TrAvia_act!M15*100)</f>
        <v>439.86544718373972</v>
      </c>
      <c r="N19" s="87">
        <f>IF(N7=0,0,N7/TrAvia_act!N15*100)</f>
        <v>439.11858422579763</v>
      </c>
      <c r="O19" s="87">
        <f>IF(O7=0,0,O7/TrAvia_act!O15*100)</f>
        <v>455.6815050810207</v>
      </c>
      <c r="P19" s="87">
        <f>IF(P7=0,0,P7/TrAvia_act!P15*100)</f>
        <v>409.66770210882385</v>
      </c>
      <c r="Q19" s="87">
        <f>IF(Q7=0,0,Q7/TrAvia_act!Q15*100)</f>
        <v>453.87932305971395</v>
      </c>
      <c r="R19" s="87">
        <f>IF(R7=0,0,R7/TrAvia_act!R15*100)</f>
        <v>416.42001146619737</v>
      </c>
      <c r="S19" s="87">
        <f>IF(S7=0,0,S7/TrAvia_act!S15*100)</f>
        <v>397.38038464337467</v>
      </c>
      <c r="T19" s="87">
        <f>IF(T7=0,0,T7/TrAvia_act!T15*100)</f>
        <v>396.15517735318394</v>
      </c>
      <c r="U19" s="87">
        <f>IF(U7=0,0,U7/TrAvia_act!U15*100)</f>
        <v>389.5131907090186</v>
      </c>
      <c r="V19" s="87">
        <f>IF(V7=0,0,V7/TrAvia_act!V15*100)</f>
        <v>338.57829487418161</v>
      </c>
      <c r="W19" s="87">
        <f>IF(W7=0,0,W7/TrAvia_act!W15*100)</f>
        <v>340.75965922722662</v>
      </c>
      <c r="X19" s="87">
        <f>IF(X7=0,0,X7/TrAvia_act!X15*100)</f>
        <v>380.50729430194832</v>
      </c>
      <c r="Y19" s="87">
        <f>IF(Y7=0,0,Y7/TrAvia_act!Y15*100)</f>
        <v>390.847191468863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433.97081118141801</v>
      </c>
      <c r="C20" s="87">
        <f>IF(C8=0,0,C8/TrAvia_act!C16*100)</f>
        <v>433.16047117667642</v>
      </c>
      <c r="D20" s="87">
        <f>IF(D8=0,0,D8/TrAvia_act!D16*100)</f>
        <v>432.51796693657462</v>
      </c>
      <c r="E20" s="87">
        <f>IF(E8=0,0,E8/TrAvia_act!E16*100)</f>
        <v>432.18745303033506</v>
      </c>
      <c r="F20" s="87">
        <f>IF(F8=0,0,F8/TrAvia_act!F16*100)</f>
        <v>432.0614681925714</v>
      </c>
      <c r="G20" s="87">
        <f>IF(G8=0,0,G8/TrAvia_act!G16*100)</f>
        <v>405.90585639011607</v>
      </c>
      <c r="H20" s="87">
        <f>IF(H8=0,0,H8/TrAvia_act!H16*100)</f>
        <v>362.92704254756296</v>
      </c>
      <c r="I20" s="87">
        <f>IF(I8=0,0,I8/TrAvia_act!I16*100)</f>
        <v>368.8758645646642</v>
      </c>
      <c r="J20" s="87">
        <f>IF(J8=0,0,J8/TrAvia_act!J16*100)</f>
        <v>431.54874191469031</v>
      </c>
      <c r="K20" s="87">
        <f>IF(K8=0,0,K8/TrAvia_act!K16*100)</f>
        <v>368.20174869060349</v>
      </c>
      <c r="L20" s="87">
        <f>IF(L8=0,0,L8/TrAvia_act!L16*100)</f>
        <v>380.2617491853087</v>
      </c>
      <c r="M20" s="87">
        <f>IF(M8=0,0,M8/TrAvia_act!M16*100)</f>
        <v>418.6016785016995</v>
      </c>
      <c r="N20" s="87">
        <f>IF(N8=0,0,N8/TrAvia_act!N16*100)</f>
        <v>419.31641545262357</v>
      </c>
      <c r="O20" s="87">
        <f>IF(O8=0,0,O8/TrAvia_act!O16*100)</f>
        <v>414.73994681532787</v>
      </c>
      <c r="P20" s="87">
        <f>IF(P8=0,0,P8/TrAvia_act!P16*100)</f>
        <v>391.04545212537113</v>
      </c>
      <c r="Q20" s="87">
        <f>IF(Q8=0,0,Q8/TrAvia_act!Q16*100)</f>
        <v>367.41676713373141</v>
      </c>
      <c r="R20" s="87">
        <f>IF(R8=0,0,R8/TrAvia_act!R16*100)</f>
        <v>348.95833879360583</v>
      </c>
      <c r="S20" s="87">
        <f>IF(S8=0,0,S8/TrAvia_act!S16*100)</f>
        <v>359.83890375664839</v>
      </c>
      <c r="T20" s="87">
        <f>IF(T8=0,0,T8/TrAvia_act!T16*100)</f>
        <v>408.90839010953545</v>
      </c>
      <c r="U20" s="87">
        <f>IF(U8=0,0,U8/TrAvia_act!U16*100)</f>
        <v>414.05427351795316</v>
      </c>
      <c r="V20" s="87">
        <f>IF(V8=0,0,V8/TrAvia_act!V16*100)</f>
        <v>392.55382143805502</v>
      </c>
      <c r="W20" s="87">
        <f>IF(W8=0,0,W8/TrAvia_act!W16*100)</f>
        <v>395.44847835021073</v>
      </c>
      <c r="X20" s="87">
        <f>IF(X8=0,0,X8/TrAvia_act!X16*100)</f>
        <v>410.48701357815452</v>
      </c>
      <c r="Y20" s="87">
        <f>IF(Y8=0,0,Y8/TrAvia_act!Y16*100)</f>
        <v>414.20455535431086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399.23195997731335</v>
      </c>
      <c r="C21" s="87">
        <f>IF(C9=0,0,C9/TrAvia_act!C17*100)</f>
        <v>398.49191527257688</v>
      </c>
      <c r="D21" s="87">
        <f>IF(D9=0,0,D9/TrAvia_act!D17*100)</f>
        <v>397.9046744636529</v>
      </c>
      <c r="E21" s="87">
        <f>IF(E9=0,0,E9/TrAvia_act!E17*100)</f>
        <v>397.60542770530969</v>
      </c>
      <c r="F21" s="87">
        <f>IF(F9=0,0,F9/TrAvia_act!F17*100)</f>
        <v>397.49101947086911</v>
      </c>
      <c r="G21" s="87">
        <f>IF(G9=0,0,G9/TrAvia_act!G17*100)</f>
        <v>457.99022048429396</v>
      </c>
      <c r="H21" s="87">
        <f>IF(H9=0,0,H9/TrAvia_act!H17*100)</f>
        <v>428.10734509639082</v>
      </c>
      <c r="I21" s="87">
        <f>IF(I9=0,0,I9/TrAvia_act!I17*100)</f>
        <v>371.37863250394696</v>
      </c>
      <c r="J21" s="87">
        <f>IF(J9=0,0,J9/TrAvia_act!J17*100)</f>
        <v>355.27998298397404</v>
      </c>
      <c r="K21" s="87">
        <f>IF(K9=0,0,K9/TrAvia_act!K17*100)</f>
        <v>328.20399120596045</v>
      </c>
      <c r="L21" s="87">
        <f>IF(L9=0,0,L9/TrAvia_act!L17*100)</f>
        <v>287.7982999939054</v>
      </c>
      <c r="M21" s="87">
        <f>IF(M9=0,0,M9/TrAvia_act!M17*100)</f>
        <v>293.50133910054723</v>
      </c>
      <c r="N21" s="87">
        <f>IF(N9=0,0,N9/TrAvia_act!N17*100)</f>
        <v>287.07724209890011</v>
      </c>
      <c r="O21" s="87">
        <f>IF(O9=0,0,O9/TrAvia_act!O17*100)</f>
        <v>337.65106173664111</v>
      </c>
      <c r="P21" s="87">
        <f>IF(P9=0,0,P9/TrAvia_act!P17*100)</f>
        <v>329.47295348460324</v>
      </c>
      <c r="Q21" s="87">
        <f>IF(Q9=0,0,Q9/TrAvia_act!Q17*100)</f>
        <v>252.59763601805085</v>
      </c>
      <c r="R21" s="87">
        <f>IF(R9=0,0,R9/TrAvia_act!R17*100)</f>
        <v>208.44073299800053</v>
      </c>
      <c r="S21" s="87">
        <f>IF(S9=0,0,S9/TrAvia_act!S17*100)</f>
        <v>195.81362599389968</v>
      </c>
      <c r="T21" s="87">
        <f>IF(T9=0,0,T9/TrAvia_act!T17*100)</f>
        <v>177.40524286299072</v>
      </c>
      <c r="U21" s="87">
        <f>IF(U9=0,0,U9/TrAvia_act!U17*100)</f>
        <v>192.79984461399931</v>
      </c>
      <c r="V21" s="87">
        <f>IF(V9=0,0,V9/TrAvia_act!V17*100)</f>
        <v>478.99882947563867</v>
      </c>
      <c r="W21" s="87">
        <f>IF(W9=0,0,W9/TrAvia_act!W17*100)</f>
        <v>341.18897923695988</v>
      </c>
      <c r="X21" s="87">
        <f>IF(X9=0,0,X9/TrAvia_act!X17*100)</f>
        <v>359.64830109085176</v>
      </c>
      <c r="Y21" s="87">
        <f>IF(Y9=0,0,Y9/TrAvia_act!Y17*100)</f>
        <v>324.98509313436512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463.65166141906127</v>
      </c>
      <c r="C22" s="15">
        <f>IF(C10=0,0,C10/TrAvia_act!C18*100)</f>
        <v>464.95732246278942</v>
      </c>
      <c r="D22" s="15">
        <f>IF(D10=0,0,D10/TrAvia_act!D18*100)</f>
        <v>463.39733324275841</v>
      </c>
      <c r="E22" s="15">
        <f>IF(E10=0,0,E10/TrAvia_act!E18*100)</f>
        <v>460.64475011962946</v>
      </c>
      <c r="F22" s="15">
        <f>IF(F10=0,0,F10/TrAvia_act!F18*100)</f>
        <v>460.32649395142886</v>
      </c>
      <c r="G22" s="15">
        <f>IF(G10=0,0,G10/TrAvia_act!G18*100)</f>
        <v>433.40962970029483</v>
      </c>
      <c r="H22" s="15">
        <f>IF(H10=0,0,H10/TrAvia_act!H18*100)</f>
        <v>412.74051977251452</v>
      </c>
      <c r="I22" s="15">
        <f>IF(I10=0,0,I10/TrAvia_act!I18*100)</f>
        <v>406.16684974327217</v>
      </c>
      <c r="J22" s="15">
        <f>IF(J10=0,0,J10/TrAvia_act!J18*100)</f>
        <v>434.17785395798222</v>
      </c>
      <c r="K22" s="15">
        <f>IF(K10=0,0,K10/TrAvia_act!K18*100)</f>
        <v>366.40373206167209</v>
      </c>
      <c r="L22" s="15">
        <f>IF(L10=0,0,L10/TrAvia_act!L18*100)</f>
        <v>369.91355328177059</v>
      </c>
      <c r="M22" s="15">
        <f>IF(M10=0,0,M10/TrAvia_act!M18*100)</f>
        <v>420.55768919448741</v>
      </c>
      <c r="N22" s="15">
        <f>IF(N10=0,0,N10/TrAvia_act!N18*100)</f>
        <v>478.42534770907923</v>
      </c>
      <c r="O22" s="15">
        <f>IF(O10=0,0,O10/TrAvia_act!O18*100)</f>
        <v>468.82011019049827</v>
      </c>
      <c r="P22" s="15">
        <f>IF(P10=0,0,P10/TrAvia_act!P18*100)</f>
        <v>454.68214345965453</v>
      </c>
      <c r="Q22" s="15">
        <f>IF(Q10=0,0,Q10/TrAvia_act!Q18*100)</f>
        <v>426.03265296062045</v>
      </c>
      <c r="R22" s="15">
        <f>IF(R10=0,0,R10/TrAvia_act!R18*100)</f>
        <v>360.79840506654523</v>
      </c>
      <c r="S22" s="15">
        <f>IF(S10=0,0,S10/TrAvia_act!S18*100)</f>
        <v>333.75817694631661</v>
      </c>
      <c r="T22" s="15">
        <f>IF(T10=0,0,T10/TrAvia_act!T18*100)</f>
        <v>282.0419378242899</v>
      </c>
      <c r="U22" s="15">
        <f>IF(U10=0,0,U10/TrAvia_act!U18*100)</f>
        <v>296.71331411203613</v>
      </c>
      <c r="V22" s="15">
        <f>IF(V10=0,0,V10/TrAvia_act!V18*100)</f>
        <v>458.59773515637602</v>
      </c>
      <c r="W22" s="15">
        <f>IF(W10=0,0,W10/TrAvia_act!W18*100)</f>
        <v>401.63729083391252</v>
      </c>
      <c r="X22" s="15">
        <f>IF(X10=0,0,X10/TrAvia_act!X18*100)</f>
        <v>364.82912638854907</v>
      </c>
      <c r="Y22" s="15">
        <f>IF(Y10=0,0,Y10/TrAvia_act!Y18*100)</f>
        <v>436.63135980552738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813.2566496554316</v>
      </c>
      <c r="C23" s="101">
        <f>IF(C11=0,0,C11/TrAvia_act!C19*100)</f>
        <v>809.61449616463619</v>
      </c>
      <c r="D23" s="101">
        <f>IF(D11=0,0,D11/TrAvia_act!D19*100)</f>
        <v>811.4010665195583</v>
      </c>
      <c r="E23" s="101">
        <f>IF(E11=0,0,E11/TrAvia_act!E19*100)</f>
        <v>813.08054532186236</v>
      </c>
      <c r="F23" s="101">
        <f>IF(F11=0,0,F11/TrAvia_act!F19*100)</f>
        <v>813.10944896798321</v>
      </c>
      <c r="G23" s="101">
        <f>IF(G11=0,0,G11/TrAvia_act!G19*100)</f>
        <v>784.35115659231064</v>
      </c>
      <c r="H23" s="101">
        <f>IF(H11=0,0,H11/TrAvia_act!H19*100)</f>
        <v>808.01559354870778</v>
      </c>
      <c r="I23" s="101">
        <f>IF(I11=0,0,I11/TrAvia_act!I19*100)</f>
        <v>687.21467635419413</v>
      </c>
      <c r="J23" s="101">
        <f>IF(J11=0,0,J11/TrAvia_act!J19*100)</f>
        <v>573.36405154816305</v>
      </c>
      <c r="K23" s="101">
        <f>IF(K11=0,0,K11/TrAvia_act!K19*100)</f>
        <v>475.72467974734502</v>
      </c>
      <c r="L23" s="101">
        <f>IF(L11=0,0,L11/TrAvia_act!L19*100)</f>
        <v>401.08051322469487</v>
      </c>
      <c r="M23" s="101">
        <f>IF(M11=0,0,M11/TrAvia_act!M19*100)</f>
        <v>566.08763820127081</v>
      </c>
      <c r="N23" s="101">
        <f>IF(N11=0,0,N11/TrAvia_act!N19*100)</f>
        <v>884.984565926198</v>
      </c>
      <c r="O23" s="101">
        <f>IF(O11=0,0,O11/TrAvia_act!O19*100)</f>
        <v>844.3863827812969</v>
      </c>
      <c r="P23" s="101">
        <f>IF(P11=0,0,P11/TrAvia_act!P19*100)</f>
        <v>715.97682372344457</v>
      </c>
      <c r="Q23" s="101">
        <f>IF(Q11=0,0,Q11/TrAvia_act!Q19*100)</f>
        <v>748.10154752802805</v>
      </c>
      <c r="R23" s="101">
        <f>IF(R11=0,0,R11/TrAvia_act!R19*100)</f>
        <v>642.60925059779242</v>
      </c>
      <c r="S23" s="101">
        <f>IF(S11=0,0,S11/TrAvia_act!S19*100)</f>
        <v>582.11193371174829</v>
      </c>
      <c r="T23" s="101">
        <f>IF(T11=0,0,T11/TrAvia_act!T19*100)</f>
        <v>556.63375880579974</v>
      </c>
      <c r="U23" s="101">
        <f>IF(U11=0,0,U11/TrAvia_act!U19*100)</f>
        <v>438.53065778195378</v>
      </c>
      <c r="V23" s="101">
        <f>IF(V11=0,0,V11/TrAvia_act!V19*100)</f>
        <v>377.65479989184752</v>
      </c>
      <c r="W23" s="101">
        <f>IF(W11=0,0,W11/TrAvia_act!W19*100)</f>
        <v>384.56200761050928</v>
      </c>
      <c r="X23" s="101">
        <f>IF(X11=0,0,X11/TrAvia_act!X19*100)</f>
        <v>424.15180164352205</v>
      </c>
      <c r="Y23" s="101">
        <f>IF(Y11=0,0,Y11/TrAvia_act!Y19*100)</f>
        <v>385.55068455328524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396.44065125507746</v>
      </c>
      <c r="C24" s="101">
        <f>IF(C12=0,0,C12/TrAvia_act!C20*100)</f>
        <v>396.60057781895171</v>
      </c>
      <c r="D24" s="101">
        <f>IF(D12=0,0,D12/TrAvia_act!D20*100)</f>
        <v>395.9024885011101</v>
      </c>
      <c r="E24" s="101">
        <f>IF(E12=0,0,E12/TrAvia_act!E20*100)</f>
        <v>395.96492093720224</v>
      </c>
      <c r="F24" s="101">
        <f>IF(F12=0,0,F12/TrAvia_act!F20*100)</f>
        <v>395.72427454526149</v>
      </c>
      <c r="G24" s="101">
        <f>IF(G12=0,0,G12/TrAvia_act!G20*100)</f>
        <v>356.2850981746829</v>
      </c>
      <c r="H24" s="101">
        <f>IF(H12=0,0,H12/TrAvia_act!H20*100)</f>
        <v>313.37712053790375</v>
      </c>
      <c r="I24" s="101">
        <f>IF(I12=0,0,I12/TrAvia_act!I20*100)</f>
        <v>327.00791876518622</v>
      </c>
      <c r="J24" s="101">
        <f>IF(J12=0,0,J12/TrAvia_act!J20*100)</f>
        <v>398.54843325258389</v>
      </c>
      <c r="K24" s="101">
        <f>IF(K12=0,0,K12/TrAvia_act!K20*100)</f>
        <v>348.35332188415236</v>
      </c>
      <c r="L24" s="101">
        <f>IF(L12=0,0,L12/TrAvia_act!L20*100)</f>
        <v>378.18932139005045</v>
      </c>
      <c r="M24" s="101">
        <f>IF(M12=0,0,M12/TrAvia_act!M20*100)</f>
        <v>445.77401114438544</v>
      </c>
      <c r="N24" s="101">
        <f>IF(N12=0,0,N12/TrAvia_act!N20*100)</f>
        <v>456.20872534735122</v>
      </c>
      <c r="O24" s="101">
        <f>IF(O12=0,0,O12/TrAvia_act!O20*100)</f>
        <v>430.33600499665249</v>
      </c>
      <c r="P24" s="101">
        <f>IF(P12=0,0,P12/TrAvia_act!P20*100)</f>
        <v>391.82625517095897</v>
      </c>
      <c r="Q24" s="101">
        <f>IF(Q12=0,0,Q12/TrAvia_act!Q20*100)</f>
        <v>363.76349653142785</v>
      </c>
      <c r="R24" s="101">
        <f>IF(R12=0,0,R12/TrAvia_act!R20*100)</f>
        <v>333.43204371692696</v>
      </c>
      <c r="S24" s="101">
        <f>IF(S12=0,0,S12/TrAvia_act!S20*100)</f>
        <v>324.29467328482411</v>
      </c>
      <c r="T24" s="101">
        <f>IF(T12=0,0,T12/TrAvia_act!T20*100)</f>
        <v>352.69055981228303</v>
      </c>
      <c r="U24" s="101">
        <f>IF(U12=0,0,U12/TrAvia_act!U20*100)</f>
        <v>325.63869096310412</v>
      </c>
      <c r="V24" s="101">
        <f>IF(V12=0,0,V12/TrAvia_act!V20*100)</f>
        <v>451.94184911716172</v>
      </c>
      <c r="W24" s="101">
        <f>IF(W12=0,0,W12/TrAvia_act!W20*100)</f>
        <v>418.98034573746924</v>
      </c>
      <c r="X24" s="101">
        <f>IF(X12=0,0,X12/TrAvia_act!X20*100)</f>
        <v>367.60246228924677</v>
      </c>
      <c r="Y24" s="101">
        <f>IF(Y12=0,0,Y12/TrAvia_act!Y20*100)</f>
        <v>445.72450674322346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370.27757721495021</v>
      </c>
      <c r="C25" s="88">
        <f>IF(C13=0,0,C13/TrAvia_act!C21*100)</f>
        <v>369.59120440973663</v>
      </c>
      <c r="D25" s="88">
        <f>IF(D13=0,0,D13/TrAvia_act!D21*100)</f>
        <v>369.04655336530993</v>
      </c>
      <c r="E25" s="88">
        <f>IF(E13=0,0,E13/TrAvia_act!E21*100)</f>
        <v>368.7690095417268</v>
      </c>
      <c r="F25" s="88">
        <f>IF(F13=0,0,F13/TrAvia_act!F21*100)</f>
        <v>368.66289878880877</v>
      </c>
      <c r="G25" s="88">
        <f>IF(G13=0,0,G13/TrAvia_act!G21*100)</f>
        <v>419.15775529526957</v>
      </c>
      <c r="H25" s="88">
        <f>IF(H13=0,0,H13/TrAvia_act!H21*100)</f>
        <v>368.62991436965444</v>
      </c>
      <c r="I25" s="88">
        <f>IF(I13=0,0,I13/TrAvia_act!I21*100)</f>
        <v>313.13165628524717</v>
      </c>
      <c r="J25" s="88">
        <f>IF(J13=0,0,J13/TrAvia_act!J21*100)</f>
        <v>293.61991145080117</v>
      </c>
      <c r="K25" s="88">
        <f>IF(K13=0,0,K13/TrAvia_act!K21*100)</f>
        <v>261.06631892531021</v>
      </c>
      <c r="L25" s="88">
        <f>IF(L13=0,0,L13/TrAvia_act!L21*100)</f>
        <v>225.13955976833034</v>
      </c>
      <c r="M25" s="88">
        <f>IF(M13=0,0,M13/TrAvia_act!M21*100)</f>
        <v>294.34595262405475</v>
      </c>
      <c r="N25" s="88">
        <f>IF(N13=0,0,N13/TrAvia_act!N21*100)</f>
        <v>360.64248716911203</v>
      </c>
      <c r="O25" s="88">
        <f>IF(O13=0,0,O13/TrAvia_act!O21*100)</f>
        <v>457.90633668240821</v>
      </c>
      <c r="P25" s="88">
        <f>IF(P13=0,0,P13/TrAvia_act!P21*100)</f>
        <v>510.44973334029055</v>
      </c>
      <c r="Q25" s="88">
        <f>IF(Q13=0,0,Q13/TrAvia_act!Q21*100)</f>
        <v>469.63367757568244</v>
      </c>
      <c r="R25" s="88">
        <f>IF(R13=0,0,R13/TrAvia_act!R21*100)</f>
        <v>365.1028100453558</v>
      </c>
      <c r="S25" s="88">
        <f>IF(S13=0,0,S13/TrAvia_act!S21*100)</f>
        <v>318.81986759566325</v>
      </c>
      <c r="T25" s="88">
        <f>IF(T13=0,0,T13/TrAvia_act!T21*100)</f>
        <v>258.26018092300404</v>
      </c>
      <c r="U25" s="88">
        <f>IF(U13=0,0,U13/TrAvia_act!U21*100)</f>
        <v>275.8191314063431</v>
      </c>
      <c r="V25" s="88">
        <f>IF(V13=0,0,V13/TrAvia_act!V21*100)</f>
        <v>501.84491769743317</v>
      </c>
      <c r="W25" s="88">
        <f>IF(W13=0,0,W13/TrAvia_act!W21*100)</f>
        <v>344.4109798734379</v>
      </c>
      <c r="X25" s="88">
        <f>IF(X13=0,0,X13/TrAvia_act!X21*100)</f>
        <v>324.99071819600596</v>
      </c>
      <c r="Y25" s="88">
        <f>IF(Y13=0,0,Y13/TrAvia_act!Y21*100)</f>
        <v>293.7449140628998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43.447734411664989</v>
      </c>
      <c r="C28" s="14">
        <f>IF(C6=0,0,C6/TrAvia_act!C4*1000)</f>
        <v>43.068822179778216</v>
      </c>
      <c r="D28" s="14">
        <f>IF(D6=0,0,D6/TrAvia_act!D4*1000)</f>
        <v>43.373044613278395</v>
      </c>
      <c r="E28" s="14">
        <f>IF(E6=0,0,E6/TrAvia_act!E4*1000)</f>
        <v>43.825932600174831</v>
      </c>
      <c r="F28" s="14">
        <f>IF(F6=0,0,F6/TrAvia_act!F4*1000)</f>
        <v>43.976308420105319</v>
      </c>
      <c r="G28" s="14">
        <f>IF(G6=0,0,G6/TrAvia_act!G4*1000)</f>
        <v>42.173924728115239</v>
      </c>
      <c r="H28" s="14">
        <f>IF(H6=0,0,H6/TrAvia_act!H4*1000)</f>
        <v>39.398085429708765</v>
      </c>
      <c r="I28" s="14">
        <f>IF(I6=0,0,I6/TrAvia_act!I4*1000)</f>
        <v>39.877922691875689</v>
      </c>
      <c r="J28" s="14">
        <f>IF(J6=0,0,J6/TrAvia_act!J4*1000)</f>
        <v>44.709394523118632</v>
      </c>
      <c r="K28" s="14">
        <f>IF(K6=0,0,K6/TrAvia_act!K4*1000)</f>
        <v>39.623747050096362</v>
      </c>
      <c r="L28" s="14">
        <f>IF(L6=0,0,L6/TrAvia_act!L4*1000)</f>
        <v>37.450620011149617</v>
      </c>
      <c r="M28" s="14">
        <f>IF(M6=0,0,M6/TrAvia_act!M4*1000)</f>
        <v>37.671900814374013</v>
      </c>
      <c r="N28" s="14">
        <f>IF(N6=0,0,N6/TrAvia_act!N4*1000)</f>
        <v>35.75342363714033</v>
      </c>
      <c r="O28" s="14">
        <f>IF(O6=0,0,O6/TrAvia_act!O4*1000)</f>
        <v>36.708718867239092</v>
      </c>
      <c r="P28" s="14">
        <f>IF(P6=0,0,P6/TrAvia_act!P4*1000)</f>
        <v>34.476742478284059</v>
      </c>
      <c r="Q28" s="14">
        <f>IF(Q6=0,0,Q6/TrAvia_act!Q4*1000)</f>
        <v>31.105376286028434</v>
      </c>
      <c r="R28" s="14">
        <f>IF(R6=0,0,R6/TrAvia_act!R4*1000)</f>
        <v>28.145746666966279</v>
      </c>
      <c r="S28" s="14">
        <f>IF(S6=0,0,S6/TrAvia_act!S4*1000)</f>
        <v>26.819479608729999</v>
      </c>
      <c r="T28" s="14">
        <f>IF(T6=0,0,T6/TrAvia_act!T4*1000)</f>
        <v>28.736080947423464</v>
      </c>
      <c r="U28" s="14">
        <f>IF(U6=0,0,U6/TrAvia_act!U4*1000)</f>
        <v>28.742839833429734</v>
      </c>
      <c r="V28" s="14">
        <f>IF(V6=0,0,V6/TrAvia_act!V4*1000)</f>
        <v>51.994689139953536</v>
      </c>
      <c r="W28" s="14">
        <f>IF(W6=0,0,W6/TrAvia_act!W4*1000)</f>
        <v>38.381983770807317</v>
      </c>
      <c r="X28" s="14">
        <f>IF(X6=0,0,X6/TrAvia_act!X4*1000)</f>
        <v>32.948482054328743</v>
      </c>
      <c r="Y28" s="14">
        <f>IF(Y6=0,0,Y6/TrAvia_act!Y4*1000)</f>
        <v>31.018396660324431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62.074245349628406</v>
      </c>
      <c r="C29" s="87">
        <f>IF(C7=0,0,C7/TrAvia_act!C5*1000)</f>
        <v>62.184425973978556</v>
      </c>
      <c r="D29" s="87">
        <f>IF(D7=0,0,D7/TrAvia_act!D5*1000)</f>
        <v>62.49919764787316</v>
      </c>
      <c r="E29" s="87">
        <f>IF(E7=0,0,E7/TrAvia_act!E5*1000)</f>
        <v>62.623024498490373</v>
      </c>
      <c r="F29" s="87">
        <f>IF(F7=0,0,F7/TrAvia_act!F5*1000)</f>
        <v>62.619551615474137</v>
      </c>
      <c r="G29" s="87">
        <f>IF(G7=0,0,G7/TrAvia_act!G5*1000)</f>
        <v>61.33258931354198</v>
      </c>
      <c r="H29" s="87">
        <f>IF(H7=0,0,H7/TrAvia_act!H5*1000)</f>
        <v>71.21815214220635</v>
      </c>
      <c r="I29" s="87">
        <f>IF(I7=0,0,I7/TrAvia_act!I5*1000)</f>
        <v>68.097176013875426</v>
      </c>
      <c r="J29" s="87">
        <f>IF(J7=0,0,J7/TrAvia_act!J5*1000)</f>
        <v>62.593651835812821</v>
      </c>
      <c r="K29" s="87">
        <f>IF(K7=0,0,K7/TrAvia_act!K5*1000)</f>
        <v>63.436901700686732</v>
      </c>
      <c r="L29" s="87">
        <f>IF(L7=0,0,L7/TrAvia_act!L5*1000)</f>
        <v>57.025086349913771</v>
      </c>
      <c r="M29" s="87">
        <f>IF(M7=0,0,M7/TrAvia_act!M5*1000)</f>
        <v>57.859668995901266</v>
      </c>
      <c r="N29" s="87">
        <f>IF(N7=0,0,N7/TrAvia_act!N5*1000)</f>
        <v>54.54342971668283</v>
      </c>
      <c r="O29" s="87">
        <f>IF(O7=0,0,O7/TrAvia_act!O5*1000)</f>
        <v>56.363335726671913</v>
      </c>
      <c r="P29" s="87">
        <f>IF(P7=0,0,P7/TrAvia_act!P5*1000)</f>
        <v>56.682343428394731</v>
      </c>
      <c r="Q29" s="87">
        <f>IF(Q7=0,0,Q7/TrAvia_act!Q5*1000)</f>
        <v>62.187140045987924</v>
      </c>
      <c r="R29" s="87">
        <f>IF(R7=0,0,R7/TrAvia_act!R5*1000)</f>
        <v>58.559968750172231</v>
      </c>
      <c r="S29" s="87">
        <f>IF(S7=0,0,S7/TrAvia_act!S5*1000)</f>
        <v>52.854999091225395</v>
      </c>
      <c r="T29" s="87">
        <f>IF(T7=0,0,T7/TrAvia_act!T5*1000)</f>
        <v>53.641520132670585</v>
      </c>
      <c r="U29" s="87">
        <f>IF(U7=0,0,U7/TrAvia_act!U5*1000)</f>
        <v>55.177233256625392</v>
      </c>
      <c r="V29" s="87">
        <f>IF(V7=0,0,V7/TrAvia_act!V5*1000)</f>
        <v>86.928616611788655</v>
      </c>
      <c r="W29" s="87">
        <f>IF(W7=0,0,W7/TrAvia_act!W5*1000)</f>
        <v>86.191025072800855</v>
      </c>
      <c r="X29" s="87">
        <f>IF(X7=0,0,X7/TrAvia_act!X5*1000)</f>
        <v>65.103592021110572</v>
      </c>
      <c r="Y29" s="87">
        <f>IF(Y7=0,0,Y7/TrAvia_act!Y5*1000)</f>
        <v>64.681836823122296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42.722244673852408</v>
      </c>
      <c r="C30" s="87">
        <f>IF(C8=0,0,C8/TrAvia_act!C6*1000)</f>
        <v>42.274916551161738</v>
      </c>
      <c r="D30" s="87">
        <f>IF(D8=0,0,D8/TrAvia_act!D6*1000)</f>
        <v>42.210499455605856</v>
      </c>
      <c r="E30" s="87">
        <f>IF(E8=0,0,E8/TrAvia_act!E6*1000)</f>
        <v>42.530638688631811</v>
      </c>
      <c r="F30" s="87">
        <f>IF(F8=0,0,F8/TrAvia_act!F6*1000)</f>
        <v>42.885594405144005</v>
      </c>
      <c r="G30" s="87">
        <f>IF(G8=0,0,G8/TrAvia_act!G6*1000)</f>
        <v>40.078524296767227</v>
      </c>
      <c r="H30" s="87">
        <f>IF(H8=0,0,H8/TrAvia_act!H6*1000)</f>
        <v>36.591112708537992</v>
      </c>
      <c r="I30" s="87">
        <f>IF(I8=0,0,I8/TrAvia_act!I6*1000)</f>
        <v>38.250255351497053</v>
      </c>
      <c r="J30" s="87">
        <f>IF(J8=0,0,J8/TrAvia_act!J6*1000)</f>
        <v>45.460287071873218</v>
      </c>
      <c r="K30" s="87">
        <f>IF(K8=0,0,K8/TrAvia_act!K6*1000)</f>
        <v>38.533718514580421</v>
      </c>
      <c r="L30" s="87">
        <f>IF(L8=0,0,L8/TrAvia_act!L6*1000)</f>
        <v>38.701749579484868</v>
      </c>
      <c r="M30" s="87">
        <f>IF(M8=0,0,M8/TrAvia_act!M6*1000)</f>
        <v>39.438275955938565</v>
      </c>
      <c r="N30" s="87">
        <f>IF(N8=0,0,N8/TrAvia_act!N6*1000)</f>
        <v>37.5500803118153</v>
      </c>
      <c r="O30" s="87">
        <f>IF(O8=0,0,O8/TrAvia_act!O6*1000)</f>
        <v>36.314682673561066</v>
      </c>
      <c r="P30" s="87">
        <f>IF(P8=0,0,P8/TrAvia_act!P6*1000)</f>
        <v>33.656450535668121</v>
      </c>
      <c r="Q30" s="87">
        <f>IF(Q8=0,0,Q8/TrAvia_act!Q6*1000)</f>
        <v>30.705788462573214</v>
      </c>
      <c r="R30" s="87">
        <f>IF(R8=0,0,R8/TrAvia_act!R6*1000)</f>
        <v>28.165183827104684</v>
      </c>
      <c r="S30" s="87">
        <f>IF(S8=0,0,S8/TrAvia_act!S6*1000)</f>
        <v>28.173585282802318</v>
      </c>
      <c r="T30" s="87">
        <f>IF(T8=0,0,T8/TrAvia_act!T6*1000)</f>
        <v>31.974408390142415</v>
      </c>
      <c r="U30" s="87">
        <f>IF(U8=0,0,U8/TrAvia_act!U6*1000)</f>
        <v>31.833437267152313</v>
      </c>
      <c r="V30" s="87">
        <f>IF(V8=0,0,V8/TrAvia_act!V6*1000)</f>
        <v>48.6876342649931</v>
      </c>
      <c r="W30" s="87">
        <f>IF(W8=0,0,W8/TrAvia_act!W6*1000)</f>
        <v>38.311067690923664</v>
      </c>
      <c r="X30" s="87">
        <f>IF(X8=0,0,X8/TrAvia_act!X6*1000)</f>
        <v>32.563443464439707</v>
      </c>
      <c r="Y30" s="87">
        <f>IF(Y8=0,0,Y8/TrAvia_act!Y6*1000)</f>
        <v>30.820227363996167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38.146970728692182</v>
      </c>
      <c r="C31" s="87">
        <f>IF(C9=0,0,C9/TrAvia_act!C7*1000)</f>
        <v>37.954833826075863</v>
      </c>
      <c r="D31" s="87">
        <f>IF(D9=0,0,D9/TrAvia_act!D7*1000)</f>
        <v>37.665601201520033</v>
      </c>
      <c r="E31" s="87">
        <f>IF(E9=0,0,E9/TrAvia_act!E7*1000)</f>
        <v>37.35526851773232</v>
      </c>
      <c r="F31" s="87">
        <f>IF(F9=0,0,F9/TrAvia_act!F7*1000)</f>
        <v>37.291256086403244</v>
      </c>
      <c r="G31" s="87">
        <f>IF(G9=0,0,G9/TrAvia_act!G7*1000)</f>
        <v>42.465130869984812</v>
      </c>
      <c r="H31" s="87">
        <f>IF(H9=0,0,H9/TrAvia_act!H7*1000)</f>
        <v>39.58678102365284</v>
      </c>
      <c r="I31" s="87">
        <f>IF(I9=0,0,I9/TrAvia_act!I7*1000)</f>
        <v>34.37019161135759</v>
      </c>
      <c r="J31" s="87">
        <f>IF(J9=0,0,J9/TrAvia_act!J7*1000)</f>
        <v>32.944233181470047</v>
      </c>
      <c r="K31" s="87">
        <f>IF(K9=0,0,K9/TrAvia_act!K7*1000)</f>
        <v>33.489379010988735</v>
      </c>
      <c r="L31" s="87">
        <f>IF(L9=0,0,L9/TrAvia_act!L7*1000)</f>
        <v>25.764717590497789</v>
      </c>
      <c r="M31" s="87">
        <f>IF(M9=0,0,M9/TrAvia_act!M7*1000)</f>
        <v>24.502675931976825</v>
      </c>
      <c r="N31" s="87">
        <f>IF(N9=0,0,N9/TrAvia_act!N7*1000)</f>
        <v>23.328586253705261</v>
      </c>
      <c r="O31" s="87">
        <f>IF(O9=0,0,O9/TrAvia_act!O7*1000)</f>
        <v>31.870254386656722</v>
      </c>
      <c r="P31" s="87">
        <f>IF(P9=0,0,P9/TrAvia_act!P7*1000)</f>
        <v>31.65901883656786</v>
      </c>
      <c r="Q31" s="87">
        <f>IF(Q9=0,0,Q9/TrAvia_act!Q7*1000)</f>
        <v>24.158977537027745</v>
      </c>
      <c r="R31" s="87">
        <f>IF(R9=0,0,R9/TrAvia_act!R7*1000)</f>
        <v>19.912001823312355</v>
      </c>
      <c r="S31" s="87">
        <f>IF(S9=0,0,S9/TrAvia_act!S7*1000)</f>
        <v>15.034124270490086</v>
      </c>
      <c r="T31" s="87">
        <f>IF(T9=0,0,T9/TrAvia_act!T7*1000)</f>
        <v>13.120470304682959</v>
      </c>
      <c r="U31" s="87">
        <f>IF(U9=0,0,U9/TrAvia_act!U7*1000)</f>
        <v>13.39530977680746</v>
      </c>
      <c r="V31" s="87">
        <f>IF(V9=0,0,V9/TrAvia_act!V7*1000)</f>
        <v>56.091559110280983</v>
      </c>
      <c r="W31" s="87">
        <f>IF(W9=0,0,W9/TrAvia_act!W7*1000)</f>
        <v>30.175188695831554</v>
      </c>
      <c r="X31" s="87">
        <f>IF(X9=0,0,X9/TrAvia_act!X7*1000)</f>
        <v>29.280364340649697</v>
      </c>
      <c r="Y31" s="87">
        <f>IF(Y9=0,0,Y9/TrAvia_act!Y7*1000)</f>
        <v>25.711255467244548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145.75993756417481</v>
      </c>
      <c r="C32" s="15">
        <f>IF(C10=0,0,C10/TrAvia_act!C8*1000)</f>
        <v>142.18748243286575</v>
      </c>
      <c r="D32" s="15">
        <f>IF(D10=0,0,D10/TrAvia_act!D8*1000)</f>
        <v>150.22915090043077</v>
      </c>
      <c r="E32" s="15">
        <f>IF(E10=0,0,E10/TrAvia_act!E8*1000)</f>
        <v>145.06881949638384</v>
      </c>
      <c r="F32" s="15">
        <f>IF(F10=0,0,F10/TrAvia_act!F8*1000)</f>
        <v>156.62656576983741</v>
      </c>
      <c r="G32" s="15">
        <f>IF(G10=0,0,G10/TrAvia_act!G8*1000)</f>
        <v>158.22469548198131</v>
      </c>
      <c r="H32" s="15">
        <f>IF(H10=0,0,H10/TrAvia_act!H8*1000)</f>
        <v>179.88313354625879</v>
      </c>
      <c r="I32" s="15">
        <f>IF(I10=0,0,I10/TrAvia_act!I8*1000)</f>
        <v>188.03907072008417</v>
      </c>
      <c r="J32" s="15">
        <f>IF(J10=0,0,J10/TrAvia_act!J8*1000)</f>
        <v>207.51192331104781</v>
      </c>
      <c r="K32" s="15">
        <f>IF(K10=0,0,K10/TrAvia_act!K8*1000)</f>
        <v>175.39809052264224</v>
      </c>
      <c r="L32" s="15">
        <f>IF(L10=0,0,L10/TrAvia_act!L8*1000)</f>
        <v>163.63366543927299</v>
      </c>
      <c r="M32" s="15">
        <f>IF(M10=0,0,M10/TrAvia_act!M8*1000)</f>
        <v>112.86792833968224</v>
      </c>
      <c r="N32" s="15">
        <f>IF(N10=0,0,N10/TrAvia_act!N8*1000)</f>
        <v>136.33051991350013</v>
      </c>
      <c r="O32" s="15">
        <f>IF(O10=0,0,O10/TrAvia_act!O8*1000)</f>
        <v>115.45868590102899</v>
      </c>
      <c r="P32" s="15">
        <f>IF(P10=0,0,P10/TrAvia_act!P8*1000)</f>
        <v>95.118653897812877</v>
      </c>
      <c r="Q32" s="15">
        <f>IF(Q10=0,0,Q10/TrAvia_act!Q8*1000)</f>
        <v>82.010069367325329</v>
      </c>
      <c r="R32" s="15">
        <f>IF(R10=0,0,R10/TrAvia_act!R8*1000)</f>
        <v>61.597173337168194</v>
      </c>
      <c r="S32" s="15">
        <f>IF(S10=0,0,S10/TrAvia_act!S8*1000)</f>
        <v>52.222834407245905</v>
      </c>
      <c r="T32" s="15">
        <f>IF(T10=0,0,T10/TrAvia_act!T8*1000)</f>
        <v>30.491331479565918</v>
      </c>
      <c r="U32" s="15">
        <f>IF(U10=0,0,U10/TrAvia_act!U8*1000)</f>
        <v>34.704128123923347</v>
      </c>
      <c r="V32" s="15">
        <f>IF(V10=0,0,V10/TrAvia_act!V8*1000)</f>
        <v>152.97323297074115</v>
      </c>
      <c r="W32" s="15">
        <f>IF(W10=0,0,W10/TrAvia_act!W8*1000)</f>
        <v>120.03853322936742</v>
      </c>
      <c r="X32" s="15">
        <f>IF(X10=0,0,X10/TrAvia_act!X8*1000)</f>
        <v>137.62189192872452</v>
      </c>
      <c r="Y32" s="15">
        <f>IF(Y10=0,0,Y10/TrAvia_act!Y8*1000)</f>
        <v>172.60380940317378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747.52515664429268</v>
      </c>
      <c r="C33" s="101">
        <f>IF(C11=0,0,C11/TrAvia_act!C9*1000)</f>
        <v>749.89628169583546</v>
      </c>
      <c r="D33" s="101">
        <f>IF(D11=0,0,D11/TrAvia_act!D9*1000)</f>
        <v>730.84760711238505</v>
      </c>
      <c r="E33" s="101">
        <f>IF(E11=0,0,E11/TrAvia_act!E9*1000)</f>
        <v>688.50724941999886</v>
      </c>
      <c r="F33" s="101">
        <f>IF(F11=0,0,F11/TrAvia_act!F9*1000)</f>
        <v>731.19455815322715</v>
      </c>
      <c r="G33" s="101">
        <f>IF(G11=0,0,G11/TrAvia_act!G9*1000)</f>
        <v>720.73289903536829</v>
      </c>
      <c r="H33" s="101">
        <f>IF(H11=0,0,H11/TrAvia_act!H9*1000)</f>
        <v>771.89367420389692</v>
      </c>
      <c r="I33" s="101">
        <f>IF(I11=0,0,I11/TrAvia_act!I9*1000)</f>
        <v>658.93972315629605</v>
      </c>
      <c r="J33" s="101">
        <f>IF(J11=0,0,J11/TrAvia_act!J9*1000)</f>
        <v>571.4349917834985</v>
      </c>
      <c r="K33" s="101">
        <f>IF(K11=0,0,K11/TrAvia_act!K9*1000)</f>
        <v>470.06402756060157</v>
      </c>
      <c r="L33" s="101">
        <f>IF(L11=0,0,L11/TrAvia_act!L9*1000)</f>
        <v>370.53339106120342</v>
      </c>
      <c r="M33" s="101">
        <f>IF(M11=0,0,M11/TrAvia_act!M9*1000)</f>
        <v>473.2851079832426</v>
      </c>
      <c r="N33" s="101">
        <f>IF(N11=0,0,N11/TrAvia_act!N9*1000)</f>
        <v>721.37991678134676</v>
      </c>
      <c r="O33" s="101">
        <f>IF(O11=0,0,O11/TrAvia_act!O9*1000)</f>
        <v>668.70486397175409</v>
      </c>
      <c r="P33" s="101">
        <f>IF(P11=0,0,P11/TrAvia_act!P9*1000)</f>
        <v>510.23797760567624</v>
      </c>
      <c r="Q33" s="101">
        <f>IF(Q11=0,0,Q11/TrAvia_act!Q9*1000)</f>
        <v>515.92193213272049</v>
      </c>
      <c r="R33" s="101">
        <f>IF(R11=0,0,R11/TrAvia_act!R9*1000)</f>
        <v>382.22419491982345</v>
      </c>
      <c r="S33" s="101">
        <f>IF(S11=0,0,S11/TrAvia_act!S9*1000)</f>
        <v>376.21988641412963</v>
      </c>
      <c r="T33" s="101">
        <f>IF(T11=0,0,T11/TrAvia_act!T9*1000)</f>
        <v>355.54747781599826</v>
      </c>
      <c r="U33" s="101">
        <f>IF(U11=0,0,U11/TrAvia_act!U9*1000)</f>
        <v>254.43095568406659</v>
      </c>
      <c r="V33" s="101">
        <f>IF(V11=0,0,V11/TrAvia_act!V9*1000)</f>
        <v>239.8199624580881</v>
      </c>
      <c r="W33" s="101">
        <f>IF(W11=0,0,W11/TrAvia_act!W9*1000)</f>
        <v>246.57684081571671</v>
      </c>
      <c r="X33" s="101">
        <f>IF(X11=0,0,X11/TrAvia_act!X9*1000)</f>
        <v>264.85441520455225</v>
      </c>
      <c r="Y33" s="101">
        <f>IF(Y11=0,0,Y11/TrAvia_act!Y9*1000)</f>
        <v>238.99819000445561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143.48143775349047</v>
      </c>
      <c r="C34" s="101">
        <f>IF(C12=0,0,C12/TrAvia_act!C10*1000)</f>
        <v>138.42569407411264</v>
      </c>
      <c r="D34" s="101">
        <f>IF(D12=0,0,D12/TrAvia_act!D10*1000)</f>
        <v>147.18353564718655</v>
      </c>
      <c r="E34" s="101">
        <f>IF(E12=0,0,E12/TrAvia_act!E10*1000)</f>
        <v>143.7968312116455</v>
      </c>
      <c r="F34" s="101">
        <f>IF(F12=0,0,F12/TrAvia_act!F10*1000)</f>
        <v>158.34977089070702</v>
      </c>
      <c r="G34" s="101">
        <f>IF(G12=0,0,G12/TrAvia_act!G10*1000)</f>
        <v>145.05072994484505</v>
      </c>
      <c r="H34" s="101">
        <f>IF(H12=0,0,H12/TrAvia_act!H10*1000)</f>
        <v>151.46127235292673</v>
      </c>
      <c r="I34" s="101">
        <f>IF(I12=0,0,I12/TrAvia_act!I10*1000)</f>
        <v>165.66769415819235</v>
      </c>
      <c r="J34" s="101">
        <f>IF(J12=0,0,J12/TrAvia_act!J10*1000)</f>
        <v>208.61570576396718</v>
      </c>
      <c r="K34" s="101">
        <f>IF(K12=0,0,K12/TrAvia_act!K10*1000)</f>
        <v>177.60540580310649</v>
      </c>
      <c r="L34" s="101">
        <f>IF(L12=0,0,L12/TrAvia_act!L10*1000)</f>
        <v>194.11546170738853</v>
      </c>
      <c r="M34" s="101">
        <f>IF(M12=0,0,M12/TrAvia_act!M10*1000)</f>
        <v>219.63510559161645</v>
      </c>
      <c r="N34" s="101">
        <f>IF(N12=0,0,N12/TrAvia_act!N10*1000)</f>
        <v>209.50760762888885</v>
      </c>
      <c r="O34" s="101">
        <f>IF(O12=0,0,O12/TrAvia_act!O10*1000)</f>
        <v>198.49103646807168</v>
      </c>
      <c r="P34" s="101">
        <f>IF(P12=0,0,P12/TrAvia_act!P10*1000)</f>
        <v>155.63024803234862</v>
      </c>
      <c r="Q34" s="101">
        <f>IF(Q12=0,0,Q12/TrAvia_act!Q10*1000)</f>
        <v>145.48785840983075</v>
      </c>
      <c r="R34" s="101">
        <f>IF(R12=0,0,R12/TrAvia_act!R10*1000)</f>
        <v>120.4356759345077</v>
      </c>
      <c r="S34" s="101">
        <f>IF(S12=0,0,S12/TrAvia_act!S10*1000)</f>
        <v>128.25699102394654</v>
      </c>
      <c r="T34" s="101">
        <f>IF(T12=0,0,T12/TrAvia_act!T10*1000)</f>
        <v>138.81907217583995</v>
      </c>
      <c r="U34" s="101">
        <f>IF(U12=0,0,U12/TrAvia_act!U10*1000)</f>
        <v>122.82535827414873</v>
      </c>
      <c r="V34" s="101">
        <f>IF(V12=0,0,V12/TrAvia_act!V10*1000)</f>
        <v>201.30117874373673</v>
      </c>
      <c r="W34" s="101">
        <f>IF(W12=0,0,W12/TrAvia_act!W10*1000)</f>
        <v>193.47769586903851</v>
      </c>
      <c r="X34" s="101">
        <f>IF(X12=0,0,X12/TrAvia_act!X10*1000)</f>
        <v>170.5094934406454</v>
      </c>
      <c r="Y34" s="101">
        <f>IF(Y12=0,0,Y12/TrAvia_act!Y10*1000)</f>
        <v>210.79419665213211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41.97860841556124</v>
      </c>
      <c r="C35" s="88">
        <f>IF(C13=0,0,C13/TrAvia_act!C11*1000)</f>
        <v>39.98470397807084</v>
      </c>
      <c r="D35" s="88">
        <f>IF(D13=0,0,D13/TrAvia_act!D11*1000)</f>
        <v>42.286250720631735</v>
      </c>
      <c r="E35" s="88">
        <f>IF(E13=0,0,E13/TrAvia_act!E11*1000)</f>
        <v>46.503621742869917</v>
      </c>
      <c r="F35" s="88">
        <f>IF(F13=0,0,F13/TrAvia_act!F11*1000)</f>
        <v>47.899556666578562</v>
      </c>
      <c r="G35" s="88">
        <f>IF(G13=0,0,G13/TrAvia_act!G11*1000)</f>
        <v>57.910310796994423</v>
      </c>
      <c r="H35" s="88">
        <f>IF(H13=0,0,H13/TrAvia_act!H11*1000)</f>
        <v>52.683345579961355</v>
      </c>
      <c r="I35" s="88">
        <f>IF(I13=0,0,I13/TrAvia_act!I11*1000)</f>
        <v>45.510936012689221</v>
      </c>
      <c r="J35" s="88">
        <f>IF(J13=0,0,J13/TrAvia_act!J11*1000)</f>
        <v>43.552576225977674</v>
      </c>
      <c r="K35" s="88">
        <f>IF(K13=0,0,K13/TrAvia_act!K11*1000)</f>
        <v>34.335752181889141</v>
      </c>
      <c r="L35" s="88">
        <f>IF(L13=0,0,L13/TrAvia_act!L11*1000)</f>
        <v>29.127518104984635</v>
      </c>
      <c r="M35" s="88">
        <f>IF(M13=0,0,M13/TrAvia_act!M11*1000)</f>
        <v>36.281351225269873</v>
      </c>
      <c r="N35" s="88">
        <f>IF(N13=0,0,N13/TrAvia_act!N11*1000)</f>
        <v>41.262563758785447</v>
      </c>
      <c r="O35" s="88">
        <f>IF(O13=0,0,O13/TrAvia_act!O11*1000)</f>
        <v>53.888857411835772</v>
      </c>
      <c r="P35" s="88">
        <f>IF(P13=0,0,P13/TrAvia_act!P11*1000)</f>
        <v>54.676435732283949</v>
      </c>
      <c r="Q35" s="88">
        <f>IF(Q13=0,0,Q13/TrAvia_act!Q11*1000)</f>
        <v>46.977968752257972</v>
      </c>
      <c r="R35" s="88">
        <f>IF(R13=0,0,R13/TrAvia_act!R11*1000)</f>
        <v>34.964615006583664</v>
      </c>
      <c r="S35" s="88">
        <f>IF(S13=0,0,S13/TrAvia_act!S11*1000)</f>
        <v>28.90692100636301</v>
      </c>
      <c r="T35" s="88">
        <f>IF(T13=0,0,T13/TrAvia_act!T11*1000)</f>
        <v>23.122587571319521</v>
      </c>
      <c r="U35" s="88">
        <f>IF(U13=0,0,U13/TrAvia_act!U11*1000)</f>
        <v>22.873140795571164</v>
      </c>
      <c r="V35" s="88">
        <f>IF(V13=0,0,V13/TrAvia_act!V11*1000)</f>
        <v>69.064960875961617</v>
      </c>
      <c r="W35" s="88">
        <f>IF(W13=0,0,W13/TrAvia_act!W11*1000)</f>
        <v>47.002556715652808</v>
      </c>
      <c r="X35" s="88">
        <f>IF(X13=0,0,X13/TrAvia_act!X11*1000)</f>
        <v>37.543802486307804</v>
      </c>
      <c r="Y35" s="88">
        <f>IF(Y13=0,0,Y13/TrAvia_act!Y11*1000)</f>
        <v>30.999944766482635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3686.7882191349418</v>
      </c>
      <c r="C37" s="62">
        <f>IF(C3=0,0,C3/TrAvia_act!C23*1000000)</f>
        <v>3677.4622967048685</v>
      </c>
      <c r="D37" s="62">
        <f>IF(D3=0,0,D3/TrAvia_act!D23*1000000)</f>
        <v>3555.853636351791</v>
      </c>
      <c r="E37" s="62">
        <f>IF(E3=0,0,E3/TrAvia_act!E23*1000000)</f>
        <v>3482.9643892842273</v>
      </c>
      <c r="F37" s="62">
        <f>IF(F3=0,0,F3/TrAvia_act!F23*1000000)</f>
        <v>3511.8369388806532</v>
      </c>
      <c r="G37" s="62">
        <f>IF(G3=0,0,G3/TrAvia_act!G23*1000000)</f>
        <v>3535.5743352130557</v>
      </c>
      <c r="H37" s="62">
        <f>IF(H3=0,0,H3/TrAvia_act!H23*1000000)</f>
        <v>3305.3638680110635</v>
      </c>
      <c r="I37" s="62">
        <f>IF(I3=0,0,I3/TrAvia_act!I23*1000000)</f>
        <v>3290.4851346457681</v>
      </c>
      <c r="J37" s="62">
        <f>IF(J3=0,0,J3/TrAvia_act!J23*1000000)</f>
        <v>3668.3906623476068</v>
      </c>
      <c r="K37" s="62">
        <f>IF(K3=0,0,K3/TrAvia_act!K23*1000000)</f>
        <v>3171.993980976843</v>
      </c>
      <c r="L37" s="62">
        <f>IF(L3=0,0,L3/TrAvia_act!L23*1000000)</f>
        <v>3341.2968018336164</v>
      </c>
      <c r="M37" s="62">
        <f>IF(M3=0,0,M3/TrAvia_act!M23*1000000)</f>
        <v>3539.5532510588168</v>
      </c>
      <c r="N37" s="62">
        <f>IF(N3=0,0,N3/TrAvia_act!N23*1000000)</f>
        <v>3682.8009198863729</v>
      </c>
      <c r="O37" s="62">
        <f>IF(O3=0,0,O3/TrAvia_act!O23*1000000)</f>
        <v>3915.3126746089829</v>
      </c>
      <c r="P37" s="62">
        <f>IF(P3=0,0,P3/TrAvia_act!P23*1000000)</f>
        <v>3684.4613988478141</v>
      </c>
      <c r="Q37" s="62">
        <f>IF(Q3=0,0,Q3/TrAvia_act!Q23*1000000)</f>
        <v>3476.5691120124638</v>
      </c>
      <c r="R37" s="62">
        <f>IF(R3=0,0,R3/TrAvia_act!R23*1000000)</f>
        <v>3329.6696425110122</v>
      </c>
      <c r="S37" s="62">
        <f>IF(S3=0,0,S3/TrAvia_act!S23*1000000)</f>
        <v>3569.3600832731368</v>
      </c>
      <c r="T37" s="62">
        <f>IF(T3=0,0,T3/TrAvia_act!T23*1000000)</f>
        <v>4065.3488826986868</v>
      </c>
      <c r="U37" s="62">
        <f>IF(U3=0,0,U3/TrAvia_act!U23*1000000)</f>
        <v>4159.4806706918607</v>
      </c>
      <c r="V37" s="62">
        <f>IF(V3=0,0,V3/TrAvia_act!V23*1000000)</f>
        <v>3464.9966230195419</v>
      </c>
      <c r="W37" s="62">
        <f>IF(W3=0,0,W3/TrAvia_act!W23*1000000)</f>
        <v>3749.2154365800652</v>
      </c>
      <c r="X37" s="62">
        <f>IF(X3=0,0,X3/TrAvia_act!X23*1000000)</f>
        <v>4334.0646959409387</v>
      </c>
      <c r="Y37" s="62">
        <f>IF(Y3=0,0,Y3/TrAvia_act!Y23*1000000)</f>
        <v>4237.7810118153538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3692.5374631695504</v>
      </c>
      <c r="C38" s="14">
        <f>IF(C6=0,0,C6/TrAvia_act!C24*1000000)</f>
        <v>3684.4871628192391</v>
      </c>
      <c r="D38" s="14">
        <f>IF(D6=0,0,D6/TrAvia_act!D24*1000000)</f>
        <v>3561.6679145406902</v>
      </c>
      <c r="E38" s="14">
        <f>IF(E6=0,0,E6/TrAvia_act!E24*1000000)</f>
        <v>3487.2803967643813</v>
      </c>
      <c r="F38" s="14">
        <f>IF(F6=0,0,F6/TrAvia_act!F24*1000000)</f>
        <v>3515.9365464627581</v>
      </c>
      <c r="G38" s="14">
        <f>IF(G6=0,0,G6/TrAvia_act!G24*1000000)</f>
        <v>3541.3969887018593</v>
      </c>
      <c r="H38" s="14">
        <f>IF(H6=0,0,H6/TrAvia_act!H24*1000000)</f>
        <v>3311.4918744609909</v>
      </c>
      <c r="I38" s="14">
        <f>IF(I6=0,0,I6/TrAvia_act!I24*1000000)</f>
        <v>3298.6034094044767</v>
      </c>
      <c r="J38" s="14">
        <f>IF(J6=0,0,J6/TrAvia_act!J24*1000000)</f>
        <v>3678.7766623393632</v>
      </c>
      <c r="K38" s="14">
        <f>IF(K6=0,0,K6/TrAvia_act!K24*1000000)</f>
        <v>3179.4646490896093</v>
      </c>
      <c r="L38" s="14">
        <f>IF(L6=0,0,L6/TrAvia_act!L24*1000000)</f>
        <v>3348.2432583418931</v>
      </c>
      <c r="M38" s="14">
        <f>IF(M6=0,0,M6/TrAvia_act!M24*1000000)</f>
        <v>3545.1305487450845</v>
      </c>
      <c r="N38" s="14">
        <f>IF(N6=0,0,N6/TrAvia_act!N24*1000000)</f>
        <v>3688.8441278301366</v>
      </c>
      <c r="O38" s="14">
        <f>IF(O6=0,0,O6/TrAvia_act!O24*1000000)</f>
        <v>3918.553342107431</v>
      </c>
      <c r="P38" s="14">
        <f>IF(P6=0,0,P6/TrAvia_act!P24*1000000)</f>
        <v>3685.2500971291588</v>
      </c>
      <c r="Q38" s="14">
        <f>IF(Q6=0,0,Q6/TrAvia_act!Q24*1000000)</f>
        <v>3475.8945518643395</v>
      </c>
      <c r="R38" s="14">
        <f>IF(R6=0,0,R6/TrAvia_act!R24*1000000)</f>
        <v>3328.8180356296557</v>
      </c>
      <c r="S38" s="14">
        <f>IF(S6=0,0,S6/TrAvia_act!S24*1000000)</f>
        <v>3569.0750257498198</v>
      </c>
      <c r="T38" s="14">
        <f>IF(T6=0,0,T6/TrAvia_act!T24*1000000)</f>
        <v>4055.392213126328</v>
      </c>
      <c r="U38" s="14">
        <f>IF(U6=0,0,U6/TrAvia_act!U24*1000000)</f>
        <v>4155.2651971239738</v>
      </c>
      <c r="V38" s="14">
        <f>IF(V6=0,0,V6/TrAvia_act!V24*1000000)</f>
        <v>3464.8286338102239</v>
      </c>
      <c r="W38" s="14">
        <f>IF(W6=0,0,W6/TrAvia_act!W24*1000000)</f>
        <v>3751.4873132127432</v>
      </c>
      <c r="X38" s="14">
        <f>IF(X6=0,0,X6/TrAvia_act!X24*1000000)</f>
        <v>4341.4255368497552</v>
      </c>
      <c r="Y38" s="14">
        <f>IF(Y6=0,0,Y6/TrAvia_act!Y24*1000000)</f>
        <v>4238.7269702264957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1701.9072681464204</v>
      </c>
      <c r="C39" s="87">
        <f>IF(C7=0,0,C7/TrAvia_act!C25*1000000)</f>
        <v>1694.2853107971437</v>
      </c>
      <c r="D39" s="87">
        <f>IF(D7=0,0,D7/TrAvia_act!D25*1000000)</f>
        <v>1698.0240777329998</v>
      </c>
      <c r="E39" s="87">
        <f>IF(E7=0,0,E7/TrAvia_act!E25*1000000)</f>
        <v>1701.5387335080861</v>
      </c>
      <c r="F39" s="87">
        <f>IF(F7=0,0,F7/TrAvia_act!F25*1000000)</f>
        <v>1701.5992203487781</v>
      </c>
      <c r="G39" s="87">
        <f>IF(G7=0,0,G7/TrAvia_act!G25*1000000)</f>
        <v>1680.5978043791542</v>
      </c>
      <c r="H39" s="87">
        <f>IF(H7=0,0,H7/TrAvia_act!H25*1000000)</f>
        <v>1904.4445793687569</v>
      </c>
      <c r="I39" s="87">
        <f>IF(I7=0,0,I7/TrAvia_act!I25*1000000)</f>
        <v>1811.7265954444974</v>
      </c>
      <c r="J39" s="87">
        <f>IF(J7=0,0,J7/TrAvia_act!J25*1000000)</f>
        <v>1647.746874711404</v>
      </c>
      <c r="K39" s="87">
        <f>IF(K7=0,0,K7/TrAvia_act!K25*1000000)</f>
        <v>1462.7342818768955</v>
      </c>
      <c r="L39" s="87">
        <f>IF(L7=0,0,L7/TrAvia_act!L25*1000000)</f>
        <v>1358.9694353566069</v>
      </c>
      <c r="M39" s="87">
        <f>IF(M7=0,0,M7/TrAvia_act!M25*1000000)</f>
        <v>1419.1089953655082</v>
      </c>
      <c r="N39" s="87">
        <f>IF(N7=0,0,N7/TrAvia_act!N25*1000000)</f>
        <v>1358.0646422784405</v>
      </c>
      <c r="O39" s="87">
        <f>IF(O7=0,0,O7/TrAvia_act!O25*1000000)</f>
        <v>1432.4695927654623</v>
      </c>
      <c r="P39" s="87">
        <f>IF(P7=0,0,P7/TrAvia_act!P25*1000000)</f>
        <v>1286.9013450432847</v>
      </c>
      <c r="Q39" s="87">
        <f>IF(Q7=0,0,Q7/TrAvia_act!Q25*1000000)</f>
        <v>1431.7919954246333</v>
      </c>
      <c r="R39" s="87">
        <f>IF(R7=0,0,R7/TrAvia_act!R25*1000000)</f>
        <v>1341.7813963882982</v>
      </c>
      <c r="S39" s="87">
        <f>IF(S7=0,0,S7/TrAvia_act!S25*1000000)</f>
        <v>1293.4897279239124</v>
      </c>
      <c r="T39" s="87">
        <f>IF(T7=0,0,T7/TrAvia_act!T25*1000000)</f>
        <v>1287.0470830958598</v>
      </c>
      <c r="U39" s="87">
        <f>IF(U7=0,0,U7/TrAvia_act!U25*1000000)</f>
        <v>1275.779644823122</v>
      </c>
      <c r="V39" s="87">
        <f>IF(V7=0,0,V7/TrAvia_act!V25*1000000)</f>
        <v>1095.7748237003977</v>
      </c>
      <c r="W39" s="87">
        <f>IF(W7=0,0,W7/TrAvia_act!W25*1000000)</f>
        <v>1119.4708698665781</v>
      </c>
      <c r="X39" s="87">
        <f>IF(X7=0,0,X7/TrAvia_act!X25*1000000)</f>
        <v>1230.49230059549</v>
      </c>
      <c r="Y39" s="87">
        <f>IF(Y7=0,0,Y7/TrAvia_act!Y25*1000000)</f>
        <v>1259.6357746686365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4132.1148588685946</v>
      </c>
      <c r="C40" s="87">
        <f>IF(C8=0,0,C8/TrAvia_act!C26*1000000)</f>
        <v>4124.2471435941279</v>
      </c>
      <c r="D40" s="87">
        <f>IF(D8=0,0,D8/TrAvia_act!D26*1000000)</f>
        <v>4118.0611646142097</v>
      </c>
      <c r="E40" s="87">
        <f>IF(E8=0,0,E8/TrAvia_act!E26*1000000)</f>
        <v>4114.8378655145634</v>
      </c>
      <c r="F40" s="87">
        <f>IF(F8=0,0,F8/TrAvia_act!F26*1000000)</f>
        <v>4113.7402119107546</v>
      </c>
      <c r="G40" s="87">
        <f>IF(G8=0,0,G8/TrAvia_act!G26*1000000)</f>
        <v>3978.3256980444094</v>
      </c>
      <c r="H40" s="87">
        <f>IF(H8=0,0,H8/TrAvia_act!H26*1000000)</f>
        <v>3600.0027218237124</v>
      </c>
      <c r="I40" s="87">
        <f>IF(I8=0,0,I8/TrAvia_act!I26*1000000)</f>
        <v>3662.6826189688263</v>
      </c>
      <c r="J40" s="87">
        <f>IF(J8=0,0,J8/TrAvia_act!J26*1000000)</f>
        <v>4339.4782736631787</v>
      </c>
      <c r="K40" s="87">
        <f>IF(K8=0,0,K8/TrAvia_act!K26*1000000)</f>
        <v>3762.8739918909409</v>
      </c>
      <c r="L40" s="87">
        <f>IF(L8=0,0,L8/TrAvia_act!L26*1000000)</f>
        <v>3971.2732081964559</v>
      </c>
      <c r="M40" s="87">
        <f>IF(M8=0,0,M8/TrAvia_act!M26*1000000)</f>
        <v>4263.0483427812014</v>
      </c>
      <c r="N40" s="87">
        <f>IF(N8=0,0,N8/TrAvia_act!N26*1000000)</f>
        <v>4464.6891488108304</v>
      </c>
      <c r="O40" s="87">
        <f>IF(O8=0,0,O8/TrAvia_act!O26*1000000)</f>
        <v>4587.7553163089387</v>
      </c>
      <c r="P40" s="87">
        <f>IF(P8=0,0,P8/TrAvia_act!P26*1000000)</f>
        <v>4372.5379155124456</v>
      </c>
      <c r="Q40" s="87">
        <f>IF(Q8=0,0,Q8/TrAvia_act!Q26*1000000)</f>
        <v>4107.3335443532624</v>
      </c>
      <c r="R40" s="87">
        <f>IF(R8=0,0,R8/TrAvia_act!R26*1000000)</f>
        <v>3968.7732468308068</v>
      </c>
      <c r="S40" s="87">
        <f>IF(S8=0,0,S8/TrAvia_act!S26*1000000)</f>
        <v>4221.929644404172</v>
      </c>
      <c r="T40" s="87">
        <f>IF(T8=0,0,T8/TrAvia_act!T26*1000000)</f>
        <v>4850.469151952203</v>
      </c>
      <c r="U40" s="87">
        <f>IF(U8=0,0,U8/TrAvia_act!U26*1000000)</f>
        <v>4923.864547008382</v>
      </c>
      <c r="V40" s="87">
        <f>IF(V8=0,0,V8/TrAvia_act!V26*1000000)</f>
        <v>4116.2458732864679</v>
      </c>
      <c r="W40" s="87">
        <f>IF(W8=0,0,W8/TrAvia_act!W26*1000000)</f>
        <v>4432.3223400308825</v>
      </c>
      <c r="X40" s="87">
        <f>IF(X8=0,0,X8/TrAvia_act!X26*1000000)</f>
        <v>4850.231488930558</v>
      </c>
      <c r="Y40" s="87">
        <f>IF(Y8=0,0,Y8/TrAvia_act!Y26*1000000)</f>
        <v>4828.5227123580535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5576.4621765762868</v>
      </c>
      <c r="C41" s="87">
        <f>IF(C9=0,0,C9/TrAvia_act!C27*1000000)</f>
        <v>5566.1252503813676</v>
      </c>
      <c r="D41" s="87">
        <f>IF(D9=0,0,D9/TrAvia_act!D27*1000000)</f>
        <v>5557.922685236801</v>
      </c>
      <c r="E41" s="87">
        <f>IF(E9=0,0,E9/TrAvia_act!E27*1000000)</f>
        <v>5553.7428138921859</v>
      </c>
      <c r="F41" s="87">
        <f>IF(F9=0,0,F9/TrAvia_act!F27*1000000)</f>
        <v>5552.1447624934881</v>
      </c>
      <c r="G41" s="87">
        <f>IF(G9=0,0,G9/TrAvia_act!G27*1000000)</f>
        <v>5914.3454662174072</v>
      </c>
      <c r="H41" s="87">
        <f>IF(H9=0,0,H9/TrAvia_act!H27*1000000)</f>
        <v>4648.309614170963</v>
      </c>
      <c r="I41" s="87">
        <f>IF(I9=0,0,I9/TrAvia_act!I27*1000000)</f>
        <v>4209.4882008956729</v>
      </c>
      <c r="J41" s="87">
        <f>IF(J9=0,0,J9/TrAvia_act!J27*1000000)</f>
        <v>4265.2025429966743</v>
      </c>
      <c r="K41" s="87">
        <f>IF(K9=0,0,K9/TrAvia_act!K27*1000000)</f>
        <v>3785.1610466032807</v>
      </c>
      <c r="L41" s="87">
        <f>IF(L9=0,0,L9/TrAvia_act!L27*1000000)</f>
        <v>3649.6599740120664</v>
      </c>
      <c r="M41" s="87">
        <f>IF(M9=0,0,M9/TrAvia_act!M27*1000000)</f>
        <v>3907.9872454744113</v>
      </c>
      <c r="N41" s="87">
        <f>IF(N9=0,0,N9/TrAvia_act!N27*1000000)</f>
        <v>3809.5865116147656</v>
      </c>
      <c r="O41" s="87">
        <f>IF(O9=0,0,O9/TrAvia_act!O27*1000000)</f>
        <v>4467.1672459245628</v>
      </c>
      <c r="P41" s="87">
        <f>IF(P9=0,0,P9/TrAvia_act!P27*1000000)</f>
        <v>4232.6849541197143</v>
      </c>
      <c r="Q41" s="87">
        <f>IF(Q9=0,0,Q9/TrAvia_act!Q27*1000000)</f>
        <v>3443.8711106595465</v>
      </c>
      <c r="R41" s="87">
        <f>IF(R9=0,0,R9/TrAvia_act!R27*1000000)</f>
        <v>3031.3192085584528</v>
      </c>
      <c r="S41" s="87">
        <f>IF(S9=0,0,S9/TrAvia_act!S27*1000000)</f>
        <v>3161.0253264117919</v>
      </c>
      <c r="T41" s="87">
        <f>IF(T9=0,0,T9/TrAvia_act!T27*1000000)</f>
        <v>3317.188457702508</v>
      </c>
      <c r="U41" s="87">
        <f>IF(U9=0,0,U9/TrAvia_act!U27*1000000)</f>
        <v>3476.809182429894</v>
      </c>
      <c r="V41" s="87">
        <f>IF(V9=0,0,V9/TrAvia_act!V27*1000000)</f>
        <v>7216.0162786351839</v>
      </c>
      <c r="W41" s="87">
        <f>IF(W9=0,0,W9/TrAvia_act!W27*1000000)</f>
        <v>5575.0973298058962</v>
      </c>
      <c r="X41" s="87">
        <f>IF(X9=0,0,X9/TrAvia_act!X27*1000000)</f>
        <v>5657.8136521560828</v>
      </c>
      <c r="Y41" s="87">
        <f>IF(Y9=0,0,Y9/TrAvia_act!Y27*1000000)</f>
        <v>4722.7172143892385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2951.1019353100605</v>
      </c>
      <c r="C42" s="15">
        <f>IF(C10=0,0,C10/TrAvia_act!C28*1000000)</f>
        <v>2924.4336222239704</v>
      </c>
      <c r="D42" s="15">
        <f>IF(D10=0,0,D10/TrAvia_act!D28*1000000)</f>
        <v>2940.1760850053824</v>
      </c>
      <c r="E42" s="15">
        <f>IF(E10=0,0,E10/TrAvia_act!E28*1000000)</f>
        <v>2983.6974223002117</v>
      </c>
      <c r="F42" s="15">
        <f>IF(F10=0,0,F10/TrAvia_act!F28*1000000)</f>
        <v>2984.3012471967477</v>
      </c>
      <c r="G42" s="15">
        <f>IF(G10=0,0,G10/TrAvia_act!G28*1000000)</f>
        <v>2825.9577642303138</v>
      </c>
      <c r="H42" s="15">
        <f>IF(H10=0,0,H10/TrAvia_act!H28*1000000)</f>
        <v>2571.8849227721703</v>
      </c>
      <c r="I42" s="15">
        <f>IF(I10=0,0,I10/TrAvia_act!I28*1000000)</f>
        <v>2469.4276457530627</v>
      </c>
      <c r="J42" s="15">
        <f>IF(J10=0,0,J10/TrAvia_act!J28*1000000)</f>
        <v>2597.3011247362128</v>
      </c>
      <c r="K42" s="15">
        <f>IF(K10=0,0,K10/TrAvia_act!K28*1000000)</f>
        <v>2428.3017705611242</v>
      </c>
      <c r="L42" s="15">
        <f>IF(L10=0,0,L10/TrAvia_act!L28*1000000)</f>
        <v>2406.8247400577047</v>
      </c>
      <c r="M42" s="15">
        <f>IF(M10=0,0,M10/TrAvia_act!M28*1000000)</f>
        <v>2665.6502669941001</v>
      </c>
      <c r="N42" s="15">
        <f>IF(N10=0,0,N10/TrAvia_act!N28*1000000)</f>
        <v>2687.3894753829563</v>
      </c>
      <c r="O42" s="15">
        <f>IF(O10=0,0,O10/TrAvia_act!O28*1000000)</f>
        <v>3346.0525637704604</v>
      </c>
      <c r="P42" s="15">
        <f>IF(P10=0,0,P10/TrAvia_act!P28*1000000)</f>
        <v>3519.6654597305233</v>
      </c>
      <c r="Q42" s="15">
        <f>IF(Q10=0,0,Q10/TrAvia_act!Q28*1000000)</f>
        <v>3628.5699987230532</v>
      </c>
      <c r="R42" s="15">
        <f>IF(R10=0,0,R10/TrAvia_act!R28*1000000)</f>
        <v>3558.8824733176475</v>
      </c>
      <c r="S42" s="15">
        <f>IF(S10=0,0,S10/TrAvia_act!S28*1000000)</f>
        <v>3658.819625164886</v>
      </c>
      <c r="T42" s="15">
        <f>IF(T10=0,0,T10/TrAvia_act!T28*1000000)</f>
        <v>6650.7821190992981</v>
      </c>
      <c r="U42" s="15">
        <f>IF(U10=0,0,U10/TrAvia_act!U28*1000000)</f>
        <v>5447.0651365969361</v>
      </c>
      <c r="V42" s="15">
        <f>IF(V10=0,0,V10/TrAvia_act!V28*1000000)</f>
        <v>3483.8191508083678</v>
      </c>
      <c r="W42" s="15">
        <f>IF(W10=0,0,W10/TrAvia_act!W28*1000000)</f>
        <v>3424.5804934606585</v>
      </c>
      <c r="X42" s="15">
        <f>IF(X10=0,0,X10/TrAvia_act!X28*1000000)</f>
        <v>2760.3591728375604</v>
      </c>
      <c r="Y42" s="15">
        <f>IF(Y10=0,0,Y10/TrAvia_act!Y28*1000000)</f>
        <v>3997.9415459967431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1540.9351872101736</v>
      </c>
      <c r="C43" s="101">
        <f>IF(C11=0,0,C11/TrAvia_act!C29*1000000)</f>
        <v>1534.0341400763257</v>
      </c>
      <c r="D43" s="101">
        <f>IF(D11=0,0,D11/TrAvia_act!D29*1000000)</f>
        <v>1537.4192819322116</v>
      </c>
      <c r="E43" s="101">
        <f>IF(E11=0,0,E11/TrAvia_act!E29*1000000)</f>
        <v>1540.6015098103856</v>
      </c>
      <c r="F43" s="101">
        <f>IF(F11=0,0,F11/TrAvia_act!F29*1000000)</f>
        <v>1540.6562756034045</v>
      </c>
      <c r="G43" s="101">
        <f>IF(G11=0,0,G11/TrAvia_act!G29*1000000)</f>
        <v>1521.6412437890826</v>
      </c>
      <c r="H43" s="101">
        <f>IF(H11=0,0,H11/TrAvia_act!H29*1000000)</f>
        <v>1760.4011396457684</v>
      </c>
      <c r="I43" s="101">
        <f>IF(I11=0,0,I11/TrAvia_act!I29*1000000)</f>
        <v>1709.7417841168851</v>
      </c>
      <c r="J43" s="101">
        <f>IF(J11=0,0,J11/TrAvia_act!J29*1000000)</f>
        <v>1587.5326555310612</v>
      </c>
      <c r="K43" s="101">
        <f>IF(K11=0,0,K11/TrAvia_act!K29*1000000)</f>
        <v>1438.7709410258478</v>
      </c>
      <c r="L43" s="101">
        <f>IF(L11=0,0,L11/TrAvia_act!L29*1000000)</f>
        <v>1364.6764462470244</v>
      </c>
      <c r="M43" s="101">
        <f>IF(M11=0,0,M11/TrAvia_act!M29*1000000)</f>
        <v>1343.676405723385</v>
      </c>
      <c r="N43" s="101">
        <f>IF(N11=0,0,N11/TrAvia_act!N29*1000000)</f>
        <v>1212.4288553188912</v>
      </c>
      <c r="O43" s="101">
        <f>IF(O11=0,0,O11/TrAvia_act!O29*1000000)</f>
        <v>1287.5601278314164</v>
      </c>
      <c r="P43" s="101">
        <f>IF(P11=0,0,P11/TrAvia_act!P29*1000000)</f>
        <v>1164.5915915404109</v>
      </c>
      <c r="Q43" s="101">
        <f>IF(Q11=0,0,Q11/TrAvia_act!Q29*1000000)</f>
        <v>1304.5316354897577</v>
      </c>
      <c r="R43" s="101">
        <f>IF(R11=0,0,R11/TrAvia_act!R29*1000000)</f>
        <v>1230.8432360599281</v>
      </c>
      <c r="S43" s="101">
        <f>IF(S11=0,0,S11/TrAvia_act!S29*1000000)</f>
        <v>1194.6213040396251</v>
      </c>
      <c r="T43" s="101">
        <f>IF(T11=0,0,T11/TrAvia_act!T29*1000000)</f>
        <v>1196.7625814324695</v>
      </c>
      <c r="U43" s="101">
        <f>IF(U11=0,0,U11/TrAvia_act!U29*1000000)</f>
        <v>1236.6564549451095</v>
      </c>
      <c r="V43" s="101">
        <f>IF(V11=0,0,V11/TrAvia_act!V29*1000000)</f>
        <v>1064.9865356950099</v>
      </c>
      <c r="W43" s="101">
        <f>IF(W11=0,0,W11/TrAvia_act!W29*1000000)</f>
        <v>1084.4648614616362</v>
      </c>
      <c r="X43" s="101">
        <f>IF(X11=0,0,X11/TrAvia_act!X29*1000000)</f>
        <v>1196.1080806347322</v>
      </c>
      <c r="Y43" s="101">
        <f>IF(Y11=0,0,Y11/TrAvia_act!Y29*1000000)</f>
        <v>1265.8914142832864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4632.7060050341061</v>
      </c>
      <c r="C44" s="101">
        <f>IF(C12=0,0,C12/TrAvia_act!C30*1000000)</f>
        <v>4644.1581773984981</v>
      </c>
      <c r="D44" s="101">
        <f>IF(D12=0,0,D12/TrAvia_act!D30*1000000)</f>
        <v>4634.6506497665432</v>
      </c>
      <c r="E44" s="101">
        <f>IF(E12=0,0,E12/TrAvia_act!E30*1000000)</f>
        <v>4639.6128925037274</v>
      </c>
      <c r="F44" s="101">
        <f>IF(F12=0,0,F12/TrAvia_act!F30*1000000)</f>
        <v>4635.3041677440278</v>
      </c>
      <c r="G44" s="101">
        <f>IF(G12=0,0,G12/TrAvia_act!G30*1000000)</f>
        <v>4206.9897593723126</v>
      </c>
      <c r="H44" s="101">
        <f>IF(H12=0,0,H12/TrAvia_act!H30*1000000)</f>
        <v>3416.3153685884458</v>
      </c>
      <c r="I44" s="101">
        <f>IF(I12=0,0,I12/TrAvia_act!I30*1000000)</f>
        <v>3296.0559752509075</v>
      </c>
      <c r="J44" s="101">
        <f>IF(J12=0,0,J12/TrAvia_act!J30*1000000)</f>
        <v>3801.7098217270322</v>
      </c>
      <c r="K44" s="101">
        <f>IF(K12=0,0,K12/TrAvia_act!K30*1000000)</f>
        <v>3034.4208090088609</v>
      </c>
      <c r="L44" s="101">
        <f>IF(L12=0,0,L12/TrAvia_act!L30*1000000)</f>
        <v>3135.1363918528973</v>
      </c>
      <c r="M44" s="101">
        <f>IF(M12=0,0,M12/TrAvia_act!M30*1000000)</f>
        <v>3369.6534538069418</v>
      </c>
      <c r="N44" s="101">
        <f>IF(N12=0,0,N12/TrAvia_act!N30*1000000)</f>
        <v>3280.2379337326061</v>
      </c>
      <c r="O44" s="101">
        <f>IF(O12=0,0,O12/TrAvia_act!O30*1000000)</f>
        <v>3233.4948732129324</v>
      </c>
      <c r="P44" s="101">
        <f>IF(P12=0,0,P12/TrAvia_act!P30*1000000)</f>
        <v>2957.9983626977028</v>
      </c>
      <c r="Q44" s="101">
        <f>IF(Q12=0,0,Q12/TrAvia_act!Q30*1000000)</f>
        <v>2784.3717831947183</v>
      </c>
      <c r="R44" s="101">
        <f>IF(R12=0,0,R12/TrAvia_act!R30*1000000)</f>
        <v>2606.8589894124912</v>
      </c>
      <c r="S44" s="101">
        <f>IF(S12=0,0,S12/TrAvia_act!S30*1000000)</f>
        <v>2605.452869509108</v>
      </c>
      <c r="T44" s="101">
        <f>IF(T12=0,0,T12/TrAvia_act!T30*1000000)</f>
        <v>2871.9010620686449</v>
      </c>
      <c r="U44" s="101">
        <f>IF(U12=0,0,U12/TrAvia_act!U30*1000000)</f>
        <v>2921.2275497531509</v>
      </c>
      <c r="V44" s="101">
        <f>IF(V12=0,0,V12/TrAvia_act!V30*1000000)</f>
        <v>3256.6674221541571</v>
      </c>
      <c r="W44" s="101">
        <f>IF(W12=0,0,W12/TrAvia_act!W30*1000000)</f>
        <v>3164.5365133587766</v>
      </c>
      <c r="X44" s="101">
        <f>IF(X12=0,0,X12/TrAvia_act!X30*1000000)</f>
        <v>2968.746492272332</v>
      </c>
      <c r="Y44" s="101">
        <f>IF(Y12=0,0,Y12/TrAvia_act!Y30*1000000)</f>
        <v>4307.240067398543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6187.609793324199</v>
      </c>
      <c r="C45" s="88">
        <f>IF(C13=0,0,C13/TrAvia_act!C31*1000000)</f>
        <v>6176.1400005180694</v>
      </c>
      <c r="D45" s="88">
        <f>IF(D13=0,0,D13/TrAvia_act!D31*1000000)</f>
        <v>6167.0384822414653</v>
      </c>
      <c r="E45" s="88">
        <f>IF(E13=0,0,E13/TrAvia_act!E31*1000000)</f>
        <v>6162.4005214613471</v>
      </c>
      <c r="F45" s="88">
        <f>IF(F13=0,0,F13/TrAvia_act!F31*1000000)</f>
        <v>6160.6273329823935</v>
      </c>
      <c r="G45" s="88">
        <f>IF(G13=0,0,G13/TrAvia_act!G31*1000000)</f>
        <v>6562.523113953519</v>
      </c>
      <c r="H45" s="88">
        <f>IF(H13=0,0,H13/TrAvia_act!H31*1000000)</f>
        <v>4984.989827158256</v>
      </c>
      <c r="I45" s="88">
        <f>IF(I13=0,0,I13/TrAvia_act!I31*1000000)</f>
        <v>4359.5497226685948</v>
      </c>
      <c r="J45" s="88">
        <f>IF(J13=0,0,J13/TrAvia_act!J31*1000000)</f>
        <v>4261.9788330516976</v>
      </c>
      <c r="K45" s="88">
        <f>IF(K13=0,0,K13/TrAvia_act!K31*1000000)</f>
        <v>3645.9235785280225</v>
      </c>
      <c r="L45" s="88">
        <f>IF(L13=0,0,L13/TrAvia_act!L31*1000000)</f>
        <v>3385.2695173796997</v>
      </c>
      <c r="M45" s="88">
        <f>IF(M13=0,0,M13/TrAvia_act!M31*1000000)</f>
        <v>5532.3765983978501</v>
      </c>
      <c r="N45" s="88">
        <f>IF(N13=0,0,N13/TrAvia_act!N31*1000000)</f>
        <v>7889.4551206989599</v>
      </c>
      <c r="O45" s="88">
        <f>IF(O13=0,0,O13/TrAvia_act!O31*1000000)</f>
        <v>13648.725388912204</v>
      </c>
      <c r="P45" s="88">
        <f>IF(P13=0,0,P13/TrAvia_act!P31*1000000)</f>
        <v>19087.924347047512</v>
      </c>
      <c r="Q45" s="88">
        <f>IF(Q13=0,0,Q13/TrAvia_act!Q31*1000000)</f>
        <v>21674.593420051842</v>
      </c>
      <c r="R45" s="88">
        <f>IF(R13=0,0,R13/TrAvia_act!R31*1000000)</f>
        <v>20092.321690000281</v>
      </c>
      <c r="S45" s="88">
        <f>IF(S13=0,0,S13/TrAvia_act!S31*1000000)</f>
        <v>20596.708991226984</v>
      </c>
      <c r="T45" s="88">
        <f>IF(T13=0,0,T13/TrAvia_act!T31*1000000)</f>
        <v>19402.859516115073</v>
      </c>
      <c r="U45" s="88">
        <f>IF(U13=0,0,U13/TrAvia_act!U31*1000000)</f>
        <v>21900.741591828548</v>
      </c>
      <c r="V45" s="88">
        <f>IF(V13=0,0,V13/TrAvia_act!V31*1000000)</f>
        <v>6755.5495135184456</v>
      </c>
      <c r="W45" s="88">
        <f>IF(W13=0,0,W13/TrAvia_act!W31*1000000)</f>
        <v>5742.3150658612767</v>
      </c>
      <c r="X45" s="88">
        <f>IF(X13=0,0,X13/TrAvia_act!X31*1000000)</f>
        <v>1581.1561841251587</v>
      </c>
      <c r="Y45" s="88">
        <f>IF(Y13=0,0,Y13/TrAvia_act!Y31*1000000)</f>
        <v>1649.5445929825364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0.99379311969322415</v>
      </c>
      <c r="C48" s="16">
        <f t="shared" si="36"/>
        <v>0.99264999889100536</v>
      </c>
      <c r="D48" s="16">
        <f t="shared" ref="D48:V48" si="37">IF(D6=0,0,D6/D$3)</f>
        <v>0.99226447404235352</v>
      </c>
      <c r="E48" s="16">
        <f t="shared" si="37"/>
        <v>0.99265795748626584</v>
      </c>
      <c r="F48" s="16">
        <f t="shared" si="37"/>
        <v>0.99344705087587304</v>
      </c>
      <c r="G48" s="16">
        <f t="shared" si="37"/>
        <v>0.99349490126486206</v>
      </c>
      <c r="H48" s="16">
        <f t="shared" si="37"/>
        <v>0.99355310664217644</v>
      </c>
      <c r="I48" s="16">
        <f t="shared" si="37"/>
        <v>0.99265226442241372</v>
      </c>
      <c r="J48" s="16">
        <f t="shared" si="37"/>
        <v>0.99320047864924377</v>
      </c>
      <c r="K48" s="16">
        <f t="shared" si="37"/>
        <v>0.99238630232960079</v>
      </c>
      <c r="L48" s="16">
        <f t="shared" si="37"/>
        <v>0.99468491767038314</v>
      </c>
      <c r="M48" s="16">
        <f t="shared" si="37"/>
        <v>0.99522413065122517</v>
      </c>
      <c r="N48" s="16">
        <f t="shared" si="37"/>
        <v>0.99559659512469456</v>
      </c>
      <c r="O48" s="16">
        <f t="shared" si="37"/>
        <v>0.99516245853226148</v>
      </c>
      <c r="P48" s="16">
        <f t="shared" si="37"/>
        <v>0.9954499284246171</v>
      </c>
      <c r="Q48" s="16">
        <f t="shared" si="37"/>
        <v>0.99538856471186188</v>
      </c>
      <c r="R48" s="16">
        <f t="shared" si="37"/>
        <v>0.99604358199819476</v>
      </c>
      <c r="S48" s="16">
        <f t="shared" si="37"/>
        <v>0.99674407178320235</v>
      </c>
      <c r="T48" s="16">
        <f t="shared" si="37"/>
        <v>0.99372395018884718</v>
      </c>
      <c r="U48" s="16">
        <f t="shared" si="37"/>
        <v>0.99572658993215668</v>
      </c>
      <c r="V48" s="16">
        <f t="shared" si="37"/>
        <v>0.99110599469118155</v>
      </c>
      <c r="W48" s="16">
        <f t="shared" ref="W48:Y48" si="38">IF(W6=0,0,W6/W$3)</f>
        <v>0.99365213406408026</v>
      </c>
      <c r="X48" s="16">
        <f t="shared" si="38"/>
        <v>0.99703484406604381</v>
      </c>
      <c r="Y48" s="16">
        <f t="shared" si="38"/>
        <v>0.99629370674909512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0.10927673241531745</v>
      </c>
      <c r="C49" s="103">
        <f t="shared" si="39"/>
        <v>0.10889939825028372</v>
      </c>
      <c r="D49" s="103">
        <f t="shared" ref="D49:V49" si="40">IF(D7=0,0,D7/D$3)</f>
        <v>0.13444252485963923</v>
      </c>
      <c r="E49" s="103">
        <f t="shared" si="40"/>
        <v>0.15125276450323191</v>
      </c>
      <c r="F49" s="103">
        <f t="shared" si="40"/>
        <v>0.14468679574174753</v>
      </c>
      <c r="G49" s="103">
        <f t="shared" si="40"/>
        <v>0.12112433421715886</v>
      </c>
      <c r="H49" s="103">
        <f t="shared" si="40"/>
        <v>0.12718320139239711</v>
      </c>
      <c r="I49" s="103">
        <f t="shared" si="40"/>
        <v>0.12166976170669469</v>
      </c>
      <c r="J49" s="103">
        <f t="shared" si="40"/>
        <v>0.10789695824183719</v>
      </c>
      <c r="K49" s="103">
        <f t="shared" si="40"/>
        <v>0.11625662063196605</v>
      </c>
      <c r="L49" s="103">
        <f t="shared" si="40"/>
        <v>9.0594611355640939E-2</v>
      </c>
      <c r="M49" s="103">
        <f t="shared" si="40"/>
        <v>9.4850947259905879E-2</v>
      </c>
      <c r="N49" s="103">
        <f t="shared" si="40"/>
        <v>8.2209929230203191E-2</v>
      </c>
      <c r="O49" s="103">
        <f t="shared" si="40"/>
        <v>7.5727992210883097E-2</v>
      </c>
      <c r="P49" s="103">
        <f t="shared" si="40"/>
        <v>7.5868369620619713E-2</v>
      </c>
      <c r="Q49" s="103">
        <f t="shared" si="40"/>
        <v>8.5218838919043582E-2</v>
      </c>
      <c r="R49" s="103">
        <f t="shared" si="40"/>
        <v>8.1434775065192797E-2</v>
      </c>
      <c r="S49" s="103">
        <f t="shared" si="40"/>
        <v>6.6712321081056666E-2</v>
      </c>
      <c r="T49" s="103">
        <f t="shared" si="40"/>
        <v>5.4785845110361248E-2</v>
      </c>
      <c r="U49" s="103">
        <f t="shared" si="40"/>
        <v>5.0815036292251273E-2</v>
      </c>
      <c r="V49" s="103">
        <f t="shared" si="40"/>
        <v>9.3475484530694181E-2</v>
      </c>
      <c r="W49" s="103">
        <f t="shared" ref="W49:Y49" si="41">IF(W7=0,0,W7/W$3)</f>
        <v>7.0531272876386511E-2</v>
      </c>
      <c r="X49" s="103">
        <f t="shared" si="41"/>
        <v>4.4251340410047531E-2</v>
      </c>
      <c r="Y49" s="103">
        <f t="shared" si="41"/>
        <v>4.8178544463841386E-2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0.73883036151661807</v>
      </c>
      <c r="C50" s="103">
        <f t="shared" si="42"/>
        <v>0.73818737215954988</v>
      </c>
      <c r="D50" s="103">
        <f t="shared" ref="D50:V50" si="43">IF(D8=0,0,D8/D$3)</f>
        <v>0.71654487460174665</v>
      </c>
      <c r="E50" s="103">
        <f t="shared" si="43"/>
        <v>0.70289011447891281</v>
      </c>
      <c r="F50" s="103">
        <f t="shared" si="43"/>
        <v>0.70906389386166491</v>
      </c>
      <c r="G50" s="103">
        <f t="shared" si="43"/>
        <v>0.74092642930802943</v>
      </c>
      <c r="H50" s="103">
        <f t="shared" si="43"/>
        <v>0.74810845566568696</v>
      </c>
      <c r="I50" s="103">
        <f t="shared" si="43"/>
        <v>0.7574973275481115</v>
      </c>
      <c r="J50" s="103">
        <f t="shared" si="43"/>
        <v>0.76365907905357222</v>
      </c>
      <c r="K50" s="103">
        <f t="shared" si="43"/>
        <v>0.75438106612978817</v>
      </c>
      <c r="L50" s="103">
        <f t="shared" si="43"/>
        <v>0.77993761381090698</v>
      </c>
      <c r="M50" s="103">
        <f t="shared" si="43"/>
        <v>0.77427492308349921</v>
      </c>
      <c r="N50" s="103">
        <f t="shared" si="43"/>
        <v>0.78930366039809441</v>
      </c>
      <c r="O50" s="103">
        <f t="shared" si="43"/>
        <v>0.80287593426300563</v>
      </c>
      <c r="P50" s="103">
        <f t="shared" si="43"/>
        <v>0.80648622998272412</v>
      </c>
      <c r="Q50" s="103">
        <f t="shared" si="43"/>
        <v>0.79815843921006413</v>
      </c>
      <c r="R50" s="103">
        <f t="shared" si="43"/>
        <v>0.81097238988970199</v>
      </c>
      <c r="S50" s="103">
        <f t="shared" si="43"/>
        <v>0.83680544699189163</v>
      </c>
      <c r="T50" s="103">
        <f t="shared" si="43"/>
        <v>0.84560799305164547</v>
      </c>
      <c r="U50" s="103">
        <f t="shared" si="43"/>
        <v>0.85150929900631911</v>
      </c>
      <c r="V50" s="103">
        <f t="shared" si="43"/>
        <v>0.73158915638185518</v>
      </c>
      <c r="W50" s="103">
        <f t="shared" ref="W50:Y50" si="44">IF(W8=0,0,W8/W$3)</f>
        <v>0.7846122347142569</v>
      </c>
      <c r="X50" s="103">
        <f t="shared" si="44"/>
        <v>0.85943887602770819</v>
      </c>
      <c r="Y50" s="103">
        <f t="shared" si="44"/>
        <v>0.85321661794933534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0.14568602576128856</v>
      </c>
      <c r="C51" s="103">
        <f t="shared" si="45"/>
        <v>0.14556322848117165</v>
      </c>
      <c r="D51" s="103">
        <f t="shared" ref="D51:V51" si="46">IF(D9=0,0,D9/D$3)</f>
        <v>0.14127707458096772</v>
      </c>
      <c r="E51" s="103">
        <f t="shared" si="46"/>
        <v>0.13851507850412123</v>
      </c>
      <c r="F51" s="103">
        <f t="shared" si="46"/>
        <v>0.13969636127246046</v>
      </c>
      <c r="G51" s="103">
        <f t="shared" si="46"/>
        <v>0.1314441377396737</v>
      </c>
      <c r="H51" s="103">
        <f t="shared" si="46"/>
        <v>0.11826144958409231</v>
      </c>
      <c r="I51" s="103">
        <f t="shared" si="46"/>
        <v>0.11348517516760753</v>
      </c>
      <c r="J51" s="103">
        <f t="shared" si="46"/>
        <v>0.12164444135383444</v>
      </c>
      <c r="K51" s="103">
        <f t="shared" si="46"/>
        <v>0.1217486155678465</v>
      </c>
      <c r="L51" s="103">
        <f t="shared" si="46"/>
        <v>0.12415269250383523</v>
      </c>
      <c r="M51" s="103">
        <f t="shared" si="46"/>
        <v>0.12609826030782001</v>
      </c>
      <c r="N51" s="103">
        <f t="shared" si="46"/>
        <v>0.12408300549639706</v>
      </c>
      <c r="O51" s="103">
        <f t="shared" si="46"/>
        <v>0.11655853205837276</v>
      </c>
      <c r="P51" s="103">
        <f t="shared" si="46"/>
        <v>0.11309532882127332</v>
      </c>
      <c r="Q51" s="103">
        <f t="shared" si="46"/>
        <v>0.11201128658275414</v>
      </c>
      <c r="R51" s="103">
        <f t="shared" si="46"/>
        <v>0.10363641704330005</v>
      </c>
      <c r="S51" s="103">
        <f t="shared" si="46"/>
        <v>9.3226303710254046E-2</v>
      </c>
      <c r="T51" s="103">
        <f t="shared" si="46"/>
        <v>9.3330112026840398E-2</v>
      </c>
      <c r="U51" s="103">
        <f t="shared" si="46"/>
        <v>9.3402254633586382E-2</v>
      </c>
      <c r="V51" s="103">
        <f t="shared" si="46"/>
        <v>0.16604135377863216</v>
      </c>
      <c r="W51" s="103">
        <f t="shared" ref="W51:Y51" si="47">IF(W9=0,0,W9/W$3)</f>
        <v>0.13850862647343681</v>
      </c>
      <c r="X51" s="103">
        <f t="shared" si="47"/>
        <v>9.3344627628288143E-2</v>
      </c>
      <c r="Y51" s="103">
        <f t="shared" si="47"/>
        <v>9.4898544335918433E-2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6.2068803067758249E-3</v>
      </c>
      <c r="C52" s="17">
        <f t="shared" si="48"/>
        <v>7.3500011089948922E-3</v>
      </c>
      <c r="D52" s="17">
        <f t="shared" ref="D52:V52" si="49">IF(D10=0,0,D10/D$3)</f>
        <v>7.7355259576463607E-3</v>
      </c>
      <c r="E52" s="17">
        <f t="shared" si="49"/>
        <v>7.3420425137340692E-3</v>
      </c>
      <c r="F52" s="17">
        <f t="shared" si="49"/>
        <v>6.5529491241271103E-3</v>
      </c>
      <c r="G52" s="17">
        <f t="shared" si="49"/>
        <v>6.5050987351379947E-3</v>
      </c>
      <c r="H52" s="17">
        <f t="shared" si="49"/>
        <v>6.4468933578236062E-3</v>
      </c>
      <c r="I52" s="17">
        <f t="shared" si="49"/>
        <v>7.3477355775862776E-3</v>
      </c>
      <c r="J52" s="17">
        <f t="shared" si="49"/>
        <v>6.7995213507561318E-3</v>
      </c>
      <c r="K52" s="17">
        <f t="shared" si="49"/>
        <v>7.6136976703992188E-3</v>
      </c>
      <c r="L52" s="17">
        <f t="shared" si="49"/>
        <v>5.3150823296169566E-3</v>
      </c>
      <c r="M52" s="17">
        <f t="shared" si="49"/>
        <v>4.775869348774853E-3</v>
      </c>
      <c r="N52" s="17">
        <f t="shared" si="49"/>
        <v>4.4034048753054814E-3</v>
      </c>
      <c r="O52" s="17">
        <f t="shared" si="49"/>
        <v>4.8375414677384251E-3</v>
      </c>
      <c r="P52" s="17">
        <f t="shared" si="49"/>
        <v>4.5500715753829515E-3</v>
      </c>
      <c r="Q52" s="17">
        <f t="shared" si="49"/>
        <v>4.6114352881380999E-3</v>
      </c>
      <c r="R52" s="17">
        <f t="shared" si="49"/>
        <v>3.9564180018051304E-3</v>
      </c>
      <c r="S52" s="17">
        <f t="shared" si="49"/>
        <v>3.2559282167974146E-3</v>
      </c>
      <c r="T52" s="17">
        <f t="shared" si="49"/>
        <v>6.2760498111528269E-3</v>
      </c>
      <c r="U52" s="17">
        <f t="shared" si="49"/>
        <v>4.2734100678432233E-3</v>
      </c>
      <c r="V52" s="17">
        <f t="shared" si="49"/>
        <v>8.8940053088185402E-3</v>
      </c>
      <c r="W52" s="17">
        <f t="shared" ref="W52:Y52" si="50">IF(W10=0,0,W10/W$3)</f>
        <v>6.3478659359198584E-3</v>
      </c>
      <c r="X52" s="17">
        <f t="shared" si="50"/>
        <v>2.9651559339563126E-3</v>
      </c>
      <c r="Y52" s="17">
        <f t="shared" si="50"/>
        <v>3.7062932509048839E-3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1.8345050733085636E-3</v>
      </c>
      <c r="C53" s="104">
        <f t="shared" si="51"/>
        <v>2.2118392383423066E-3</v>
      </c>
      <c r="D53" s="104">
        <f t="shared" ref="D53:V53" si="52">IF(D11=0,0,D11/D$3)</f>
        <v>2.2963289437352794E-3</v>
      </c>
      <c r="E53" s="104">
        <f t="shared" si="52"/>
        <v>2.1203832420260207E-3</v>
      </c>
      <c r="F53" s="104">
        <f t="shared" si="52"/>
        <v>1.8877422326520977E-3</v>
      </c>
      <c r="G53" s="104">
        <f t="shared" si="52"/>
        <v>1.9373231632125909E-3</v>
      </c>
      <c r="H53" s="104">
        <f t="shared" si="52"/>
        <v>2.4148584467657856E-3</v>
      </c>
      <c r="I53" s="104">
        <f t="shared" si="52"/>
        <v>2.7704747791311465E-3</v>
      </c>
      <c r="J53" s="104">
        <f t="shared" si="52"/>
        <v>2.2911449118775936E-3</v>
      </c>
      <c r="K53" s="104">
        <f t="shared" si="52"/>
        <v>1.756667673535617E-3</v>
      </c>
      <c r="L53" s="104">
        <f t="shared" si="52"/>
        <v>1.2556944744756184E-3</v>
      </c>
      <c r="M53" s="104">
        <f t="shared" si="52"/>
        <v>1.0985114614261696E-3</v>
      </c>
      <c r="N53" s="104">
        <f t="shared" si="52"/>
        <v>8.168326023601151E-4</v>
      </c>
      <c r="O53" s="104">
        <f t="shared" si="52"/>
        <v>6.3034401099960468E-4</v>
      </c>
      <c r="P53" s="104">
        <f t="shared" si="52"/>
        <v>4.8996660126299706E-4</v>
      </c>
      <c r="Q53" s="104">
        <f t="shared" si="52"/>
        <v>4.9122611983004529E-4</v>
      </c>
      <c r="R53" s="104">
        <f t="shared" si="52"/>
        <v>3.2839951572829145E-4</v>
      </c>
      <c r="S53" s="104">
        <f t="shared" si="52"/>
        <v>2.6388396967203767E-4</v>
      </c>
      <c r="T53" s="104">
        <f t="shared" si="52"/>
        <v>1.7799255535243952E-4</v>
      </c>
      <c r="U53" s="104">
        <f t="shared" si="52"/>
        <v>1.3523993729009577E-4</v>
      </c>
      <c r="V53" s="104">
        <f t="shared" si="52"/>
        <v>8.9435989380530059E-5</v>
      </c>
      <c r="W53" s="104">
        <f t="shared" ref="W53:Y53" si="53">IF(W11=0,0,W11/W$3)</f>
        <v>4.1024167067992347E-5</v>
      </c>
      <c r="X53" s="104">
        <f t="shared" si="53"/>
        <v>3.0738033855083107E-5</v>
      </c>
      <c r="Y53" s="104">
        <f t="shared" si="53"/>
        <v>2.4196806669040969E-5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3.7994301546745829E-3</v>
      </c>
      <c r="C54" s="104">
        <f t="shared" si="54"/>
        <v>4.4845812682319745E-3</v>
      </c>
      <c r="D54" s="104">
        <f t="shared" ref="D54:V54" si="55">IF(D12=0,0,D12/D$3)</f>
        <v>4.7631421779372081E-3</v>
      </c>
      <c r="E54" s="104">
        <f t="shared" si="55"/>
        <v>4.4506115104542311E-3</v>
      </c>
      <c r="F54" s="104">
        <f t="shared" si="55"/>
        <v>3.9925663978862946E-3</v>
      </c>
      <c r="G54" s="104">
        <f t="shared" si="55"/>
        <v>3.8993537299347723E-3</v>
      </c>
      <c r="H54" s="104">
        <f t="shared" si="55"/>
        <v>3.5400752273535034E-3</v>
      </c>
      <c r="I54" s="104">
        <f t="shared" si="55"/>
        <v>4.1228361440736631E-3</v>
      </c>
      <c r="J54" s="104">
        <f t="shared" si="55"/>
        <v>4.1150026508767496E-3</v>
      </c>
      <c r="K54" s="104">
        <f t="shared" si="55"/>
        <v>5.5721345641653614E-3</v>
      </c>
      <c r="L54" s="104">
        <f t="shared" si="55"/>
        <v>3.77904464152853E-3</v>
      </c>
      <c r="M54" s="104">
        <f t="shared" si="55"/>
        <v>2.6669119594074668E-3</v>
      </c>
      <c r="N54" s="104">
        <f t="shared" si="55"/>
        <v>2.8647480102252589E-3</v>
      </c>
      <c r="O54" s="104">
        <f t="shared" si="55"/>
        <v>2.7455243073412814E-3</v>
      </c>
      <c r="P54" s="104">
        <f t="shared" si="55"/>
        <v>2.3079597925333871E-3</v>
      </c>
      <c r="Q54" s="104">
        <f t="shared" si="55"/>
        <v>2.2498317807991114E-3</v>
      </c>
      <c r="R54" s="104">
        <f t="shared" si="55"/>
        <v>1.9899951981260247E-3</v>
      </c>
      <c r="S54" s="104">
        <f t="shared" si="55"/>
        <v>1.5621456929867297E-3</v>
      </c>
      <c r="T54" s="104">
        <f t="shared" si="55"/>
        <v>1.6201603431439365E-3</v>
      </c>
      <c r="U54" s="104">
        <f t="shared" si="55"/>
        <v>1.638986781795318E-3</v>
      </c>
      <c r="V54" s="104">
        <f t="shared" si="55"/>
        <v>7.3295346507540483E-3</v>
      </c>
      <c r="W54" s="104">
        <f t="shared" ref="W54:Y54" si="56">IF(W12=0,0,W12/W$3)</f>
        <v>5.0577937077341782E-3</v>
      </c>
      <c r="X54" s="104">
        <f t="shared" si="56"/>
        <v>2.7312521782710503E-3</v>
      </c>
      <c r="Y54" s="104">
        <f t="shared" si="56"/>
        <v>3.5402108921173676E-3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5.729450787926787E-4</v>
      </c>
      <c r="C55" s="105">
        <f t="shared" si="57"/>
        <v>6.5358060242061108E-4</v>
      </c>
      <c r="D55" s="105">
        <f t="shared" ref="D55:V55" si="58">IF(D13=0,0,D13/D$3)</f>
        <v>6.760548359738735E-4</v>
      </c>
      <c r="E55" s="105">
        <f t="shared" si="58"/>
        <v>7.7104776125381819E-4</v>
      </c>
      <c r="F55" s="105">
        <f t="shared" si="58"/>
        <v>6.7264049358871847E-4</v>
      </c>
      <c r="G55" s="105">
        <f t="shared" si="58"/>
        <v>6.6842184199063129E-4</v>
      </c>
      <c r="H55" s="105">
        <f t="shared" si="58"/>
        <v>4.9195968370431672E-4</v>
      </c>
      <c r="I55" s="105">
        <f t="shared" si="58"/>
        <v>4.5442465438146805E-4</v>
      </c>
      <c r="J55" s="105">
        <f t="shared" si="58"/>
        <v>3.9337378800178923E-4</v>
      </c>
      <c r="K55" s="105">
        <f t="shared" si="58"/>
        <v>2.8489543269824097E-4</v>
      </c>
      <c r="L55" s="105">
        <f t="shared" si="58"/>
        <v>2.803432136128092E-4</v>
      </c>
      <c r="M55" s="105">
        <f t="shared" si="58"/>
        <v>1.0104459279412174E-3</v>
      </c>
      <c r="N55" s="105">
        <f t="shared" si="58"/>
        <v>7.2182426272010753E-4</v>
      </c>
      <c r="O55" s="105">
        <f t="shared" si="58"/>
        <v>1.4616731493975385E-3</v>
      </c>
      <c r="P55" s="105">
        <f t="shared" si="58"/>
        <v>1.7521451815865677E-3</v>
      </c>
      <c r="Q55" s="105">
        <f t="shared" si="58"/>
        <v>1.870377387508943E-3</v>
      </c>
      <c r="R55" s="105">
        <f t="shared" si="58"/>
        <v>1.6380232879508142E-3</v>
      </c>
      <c r="S55" s="105">
        <f t="shared" si="58"/>
        <v>1.4298985541386475E-3</v>
      </c>
      <c r="T55" s="105">
        <f t="shared" si="58"/>
        <v>4.4778969126564507E-3</v>
      </c>
      <c r="U55" s="105">
        <f t="shared" si="58"/>
        <v>2.4991833487578098E-3</v>
      </c>
      <c r="V55" s="105">
        <f t="shared" si="58"/>
        <v>1.475034668683962E-3</v>
      </c>
      <c r="W55" s="105">
        <f t="shared" ref="W55:Y55" si="59">IF(W13=0,0,W13/W$3)</f>
        <v>1.2490480611176886E-3</v>
      </c>
      <c r="X55" s="105">
        <f t="shared" si="59"/>
        <v>2.0316572183017937E-4</v>
      </c>
      <c r="Y55" s="105">
        <f t="shared" si="59"/>
        <v>1.4188555211847509E-4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371.7037882354544</v>
      </c>
      <c r="C57" s="62">
        <v>371.6675433526334</v>
      </c>
      <c r="D57" s="62">
        <v>377.74218775374237</v>
      </c>
      <c r="E57" s="62">
        <v>381.73812132697162</v>
      </c>
      <c r="F57" s="62">
        <v>380.13461544385137</v>
      </c>
      <c r="G57" s="62">
        <v>372.05624394023857</v>
      </c>
      <c r="H57" s="62">
        <v>368.29218230785608</v>
      </c>
      <c r="I57" s="62">
        <v>367.56090684848544</v>
      </c>
      <c r="J57" s="62">
        <v>368.09603677056839</v>
      </c>
      <c r="K57" s="62">
        <v>368.52699039249109</v>
      </c>
      <c r="L57" s="62">
        <v>361.19159007129264</v>
      </c>
      <c r="M57" s="62">
        <v>366.42094088858312</v>
      </c>
      <c r="N57" s="62">
        <v>361.44461379312207</v>
      </c>
      <c r="O57" s="62">
        <v>358.64630718421813</v>
      </c>
      <c r="P57" s="62">
        <v>362.27045681994053</v>
      </c>
      <c r="Q57" s="62">
        <v>366.05437181636256</v>
      </c>
      <c r="R57" s="62">
        <v>368.33823414066507</v>
      </c>
      <c r="S57" s="62">
        <v>367.45714964501968</v>
      </c>
      <c r="T57" s="62">
        <v>379.34039927167697</v>
      </c>
      <c r="U57" s="62">
        <v>375.71561910067072</v>
      </c>
      <c r="V57" s="62">
        <v>387.27677885396974</v>
      </c>
      <c r="W57" s="62">
        <v>370.35605930506318</v>
      </c>
      <c r="X57" s="62">
        <v>361.64292270095416</v>
      </c>
      <c r="Y57" s="62">
        <v>368.51517860094771</v>
      </c>
      <c r="DA57" s="172" t="s">
        <v>314</v>
      </c>
    </row>
    <row r="58" spans="1:105" ht="11.45" customHeight="1" x14ac:dyDescent="0.25">
      <c r="A58" s="10" t="s">
        <v>33</v>
      </c>
      <c r="B58" s="14">
        <v>371.90929652194495</v>
      </c>
      <c r="C58" s="14">
        <v>371.90956683668253</v>
      </c>
      <c r="D58" s="14">
        <v>378.03693550718521</v>
      </c>
      <c r="E58" s="14">
        <v>382.0398597162573</v>
      </c>
      <c r="F58" s="14">
        <v>380.39589857108064</v>
      </c>
      <c r="G58" s="14">
        <v>372.28779429453948</v>
      </c>
      <c r="H58" s="14">
        <v>368.47155880484581</v>
      </c>
      <c r="I58" s="14">
        <v>367.72015525884734</v>
      </c>
      <c r="J58" s="14">
        <v>368.22139689049789</v>
      </c>
      <c r="K58" s="14">
        <v>368.61359158793829</v>
      </c>
      <c r="L58" s="14">
        <v>361.19821139463403</v>
      </c>
      <c r="M58" s="14">
        <v>366.31713269668103</v>
      </c>
      <c r="N58" s="14">
        <v>361.2195129327593</v>
      </c>
      <c r="O58" s="14">
        <v>358.25522786944691</v>
      </c>
      <c r="P58" s="14">
        <v>361.73374537455715</v>
      </c>
      <c r="Q58" s="14">
        <v>365.23764269084353</v>
      </c>
      <c r="R58" s="14">
        <v>367.52067742596449</v>
      </c>
      <c r="S58" s="14">
        <v>366.66846738873068</v>
      </c>
      <c r="T58" s="14">
        <v>376.37924592389379</v>
      </c>
      <c r="U58" s="14">
        <v>374.17819982713229</v>
      </c>
      <c r="V58" s="14">
        <v>387.09434669319222</v>
      </c>
      <c r="W58" s="14">
        <v>370.13340918430032</v>
      </c>
      <c r="X58" s="14">
        <v>361.60053426197879</v>
      </c>
      <c r="Y58" s="14">
        <v>368.51537510990426</v>
      </c>
      <c r="DA58" s="189" t="s">
        <v>315</v>
      </c>
    </row>
    <row r="59" spans="1:105" ht="11.45" customHeight="1" x14ac:dyDescent="0.25">
      <c r="A59" s="83" t="s">
        <v>27</v>
      </c>
      <c r="B59" s="87">
        <v>617.30244686433582</v>
      </c>
      <c r="C59" s="87">
        <v>617.30244686433582</v>
      </c>
      <c r="D59" s="87">
        <v>617.30244686433582</v>
      </c>
      <c r="E59" s="87">
        <v>617.30244686433582</v>
      </c>
      <c r="F59" s="87">
        <v>617.30244686433582</v>
      </c>
      <c r="G59" s="87">
        <v>611.02052424876968</v>
      </c>
      <c r="H59" s="87">
        <v>620.62942092792935</v>
      </c>
      <c r="I59" s="87">
        <v>620.35922607924681</v>
      </c>
      <c r="J59" s="87">
        <v>624.16882661325133</v>
      </c>
      <c r="K59" s="87">
        <v>631.79865725342029</v>
      </c>
      <c r="L59" s="87">
        <v>621.43491096584262</v>
      </c>
      <c r="M59" s="87">
        <v>645.50789469798144</v>
      </c>
      <c r="N59" s="87">
        <v>667.74350121048985</v>
      </c>
      <c r="O59" s="87">
        <v>659.05873136560342</v>
      </c>
      <c r="P59" s="87">
        <v>659.3859912348712</v>
      </c>
      <c r="Q59" s="87">
        <v>657.13484637984584</v>
      </c>
      <c r="R59" s="87">
        <v>646.12261531569641</v>
      </c>
      <c r="S59" s="87">
        <v>640.91662654369986</v>
      </c>
      <c r="T59" s="87">
        <v>641.83437220599342</v>
      </c>
      <c r="U59" s="87">
        <v>637.87985577272502</v>
      </c>
      <c r="V59" s="87">
        <v>643.84419287014771</v>
      </c>
      <c r="W59" s="87">
        <v>636.35355871444381</v>
      </c>
      <c r="X59" s="87">
        <v>644.25581745811576</v>
      </c>
      <c r="Y59" s="87">
        <v>645.95241283990083</v>
      </c>
      <c r="DA59" s="171" t="s">
        <v>316</v>
      </c>
    </row>
    <row r="60" spans="1:105" ht="11.45" customHeight="1" x14ac:dyDescent="0.25">
      <c r="A60" s="83" t="s">
        <v>181</v>
      </c>
      <c r="B60" s="87">
        <v>343.16310745993189</v>
      </c>
      <c r="C60" s="87">
        <v>343.1625241504924</v>
      </c>
      <c r="D60" s="87">
        <v>343.15976722708535</v>
      </c>
      <c r="E60" s="87">
        <v>343.15632947571697</v>
      </c>
      <c r="F60" s="87">
        <v>343.1534953333715</v>
      </c>
      <c r="G60" s="87">
        <v>341.25349102003463</v>
      </c>
      <c r="H60" s="87">
        <v>339.58213103182612</v>
      </c>
      <c r="I60" s="87">
        <v>338.90073047336216</v>
      </c>
      <c r="J60" s="87">
        <v>336.37590433985213</v>
      </c>
      <c r="K60" s="87">
        <v>334.20310669758118</v>
      </c>
      <c r="L60" s="87">
        <v>331.88529354852653</v>
      </c>
      <c r="M60" s="87">
        <v>334.20706232981939</v>
      </c>
      <c r="N60" s="87">
        <v>329.31604338076204</v>
      </c>
      <c r="O60" s="87">
        <v>326.19419592108642</v>
      </c>
      <c r="P60" s="87">
        <v>325.16756152715203</v>
      </c>
      <c r="Q60" s="87">
        <v>324.15893386206221</v>
      </c>
      <c r="R60" s="87">
        <v>323.04278760868755</v>
      </c>
      <c r="S60" s="87">
        <v>321.4292458870238</v>
      </c>
      <c r="T60" s="87">
        <v>320.54637384695042</v>
      </c>
      <c r="U60" s="87">
        <v>320.38010455255181</v>
      </c>
      <c r="V60" s="87">
        <v>324.07729385604875</v>
      </c>
      <c r="W60" s="87">
        <v>319.08325419983447</v>
      </c>
      <c r="X60" s="87">
        <v>320.34752337267253</v>
      </c>
      <c r="Y60" s="87">
        <v>321.67935126240127</v>
      </c>
      <c r="DA60" s="171" t="s">
        <v>317</v>
      </c>
    </row>
    <row r="61" spans="1:105" ht="11.45" customHeight="1" x14ac:dyDescent="0.25">
      <c r="A61" s="83" t="s">
        <v>182</v>
      </c>
      <c r="B61" s="87">
        <v>358.59134546689285</v>
      </c>
      <c r="C61" s="87">
        <v>358.59134546689285</v>
      </c>
      <c r="D61" s="87">
        <v>358.59134546689285</v>
      </c>
      <c r="E61" s="87">
        <v>358.59134546689279</v>
      </c>
      <c r="F61" s="87">
        <v>358.59134546689285</v>
      </c>
      <c r="G61" s="87">
        <v>362.25572983851691</v>
      </c>
      <c r="H61" s="87">
        <v>377.3316869287101</v>
      </c>
      <c r="I61" s="87">
        <v>373.01551119710246</v>
      </c>
      <c r="J61" s="87">
        <v>368.03429627631044</v>
      </c>
      <c r="K61" s="87">
        <v>371.77486302494674</v>
      </c>
      <c r="L61" s="87">
        <v>364.43750615366957</v>
      </c>
      <c r="M61" s="87">
        <v>364.4303518520523</v>
      </c>
      <c r="N61" s="87">
        <v>367.3913085227469</v>
      </c>
      <c r="O61" s="87">
        <v>393.23764016297969</v>
      </c>
      <c r="P61" s="87">
        <v>420.84283812137119</v>
      </c>
      <c r="Q61" s="87">
        <v>442.88504365221729</v>
      </c>
      <c r="R61" s="87">
        <v>465.83668714780998</v>
      </c>
      <c r="S61" s="87">
        <v>490.93506149582566</v>
      </c>
      <c r="T61" s="87">
        <v>526.06926223251048</v>
      </c>
      <c r="U61" s="87">
        <v>531.54100336117426</v>
      </c>
      <c r="V61" s="87">
        <v>521.40746130147602</v>
      </c>
      <c r="W61" s="87">
        <v>483.90382219470894</v>
      </c>
      <c r="X61" s="87">
        <v>567.73141831279304</v>
      </c>
      <c r="Y61" s="87">
        <v>581.79080718337275</v>
      </c>
      <c r="DA61" s="171" t="s">
        <v>318</v>
      </c>
    </row>
    <row r="62" spans="1:105" ht="11.45" customHeight="1" x14ac:dyDescent="0.25">
      <c r="A62" s="12" t="s">
        <v>34</v>
      </c>
      <c r="B62" s="15">
        <v>329.48690707428034</v>
      </c>
      <c r="C62" s="15">
        <v>329.30138561674914</v>
      </c>
      <c r="D62" s="15">
        <v>329.22176644374599</v>
      </c>
      <c r="E62" s="15">
        <v>330.17060855740408</v>
      </c>
      <c r="F62" s="15">
        <v>330.06808208026092</v>
      </c>
      <c r="G62" s="15">
        <v>328.44432255305463</v>
      </c>
      <c r="H62" s="15">
        <v>331.88009423557452</v>
      </c>
      <c r="I62" s="15">
        <v>338.25803427299866</v>
      </c>
      <c r="J62" s="15">
        <v>343.02992101778597</v>
      </c>
      <c r="K62" s="15">
        <v>354.92779408897439</v>
      </c>
      <c r="L62" s="15">
        <v>359.59595421122856</v>
      </c>
      <c r="M62" s="15">
        <v>393.92825310743132</v>
      </c>
      <c r="N62" s="15">
        <v>429.45094264237571</v>
      </c>
      <c r="O62" s="15">
        <v>458.63201663220974</v>
      </c>
      <c r="P62" s="15">
        <v>511.42434125110174</v>
      </c>
      <c r="Q62" s="15">
        <v>591.25588049299267</v>
      </c>
      <c r="R62" s="15">
        <v>604.24716357719888</v>
      </c>
      <c r="S62" s="15">
        <v>619.22740009340816</v>
      </c>
      <c r="T62" s="15">
        <v>748.24110550605928</v>
      </c>
      <c r="U62" s="15">
        <v>667.12145988206828</v>
      </c>
      <c r="V62" s="15">
        <v>410.9545662852567</v>
      </c>
      <c r="W62" s="15">
        <v>407.19019973477521</v>
      </c>
      <c r="X62" s="15">
        <v>374.63851713136637</v>
      </c>
      <c r="Y62" s="15">
        <v>368.45745079674123</v>
      </c>
      <c r="DA62" s="193" t="s">
        <v>319</v>
      </c>
    </row>
    <row r="63" spans="1:105" ht="11.45" customHeight="1" x14ac:dyDescent="0.25">
      <c r="A63" s="92" t="s">
        <v>27</v>
      </c>
      <c r="B63" s="101">
        <v>1007.2045392900575</v>
      </c>
      <c r="C63" s="101">
        <v>1007.2045392900575</v>
      </c>
      <c r="D63" s="101">
        <v>1007.2045392900575</v>
      </c>
      <c r="E63" s="101">
        <v>1007.2045392900574</v>
      </c>
      <c r="F63" s="101">
        <v>1007.2045392900574</v>
      </c>
      <c r="G63" s="101">
        <v>986.60982684729856</v>
      </c>
      <c r="H63" s="101">
        <v>892.90886196038298</v>
      </c>
      <c r="I63" s="101">
        <v>798.36007189172608</v>
      </c>
      <c r="J63" s="101">
        <v>731.11150075322428</v>
      </c>
      <c r="K63" s="101">
        <v>681.03045785215284</v>
      </c>
      <c r="L63" s="101">
        <v>620.83950981817452</v>
      </c>
      <c r="M63" s="101">
        <v>830.74049550706127</v>
      </c>
      <c r="N63" s="101">
        <v>1345.7473989871914</v>
      </c>
      <c r="O63" s="101">
        <v>1221.2482008004388</v>
      </c>
      <c r="P63" s="101">
        <v>1152.4098316314635</v>
      </c>
      <c r="Q63" s="101">
        <v>1083.1152038328887</v>
      </c>
      <c r="R63" s="101">
        <v>997.08073144801165</v>
      </c>
      <c r="S63" s="101">
        <v>938.861683271522</v>
      </c>
      <c r="T63" s="101">
        <v>901.83518872269917</v>
      </c>
      <c r="U63" s="101">
        <v>718.15250268851582</v>
      </c>
      <c r="V63" s="101">
        <v>718.15250268851594</v>
      </c>
      <c r="W63" s="101">
        <v>718.15250268851582</v>
      </c>
      <c r="X63" s="101">
        <v>718.15250268851594</v>
      </c>
      <c r="Y63" s="101">
        <v>637.1988858953091</v>
      </c>
      <c r="DA63" s="175" t="s">
        <v>320</v>
      </c>
    </row>
    <row r="64" spans="1:105" ht="11.45" customHeight="1" x14ac:dyDescent="0.25">
      <c r="A64" s="92" t="s">
        <v>181</v>
      </c>
      <c r="B64" s="101">
        <v>323.02050862544473</v>
      </c>
      <c r="C64" s="101">
        <v>323.00874131903817</v>
      </c>
      <c r="D64" s="101">
        <v>323.08304135674223</v>
      </c>
      <c r="E64" s="101">
        <v>322.84736680750024</v>
      </c>
      <c r="F64" s="101">
        <v>322.93030175438673</v>
      </c>
      <c r="G64" s="101">
        <v>322.62569087099831</v>
      </c>
      <c r="H64" s="101">
        <v>328.43876857949442</v>
      </c>
      <c r="I64" s="101">
        <v>336.96890380709442</v>
      </c>
      <c r="J64" s="101">
        <v>343.68825909229906</v>
      </c>
      <c r="K64" s="101">
        <v>356.72515449412572</v>
      </c>
      <c r="L64" s="101">
        <v>364.93264180942185</v>
      </c>
      <c r="M64" s="101">
        <v>386.95105897780047</v>
      </c>
      <c r="N64" s="101">
        <v>402.87835809681201</v>
      </c>
      <c r="O64" s="101">
        <v>391.63157515808479</v>
      </c>
      <c r="P64" s="101">
        <v>387.28143963515788</v>
      </c>
      <c r="Q64" s="101">
        <v>382.84497140514077</v>
      </c>
      <c r="R64" s="101">
        <v>376.94771536556385</v>
      </c>
      <c r="S64" s="101">
        <v>368.84846192106022</v>
      </c>
      <c r="T64" s="101">
        <v>360.66595227039875</v>
      </c>
      <c r="U64" s="101">
        <v>347.05124285964695</v>
      </c>
      <c r="V64" s="101">
        <v>375.42931790571004</v>
      </c>
      <c r="W64" s="101">
        <v>366.46526148586685</v>
      </c>
      <c r="X64" s="101">
        <v>358.19900100560972</v>
      </c>
      <c r="Y64" s="101">
        <v>355.33153127970985</v>
      </c>
      <c r="DA64" s="175" t="s">
        <v>321</v>
      </c>
    </row>
    <row r="65" spans="1:105" ht="11.45" customHeight="1" x14ac:dyDescent="0.25">
      <c r="A65" s="85" t="s">
        <v>182</v>
      </c>
      <c r="B65" s="88">
        <v>369.5382576787789</v>
      </c>
      <c r="C65" s="88">
        <v>369.53825767877885</v>
      </c>
      <c r="D65" s="88">
        <v>369.53825767877885</v>
      </c>
      <c r="E65" s="88">
        <v>369.5382576787789</v>
      </c>
      <c r="F65" s="88">
        <v>369.5382576787789</v>
      </c>
      <c r="G65" s="88">
        <v>368.37831360338578</v>
      </c>
      <c r="H65" s="88">
        <v>361.00952777566528</v>
      </c>
      <c r="I65" s="88">
        <v>349.45756348661075</v>
      </c>
      <c r="J65" s="88">
        <v>337.95629944179882</v>
      </c>
      <c r="K65" s="88">
        <v>328.58255353206971</v>
      </c>
      <c r="L65" s="88">
        <v>316.77007319301549</v>
      </c>
      <c r="M65" s="88">
        <v>406.08786548467594</v>
      </c>
      <c r="N65" s="88">
        <v>512.81945468070194</v>
      </c>
      <c r="O65" s="88">
        <v>592.54468314955864</v>
      </c>
      <c r="P65" s="88">
        <v>724.453714553753</v>
      </c>
      <c r="Q65" s="88">
        <v>914.91017129266504</v>
      </c>
      <c r="R65" s="88">
        <v>906.61680103207186</v>
      </c>
      <c r="S65" s="88">
        <v>888.14527084513452</v>
      </c>
      <c r="T65" s="88">
        <v>850.92526422448532</v>
      </c>
      <c r="U65" s="88">
        <v>844.91295535278789</v>
      </c>
      <c r="V65" s="88">
        <v>606.97361153636257</v>
      </c>
      <c r="W65" s="88">
        <v>542.74838126140355</v>
      </c>
      <c r="X65" s="88">
        <v>570.02429200441054</v>
      </c>
      <c r="Y65" s="88">
        <v>584.29377657641624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1.1696859459944826</v>
      </c>
      <c r="C67" s="59">
        <f t="shared" ref="C67:W67" si="61">IF(C3=0,0,C17/C57)</f>
        <v>1.1674059178591152</v>
      </c>
      <c r="D67" s="59">
        <f t="shared" si="61"/>
        <v>1.1516171987423589</v>
      </c>
      <c r="E67" s="59">
        <f t="shared" si="61"/>
        <v>1.1418405306146886</v>
      </c>
      <c r="F67" s="59">
        <f t="shared" si="61"/>
        <v>1.1451865955172349</v>
      </c>
      <c r="G67" s="59">
        <f t="shared" si="61"/>
        <v>1.130868467596055</v>
      </c>
      <c r="H67" s="59">
        <f t="shared" si="61"/>
        <v>1.0525645922021649</v>
      </c>
      <c r="I67" s="59">
        <f t="shared" si="61"/>
        <v>1.0443721880706132</v>
      </c>
      <c r="J67" s="59">
        <f t="shared" si="61"/>
        <v>1.1569933371362</v>
      </c>
      <c r="K67" s="59">
        <f t="shared" si="61"/>
        <v>1.0035228958140026</v>
      </c>
      <c r="L67" s="59">
        <f t="shared" si="61"/>
        <v>1.0169488939406095</v>
      </c>
      <c r="M67" s="59">
        <f t="shared" si="61"/>
        <v>1.0888981358419638</v>
      </c>
      <c r="N67" s="59">
        <f t="shared" si="61"/>
        <v>1.1018193783186867</v>
      </c>
      <c r="O67" s="59">
        <f t="shared" si="61"/>
        <v>1.1345640529481991</v>
      </c>
      <c r="P67" s="59">
        <f t="shared" si="61"/>
        <v>1.0613339654822764</v>
      </c>
      <c r="Q67" s="59">
        <f t="shared" si="61"/>
        <v>0.97067357116940489</v>
      </c>
      <c r="R67" s="59">
        <f t="shared" si="61"/>
        <v>0.8966847538757311</v>
      </c>
      <c r="S67" s="59">
        <f t="shared" si="61"/>
        <v>0.91345853224271101</v>
      </c>
      <c r="T67" s="59">
        <f t="shared" si="61"/>
        <v>0.95700274322329382</v>
      </c>
      <c r="U67" s="59">
        <f t="shared" si="61"/>
        <v>0.99097453598755059</v>
      </c>
      <c r="V67" s="59">
        <f t="shared" si="61"/>
        <v>1.030468699688101</v>
      </c>
      <c r="W67" s="59">
        <f t="shared" si="61"/>
        <v>1.033392943019837</v>
      </c>
      <c r="X67" s="59">
        <f t="shared" ref="X67:Y67" si="62">IF(X3=0,0,X17/X57)</f>
        <v>1.1160305544748672</v>
      </c>
      <c r="Y67" s="59">
        <f t="shared" si="62"/>
        <v>1.0925797452628596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1.1685850701644998</v>
      </c>
      <c r="C68" s="23">
        <f t="shared" ref="C68:W68" si="64">IF(C6=0,0,C18/C58)</f>
        <v>1.166069252535465</v>
      </c>
      <c r="D68" s="23">
        <f t="shared" si="64"/>
        <v>1.1501701090139487</v>
      </c>
      <c r="E68" s="23">
        <f t="shared" si="64"/>
        <v>1.140485272036601</v>
      </c>
      <c r="F68" s="23">
        <f t="shared" si="64"/>
        <v>1.1439901604821474</v>
      </c>
      <c r="G68" s="23">
        <f t="shared" si="64"/>
        <v>1.1299489417381792</v>
      </c>
      <c r="H68" s="23">
        <f t="shared" si="64"/>
        <v>1.0516373940908017</v>
      </c>
      <c r="I68" s="23">
        <f t="shared" si="64"/>
        <v>1.0434958898231308</v>
      </c>
      <c r="J68" s="23">
        <f t="shared" si="64"/>
        <v>1.1564482171115997</v>
      </c>
      <c r="K68" s="23">
        <f t="shared" si="64"/>
        <v>1.0033590146756692</v>
      </c>
      <c r="L68" s="23">
        <f t="shared" si="64"/>
        <v>1.0168920572609972</v>
      </c>
      <c r="M68" s="23">
        <f t="shared" si="64"/>
        <v>1.088938788024433</v>
      </c>
      <c r="N68" s="23">
        <f t="shared" si="64"/>
        <v>1.1016893988006977</v>
      </c>
      <c r="O68" s="23">
        <f t="shared" si="64"/>
        <v>1.1350738999663077</v>
      </c>
      <c r="P68" s="23">
        <f t="shared" si="64"/>
        <v>1.0621591913519339</v>
      </c>
      <c r="Q68" s="23">
        <f t="shared" si="64"/>
        <v>0.97209665036085624</v>
      </c>
      <c r="R68" s="23">
        <f t="shared" si="64"/>
        <v>0.89837763632158429</v>
      </c>
      <c r="S68" s="23">
        <f t="shared" si="64"/>
        <v>0.91544033923609769</v>
      </c>
      <c r="T68" s="23">
        <f t="shared" si="64"/>
        <v>0.96628433019688964</v>
      </c>
      <c r="U68" s="23">
        <f t="shared" si="64"/>
        <v>0.99613567950396942</v>
      </c>
      <c r="V68" s="23">
        <f t="shared" si="64"/>
        <v>1.0297549826248815</v>
      </c>
      <c r="W68" s="23">
        <f t="shared" si="64"/>
        <v>1.0337035866742277</v>
      </c>
      <c r="X68" s="23">
        <f t="shared" ref="X68:Y68" si="65">IF(X6=0,0,X18/X58)</f>
        <v>1.1165142943190152</v>
      </c>
      <c r="Y68" s="23">
        <f t="shared" si="65"/>
        <v>1.0922627655269503</v>
      </c>
      <c r="DA68" s="189"/>
    </row>
    <row r="69" spans="1:105" ht="11.45" customHeight="1" x14ac:dyDescent="0.25">
      <c r="A69" s="83" t="s">
        <v>27</v>
      </c>
      <c r="B69" s="91">
        <f t="shared" si="63"/>
        <v>0.80743942062519602</v>
      </c>
      <c r="C69" s="91">
        <f t="shared" ref="C69:W69" si="66">IF(C7=0,0,C19/C59)</f>
        <v>0.80382331947719832</v>
      </c>
      <c r="D69" s="91">
        <f t="shared" si="66"/>
        <v>0.80559711048511162</v>
      </c>
      <c r="E69" s="91">
        <f t="shared" si="66"/>
        <v>0.80726457596683754</v>
      </c>
      <c r="F69" s="91">
        <f t="shared" si="66"/>
        <v>0.80729327286502806</v>
      </c>
      <c r="G69" s="91">
        <f t="shared" si="66"/>
        <v>0.79499629463320531</v>
      </c>
      <c r="H69" s="91">
        <f t="shared" si="66"/>
        <v>0.90492504663321205</v>
      </c>
      <c r="I69" s="91">
        <f t="shared" si="66"/>
        <v>0.86078287297839051</v>
      </c>
      <c r="J69" s="91">
        <f t="shared" si="66"/>
        <v>0.78423612671590759</v>
      </c>
      <c r="K69" s="91">
        <f t="shared" si="66"/>
        <v>0.69853656949161236</v>
      </c>
      <c r="L69" s="91">
        <f t="shared" si="66"/>
        <v>0.64602929884755467</v>
      </c>
      <c r="M69" s="91">
        <f t="shared" si="66"/>
        <v>0.68142535636925528</v>
      </c>
      <c r="N69" s="91">
        <f t="shared" si="66"/>
        <v>0.65761566144748773</v>
      </c>
      <c r="O69" s="91">
        <f t="shared" si="66"/>
        <v>0.69141259100964392</v>
      </c>
      <c r="P69" s="91">
        <f t="shared" si="66"/>
        <v>0.62128663264685813</v>
      </c>
      <c r="Q69" s="91">
        <f t="shared" si="66"/>
        <v>0.69069434616066083</v>
      </c>
      <c r="R69" s="91">
        <f t="shared" si="66"/>
        <v>0.64449069200701781</v>
      </c>
      <c r="S69" s="91">
        <f t="shared" si="66"/>
        <v>0.62001884205492663</v>
      </c>
      <c r="T69" s="91">
        <f t="shared" si="66"/>
        <v>0.61722337492084323</v>
      </c>
      <c r="U69" s="91">
        <f t="shared" si="66"/>
        <v>0.61063723393046165</v>
      </c>
      <c r="V69" s="91">
        <f t="shared" si="66"/>
        <v>0.52586992105164021</v>
      </c>
      <c r="W69" s="91">
        <f t="shared" si="66"/>
        <v>0.53548794465081084</v>
      </c>
      <c r="X69" s="91">
        <f t="shared" ref="X69:Y69" si="67">IF(X7=0,0,X19/X59)</f>
        <v>0.59061522455974691</v>
      </c>
      <c r="Y69" s="91">
        <f t="shared" si="67"/>
        <v>0.60507118434703389</v>
      </c>
      <c r="DA69" s="171"/>
    </row>
    <row r="70" spans="1:105" ht="11.45" customHeight="1" x14ac:dyDescent="0.25">
      <c r="A70" s="83" t="s">
        <v>181</v>
      </c>
      <c r="B70" s="91">
        <f t="shared" si="63"/>
        <v>1.2646196567971366</v>
      </c>
      <c r="C70" s="91">
        <f t="shared" ref="C70:W70" si="68">IF(C8=0,0,C20/C60)</f>
        <v>1.262260418001576</v>
      </c>
      <c r="D70" s="91">
        <f t="shared" si="68"/>
        <v>1.2603982408297785</v>
      </c>
      <c r="E70" s="91">
        <f t="shared" si="68"/>
        <v>1.2594477091261644</v>
      </c>
      <c r="F70" s="91">
        <f t="shared" si="68"/>
        <v>1.2590909726063735</v>
      </c>
      <c r="G70" s="91">
        <f t="shared" si="68"/>
        <v>1.1894555427897022</v>
      </c>
      <c r="H70" s="91">
        <f t="shared" si="68"/>
        <v>1.0687459950993385</v>
      </c>
      <c r="I70" s="91">
        <f t="shared" si="68"/>
        <v>1.0884481247633608</v>
      </c>
      <c r="J70" s="91">
        <f t="shared" si="68"/>
        <v>1.2829359545286627</v>
      </c>
      <c r="K70" s="91">
        <f t="shared" si="68"/>
        <v>1.1017304785972188</v>
      </c>
      <c r="L70" s="91">
        <f t="shared" si="68"/>
        <v>1.1457625769419904</v>
      </c>
      <c r="M70" s="91">
        <f t="shared" si="68"/>
        <v>1.252521941288582</v>
      </c>
      <c r="N70" s="91">
        <f t="shared" si="68"/>
        <v>1.2732948299387929</v>
      </c>
      <c r="O70" s="91">
        <f t="shared" si="68"/>
        <v>1.2714510313226499</v>
      </c>
      <c r="P70" s="91">
        <f t="shared" si="68"/>
        <v>1.2025967482390403</v>
      </c>
      <c r="Q70" s="91">
        <f t="shared" si="68"/>
        <v>1.1334463707548978</v>
      </c>
      <c r="R70" s="91">
        <f t="shared" si="68"/>
        <v>1.0802232774697036</v>
      </c>
      <c r="S70" s="91">
        <f t="shared" si="68"/>
        <v>1.1194964626309234</v>
      </c>
      <c r="T70" s="91">
        <f t="shared" si="68"/>
        <v>1.2756606328193085</v>
      </c>
      <c r="U70" s="91">
        <f t="shared" si="68"/>
        <v>1.2923844759218999</v>
      </c>
      <c r="V70" s="91">
        <f t="shared" si="68"/>
        <v>1.2112969000920586</v>
      </c>
      <c r="W70" s="91">
        <f t="shared" si="68"/>
        <v>1.2393269566648912</v>
      </c>
      <c r="X70" s="91">
        <f t="shared" ref="X70:Y70" si="69">IF(X8=0,0,X20/X60)</f>
        <v>1.2813803248936602</v>
      </c>
      <c r="Y70" s="91">
        <f t="shared" si="69"/>
        <v>1.2876317790644718</v>
      </c>
      <c r="DA70" s="171"/>
    </row>
    <row r="71" spans="1:105" ht="11.45" customHeight="1" x14ac:dyDescent="0.25">
      <c r="A71" s="83" t="s">
        <v>182</v>
      </c>
      <c r="B71" s="91">
        <f t="shared" si="63"/>
        <v>1.1133340640374509</v>
      </c>
      <c r="C71" s="91">
        <f t="shared" ref="C71:W71" si="70">IF(C9=0,0,C21/C61)</f>
        <v>1.1112703089745033</v>
      </c>
      <c r="D71" s="91">
        <f t="shared" si="70"/>
        <v>1.109632676565502</v>
      </c>
      <c r="E71" s="91">
        <f t="shared" si="70"/>
        <v>1.1087981702057528</v>
      </c>
      <c r="F71" s="91">
        <f t="shared" si="70"/>
        <v>1.1084791211380971</v>
      </c>
      <c r="G71" s="91">
        <f t="shared" si="70"/>
        <v>1.2642732267849917</v>
      </c>
      <c r="H71" s="91">
        <f t="shared" si="70"/>
        <v>1.1345650522514263</v>
      </c>
      <c r="I71" s="91">
        <f t="shared" si="70"/>
        <v>0.99561176775758642</v>
      </c>
      <c r="J71" s="91">
        <f t="shared" si="70"/>
        <v>0.96534476970928595</v>
      </c>
      <c r="K71" s="91">
        <f t="shared" si="70"/>
        <v>0.88280307209456865</v>
      </c>
      <c r="L71" s="91">
        <f t="shared" si="70"/>
        <v>0.78970549170795745</v>
      </c>
      <c r="M71" s="91">
        <f t="shared" si="70"/>
        <v>0.80537018283180728</v>
      </c>
      <c r="N71" s="91">
        <f t="shared" si="70"/>
        <v>0.78139366783938446</v>
      </c>
      <c r="O71" s="91">
        <f t="shared" si="70"/>
        <v>0.85864380021378328</v>
      </c>
      <c r="P71" s="91">
        <f t="shared" si="70"/>
        <v>0.78288834605184165</v>
      </c>
      <c r="Q71" s="91">
        <f t="shared" si="70"/>
        <v>0.57034582593944461</v>
      </c>
      <c r="R71" s="91">
        <f t="shared" si="70"/>
        <v>0.44745452376073225</v>
      </c>
      <c r="S71" s="91">
        <f t="shared" si="70"/>
        <v>0.39885850767569314</v>
      </c>
      <c r="T71" s="91">
        <f t="shared" si="70"/>
        <v>0.33722791959014264</v>
      </c>
      <c r="U71" s="91">
        <f t="shared" si="70"/>
        <v>0.3627186677882584</v>
      </c>
      <c r="V71" s="91">
        <f t="shared" si="70"/>
        <v>0.91866508446200235</v>
      </c>
      <c r="W71" s="91">
        <f t="shared" si="70"/>
        <v>0.7050760163239117</v>
      </c>
      <c r="X71" s="91">
        <f t="shared" ref="X71:Y71" si="71">IF(X9=0,0,X21/X61)</f>
        <v>0.63348317442016677</v>
      </c>
      <c r="Y71" s="91">
        <f t="shared" si="71"/>
        <v>0.55859441077750493</v>
      </c>
      <c r="DA71" s="171"/>
    </row>
    <row r="72" spans="1:105" ht="11.45" customHeight="1" x14ac:dyDescent="0.25">
      <c r="A72" s="12" t="s">
        <v>34</v>
      </c>
      <c r="B72" s="24">
        <f t="shared" si="63"/>
        <v>1.4071929763040159</v>
      </c>
      <c r="C72" s="24">
        <f t="shared" ref="C72:W72" si="72">IF(C10=0,0,C22/C62)</f>
        <v>1.4119507016102286</v>
      </c>
      <c r="D72" s="24">
        <f t="shared" si="72"/>
        <v>1.4075537539585461</v>
      </c>
      <c r="E72" s="24">
        <f t="shared" si="72"/>
        <v>1.3951718844154504</v>
      </c>
      <c r="F72" s="24">
        <f t="shared" si="72"/>
        <v>1.3946410420850499</v>
      </c>
      <c r="G72" s="24">
        <f t="shared" si="72"/>
        <v>1.3195832594435692</v>
      </c>
      <c r="H72" s="24">
        <f t="shared" si="72"/>
        <v>1.2436434933622256</v>
      </c>
      <c r="I72" s="24">
        <f t="shared" si="72"/>
        <v>1.2007603917412533</v>
      </c>
      <c r="J72" s="24">
        <f t="shared" si="72"/>
        <v>1.265714234693452</v>
      </c>
      <c r="K72" s="24">
        <f t="shared" si="72"/>
        <v>1.0323331623046148</v>
      </c>
      <c r="L72" s="24">
        <f t="shared" si="72"/>
        <v>1.0286922000921106</v>
      </c>
      <c r="M72" s="24">
        <f t="shared" si="72"/>
        <v>1.067599711056505</v>
      </c>
      <c r="N72" s="24">
        <f t="shared" si="72"/>
        <v>1.1140395798536804</v>
      </c>
      <c r="O72" s="24">
        <f t="shared" si="72"/>
        <v>1.022214091447651</v>
      </c>
      <c r="P72" s="24">
        <f t="shared" si="72"/>
        <v>0.88905065086922086</v>
      </c>
      <c r="Q72" s="24">
        <f t="shared" si="72"/>
        <v>0.72055546002416393</v>
      </c>
      <c r="R72" s="24">
        <f t="shared" si="72"/>
        <v>0.59710401109801725</v>
      </c>
      <c r="S72" s="24">
        <f t="shared" si="72"/>
        <v>0.53899129285294933</v>
      </c>
      <c r="T72" s="24">
        <f t="shared" si="72"/>
        <v>0.37693991381766706</v>
      </c>
      <c r="U72" s="24">
        <f t="shared" si="72"/>
        <v>0.44476655594992887</v>
      </c>
      <c r="V72" s="24">
        <f t="shared" si="72"/>
        <v>1.1159329346350386</v>
      </c>
      <c r="W72" s="24">
        <f t="shared" si="72"/>
        <v>0.98636286211092605</v>
      </c>
      <c r="X72" s="24">
        <f t="shared" ref="X72:Y72" si="73">IF(X10=0,0,X22/X62)</f>
        <v>0.97381638487700495</v>
      </c>
      <c r="Y72" s="24">
        <f t="shared" si="73"/>
        <v>1.1850251877424895</v>
      </c>
      <c r="DA72" s="193"/>
    </row>
    <row r="73" spans="1:105" ht="11.45" customHeight="1" x14ac:dyDescent="0.25">
      <c r="A73" s="92" t="s">
        <v>27</v>
      </c>
      <c r="B73" s="93">
        <f t="shared" si="63"/>
        <v>0.80743942062519614</v>
      </c>
      <c r="C73" s="93">
        <f t="shared" ref="C73:W73" si="74">IF(C11=0,0,C23/C63)</f>
        <v>0.80382331947719832</v>
      </c>
      <c r="D73" s="93">
        <f t="shared" si="74"/>
        <v>0.80559711048511151</v>
      </c>
      <c r="E73" s="93">
        <f t="shared" si="74"/>
        <v>0.80726457596683776</v>
      </c>
      <c r="F73" s="93">
        <f t="shared" si="74"/>
        <v>0.80729327286502817</v>
      </c>
      <c r="G73" s="93">
        <f t="shared" si="74"/>
        <v>0.79499629463320531</v>
      </c>
      <c r="H73" s="93">
        <f t="shared" si="74"/>
        <v>0.90492504663321194</v>
      </c>
      <c r="I73" s="93">
        <f t="shared" si="74"/>
        <v>0.86078287297839018</v>
      </c>
      <c r="J73" s="93">
        <f t="shared" si="74"/>
        <v>0.7842361267159077</v>
      </c>
      <c r="K73" s="93">
        <f t="shared" si="74"/>
        <v>0.69853656949161247</v>
      </c>
      <c r="L73" s="93">
        <f t="shared" si="74"/>
        <v>0.64602929884755478</v>
      </c>
      <c r="M73" s="93">
        <f t="shared" si="74"/>
        <v>0.68142535636925516</v>
      </c>
      <c r="N73" s="93">
        <f t="shared" si="74"/>
        <v>0.65761566144748762</v>
      </c>
      <c r="O73" s="93">
        <f t="shared" si="74"/>
        <v>0.69141259100964358</v>
      </c>
      <c r="P73" s="93">
        <f t="shared" si="74"/>
        <v>0.62128663264685802</v>
      </c>
      <c r="Q73" s="93">
        <f t="shared" si="74"/>
        <v>0.69069434616066094</v>
      </c>
      <c r="R73" s="93">
        <f t="shared" si="74"/>
        <v>0.6444906920070177</v>
      </c>
      <c r="S73" s="93">
        <f t="shared" si="74"/>
        <v>0.62001884205492652</v>
      </c>
      <c r="T73" s="93">
        <f t="shared" si="74"/>
        <v>0.617223374920843</v>
      </c>
      <c r="U73" s="93">
        <f t="shared" si="74"/>
        <v>0.61063723393046176</v>
      </c>
      <c r="V73" s="93">
        <f t="shared" si="74"/>
        <v>0.52586992105163999</v>
      </c>
      <c r="W73" s="93">
        <f t="shared" si="74"/>
        <v>0.53548794465081084</v>
      </c>
      <c r="X73" s="93">
        <f t="shared" ref="X73:Y73" si="75">IF(X11=0,0,X23/X63)</f>
        <v>0.59061522455974691</v>
      </c>
      <c r="Y73" s="93">
        <f t="shared" si="75"/>
        <v>0.605071184347034</v>
      </c>
      <c r="DA73" s="175"/>
    </row>
    <row r="74" spans="1:105" ht="11.45" customHeight="1" x14ac:dyDescent="0.25">
      <c r="A74" s="92" t="s">
        <v>181</v>
      </c>
      <c r="B74" s="93">
        <f t="shared" si="63"/>
        <v>1.2272925113704354</v>
      </c>
      <c r="C74" s="93">
        <f t="shared" ref="C74:W74" si="76">IF(C12=0,0,C24/C64)</f>
        <v>1.2278323372902975</v>
      </c>
      <c r="D74" s="93">
        <f t="shared" si="76"/>
        <v>1.2253892585589536</v>
      </c>
      <c r="E74" s="93">
        <f t="shared" si="76"/>
        <v>1.2264771580847329</v>
      </c>
      <c r="F74" s="93">
        <f t="shared" si="76"/>
        <v>1.2254169782005784</v>
      </c>
      <c r="G74" s="93">
        <f t="shared" si="76"/>
        <v>1.1043295938795628</v>
      </c>
      <c r="H74" s="93">
        <f t="shared" si="76"/>
        <v>0.95414168641925967</v>
      </c>
      <c r="I74" s="93">
        <f t="shared" si="76"/>
        <v>0.97043945322737968</v>
      </c>
      <c r="J74" s="93">
        <f t="shared" si="76"/>
        <v>1.1596219035970963</v>
      </c>
      <c r="K74" s="93">
        <f t="shared" si="76"/>
        <v>0.97653142060630538</v>
      </c>
      <c r="L74" s="93">
        <f t="shared" si="76"/>
        <v>1.0363263738614854</v>
      </c>
      <c r="M74" s="93">
        <f t="shared" si="76"/>
        <v>1.1520165168225052</v>
      </c>
      <c r="N74" s="93">
        <f t="shared" si="76"/>
        <v>1.132373373199967</v>
      </c>
      <c r="O74" s="93">
        <f t="shared" si="76"/>
        <v>1.0988286754533119</v>
      </c>
      <c r="P74" s="93">
        <f t="shared" si="76"/>
        <v>1.0117351751741126</v>
      </c>
      <c r="Q74" s="93">
        <f t="shared" si="76"/>
        <v>0.95015874231368658</v>
      </c>
      <c r="R74" s="93">
        <f t="shared" si="76"/>
        <v>0.88455780503554615</v>
      </c>
      <c r="S74" s="93">
        <f t="shared" si="76"/>
        <v>0.87920841961984009</v>
      </c>
      <c r="T74" s="93">
        <f t="shared" si="76"/>
        <v>0.97788703810850319</v>
      </c>
      <c r="U74" s="93">
        <f t="shared" si="76"/>
        <v>0.93830146891246724</v>
      </c>
      <c r="V74" s="93">
        <f t="shared" si="76"/>
        <v>1.2038000964822571</v>
      </c>
      <c r="W74" s="93">
        <f t="shared" si="76"/>
        <v>1.1433016707741279</v>
      </c>
      <c r="X74" s="93">
        <f t="shared" ref="X74:Y74" si="77">IF(X12=0,0,X24/X64)</f>
        <v>1.0262520589315931</v>
      </c>
      <c r="Y74" s="93">
        <f t="shared" si="77"/>
        <v>1.2543905268917948</v>
      </c>
      <c r="DA74" s="175"/>
    </row>
    <row r="75" spans="1:105" ht="11.45" customHeight="1" x14ac:dyDescent="0.25">
      <c r="A75" s="85" t="s">
        <v>182</v>
      </c>
      <c r="B75" s="94">
        <f t="shared" si="63"/>
        <v>1.0020006576337055</v>
      </c>
      <c r="C75" s="94">
        <f t="shared" ref="C75:W75" si="78">IF(C13=0,0,C25/C65)</f>
        <v>1.0001432780770532</v>
      </c>
      <c r="D75" s="94">
        <f t="shared" si="78"/>
        <v>0.99866940890895162</v>
      </c>
      <c r="E75" s="94">
        <f t="shared" si="78"/>
        <v>0.99791835318517741</v>
      </c>
      <c r="F75" s="94">
        <f t="shared" si="78"/>
        <v>0.99763120902428715</v>
      </c>
      <c r="G75" s="94">
        <f t="shared" si="78"/>
        <v>1.1378459041064926</v>
      </c>
      <c r="H75" s="94">
        <f t="shared" si="78"/>
        <v>1.021108547026284</v>
      </c>
      <c r="I75" s="94">
        <f t="shared" si="78"/>
        <v>0.89605059098182782</v>
      </c>
      <c r="J75" s="94">
        <f t="shared" si="78"/>
        <v>0.8688102927383573</v>
      </c>
      <c r="K75" s="94">
        <f t="shared" si="78"/>
        <v>0.79452276488511153</v>
      </c>
      <c r="L75" s="94">
        <f t="shared" si="78"/>
        <v>0.71073494253716163</v>
      </c>
      <c r="M75" s="94">
        <f t="shared" si="78"/>
        <v>0.72483316454862678</v>
      </c>
      <c r="N75" s="94">
        <f t="shared" si="78"/>
        <v>0.70325430105544606</v>
      </c>
      <c r="O75" s="94">
        <f t="shared" si="78"/>
        <v>0.77277942019240498</v>
      </c>
      <c r="P75" s="94">
        <f t="shared" si="78"/>
        <v>0.70459951144665733</v>
      </c>
      <c r="Q75" s="94">
        <f t="shared" si="78"/>
        <v>0.51331124334550016</v>
      </c>
      <c r="R75" s="94">
        <f t="shared" si="78"/>
        <v>0.402709071384659</v>
      </c>
      <c r="S75" s="94">
        <f t="shared" si="78"/>
        <v>0.35897265690812391</v>
      </c>
      <c r="T75" s="94">
        <f t="shared" si="78"/>
        <v>0.30350512763112836</v>
      </c>
      <c r="U75" s="94">
        <f t="shared" si="78"/>
        <v>0.32644680100943252</v>
      </c>
      <c r="V75" s="94">
        <f t="shared" si="78"/>
        <v>0.82679857601580209</v>
      </c>
      <c r="W75" s="94">
        <f t="shared" si="78"/>
        <v>0.6345684146915207</v>
      </c>
      <c r="X75" s="94">
        <f t="shared" ref="X75:Y75" si="79">IF(X13=0,0,X25/X65)</f>
        <v>0.57013485697815025</v>
      </c>
      <c r="Y75" s="94">
        <f t="shared" si="79"/>
        <v>0.50273496969975462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227.57212799999999</v>
      </c>
      <c r="C3" s="79">
        <f t="shared" si="0"/>
        <v>227.57212799999999</v>
      </c>
      <c r="D3" s="79">
        <f t="shared" ref="D3" si="1">SUM(D4:D5)</f>
        <v>219.64059827999998</v>
      </c>
      <c r="E3" s="79">
        <f t="shared" ref="E3" si="2">SUM(E4:E5)</f>
        <v>216.48972420000004</v>
      </c>
      <c r="F3" s="79">
        <f t="shared" ref="F3" si="3">SUM(F4:F5)</f>
        <v>248.09693543999998</v>
      </c>
      <c r="G3" s="79">
        <f t="shared" ref="G3" si="4">SUM(G4:G5)</f>
        <v>295.50788172000006</v>
      </c>
      <c r="H3" s="79">
        <f t="shared" ref="H3" si="5">SUM(H4:H5)</f>
        <v>304.98996743999999</v>
      </c>
      <c r="I3" s="79">
        <f t="shared" ref="I3" si="6">SUM(I4:I5)</f>
        <v>317.63300723999998</v>
      </c>
      <c r="J3" s="79">
        <f t="shared" ref="J3" si="7">SUM(J4:J5)</f>
        <v>358.72230419999983</v>
      </c>
      <c r="K3" s="79">
        <f t="shared" ref="K3" si="8">SUM(K4:K5)</f>
        <v>308.15092151999994</v>
      </c>
      <c r="L3" s="79">
        <f t="shared" ref="L3" si="9">SUM(L4:L5)</f>
        <v>327.11509296000003</v>
      </c>
      <c r="M3" s="79">
        <f t="shared" ref="M3" si="10">SUM(M4:M5)</f>
        <v>346.0795232399999</v>
      </c>
      <c r="N3" s="79">
        <f t="shared" ref="N3" si="11">SUM(N4:N5)</f>
        <v>361.88325828000006</v>
      </c>
      <c r="O3" s="79">
        <f t="shared" ref="O3" si="12">SUM(O4:O5)</f>
        <v>393.49046951999998</v>
      </c>
      <c r="P3" s="79">
        <f t="shared" ref="P3" si="13">SUM(P4:P5)</f>
        <v>393.49046951999992</v>
      </c>
      <c r="Q3" s="79">
        <f t="shared" ref="Q3" si="14">SUM(Q4:Q5)</f>
        <v>383.69589696000003</v>
      </c>
      <c r="R3" s="79">
        <f t="shared" ref="R3" si="15">SUM(R4:R5)</f>
        <v>406.13325047999996</v>
      </c>
      <c r="S3" s="79">
        <f t="shared" ref="S3" si="16">SUM(S4:S5)</f>
        <v>476.93349683999998</v>
      </c>
      <c r="T3" s="79">
        <f t="shared" ref="T3" si="17">SUM(T4:T5)</f>
        <v>586.92677832000004</v>
      </c>
      <c r="U3" s="79">
        <f t="shared" ref="U3" si="18">SUM(U4:U5)</f>
        <v>633.07329120000009</v>
      </c>
      <c r="V3" s="79">
        <f t="shared" ref="V3:W3" si="19">SUM(V4:V5)</f>
        <v>179.19702539999997</v>
      </c>
      <c r="W3" s="79">
        <f t="shared" si="19"/>
        <v>318.2650945200001</v>
      </c>
      <c r="X3" s="79">
        <f t="shared" ref="X3:Y3" si="20">SUM(X4:X5)</f>
        <v>585.66641940000045</v>
      </c>
      <c r="Y3" s="79">
        <f t="shared" si="20"/>
        <v>629.91259595999986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25.28582076</v>
      </c>
      <c r="C4" s="96">
        <f t="shared" si="21"/>
        <v>25.285820760000004</v>
      </c>
      <c r="D4" s="96">
        <f t="shared" ref="D4:V4" si="22">SUM(D7,D11)</f>
        <v>29.99707200000001</v>
      </c>
      <c r="E4" s="96">
        <f t="shared" si="22"/>
        <v>33.167847240000022</v>
      </c>
      <c r="F4" s="96">
        <f t="shared" si="22"/>
        <v>36.328542479999996</v>
      </c>
      <c r="G4" s="96">
        <f t="shared" si="22"/>
        <v>36.328542479999996</v>
      </c>
      <c r="H4" s="96">
        <f t="shared" si="22"/>
        <v>39.489237720000013</v>
      </c>
      <c r="I4" s="96">
        <f t="shared" si="22"/>
        <v>39.489237720000013</v>
      </c>
      <c r="J4" s="96">
        <f t="shared" si="22"/>
        <v>39.489237720000013</v>
      </c>
      <c r="K4" s="96">
        <f t="shared" si="22"/>
        <v>36.328542479999996</v>
      </c>
      <c r="L4" s="96">
        <f t="shared" si="22"/>
        <v>30.007152000000008</v>
      </c>
      <c r="M4" s="96">
        <f t="shared" si="22"/>
        <v>33.167847240000015</v>
      </c>
      <c r="N4" s="96">
        <f t="shared" si="22"/>
        <v>30.007152000000008</v>
      </c>
      <c r="O4" s="96">
        <f t="shared" si="22"/>
        <v>30.007152000000012</v>
      </c>
      <c r="P4" s="96">
        <f t="shared" si="22"/>
        <v>30.007152000000001</v>
      </c>
      <c r="Q4" s="96">
        <f t="shared" si="22"/>
        <v>32.855619240000024</v>
      </c>
      <c r="R4" s="96">
        <f t="shared" si="22"/>
        <v>33.167847240000015</v>
      </c>
      <c r="S4" s="96">
        <f t="shared" si="22"/>
        <v>31.90367268000001</v>
      </c>
      <c r="T4" s="96">
        <f t="shared" si="22"/>
        <v>32.219716320000003</v>
      </c>
      <c r="U4" s="96">
        <f t="shared" si="22"/>
        <v>32.223531960000003</v>
      </c>
      <c r="V4" s="96">
        <f t="shared" si="22"/>
        <v>16.735840560000003</v>
      </c>
      <c r="W4" s="96">
        <f t="shared" ref="W4:Y4" si="23">SUM(W7,W11)</f>
        <v>22.421328120000002</v>
      </c>
      <c r="X4" s="96">
        <f t="shared" si="23"/>
        <v>25.902141480000001</v>
      </c>
      <c r="Y4" s="96">
        <f t="shared" si="23"/>
        <v>30.323195639999998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202.28630723999999</v>
      </c>
      <c r="C5" s="96">
        <f t="shared" si="24"/>
        <v>202.28630723999999</v>
      </c>
      <c r="D5" s="96">
        <f t="shared" ref="D5:V5" si="25">SUM(D8:D9,D12:D13)</f>
        <v>189.64352627999997</v>
      </c>
      <c r="E5" s="96">
        <f t="shared" si="25"/>
        <v>183.32187696000003</v>
      </c>
      <c r="F5" s="96">
        <f t="shared" si="25"/>
        <v>211.76839295999997</v>
      </c>
      <c r="G5" s="96">
        <f t="shared" si="25"/>
        <v>259.17933924000005</v>
      </c>
      <c r="H5" s="96">
        <f t="shared" si="25"/>
        <v>265.50072971999998</v>
      </c>
      <c r="I5" s="96">
        <f t="shared" si="25"/>
        <v>278.14376951999998</v>
      </c>
      <c r="J5" s="96">
        <f t="shared" si="25"/>
        <v>319.23306647999982</v>
      </c>
      <c r="K5" s="96">
        <f t="shared" si="25"/>
        <v>271.82237903999993</v>
      </c>
      <c r="L5" s="96">
        <f t="shared" si="25"/>
        <v>297.10794096000001</v>
      </c>
      <c r="M5" s="96">
        <f t="shared" si="25"/>
        <v>312.91167599999989</v>
      </c>
      <c r="N5" s="96">
        <f t="shared" si="25"/>
        <v>331.87610628000004</v>
      </c>
      <c r="O5" s="96">
        <f t="shared" si="25"/>
        <v>363.48331751999996</v>
      </c>
      <c r="P5" s="96">
        <f t="shared" si="25"/>
        <v>363.4833175199999</v>
      </c>
      <c r="Q5" s="96">
        <f t="shared" si="25"/>
        <v>350.84027772000002</v>
      </c>
      <c r="R5" s="96">
        <f t="shared" si="25"/>
        <v>372.96540323999994</v>
      </c>
      <c r="S5" s="96">
        <f t="shared" si="25"/>
        <v>445.02982415999998</v>
      </c>
      <c r="T5" s="96">
        <f t="shared" si="25"/>
        <v>554.70706200000006</v>
      </c>
      <c r="U5" s="96">
        <f t="shared" si="25"/>
        <v>600.84975924000014</v>
      </c>
      <c r="V5" s="96">
        <f t="shared" si="25"/>
        <v>162.46118483999996</v>
      </c>
      <c r="W5" s="96">
        <f t="shared" ref="W5:Y5" si="26">SUM(W8:W9,W12:W13)</f>
        <v>295.84376640000011</v>
      </c>
      <c r="X5" s="96">
        <f t="shared" si="26"/>
        <v>559.7642779200005</v>
      </c>
      <c r="Y5" s="96">
        <f t="shared" si="26"/>
        <v>599.58940031999987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226.15961504034573</v>
      </c>
      <c r="C6" s="21">
        <f t="shared" si="27"/>
        <v>225.89947260682365</v>
      </c>
      <c r="D6" s="21">
        <f t="shared" ref="D6:V6" si="28">SUM(D7:D9)</f>
        <v>217.94194395079745</v>
      </c>
      <c r="E6" s="21">
        <f t="shared" si="28"/>
        <v>214.90052205984901</v>
      </c>
      <c r="F6" s="21">
        <f t="shared" si="28"/>
        <v>246.47143681901511</v>
      </c>
      <c r="G6" s="21">
        <f t="shared" si="28"/>
        <v>293.58596507843902</v>
      </c>
      <c r="H6" s="21">
        <f t="shared" si="28"/>
        <v>303.02424586853954</v>
      </c>
      <c r="I6" s="21">
        <f t="shared" si="28"/>
        <v>315.29975572551285</v>
      </c>
      <c r="J6" s="21">
        <f t="shared" si="28"/>
        <v>356.28375700045024</v>
      </c>
      <c r="K6" s="21">
        <f t="shared" si="28"/>
        <v>305.80506159424465</v>
      </c>
      <c r="L6" s="21">
        <f t="shared" si="28"/>
        <v>325.37680327145716</v>
      </c>
      <c r="M6" s="21">
        <f t="shared" si="28"/>
        <v>344.42697532120167</v>
      </c>
      <c r="N6" s="21">
        <f t="shared" si="28"/>
        <v>360.28996999411612</v>
      </c>
      <c r="O6" s="21">
        <f t="shared" si="28"/>
        <v>391.58708782378892</v>
      </c>
      <c r="P6" s="21">
        <f t="shared" si="28"/>
        <v>391.70013878898362</v>
      </c>
      <c r="Q6" s="21">
        <f t="shared" si="28"/>
        <v>381.92654610629188</v>
      </c>
      <c r="R6" s="21">
        <f t="shared" si="28"/>
        <v>404.52642012057129</v>
      </c>
      <c r="S6" s="21">
        <f t="shared" si="28"/>
        <v>475.38066458602469</v>
      </c>
      <c r="T6" s="21">
        <f t="shared" si="28"/>
        <v>583.24306794675294</v>
      </c>
      <c r="U6" s="21">
        <f t="shared" si="28"/>
        <v>630.36785529794463</v>
      </c>
      <c r="V6" s="21">
        <f t="shared" si="28"/>
        <v>177.60297711822736</v>
      </c>
      <c r="W6" s="21">
        <f t="shared" ref="W6:Y6" si="29">SUM(W7:W9)</f>
        <v>316.2445460957739</v>
      </c>
      <c r="X6" s="21">
        <f t="shared" si="29"/>
        <v>583.92975018706011</v>
      </c>
      <c r="Y6" s="21">
        <f t="shared" si="29"/>
        <v>627.57781942183487</v>
      </c>
      <c r="DA6" s="189" t="s">
        <v>327</v>
      </c>
    </row>
    <row r="7" spans="1:105" ht="11.45" customHeight="1" x14ac:dyDescent="0.25">
      <c r="A7" s="83" t="s">
        <v>27</v>
      </c>
      <c r="B7" s="96">
        <v>24.868338536640373</v>
      </c>
      <c r="C7" s="96">
        <v>24.782467797736544</v>
      </c>
      <c r="D7" s="96">
        <v>29.493315073969587</v>
      </c>
      <c r="E7" s="96">
        <v>32.709301865560775</v>
      </c>
      <c r="F7" s="96">
        <v>35.860665010707415</v>
      </c>
      <c r="G7" s="96">
        <v>35.756633013392388</v>
      </c>
      <c r="H7" s="96">
        <v>38.753417142262727</v>
      </c>
      <c r="I7" s="96">
        <v>38.610069211164564</v>
      </c>
      <c r="J7" s="96">
        <v>38.668136680172807</v>
      </c>
      <c r="K7" s="96">
        <v>35.787779849641986</v>
      </c>
      <c r="L7" s="96">
        <v>29.596921303209065</v>
      </c>
      <c r="M7" s="96">
        <v>32.788113358959663</v>
      </c>
      <c r="N7" s="96">
        <v>29.711936101938061</v>
      </c>
      <c r="O7" s="96">
        <v>29.759440623793594</v>
      </c>
      <c r="P7" s="96">
        <v>29.814605868084563</v>
      </c>
      <c r="Q7" s="96">
        <v>32.66731535355963</v>
      </c>
      <c r="R7" s="96">
        <v>33.034629504421687</v>
      </c>
      <c r="S7" s="96">
        <v>31.777973294859585</v>
      </c>
      <c r="T7" s="96">
        <v>32.1153773603479</v>
      </c>
      <c r="U7" s="96">
        <v>32.137999382671026</v>
      </c>
      <c r="V7" s="96">
        <v>16.719843256199834</v>
      </c>
      <c r="W7" s="96">
        <v>22.408294446034212</v>
      </c>
      <c r="X7" s="96">
        <v>25.884161725442183</v>
      </c>
      <c r="Y7" s="96">
        <v>30.307974005645825</v>
      </c>
      <c r="DA7" s="171" t="s">
        <v>328</v>
      </c>
    </row>
    <row r="8" spans="1:105" ht="11.45" customHeight="1" x14ac:dyDescent="0.25">
      <c r="A8" s="83" t="s">
        <v>181</v>
      </c>
      <c r="B8" s="96">
        <v>168.13719760134609</v>
      </c>
      <c r="C8" s="96">
        <v>167.99087114507668</v>
      </c>
      <c r="D8" s="96">
        <v>157.41250183219103</v>
      </c>
      <c r="E8" s="96">
        <v>152.19826153604242</v>
      </c>
      <c r="F8" s="96">
        <v>175.94661512986411</v>
      </c>
      <c r="G8" s="96">
        <v>218.98098536763581</v>
      </c>
      <c r="H8" s="96">
        <v>228.19726349902157</v>
      </c>
      <c r="I8" s="96">
        <v>240.63824180306457</v>
      </c>
      <c r="J8" s="96">
        <v>273.97389315157506</v>
      </c>
      <c r="K8" s="96">
        <v>232.49517637762125</v>
      </c>
      <c r="L8" s="96">
        <v>255.16240329566898</v>
      </c>
      <c r="M8" s="96">
        <v>267.99349461607983</v>
      </c>
      <c r="N8" s="96">
        <v>285.66921539496394</v>
      </c>
      <c r="O8" s="96">
        <v>315.95803826037928</v>
      </c>
      <c r="P8" s="96">
        <v>317.37880815079711</v>
      </c>
      <c r="Q8" s="96">
        <v>306.27716413494886</v>
      </c>
      <c r="R8" s="96">
        <v>329.397205643191</v>
      </c>
      <c r="S8" s="96">
        <v>399.13599518775345</v>
      </c>
      <c r="T8" s="96">
        <v>496.34579513950194</v>
      </c>
      <c r="U8" s="96">
        <v>539.0962606953068</v>
      </c>
      <c r="V8" s="96">
        <v>131.12339080045993</v>
      </c>
      <c r="W8" s="96">
        <v>249.74792331129748</v>
      </c>
      <c r="X8" s="96">
        <v>503.37361161202085</v>
      </c>
      <c r="Y8" s="96">
        <v>537.48803708699961</v>
      </c>
      <c r="DA8" s="171" t="s">
        <v>329</v>
      </c>
    </row>
    <row r="9" spans="1:105" ht="11.45" customHeight="1" x14ac:dyDescent="0.25">
      <c r="A9" s="83" t="s">
        <v>182</v>
      </c>
      <c r="B9" s="96">
        <v>33.154078902359252</v>
      </c>
      <c r="C9" s="96">
        <v>33.126133664010432</v>
      </c>
      <c r="D9" s="96">
        <v>31.036127044636814</v>
      </c>
      <c r="E9" s="96">
        <v>29.992958658245804</v>
      </c>
      <c r="F9" s="96">
        <v>34.664156678443597</v>
      </c>
      <c r="G9" s="96">
        <v>38.84834669741084</v>
      </c>
      <c r="H9" s="96">
        <v>36.073565227255273</v>
      </c>
      <c r="I9" s="96">
        <v>36.051444711283679</v>
      </c>
      <c r="J9" s="96">
        <v>43.641727168702324</v>
      </c>
      <c r="K9" s="96">
        <v>37.5221053669814</v>
      </c>
      <c r="L9" s="96">
        <v>40.617478672579146</v>
      </c>
      <c r="M9" s="96">
        <v>43.645367346162189</v>
      </c>
      <c r="N9" s="96">
        <v>44.908818497214121</v>
      </c>
      <c r="O9" s="96">
        <v>45.869608939616079</v>
      </c>
      <c r="P9" s="96">
        <v>44.506724770101926</v>
      </c>
      <c r="Q9" s="96">
        <v>42.982066617783381</v>
      </c>
      <c r="R9" s="96">
        <v>42.094584972958636</v>
      </c>
      <c r="S9" s="96">
        <v>44.466696103411657</v>
      </c>
      <c r="T9" s="96">
        <v>54.781895446903206</v>
      </c>
      <c r="U9" s="96">
        <v>59.133595219966743</v>
      </c>
      <c r="V9" s="96">
        <v>29.759743061567605</v>
      </c>
      <c r="W9" s="96">
        <v>44.08832833844221</v>
      </c>
      <c r="X9" s="96">
        <v>54.671976849597101</v>
      </c>
      <c r="Y9" s="96">
        <v>59.781808329189431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1.4125129596542672</v>
      </c>
      <c r="C10" s="22">
        <f t="shared" si="30"/>
        <v>1.6726553931763275</v>
      </c>
      <c r="D10" s="22">
        <f t="shared" ref="D10:V10" si="31">SUM(D11:D13)</f>
        <v>1.6986543292025509</v>
      </c>
      <c r="E10" s="22">
        <f t="shared" si="31"/>
        <v>1.5892021401510432</v>
      </c>
      <c r="F10" s="22">
        <f t="shared" si="31"/>
        <v>1.6254986209848501</v>
      </c>
      <c r="G10" s="22">
        <f t="shared" si="31"/>
        <v>1.9219166415610063</v>
      </c>
      <c r="H10" s="22">
        <f t="shared" si="31"/>
        <v>1.9657215714604295</v>
      </c>
      <c r="I10" s="22">
        <f t="shared" si="31"/>
        <v>2.3332515144872121</v>
      </c>
      <c r="J10" s="22">
        <f t="shared" si="31"/>
        <v>2.4385471995496624</v>
      </c>
      <c r="K10" s="22">
        <f t="shared" si="31"/>
        <v>2.3458599257553234</v>
      </c>
      <c r="L10" s="22">
        <f t="shared" si="31"/>
        <v>1.7382896885428685</v>
      </c>
      <c r="M10" s="22">
        <f t="shared" si="31"/>
        <v>1.6525479187982277</v>
      </c>
      <c r="N10" s="22">
        <f t="shared" si="31"/>
        <v>1.5932882858839925</v>
      </c>
      <c r="O10" s="22">
        <f t="shared" si="31"/>
        <v>1.9033816962110555</v>
      </c>
      <c r="P10" s="22">
        <f t="shared" si="31"/>
        <v>1.7903307310163046</v>
      </c>
      <c r="Q10" s="22">
        <f t="shared" si="31"/>
        <v>1.7693508537081093</v>
      </c>
      <c r="R10" s="22">
        <f t="shared" si="31"/>
        <v>1.606830359428677</v>
      </c>
      <c r="S10" s="22">
        <f t="shared" si="31"/>
        <v>1.5528322539752919</v>
      </c>
      <c r="T10" s="22">
        <f t="shared" si="31"/>
        <v>3.6837103732470453</v>
      </c>
      <c r="U10" s="22">
        <f t="shared" si="31"/>
        <v>2.7054359020554894</v>
      </c>
      <c r="V10" s="22">
        <f t="shared" si="31"/>
        <v>1.5940482817725976</v>
      </c>
      <c r="W10" s="22">
        <f t="shared" ref="W10:Y10" si="32">SUM(W11:W13)</f>
        <v>2.0205484242262619</v>
      </c>
      <c r="X10" s="22">
        <f t="shared" si="32"/>
        <v>1.7366692129403074</v>
      </c>
      <c r="Y10" s="22">
        <f t="shared" si="32"/>
        <v>2.3347765381650891</v>
      </c>
      <c r="DA10" s="193" t="s">
        <v>331</v>
      </c>
    </row>
    <row r="11" spans="1:105" ht="11.45" customHeight="1" x14ac:dyDescent="0.25">
      <c r="A11" s="92" t="s">
        <v>27</v>
      </c>
      <c r="B11" s="97">
        <v>0.41748222335962581</v>
      </c>
      <c r="C11" s="97">
        <v>0.50335296226345794</v>
      </c>
      <c r="D11" s="97">
        <v>0.50375692603042155</v>
      </c>
      <c r="E11" s="97">
        <v>0.45854537443924559</v>
      </c>
      <c r="F11" s="97">
        <v>0.46787746929258345</v>
      </c>
      <c r="G11" s="97">
        <v>0.57190946660760911</v>
      </c>
      <c r="H11" s="97">
        <v>0.73582057773728526</v>
      </c>
      <c r="I11" s="97">
        <v>0.87916850883545106</v>
      </c>
      <c r="J11" s="97">
        <v>0.82110103982720728</v>
      </c>
      <c r="K11" s="97">
        <v>0.54076263035801131</v>
      </c>
      <c r="L11" s="97">
        <v>0.41023069679094382</v>
      </c>
      <c r="M11" s="97">
        <v>0.37973388104035088</v>
      </c>
      <c r="N11" s="97">
        <v>0.29521589806194676</v>
      </c>
      <c r="O11" s="97">
        <v>0.24771137620641637</v>
      </c>
      <c r="P11" s="97">
        <v>0.19254613191544001</v>
      </c>
      <c r="Q11" s="97">
        <v>0.18830388644039106</v>
      </c>
      <c r="R11" s="97">
        <v>0.13321773557832972</v>
      </c>
      <c r="S11" s="97">
        <v>0.12569938514042669</v>
      </c>
      <c r="T11" s="97">
        <v>0.10433895965210044</v>
      </c>
      <c r="U11" s="97">
        <v>8.5532577328973278E-2</v>
      </c>
      <c r="V11" s="97">
        <v>1.5997303800170101E-2</v>
      </c>
      <c r="W11" s="97">
        <v>1.3033673965788348E-2</v>
      </c>
      <c r="X11" s="97">
        <v>1.7979754557817553E-2</v>
      </c>
      <c r="Y11" s="97">
        <v>1.5221634354174491E-2</v>
      </c>
      <c r="DA11" s="175" t="s">
        <v>332</v>
      </c>
    </row>
    <row r="12" spans="1:105" ht="11.45" customHeight="1" x14ac:dyDescent="0.25">
      <c r="A12" s="92" t="s">
        <v>181</v>
      </c>
      <c r="B12" s="97">
        <v>0.86464440548666388</v>
      </c>
      <c r="C12" s="97">
        <v>1.020565702400489</v>
      </c>
      <c r="D12" s="97">
        <v>1.0463798617333653</v>
      </c>
      <c r="E12" s="97">
        <v>0.96370018685723857</v>
      </c>
      <c r="F12" s="97">
        <v>0.99071261344803152</v>
      </c>
      <c r="G12" s="97">
        <v>1.152454937901928</v>
      </c>
      <c r="H12" s="97">
        <v>1.0798373863371351</v>
      </c>
      <c r="I12" s="97">
        <v>1.3097234866336871</v>
      </c>
      <c r="J12" s="97">
        <v>1.4763175447177066</v>
      </c>
      <c r="K12" s="97">
        <v>1.7172944370697936</v>
      </c>
      <c r="L12" s="97">
        <v>1.2363426199980956</v>
      </c>
      <c r="M12" s="97">
        <v>0.92307659014541998</v>
      </c>
      <c r="N12" s="97">
        <v>1.0368256951609467</v>
      </c>
      <c r="O12" s="97">
        <v>1.0804539495134153</v>
      </c>
      <c r="P12" s="97">
        <v>0.9082579478510111</v>
      </c>
      <c r="Q12" s="97">
        <v>0.86332745950266121</v>
      </c>
      <c r="R12" s="97">
        <v>0.80828751468990601</v>
      </c>
      <c r="S12" s="97">
        <v>0.74510578060871857</v>
      </c>
      <c r="T12" s="97">
        <v>0.95098412074985139</v>
      </c>
      <c r="U12" s="97">
        <v>1.0376535481479616</v>
      </c>
      <c r="V12" s="97">
        <v>1.3136791709016262</v>
      </c>
      <c r="W12" s="97">
        <v>1.6099334412030748</v>
      </c>
      <c r="X12" s="97">
        <v>1.5996952331897685</v>
      </c>
      <c r="Y12" s="97">
        <v>2.230173397057734</v>
      </c>
      <c r="DA12" s="175" t="s">
        <v>333</v>
      </c>
    </row>
    <row r="13" spans="1:105" ht="11.45" customHeight="1" x14ac:dyDescent="0.25">
      <c r="A13" s="85" t="s">
        <v>182</v>
      </c>
      <c r="B13" s="98">
        <v>0.13038633080797754</v>
      </c>
      <c r="C13" s="98">
        <v>0.14873672851238037</v>
      </c>
      <c r="D13" s="98">
        <v>0.14851754143876414</v>
      </c>
      <c r="E13" s="98">
        <v>0.16695657885455903</v>
      </c>
      <c r="F13" s="98">
        <v>0.16690853824423527</v>
      </c>
      <c r="G13" s="98">
        <v>0.19755223705146935</v>
      </c>
      <c r="H13" s="98">
        <v>0.15006360738600916</v>
      </c>
      <c r="I13" s="98">
        <v>0.14435951901807392</v>
      </c>
      <c r="J13" s="98">
        <v>0.14112861500474869</v>
      </c>
      <c r="K13" s="98">
        <v>8.7802858327518635E-2</v>
      </c>
      <c r="L13" s="98">
        <v>9.171637175382906E-2</v>
      </c>
      <c r="M13" s="98">
        <v>0.3497374476124569</v>
      </c>
      <c r="N13" s="98">
        <v>0.26124669266109907</v>
      </c>
      <c r="O13" s="98">
        <v>0.57521637049122376</v>
      </c>
      <c r="P13" s="98">
        <v>0.68952665124985346</v>
      </c>
      <c r="Q13" s="98">
        <v>0.717719507765057</v>
      </c>
      <c r="R13" s="98">
        <v>0.66532510916044141</v>
      </c>
      <c r="S13" s="98">
        <v>0.68202708822614655</v>
      </c>
      <c r="T13" s="98">
        <v>2.6283872928450935</v>
      </c>
      <c r="U13" s="98">
        <v>1.5822497765785544</v>
      </c>
      <c r="V13" s="98">
        <v>0.26437180707080132</v>
      </c>
      <c r="W13" s="98">
        <v>0.39758130905739875</v>
      </c>
      <c r="X13" s="98">
        <v>0.11899422519272149</v>
      </c>
      <c r="Y13" s="98">
        <v>8.9381506753180531E-2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3.0103092000000005</v>
      </c>
      <c r="C18" s="97">
        <f>IF(C4=0,0,C4/TrAvia_ene!C4)</f>
        <v>3.0103092000000009</v>
      </c>
      <c r="D18" s="97">
        <f>IF(D4=0,0,D4/TrAvia_ene!D4)</f>
        <v>3.0060915905663803</v>
      </c>
      <c r="E18" s="97">
        <f>IF(E4=0,0,E4/TrAvia_ene!E4)</f>
        <v>3.0064695052469146</v>
      </c>
      <c r="F18" s="97">
        <f>IF(F4=0,0,F4/TrAvia_ene!F4)</f>
        <v>3.0068031814567844</v>
      </c>
      <c r="G18" s="97">
        <f>IF(G4=0,0,G4/TrAvia_ene!G4)</f>
        <v>3.0068031814567844</v>
      </c>
      <c r="H18" s="97">
        <f>IF(H4=0,0,H4/TrAvia_ene!H4)</f>
        <v>3.0070835004098853</v>
      </c>
      <c r="I18" s="97">
        <f>IF(I4=0,0,I4/TrAvia_ene!I4)</f>
        <v>3.0070835004098853</v>
      </c>
      <c r="J18" s="97">
        <f>IF(J4=0,0,J4/TrAvia_ene!J4)</f>
        <v>3.0070835004098853</v>
      </c>
      <c r="K18" s="97">
        <f>IF(K4=0,0,K4/TrAvia_ene!K4)</f>
        <v>3.0068031814567844</v>
      </c>
      <c r="L18" s="97">
        <f>IF(L4=0,0,L4/TrAvia_ene!L4)</f>
        <v>3.0060656349650721</v>
      </c>
      <c r="M18" s="97">
        <f>IF(M4=0,0,M4/TrAvia_ene!M4)</f>
        <v>3.0064695052469141</v>
      </c>
      <c r="N18" s="97">
        <f>IF(N4=0,0,N4/TrAvia_ene!N4)</f>
        <v>3.0060656349650721</v>
      </c>
      <c r="O18" s="97">
        <f>IF(O4=0,0,O4/TrAvia_ene!O4)</f>
        <v>3.0060656349650725</v>
      </c>
      <c r="P18" s="97">
        <f>IF(P4=0,0,P4/TrAvia_ene!P4)</f>
        <v>3.0060656349650712</v>
      </c>
      <c r="Q18" s="97">
        <f>IF(Q4=0,0,Q4/TrAvia_ene!Q4)</f>
        <v>3.0072077421886449</v>
      </c>
      <c r="R18" s="97">
        <f>IF(R4=0,0,R4/TrAvia_ene!R4)</f>
        <v>3.0064695052469141</v>
      </c>
      <c r="S18" s="97">
        <f>IF(S4=0,0,S4/TrAvia_ene!S4)</f>
        <v>3.0063175601069525</v>
      </c>
      <c r="T18" s="97">
        <f>IF(T4=0,0,T4/TrAvia_ene!T4)</f>
        <v>3.0063566627482134</v>
      </c>
      <c r="U18" s="97">
        <f>IF(U4=0,0,U4/TrAvia_ene!U4)</f>
        <v>3.0071469688163512</v>
      </c>
      <c r="V18" s="97">
        <f>IF(V4=0,0,V4/TrAvia_ene!V4)</f>
        <v>3.0042264881274319</v>
      </c>
      <c r="W18" s="97">
        <f>IF(W4=0,0,W4/TrAvia_ene!W4)</f>
        <v>3.0046326139653865</v>
      </c>
      <c r="X18" s="97">
        <f>IF(X4=0,0,X4/TrAvia_ene!X4)</f>
        <v>3.0063762378858501</v>
      </c>
      <c r="Y18" s="97">
        <f>IF(Y4=0,0,Y4/TrAvia_ene!Y4)</f>
        <v>3.0061098018412125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3.0103092000000005</v>
      </c>
      <c r="C19" s="98">
        <f>IF(C5=0,0,C5/TrAvia_ene!C5)</f>
        <v>3.0103092000000005</v>
      </c>
      <c r="D19" s="98">
        <f>IF(D5=0,0,D5/TrAvia_ene!D5)</f>
        <v>3.0103091999999996</v>
      </c>
      <c r="E19" s="98">
        <f>IF(E5=0,0,E5/TrAvia_ene!E5)</f>
        <v>3.0103092000000005</v>
      </c>
      <c r="F19" s="98">
        <f>IF(F5=0,0,F5/TrAvia_ene!F5)</f>
        <v>3.0103092</v>
      </c>
      <c r="G19" s="98">
        <f>IF(G5=0,0,G5/TrAvia_ene!G5)</f>
        <v>3.0103092000000018</v>
      </c>
      <c r="H19" s="98">
        <f>IF(H5=0,0,H5/TrAvia_ene!H5)</f>
        <v>3.0103092000000009</v>
      </c>
      <c r="I19" s="98">
        <f>IF(I5=0,0,I5/TrAvia_ene!I5)</f>
        <v>3.0103091999999996</v>
      </c>
      <c r="J19" s="98">
        <f>IF(J5=0,0,J5/TrAvia_ene!J5)</f>
        <v>3.0103091999999996</v>
      </c>
      <c r="K19" s="98">
        <f>IF(K5=0,0,K5/TrAvia_ene!K5)</f>
        <v>3.0103091999999996</v>
      </c>
      <c r="L19" s="98">
        <f>IF(L5=0,0,L5/TrAvia_ene!L5)</f>
        <v>3.0103092000000009</v>
      </c>
      <c r="M19" s="98">
        <f>IF(M5=0,0,M5/TrAvia_ene!M5)</f>
        <v>3.0103092000000005</v>
      </c>
      <c r="N19" s="98">
        <f>IF(N5=0,0,N5/TrAvia_ene!N5)</f>
        <v>3.0103091999999991</v>
      </c>
      <c r="O19" s="98">
        <f>IF(O5=0,0,O5/TrAvia_ene!O5)</f>
        <v>3.0103092</v>
      </c>
      <c r="P19" s="98">
        <f>IF(P5=0,0,P5/TrAvia_ene!P5)</f>
        <v>3.0103092</v>
      </c>
      <c r="Q19" s="98">
        <f>IF(Q5=0,0,Q5/TrAvia_ene!Q5)</f>
        <v>3.0103092000000009</v>
      </c>
      <c r="R19" s="98">
        <f>IF(R5=0,0,R5/TrAvia_ene!R5)</f>
        <v>3.0103092000000005</v>
      </c>
      <c r="S19" s="98">
        <f>IF(S5=0,0,S5/TrAvia_ene!S5)</f>
        <v>3.0103092</v>
      </c>
      <c r="T19" s="98">
        <f>IF(T5=0,0,T5/TrAvia_ene!T5)</f>
        <v>3.0103091999999991</v>
      </c>
      <c r="U19" s="98">
        <f>IF(U5=0,0,U5/TrAvia_ene!U5)</f>
        <v>3.0102667413191475</v>
      </c>
      <c r="V19" s="98">
        <f>IF(V5=0,0,V5/TrAvia_ene!V5)</f>
        <v>3.0103091999999996</v>
      </c>
      <c r="W19" s="98">
        <f>IF(W5=0,0,W5/TrAvia_ene!W5)</f>
        <v>3.0103092000000014</v>
      </c>
      <c r="X19" s="98">
        <f>IF(X5=0,0,X5/TrAvia_ene!X5)</f>
        <v>3.0103092000000018</v>
      </c>
      <c r="Y19" s="98">
        <f>IF(Y5=0,0,Y5/TrAvia_ene!Y5)</f>
        <v>3.0103091999999996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13088.12291442246</v>
      </c>
      <c r="C21" s="54">
        <f>IF(C3=0,0,C3/TrAvia_act!C13*1000)</f>
        <v>13061.336954801907</v>
      </c>
      <c r="D21" s="54">
        <f>IF(D3=0,0,D3/TrAvia_act!D13*1000)</f>
        <v>13092.769731525257</v>
      </c>
      <c r="E21" s="54">
        <f>IF(E3=0,0,E3/TrAvia_act!E13*1000)</f>
        <v>13118.89098208239</v>
      </c>
      <c r="F21" s="54">
        <f>IF(F3=0,0,F3/TrAvia_act!F13*1000)</f>
        <v>13102.393409414817</v>
      </c>
      <c r="G21" s="54">
        <f>IF(G3=0,0,G3/TrAvia_act!G13*1000)</f>
        <v>12663.960510812507</v>
      </c>
      <c r="H21" s="54">
        <f>IF(H3=0,0,H3/TrAvia_act!H13*1000)</f>
        <v>11667.882514755467</v>
      </c>
      <c r="I21" s="54">
        <f>IF(I3=0,0,I3/TrAvia_act!I13*1000)</f>
        <v>11554.14474021308</v>
      </c>
      <c r="J21" s="54">
        <f>IF(J3=0,0,J3/TrAvia_act!J13*1000)</f>
        <v>12818.931422972017</v>
      </c>
      <c r="K21" s="54">
        <f>IF(K3=0,0,K3/TrAvia_act!K13*1000)</f>
        <v>11131.354027401099</v>
      </c>
      <c r="L21" s="54">
        <f>IF(L3=0,0,L3/TrAvia_act!L13*1000)</f>
        <v>11055.83702502776</v>
      </c>
      <c r="M21" s="54">
        <f>IF(M3=0,0,M3/TrAvia_act!M13*1000)</f>
        <v>12009.515620505055</v>
      </c>
      <c r="N21" s="54">
        <f>IF(N3=0,0,N3/TrAvia_act!N13*1000)</f>
        <v>11987.053296295633</v>
      </c>
      <c r="O21" s="54">
        <f>IF(O3=0,0,O3/TrAvia_act!O13*1000)</f>
        <v>12247.846605690384</v>
      </c>
      <c r="P21" s="54">
        <f>IF(P3=0,0,P3/TrAvia_act!P13*1000)</f>
        <v>11573.090183586677</v>
      </c>
      <c r="Q21" s="54">
        <f>IF(Q3=0,0,Q3/TrAvia_act!Q13*1000)</f>
        <v>10695.265176087672</v>
      </c>
      <c r="R21" s="54">
        <f>IF(R3=0,0,R3/TrAvia_act!R13*1000)</f>
        <v>9941.5110185552494</v>
      </c>
      <c r="S21" s="54">
        <f>IF(S3=0,0,S3/TrAvia_act!S13*1000)</f>
        <v>10103.412233707546</v>
      </c>
      <c r="T21" s="54">
        <f>IF(T3=0,0,T3/TrAvia_act!T13*1000)</f>
        <v>10927.530880013252</v>
      </c>
      <c r="U21" s="54">
        <f>IF(U3=0,0,U3/TrAvia_act!U13*1000)</f>
        <v>11207.372121609103</v>
      </c>
      <c r="V21" s="54">
        <f>IF(V3=0,0,V3/TrAvia_act!V13*1000)</f>
        <v>12011.168307994934</v>
      </c>
      <c r="W21" s="54">
        <f>IF(W3=0,0,W3/TrAvia_act!W13*1000)</f>
        <v>11519.622630207956</v>
      </c>
      <c r="X21" s="54">
        <f>IF(X3=0,0,X3/TrAvia_act!X13*1000)</f>
        <v>12149.04203011858</v>
      </c>
      <c r="Y21" s="54">
        <f>IF(Y3=0,0,Y3/TrAvia_act!Y13*1000)</f>
        <v>12119.659741442581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13083.034113122938</v>
      </c>
      <c r="C22" s="11">
        <f>IF(C6=0,0,C6/TrAvia_act!C14*1000)</f>
        <v>13054.877464206784</v>
      </c>
      <c r="D22" s="11">
        <f>IF(D6=0,0,D6/TrAvia_act!D14*1000)</f>
        <v>13086.543912467694</v>
      </c>
      <c r="E22" s="11">
        <f>IF(E6=0,0,E6/TrAvia_act!E14*1000)</f>
        <v>13113.694131629069</v>
      </c>
      <c r="F22" s="11">
        <f>IF(F6=0,0,F6/TrAvia_act!F14*1000)</f>
        <v>13097.715347493218</v>
      </c>
      <c r="G22" s="11">
        <f>IF(G6=0,0,G6/TrAvia_act!G14*1000)</f>
        <v>12661.555179853416</v>
      </c>
      <c r="H22" s="11">
        <f>IF(H6=0,0,H6/TrAvia_act!H14*1000)</f>
        <v>11663.302042798301</v>
      </c>
      <c r="I22" s="11">
        <f>IF(I6=0,0,I6/TrAvia_act!I14*1000)</f>
        <v>11549.474898831384</v>
      </c>
      <c r="J22" s="11">
        <f>IF(J6=0,0,J6/TrAvia_act!J14*1000)</f>
        <v>12817.276684045655</v>
      </c>
      <c r="K22" s="11">
        <f>IF(K6=0,0,K6/TrAvia_act!K14*1000)</f>
        <v>11132.162786533901</v>
      </c>
      <c r="L22" s="11">
        <f>IF(L6=0,0,L6/TrAvia_act!L14*1000)</f>
        <v>11055.433810455914</v>
      </c>
      <c r="M22" s="11">
        <f>IF(M6=0,0,M6/TrAvia_act!M14*1000)</f>
        <v>12006.571369153531</v>
      </c>
      <c r="N22" s="11">
        <f>IF(N6=0,0,N6/TrAvia_act!N14*1000)</f>
        <v>11978.182431319843</v>
      </c>
      <c r="O22" s="11">
        <f>IF(O6=0,0,O6/TrAvia_act!O14*1000)</f>
        <v>12239.993589356247</v>
      </c>
      <c r="P22" s="11">
        <f>IF(P6=0,0,P6/TrAvia_act!P14*1000)</f>
        <v>11564.931905257336</v>
      </c>
      <c r="Q22" s="11">
        <f>IF(Q6=0,0,Q6/TrAvia_act!Q14*1000)</f>
        <v>10687.048359298225</v>
      </c>
      <c r="R22" s="11">
        <f>IF(R6=0,0,R6/TrAvia_act!R14*1000)</f>
        <v>9938.1723540365238</v>
      </c>
      <c r="S22" s="11">
        <f>IF(S6=0,0,S6/TrAvia_act!S14*1000)</f>
        <v>10103.600603824372</v>
      </c>
      <c r="T22" s="11">
        <f>IF(T6=0,0,T6/TrAvia_act!T14*1000)</f>
        <v>10947.381972615765</v>
      </c>
      <c r="U22" s="11">
        <f>IF(U6=0,0,U6/TrAvia_act!U14*1000)</f>
        <v>11219.641683208138</v>
      </c>
      <c r="V22" s="11">
        <f>IF(V6=0,0,V6/TrAvia_act!V14*1000)</f>
        <v>11997.176923768218</v>
      </c>
      <c r="W22" s="11">
        <f>IF(W6=0,0,W6/TrAvia_act!W14*1000)</f>
        <v>11516.149165567156</v>
      </c>
      <c r="X22" s="11">
        <f>IF(X6=0,0,X6/TrAvia_act!X14*1000)</f>
        <v>12152.881776031518</v>
      </c>
      <c r="Y22" s="11">
        <f>IF(Y6=0,0,Y6/TrAvia_act!Y14*1000)</f>
        <v>12116.147420555357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15004.41449335283</v>
      </c>
      <c r="C23" s="84">
        <f>IF(C7=0,0,C7/TrAvia_act!C15*1000)</f>
        <v>14937.217525891869</v>
      </c>
      <c r="D23" s="84">
        <f>IF(D7=0,0,D7/TrAvia_act!D15*1000)</f>
        <v>14949.205325929002</v>
      </c>
      <c r="E23" s="84">
        <f>IF(E7=0,0,E7/TrAvia_act!E15*1000)</f>
        <v>14982.031192802975</v>
      </c>
      <c r="F23" s="84">
        <f>IF(F7=0,0,F7/TrAvia_act!F15*1000)</f>
        <v>14984.226634565592</v>
      </c>
      <c r="G23" s="84">
        <f>IF(G7=0,0,G7/TrAvia_act!G15*1000)</f>
        <v>14605.81865147779</v>
      </c>
      <c r="H23" s="84">
        <f>IF(H7=0,0,H7/TrAvia_act!H15*1000)</f>
        <v>16888.475805388673</v>
      </c>
      <c r="I23" s="84">
        <f>IF(I7=0,0,I7/TrAvia_act!I15*1000)</f>
        <v>16057.663416554746</v>
      </c>
      <c r="J23" s="84">
        <f>IF(J7=0,0,J7/TrAvia_act!J15*1000)</f>
        <v>14719.545722961451</v>
      </c>
      <c r="K23" s="84">
        <f>IF(K7=0,0,K7/TrAvia_act!K15*1000)</f>
        <v>13270.058784013681</v>
      </c>
      <c r="L23" s="84">
        <f>IF(L7=0,0,L7/TrAvia_act!L15*1000)</f>
        <v>12068.306205425733</v>
      </c>
      <c r="M23" s="84">
        <f>IF(M7=0,0,M7/TrAvia_act!M15*1000)</f>
        <v>13224.420533697104</v>
      </c>
      <c r="N23" s="84">
        <f>IF(N7=0,0,N7/TrAvia_act!N15*1000)</f>
        <v>13200.192857156855</v>
      </c>
      <c r="O23" s="84">
        <f>IF(O7=0,0,O7/TrAvia_act!O15*1000)</f>
        <v>13698.085129132181</v>
      </c>
      <c r="P23" s="84">
        <f>IF(P7=0,0,P7/TrAvia_act!P15*1000)</f>
        <v>12314.880010644432</v>
      </c>
      <c r="Q23" s="84">
        <f>IF(Q7=0,0,Q7/TrAvia_act!Q15*1000)</f>
        <v>13649.094143245127</v>
      </c>
      <c r="R23" s="84">
        <f>IF(R7=0,0,R7/TrAvia_act!R15*1000)</f>
        <v>12519.540658476926</v>
      </c>
      <c r="S23" s="84">
        <f>IF(S7=0,0,S7/TrAvia_act!S15*1000)</f>
        <v>11946.516283954325</v>
      </c>
      <c r="T23" s="84">
        <f>IF(T7=0,0,T7/TrAvia_act!T15*1000)</f>
        <v>11909.837569179446</v>
      </c>
      <c r="U23" s="84">
        <f>IF(U7=0,0,U7/TrAvia_act!U15*1000)</f>
        <v>11713.234107546103</v>
      </c>
      <c r="V23" s="84">
        <f>IF(V7=0,0,V7/TrAvia_act!V15*1000)</f>
        <v>10171.658817660365</v>
      </c>
      <c r="W23" s="84">
        <f>IF(W7=0,0,W7/TrAvia_act!W15*1000)</f>
        <v>10238.575856378562</v>
      </c>
      <c r="X23" s="84">
        <f>IF(X7=0,0,X7/TrAvia_act!X15*1000)</f>
        <v>11439.480879316154</v>
      </c>
      <c r="Y23" s="84">
        <f>IF(Y7=0,0,Y7/TrAvia_act!Y15*1000)</f>
        <v>11749.295732966582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13063.863254308857</v>
      </c>
      <c r="C24" s="84">
        <f>IF(C8=0,0,C8/TrAvia_act!C16*1000)</f>
        <v>13039.469514594839</v>
      </c>
      <c r="D24" s="84">
        <f>IF(D8=0,0,D8/TrAvia_act!D16*1000)</f>
        <v>13020.128150344663</v>
      </c>
      <c r="E24" s="84">
        <f>IF(E8=0,0,E8/TrAvia_act!E16*1000)</f>
        <v>13010.178659817855</v>
      </c>
      <c r="F24" s="84">
        <f>IF(F8=0,0,F8/TrAvia_act!F16*1000)</f>
        <v>13006.386126656051</v>
      </c>
      <c r="G24" s="84">
        <f>IF(G8=0,0,G8/TrAvia_act!G16*1000)</f>
        <v>12219.021338250457</v>
      </c>
      <c r="H24" s="84">
        <f>IF(H8=0,0,H8/TrAvia_act!H16*1000)</f>
        <v>10925.226151097208</v>
      </c>
      <c r="I24" s="84">
        <f>IF(I8=0,0,I8/TrAvia_act!I16*1000)</f>
        <v>11104.304087569626</v>
      </c>
      <c r="J24" s="84">
        <f>IF(J8=0,0,J8/TrAvia_act!J16*1000)</f>
        <v>12990.951480342177</v>
      </c>
      <c r="K24" s="84">
        <f>IF(K8=0,0,K8/TrAvia_act!K16*1000)</f>
        <v>11084.011115394116</v>
      </c>
      <c r="L24" s="84">
        <f>IF(L8=0,0,L8/TrAvia_act!L16*1000)</f>
        <v>11447.054419806276</v>
      </c>
      <c r="M24" s="84">
        <f>IF(M8=0,0,M8/TrAvia_act!M16*1000)</f>
        <v>12601.204839291084</v>
      </c>
      <c r="N24" s="84">
        <f>IF(N8=0,0,N8/TrAvia_act!N16*1000)</f>
        <v>12622.720631480546</v>
      </c>
      <c r="O24" s="84">
        <f>IF(O8=0,0,O8/TrAvia_act!O16*1000)</f>
        <v>12484.954775056925</v>
      </c>
      <c r="P24" s="84">
        <f>IF(P8=0,0,P8/TrAvia_act!P16*1000)</f>
        <v>11771.677221511643</v>
      </c>
      <c r="Q24" s="84">
        <f>IF(Q8=0,0,Q8/TrAvia_act!Q16*1000)</f>
        <v>11060.380743369295</v>
      </c>
      <c r="R24" s="84">
        <f>IF(R8=0,0,R8/TrAvia_act!R16*1000)</f>
        <v>10504.724976871088</v>
      </c>
      <c r="S24" s="84">
        <f>IF(S8=0,0,S8/TrAvia_act!S16*1000)</f>
        <v>10832.263624965535</v>
      </c>
      <c r="T24" s="84">
        <f>IF(T8=0,0,T8/TrAvia_act!T16*1000)</f>
        <v>12309.406887039235</v>
      </c>
      <c r="U24" s="84">
        <f>IF(U8=0,0,U8/TrAvia_act!U16*1000)</f>
        <v>12464.138086721558</v>
      </c>
      <c r="V24" s="84">
        <f>IF(V8=0,0,V8/TrAvia_act!V16*1000)</f>
        <v>11817.083801701339</v>
      </c>
      <c r="W24" s="84">
        <f>IF(W8=0,0,W8/TrAvia_act!W16*1000)</f>
        <v>11904.221925036409</v>
      </c>
      <c r="X24" s="84">
        <f>IF(X8=0,0,X8/TrAvia_act!X16*1000)</f>
        <v>12356.928334548438</v>
      </c>
      <c r="Y24" s="84">
        <f>IF(Y8=0,0,Y8/TrAvia_act!Y16*1000)</f>
        <v>12468.837836649911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12018.116420537383</v>
      </c>
      <c r="C25" s="84">
        <f>IF(C9=0,0,C9/TrAvia_act!C17*1000)</f>
        <v>11995.838786706585</v>
      </c>
      <c r="D25" s="84">
        <f>IF(D9=0,0,D9/TrAvia_act!D17*1000)</f>
        <v>11978.161022609393</v>
      </c>
      <c r="E25" s="84">
        <f>IF(E9=0,0,E9/TrAvia_act!E17*1000)</f>
        <v>11969.152769912287</v>
      </c>
      <c r="F25" s="84">
        <f>IF(F9=0,0,F9/TrAvia_act!F17*1000)</f>
        <v>11965.708728305362</v>
      </c>
      <c r="G25" s="84">
        <f>IF(G9=0,0,G9/TrAvia_act!G17*1000)</f>
        <v>13786.921742338991</v>
      </c>
      <c r="H25" s="84">
        <f>IF(H9=0,0,H9/TrAvia_act!H17*1000)</f>
        <v>12887.354795312407</v>
      </c>
      <c r="I25" s="84">
        <f>IF(I9=0,0,I9/TrAvia_act!I17*1000)</f>
        <v>11179.645141100507</v>
      </c>
      <c r="J25" s="84">
        <f>IF(J9=0,0,J9/TrAvia_act!J17*1000)</f>
        <v>10695.026013525005</v>
      </c>
      <c r="K25" s="84">
        <f>IF(K9=0,0,K9/TrAvia_act!K17*1000)</f>
        <v>9879.95494204022</v>
      </c>
      <c r="L25" s="84">
        <f>IF(L9=0,0,L9/TrAvia_act!L17*1000)</f>
        <v>8663.6187021601381</v>
      </c>
      <c r="M25" s="84">
        <f>IF(M9=0,0,M9/TrAvia_act!M17*1000)</f>
        <v>8835.2978130669744</v>
      </c>
      <c r="N25" s="84">
        <f>IF(N9=0,0,N9/TrAvia_act!N17*1000)</f>
        <v>8641.9126300094649</v>
      </c>
      <c r="O25" s="84">
        <f>IF(O9=0,0,O9/TrAvia_act!O17*1000)</f>
        <v>10164.340975355788</v>
      </c>
      <c r="P25" s="84">
        <f>IF(P9=0,0,P9/TrAvia_act!P17*1000)</f>
        <v>9918.154630258734</v>
      </c>
      <c r="Q25" s="84">
        <f>IF(Q9=0,0,Q9/TrAvia_act!Q17*1000)</f>
        <v>7603.9698760338997</v>
      </c>
      <c r="R25" s="84">
        <f>IF(R9=0,0,R9/TrAvia_act!R17*1000)</f>
        <v>6274.7105619862459</v>
      </c>
      <c r="S25" s="84">
        <f>IF(S9=0,0,S9/TrAvia_act!S17*1000)</f>
        <v>5894.5955981479538</v>
      </c>
      <c r="T25" s="84">
        <f>IF(T9=0,0,T9/TrAvia_act!T17*1000)</f>
        <v>5340.4463471869531</v>
      </c>
      <c r="U25" s="84">
        <f>IF(U9=0,0,U9/TrAvia_act!U17*1000)</f>
        <v>5803.7895997302157</v>
      </c>
      <c r="V25" s="84">
        <f>IF(V9=0,0,V9/TrAvia_act!V17*1000)</f>
        <v>14419.345831597462</v>
      </c>
      <c r="W25" s="84">
        <f>IF(W9=0,0,W9/TrAvia_act!W17*1000)</f>
        <v>10270.843231356297</v>
      </c>
      <c r="X25" s="84">
        <f>IF(X9=0,0,X9/TrAvia_act!X17*1000)</f>
        <v>10826.525895381612</v>
      </c>
      <c r="Y25" s="84">
        <f>IF(Y9=0,0,Y9/TrAvia_act!Y17*1000)</f>
        <v>9783.056157252362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13957.348619650853</v>
      </c>
      <c r="C26" s="13">
        <f>IF(C10=0,0,C10/TrAvia_act!C18*1000)</f>
        <v>13996.653054171018</v>
      </c>
      <c r="D26" s="13">
        <f>IF(D10=0,0,D10/TrAvia_act!D18*1000)</f>
        <v>13943.890736612118</v>
      </c>
      <c r="E26" s="13">
        <f>IF(E10=0,0,E10/TrAvia_act!E18*1000)</f>
        <v>13861.723181537687</v>
      </c>
      <c r="F26" s="13">
        <f>IF(F10=0,0,F10/TrAvia_act!F18*1000)</f>
        <v>13852.601513456231</v>
      </c>
      <c r="G26" s="13">
        <f>IF(G10=0,0,G10/TrAvia_act!G18*1000)</f>
        <v>13042.444515175435</v>
      </c>
      <c r="H26" s="13">
        <f>IF(H10=0,0,H10/TrAvia_act!H18*1000)</f>
        <v>12419.778806115977</v>
      </c>
      <c r="I26" s="13">
        <f>IF(I10=0,0,I10/TrAvia_act!I18*1000)</f>
        <v>12221.938020982208</v>
      </c>
      <c r="J26" s="13">
        <f>IF(J10=0,0,J10/TrAvia_act!J18*1000)</f>
        <v>13065.376710091045</v>
      </c>
      <c r="K26" s="13">
        <f>IF(K10=0,0,K10/TrAvia_act!K18*1000)</f>
        <v>11026.92132446363</v>
      </c>
      <c r="L26" s="13">
        <f>IF(L10=0,0,L10/TrAvia_act!L18*1000)</f>
        <v>11131.833168336867</v>
      </c>
      <c r="M26" s="13">
        <f>IF(M10=0,0,M10/TrAvia_act!M18*1000)</f>
        <v>12656.372530896944</v>
      </c>
      <c r="N26" s="13">
        <f>IF(N10=0,0,N10/TrAvia_act!N18*1000)</f>
        <v>14398.316177678569</v>
      </c>
      <c r="O26" s="13">
        <f>IF(O10=0,0,O10/TrAvia_act!O18*1000)</f>
        <v>14110.342580071347</v>
      </c>
      <c r="P26" s="13">
        <f>IF(P10=0,0,P10/TrAvia_act!P18*1000)</f>
        <v>13685.260675373278</v>
      </c>
      <c r="Q26" s="13">
        <f>IF(Q10=0,0,Q10/TrAvia_act!Q18*1000)</f>
        <v>12823.492628624846</v>
      </c>
      <c r="R26" s="13">
        <f>IF(R10=0,0,R10/TrAvia_act!R18*1000)</f>
        <v>10859.99767700347</v>
      </c>
      <c r="S26" s="13">
        <f>IF(S10=0,0,S10/TrAvia_act!S18*1000)</f>
        <v>10046.073360734525</v>
      </c>
      <c r="T26" s="13">
        <f>IF(T10=0,0,T10/TrAvia_act!T18*1000)</f>
        <v>8490.0182434968701</v>
      </c>
      <c r="U26" s="13">
        <f>IF(U10=0,0,U10/TrAvia_act!U18*1000)</f>
        <v>8931.5692639053159</v>
      </c>
      <c r="V26" s="13">
        <f>IF(V10=0,0,V10/TrAvia_act!V18*1000)</f>
        <v>13804.929305159443</v>
      </c>
      <c r="W26" s="13">
        <f>IF(W10=0,0,W10/TrAvia_act!W18*1000)</f>
        <v>12090.376972324526</v>
      </c>
      <c r="X26" s="13">
        <f>IF(X10=0,0,X10/TrAvia_act!X18*1000)</f>
        <v>10982.336012516791</v>
      </c>
      <c r="Y26" s="13">
        <f>IF(Y10=0,0,Y10/TrAvia_act!Y18*1000)</f>
        <v>13143.834287116108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24481.539744189235</v>
      </c>
      <c r="C27" s="102">
        <f>IF(C11=0,0,C11/TrAvia_act!C19*1000)</f>
        <v>24371.899662577696</v>
      </c>
      <c r="D27" s="102">
        <f>IF(D11=0,0,D11/TrAvia_act!D19*1000)</f>
        <v>24391.459226410363</v>
      </c>
      <c r="E27" s="102">
        <f>IF(E11=0,0,E11/TrAvia_act!E19*1000)</f>
        <v>24445.018648197107</v>
      </c>
      <c r="F27" s="102">
        <f>IF(F11=0,0,F11/TrAvia_act!F19*1000)</f>
        <v>24448.600780295048</v>
      </c>
      <c r="G27" s="102">
        <f>IF(G11=0,0,G11/TrAvia_act!G19*1000)</f>
        <v>23583.895530210684</v>
      </c>
      <c r="H27" s="102">
        <f>IF(H11=0,0,H11/TrAvia_act!H19*1000)</f>
        <v>24297.703594342191</v>
      </c>
      <c r="I27" s="102">
        <f>IF(I11=0,0,I11/TrAvia_act!I19*1000)</f>
        <v>20665.119145042165</v>
      </c>
      <c r="J27" s="102">
        <f>IF(J11=0,0,J11/TrAvia_act!J19*1000)</f>
        <v>17241.535791386439</v>
      </c>
      <c r="K27" s="102">
        <f>IF(K11=0,0,K11/TrAvia_act!K19*1000)</f>
        <v>14304.104805618268</v>
      </c>
      <c r="L27" s="102">
        <f>IF(L11=0,0,L11/TrAvia_act!L19*1000)</f>
        <v>12056.74347658909</v>
      </c>
      <c r="M27" s="102">
        <f>IF(M11=0,0,M11/TrAvia_act!M19*1000)</f>
        <v>17019.252215493689</v>
      </c>
      <c r="N27" s="102">
        <f>IF(N11=0,0,N11/TrAvia_act!N19*1000)</f>
        <v>26603.216911052248</v>
      </c>
      <c r="O27" s="102">
        <f>IF(O11=0,0,O11/TrAvia_act!O19*1000)</f>
        <v>25382.808879113196</v>
      </c>
      <c r="P27" s="102">
        <f>IF(P11=0,0,P11/TrAvia_act!P19*1000)</f>
        <v>21522.733252264916</v>
      </c>
      <c r="Q27" s="102">
        <f>IF(Q11=0,0,Q11/TrAvia_act!Q19*1000)</f>
        <v>22496.967656695917</v>
      </c>
      <c r="R27" s="102">
        <f>IF(R11=0,0,R11/TrAvia_act!R19*1000)</f>
        <v>19319.851157118352</v>
      </c>
      <c r="S27" s="102">
        <f>IF(S11=0,0,S11/TrAvia_act!S19*1000)</f>
        <v>17500.133282654431</v>
      </c>
      <c r="T27" s="102">
        <f>IF(T11=0,0,T11/TrAvia_act!T19*1000)</f>
        <v>16734.396094963984</v>
      </c>
      <c r="U27" s="102">
        <f>IF(U11=0,0,U11/TrAvia_act!U19*1000)</f>
        <v>13187.261382820425</v>
      </c>
      <c r="V27" s="102">
        <f>IF(V11=0,0,V11/TrAvia_act!V19*1000)</f>
        <v>11345.605532035534</v>
      </c>
      <c r="W27" s="102">
        <f>IF(W11=0,0,W11/TrAvia_act!W19*1000)</f>
        <v>11554.675501585412</v>
      </c>
      <c r="X27" s="102">
        <f>IF(X11=0,0,X11/TrAvia_act!X19*1000)</f>
        <v>12751.59897717557</v>
      </c>
      <c r="Y27" s="102">
        <f>IF(Y11=0,0,Y11/TrAvia_act!Y19*1000)</f>
        <v>11590.076919422203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11934.089397271511</v>
      </c>
      <c r="C28" s="102">
        <f>IF(C12=0,0,C12/TrAvia_act!C20*1000)</f>
        <v>11938.903681337062</v>
      </c>
      <c r="D28" s="102">
        <f>IF(D12=0,0,D12/TrAvia_act!D20*1000)</f>
        <v>11917.88903437786</v>
      </c>
      <c r="E28" s="102">
        <f>IF(E12=0,0,E12/TrAvia_act!E20*1000)</f>
        <v>11919.76844374533</v>
      </c>
      <c r="F28" s="102">
        <f>IF(F12=0,0,F12/TrAvia_act!F20*1000)</f>
        <v>11912.524243269263</v>
      </c>
      <c r="G28" s="102">
        <f>IF(G12=0,0,G12/TrAvia_act!G20*1000)</f>
        <v>10725.283088581516</v>
      </c>
      <c r="H28" s="102">
        <f>IF(H12=0,0,H12/TrAvia_act!H20*1000)</f>
        <v>9433.6202902476089</v>
      </c>
      <c r="I28" s="102">
        <f>IF(I12=0,0,I12/TrAvia_act!I20*1000)</f>
        <v>9843.9494633169288</v>
      </c>
      <c r="J28" s="102">
        <f>IF(J12=0,0,J12/TrAvia_act!J20*1000)</f>
        <v>11997.540152658394</v>
      </c>
      <c r="K28" s="102">
        <f>IF(K12=0,0,K12/TrAvia_act!K20*1000)</f>
        <v>10486.512097184253</v>
      </c>
      <c r="L28" s="102">
        <f>IF(L12=0,0,L12/TrAvia_act!L20*1000)</f>
        <v>11384.66793522226</v>
      </c>
      <c r="M28" s="102">
        <f>IF(M12=0,0,M12/TrAvia_act!M20*1000)</f>
        <v>13419.176068688461</v>
      </c>
      <c r="N28" s="102">
        <f>IF(N12=0,0,N12/TrAvia_act!N20*1000)</f>
        <v>13733.293230334046</v>
      </c>
      <c r="O28" s="102">
        <f>IF(O12=0,0,O12/TrAvia_act!O20*1000)</f>
        <v>12954.444349326688</v>
      </c>
      <c r="P28" s="102">
        <f>IF(P12=0,0,P12/TrAvia_act!P20*1000)</f>
        <v>11795.181807426858</v>
      </c>
      <c r="Q28" s="102">
        <f>IF(Q12=0,0,Q12/TrAvia_act!Q20*1000)</f>
        <v>10950.406002327258</v>
      </c>
      <c r="R28" s="102">
        <f>IF(R12=0,0,R12/TrAvia_act!R20*1000)</f>
        <v>10037.335487758675</v>
      </c>
      <c r="S28" s="102">
        <f>IF(S12=0,0,S12/TrAvia_act!S20*1000)</f>
        <v>9762.2723850030034</v>
      </c>
      <c r="T28" s="102">
        <f>IF(T12=0,0,T12/TrAvia_act!T20*1000)</f>
        <v>10617.076369560658</v>
      </c>
      <c r="U28" s="102">
        <f>IF(U12=0,0,U12/TrAvia_act!U20*1000)</f>
        <v>9802.5932109293608</v>
      </c>
      <c r="V28" s="102">
        <f>IF(V12=0,0,V12/TrAvia_act!V20*1000)</f>
        <v>13604.847062624038</v>
      </c>
      <c r="W28" s="102">
        <f>IF(W12=0,0,W12/TrAvia_act!W20*1000)</f>
        <v>12612.603893926847</v>
      </c>
      <c r="X28" s="102">
        <f>IF(X12=0,0,X12/TrAvia_act!X20*1000)</f>
        <v>11065.970741719728</v>
      </c>
      <c r="Y28" s="102">
        <f>IF(Y12=0,0,Y12/TrAvia_act!Y20*1000)</f>
        <v>13417.685833145877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11146.499972438751</v>
      </c>
      <c r="C29" s="86">
        <f>IF(C13=0,0,C13/TrAvia_act!C21*1000)</f>
        <v>11125.838028737106</v>
      </c>
      <c r="D29" s="86">
        <f>IF(D13=0,0,D13/TrAvia_act!D21*1000)</f>
        <v>11109.442348238834</v>
      </c>
      <c r="E29" s="86">
        <f>IF(E13=0,0,E13/TrAvia_act!E21*1000)</f>
        <v>11101.087420983478</v>
      </c>
      <c r="F29" s="86">
        <f>IF(F13=0,0,F13/TrAvia_act!F21*1000)</f>
        <v>11097.8931592262</v>
      </c>
      <c r="G29" s="86">
        <f>IF(G13=0,0,G13/TrAvia_act!G21*1000)</f>
        <v>12617.944470166991</v>
      </c>
      <c r="H29" s="86">
        <f>IF(H13=0,0,H13/TrAvia_act!H21*1000)</f>
        <v>11096.900226221835</v>
      </c>
      <c r="I29" s="86">
        <f>IF(I13=0,0,I13/TrAvia_act!I21*1000)</f>
        <v>9426.2310572671759</v>
      </c>
      <c r="J29" s="86">
        <f>IF(J13=0,0,J13/TrAvia_act!J21*1000)</f>
        <v>8838.8672074353217</v>
      </c>
      <c r="K29" s="86">
        <f>IF(K13=0,0,K13/TrAvia_act!K21*1000)</f>
        <v>7858.9034167099562</v>
      </c>
      <c r="L29" s="86">
        <f>IF(L13=0,0,L13/TrAvia_act!L21*1000)</f>
        <v>6777.3968805455497</v>
      </c>
      <c r="M29" s="86">
        <f>IF(M13=0,0,M13/TrAvia_act!M21*1000)</f>
        <v>8860.723291669563</v>
      </c>
      <c r="N29" s="86">
        <f>IF(N13=0,0,N13/TrAvia_act!N21*1000)</f>
        <v>10856.453970360599</v>
      </c>
      <c r="O29" s="86">
        <f>IF(O13=0,0,O13/TrAvia_act!O21*1000)</f>
        <v>13784.396580533508</v>
      </c>
      <c r="P29" s="86">
        <f>IF(P13=0,0,P13/TrAvia_act!P21*1000)</f>
        <v>15366.115284118236</v>
      </c>
      <c r="Q29" s="86">
        <f>IF(Q13=0,0,Q13/TrAvia_act!Q21*1000)</f>
        <v>14137.425802359108</v>
      </c>
      <c r="R29" s="86">
        <f>IF(R13=0,0,R13/TrAvia_act!R21*1000)</f>
        <v>10990.72348025387</v>
      </c>
      <c r="S29" s="86">
        <f>IF(S13=0,0,S13/TrAvia_act!S21*1000)</f>
        <v>9597.4638056600725</v>
      </c>
      <c r="T29" s="86">
        <f>IF(T13=0,0,T13/TrAvia_act!T21*1000)</f>
        <v>7774.4299862618354</v>
      </c>
      <c r="U29" s="86">
        <f>IF(U13=0,0,U13/TrAvia_act!U21*1000)</f>
        <v>8302.8915789205003</v>
      </c>
      <c r="V29" s="86">
        <f>IF(V13=0,0,V13/TrAvia_act!V21*1000)</f>
        <v>15107.08372717826</v>
      </c>
      <c r="W29" s="86">
        <f>IF(W13=0,0,W13/TrAvia_act!W21*1000)</f>
        <v>10367.835412940254</v>
      </c>
      <c r="X29" s="86">
        <f>IF(X13=0,0,X13/TrAvia_act!X21*1000)</f>
        <v>9783.2254890004424</v>
      </c>
      <c r="Y29" s="86">
        <f>IF(Y13=0,0,Y13/TrAvia_act!Y21*1000)</f>
        <v>8842.6301725675676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130.79111461859171</v>
      </c>
      <c r="C32" s="14">
        <f>IF(C6=0,0,C6/TrAvia_act!C4*1000)</f>
        <v>129.6504716409504</v>
      </c>
      <c r="D32" s="14">
        <f>IF(D6=0,0,D6/TrAvia_act!D4*1000)</f>
        <v>130.54148985680797</v>
      </c>
      <c r="E32" s="14">
        <f>IF(E6=0,0,E6/TrAvia_act!E4*1000)</f>
        <v>131.90396730556952</v>
      </c>
      <c r="F32" s="14">
        <f>IF(F6=0,0,F6/TrAvia_act!F4*1000)</f>
        <v>132.35983060744908</v>
      </c>
      <c r="G32" s="14">
        <f>IF(G6=0,0,G6/TrAvia_act!G4*1000)</f>
        <v>126.93852658720067</v>
      </c>
      <c r="H32" s="14">
        <f>IF(H6=0,0,H6/TrAvia_act!H4*1000)</f>
        <v>118.58415089884026</v>
      </c>
      <c r="I32" s="14">
        <f>IF(I6=0,0,I6/TrAvia_act!I4*1000)</f>
        <v>120.02911081406444</v>
      </c>
      <c r="J32" s="14">
        <f>IF(J6=0,0,J6/TrAvia_act!J4*1000)</f>
        <v>134.57343432945299</v>
      </c>
      <c r="K32" s="14">
        <f>IF(K6=0,0,K6/TrAvia_act!K4*1000)</f>
        <v>119.26345581972375</v>
      </c>
      <c r="L32" s="14">
        <f>IF(L6=0,0,L6/TrAvia_act!L4*1000)</f>
        <v>112.72347136070822</v>
      </c>
      <c r="M32" s="14">
        <f>IF(M6=0,0,M6/TrAvia_act!M4*1000)</f>
        <v>113.3902837066378</v>
      </c>
      <c r="N32" s="14">
        <f>IF(N6=0,0,N6/TrAvia_act!N4*1000)</f>
        <v>107.61633188644721</v>
      </c>
      <c r="O32" s="14">
        <f>IF(O6=0,0,O6/TrAvia_act!O4*1000)</f>
        <v>110.49274019107561</v>
      </c>
      <c r="P32" s="14">
        <f>IF(P6=0,0,P6/TrAvia_act!P4*1000)</f>
        <v>103.77450446373398</v>
      </c>
      <c r="Q32" s="14">
        <f>IF(Q6=0,0,Q6/TrAvia_act!Q4*1000)</f>
        <v>93.62854108309989</v>
      </c>
      <c r="R32" s="14">
        <f>IF(R6=0,0,R6/TrAvia_act!R4*1000)</f>
        <v>84.718564430960839</v>
      </c>
      <c r="S32" s="14">
        <f>IF(S6=0,0,S6/TrAvia_act!S4*1000)</f>
        <v>80.727761075100517</v>
      </c>
      <c r="T32" s="14">
        <f>IF(T6=0,0,T6/TrAvia_act!T4*1000)</f>
        <v>86.498226948109803</v>
      </c>
      <c r="U32" s="14">
        <f>IF(U6=0,0,U6/TrAvia_act!U4*1000)</f>
        <v>86.519038604382786</v>
      </c>
      <c r="V32" s="14">
        <f>IF(V6=0,0,V6/TrAvia_act!V4*1000)</f>
        <v>156.49026240163084</v>
      </c>
      <c r="W32" s="14">
        <f>IF(W6=0,0,W6/TrAvia_act!W4*1000)</f>
        <v>115.52617342971513</v>
      </c>
      <c r="X32" s="14">
        <f>IF(X6=0,0,X6/TrAvia_act!X4*1000)</f>
        <v>99.1793672847012</v>
      </c>
      <c r="Y32" s="14">
        <f>IF(Y6=0,0,Y6/TrAvia_act!Y4*1000)</f>
        <v>93.368665820177668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186.86267185904364</v>
      </c>
      <c r="C33" s="87">
        <f>IF(C7=0,0,C7/TrAvia_act!C5*1000)</f>
        <v>187.19434960618668</v>
      </c>
      <c r="D33" s="87">
        <f>IF(D7=0,0,D7/TrAvia_act!D5*1000)</f>
        <v>187.87831246641755</v>
      </c>
      <c r="E33" s="87">
        <f>IF(E7=0,0,E7/TrAvia_act!E5*1000)</f>
        <v>188.27421348104173</v>
      </c>
      <c r="F33" s="87">
        <f>IF(F7=0,0,F7/TrAvia_act!F5*1000)</f>
        <v>188.28466701880498</v>
      </c>
      <c r="G33" s="87">
        <f>IF(G7=0,0,G7/TrAvia_act!G5*1000)</f>
        <v>184.41502467494041</v>
      </c>
      <c r="H33" s="87">
        <f>IF(H7=0,0,H7/TrAvia_act!H5*1000)</f>
        <v>214.1589302365096</v>
      </c>
      <c r="I33" s="87">
        <f>IF(I7=0,0,I7/TrAvia_act!I5*1000)</f>
        <v>204.77389441583259</v>
      </c>
      <c r="J33" s="87">
        <f>IF(J7=0,0,J7/TrAvia_act!J5*1000)</f>
        <v>188.22433766587366</v>
      </c>
      <c r="K33" s="87">
        <f>IF(K7=0,0,K7/TrAvia_act!K5*1000)</f>
        <v>190.74227785538619</v>
      </c>
      <c r="L33" s="87">
        <f>IF(L7=0,0,L7/TrAvia_act!L5*1000)</f>
        <v>171.42115240739162</v>
      </c>
      <c r="M33" s="87">
        <f>IF(M7=0,0,M7/TrAvia_act!M5*1000)</f>
        <v>173.95333041985751</v>
      </c>
      <c r="N33" s="87">
        <f>IF(N7=0,0,N7/TrAvia_act!N5*1000)</f>
        <v>163.96112968445291</v>
      </c>
      <c r="O33" s="87">
        <f>IF(O7=0,0,O7/TrAvia_act!O5*1000)</f>
        <v>169.43188659994752</v>
      </c>
      <c r="P33" s="87">
        <f>IF(P7=0,0,P7/TrAvia_act!P5*1000)</f>
        <v>170.39084468938566</v>
      </c>
      <c r="Q33" s="87">
        <f>IF(Q7=0,0,Q7/TrAvia_act!Q5*1000)</f>
        <v>187.00964901086436</v>
      </c>
      <c r="R33" s="87">
        <f>IF(R7=0,0,R7/TrAvia_act!R5*1000)</f>
        <v>176.05876027560507</v>
      </c>
      <c r="S33" s="87">
        <f>IF(S7=0,0,S7/TrAvia_act!S5*1000)</f>
        <v>158.89891190738791</v>
      </c>
      <c r="T33" s="87">
        <f>IF(T7=0,0,T7/TrAvia_act!T5*1000)</f>
        <v>161.26554145079666</v>
      </c>
      <c r="U33" s="87">
        <f>IF(U7=0,0,U7/TrAvia_act!U5*1000)</f>
        <v>165.92604973533378</v>
      </c>
      <c r="V33" s="87">
        <f>IF(V7=0,0,V7/TrAvia_act!V5*1000)</f>
        <v>261.15325260140975</v>
      </c>
      <c r="W33" s="87">
        <f>IF(W7=0,0,W7/TrAvia_act!W5*1000)</f>
        <v>258.97236496484578</v>
      </c>
      <c r="X33" s="87">
        <f>IF(X7=0,0,X7/TrAvia_act!X5*1000)</f>
        <v>195.72589205328165</v>
      </c>
      <c r="Y33" s="87">
        <f>IF(Y7=0,0,Y7/TrAvia_act!Y5*1000)</f>
        <v>194.44070367508181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128.60716618634893</v>
      </c>
      <c r="C34" s="87">
        <f>IF(C8=0,0,C8/TrAvia_act!C6*1000)</f>
        <v>127.26057022319445</v>
      </c>
      <c r="D34" s="87">
        <f>IF(D8=0,0,D8/TrAvia_act!D6*1000)</f>
        <v>127.0666548478053</v>
      </c>
      <c r="E34" s="87">
        <f>IF(E8=0,0,E8/TrAvia_act!E6*1000)</f>
        <v>128.03037292626428</v>
      </c>
      <c r="F34" s="87">
        <f>IF(F8=0,0,F8/TrAvia_act!F6*1000)</f>
        <v>129.09889938527351</v>
      </c>
      <c r="G34" s="87">
        <f>IF(G8=0,0,G8/TrAvia_act!G6*1000)</f>
        <v>120.64875041298197</v>
      </c>
      <c r="H34" s="87">
        <f>IF(H8=0,0,H8/TrAvia_act!H6*1000)</f>
        <v>110.15056322474889</v>
      </c>
      <c r="I34" s="87">
        <f>IF(I8=0,0,I8/TrAvia_act!I6*1000)</f>
        <v>115.14509558696079</v>
      </c>
      <c r="J34" s="87">
        <f>IF(J8=0,0,J8/TrAvia_act!J6*1000)</f>
        <v>136.84952040710101</v>
      </c>
      <c r="K34" s="87">
        <f>IF(K8=0,0,K8/TrAvia_act!K6*1000)</f>
        <v>115.99840735465177</v>
      </c>
      <c r="L34" s="87">
        <f>IF(L8=0,0,L8/TrAvia_act!L6*1000)</f>
        <v>116.5042328152195</v>
      </c>
      <c r="M34" s="87">
        <f>IF(M8=0,0,M8/TrAvia_act!M6*1000)</f>
        <v>118.72140494230067</v>
      </c>
      <c r="N34" s="87">
        <f>IF(N8=0,0,N8/TrAvia_act!N6*1000)</f>
        <v>113.03735222339647</v>
      </c>
      <c r="O34" s="87">
        <f>IF(O8=0,0,O8/TrAvia_act!O6*1000)</f>
        <v>109.31842334730152</v>
      </c>
      <c r="P34" s="87">
        <f>IF(P8=0,0,P8/TrAvia_act!P6*1000)</f>
        <v>101.31632268686667</v>
      </c>
      <c r="Q34" s="87">
        <f>IF(Q8=0,0,Q8/TrAvia_act!Q6*1000)</f>
        <v>92.433917502138016</v>
      </c>
      <c r="R34" s="87">
        <f>IF(R8=0,0,R8/TrAvia_act!R6*1000)</f>
        <v>84.785911994424467</v>
      </c>
      <c r="S34" s="87">
        <f>IF(S8=0,0,S8/TrAvia_act!S6*1000)</f>
        <v>84.811202973804427</v>
      </c>
      <c r="T34" s="87">
        <f>IF(T8=0,0,T8/TrAvia_act!T6*1000)</f>
        <v>96.252855741402897</v>
      </c>
      <c r="U34" s="87">
        <f>IF(U8=0,0,U8/TrAvia_act!U6*1000)</f>
        <v>95.827137467178076</v>
      </c>
      <c r="V34" s="87">
        <f>IF(V8=0,0,V8/TrAvia_act!V6*1000)</f>
        <v>146.56483335414393</v>
      </c>
      <c r="W34" s="87">
        <f>IF(W8=0,0,W8/TrAvia_act!W6*1000)</f>
        <v>115.32815953181031</v>
      </c>
      <c r="X34" s="87">
        <f>IF(X8=0,0,X8/TrAvia_act!X6*1000)</f>
        <v>98.026033444682753</v>
      </c>
      <c r="Y34" s="87">
        <f>IF(Y8=0,0,Y8/TrAvia_act!Y6*1000)</f>
        <v>92.778413979929411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114.83417693671279</v>
      </c>
      <c r="C35" s="87">
        <f>IF(C9=0,0,C9/TrAvia_act!C7*1000)</f>
        <v>114.25578545110736</v>
      </c>
      <c r="D35" s="87">
        <f>IF(D9=0,0,D9/TrAvia_act!D7*1000)</f>
        <v>113.38510582046679</v>
      </c>
      <c r="E35" s="87">
        <f>IF(E9=0,0,E9/TrAvia_act!E7*1000)</f>
        <v>112.45090848739997</v>
      </c>
      <c r="F35" s="87">
        <f>IF(F9=0,0,F9/TrAvia_act!F7*1000)</f>
        <v>112.25821127645567</v>
      </c>
      <c r="G35" s="87">
        <f>IF(G9=0,0,G9/TrAvia_act!G7*1000)</f>
        <v>127.83317413711934</v>
      </c>
      <c r="H35" s="87">
        <f>IF(H9=0,0,H9/TrAvia_act!H7*1000)</f>
        <v>119.16845111388761</v>
      </c>
      <c r="I35" s="87">
        <f>IF(I9=0,0,I9/TrAvia_act!I7*1000)</f>
        <v>103.4649040134326</v>
      </c>
      <c r="J35" s="87">
        <f>IF(J9=0,0,J9/TrAvia_act!J7*1000)</f>
        <v>99.172328233124531</v>
      </c>
      <c r="K35" s="87">
        <f>IF(K9=0,0,K9/TrAvia_act!K7*1000)</f>
        <v>100.81338573906631</v>
      </c>
      <c r="L35" s="87">
        <f>IF(L9=0,0,L9/TrAvia_act!L7*1000)</f>
        <v>77.559766398077372</v>
      </c>
      <c r="M35" s="87">
        <f>IF(M9=0,0,M9/TrAvia_act!M7*1000)</f>
        <v>73.76063078264842</v>
      </c>
      <c r="N35" s="87">
        <f>IF(N9=0,0,N9/TrAvia_act!N7*1000)</f>
        <v>70.226257822522484</v>
      </c>
      <c r="O35" s="87">
        <f>IF(O9=0,0,O9/TrAvia_act!O7*1000)</f>
        <v>95.939319986493089</v>
      </c>
      <c r="P35" s="87">
        <f>IF(P9=0,0,P9/TrAvia_act!P7*1000)</f>
        <v>95.303435666693545</v>
      </c>
      <c r="Q35" s="87">
        <f>IF(Q9=0,0,Q9/TrAvia_act!Q7*1000)</f>
        <v>72.72599234230799</v>
      </c>
      <c r="R35" s="87">
        <f>IF(R9=0,0,R9/TrAvia_act!R7*1000)</f>
        <v>59.941282279133958</v>
      </c>
      <c r="S35" s="87">
        <f>IF(S9=0,0,S9/TrAvia_act!S7*1000)</f>
        <v>45.257362605399599</v>
      </c>
      <c r="T35" s="87">
        <f>IF(T9=0,0,T9/TrAvia_act!T7*1000)</f>
        <v>39.496672466513914</v>
      </c>
      <c r="U35" s="87">
        <f>IF(U9=0,0,U9/TrAvia_act!U7*1000)</f>
        <v>40.323455510790701</v>
      </c>
      <c r="V35" s="87">
        <f>IF(V9=0,0,V9/TrAvia_act!V7*1000)</f>
        <v>168.85293643202269</v>
      </c>
      <c r="W35" s="87">
        <f>IF(W9=0,0,W9/TrAvia_act!W7*1000)</f>
        <v>90.83664814279777</v>
      </c>
      <c r="X35" s="87">
        <f>IF(X9=0,0,X9/TrAvia_act!X7*1000)</f>
        <v>88.142950154009739</v>
      </c>
      <c r="Y35" s="87">
        <f>IF(Y9=0,0,Y9/TrAvia_act!Y7*1000)</f>
        <v>77.398828876596582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438.782481040861</v>
      </c>
      <c r="C36" s="15">
        <f>IF(C10=0,0,C10/TrAvia_act!C8*1000)</f>
        <v>428.02828649249426</v>
      </c>
      <c r="D36" s="15">
        <f>IF(D10=0,0,D10/TrAvia_act!D8*1000)</f>
        <v>452.04810544566419</v>
      </c>
      <c r="E36" s="15">
        <f>IF(E10=0,0,E10/TrAvia_act!E8*1000)</f>
        <v>436.54113448793208</v>
      </c>
      <c r="F36" s="15">
        <f>IF(F10=0,0,F10/TrAvia_act!F8*1000)</f>
        <v>471.33619953224667</v>
      </c>
      <c r="G36" s="15">
        <f>IF(G10=0,0,G10/TrAvia_act!G8*1000)</f>
        <v>476.14004635321254</v>
      </c>
      <c r="H36" s="15">
        <f>IF(H10=0,0,H10/TrAvia_act!H8*1000)</f>
        <v>541.28650388551694</v>
      </c>
      <c r="I36" s="15">
        <f>IF(I10=0,0,I10/TrAvia_act!I8*1000)</f>
        <v>565.82704110800626</v>
      </c>
      <c r="J36" s="15">
        <f>IF(J10=0,0,J10/TrAvia_act!J8*1000)</f>
        <v>624.44950270465495</v>
      </c>
      <c r="K36" s="15">
        <f>IF(K10=0,0,K10/TrAvia_act!K8*1000)</f>
        <v>527.86060168426002</v>
      </c>
      <c r="L36" s="15">
        <f>IF(L10=0,0,L10/TrAvia_act!L8*1000)</f>
        <v>492.42387802047671</v>
      </c>
      <c r="M36" s="15">
        <f>IF(M10=0,0,M10/TrAvia_act!M8*1000)</f>
        <v>339.66768045393843</v>
      </c>
      <c r="N36" s="15">
        <f>IF(N10=0,0,N10/TrAvia_act!N8*1000)</f>
        <v>410.28970136747375</v>
      </c>
      <c r="O36" s="15">
        <f>IF(O10=0,0,O10/TrAvia_act!O8*1000)</f>
        <v>347.5025018117048</v>
      </c>
      <c r="P36" s="15">
        <f>IF(P10=0,0,P10/TrAvia_act!P8*1000)</f>
        <v>286.29309340750177</v>
      </c>
      <c r="Q36" s="15">
        <f>IF(Q10=0,0,Q10/TrAvia_act!Q8*1000)</f>
        <v>246.84857198072953</v>
      </c>
      <c r="R36" s="15">
        <f>IF(R10=0,0,R10/TrAvia_act!R8*1000)</f>
        <v>185.40690589478831</v>
      </c>
      <c r="S36" s="15">
        <f>IF(S10=0,0,S10/TrAvia_act!S8*1000)</f>
        <v>157.18998418578619</v>
      </c>
      <c r="T36" s="15">
        <f>IF(T10=0,0,T10/TrAvia_act!T8*1000)</f>
        <v>91.784917706564755</v>
      </c>
      <c r="U36" s="15">
        <f>IF(U10=0,0,U10/TrAvia_act!U8*1000)</f>
        <v>104.46525630637086</v>
      </c>
      <c r="V36" s="15">
        <f>IF(V10=0,0,V10/TrAvia_act!V8*1000)</f>
        <v>460.48737375963611</v>
      </c>
      <c r="W36" s="15">
        <f>IF(W10=0,0,W10/TrAvia_act!W8*1000)</f>
        <v>361.3486972125084</v>
      </c>
      <c r="X36" s="15">
        <f>IF(X10=0,0,X10/TrAvia_act!X8*1000)</f>
        <v>414.27883645173898</v>
      </c>
      <c r="Y36" s="15">
        <f>IF(Y10=0,0,Y10/TrAvia_act!Y8*1000)</f>
        <v>519.58610328189491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2250.2818562777557</v>
      </c>
      <c r="C37" s="101">
        <f>IF(C11=0,0,C11/TrAvia_act!C9*1000)</f>
        <v>2257.4196758347657</v>
      </c>
      <c r="D37" s="101">
        <f>IF(D11=0,0,D11/TrAvia_act!D9*1000)</f>
        <v>2196.9948457261025</v>
      </c>
      <c r="E37" s="101">
        <f>IF(E11=0,0,E11/TrAvia_act!E9*1000)</f>
        <v>2069.9760495226574</v>
      </c>
      <c r="F37" s="101">
        <f>IF(F11=0,0,F11/TrAvia_act!F9*1000)</f>
        <v>2198.5581237190117</v>
      </c>
      <c r="G37" s="101">
        <f>IF(G11=0,0,G11/TrAvia_act!G9*1000)</f>
        <v>2167.1019738001173</v>
      </c>
      <c r="H37" s="101">
        <f>IF(H11=0,0,H11/TrAvia_act!H9*1000)</f>
        <v>2321.1487317693018</v>
      </c>
      <c r="I37" s="101">
        <f>IF(I11=0,0,I11/TrAvia_act!I9*1000)</f>
        <v>1981.4867692679554</v>
      </c>
      <c r="J37" s="101">
        <f>IF(J11=0,0,J11/TrAvia_act!J9*1000)</f>
        <v>1718.3527353490169</v>
      </c>
      <c r="K37" s="101">
        <f>IF(K11=0,0,K11/TrAvia_act!K9*1000)</f>
        <v>1413.3900135576064</v>
      </c>
      <c r="L37" s="101">
        <f>IF(L11=0,0,L11/TrAvia_act!L9*1000)</f>
        <v>1113.8476934761577</v>
      </c>
      <c r="M37" s="101">
        <f>IF(M11=0,0,M11/TrAvia_act!M9*1000)</f>
        <v>1422.9172444391115</v>
      </c>
      <c r="N37" s="101">
        <f>IF(N11=0,0,N11/TrAvia_act!N9*1000)</f>
        <v>2168.51537759037</v>
      </c>
      <c r="O37" s="101">
        <f>IF(O11=0,0,O11/TrAvia_act!O9*1000)</f>
        <v>2010.1707115194833</v>
      </c>
      <c r="P37" s="101">
        <f>IF(P11=0,0,P11/TrAvia_act!P9*1000)</f>
        <v>1533.8088501345012</v>
      </c>
      <c r="Q37" s="101">
        <f>IF(Q11=0,0,Q11/TrAvia_act!Q9*1000)</f>
        <v>1551.4844286744417</v>
      </c>
      <c r="R37" s="101">
        <f>IF(R11=0,0,R11/TrAvia_act!R9*1000)</f>
        <v>1149.1453861940015</v>
      </c>
      <c r="S37" s="101">
        <f>IF(S11=0,0,S11/TrAvia_act!S9*1000)</f>
        <v>1131.0364509882409</v>
      </c>
      <c r="T37" s="101">
        <f>IF(T11=0,0,T11/TrAvia_act!T9*1000)</f>
        <v>1068.902528855449</v>
      </c>
      <c r="U37" s="101">
        <f>IF(U11=0,0,U11/TrAvia_act!U9*1000)</f>
        <v>765.11127715838813</v>
      </c>
      <c r="V37" s="101">
        <f>IF(V11=0,0,V11/TrAvia_act!V9*1000)</f>
        <v>720.4734835983146</v>
      </c>
      <c r="W37" s="101">
        <f>IF(W11=0,0,W11/TrAvia_act!W9*1000)</f>
        <v>740.8728177634539</v>
      </c>
      <c r="X37" s="101">
        <f>IF(X11=0,0,X11/TrAvia_act!X9*1000)</f>
        <v>796.25202037011866</v>
      </c>
      <c r="Y37" s="101">
        <f>IF(Y11=0,0,Y11/TrAvia_act!Y9*1000)</f>
        <v>718.45480159470253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431.92349209855962</v>
      </c>
      <c r="C38" s="101">
        <f>IF(C12=0,0,C12/TrAvia_act!C10*1000)</f>
        <v>416.70414038768678</v>
      </c>
      <c r="D38" s="101">
        <f>IF(D12=0,0,D12/TrAvia_act!D10*1000)</f>
        <v>443.06795144725373</v>
      </c>
      <c r="E38" s="101">
        <f>IF(E12=0,0,E12/TrAvia_act!E10*1000)</f>
        <v>432.87292392726374</v>
      </c>
      <c r="F38" s="101">
        <f>IF(F12=0,0,F12/TrAvia_act!F10*1000)</f>
        <v>476.68177213018748</v>
      </c>
      <c r="G38" s="101">
        <f>IF(G12=0,0,G12/TrAvia_act!G10*1000)</f>
        <v>436.6475468196827</v>
      </c>
      <c r="H38" s="101">
        <f>IF(H12=0,0,H12/TrAvia_act!H10*1000)</f>
        <v>455.94526160772097</v>
      </c>
      <c r="I38" s="101">
        <f>IF(I12=0,0,I12/TrAvia_act!I10*1000)</f>
        <v>498.71098386719274</v>
      </c>
      <c r="J38" s="101">
        <f>IF(J12=0,0,J12/TrAvia_act!J10*1000)</f>
        <v>627.99777832576342</v>
      </c>
      <c r="K38" s="101">
        <f>IF(K12=0,0,K12/TrAvia_act!K10*1000)</f>
        <v>534.6471870588249</v>
      </c>
      <c r="L38" s="101">
        <f>IF(L12=0,0,L12/TrAvia_act!L10*1000)</f>
        <v>584.34756023999955</v>
      </c>
      <c r="M38" s="101">
        <f>IF(M12=0,0,M12/TrAvia_act!M10*1000)</f>
        <v>661.16957900541456</v>
      </c>
      <c r="N38" s="101">
        <f>IF(N12=0,0,N12/TrAvia_act!N10*1000)</f>
        <v>630.68267871523415</v>
      </c>
      <c r="O38" s="101">
        <f>IF(O12=0,0,O12/TrAvia_act!O10*1000)</f>
        <v>597.51939319737164</v>
      </c>
      <c r="P38" s="101">
        <f>IF(P12=0,0,P12/TrAvia_act!P10*1000)</f>
        <v>468.4951674500611</v>
      </c>
      <c r="Q38" s="101">
        <f>IF(Q12=0,0,Q12/TrAvia_act!Q10*1000)</f>
        <v>437.96343865941105</v>
      </c>
      <c r="R38" s="101">
        <f>IF(R12=0,0,R12/TrAvia_act!R10*1000)</f>
        <v>362.54862327386718</v>
      </c>
      <c r="S38" s="101">
        <f>IF(S12=0,0,S12/TrAvia_act!S10*1000)</f>
        <v>386.09320004370369</v>
      </c>
      <c r="T38" s="101">
        <f>IF(T12=0,0,T12/TrAvia_act!T10*1000)</f>
        <v>417.8883301063949</v>
      </c>
      <c r="U38" s="101">
        <f>IF(U12=0,0,U12/TrAvia_act!U10*1000)</f>
        <v>369.73709100327841</v>
      </c>
      <c r="V38" s="101">
        <f>IF(V12=0,0,V12/TrAvia_act!V10*1000)</f>
        <v>605.97879034311507</v>
      </c>
      <c r="W38" s="101">
        <f>IF(W12=0,0,W12/TrAvia_act!W10*1000)</f>
        <v>582.42768786936881</v>
      </c>
      <c r="X38" s="101">
        <f>IF(X12=0,0,X12/TrAvia_act!X10*1000)</f>
        <v>513.28629679171456</v>
      </c>
      <c r="Y38" s="101">
        <f>IF(Y12=0,0,Y12/TrAvia_act!Y10*1000)</f>
        <v>634.55570948852255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126.3685911165614</v>
      </c>
      <c r="C39" s="88">
        <f>IF(C13=0,0,C13/TrAvia_act!C11*1000)</f>
        <v>120.36632224446323</v>
      </c>
      <c r="D39" s="88">
        <f>IF(D13=0,0,D13/TrAvia_act!D11*1000)</f>
        <v>127.2946895778243</v>
      </c>
      <c r="E39" s="88">
        <f>IF(E13=0,0,E13/TrAvia_act!E11*1000)</f>
        <v>139.99028036588135</v>
      </c>
      <c r="F39" s="88">
        <f>IF(F13=0,0,F13/TrAvia_act!F11*1000)</f>
        <v>144.19247610932277</v>
      </c>
      <c r="G39" s="88">
        <f>IF(G13=0,0,G13/TrAvia_act!G11*1000)</f>
        <v>174.32794136705172</v>
      </c>
      <c r="H39" s="88">
        <f>IF(H13=0,0,H13/TrAvia_act!H11*1000)</f>
        <v>158.59315988613707</v>
      </c>
      <c r="I39" s="88">
        <f>IF(I13=0,0,I13/TrAvia_act!I11*1000)</f>
        <v>137.00198937960968</v>
      </c>
      <c r="J39" s="88">
        <f>IF(J13=0,0,J13/TrAvia_act!J11*1000)</f>
        <v>131.10672089676186</v>
      </c>
      <c r="K39" s="88">
        <f>IF(K13=0,0,K13/TrAvia_act!K11*1000)</f>
        <v>103.36123068206095</v>
      </c>
      <c r="L39" s="88">
        <f>IF(L13=0,0,L13/TrAvia_act!L11*1000)</f>
        <v>87.682835724601844</v>
      </c>
      <c r="M39" s="88">
        <f>IF(M13=0,0,M13/TrAvia_act!M11*1000)</f>
        <v>109.2180853818612</v>
      </c>
      <c r="N39" s="88">
        <f>IF(N13=0,0,N13/TrAvia_act!N11*1000)</f>
        <v>124.21307529865841</v>
      </c>
      <c r="O39" s="88">
        <f>IF(O13=0,0,O13/TrAvia_act!O11*1000)</f>
        <v>162.22212324433744</v>
      </c>
      <c r="P39" s="88">
        <f>IF(P13=0,0,P13/TrAvia_act!P11*1000)</f>
        <v>164.59297750810313</v>
      </c>
      <c r="Q39" s="88">
        <f>IF(Q13=0,0,Q13/TrAvia_act!Q11*1000)</f>
        <v>141.41821153223472</v>
      </c>
      <c r="R39" s="88">
        <f>IF(R13=0,0,R13/TrAvia_act!R11*1000)</f>
        <v>105.25430222877685</v>
      </c>
      <c r="S39" s="88">
        <f>IF(S13=0,0,S13/TrAvia_act!S11*1000)</f>
        <v>87.018770249127854</v>
      </c>
      <c r="T39" s="88">
        <f>IF(T13=0,0,T13/TrAvia_act!T11*1000)</f>
        <v>69.606138093748797</v>
      </c>
      <c r="U39" s="88">
        <f>IF(U13=0,0,U13/TrAvia_act!U11*1000)</f>
        <v>68.854255006418029</v>
      </c>
      <c r="V39" s="88">
        <f>IF(V13=0,0,V13/TrAvia_act!V11*1000)</f>
        <v>207.90688712254732</v>
      </c>
      <c r="W39" s="88">
        <f>IF(W13=0,0,W13/TrAvia_act!W11*1000)</f>
        <v>141.49222890465148</v>
      </c>
      <c r="X39" s="88">
        <f>IF(X13=0,0,X13/TrAvia_act!X11*1000)</f>
        <v>113.01845402751525</v>
      </c>
      <c r="Y39" s="88">
        <f>IF(Y13=0,0,Y13/TrAvia_act!Y11*1000)</f>
        <v>93.319418930034544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11098.372494513533</v>
      </c>
      <c r="C41" s="54">
        <f>IF(C3=0,0,C3/TrAvia_act!C23*1000000)</f>
        <v>11070.298584423797</v>
      </c>
      <c r="D41" s="54">
        <f>IF(D3=0,0,D3/TrAvia_act!D23*1000000)</f>
        <v>10702.168215173218</v>
      </c>
      <c r="E41" s="54">
        <f>IF(E3=0,0,E3/TrAvia_act!E23*1000000)</f>
        <v>10482.748605461942</v>
      </c>
      <c r="F41" s="54">
        <f>IF(F3=0,0,F3/TrAvia_act!F23*1000000)</f>
        <v>10569.910337423311</v>
      </c>
      <c r="G41" s="54">
        <f>IF(G3=0,0,G3/TrAvia_act!G23*1000000)</f>
        <v>10641.646502214702</v>
      </c>
      <c r="H41" s="54">
        <f>IF(H3=0,0,H3/TrAvia_act!H23*1000000)</f>
        <v>9948.7854723382043</v>
      </c>
      <c r="I41" s="54">
        <f>IF(I3=0,0,I3/TrAvia_act!I23*1000000)</f>
        <v>9904.0568501138096</v>
      </c>
      <c r="J41" s="54">
        <f>IF(J3=0,0,J3/TrAvia_act!J23*1000000)</f>
        <v>11041.686290322576</v>
      </c>
      <c r="K41" s="54">
        <f>IF(K3=0,0,K3/TrAvia_act!K23*1000000)</f>
        <v>9547.3702292725229</v>
      </c>
      <c r="L41" s="54">
        <f>IF(L3=0,0,L3/TrAvia_act!L23*1000000)</f>
        <v>10057.034156059768</v>
      </c>
      <c r="M41" s="54">
        <f>IF(M3=0,0,M3/TrAvia_act!M23*1000000)</f>
        <v>10653.845685260432</v>
      </c>
      <c r="N41" s="54">
        <f>IF(N3=0,0,N3/TrAvia_act!N23*1000000)</f>
        <v>11085.071931630218</v>
      </c>
      <c r="O41" s="54">
        <f>IF(O3=0,0,O3/TrAvia_act!O23*1000000)</f>
        <v>11785.033080355806</v>
      </c>
      <c r="P41" s="54">
        <f>IF(P3=0,0,P3/TrAvia_act!P23*1000000)</f>
        <v>11090.174164200556</v>
      </c>
      <c r="Q41" s="54">
        <f>IF(Q3=0,0,Q3/TrAvia_act!Q23*1000000)</f>
        <v>10464.62381934217</v>
      </c>
      <c r="R41" s="54">
        <f>IF(R3=0,0,R3/TrAvia_act!R23*1000000)</f>
        <v>10022.289822569897</v>
      </c>
      <c r="S41" s="54">
        <f>IF(S3=0,0,S3/TrAvia_act!S23*1000000)</f>
        <v>10743.923246604039</v>
      </c>
      <c r="T41" s="54">
        <f>IF(T3=0,0,T3/TrAvia_act!T23*1000000)</f>
        <v>12237.073959510457</v>
      </c>
      <c r="U41" s="54">
        <f>IF(U3=0,0,U3/TrAvia_act!U23*1000000)</f>
        <v>12520.485161086172</v>
      </c>
      <c r="V41" s="54">
        <f>IF(V3=0,0,V3/TrAvia_act!V23*1000000)</f>
        <v>10428.739184077283</v>
      </c>
      <c r="W41" s="54">
        <f>IF(W3=0,0,W3/TrAvia_act!W23*1000000)</f>
        <v>11284.795749388366</v>
      </c>
      <c r="X41" s="54">
        <f>IF(X3=0,0,X3/TrAvia_act!X23*1000000)</f>
        <v>13046.120008019258</v>
      </c>
      <c r="Y41" s="54">
        <f>IF(Y3=0,0,Y3/TrAvia_act!Y23*1000000)</f>
        <v>12756.173345213743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11115.679496723962</v>
      </c>
      <c r="C42" s="11">
        <f>IF(C6=0,0,C6/TrAvia_act!C24*1000000)</f>
        <v>11091.445603516651</v>
      </c>
      <c r="D42" s="11">
        <f>IF(D6=0,0,D6/TrAvia_act!D24*1000000)</f>
        <v>10719.686387821428</v>
      </c>
      <c r="E42" s="11">
        <f>IF(E6=0,0,E6/TrAvia_act!E24*1000000)</f>
        <v>10495.75199315502</v>
      </c>
      <c r="F42" s="11">
        <f>IF(F6=0,0,F6/TrAvia_act!F24*1000000)</f>
        <v>10582.260822593065</v>
      </c>
      <c r="G42" s="11">
        <f>IF(G6=0,0,G6/TrAvia_act!G24*1000000)</f>
        <v>10659.186184454817</v>
      </c>
      <c r="H42" s="11">
        <f>IF(H6=0,0,H6/TrAvia_act!H24*1000000)</f>
        <v>9967.2470846832293</v>
      </c>
      <c r="I42" s="11">
        <f>IF(I6=0,0,I6/TrAvia_act!I24*1000000)</f>
        <v>9928.5120044561154</v>
      </c>
      <c r="J42" s="11">
        <f>IF(J6=0,0,J6/TrAvia_act!J24*1000000)</f>
        <v>11072.966092753923</v>
      </c>
      <c r="K42" s="11">
        <f>IF(K6=0,0,K6/TrAvia_act!K24*1000000)</f>
        <v>9569.8657985994269</v>
      </c>
      <c r="L42" s="11">
        <f>IF(L6=0,0,L6/TrAvia_act!L24*1000000)</f>
        <v>10077.953393776161</v>
      </c>
      <c r="M42" s="11">
        <f>IF(M6=0,0,M6/TrAvia_act!M24*1000000)</f>
        <v>10670.641778338239</v>
      </c>
      <c r="N42" s="11">
        <f>IF(N6=0,0,N6/TrAvia_act!N24*1000000)</f>
        <v>11103.268821662181</v>
      </c>
      <c r="O42" s="11">
        <f>IF(O6=0,0,O6/TrAvia_act!O24*1000000)</f>
        <v>11794.791801921352</v>
      </c>
      <c r="P42" s="11">
        <f>IF(P6=0,0,P6/TrAvia_act!P24*1000000)</f>
        <v>11092.550373498629</v>
      </c>
      <c r="Q42" s="11">
        <f>IF(Q6=0,0,Q6/TrAvia_act!Q24*1000000)</f>
        <v>10462.594403525418</v>
      </c>
      <c r="R42" s="11">
        <f>IF(R6=0,0,R6/TrAvia_act!R24*1000000)</f>
        <v>10019.726552908411</v>
      </c>
      <c r="S42" s="11">
        <f>IF(S6=0,0,S6/TrAvia_act!S24*1000000)</f>
        <v>10743.065866350842</v>
      </c>
      <c r="T42" s="11">
        <f>IF(T6=0,0,T6/TrAvia_act!T24*1000000)</f>
        <v>12207.100775377319</v>
      </c>
      <c r="U42" s="11">
        <f>IF(U6=0,0,U6/TrAvia_act!U24*1000000)</f>
        <v>12507.795057302761</v>
      </c>
      <c r="V42" s="11">
        <f>IF(V6=0,0,V6/TrAvia_act!V24*1000000)</f>
        <v>10428.217786285441</v>
      </c>
      <c r="W42" s="11">
        <f>IF(W6=0,0,W6/TrAvia_act!W24*1000000)</f>
        <v>11291.625168556928</v>
      </c>
      <c r="X42" s="11">
        <f>IF(X6=0,0,X6/TrAvia_act!X24*1000000)</f>
        <v>13068.275410940629</v>
      </c>
      <c r="Y42" s="11">
        <f>IF(Y6=0,0,Y6/TrAvia_act!Y24*1000000)</f>
        <v>12759.01802146573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5123.2671068480377</v>
      </c>
      <c r="C43" s="84">
        <f>IF(C7=0,0,C7/TrAvia_act!C25*1000000)</f>
        <v>5100.3226585175025</v>
      </c>
      <c r="D43" s="84">
        <f>IF(D7=0,0,D7/TrAvia_act!D25*1000000)</f>
        <v>5104.4159006524033</v>
      </c>
      <c r="E43" s="84">
        <f>IF(E7=0,0,E7/TrAvia_act!E25*1000000)</f>
        <v>5115.624314288516</v>
      </c>
      <c r="F43" s="84">
        <f>IF(F7=0,0,F7/TrAvia_act!F25*1000000)</f>
        <v>5116.3739493090898</v>
      </c>
      <c r="G43" s="84">
        <f>IF(G7=0,0,G7/TrAvia_act!G25*1000000)</f>
        <v>5053.2268249565277</v>
      </c>
      <c r="H43" s="84">
        <f>IF(H7=0,0,H7/TrAvia_act!H25*1000000)</f>
        <v>5726.8238720648333</v>
      </c>
      <c r="I43" s="84">
        <f>IF(I7=0,0,I7/TrAvia_act!I25*1000000)</f>
        <v>5448.0131524149238</v>
      </c>
      <c r="J43" s="84">
        <f>IF(J7=0,0,J7/TrAvia_act!J25*1000000)</f>
        <v>4954.9124397966179</v>
      </c>
      <c r="K43" s="84">
        <f>IF(K7=0,0,K7/TrAvia_act!K25*1000000)</f>
        <v>4398.1540923733546</v>
      </c>
      <c r="L43" s="84">
        <f>IF(L7=0,0,L7/TrAvia_act!L25*1000000)</f>
        <v>4085.1513185933841</v>
      </c>
      <c r="M43" s="84">
        <f>IF(M7=0,0,M7/TrAvia_act!M25*1000000)</f>
        <v>4266.507919187985</v>
      </c>
      <c r="N43" s="84">
        <f>IF(N7=0,0,N7/TrAvia_act!N25*1000000)</f>
        <v>4082.4314512143533</v>
      </c>
      <c r="O43" s="84">
        <f>IF(O7=0,0,O7/TrAvia_act!O25*1000000)</f>
        <v>4306.0976159446673</v>
      </c>
      <c r="P43" s="84">
        <f>IF(P7=0,0,P7/TrAvia_act!P25*1000000)</f>
        <v>3868.5099089249466</v>
      </c>
      <c r="Q43" s="84">
        <f>IF(Q7=0,0,Q7/TrAvia_act!Q25*1000000)</f>
        <v>4305.6959738446858</v>
      </c>
      <c r="R43" s="84">
        <f>IF(R7=0,0,R7/TrAvia_act!R25*1000000)</f>
        <v>4034.0248509490402</v>
      </c>
      <c r="S43" s="84">
        <f>IF(S7=0,0,S7/TrAvia_act!S25*1000000)</f>
        <v>3888.6408828756221</v>
      </c>
      <c r="T43" s="84">
        <f>IF(T7=0,0,T7/TrAvia_act!T25*1000000)</f>
        <v>3869.3225735358915</v>
      </c>
      <c r="U43" s="84">
        <f>IF(U7=0,0,U7/TrAvia_act!U25*1000000)</f>
        <v>3836.4568918074519</v>
      </c>
      <c r="V43" s="84">
        <f>IF(V7=0,0,V7/TrAvia_act!V25*1000000)</f>
        <v>3291.9557503839014</v>
      </c>
      <c r="W43" s="84">
        <f>IF(W7=0,0,W7/TrAvia_act!W25*1000000)</f>
        <v>3363.5986859853215</v>
      </c>
      <c r="X43" s="84">
        <f>IF(X7=0,0,X7/TrAvia_act!X25*1000000)</f>
        <v>3699.3228134117744</v>
      </c>
      <c r="Y43" s="84">
        <f>IF(Y7=0,0,Y7/TrAvia_act!Y25*1000000)</f>
        <v>3786.6034489812378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12438.943375108833</v>
      </c>
      <c r="C44" s="84">
        <f>IF(C8=0,0,C8/TrAvia_act!C26*1000000)</f>
        <v>12415.259119435124</v>
      </c>
      <c r="D44" s="84">
        <f>IF(D8=0,0,D8/TrAvia_act!D26*1000000)</f>
        <v>12396.637410000869</v>
      </c>
      <c r="E44" s="84">
        <f>IF(E8=0,0,E8/TrAvia_act!E26*1000000)</f>
        <v>12386.934283066854</v>
      </c>
      <c r="F44" s="84">
        <f>IF(F8=0,0,F8/TrAvia_act!F26*1000000)</f>
        <v>12383.630006324895</v>
      </c>
      <c r="G44" s="84">
        <f>IF(G8=0,0,G8/TrAvia_act!G26*1000000)</f>
        <v>11975.990449419514</v>
      </c>
      <c r="H44" s="84">
        <f>IF(H8=0,0,H8/TrAvia_act!H26*1000000)</f>
        <v>10837.121313530966</v>
      </c>
      <c r="I44" s="84">
        <f>IF(I8=0,0,I8/TrAvia_act!I26*1000000)</f>
        <v>11025.807184561951</v>
      </c>
      <c r="J44" s="84">
        <f>IF(J8=0,0,J8/TrAvia_act!J26*1000000)</f>
        <v>13063.171370408385</v>
      </c>
      <c r="K44" s="84">
        <f>IF(K8=0,0,K8/TrAvia_act!K26*1000000)</f>
        <v>11327.414196230024</v>
      </c>
      <c r="L44" s="84">
        <f>IF(L8=0,0,L8/TrAvia_act!L26*1000000)</f>
        <v>11954.760274347311</v>
      </c>
      <c r="M44" s="84">
        <f>IF(M8=0,0,M8/TrAvia_act!M26*1000000)</f>
        <v>12833.093646319006</v>
      </c>
      <c r="N44" s="84">
        <f>IF(N8=0,0,N8/TrAvia_act!N26*1000000)</f>
        <v>13440.094819805407</v>
      </c>
      <c r="O44" s="84">
        <f>IF(O8=0,0,O8/TrAvia_act!O26*1000000)</f>
        <v>13810.562036033713</v>
      </c>
      <c r="P44" s="84">
        <f>IF(P8=0,0,P8/TrAvia_act!P26*1000000)</f>
        <v>13162.691114415939</v>
      </c>
      <c r="Q44" s="84">
        <f>IF(Q8=0,0,Q8/TrAvia_act!Q26*1000000)</f>
        <v>12364.343956035236</v>
      </c>
      <c r="R44" s="84">
        <f>IF(R8=0,0,R8/TrAvia_act!R26*1000000)</f>
        <v>11947.234617648652</v>
      </c>
      <c r="S44" s="84">
        <f>IF(S8=0,0,S8/TrAvia_act!S26*1000000)</f>
        <v>12709.313650302611</v>
      </c>
      <c r="T44" s="84">
        <f>IF(T8=0,0,T8/TrAvia_act!T26*1000000)</f>
        <v>14601.411912437912</v>
      </c>
      <c r="U44" s="84">
        <f>IF(U8=0,0,U8/TrAvia_act!U26*1000000)</f>
        <v>14822.145684619802</v>
      </c>
      <c r="V44" s="84">
        <f>IF(V8=0,0,V8/TrAvia_act!V26*1000000)</f>
        <v>12391.172821816286</v>
      </c>
      <c r="W44" s="84">
        <f>IF(W8=0,0,W8/TrAvia_act!W26*1000000)</f>
        <v>13342.660717560502</v>
      </c>
      <c r="X44" s="84">
        <f>IF(X8=0,0,X8/TrAvia_act!X26*1000000)</f>
        <v>14600.696473257363</v>
      </c>
      <c r="Y44" s="84">
        <f>IF(Y8=0,0,Y8/TrAvia_act!Y26*1000000)</f>
        <v>14535.3463434204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16786.875393599621</v>
      </c>
      <c r="C45" s="84">
        <f>IF(C9=0,0,C9/TrAvia_act!C27*1000000)</f>
        <v>16755.758049575332</v>
      </c>
      <c r="D45" s="84">
        <f>IF(D9=0,0,D9/TrAvia_act!D27*1000000)</f>
        <v>16731.065792257043</v>
      </c>
      <c r="E45" s="84">
        <f>IF(E9=0,0,E9/TrAvia_act!E27*1000000)</f>
        <v>16718.483087093537</v>
      </c>
      <c r="F45" s="84">
        <f>IF(F9=0,0,F9/TrAvia_act!F27*1000000)</f>
        <v>16713.672458265959</v>
      </c>
      <c r="G45" s="84">
        <f>IF(G9=0,0,G9/TrAvia_act!G27*1000000)</f>
        <v>17804.008568932557</v>
      </c>
      <c r="H45" s="84">
        <f>IF(H9=0,0,H9/TrAvia_act!H27*1000000)</f>
        <v>13992.849195987304</v>
      </c>
      <c r="I45" s="84">
        <f>IF(I9=0,0,I9/TrAvia_act!I27*1000000)</f>
        <v>12671.86105844769</v>
      </c>
      <c r="J45" s="84">
        <f>IF(J9=0,0,J9/TrAvia_act!J27*1000000)</f>
        <v>12839.578455046287</v>
      </c>
      <c r="K45" s="84">
        <f>IF(K9=0,0,K9/TrAvia_act!K27*1000000)</f>
        <v>11394.505122071485</v>
      </c>
      <c r="L45" s="84">
        <f>IF(L9=0,0,L9/TrAvia_act!L27*1000000)</f>
        <v>10986.604996640288</v>
      </c>
      <c r="M45" s="84">
        <f>IF(M9=0,0,M9/TrAvia_act!M27*1000000)</f>
        <v>11764.249958534283</v>
      </c>
      <c r="N45" s="84">
        <f>IF(N9=0,0,N9/TrAvia_act!N27*1000000)</f>
        <v>11468.033324109836</v>
      </c>
      <c r="O45" s="84">
        <f>IF(O9=0,0,O9/TrAvia_act!O27*1000000)</f>
        <v>13447.554658345376</v>
      </c>
      <c r="P45" s="84">
        <f>IF(P9=0,0,P9/TrAvia_act!P27*1000000)</f>
        <v>12741.690458088155</v>
      </c>
      <c r="Q45" s="84">
        <f>IF(Q9=0,0,Q9/TrAvia_act!Q27*1000000)</f>
        <v>10367.116888032653</v>
      </c>
      <c r="R45" s="84">
        <f>IF(R9=0,0,R9/TrAvia_act!R27*1000000)</f>
        <v>9125.2081016602278</v>
      </c>
      <c r="S45" s="84">
        <f>IF(S9=0,0,S9/TrAvia_act!S27*1000000)</f>
        <v>9515.6636215304206</v>
      </c>
      <c r="T45" s="84">
        <f>IF(T9=0,0,T9/TrAvia_act!T27*1000000)</f>
        <v>9985.7629323556703</v>
      </c>
      <c r="U45" s="84">
        <f>IF(U9=0,0,U9/TrAvia_act!U27*1000000)</f>
        <v>10466.123047781724</v>
      </c>
      <c r="V45" s="84">
        <f>IF(V9=0,0,V9/TrAvia_act!V27*1000000)</f>
        <v>21722.440190925256</v>
      </c>
      <c r="W45" s="84">
        <f>IF(W9=0,0,W9/TrAvia_act!W27*1000000)</f>
        <v>16782.766782810129</v>
      </c>
      <c r="X45" s="84">
        <f>IF(X9=0,0,X9/TrAvia_act!X27*1000000)</f>
        <v>17031.768488971062</v>
      </c>
      <c r="Y45" s="84">
        <f>IF(Y9=0,0,Y9/TrAvia_act!Y27*1000000)</f>
        <v>14216.839079474301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8883.72930600168</v>
      </c>
      <c r="C46" s="13">
        <f>IF(C10=0,0,C10/TrAvia_act!C28*1000000)</f>
        <v>8803.4494377701449</v>
      </c>
      <c r="D46" s="13">
        <f>IF(D10=0,0,D10/TrAvia_act!D28*1000000)</f>
        <v>8847.1579645966194</v>
      </c>
      <c r="E46" s="13">
        <f>IF(E10=0,0,E10/TrAvia_act!E28*1000000)</f>
        <v>8978.5431646951583</v>
      </c>
      <c r="F46" s="13">
        <f>IF(F10=0,0,F10/TrAvia_act!F28*1000000)</f>
        <v>8980.6553645571839</v>
      </c>
      <c r="G46" s="13">
        <f>IF(G10=0,0,G10/TrAvia_act!G28*1000000)</f>
        <v>8504.055936110648</v>
      </c>
      <c r="H46" s="13">
        <f>IF(H10=0,0,H10/TrAvia_act!H28*1000000)</f>
        <v>7739.0613049623207</v>
      </c>
      <c r="I46" s="13">
        <f>IF(I10=0,0,I10/TrAvia_act!I28*1000000)</f>
        <v>7430.7373072841156</v>
      </c>
      <c r="J46" s="13">
        <f>IF(J10=0,0,J10/TrAvia_act!J28*1000000)</f>
        <v>7815.8564088130215</v>
      </c>
      <c r="K46" s="13">
        <f>IF(K10=0,0,K10/TrAvia_act!K28*1000000)</f>
        <v>7307.9748465897919</v>
      </c>
      <c r="L46" s="13">
        <f>IF(L10=0,0,L10/TrAvia_act!L28*1000000)</f>
        <v>7242.8737022619525</v>
      </c>
      <c r="M46" s="13">
        <f>IF(M10=0,0,M10/TrAvia_act!M28*1000000)</f>
        <v>8022.0772757195518</v>
      </c>
      <c r="N46" s="13">
        <f>IF(N10=0,0,N10/TrAvia_act!N28*1000000)</f>
        <v>8087.7577963654448</v>
      </c>
      <c r="O46" s="13">
        <f>IF(O10=0,0,O10/TrAvia_act!O28*1000000)</f>
        <v>10070.802625455321</v>
      </c>
      <c r="P46" s="13">
        <f>IF(P10=0,0,P10/TrAvia_act!P28*1000000)</f>
        <v>10593.672964593517</v>
      </c>
      <c r="Q46" s="13">
        <f>IF(Q10=0,0,Q10/TrAvia_act!Q28*1000000)</f>
        <v>10921.918850050057</v>
      </c>
      <c r="R46" s="13">
        <f>IF(R10=0,0,R10/TrAvia_act!R28*1000000)</f>
        <v>10712.20239619118</v>
      </c>
      <c r="S46" s="13">
        <f>IF(S10=0,0,S10/TrAvia_act!S28*1000000)</f>
        <v>11012.994709044624</v>
      </c>
      <c r="T46" s="13">
        <f>IF(T10=0,0,T10/TrAvia_act!T28*1000000)</f>
        <v>20020.165071994812</v>
      </c>
      <c r="U46" s="13">
        <f>IF(U10=0,0,U10/TrAvia_act!U28*1000000)</f>
        <v>16396.581224578724</v>
      </c>
      <c r="V46" s="13">
        <f>IF(V10=0,0,V10/TrAvia_act!V28*1000000)</f>
        <v>10487.159748503931</v>
      </c>
      <c r="W46" s="13">
        <f>IF(W10=0,0,W10/TrAvia_act!W28*1000000)</f>
        <v>10308.920531766642</v>
      </c>
      <c r="X46" s="13">
        <f>IF(X10=0,0,X10/TrAvia_act!X28*1000000)</f>
        <v>8309.4220714847252</v>
      </c>
      <c r="Y46" s="13">
        <f>IF(Y10=0,0,Y10/TrAvia_act!Y28*1000000)</f>
        <v>12034.930609098397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4638.6913706625091</v>
      </c>
      <c r="C47" s="102">
        <f>IF(C11=0,0,C11/TrAvia_act!C29*1000000)</f>
        <v>4617.9170849858529</v>
      </c>
      <c r="D47" s="102">
        <f>IF(D11=0,0,D11/TrAvia_act!D29*1000000)</f>
        <v>4621.6231745910227</v>
      </c>
      <c r="E47" s="102">
        <f>IF(E11=0,0,E11/TrAvia_act!E29*1000000)</f>
        <v>4631.771458982279</v>
      </c>
      <c r="F47" s="102">
        <f>IF(F11=0,0,F11/TrAvia_act!F29*1000000)</f>
        <v>4632.4501910156778</v>
      </c>
      <c r="G47" s="102">
        <f>IF(G11=0,0,G11/TrAvia_act!G29*1000000)</f>
        <v>4575.2757328608732</v>
      </c>
      <c r="H47" s="102">
        <f>IF(H11=0,0,H11/TrAvia_act!H29*1000000)</f>
        <v>5293.6732211315484</v>
      </c>
      <c r="I47" s="102">
        <f>IF(I11=0,0,I11/TrAvia_act!I29*1000000)</f>
        <v>5141.3363089792456</v>
      </c>
      <c r="J47" s="102">
        <f>IF(J11=0,0,J11/TrAvia_act!J29*1000000)</f>
        <v>4773.8432548093442</v>
      </c>
      <c r="K47" s="102">
        <f>IF(K11=0,0,K11/TrAvia_act!K29*1000000)</f>
        <v>4326.1010428640902</v>
      </c>
      <c r="L47" s="102">
        <f>IF(L11=0,0,L11/TrAvia_act!L29*1000000)</f>
        <v>4102.3069679094388</v>
      </c>
      <c r="M47" s="102">
        <f>IF(M11=0,0,M11/TrAvia_act!M29*1000000)</f>
        <v>4039.7221387271375</v>
      </c>
      <c r="N47" s="102">
        <f>IF(N11=0,0,N11/TrAvia_act!N29*1000000)</f>
        <v>3644.6407168141577</v>
      </c>
      <c r="O47" s="102">
        <f>IF(O11=0,0,O11/TrAvia_act!O29*1000000)</f>
        <v>3870.4902532252559</v>
      </c>
      <c r="P47" s="102">
        <f>IF(P11=0,0,P11/TrAvia_act!P29*1000000)</f>
        <v>3500.8387620989092</v>
      </c>
      <c r="Q47" s="102">
        <f>IF(Q11=0,0,Q11/TrAvia_act!Q29*1000000)</f>
        <v>3922.9976341748134</v>
      </c>
      <c r="R47" s="102">
        <f>IF(R11=0,0,R11/TrAvia_act!R29*1000000)</f>
        <v>3700.4926549536031</v>
      </c>
      <c r="S47" s="102">
        <f>IF(S11=0,0,S11/TrAvia_act!S29*1000000)</f>
        <v>3591.4110040121914</v>
      </c>
      <c r="T47" s="102">
        <f>IF(T11=0,0,T11/TrAvia_act!T29*1000000)</f>
        <v>3597.8951604172566</v>
      </c>
      <c r="U47" s="102">
        <f>IF(U11=0,0,U11/TrAvia_act!U29*1000000)</f>
        <v>3718.8077099553598</v>
      </c>
      <c r="V47" s="102">
        <f>IF(V11=0,0,V11/TrAvia_act!V29*1000000)</f>
        <v>3199.4607600340205</v>
      </c>
      <c r="W47" s="102">
        <f>IF(W11=0,0,W11/TrAvia_act!W29*1000000)</f>
        <v>3258.418491447087</v>
      </c>
      <c r="X47" s="102">
        <f>IF(X11=0,0,X11/TrAvia_act!X29*1000000)</f>
        <v>3595.9509115635105</v>
      </c>
      <c r="Y47" s="102">
        <f>IF(Y11=0,0,Y11/TrAvia_act!Y29*1000000)</f>
        <v>3805.408588543623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13945.877507849418</v>
      </c>
      <c r="C48" s="102">
        <f>IF(C12=0,0,C12/TrAvia_act!C30*1000000)</f>
        <v>13980.352087677933</v>
      </c>
      <c r="D48" s="102">
        <f>IF(D12=0,0,D12/TrAvia_act!D30*1000000)</f>
        <v>13951.731489778203</v>
      </c>
      <c r="E48" s="102">
        <f>IF(E12=0,0,E12/TrAvia_act!E30*1000000)</f>
        <v>13966.669374742589</v>
      </c>
      <c r="F48" s="102">
        <f>IF(F12=0,0,F12/TrAvia_act!F30*1000000)</f>
        <v>13953.698780958191</v>
      </c>
      <c r="G48" s="102">
        <f>IF(G12=0,0,G12/TrAvia_act!G30*1000000)</f>
        <v>12664.339976944264</v>
      </c>
      <c r="H48" s="102">
        <f>IF(H12=0,0,H12/TrAvia_act!H30*1000000)</f>
        <v>10284.165584163191</v>
      </c>
      <c r="I48" s="102">
        <f>IF(I12=0,0,I12/TrAvia_act!I30*1000000)</f>
        <v>9922.1476260127802</v>
      </c>
      <c r="J48" s="102">
        <f>IF(J12=0,0,J12/TrAvia_act!J30*1000000)</f>
        <v>11444.322052075246</v>
      </c>
      <c r="K48" s="102">
        <f>IF(K12=0,0,K12/TrAvia_act!K30*1000000)</f>
        <v>9134.5448780308161</v>
      </c>
      <c r="L48" s="102">
        <f>IF(L12=0,0,L12/TrAvia_act!L30*1000000)</f>
        <v>9437.7299236495837</v>
      </c>
      <c r="M48" s="102">
        <f>IF(M12=0,0,M12/TrAvia_act!M30*1000000)</f>
        <v>10143.698792806812</v>
      </c>
      <c r="N48" s="102">
        <f>IF(N12=0,0,N12/TrAvia_act!N30*1000000)</f>
        <v>9874.5304301042543</v>
      </c>
      <c r="O48" s="102">
        <f>IF(O12=0,0,O12/TrAvia_act!O30*1000000)</f>
        <v>9733.819364985724</v>
      </c>
      <c r="P48" s="102">
        <f>IF(P12=0,0,P12/TrAvia_act!P30*1000000)</f>
        <v>8904.4896848138342</v>
      </c>
      <c r="Q48" s="102">
        <f>IF(Q12=0,0,Q12/TrAvia_act!Q30*1000000)</f>
        <v>8381.8199951714687</v>
      </c>
      <c r="R48" s="102">
        <f>IF(R12=0,0,R12/TrAvia_act!R30*1000000)</f>
        <v>7847.4515989311267</v>
      </c>
      <c r="S48" s="102">
        <f>IF(S12=0,0,S12/TrAvia_act!S30*1000000)</f>
        <v>7843.2187432496694</v>
      </c>
      <c r="T48" s="102">
        <f>IF(T12=0,0,T12/TrAvia_act!T30*1000000)</f>
        <v>8645.3101886350123</v>
      </c>
      <c r="U48" s="102">
        <f>IF(U12=0,0,U12/TrAvia_act!U30*1000000)</f>
        <v>8793.6741368471321</v>
      </c>
      <c r="V48" s="102">
        <f>IF(V12=0,0,V12/TrAvia_act!V30*1000000)</f>
        <v>9803.5759022509428</v>
      </c>
      <c r="W48" s="102">
        <f>IF(W12=0,0,W12/TrAvia_act!W30*1000000)</f>
        <v>9526.2333798998516</v>
      </c>
      <c r="X48" s="102">
        <f>IF(X12=0,0,X12/TrAvia_act!X30*1000000)</f>
        <v>8936.8448781551306</v>
      </c>
      <c r="Y48" s="102">
        <f>IF(Y12=0,0,Y12/TrAvia_act!Y30*1000000)</f>
        <v>12966.124401498453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18626.618686853937</v>
      </c>
      <c r="C49" s="86">
        <f>IF(C13=0,0,C13/TrAvia_act!C31*1000000)</f>
        <v>18592.091064047545</v>
      </c>
      <c r="D49" s="86">
        <f>IF(D13=0,0,D13/TrAvia_act!D31*1000000)</f>
        <v>18564.692679845517</v>
      </c>
      <c r="E49" s="86">
        <f>IF(E13=0,0,E13/TrAvia_act!E31*1000000)</f>
        <v>18550.730983839894</v>
      </c>
      <c r="F49" s="86">
        <f>IF(F13=0,0,F13/TrAvia_act!F31*1000000)</f>
        <v>18545.393138248364</v>
      </c>
      <c r="G49" s="86">
        <f>IF(G13=0,0,G13/TrAvia_act!G31*1000000)</f>
        <v>19755.223705146935</v>
      </c>
      <c r="H49" s="86">
        <f>IF(H13=0,0,H13/TrAvia_act!H31*1000000)</f>
        <v>15006.360738600917</v>
      </c>
      <c r="I49" s="86">
        <f>IF(I13=0,0,I13/TrAvia_act!I31*1000000)</f>
        <v>13123.592638006719</v>
      </c>
      <c r="J49" s="86">
        <f>IF(J13=0,0,J13/TrAvia_act!J31*1000000)</f>
        <v>12829.874091340789</v>
      </c>
      <c r="K49" s="86">
        <f>IF(K13=0,0,K13/TrAvia_act!K31*1000000)</f>
        <v>10975.35729093983</v>
      </c>
      <c r="L49" s="86">
        <f>IF(L13=0,0,L13/TrAvia_act!L31*1000000)</f>
        <v>10190.707972647673</v>
      </c>
      <c r="M49" s="86">
        <f>IF(M13=0,0,M13/TrAvia_act!M31*1000000)</f>
        <v>16654.164172021756</v>
      </c>
      <c r="N49" s="86">
        <f>IF(N13=0,0,N13/TrAvia_act!N31*1000000)</f>
        <v>23749.699332827189</v>
      </c>
      <c r="O49" s="86">
        <f>IF(O13=0,0,O13/TrAvia_act!O31*1000000)</f>
        <v>41086.883606515978</v>
      </c>
      <c r="P49" s="86">
        <f>IF(P13=0,0,P13/TrAvia_act!P31*1000000)</f>
        <v>57460.554270821121</v>
      </c>
      <c r="Q49" s="86">
        <f>IF(Q13=0,0,Q13/TrAvia_act!Q31*1000000)</f>
        <v>65247.227978641546</v>
      </c>
      <c r="R49" s="86">
        <f>IF(R13=0,0,R13/TrAvia_act!R31*1000000)</f>
        <v>60484.100832767406</v>
      </c>
      <c r="S49" s="86">
        <f>IF(S13=0,0,S13/TrAvia_act!S31*1000000)</f>
        <v>62002.462566013324</v>
      </c>
      <c r="T49" s="86">
        <f>IF(T13=0,0,T13/TrAvia_act!T31*1000000)</f>
        <v>58408.606507668745</v>
      </c>
      <c r="U49" s="86">
        <f>IF(U13=0,0,U13/TrAvia_act!U31*1000000)</f>
        <v>65927.074024106434</v>
      </c>
      <c r="V49" s="86">
        <f>IF(V13=0,0,V13/TrAvia_act!V31*1000000)</f>
        <v>20336.292851600101</v>
      </c>
      <c r="W49" s="86">
        <f>IF(W13=0,0,W13/TrAvia_act!W31*1000000)</f>
        <v>17286.143872060817</v>
      </c>
      <c r="X49" s="86">
        <f>IF(X13=0,0,X13/TrAvia_act!X31*1000000)</f>
        <v>4759.7690077088591</v>
      </c>
      <c r="Y49" s="86">
        <f>IF(Y13=0,0,Y13/TrAvia_act!Y31*1000000)</f>
        <v>4965.6392640655849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0.99379311969322415</v>
      </c>
      <c r="C52" s="16">
        <f t="shared" si="36"/>
        <v>0.99264999889100503</v>
      </c>
      <c r="D52" s="16">
        <f t="shared" ref="D52:V52" si="37">IF(D6=0,0,D6/D$3)</f>
        <v>0.99226620969663781</v>
      </c>
      <c r="E52" s="16">
        <f t="shared" si="37"/>
        <v>0.99265922599317979</v>
      </c>
      <c r="F52" s="16">
        <f t="shared" si="37"/>
        <v>0.99344813099725704</v>
      </c>
      <c r="G52" s="16">
        <f t="shared" si="37"/>
        <v>0.99349622544625693</v>
      </c>
      <c r="H52" s="16">
        <f t="shared" si="37"/>
        <v>0.99355479923500378</v>
      </c>
      <c r="I52" s="16">
        <f t="shared" si="37"/>
        <v>0.99265425361563842</v>
      </c>
      <c r="J52" s="16">
        <f t="shared" si="37"/>
        <v>0.99320213108859268</v>
      </c>
      <c r="K52" s="16">
        <f t="shared" si="37"/>
        <v>0.99238730192924951</v>
      </c>
      <c r="L52" s="16">
        <f t="shared" si="37"/>
        <v>0.99468599974151783</v>
      </c>
      <c r="M52" s="16">
        <f t="shared" si="37"/>
        <v>0.99522494742443279</v>
      </c>
      <c r="N52" s="16">
        <f t="shared" si="37"/>
        <v>0.99559723129095079</v>
      </c>
      <c r="O52" s="16">
        <f t="shared" si="37"/>
        <v>0.99516282643761889</v>
      </c>
      <c r="P52" s="16">
        <f t="shared" si="37"/>
        <v>0.99545012936857091</v>
      </c>
      <c r="Q52" s="16">
        <f t="shared" si="37"/>
        <v>0.99538866360644818</v>
      </c>
      <c r="R52" s="16">
        <f t="shared" si="37"/>
        <v>0.99604358826190764</v>
      </c>
      <c r="S52" s="16">
        <f t="shared" si="37"/>
        <v>0.99674413253784055</v>
      </c>
      <c r="T52" s="16">
        <f t="shared" si="37"/>
        <v>0.99372373095023669</v>
      </c>
      <c r="U52" s="16">
        <f t="shared" si="37"/>
        <v>0.99572650443532806</v>
      </c>
      <c r="V52" s="16">
        <f t="shared" si="37"/>
        <v>0.99110449362530206</v>
      </c>
      <c r="W52" s="16">
        <f t="shared" ref="W52:Y52" si="38">IF(W6=0,0,W6/W$3)</f>
        <v>0.99365136655254782</v>
      </c>
      <c r="X52" s="16">
        <f t="shared" si="38"/>
        <v>0.99703471267019284</v>
      </c>
      <c r="Y52" s="16">
        <f t="shared" si="38"/>
        <v>0.99629349126666256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0.10927673241531746</v>
      </c>
      <c r="C53" s="103">
        <f t="shared" si="39"/>
        <v>0.10889939825028373</v>
      </c>
      <c r="D53" s="103">
        <f t="shared" ref="D53:V53" si="40">IF(D7=0,0,D7/D$3)</f>
        <v>0.13427988862228113</v>
      </c>
      <c r="E53" s="103">
        <f t="shared" si="40"/>
        <v>0.15108939690524475</v>
      </c>
      <c r="F53" s="103">
        <f t="shared" si="40"/>
        <v>0.14454295836870582</v>
      </c>
      <c r="G53" s="103">
        <f t="shared" si="40"/>
        <v>0.12100060683752778</v>
      </c>
      <c r="H53" s="103">
        <f t="shared" si="40"/>
        <v>0.12706456368892396</v>
      </c>
      <c r="I53" s="103">
        <f t="shared" si="40"/>
        <v>0.12155559507702933</v>
      </c>
      <c r="J53" s="103">
        <f t="shared" si="40"/>
        <v>0.1077940686359274</v>
      </c>
      <c r="K53" s="103">
        <f t="shared" si="40"/>
        <v>0.11613718262828317</v>
      </c>
      <c r="L53" s="103">
        <f t="shared" si="40"/>
        <v>9.0478617282352694E-2</v>
      </c>
      <c r="M53" s="103">
        <f t="shared" si="40"/>
        <v>9.4741558390964667E-2</v>
      </c>
      <c r="N53" s="103">
        <f t="shared" si="40"/>
        <v>8.2103649235270873E-2</v>
      </c>
      <c r="O53" s="103">
        <f t="shared" si="40"/>
        <v>7.5629380960854531E-2</v>
      </c>
      <c r="P53" s="103">
        <f t="shared" si="40"/>
        <v>7.5769575574356263E-2</v>
      </c>
      <c r="Q53" s="103">
        <f t="shared" si="40"/>
        <v>8.5138557937108117E-2</v>
      </c>
      <c r="R53" s="103">
        <f t="shared" si="40"/>
        <v>8.1339386680058287E-2</v>
      </c>
      <c r="S53" s="103">
        <f t="shared" si="40"/>
        <v>6.6629778586343141E-2</v>
      </c>
      <c r="T53" s="103">
        <f t="shared" si="40"/>
        <v>5.4717860126051676E-2</v>
      </c>
      <c r="U53" s="103">
        <f t="shared" si="40"/>
        <v>5.0765053319107745E-2</v>
      </c>
      <c r="V53" s="103">
        <f t="shared" si="40"/>
        <v>9.3304245530181865E-2</v>
      </c>
      <c r="W53" s="103">
        <f t="shared" ref="W53:Y53" si="41">IF(W7=0,0,W7/W$3)</f>
        <v>7.0407640774524369E-2</v>
      </c>
      <c r="X53" s="103">
        <f t="shared" si="41"/>
        <v>4.419608307397889E-2</v>
      </c>
      <c r="Y53" s="103">
        <f t="shared" si="41"/>
        <v>4.8114570497603475E-2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0.73883036151661807</v>
      </c>
      <c r="C54" s="103">
        <f t="shared" si="42"/>
        <v>0.73818737215954977</v>
      </c>
      <c r="D54" s="103">
        <f t="shared" ref="D54:V54" si="43">IF(D8=0,0,D8/D$3)</f>
        <v>0.71668217563093706</v>
      </c>
      <c r="E54" s="103">
        <f t="shared" si="43"/>
        <v>0.70302764760990166</v>
      </c>
      <c r="F54" s="103">
        <f t="shared" si="43"/>
        <v>0.70918495957163974</v>
      </c>
      <c r="G54" s="103">
        <f t="shared" si="43"/>
        <v>0.74103263876773651</v>
      </c>
      <c r="H54" s="103">
        <f t="shared" si="43"/>
        <v>0.74821236060466256</v>
      </c>
      <c r="I54" s="103">
        <f t="shared" si="43"/>
        <v>0.75759834878004662</v>
      </c>
      <c r="J54" s="103">
        <f t="shared" si="43"/>
        <v>0.76374925658044768</v>
      </c>
      <c r="K54" s="103">
        <f t="shared" si="43"/>
        <v>0.75448476749900484</v>
      </c>
      <c r="L54" s="103">
        <f t="shared" si="43"/>
        <v>0.78003861266918217</v>
      </c>
      <c r="M54" s="103">
        <f t="shared" si="43"/>
        <v>0.77436969430355806</v>
      </c>
      <c r="N54" s="103">
        <f t="shared" si="43"/>
        <v>0.78939605206586538</v>
      </c>
      <c r="O54" s="103">
        <f t="shared" si="43"/>
        <v>0.80296236563442369</v>
      </c>
      <c r="P54" s="103">
        <f t="shared" si="43"/>
        <v>0.8065730500104672</v>
      </c>
      <c r="Q54" s="103">
        <f t="shared" si="43"/>
        <v>0.79822892702675419</v>
      </c>
      <c r="R54" s="103">
        <f t="shared" si="43"/>
        <v>0.81105697515257291</v>
      </c>
      <c r="S54" s="103">
        <f t="shared" si="43"/>
        <v>0.8368797700985432</v>
      </c>
      <c r="T54" s="103">
        <f t="shared" si="43"/>
        <v>0.84566902290644475</v>
      </c>
      <c r="U54" s="103">
        <f t="shared" si="43"/>
        <v>0.85155426423604386</v>
      </c>
      <c r="V54" s="103">
        <f t="shared" si="43"/>
        <v>0.73172749663544334</v>
      </c>
      <c r="W54" s="103">
        <f t="shared" ref="W54:Y54" si="44">IF(W8=0,0,W8/W$3)</f>
        <v>0.78471666422596986</v>
      </c>
      <c r="X54" s="103">
        <f t="shared" si="44"/>
        <v>0.85948860125481263</v>
      </c>
      <c r="Y54" s="103">
        <f t="shared" si="44"/>
        <v>0.85327399473232746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0.14568602576128853</v>
      </c>
      <c r="C55" s="103">
        <f t="shared" si="45"/>
        <v>0.14556322848117162</v>
      </c>
      <c r="D55" s="103">
        <f t="shared" ref="D55:V55" si="46">IF(D9=0,0,D9/D$3)</f>
        <v>0.1413041454434196</v>
      </c>
      <c r="E55" s="103">
        <f t="shared" si="46"/>
        <v>0.1385421814780334</v>
      </c>
      <c r="F55" s="103">
        <f t="shared" si="46"/>
        <v>0.13972021305691143</v>
      </c>
      <c r="G55" s="103">
        <f t="shared" si="46"/>
        <v>0.13146297984099276</v>
      </c>
      <c r="H55" s="103">
        <f t="shared" si="46"/>
        <v>0.11827787494141737</v>
      </c>
      <c r="I55" s="103">
        <f t="shared" si="46"/>
        <v>0.11350030975856236</v>
      </c>
      <c r="J55" s="103">
        <f t="shared" si="46"/>
        <v>0.12165880587221749</v>
      </c>
      <c r="K55" s="103">
        <f t="shared" si="46"/>
        <v>0.12176535180196144</v>
      </c>
      <c r="L55" s="103">
        <f t="shared" si="46"/>
        <v>0.12416876978998305</v>
      </c>
      <c r="M55" s="103">
        <f t="shared" si="46"/>
        <v>0.12611369472991013</v>
      </c>
      <c r="N55" s="103">
        <f t="shared" si="46"/>
        <v>0.12409752998981458</v>
      </c>
      <c r="O55" s="103">
        <f t="shared" si="46"/>
        <v>0.11657107984234077</v>
      </c>
      <c r="P55" s="103">
        <f t="shared" si="46"/>
        <v>0.11310750378374738</v>
      </c>
      <c r="Q55" s="103">
        <f t="shared" si="46"/>
        <v>0.11202117864258586</v>
      </c>
      <c r="R55" s="103">
        <f t="shared" si="46"/>
        <v>0.10364722642927653</v>
      </c>
      <c r="S55" s="103">
        <f t="shared" si="46"/>
        <v>9.3234583852954231E-2</v>
      </c>
      <c r="T55" s="103">
        <f t="shared" si="46"/>
        <v>9.3336847917740454E-2</v>
      </c>
      <c r="U55" s="103">
        <f t="shared" si="46"/>
        <v>9.3407186880176407E-2</v>
      </c>
      <c r="V55" s="103">
        <f t="shared" si="46"/>
        <v>0.1660727514596769</v>
      </c>
      <c r="W55" s="103">
        <f t="shared" ref="W55:Y55" si="47">IF(W9=0,0,W9/W$3)</f>
        <v>0.1385270615520536</v>
      </c>
      <c r="X55" s="103">
        <f t="shared" si="47"/>
        <v>9.3350028341401367E-2</v>
      </c>
      <c r="Y55" s="103">
        <f t="shared" si="47"/>
        <v>9.4904926036731674E-2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6.2068803067758249E-3</v>
      </c>
      <c r="C56" s="17">
        <f t="shared" si="48"/>
        <v>7.3500011089948922E-3</v>
      </c>
      <c r="D56" s="17">
        <f t="shared" ref="D56:V56" si="49">IF(D10=0,0,D10/D$3)</f>
        <v>7.7337903033622675E-3</v>
      </c>
      <c r="E56" s="17">
        <f t="shared" si="49"/>
        <v>7.340774006820241E-3</v>
      </c>
      <c r="F56" s="17">
        <f t="shared" si="49"/>
        <v>6.551869002742931E-3</v>
      </c>
      <c r="G56" s="17">
        <f t="shared" si="49"/>
        <v>6.5037745537429113E-3</v>
      </c>
      <c r="H56" s="17">
        <f t="shared" si="49"/>
        <v>6.4452007649961193E-3</v>
      </c>
      <c r="I56" s="17">
        <f t="shared" si="49"/>
        <v>7.3457463843618533E-3</v>
      </c>
      <c r="J56" s="17">
        <f t="shared" si="49"/>
        <v>6.7978689114075539E-3</v>
      </c>
      <c r="K56" s="17">
        <f t="shared" si="49"/>
        <v>7.6126980707506009E-3</v>
      </c>
      <c r="L56" s="17">
        <f t="shared" si="49"/>
        <v>5.3140002584821985E-3</v>
      </c>
      <c r="M56" s="17">
        <f t="shared" si="49"/>
        <v>4.775052575567193E-3</v>
      </c>
      <c r="N56" s="17">
        <f t="shared" si="49"/>
        <v>4.4027687090493059E-3</v>
      </c>
      <c r="O56" s="17">
        <f t="shared" si="49"/>
        <v>4.8371735623810629E-3</v>
      </c>
      <c r="P56" s="17">
        <f t="shared" si="49"/>
        <v>4.5498706314291244E-3</v>
      </c>
      <c r="Q56" s="17">
        <f t="shared" si="49"/>
        <v>4.6113363935516953E-3</v>
      </c>
      <c r="R56" s="17">
        <f t="shared" si="49"/>
        <v>3.9564117380923615E-3</v>
      </c>
      <c r="S56" s="17">
        <f t="shared" si="49"/>
        <v>3.2558674621594691E-3</v>
      </c>
      <c r="T56" s="17">
        <f t="shared" si="49"/>
        <v>6.2762690497632041E-3</v>
      </c>
      <c r="U56" s="17">
        <f t="shared" si="49"/>
        <v>4.2734955646719737E-3</v>
      </c>
      <c r="V56" s="17">
        <f t="shared" si="49"/>
        <v>8.8955063746978796E-3</v>
      </c>
      <c r="W56" s="17">
        <f t="shared" ref="W56:Y56" si="50">IF(W10=0,0,W10/W$3)</f>
        <v>6.3486334474523679E-3</v>
      </c>
      <c r="X56" s="17">
        <f t="shared" si="50"/>
        <v>2.9652873298070914E-3</v>
      </c>
      <c r="Y56" s="17">
        <f t="shared" si="50"/>
        <v>3.706508733337585E-3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1.8345050733085636E-3</v>
      </c>
      <c r="C57" s="104">
        <f t="shared" si="51"/>
        <v>2.211839238342307E-3</v>
      </c>
      <c r="D57" s="104">
        <f t="shared" ref="D57:V57" si="52">IF(D11=0,0,D11/D$3)</f>
        <v>2.293551055566819E-3</v>
      </c>
      <c r="E57" s="104">
        <f t="shared" si="52"/>
        <v>2.1180930232772939E-3</v>
      </c>
      <c r="F57" s="104">
        <f t="shared" si="52"/>
        <v>1.8858655729173061E-3</v>
      </c>
      <c r="G57" s="104">
        <f t="shared" si="52"/>
        <v>1.9353442056395144E-3</v>
      </c>
      <c r="H57" s="104">
        <f t="shared" si="52"/>
        <v>2.4126058437710469E-3</v>
      </c>
      <c r="I57" s="104">
        <f t="shared" si="52"/>
        <v>2.7678751540174823E-3</v>
      </c>
      <c r="J57" s="104">
        <f t="shared" si="52"/>
        <v>2.2889600959114481E-3</v>
      </c>
      <c r="K57" s="104">
        <f t="shared" si="52"/>
        <v>1.7548629343395105E-3</v>
      </c>
      <c r="L57" s="104">
        <f t="shared" si="52"/>
        <v>1.254086728554305E-3</v>
      </c>
      <c r="M57" s="104">
        <f t="shared" si="52"/>
        <v>1.0972445797580814E-3</v>
      </c>
      <c r="N57" s="104">
        <f t="shared" si="52"/>
        <v>8.1577661112338404E-4</v>
      </c>
      <c r="O57" s="104">
        <f t="shared" si="52"/>
        <v>6.2952319152376809E-4</v>
      </c>
      <c r="P57" s="104">
        <f t="shared" si="52"/>
        <v>4.8932857802202372E-4</v>
      </c>
      <c r="Q57" s="104">
        <f t="shared" si="52"/>
        <v>4.9076335695093861E-4</v>
      </c>
      <c r="R57" s="104">
        <f t="shared" si="52"/>
        <v>3.2801484591789173E-4</v>
      </c>
      <c r="S57" s="104">
        <f t="shared" si="52"/>
        <v>2.6355746864765908E-4</v>
      </c>
      <c r="T57" s="104">
        <f t="shared" si="52"/>
        <v>1.7777168039726667E-4</v>
      </c>
      <c r="U57" s="104">
        <f t="shared" si="52"/>
        <v>1.3510691181876426E-4</v>
      </c>
      <c r="V57" s="104">
        <f t="shared" si="52"/>
        <v>8.9272150385650894E-5</v>
      </c>
      <c r="W57" s="104">
        <f t="shared" ref="W57:Y57" si="53">IF(W11=0,0,W11/W$3)</f>
        <v>4.0952257065593154E-5</v>
      </c>
      <c r="X57" s="104">
        <f t="shared" si="53"/>
        <v>3.0699650794794294E-5</v>
      </c>
      <c r="Y57" s="104">
        <f t="shared" si="53"/>
        <v>2.4164676896127794E-5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3.7994301546745825E-3</v>
      </c>
      <c r="C58" s="104">
        <f t="shared" si="54"/>
        <v>4.4845812682319736E-3</v>
      </c>
      <c r="D58" s="104">
        <f t="shared" ref="D58:V58" si="55">IF(D12=0,0,D12/D$3)</f>
        <v>4.7640548693071308E-3</v>
      </c>
      <c r="E58" s="104">
        <f t="shared" si="55"/>
        <v>4.4514823528849891E-3</v>
      </c>
      <c r="F58" s="104">
        <f t="shared" si="55"/>
        <v>3.9932480894655249E-3</v>
      </c>
      <c r="G58" s="104">
        <f t="shared" si="55"/>
        <v>3.8999126899562811E-3</v>
      </c>
      <c r="H58" s="104">
        <f t="shared" si="55"/>
        <v>3.5405669091379838E-3</v>
      </c>
      <c r="I58" s="104">
        <f t="shared" si="55"/>
        <v>4.1233859730581291E-3</v>
      </c>
      <c r="J58" s="104">
        <f t="shared" si="55"/>
        <v>4.1154885755155315E-3</v>
      </c>
      <c r="K58" s="104">
        <f t="shared" si="55"/>
        <v>5.5729005404202107E-3</v>
      </c>
      <c r="L58" s="104">
        <f t="shared" si="55"/>
        <v>3.7795340129697925E-3</v>
      </c>
      <c r="M58" s="104">
        <f t="shared" si="55"/>
        <v>2.6672383893261522E-3</v>
      </c>
      <c r="N58" s="104">
        <f t="shared" si="55"/>
        <v>2.865083342315668E-3</v>
      </c>
      <c r="O58" s="104">
        <f t="shared" si="55"/>
        <v>2.7458198691099403E-3</v>
      </c>
      <c r="P58" s="104">
        <f t="shared" si="55"/>
        <v>2.3082082495135174E-3</v>
      </c>
      <c r="Q58" s="104">
        <f t="shared" si="55"/>
        <v>2.2500304703353719E-3</v>
      </c>
      <c r="R58" s="104">
        <f t="shared" si="55"/>
        <v>1.9902027566928064E-3</v>
      </c>
      <c r="S58" s="104">
        <f t="shared" si="55"/>
        <v>1.5622844391210461E-3</v>
      </c>
      <c r="T58" s="104">
        <f t="shared" si="55"/>
        <v>1.6202772745723363E-3</v>
      </c>
      <c r="U58" s="104">
        <f t="shared" si="55"/>
        <v>1.639073330958369E-3</v>
      </c>
      <c r="V58" s="104">
        <f t="shared" si="55"/>
        <v>7.330920633136952E-3</v>
      </c>
      <c r="W58" s="104">
        <f t="shared" ref="W58:Y58" si="56">IF(W12=0,0,W12/W$3)</f>
        <v>5.0584668847557359E-3</v>
      </c>
      <c r="X58" s="104">
        <f t="shared" si="56"/>
        <v>2.7314102024640807E-3</v>
      </c>
      <c r="Y58" s="104">
        <f t="shared" si="56"/>
        <v>3.5404489628579399E-3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5.729450787926786E-4</v>
      </c>
      <c r="C59" s="105">
        <f t="shared" si="57"/>
        <v>6.5358060242061097E-4</v>
      </c>
      <c r="D59" s="105">
        <f t="shared" ref="D59:V59" si="58">IF(D13=0,0,D13/D$3)</f>
        <v>6.7618437848831808E-4</v>
      </c>
      <c r="E59" s="105">
        <f t="shared" si="58"/>
        <v>7.71198630657958E-4</v>
      </c>
      <c r="F59" s="105">
        <f t="shared" si="58"/>
        <v>6.7275534036010125E-4</v>
      </c>
      <c r="G59" s="105">
        <f t="shared" si="58"/>
        <v>6.6851765814711589E-4</v>
      </c>
      <c r="H59" s="105">
        <f t="shared" si="58"/>
        <v>4.9202801208708886E-4</v>
      </c>
      <c r="I59" s="105">
        <f t="shared" si="58"/>
        <v>4.5448525728624127E-4</v>
      </c>
      <c r="J59" s="105">
        <f t="shared" si="58"/>
        <v>3.9342023998057481E-4</v>
      </c>
      <c r="K59" s="105">
        <f t="shared" si="58"/>
        <v>2.8493459599088027E-4</v>
      </c>
      <c r="L59" s="105">
        <f t="shared" si="58"/>
        <v>2.8037951695810082E-4</v>
      </c>
      <c r="M59" s="105">
        <f t="shared" si="58"/>
        <v>1.0105696064829593E-3</v>
      </c>
      <c r="N59" s="105">
        <f t="shared" si="58"/>
        <v>7.2190875561025422E-4</v>
      </c>
      <c r="O59" s="105">
        <f t="shared" si="58"/>
        <v>1.4618305017473547E-3</v>
      </c>
      <c r="P59" s="105">
        <f t="shared" si="58"/>
        <v>1.752333803893583E-3</v>
      </c>
      <c r="Q59" s="105">
        <f t="shared" si="58"/>
        <v>1.8705425662653844E-3</v>
      </c>
      <c r="R59" s="105">
        <f t="shared" si="58"/>
        <v>1.6381941354816634E-3</v>
      </c>
      <c r="S59" s="105">
        <f t="shared" si="58"/>
        <v>1.4300255543907637E-3</v>
      </c>
      <c r="T59" s="105">
        <f t="shared" si="58"/>
        <v>4.4782200947936016E-3</v>
      </c>
      <c r="U59" s="105">
        <f t="shared" si="58"/>
        <v>2.4993153218948404E-3</v>
      </c>
      <c r="V59" s="105">
        <f t="shared" si="58"/>
        <v>1.4753135911752771E-3</v>
      </c>
      <c r="W59" s="105">
        <f t="shared" ref="W59:Y59" si="59">IF(W13=0,0,W13/W$3)</f>
        <v>1.2492143056310385E-3</v>
      </c>
      <c r="X59" s="105">
        <f t="shared" si="59"/>
        <v>2.0317747654821644E-4</v>
      </c>
      <c r="Y59" s="105">
        <f t="shared" si="59"/>
        <v>1.4189509358351736E-4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2329222</v>
      </c>
      <c r="C4" s="11">
        <f t="shared" si="0"/>
        <v>2333723</v>
      </c>
      <c r="D4" s="11">
        <f t="shared" ref="D4" si="1">SUM(D5:D7)</f>
        <v>2376676</v>
      </c>
      <c r="E4" s="11">
        <f t="shared" ref="E4" si="2">SUM(E5:E7)</f>
        <v>2428890</v>
      </c>
      <c r="F4" s="11">
        <f t="shared" ref="F4" si="3">SUM(F5:F7)</f>
        <v>2769317</v>
      </c>
      <c r="G4" s="11">
        <f t="shared" ref="G4" si="4">SUM(G5:G7)</f>
        <v>3259426</v>
      </c>
      <c r="H4" s="11">
        <f t="shared" ref="H4" si="5">SUM(H5:H7)</f>
        <v>3591741</v>
      </c>
      <c r="I4" s="11">
        <f t="shared" ref="I4" si="6">SUM(I5:I7)</f>
        <v>3758321</v>
      </c>
      <c r="J4" s="11">
        <f t="shared" ref="J4" si="7">SUM(J5:J7)</f>
        <v>3817601</v>
      </c>
      <c r="K4" s="11">
        <f t="shared" ref="K4" si="8">SUM(K5:K7)</f>
        <v>3694917</v>
      </c>
      <c r="L4" s="11">
        <f t="shared" ref="L4" si="9">SUM(L5:L7)</f>
        <v>3752379</v>
      </c>
      <c r="M4" s="11">
        <f t="shared" ref="M4" si="10">SUM(M5:M7)</f>
        <v>3803462</v>
      </c>
      <c r="N4" s="11">
        <f t="shared" ref="N4" si="11">SUM(N5:N7)</f>
        <v>3977533</v>
      </c>
      <c r="O4" s="11">
        <f t="shared" ref="O4" si="12">SUM(O5:O7)</f>
        <v>4153146</v>
      </c>
      <c r="P4" s="11">
        <f t="shared" ref="P4" si="13">SUM(P5:P7)</f>
        <v>4454591</v>
      </c>
      <c r="Q4" s="11">
        <f t="shared" ref="Q4" si="14">SUM(Q5:Q7)</f>
        <v>4723028</v>
      </c>
      <c r="R4" s="11">
        <f t="shared" ref="R4" si="15">SUM(R5:R7)</f>
        <v>5279976</v>
      </c>
      <c r="S4" s="11">
        <f t="shared" ref="S4" si="16">SUM(S5:S7)</f>
        <v>6016823</v>
      </c>
      <c r="T4" s="11">
        <f t="shared" ref="T4" si="17">SUM(T5:T7)</f>
        <v>6592403</v>
      </c>
      <c r="U4" s="11">
        <f t="shared" ref="U4" si="18">SUM(U5:U7)</f>
        <v>7132361</v>
      </c>
      <c r="V4" s="11">
        <f t="shared" ref="V4:W4" si="19">SUM(V5:V7)</f>
        <v>2032236</v>
      </c>
      <c r="W4" s="11">
        <f t="shared" si="19"/>
        <v>3723201</v>
      </c>
      <c r="X4" s="11">
        <f t="shared" ref="X4:Y4" si="20">SUM(X5:X7)</f>
        <v>6538072</v>
      </c>
      <c r="Y4" s="11">
        <f t="shared" si="20"/>
        <v>7181661</v>
      </c>
      <c r="DA4" s="189" t="s">
        <v>362</v>
      </c>
    </row>
    <row r="5" spans="1:105" ht="11.45" customHeight="1" x14ac:dyDescent="0.25">
      <c r="A5" s="83" t="s">
        <v>27</v>
      </c>
      <c r="B5" s="84">
        <v>722316</v>
      </c>
      <c r="C5" s="84">
        <v>716054</v>
      </c>
      <c r="D5" s="84">
        <v>845201</v>
      </c>
      <c r="E5" s="84">
        <v>930206</v>
      </c>
      <c r="F5" s="84">
        <v>1014491</v>
      </c>
      <c r="G5" s="84">
        <v>1005066</v>
      </c>
      <c r="H5" s="84">
        <v>940914</v>
      </c>
      <c r="I5" s="84">
        <v>961394</v>
      </c>
      <c r="J5" s="84">
        <v>1036028</v>
      </c>
      <c r="K5" s="84">
        <v>960751</v>
      </c>
      <c r="L5" s="84">
        <v>758617</v>
      </c>
      <c r="M5" s="84">
        <v>812067</v>
      </c>
      <c r="N5" s="84">
        <v>778647</v>
      </c>
      <c r="O5" s="84">
        <v>727296</v>
      </c>
      <c r="P5" s="84">
        <v>788880</v>
      </c>
      <c r="Q5" s="84">
        <v>807060</v>
      </c>
      <c r="R5" s="84">
        <v>834897</v>
      </c>
      <c r="S5" s="84">
        <v>825485</v>
      </c>
      <c r="T5" s="84">
        <v>829192</v>
      </c>
      <c r="U5" s="84">
        <v>841763</v>
      </c>
      <c r="V5" s="84">
        <v>429284</v>
      </c>
      <c r="W5" s="84">
        <v>579737</v>
      </c>
      <c r="X5" s="84">
        <v>690321</v>
      </c>
      <c r="Y5" s="84">
        <v>781327</v>
      </c>
      <c r="DA5" s="171" t="s">
        <v>363</v>
      </c>
    </row>
    <row r="6" spans="1:105" ht="11.45" customHeight="1" x14ac:dyDescent="0.25">
      <c r="A6" s="83" t="s">
        <v>181</v>
      </c>
      <c r="B6" s="84">
        <v>1397495</v>
      </c>
      <c r="C6" s="84">
        <v>1407186</v>
      </c>
      <c r="D6" s="84">
        <v>1332614</v>
      </c>
      <c r="E6" s="84">
        <v>1304733</v>
      </c>
      <c r="F6" s="84">
        <v>1528702</v>
      </c>
      <c r="G6" s="84">
        <v>2013952</v>
      </c>
      <c r="H6" s="84">
        <v>2365782</v>
      </c>
      <c r="I6" s="84">
        <v>2482913</v>
      </c>
      <c r="J6" s="84">
        <v>2404528</v>
      </c>
      <c r="K6" s="84">
        <v>2371415</v>
      </c>
      <c r="L6" s="84">
        <v>2560002</v>
      </c>
      <c r="M6" s="84">
        <v>2526691</v>
      </c>
      <c r="N6" s="84">
        <v>2713438</v>
      </c>
      <c r="O6" s="84">
        <v>3017921</v>
      </c>
      <c r="P6" s="84">
        <v>3247282</v>
      </c>
      <c r="Q6" s="84">
        <v>3443244</v>
      </c>
      <c r="R6" s="84">
        <v>3904820</v>
      </c>
      <c r="S6" s="84">
        <v>4589458</v>
      </c>
      <c r="T6" s="84">
        <v>4995926</v>
      </c>
      <c r="U6" s="84">
        <v>5499041</v>
      </c>
      <c r="V6" s="84">
        <v>1448502</v>
      </c>
      <c r="W6" s="84">
        <v>2794555</v>
      </c>
      <c r="X6" s="84">
        <v>5462218</v>
      </c>
      <c r="Y6" s="84">
        <v>5916720</v>
      </c>
      <c r="DA6" s="171" t="s">
        <v>364</v>
      </c>
    </row>
    <row r="7" spans="1:105" ht="11.45" customHeight="1" x14ac:dyDescent="0.25">
      <c r="A7" s="85" t="s">
        <v>182</v>
      </c>
      <c r="B7" s="86">
        <v>209411</v>
      </c>
      <c r="C7" s="86">
        <v>210483</v>
      </c>
      <c r="D7" s="86">
        <v>198861</v>
      </c>
      <c r="E7" s="86">
        <v>193951</v>
      </c>
      <c r="F7" s="86">
        <v>226124</v>
      </c>
      <c r="G7" s="86">
        <v>240408</v>
      </c>
      <c r="H7" s="86">
        <v>285045</v>
      </c>
      <c r="I7" s="86">
        <v>314014</v>
      </c>
      <c r="J7" s="86">
        <v>377045</v>
      </c>
      <c r="K7" s="86">
        <v>362751</v>
      </c>
      <c r="L7" s="86">
        <v>433760</v>
      </c>
      <c r="M7" s="86">
        <v>464704</v>
      </c>
      <c r="N7" s="86">
        <v>485448</v>
      </c>
      <c r="O7" s="86">
        <v>407929</v>
      </c>
      <c r="P7" s="86">
        <v>418429</v>
      </c>
      <c r="Q7" s="86">
        <v>472724</v>
      </c>
      <c r="R7" s="86">
        <v>540259</v>
      </c>
      <c r="S7" s="86">
        <v>601880</v>
      </c>
      <c r="T7" s="86">
        <v>767285</v>
      </c>
      <c r="U7" s="86">
        <v>791557</v>
      </c>
      <c r="V7" s="86">
        <v>154450</v>
      </c>
      <c r="W7" s="86">
        <v>348909</v>
      </c>
      <c r="X7" s="86">
        <v>385533</v>
      </c>
      <c r="Y7" s="86">
        <v>483614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114.4805858645434</v>
      </c>
      <c r="C12" s="14">
        <f>IF(C4=0,0,C4/TrAvia_act!C24)</f>
        <v>114.58354200422252</v>
      </c>
      <c r="D12" s="14">
        <f>IF(D4=0,0,D4/TrAvia_act!D24)</f>
        <v>116.89911957109832</v>
      </c>
      <c r="E12" s="14">
        <f>IF(E4=0,0,E4/TrAvia_act!E24)</f>
        <v>118.62710622710622</v>
      </c>
      <c r="F12" s="14">
        <f>IF(F4=0,0,F4/TrAvia_act!F24)</f>
        <v>118.90073418917179</v>
      </c>
      <c r="G12" s="14">
        <f>IF(G4=0,0,G4/TrAvia_act!G24)</f>
        <v>118.33954180735577</v>
      </c>
      <c r="H12" s="14">
        <f>IF(H4=0,0,H4/TrAvia_act!H24)</f>
        <v>118.1416025261496</v>
      </c>
      <c r="I12" s="14">
        <f>IF(I4=0,0,I4/TrAvia_act!I24)</f>
        <v>118.34622287999497</v>
      </c>
      <c r="J12" s="14">
        <f>IF(J4=0,0,J4/TrAvia_act!J24)</f>
        <v>118.64747016409747</v>
      </c>
      <c r="K12" s="14">
        <f>IF(K4=0,0,K4/TrAvia_act!K24)</f>
        <v>115.62875919261461</v>
      </c>
      <c r="L12" s="14">
        <f>IF(L4=0,0,L4/TrAvia_act!L24)</f>
        <v>116.22309979557703</v>
      </c>
      <c r="M12" s="14">
        <f>IF(M4=0,0,M4/TrAvia_act!M24)</f>
        <v>117.83450027882769</v>
      </c>
      <c r="N12" s="14">
        <f>IF(N4=0,0,N4/TrAvia_act!N24)</f>
        <v>122.57798391321766</v>
      </c>
      <c r="O12" s="14">
        <f>IF(O4=0,0,O4/TrAvia_act!O24)</f>
        <v>125.09475903614458</v>
      </c>
      <c r="P12" s="14">
        <f>IF(P4=0,0,P4/TrAvia_act!P24)</f>
        <v>126.14949592206615</v>
      </c>
      <c r="Q12" s="14">
        <f>IF(Q4=0,0,Q4/TrAvia_act!Q24)</f>
        <v>129.38384834538681</v>
      </c>
      <c r="R12" s="14">
        <f>IF(R4=0,0,R4/TrAvia_act!R24)</f>
        <v>130.77987764099768</v>
      </c>
      <c r="S12" s="14">
        <f>IF(S4=0,0,S4/TrAvia_act!S24)</f>
        <v>135.97340112994351</v>
      </c>
      <c r="T12" s="14">
        <f>IF(T4=0,0,T4/TrAvia_act!T24)</f>
        <v>137.97699826283514</v>
      </c>
      <c r="U12" s="14">
        <f>IF(U4=0,0,U4/TrAvia_act!U24)</f>
        <v>141.52071510774238</v>
      </c>
      <c r="V12" s="14">
        <f>IF(V4=0,0,V4/TrAvia_act!V24)</f>
        <v>119.32570019376431</v>
      </c>
      <c r="W12" s="14">
        <f>IF(W4=0,0,W4/TrAvia_act!W24)</f>
        <v>132.93822972828221</v>
      </c>
      <c r="X12" s="14">
        <f>IF(X4=0,0,X4/TrAvia_act!X24)</f>
        <v>146.32124074032629</v>
      </c>
      <c r="Y12" s="14">
        <f>IF(Y4=0,0,Y4/TrAvia_act!Y24)</f>
        <v>146.00729867647956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148.80840543881334</v>
      </c>
      <c r="C13" s="87">
        <f>IF(C5=0,0,C5/TrAvia_act!C25)</f>
        <v>147.36653632434658</v>
      </c>
      <c r="D13" s="87">
        <f>IF(D5=0,0,D5/TrAvia_act!D25)</f>
        <v>146.27916233991002</v>
      </c>
      <c r="E13" s="87">
        <f>IF(E5=0,0,E5/TrAvia_act!E25)</f>
        <v>145.48107600875821</v>
      </c>
      <c r="F13" s="87">
        <f>IF(F5=0,0,F5/TrAvia_act!F25)</f>
        <v>144.74118989870166</v>
      </c>
      <c r="G13" s="87">
        <f>IF(G5=0,0,G5/TrAvia_act!G25)</f>
        <v>142.03872244205766</v>
      </c>
      <c r="H13" s="87">
        <f>IF(H5=0,0,H5/TrAvia_act!H25)</f>
        <v>139.04448056745974</v>
      </c>
      <c r="I13" s="87">
        <f>IF(I5=0,0,I5/TrAvia_act!I25)</f>
        <v>135.65598984055313</v>
      </c>
      <c r="J13" s="87">
        <f>IF(J5=0,0,J5/TrAvia_act!J25)</f>
        <v>132.75602255253716</v>
      </c>
      <c r="K13" s="87">
        <f>IF(K5=0,0,K5/TrAvia_act!K25)</f>
        <v>118.07189381836058</v>
      </c>
      <c r="L13" s="87">
        <f>IF(L5=0,0,L5/TrAvia_act!L25)</f>
        <v>104.70904071773637</v>
      </c>
      <c r="M13" s="87">
        <f>IF(M5=0,0,M5/TrAvia_act!M25)</f>
        <v>105.66909564085881</v>
      </c>
      <c r="N13" s="87">
        <f>IF(N5=0,0,N5/TrAvia_act!N25)</f>
        <v>106.98639736191261</v>
      </c>
      <c r="O13" s="87">
        <f>IF(O5=0,0,O5/TrAvia_act!O25)</f>
        <v>105.23744754738823</v>
      </c>
      <c r="P13" s="87">
        <f>IF(P5=0,0,P5/TrAvia_act!P25)</f>
        <v>102.35889451148307</v>
      </c>
      <c r="Q13" s="87">
        <f>IF(Q5=0,0,Q5/TrAvia_act!Q25)</f>
        <v>106.37406089363385</v>
      </c>
      <c r="R13" s="87">
        <f>IF(R5=0,0,R5/TrAvia_act!R25)</f>
        <v>101.95347417267065</v>
      </c>
      <c r="S13" s="87">
        <f>IF(S5=0,0,S5/TrAvia_act!S25)</f>
        <v>101.01382770435634</v>
      </c>
      <c r="T13" s="87">
        <f>IF(T5=0,0,T5/TrAvia_act!T25)</f>
        <v>99.902650602409636</v>
      </c>
      <c r="U13" s="87">
        <f>IF(U5=0,0,U5/TrAvia_act!U25)</f>
        <v>100.48501850304405</v>
      </c>
      <c r="V13" s="87">
        <f>IF(V5=0,0,V5/TrAvia_act!V25)</f>
        <v>84.521362472927748</v>
      </c>
      <c r="W13" s="87">
        <f>IF(W5=0,0,W5/TrAvia_act!W25)</f>
        <v>87.021465025517855</v>
      </c>
      <c r="X13" s="87">
        <f>IF(X5=0,0,X5/TrAvia_act!X25)</f>
        <v>98.65956838645134</v>
      </c>
      <c r="Y13" s="87">
        <f>IF(Y5=0,0,Y5/TrAvia_act!Y25)</f>
        <v>97.617066466766616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103.3879559073759</v>
      </c>
      <c r="C14" s="87">
        <f>IF(C6=0,0,C6/TrAvia_act!C26)</f>
        <v>103.99719163402557</v>
      </c>
      <c r="D14" s="87">
        <f>IF(D6=0,0,D6/TrAvia_act!D26)</f>
        <v>104.94676326980627</v>
      </c>
      <c r="E14" s="87">
        <f>IF(E6=0,0,E6/TrAvia_act!E26)</f>
        <v>106.18808496785221</v>
      </c>
      <c r="F14" s="87">
        <f>IF(F6=0,0,F6/TrAvia_act!F26)</f>
        <v>107.59445382882883</v>
      </c>
      <c r="G14" s="87">
        <f>IF(G6=0,0,G6/TrAvia_act!G26)</f>
        <v>110.14230243368881</v>
      </c>
      <c r="H14" s="87">
        <f>IF(H6=0,0,H6/TrAvia_act!H26)</f>
        <v>112.35133209858954</v>
      </c>
      <c r="I14" s="87">
        <f>IF(I6=0,0,I6/TrAvia_act!I26)</f>
        <v>113.76462772050401</v>
      </c>
      <c r="J14" s="87">
        <f>IF(J6=0,0,J6/TrAvia_act!J26)</f>
        <v>114.64873885471798</v>
      </c>
      <c r="K14" s="87">
        <f>IF(K6=0,0,K6/TrAvia_act!K26)</f>
        <v>115.53788063337393</v>
      </c>
      <c r="L14" s="87">
        <f>IF(L6=0,0,L6/TrAvia_act!L26)</f>
        <v>119.94012368815592</v>
      </c>
      <c r="M14" s="87">
        <f>IF(M6=0,0,M6/TrAvia_act!M26)</f>
        <v>120.99272135229613</v>
      </c>
      <c r="N14" s="87">
        <f>IF(N6=0,0,N6/TrAvia_act!N26)</f>
        <v>127.6611620795107</v>
      </c>
      <c r="O14" s="87">
        <f>IF(O6=0,0,O6/TrAvia_act!O26)</f>
        <v>131.91367252382202</v>
      </c>
      <c r="P14" s="87">
        <f>IF(P6=0,0,P6/TrAvia_act!P26)</f>
        <v>134.67493364299935</v>
      </c>
      <c r="Q14" s="87">
        <f>IF(Q6=0,0,Q6/TrAvia_act!Q26)</f>
        <v>139.00302773404385</v>
      </c>
      <c r="R14" s="87">
        <f>IF(R6=0,0,R6/TrAvia_act!R26)</f>
        <v>141.62779732327445</v>
      </c>
      <c r="S14" s="87">
        <f>IF(S6=0,0,S6/TrAvia_act!S26)</f>
        <v>146.13781245024677</v>
      </c>
      <c r="T14" s="87">
        <f>IF(T6=0,0,T6/TrAvia_act!T26)</f>
        <v>146.96925837672461</v>
      </c>
      <c r="U14" s="87">
        <f>IF(U6=0,0,U6/TrAvia_act!U26)</f>
        <v>151.19301091528965</v>
      </c>
      <c r="V14" s="87">
        <f>IF(V6=0,0,V6/TrAvia_act!V26)</f>
        <v>136.88357588357587</v>
      </c>
      <c r="W14" s="87">
        <f>IF(W6=0,0,W6/TrAvia_act!W26)</f>
        <v>149.29773480072657</v>
      </c>
      <c r="X14" s="87">
        <f>IF(X6=0,0,X6/TrAvia_act!X26)</f>
        <v>158.43537533356539</v>
      </c>
      <c r="Y14" s="87">
        <f>IF(Y6=0,0,Y6/TrAvia_act!Y26)</f>
        <v>160.0064903456109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106.03088607594937</v>
      </c>
      <c r="C15" s="88">
        <f>IF(C7=0,0,C7/TrAvia_act!C27)</f>
        <v>106.46585735963581</v>
      </c>
      <c r="D15" s="88">
        <f>IF(D7=0,0,D7/TrAvia_act!D27)</f>
        <v>107.20269541778976</v>
      </c>
      <c r="E15" s="88">
        <f>IF(E7=0,0,E7/TrAvia_act!E27)</f>
        <v>108.11092530657749</v>
      </c>
      <c r="F15" s="88">
        <f>IF(F7=0,0,F7/TrAvia_act!F27)</f>
        <v>109.02796528447445</v>
      </c>
      <c r="G15" s="88">
        <f>IF(G7=0,0,G7/TrAvia_act!G27)</f>
        <v>110.17781851512375</v>
      </c>
      <c r="H15" s="88">
        <f>IF(H7=0,0,H7/TrAvia_act!H27)</f>
        <v>110.56826997672614</v>
      </c>
      <c r="I15" s="88">
        <f>IF(I7=0,0,I7/TrAvia_act!I27)</f>
        <v>110.37398945518453</v>
      </c>
      <c r="J15" s="88">
        <f>IF(J7=0,0,J7/TrAvia_act!J27)</f>
        <v>110.92821418064136</v>
      </c>
      <c r="K15" s="88">
        <f>IF(K7=0,0,K7/TrAvia_act!K27)</f>
        <v>110.15821439416945</v>
      </c>
      <c r="L15" s="88">
        <f>IF(L7=0,0,L7/TrAvia_act!L27)</f>
        <v>117.32756288882878</v>
      </c>
      <c r="M15" s="88">
        <f>IF(M7=0,0,M7/TrAvia_act!M27)</f>
        <v>125.25714285714285</v>
      </c>
      <c r="N15" s="88">
        <f>IF(N7=0,0,N7/TrAvia_act!N27)</f>
        <v>123.9652706843718</v>
      </c>
      <c r="O15" s="88">
        <f>IF(O7=0,0,O7/TrAvia_act!O27)</f>
        <v>119.59220170038112</v>
      </c>
      <c r="P15" s="88">
        <f>IF(P7=0,0,P7/TrAvia_act!P27)</f>
        <v>119.79072430575437</v>
      </c>
      <c r="Q15" s="88">
        <f>IF(Q7=0,0,Q7/TrAvia_act!Q27)</f>
        <v>114.01929570670526</v>
      </c>
      <c r="R15" s="88">
        <f>IF(R7=0,0,R7/TrAvia_act!R27)</f>
        <v>117.11662692391069</v>
      </c>
      <c r="S15" s="88">
        <f>IF(S7=0,0,S7/TrAvia_act!S27)</f>
        <v>128.79948641129894</v>
      </c>
      <c r="T15" s="88">
        <f>IF(T7=0,0,T7/TrAvia_act!T27)</f>
        <v>139.86237695953335</v>
      </c>
      <c r="U15" s="88">
        <f>IF(U7=0,0,U7/TrAvia_act!U27)</f>
        <v>140.09858407079645</v>
      </c>
      <c r="V15" s="88">
        <f>IF(V7=0,0,V7/TrAvia_act!V27)</f>
        <v>112.73722627737226</v>
      </c>
      <c r="W15" s="88">
        <f>IF(W7=0,0,W7/TrAvia_act!W27)</f>
        <v>132.81652074609821</v>
      </c>
      <c r="X15" s="88">
        <f>IF(X7=0,0,X7/TrAvia_act!X27)</f>
        <v>120.10373831775701</v>
      </c>
      <c r="Y15" s="88">
        <f>IF(Y7=0,0,Y7/TrAvia_act!Y27)</f>
        <v>115.00927467300832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0.64270902473014602</v>
      </c>
      <c r="C18" s="25">
        <f>IF(TrAvia_act!C34=0,0,(TrAvia_act!C34/TrAvia_act!C24)/TrAvia_png!C12)</f>
        <v>0.64413385821710623</v>
      </c>
      <c r="D18" s="25">
        <f>IF(TrAvia_act!D34=0,0,(TrAvia_act!D34/TrAvia_act!D24)/TrAvia_png!D12)</f>
        <v>0.63506300396015269</v>
      </c>
      <c r="E18" s="25">
        <f>IF(TrAvia_act!E34=0,0,(TrAvia_act!E34/TrAvia_act!E24)/TrAvia_png!E12)</f>
        <v>0.6308955942838087</v>
      </c>
      <c r="F18" s="25">
        <f>IF(TrAvia_act!F34=0,0,(TrAvia_act!F34/TrAvia_act!F24)/TrAvia_png!F12)</f>
        <v>0.63517502691096761</v>
      </c>
      <c r="G18" s="25">
        <f>IF(TrAvia_act!G34=0,0,(TrAvia_act!G34/TrAvia_act!G24)/TrAvia_png!G12)</f>
        <v>0.64892407436155941</v>
      </c>
      <c r="H18" s="25">
        <f>IF(TrAvia_act!H34=0,0,(TrAvia_act!H34/TrAvia_act!H24)/TrAvia_png!H12)</f>
        <v>0.66372575305402037</v>
      </c>
      <c r="I18" s="25">
        <f>IF(TrAvia_act!I34=0,0,(TrAvia_act!I34/TrAvia_act!I24)/TrAvia_png!I12)</f>
        <v>0.67113186978972794</v>
      </c>
      <c r="J18" s="25">
        <f>IF(TrAvia_act!J34=0,0,(TrAvia_act!J34/TrAvia_act!J24)/TrAvia_png!J12)</f>
        <v>0.67223395006445141</v>
      </c>
      <c r="K18" s="25">
        <f>IF(TrAvia_act!K34=0,0,(TrAvia_act!K34/TrAvia_act!K24)/TrAvia_png!K12)</f>
        <v>0.6670888683020485</v>
      </c>
      <c r="L18" s="25">
        <f>IF(TrAvia_act!L34=0,0,(TrAvia_act!L34/TrAvia_act!L24)/TrAvia_png!L12)</f>
        <v>0.69344008161222526</v>
      </c>
      <c r="M18" s="25">
        <f>IF(TrAvia_act!M34=0,0,(TrAvia_act!M34/TrAvia_act!M24)/TrAvia_png!M12)</f>
        <v>0.73348701788002613</v>
      </c>
      <c r="N18" s="25">
        <f>IF(TrAvia_act!N34=0,0,(TrAvia_act!N34/TrAvia_act!N24)/TrAvia_png!N12)</f>
        <v>0.75680000643615031</v>
      </c>
      <c r="O18" s="25">
        <f>IF(TrAvia_act!O34=0,0,(TrAvia_act!O34/TrAvia_act!O24)/TrAvia_png!O12)</f>
        <v>0.75766587545923014</v>
      </c>
      <c r="P18" s="25">
        <f>IF(TrAvia_act!P34=0,0,(TrAvia_act!P34/TrAvia_act!P24)/TrAvia_png!P12)</f>
        <v>0.75241049066008536</v>
      </c>
      <c r="Q18" s="25">
        <f>IF(TrAvia_act!Q34=0,0,(TrAvia_act!Q34/TrAvia_act!Q24)/TrAvia_png!Q12)</f>
        <v>0.75671878295025985</v>
      </c>
      <c r="R18" s="25">
        <f>IF(TrAvia_act!R34=0,0,(TrAvia_act!R34/TrAvia_act!R24)/TrAvia_png!R12)</f>
        <v>0.76459722544193398</v>
      </c>
      <c r="S18" s="25">
        <f>IF(TrAvia_act!S34=0,0,(TrAvia_act!S34/TrAvia_act!S24)/TrAvia_png!S12)</f>
        <v>0.78809597689677757</v>
      </c>
      <c r="T18" s="25">
        <f>IF(TrAvia_act!T34=0,0,(TrAvia_act!T34/TrAvia_act!T24)/TrAvia_png!T12)</f>
        <v>0.78873090737929707</v>
      </c>
      <c r="U18" s="25">
        <f>IF(TrAvia_act!U34=0,0,(TrAvia_act!U34/TrAvia_act!U24)/TrAvia_png!U12)</f>
        <v>0.79003726816407638</v>
      </c>
      <c r="V18" s="25">
        <f>IF(TrAvia_act!V34=0,0,(TrAvia_act!V34/TrAvia_act!V24)/TrAvia_png!V12)</f>
        <v>0.52749188578491868</v>
      </c>
      <c r="W18" s="25">
        <f>IF(TrAvia_act!W34=0,0,(TrAvia_act!W34/TrAvia_act!W24)/TrAvia_png!W12)</f>
        <v>0.63118483262117731</v>
      </c>
      <c r="X18" s="25">
        <f>IF(TrAvia_act!X34=0,0,(TrAvia_act!X34/TrAvia_act!X24)/TrAvia_png!X12)</f>
        <v>0.75296203529113781</v>
      </c>
      <c r="Y18" s="25">
        <f>IF(TrAvia_act!Y34=0,0,(TrAvia_act!Y34/TrAvia_act!Y24)/TrAvia_png!Y12)</f>
        <v>0.78845478782693856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0.49713837157144525</v>
      </c>
      <c r="C19" s="89">
        <f>IF(TrAvia_act!C35=0,0,(TrAvia_act!C35/TrAvia_act!C25)/TrAvia_png!C13)</f>
        <v>0.49886880039773535</v>
      </c>
      <c r="D19" s="89">
        <f>IF(TrAvia_act!D35=0,0,(TrAvia_act!D35/TrAvia_act!D25)/TrAvia_png!D13)</f>
        <v>0.50114943072712881</v>
      </c>
      <c r="E19" s="89">
        <f>IF(TrAvia_act!E35=0,0,(TrAvia_act!E35/TrAvia_act!E25)/TrAvia_png!E13)</f>
        <v>0.5039432125787191</v>
      </c>
      <c r="F19" s="89">
        <f>IF(TrAvia_act!F35=0,0,(TrAvia_act!F35/TrAvia_act!F25)/TrAvia_png!F13)</f>
        <v>0.50656536134869601</v>
      </c>
      <c r="G19" s="89">
        <f>IF(TrAvia_act!G35=0,0,(TrAvia_act!G35/TrAvia_act!G25)/TrAvia_png!G13)</f>
        <v>0.51372546678526587</v>
      </c>
      <c r="H19" s="89">
        <f>IF(TrAvia_act!H35=0,0,(TrAvia_act!H35/TrAvia_act!H25)/TrAvia_png!H13)</f>
        <v>0.52252703222611208</v>
      </c>
      <c r="I19" s="89">
        <f>IF(TrAvia_act!I35=0,0,(TrAvia_act!I35/TrAvia_act!I25)/TrAvia_png!I13)</f>
        <v>0.53257041337890609</v>
      </c>
      <c r="J19" s="89">
        <f>IF(TrAvia_act!J35=0,0,(TrAvia_act!J35/TrAvia_act!J25)/TrAvia_png!J13)</f>
        <v>0.54271602697996579</v>
      </c>
      <c r="K19" s="89">
        <f>IF(TrAvia_act!K35=0,0,(TrAvia_act!K35/TrAvia_act!K25)/TrAvia_png!K13)</f>
        <v>0.54285970038022335</v>
      </c>
      <c r="L19" s="89">
        <f>IF(TrAvia_act!L35=0,0,(TrAvia_act!L35/TrAvia_act!L25)/TrAvia_png!L13)</f>
        <v>0.61944960368670876</v>
      </c>
      <c r="M19" s="89">
        <f>IF(TrAvia_act!M35=0,0,(TrAvia_act!M35/TrAvia_act!M25)/TrAvia_png!M13)</f>
        <v>0.65535971785579272</v>
      </c>
      <c r="N19" s="89">
        <f>IF(TrAvia_act!N35=0,0,(TrAvia_act!N35/TrAvia_act!N25)/TrAvia_png!N13)</f>
        <v>0.6864689647555311</v>
      </c>
      <c r="O19" s="89">
        <f>IF(TrAvia_act!O35=0,0,(TrAvia_act!O35/TrAvia_act!O25)/TrAvia_png!O13)</f>
        <v>0.69799091429074267</v>
      </c>
      <c r="P19" s="89">
        <f>IF(TrAvia_act!P35=0,0,(TrAvia_act!P35/TrAvia_act!P25)/TrAvia_png!P13)</f>
        <v>0.64745968968664436</v>
      </c>
      <c r="Q19" s="89">
        <f>IF(TrAvia_act!Q35=0,0,(TrAvia_act!Q35/TrAvia_act!Q25)/TrAvia_png!Q13)</f>
        <v>0.62650608381037343</v>
      </c>
      <c r="R19" s="89">
        <f>IF(TrAvia_act!R35=0,0,(TrAvia_act!R35/TrAvia_act!R25)/TrAvia_png!R13)</f>
        <v>0.63312480461661735</v>
      </c>
      <c r="S19" s="89">
        <f>IF(TrAvia_act!S35=0,0,(TrAvia_act!S35/TrAvia_act!S25)/TrAvia_png!S13)</f>
        <v>0.67524546175884481</v>
      </c>
      <c r="T19" s="89">
        <f>IF(TrAvia_act!T35=0,0,(TrAvia_act!T35/TrAvia_act!T25)/TrAvia_png!T13)</f>
        <v>0.6746519503323718</v>
      </c>
      <c r="U19" s="89">
        <f>IF(TrAvia_act!U35=0,0,(TrAvia_act!U35/TrAvia_act!U25)/TrAvia_png!U13)</f>
        <v>0.64414211601127624</v>
      </c>
      <c r="V19" s="89">
        <f>IF(TrAvia_act!V35=0,0,(TrAvia_act!V35/TrAvia_act!V25)/TrAvia_png!V13)</f>
        <v>0.42623298329311132</v>
      </c>
      <c r="W19" s="89">
        <f>IF(TrAvia_act!W35=0,0,(TrAvia_act!W35/TrAvia_act!W25)/TrAvia_png!W13)</f>
        <v>0.42920324215980699</v>
      </c>
      <c r="X19" s="89">
        <f>IF(TrAvia_act!X35=0,0,(TrAvia_act!X35/TrAvia_act!X25)/TrAvia_png!X13)</f>
        <v>0.55129280436202865</v>
      </c>
      <c r="Y19" s="89">
        <f>IF(TrAvia_act!Y35=0,0,(TrAvia_act!Y35/TrAvia_act!Y25)/TrAvia_png!Y13)</f>
        <v>0.56757030027120525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0.70510019713845129</v>
      </c>
      <c r="C20" s="89">
        <f>IF(TrAvia_act!C36=0,0,(TrAvia_act!C36/TrAvia_act!C26)/TrAvia_png!C14)</f>
        <v>0.70553786066660695</v>
      </c>
      <c r="D20" s="89">
        <f>IF(TrAvia_act!D36=0,0,(TrAvia_act!D36/TrAvia_act!D26)/TrAvia_png!D14)</f>
        <v>0.70623601432973082</v>
      </c>
      <c r="E20" s="89">
        <f>IF(TrAvia_act!E36=0,0,(TrAvia_act!E36/TrAvia_act!E26)/TrAvia_png!E14)</f>
        <v>0.70717763711042791</v>
      </c>
      <c r="F20" s="89">
        <f>IF(TrAvia_act!F36=0,0,(TrAvia_act!F36/TrAvia_act!F26)/TrAvia_png!F14)</f>
        <v>0.70775075848661151</v>
      </c>
      <c r="G20" s="89">
        <f>IF(TrAvia_act!G36=0,0,(TrAvia_act!G36/TrAvia_act!G26)/TrAvia_png!G14)</f>
        <v>0.70761964535401045</v>
      </c>
      <c r="H20" s="89">
        <f>IF(TrAvia_act!H36=0,0,(TrAvia_act!H36/TrAvia_act!H26)/TrAvia_png!H14)</f>
        <v>0.71288056126895882</v>
      </c>
      <c r="I20" s="89">
        <f>IF(TrAvia_act!I36=0,0,(TrAvia_act!I36/TrAvia_act!I26)/TrAvia_png!I14)</f>
        <v>0.71828654487692478</v>
      </c>
      <c r="J20" s="89">
        <f>IF(TrAvia_act!J36=0,0,(TrAvia_act!J36/TrAvia_act!J26)/TrAvia_png!J14)</f>
        <v>0.72094107450609846</v>
      </c>
      <c r="K20" s="89">
        <f>IF(TrAvia_act!K36=0,0,(TrAvia_act!K36/TrAvia_act!K26)/TrAvia_png!K14)</f>
        <v>0.71902556068844981</v>
      </c>
      <c r="L20" s="89">
        <f>IF(TrAvia_act!L36=0,0,(TrAvia_act!L36/TrAvia_act!L26)/TrAvia_png!L14)</f>
        <v>0.71380686421338735</v>
      </c>
      <c r="M20" s="89">
        <f>IF(TrAvia_act!M36=0,0,(TrAvia_act!M36/TrAvia_act!M26)/TrAvia_png!M14)</f>
        <v>0.76453195107751593</v>
      </c>
      <c r="N20" s="89">
        <f>IF(TrAvia_act!N36=0,0,(TrAvia_act!N36/TrAvia_act!N26)/TrAvia_png!N14)</f>
        <v>0.78057320638982719</v>
      </c>
      <c r="O20" s="89">
        <f>IF(TrAvia_act!O36=0,0,(TrAvia_act!O36/TrAvia_act!O26)/TrAvia_png!O14)</f>
        <v>0.78220834806477701</v>
      </c>
      <c r="P20" s="89">
        <f>IF(TrAvia_act!P36=0,0,(TrAvia_act!P36/TrAvia_act!P26)/TrAvia_png!P14)</f>
        <v>0.78468516131336907</v>
      </c>
      <c r="Q20" s="89">
        <f>IF(TrAvia_act!Q36=0,0,(TrAvia_act!Q36/TrAvia_act!Q26)/TrAvia_png!Q14)</f>
        <v>0.79662608865360685</v>
      </c>
      <c r="R20" s="89">
        <f>IF(TrAvia_act!R36=0,0,(TrAvia_act!R36/TrAvia_act!R26)/TrAvia_png!R14)</f>
        <v>0.80176883953677769</v>
      </c>
      <c r="S20" s="89">
        <f>IF(TrAvia_act!S36=0,0,(TrAvia_act!S36/TrAvia_act!S26)/TrAvia_png!S14)</f>
        <v>0.81404841268838291</v>
      </c>
      <c r="T20" s="89">
        <f>IF(TrAvia_act!T36=0,0,(TrAvia_act!T36/TrAvia_act!T26)/TrAvia_png!T14)</f>
        <v>0.81883238462699415</v>
      </c>
      <c r="U20" s="89">
        <f>IF(TrAvia_act!U36=0,0,(TrAvia_act!U36/TrAvia_act!U26)/TrAvia_png!U14)</f>
        <v>0.82030175807017991</v>
      </c>
      <c r="V20" s="89">
        <f>IF(TrAvia_act!V36=0,0,(TrAvia_act!V36/TrAvia_act!V26)/TrAvia_png!V14)</f>
        <v>0.55094642603185917</v>
      </c>
      <c r="W20" s="89">
        <f>IF(TrAvia_act!W36=0,0,(TrAvia_act!W36/TrAvia_act!W26)/TrAvia_png!W14)</f>
        <v>0.66694554231353476</v>
      </c>
      <c r="X20" s="89">
        <f>IF(TrAvia_act!X36=0,0,(TrAvia_act!X36/TrAvia_act!X26)/TrAvia_png!X14)</f>
        <v>0.77709897334745703</v>
      </c>
      <c r="Y20" s="89">
        <f>IF(TrAvia_act!Y36=0,0,(TrAvia_act!Y36/TrAvia_act!Y26)/TrAvia_png!Y14)</f>
        <v>0.81780733244094705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0.72845743537827534</v>
      </c>
      <c r="C21" s="90">
        <f>IF(TrAvia_act!C37=0,0,(TrAvia_act!C37/TrAvia_act!C27)/TrAvia_png!C15)</f>
        <v>0.72780224531197302</v>
      </c>
      <c r="D21" s="90">
        <f>IF(TrAvia_act!D37=0,0,(TrAvia_act!D37/TrAvia_act!D27)/TrAvia_png!D15)</f>
        <v>0.727276841612986</v>
      </c>
      <c r="E21" s="90">
        <f>IF(TrAvia_act!E37=0,0,(TrAvia_act!E37/TrAvia_act!E27)/TrAvia_png!E15)</f>
        <v>0.72661136060138898</v>
      </c>
      <c r="F21" s="90">
        <f>IF(TrAvia_act!F37=0,0,(TrAvia_act!F37/TrAvia_act!F27)/TrAvia_png!F15)</f>
        <v>0.7215288956501742</v>
      </c>
      <c r="G21" s="90">
        <f>IF(TrAvia_act!G37=0,0,(TrAvia_act!G37/TrAvia_act!G27)/TrAvia_png!G15)</f>
        <v>0.72243852118065943</v>
      </c>
      <c r="H21" s="90">
        <f>IF(TrAvia_act!H37=0,0,(TrAvia_act!H37/TrAvia_act!H27)/TrAvia_png!H15)</f>
        <v>0.72184391938115033</v>
      </c>
      <c r="I21" s="90">
        <f>IF(TrAvia_act!I37=0,0,(TrAvia_act!I37/TrAvia_act!I27)/TrAvia_png!I15)</f>
        <v>0.72250281834567887</v>
      </c>
      <c r="J21" s="90">
        <f>IF(TrAvia_act!J37=0,0,(TrAvia_act!J37/TrAvia_act!J27)/TrAvia_png!J15)</f>
        <v>0.71749791138988728</v>
      </c>
      <c r="K21" s="90">
        <f>IF(TrAvia_act!K37=0,0,(TrAvia_act!K37/TrAvia_act!K27)/TrAvia_png!K15)</f>
        <v>0.65658537123260863</v>
      </c>
      <c r="L21" s="90">
        <f>IF(TrAvia_act!L37=0,0,(TrAvia_act!L37/TrAvia_act!L27)/TrAvia_png!L15)</f>
        <v>0.70264201401696791</v>
      </c>
      <c r="M21" s="90">
        <f>IF(TrAvia_act!M37=0,0,(TrAvia_act!M37/TrAvia_act!M27)/TrAvia_png!M15)</f>
        <v>0.70121625809117205</v>
      </c>
      <c r="N21" s="90">
        <f>IF(TrAvia_act!N37=0,0,(TrAvia_act!N37/TrAvia_act!N27)/TrAvia_png!N15)</f>
        <v>0.73672772366968242</v>
      </c>
      <c r="O21" s="90">
        <f>IF(TrAvia_act!O37=0,0,(TrAvia_act!O37/TrAvia_act!O27)/TrAvia_png!O15)</f>
        <v>0.68249131589075551</v>
      </c>
      <c r="P21" s="90">
        <f>IF(TrAvia_act!P37=0,0,(TrAvia_act!P37/TrAvia_act!P27)/TrAvia_png!P15)</f>
        <v>0.6998057018036512</v>
      </c>
      <c r="Q21" s="90">
        <f>IF(TrAvia_act!Q37=0,0,(TrAvia_act!Q37/TrAvia_act!Q27)/TrAvia_png!Q15)</f>
        <v>0.68834668855399761</v>
      </c>
      <c r="R21" s="90">
        <f>IF(TrAvia_act!R37=0,0,(TrAvia_act!R37/TrAvia_act!R27)/TrAvia_png!R15)</f>
        <v>0.69910542906272732</v>
      </c>
      <c r="S21" s="90">
        <f>IF(TrAvia_act!S37=0,0,(TrAvia_act!S37/TrAvia_act!S27)/TrAvia_png!S15)</f>
        <v>0.7449790655944708</v>
      </c>
      <c r="T21" s="90">
        <f>IF(TrAvia_act!T37=0,0,(TrAvia_act!T37/TrAvia_act!T27)/TrAvia_png!T15)</f>
        <v>0.71601816795584439</v>
      </c>
      <c r="U21" s="90">
        <f>IF(TrAvia_act!U37=0,0,(TrAvia_act!U37/TrAvia_act!U27)/TrAvia_png!U15)</f>
        <v>0.73493507100562572</v>
      </c>
      <c r="V21" s="90">
        <f>IF(TrAvia_act!V37=0,0,(TrAvia_act!V37/TrAvia_act!V27)/TrAvia_png!V15)</f>
        <v>0.5889673033344125</v>
      </c>
      <c r="W21" s="90">
        <f>IF(TrAvia_act!W37=0,0,(TrAvia_act!W37/TrAvia_act!W27)/TrAvia_png!W15)</f>
        <v>0.68036937998159985</v>
      </c>
      <c r="X21" s="90">
        <f>IF(TrAvia_act!X37=0,0,(TrAvia_act!X37/TrAvia_act!X27)/TrAvia_png!X15)</f>
        <v>0.77209214256626546</v>
      </c>
      <c r="Y21" s="90">
        <f>IF(TrAvia_act!Y37=0,0,(TrAvia_act!Y37/TrAvia_act!Y27)/TrAvia_png!Y15)</f>
        <v>0.78620552754883022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3.7963437039461569E-2</v>
      </c>
      <c r="C24" s="23">
        <f>IF(TrAvia_ene!C6=0,0,TrAvia_ene!C6/(C12*TrAvia_act!C14))</f>
        <v>3.7847696364287441E-2</v>
      </c>
      <c r="D24" s="23">
        <f>IF(TrAvia_ene!D6=0,0,TrAvia_ene!D6/(D12*TrAvia_act!D14))</f>
        <v>3.7195043463021785E-2</v>
      </c>
      <c r="E24" s="23">
        <f>IF(TrAvia_ene!E6=0,0,TrAvia_ene!E6/(E12*TrAvia_act!E14))</f>
        <v>3.6729449718108431E-2</v>
      </c>
      <c r="F24" s="23">
        <f>IF(TrAvia_ene!F6=0,0,TrAvia_ene!F6/(F12*TrAvia_act!F14))</f>
        <v>3.6599367364773747E-2</v>
      </c>
      <c r="G24" s="23">
        <f>IF(TrAvia_ene!G6=0,0,TrAvia_ene!G6/(G12*TrAvia_act!G14))</f>
        <v>3.5547391240533605E-2</v>
      </c>
      <c r="H24" s="23">
        <f>IF(TrAvia_ene!H6=0,0,TrAvia_ene!H6/(H12*TrAvia_act!H14))</f>
        <v>3.2799493287077618E-2</v>
      </c>
      <c r="I24" s="23">
        <f>IF(TrAvia_ene!I6=0,0,TrAvia_ene!I6/(I12*TrAvia_act!I14))</f>
        <v>3.2423043277589318E-2</v>
      </c>
      <c r="J24" s="23">
        <f>IF(TrAvia_ene!J6=0,0,TrAvia_ene!J6/(J12*TrAvia_act!J14))</f>
        <v>3.5890270340143686E-2</v>
      </c>
      <c r="K24" s="23">
        <f>IF(TrAvia_ene!K6=0,0,TrAvia_ene!K6/(K12*TrAvia_act!K14))</f>
        <v>3.1986140181235835E-2</v>
      </c>
      <c r="L24" s="23">
        <f>IF(TrAvia_ene!L6=0,0,TrAvia_ene!L6/(L12*TrAvia_act!L14))</f>
        <v>3.1602976767107341E-2</v>
      </c>
      <c r="M24" s="23">
        <f>IF(TrAvia_ene!M6=0,0,TrAvia_ene!M6/(M12*TrAvia_act!M14))</f>
        <v>3.3852304169611887E-2</v>
      </c>
      <c r="N24" s="23">
        <f>IF(TrAvia_ene!N6=0,0,TrAvia_ene!N6/(N12*TrAvia_act!N14))</f>
        <v>3.2465186270294093E-2</v>
      </c>
      <c r="O24" s="23">
        <f>IF(TrAvia_ene!O6=0,0,TrAvia_ene!O6/(O12*TrAvia_act!O14))</f>
        <v>3.2507050000679556E-2</v>
      </c>
      <c r="P24" s="23">
        <f>IF(TrAvia_ene!P6=0,0,TrAvia_ene!P6/(P12*TrAvia_act!P14))</f>
        <v>3.0457420353792966E-2</v>
      </c>
      <c r="Q24" s="23">
        <f>IF(TrAvia_ene!Q6=0,0,TrAvia_ene!Q6/(Q12*TrAvia_act!Q14))</f>
        <v>2.7441314629757921E-2</v>
      </c>
      <c r="R24" s="23">
        <f>IF(TrAvia_ene!R6=0,0,TrAvia_ene!R6/(R12*TrAvia_act!R14))</f>
        <v>2.5246418901812839E-2</v>
      </c>
      <c r="S24" s="23">
        <f>IF(TrAvia_ene!S6=0,0,TrAvia_ene!S6/(S12*TrAvia_act!S14))</f>
        <v>2.4685938822162863E-2</v>
      </c>
      <c r="T24" s="23">
        <f>IF(TrAvia_ene!T6=0,0,TrAvia_ene!T6/(T12*TrAvia_act!T14))</f>
        <v>2.6358695443916016E-2</v>
      </c>
      <c r="U24" s="23">
        <f>IF(TrAvia_ene!U6=0,0,TrAvia_ene!U6/(U12*TrAvia_act!U14))</f>
        <v>2.633764640438712E-2</v>
      </c>
      <c r="V24" s="23">
        <f>IF(TrAvia_ene!V6=0,0,TrAvia_ene!V6/(V12*TrAvia_act!V14))</f>
        <v>3.3405404837848048E-2</v>
      </c>
      <c r="W24" s="23">
        <f>IF(TrAvia_ene!W6=0,0,TrAvia_ene!W6/(W12*TrAvia_act!W14))</f>
        <v>2.8780903236322548E-2</v>
      </c>
      <c r="X24" s="23">
        <f>IF(TrAvia_ene!X6=0,0,TrAvia_ene!X6/(X12*TrAvia_act!X14))</f>
        <v>2.7592177546757437E-2</v>
      </c>
      <c r="Y24" s="23">
        <f>IF(TrAvia_ene!Y6=0,0,TrAvia_ene!Y6/(Y12*TrAvia_act!Y14))</f>
        <v>2.7568185043176006E-2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3.3495038709463229E-2</v>
      </c>
      <c r="C25" s="91">
        <f>IF(TrAvia_ene!C7=0,0,TrAvia_ene!C7/(C13*TrAvia_act!C15))</f>
        <v>3.36712875484683E-2</v>
      </c>
      <c r="D25" s="91">
        <f>IF(TrAvia_ene!D7=0,0,TrAvia_ene!D7/(D13*TrAvia_act!D15))</f>
        <v>3.3996439378954399E-2</v>
      </c>
      <c r="E25" s="91">
        <f>IF(TrAvia_ene!E7=0,0,TrAvia_ene!E7/(E13*TrAvia_act!E15))</f>
        <v>3.4253692073409545E-2</v>
      </c>
      <c r="F25" s="91">
        <f>IF(TrAvia_ene!F7=0,0,TrAvia_ene!F7/(F13*TrAvia_act!F15))</f>
        <v>3.4430013531425996E-2</v>
      </c>
      <c r="G25" s="91">
        <f>IF(TrAvia_ene!G7=0,0,TrAvia_ene!G7/(G13*TrAvia_act!G15))</f>
        <v>3.419905814210402E-2</v>
      </c>
      <c r="H25" s="91">
        <f>IF(TrAvia_ene!H7=0,0,TrAvia_ene!H7/(H13*TrAvia_act!H15))</f>
        <v>4.0391614638933405E-2</v>
      </c>
      <c r="I25" s="91">
        <f>IF(TrAvia_ene!I7=0,0,TrAvia_ene!I7/(I13*TrAvia_act!I15))</f>
        <v>3.9363878995007123E-2</v>
      </c>
      <c r="J25" s="91">
        <f>IF(TrAvia_ene!J7=0,0,TrAvia_ene!J7/(J13*TrAvia_act!J15))</f>
        <v>3.6871829510128254E-2</v>
      </c>
      <c r="K25" s="91">
        <f>IF(TrAvia_ene!K7=0,0,TrAvia_ene!K7/(K13*TrAvia_act!K15))</f>
        <v>3.7378452430529431E-2</v>
      </c>
      <c r="L25" s="91">
        <f>IF(TrAvia_ene!L7=0,0,TrAvia_ene!L7/(L13*TrAvia_act!L15))</f>
        <v>3.8341021659522558E-2</v>
      </c>
      <c r="M25" s="91">
        <f>IF(TrAvia_ene!M7=0,0,TrAvia_ene!M7/(M13*TrAvia_act!M15))</f>
        <v>4.1626687965488553E-2</v>
      </c>
      <c r="N25" s="91">
        <f>IF(TrAvia_ene!N7=0,0,TrAvia_ene!N7/(N13*TrAvia_act!N15))</f>
        <v>4.1044337883474218E-2</v>
      </c>
      <c r="O25" s="91">
        <f>IF(TrAvia_ene!O7=0,0,TrAvia_ene!O7/(O13*TrAvia_act!O15))</f>
        <v>4.3300319011996956E-2</v>
      </c>
      <c r="P25" s="91">
        <f>IF(TrAvia_ene!P7=0,0,TrAvia_ene!P7/(P13*TrAvia_act!P15))</f>
        <v>4.002267746872408E-2</v>
      </c>
      <c r="Q25" s="91">
        <f>IF(TrAvia_ene!Q7=0,0,TrAvia_ene!Q7/(Q13*TrAvia_act!Q15))</f>
        <v>4.266823314318699E-2</v>
      </c>
      <c r="R25" s="91">
        <f>IF(TrAvia_ene!R7=0,0,TrAvia_ene!R7/(R13*TrAvia_act!R15))</f>
        <v>4.0844121776658561E-2</v>
      </c>
      <c r="S25" s="91">
        <f>IF(TrAvia_ene!S7=0,0,TrAvia_ene!S7/(S13*TrAvia_act!S15))</f>
        <v>3.9339206688257904E-2</v>
      </c>
      <c r="T25" s="91">
        <f>IF(TrAvia_ene!T7=0,0,TrAvia_ene!T7/(T13*TrAvia_act!T15))</f>
        <v>3.965412078302042E-2</v>
      </c>
      <c r="U25" s="91">
        <f>IF(TrAvia_ene!U7=0,0,TrAvia_ene!U7/(U13*TrAvia_act!U15))</f>
        <v>3.8763309845757633E-2</v>
      </c>
      <c r="V25" s="91">
        <f>IF(TrAvia_ene!V7=0,0,TrAvia_ene!V7/(V13*TrAvia_act!V15))</f>
        <v>4.0058310108598692E-2</v>
      </c>
      <c r="W25" s="91">
        <f>IF(TrAvia_ene!W7=0,0,TrAvia_ene!W7/(W13*TrAvia_act!W15))</f>
        <v>3.915811565885538E-2</v>
      </c>
      <c r="X25" s="91">
        <f>IF(TrAvia_ene!X7=0,0,TrAvia_ene!X7/(X13*TrAvia_act!X15))</f>
        <v>3.856770311537288E-2</v>
      </c>
      <c r="Y25" s="91">
        <f>IF(TrAvia_ene!Y7=0,0,TrAvia_ene!Y7/(Y13*TrAvia_act!Y15))</f>
        <v>4.0038817556756381E-2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4.1974987064277339E-2</v>
      </c>
      <c r="C26" s="93">
        <f>IF(TrAvia_ene!C8=0,0,TrAvia_ene!C8/(C14*TrAvia_act!C16))</f>
        <v>4.16511700336104E-2</v>
      </c>
      <c r="D26" s="93">
        <f>IF(TrAvia_ene!D8=0,0,TrAvia_ene!D8/(D14*TrAvia_act!D16))</f>
        <v>4.1213083039504494E-2</v>
      </c>
      <c r="E26" s="93">
        <f>IF(TrAvia_ene!E8=0,0,TrAvia_ene!E8/(E14*TrAvia_act!E16))</f>
        <v>4.0700183373791617E-2</v>
      </c>
      <c r="F26" s="93">
        <f>IF(TrAvia_ene!F8=0,0,TrAvia_ene!F8/(F14*TrAvia_act!F16))</f>
        <v>4.015648138145992E-2</v>
      </c>
      <c r="G26" s="93">
        <f>IF(TrAvia_ene!G8=0,0,TrAvia_ene!G8/(G14*TrAvia_act!G16))</f>
        <v>3.6852857387332329E-2</v>
      </c>
      <c r="H26" s="93">
        <f>IF(TrAvia_ene!H8=0,0,TrAvia_ene!H8/(H14*TrAvia_act!H16))</f>
        <v>3.2302869558243463E-2</v>
      </c>
      <c r="I26" s="93">
        <f>IF(TrAvia_ene!I8=0,0,TrAvia_ene!I8/(I14*TrAvia_act!I16))</f>
        <v>3.2424477797344475E-2</v>
      </c>
      <c r="J26" s="93">
        <f>IF(TrAvia_ene!J8=0,0,TrAvia_ene!J8/(J14*TrAvia_act!J16))</f>
        <v>3.7640949758858289E-2</v>
      </c>
      <c r="K26" s="93">
        <f>IF(TrAvia_ene!K8=0,0,TrAvia_ene!K8/(K14*TrAvia_act!K16))</f>
        <v>3.1868487345633884E-2</v>
      </c>
      <c r="L26" s="93">
        <f>IF(TrAvia_ene!L8=0,0,TrAvia_ene!L8/(L14*TrAvia_act!L16))</f>
        <v>3.170429856934185E-2</v>
      </c>
      <c r="M26" s="93">
        <f>IF(TrAvia_ene!M8=0,0,TrAvia_ene!M8/(M14*TrAvia_act!M16))</f>
        <v>3.4597261209031852E-2</v>
      </c>
      <c r="N26" s="93">
        <f>IF(TrAvia_ene!N8=0,0,TrAvia_ene!N8/(N14*TrAvia_act!N16))</f>
        <v>3.2846044060875955E-2</v>
      </c>
      <c r="O26" s="93">
        <f>IF(TrAvia_ene!O8=0,0,TrAvia_ene!O8/(O14*TrAvia_act!O16))</f>
        <v>3.1440254742390775E-2</v>
      </c>
      <c r="P26" s="93">
        <f>IF(TrAvia_ene!P8=0,0,TrAvia_ene!P8/(P14*TrAvia_act!P16))</f>
        <v>2.9036246133372301E-2</v>
      </c>
      <c r="Q26" s="93">
        <f>IF(TrAvia_ene!Q8=0,0,TrAvia_ene!Q8/(Q14*TrAvia_act!Q16))</f>
        <v>2.6432285189982644E-2</v>
      </c>
      <c r="R26" s="93">
        <f>IF(TrAvia_ene!R8=0,0,TrAvia_ene!R8/(R14*TrAvia_act!R16))</f>
        <v>2.4639113605437656E-2</v>
      </c>
      <c r="S26" s="93">
        <f>IF(TrAvia_ene!S8=0,0,TrAvia_ene!S8/(S14*TrAvia_act!S16))</f>
        <v>2.4623257849788679E-2</v>
      </c>
      <c r="T26" s="93">
        <f>IF(TrAvia_ene!T8=0,0,TrAvia_ene!T8/(T14*TrAvia_act!T16))</f>
        <v>2.7822715758787142E-2</v>
      </c>
      <c r="U26" s="93">
        <f>IF(TrAvia_ene!U8=0,0,TrAvia_ene!U8/(U14*TrAvia_act!U16))</f>
        <v>2.7385807783796259E-2</v>
      </c>
      <c r="V26" s="93">
        <f>IF(TrAvia_ene!V8=0,0,TrAvia_ene!V8/(V14*TrAvia_act!V16))</f>
        <v>2.8677934434729799E-2</v>
      </c>
      <c r="W26" s="93">
        <f>IF(TrAvia_ene!W8=0,0,TrAvia_ene!W8/(W14*TrAvia_act!W16))</f>
        <v>2.6487238997834162E-2</v>
      </c>
      <c r="X26" s="93">
        <f>IF(TrAvia_ene!X8=0,0,TrAvia_ene!X8/(X14*TrAvia_act!X16))</f>
        <v>2.5908798001325565E-2</v>
      </c>
      <c r="Y26" s="93">
        <f>IF(TrAvia_ene!Y8=0,0,TrAvia_ene!Y8/(Y14*TrAvia_act!Y16))</f>
        <v>2.5886734623054172E-2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3.7652421360635013E-2</v>
      </c>
      <c r="C27" s="94">
        <f>IF(TrAvia_ene!C9=0,0,TrAvia_ene!C9/(C15*TrAvia_act!C17))</f>
        <v>3.7429080566786128E-2</v>
      </c>
      <c r="D27" s="94">
        <f>IF(TrAvia_ene!D9=0,0,TrAvia_ene!D9/(D15*TrAvia_act!D17))</f>
        <v>3.7117040099872579E-2</v>
      </c>
      <c r="E27" s="94">
        <f>IF(TrAvia_ene!E9=0,0,TrAvia_ene!E9/(E15*TrAvia_act!E17))</f>
        <v>3.6777543673573505E-2</v>
      </c>
      <c r="F27" s="94">
        <f>IF(TrAvia_ene!F9=0,0,TrAvia_ene!F9/(F15*TrAvia_act!F17))</f>
        <v>3.6457712334054877E-2</v>
      </c>
      <c r="G27" s="94">
        <f>IF(TrAvia_ene!G9=0,0,TrAvia_ene!G9/(G15*TrAvia_act!G17))</f>
        <v>4.1568278139526522E-2</v>
      </c>
      <c r="H27" s="94">
        <f>IF(TrAvia_ene!H9=0,0,TrAvia_ene!H9/(H15*TrAvia_act!H17))</f>
        <v>3.8718824594660334E-2</v>
      </c>
      <c r="I27" s="94">
        <f>IF(TrAvia_ene!I9=0,0,TrAvia_ene!I9/(I15*TrAvia_act!I17))</f>
        <v>3.3647296282131665E-2</v>
      </c>
      <c r="J27" s="94">
        <f>IF(TrAvia_ene!J9=0,0,TrAvia_ene!J9/(J15*TrAvia_act!J17))</f>
        <v>3.2027918740800902E-2</v>
      </c>
      <c r="K27" s="94">
        <f>IF(TrAvia_ene!K9=0,0,TrAvia_ene!K9/(K15*TrAvia_act!K17))</f>
        <v>2.9793873567301749E-2</v>
      </c>
      <c r="L27" s="94">
        <f>IF(TrAvia_ene!L9=0,0,TrAvia_ene!L9/(L15*TrAvia_act!L17))</f>
        <v>2.4529470561542518E-2</v>
      </c>
      <c r="M27" s="94">
        <f>IF(TrAvia_ene!M9=0,0,TrAvia_ene!M9/(M15*TrAvia_act!M17))</f>
        <v>2.3431904353373983E-2</v>
      </c>
      <c r="N27" s="94">
        <f>IF(TrAvia_ene!N9=0,0,TrAvia_ene!N9/(N15*TrAvia_act!N17))</f>
        <v>2.3157876437008555E-2</v>
      </c>
      <c r="O27" s="94">
        <f>IF(TrAvia_ene!O9=0,0,TrAvia_ene!O9/(O15*TrAvia_act!O17))</f>
        <v>2.8233535041237146E-2</v>
      </c>
      <c r="P27" s="94">
        <f>IF(TrAvia_ene!P9=0,0,TrAvia_ene!P9/(P15*TrAvia_act!P17))</f>
        <v>2.7504045525566324E-2</v>
      </c>
      <c r="Q27" s="94">
        <f>IF(TrAvia_ene!Q9=0,0,TrAvia_ene!Q9/(Q15*TrAvia_act!Q17))</f>
        <v>2.215393758156638E-2</v>
      </c>
      <c r="R27" s="94">
        <f>IF(TrAvia_ene!R9=0,0,TrAvia_ene!R9/(R15*TrAvia_act!R17))</f>
        <v>1.7797706309747297E-2</v>
      </c>
      <c r="S27" s="94">
        <f>IF(TrAvia_ene!S9=0,0,TrAvia_ene!S9/(S15*TrAvia_act!S17))</f>
        <v>1.520298189455528E-2</v>
      </c>
      <c r="T27" s="94">
        <f>IF(TrAvia_ene!T9=0,0,TrAvia_ene!T9/(T15*TrAvia_act!T17))</f>
        <v>1.2684271976467246E-2</v>
      </c>
      <c r="U27" s="94">
        <f>IF(TrAvia_ene!U9=0,0,TrAvia_ene!U9/(U15*TrAvia_act!U17))</f>
        <v>1.3761726850613363E-2</v>
      </c>
      <c r="V27" s="94">
        <f>IF(TrAvia_ene!V9=0,0,TrAvia_ene!V9/(V15*TrAvia_act!V17))</f>
        <v>4.2488080050606988E-2</v>
      </c>
      <c r="W27" s="94">
        <f>IF(TrAvia_ene!W9=0,0,TrAvia_ene!W9/(W15*TrAvia_act!W17))</f>
        <v>2.5688745445244857E-2</v>
      </c>
      <c r="X27" s="94">
        <f>IF(TrAvia_ene!X9=0,0,TrAvia_ene!X9/(X15*TrAvia_act!X17))</f>
        <v>2.9944804893527514E-2</v>
      </c>
      <c r="Y27" s="94">
        <f>IF(TrAvia_ene!Y9=0,0,TrAvia_ene!Y9/(Y15*TrAvia_act!Y17))</f>
        <v>2.8257294384157725E-2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152.59</v>
      </c>
      <c r="C3" s="54">
        <f t="shared" si="0"/>
        <v>167.71499999999997</v>
      </c>
      <c r="D3" s="54">
        <f t="shared" si="0"/>
        <v>194.184</v>
      </c>
      <c r="E3" s="54">
        <f t="shared" si="0"/>
        <v>206.946</v>
      </c>
      <c r="F3" s="54">
        <f t="shared" si="0"/>
        <v>269.33699999999999</v>
      </c>
      <c r="G3" s="54">
        <f t="shared" si="0"/>
        <v>216.66300000000001</v>
      </c>
      <c r="H3" s="54">
        <f t="shared" si="0"/>
        <v>223.02</v>
      </c>
      <c r="I3" s="54">
        <f t="shared" si="0"/>
        <v>218.898</v>
      </c>
      <c r="J3" s="54">
        <f t="shared" si="0"/>
        <v>938.28499999999997</v>
      </c>
      <c r="K3" s="54">
        <f t="shared" si="0"/>
        <v>797.72799999999995</v>
      </c>
      <c r="L3" s="54">
        <f t="shared" si="0"/>
        <v>1008.117</v>
      </c>
      <c r="M3" s="54">
        <f t="shared" si="0"/>
        <v>757.22699999999998</v>
      </c>
      <c r="N3" s="54">
        <f t="shared" si="0"/>
        <v>834.33799999999997</v>
      </c>
      <c r="O3" s="54">
        <f t="shared" si="0"/>
        <v>833.61599999999999</v>
      </c>
      <c r="P3" s="54">
        <f t="shared" si="0"/>
        <v>777.17200000000003</v>
      </c>
      <c r="Q3" s="54">
        <f t="shared" si="0"/>
        <v>956.28399999999999</v>
      </c>
      <c r="R3" s="54">
        <f t="shared" ref="R3:V3" si="1">SUM(R4:R5)</f>
        <v>872.05799999999999</v>
      </c>
      <c r="S3" s="54">
        <f t="shared" si="1"/>
        <v>853.28099999999995</v>
      </c>
      <c r="T3" s="54">
        <f t="shared" si="1"/>
        <v>716.72500000000002</v>
      </c>
      <c r="U3" s="54">
        <f t="shared" si="1"/>
        <v>868.947</v>
      </c>
      <c r="V3" s="54">
        <f t="shared" si="1"/>
        <v>936.22500000000002</v>
      </c>
      <c r="W3" s="54">
        <f t="shared" ref="W3:Y3" si="2">SUM(W4:W5)</f>
        <v>877.22500000000002</v>
      </c>
      <c r="X3" s="54">
        <f t="shared" si="2"/>
        <v>633.39200000000005</v>
      </c>
      <c r="Y3" s="54">
        <f t="shared" si="2"/>
        <v>518.83600000000001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89.054000000000002</v>
      </c>
      <c r="C4" s="56">
        <v>90.230999999999995</v>
      </c>
      <c r="D4" s="56">
        <v>104.43899999999999</v>
      </c>
      <c r="E4" s="56">
        <v>106.846</v>
      </c>
      <c r="F4" s="56">
        <v>90.637</v>
      </c>
      <c r="G4" s="56">
        <v>98.063000000000002</v>
      </c>
      <c r="H4" s="56">
        <v>106.62</v>
      </c>
      <c r="I4" s="56">
        <v>109.898</v>
      </c>
      <c r="J4" s="56">
        <v>96.284999999999997</v>
      </c>
      <c r="K4" s="56">
        <v>70.727999999999994</v>
      </c>
      <c r="L4" s="56">
        <v>68.117000000000004</v>
      </c>
      <c r="M4" s="56">
        <v>65.227000000000004</v>
      </c>
      <c r="N4" s="56">
        <v>62.338000000000001</v>
      </c>
      <c r="O4" s="56">
        <v>62.616</v>
      </c>
      <c r="P4" s="56">
        <v>61.171999999999997</v>
      </c>
      <c r="Q4" s="56">
        <v>77.284000000000006</v>
      </c>
      <c r="R4" s="56">
        <v>36.058</v>
      </c>
      <c r="S4" s="56">
        <v>40.280999999999999</v>
      </c>
      <c r="T4" s="56">
        <v>38.725000000000001</v>
      </c>
      <c r="U4" s="56">
        <v>33.947000000000003</v>
      </c>
      <c r="V4" s="56">
        <v>33.225000000000001</v>
      </c>
      <c r="W4" s="56">
        <v>36.225000000000001</v>
      </c>
      <c r="X4" s="56">
        <v>38.392000000000003</v>
      </c>
      <c r="Y4" s="56">
        <v>32.835999999999999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63.535999999999994</v>
      </c>
      <c r="C5" s="58">
        <v>77.483999999999995</v>
      </c>
      <c r="D5" s="58">
        <v>89.745000000000005</v>
      </c>
      <c r="E5" s="58">
        <v>100.1</v>
      </c>
      <c r="F5" s="58">
        <v>178.7</v>
      </c>
      <c r="G5" s="58">
        <v>118.6</v>
      </c>
      <c r="H5" s="58">
        <v>116.4</v>
      </c>
      <c r="I5" s="58">
        <v>109</v>
      </c>
      <c r="J5" s="58">
        <v>842</v>
      </c>
      <c r="K5" s="58">
        <v>727</v>
      </c>
      <c r="L5" s="58">
        <v>940</v>
      </c>
      <c r="M5" s="58">
        <v>692</v>
      </c>
      <c r="N5" s="58">
        <v>772</v>
      </c>
      <c r="O5" s="58">
        <v>771</v>
      </c>
      <c r="P5" s="58">
        <v>716</v>
      </c>
      <c r="Q5" s="58">
        <v>879</v>
      </c>
      <c r="R5" s="58">
        <v>836</v>
      </c>
      <c r="S5" s="58">
        <v>813</v>
      </c>
      <c r="T5" s="58">
        <v>678</v>
      </c>
      <c r="U5" s="58">
        <v>835</v>
      </c>
      <c r="V5" s="58">
        <v>903</v>
      </c>
      <c r="W5" s="58">
        <v>841</v>
      </c>
      <c r="X5" s="58">
        <v>595</v>
      </c>
      <c r="Y5" s="58">
        <v>486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0.47200000000000003</v>
      </c>
      <c r="C7" s="59">
        <f t="shared" si="3"/>
        <v>0.52400000000000002</v>
      </c>
      <c r="D7" s="59">
        <f t="shared" si="3"/>
        <v>0.60699999999999998</v>
      </c>
      <c r="E7" s="59">
        <f t="shared" si="3"/>
        <v>0.629</v>
      </c>
      <c r="F7" s="59">
        <f t="shared" si="3"/>
        <v>1.02</v>
      </c>
      <c r="G7" s="59">
        <f t="shared" si="3"/>
        <v>0.57799999999999996</v>
      </c>
      <c r="H7" s="59">
        <f t="shared" si="3"/>
        <v>0.90499999999999992</v>
      </c>
      <c r="I7" s="59">
        <f t="shared" si="3"/>
        <v>0.86299999999999999</v>
      </c>
      <c r="J7" s="59">
        <f t="shared" si="3"/>
        <v>5.2949999999999999</v>
      </c>
      <c r="K7" s="59">
        <f t="shared" si="3"/>
        <v>4.2699999999999996</v>
      </c>
      <c r="L7" s="59">
        <f t="shared" si="3"/>
        <v>4.2469999999999999</v>
      </c>
      <c r="M7" s="59">
        <f t="shared" si="3"/>
        <v>4.1599999999999993</v>
      </c>
      <c r="N7" s="59">
        <f t="shared" si="3"/>
        <v>5.07</v>
      </c>
      <c r="O7" s="59">
        <f t="shared" si="3"/>
        <v>5.335</v>
      </c>
      <c r="P7" s="59">
        <f t="shared" si="3"/>
        <v>5.3209999999999997</v>
      </c>
      <c r="Q7" s="59">
        <f t="shared" si="3"/>
        <v>4.8840000000000003</v>
      </c>
      <c r="R7" s="59">
        <f t="shared" ref="R7:V7" si="4">SUM(R8:R9)</f>
        <v>4.7850000000000001</v>
      </c>
      <c r="S7" s="59">
        <f t="shared" si="4"/>
        <v>4.8390000000000004</v>
      </c>
      <c r="T7" s="59">
        <f t="shared" si="4"/>
        <v>4.5310000000000006</v>
      </c>
      <c r="U7" s="59">
        <f t="shared" si="4"/>
        <v>5.14</v>
      </c>
      <c r="V7" s="59">
        <f t="shared" si="4"/>
        <v>4.859</v>
      </c>
      <c r="W7" s="59">
        <f t="shared" ref="W7:Y7" si="5">SUM(W8:W9)</f>
        <v>5.0430000000000001</v>
      </c>
      <c r="X7" s="59">
        <f t="shared" si="5"/>
        <v>4.2640000000000002</v>
      </c>
      <c r="Y7" s="59">
        <f t="shared" si="5"/>
        <v>3.7680000000000002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7.9000000000000001E-2</v>
      </c>
      <c r="C8" s="60">
        <v>7.9000000000000001E-2</v>
      </c>
      <c r="D8" s="60">
        <v>8.7999999999999995E-2</v>
      </c>
      <c r="E8" s="60">
        <v>0.09</v>
      </c>
      <c r="F8" s="60">
        <v>7.5999999999999998E-2</v>
      </c>
      <c r="G8" s="60">
        <v>8.2000000000000003E-2</v>
      </c>
      <c r="H8" s="60">
        <v>8.5999999999999993E-2</v>
      </c>
      <c r="I8" s="60">
        <v>8.6999999999999994E-2</v>
      </c>
      <c r="J8" s="60">
        <v>7.3999999999999996E-2</v>
      </c>
      <c r="K8" s="60">
        <v>5.5E-2</v>
      </c>
      <c r="L8" s="60">
        <v>5.1999999999999998E-2</v>
      </c>
      <c r="M8" s="60">
        <v>5.1999999999999998E-2</v>
      </c>
      <c r="N8" s="60">
        <v>4.9000000000000002E-2</v>
      </c>
      <c r="O8" s="60">
        <v>4.9000000000000002E-2</v>
      </c>
      <c r="P8" s="60">
        <v>4.7E-2</v>
      </c>
      <c r="Q8" s="60">
        <v>5.3999999999999999E-2</v>
      </c>
      <c r="R8" s="60">
        <v>2.4E-2</v>
      </c>
      <c r="S8" s="60">
        <v>2.7E-2</v>
      </c>
      <c r="T8" s="60">
        <v>2.5000000000000001E-2</v>
      </c>
      <c r="U8" s="60">
        <v>2.3E-2</v>
      </c>
      <c r="V8" s="60">
        <v>0.02</v>
      </c>
      <c r="W8" s="60">
        <v>2.1999999999999999E-2</v>
      </c>
      <c r="X8" s="60">
        <v>2.4E-2</v>
      </c>
      <c r="Y8" s="60">
        <v>0.02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0.39300000000000002</v>
      </c>
      <c r="C9" s="61">
        <v>0.44500000000000001</v>
      </c>
      <c r="D9" s="61">
        <v>0.51900000000000002</v>
      </c>
      <c r="E9" s="61">
        <v>0.53900000000000003</v>
      </c>
      <c r="F9" s="61">
        <v>0.94399999999999995</v>
      </c>
      <c r="G9" s="61">
        <v>0.496</v>
      </c>
      <c r="H9" s="61">
        <v>0.81899999999999995</v>
      </c>
      <c r="I9" s="61">
        <v>0.77600000000000002</v>
      </c>
      <c r="J9" s="61">
        <v>5.2210000000000001</v>
      </c>
      <c r="K9" s="61">
        <v>4.2149999999999999</v>
      </c>
      <c r="L9" s="61">
        <v>4.1950000000000003</v>
      </c>
      <c r="M9" s="61">
        <v>4.1079999999999997</v>
      </c>
      <c r="N9" s="61">
        <v>5.0209999999999999</v>
      </c>
      <c r="O9" s="61">
        <v>5.2859999999999996</v>
      </c>
      <c r="P9" s="61">
        <v>5.274</v>
      </c>
      <c r="Q9" s="61">
        <v>4.83</v>
      </c>
      <c r="R9" s="61">
        <v>4.7610000000000001</v>
      </c>
      <c r="S9" s="61">
        <v>4.8120000000000003</v>
      </c>
      <c r="T9" s="61">
        <v>4.5060000000000002</v>
      </c>
      <c r="U9" s="61">
        <v>5.117</v>
      </c>
      <c r="V9" s="61">
        <v>4.8390000000000004</v>
      </c>
      <c r="W9" s="61">
        <v>5.0209999999999999</v>
      </c>
      <c r="X9" s="61">
        <v>4.24</v>
      </c>
      <c r="Y9" s="61">
        <v>3.7480000000000002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323.28389830508473</v>
      </c>
      <c r="C13" s="62">
        <f t="shared" si="6"/>
        <v>320.06679389312973</v>
      </c>
      <c r="D13" s="62">
        <f t="shared" si="6"/>
        <v>319.90774299835255</v>
      </c>
      <c r="E13" s="62">
        <f t="shared" si="6"/>
        <v>329.00794912559616</v>
      </c>
      <c r="F13" s="62">
        <f t="shared" ref="F13:V13" si="7">IF(F3=0,0,F3/F7)</f>
        <v>264.05588235294118</v>
      </c>
      <c r="G13" s="62">
        <f t="shared" si="7"/>
        <v>374.84948096885819</v>
      </c>
      <c r="H13" s="62">
        <f t="shared" si="7"/>
        <v>246.43093922651937</v>
      </c>
      <c r="I13" s="62">
        <f t="shared" si="7"/>
        <v>253.64774044032444</v>
      </c>
      <c r="J13" s="62">
        <f t="shared" si="7"/>
        <v>177.20207743153918</v>
      </c>
      <c r="K13" s="62">
        <f t="shared" si="7"/>
        <v>186.82154566744731</v>
      </c>
      <c r="L13" s="62">
        <f t="shared" si="7"/>
        <v>237.37155639274781</v>
      </c>
      <c r="M13" s="62">
        <f t="shared" si="7"/>
        <v>182.02572115384618</v>
      </c>
      <c r="N13" s="62">
        <f t="shared" si="7"/>
        <v>164.563708086785</v>
      </c>
      <c r="O13" s="62">
        <f t="shared" si="7"/>
        <v>156.25417057169633</v>
      </c>
      <c r="P13" s="62">
        <f t="shared" si="7"/>
        <v>146.05750798722045</v>
      </c>
      <c r="Q13" s="62">
        <f t="shared" si="7"/>
        <v>195.79934479934479</v>
      </c>
      <c r="R13" s="62">
        <f t="shared" si="7"/>
        <v>182.24827586206897</v>
      </c>
      <c r="S13" s="62">
        <f t="shared" si="7"/>
        <v>176.33415995040295</v>
      </c>
      <c r="T13" s="62">
        <f t="shared" si="7"/>
        <v>158.18252041491942</v>
      </c>
      <c r="U13" s="62">
        <f t="shared" si="7"/>
        <v>169.0558365758755</v>
      </c>
      <c r="V13" s="62">
        <f t="shared" si="7"/>
        <v>192.67853467791727</v>
      </c>
      <c r="W13" s="62">
        <f t="shared" ref="W13:Y13" si="8">IF(W3=0,0,W3/W7)</f>
        <v>173.94903827087052</v>
      </c>
      <c r="X13" s="62">
        <f t="shared" si="8"/>
        <v>148.54409005628517</v>
      </c>
      <c r="Y13" s="62">
        <f t="shared" si="8"/>
        <v>137.69532908704883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1127.2658227848101</v>
      </c>
      <c r="C14" s="63">
        <f t="shared" si="6"/>
        <v>1142.1645569620252</v>
      </c>
      <c r="D14" s="63">
        <f t="shared" si="6"/>
        <v>1186.8068181818182</v>
      </c>
      <c r="E14" s="63">
        <f t="shared" si="6"/>
        <v>1187.1777777777779</v>
      </c>
      <c r="F14" s="63">
        <f t="shared" ref="F14:V14" si="9">IF(F4=0,0,F4/F8)</f>
        <v>1192.5921052631579</v>
      </c>
      <c r="G14" s="63">
        <f t="shared" si="9"/>
        <v>1195.8902439024389</v>
      </c>
      <c r="H14" s="63">
        <f t="shared" si="9"/>
        <v>1239.7674418604652</v>
      </c>
      <c r="I14" s="63">
        <f t="shared" si="9"/>
        <v>1263.1954022988507</v>
      </c>
      <c r="J14" s="63">
        <f t="shared" si="9"/>
        <v>1301.1486486486488</v>
      </c>
      <c r="K14" s="63">
        <f t="shared" si="9"/>
        <v>1285.9636363636362</v>
      </c>
      <c r="L14" s="63">
        <f t="shared" si="9"/>
        <v>1309.9423076923078</v>
      </c>
      <c r="M14" s="63">
        <f t="shared" si="9"/>
        <v>1254.3653846153848</v>
      </c>
      <c r="N14" s="63">
        <f t="shared" si="9"/>
        <v>1272.204081632653</v>
      </c>
      <c r="O14" s="63">
        <f t="shared" si="9"/>
        <v>1277.8775510204082</v>
      </c>
      <c r="P14" s="63">
        <f t="shared" si="9"/>
        <v>1301.5319148936169</v>
      </c>
      <c r="Q14" s="63">
        <f t="shared" si="9"/>
        <v>1431.1851851851852</v>
      </c>
      <c r="R14" s="63">
        <f t="shared" si="9"/>
        <v>1502.4166666666665</v>
      </c>
      <c r="S14" s="63">
        <f t="shared" si="9"/>
        <v>1491.8888888888889</v>
      </c>
      <c r="T14" s="63">
        <f t="shared" si="9"/>
        <v>1549</v>
      </c>
      <c r="U14" s="63">
        <f t="shared" si="9"/>
        <v>1475.9565217391305</v>
      </c>
      <c r="V14" s="63">
        <f t="shared" si="9"/>
        <v>1661.25</v>
      </c>
      <c r="W14" s="63">
        <f t="shared" ref="W14:Y14" si="10">IF(W4=0,0,W4/W8)</f>
        <v>1646.5909090909092</v>
      </c>
      <c r="X14" s="63">
        <f t="shared" si="10"/>
        <v>1599.6666666666667</v>
      </c>
      <c r="Y14" s="63">
        <f t="shared" si="10"/>
        <v>1641.8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161.66921119592874</v>
      </c>
      <c r="C15" s="64">
        <f t="shared" si="6"/>
        <v>174.12134831460673</v>
      </c>
      <c r="D15" s="64">
        <f t="shared" si="6"/>
        <v>172.91907514450867</v>
      </c>
      <c r="E15" s="64">
        <f t="shared" si="6"/>
        <v>185.71428571428569</v>
      </c>
      <c r="F15" s="64">
        <f t="shared" ref="F15:V15" si="11">IF(F5=0,0,F5/F9)</f>
        <v>189.30084745762713</v>
      </c>
      <c r="G15" s="64">
        <f t="shared" si="11"/>
        <v>239.11290322580643</v>
      </c>
      <c r="H15" s="64">
        <f t="shared" si="11"/>
        <v>142.12454212454213</v>
      </c>
      <c r="I15" s="64">
        <f t="shared" si="11"/>
        <v>140.46391752577318</v>
      </c>
      <c r="J15" s="64">
        <f t="shared" si="11"/>
        <v>161.27178701398199</v>
      </c>
      <c r="K15" s="64">
        <f t="shared" si="11"/>
        <v>172.47924080664293</v>
      </c>
      <c r="L15" s="64">
        <f t="shared" si="11"/>
        <v>224.0762812872467</v>
      </c>
      <c r="M15" s="64">
        <f t="shared" si="11"/>
        <v>168.45180136319379</v>
      </c>
      <c r="N15" s="64">
        <f t="shared" si="11"/>
        <v>153.75423222465645</v>
      </c>
      <c r="O15" s="64">
        <f t="shared" si="11"/>
        <v>145.85698070374576</v>
      </c>
      <c r="P15" s="64">
        <f t="shared" si="11"/>
        <v>135.76033371255215</v>
      </c>
      <c r="Q15" s="64">
        <f t="shared" si="11"/>
        <v>181.98757763975155</v>
      </c>
      <c r="R15" s="64">
        <f t="shared" si="11"/>
        <v>175.59336273892038</v>
      </c>
      <c r="S15" s="64">
        <f t="shared" si="11"/>
        <v>168.95261845386534</v>
      </c>
      <c r="T15" s="64">
        <f t="shared" si="11"/>
        <v>150.46604527296935</v>
      </c>
      <c r="U15" s="64">
        <f t="shared" si="11"/>
        <v>163.18155169044363</v>
      </c>
      <c r="V15" s="64">
        <f t="shared" si="11"/>
        <v>186.60880347179167</v>
      </c>
      <c r="W15" s="64">
        <f t="shared" ref="W15:Y15" si="12">IF(W5=0,0,W5/W9)</f>
        <v>167.49651463851822</v>
      </c>
      <c r="X15" s="64">
        <f t="shared" si="12"/>
        <v>140.33018867924528</v>
      </c>
      <c r="Y15" s="64">
        <f t="shared" si="12"/>
        <v>129.66915688367129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0.58361622648928502</v>
      </c>
      <c r="C18" s="66">
        <f t="shared" si="16"/>
        <v>0.53800196762364727</v>
      </c>
      <c r="D18" s="66">
        <f t="shared" si="16"/>
        <v>0.53783524904214552</v>
      </c>
      <c r="E18" s="66">
        <f t="shared" si="16"/>
        <v>0.51629893788717829</v>
      </c>
      <c r="F18" s="66">
        <f t="shared" ref="F18:V18" si="17">IF(F4=0,0,F4/F$3)</f>
        <v>0.33651893352937029</v>
      </c>
      <c r="G18" s="66">
        <f t="shared" si="17"/>
        <v>0.45260612102666353</v>
      </c>
      <c r="H18" s="66">
        <f t="shared" si="17"/>
        <v>0.47807371536185095</v>
      </c>
      <c r="I18" s="66">
        <f t="shared" si="17"/>
        <v>0.50205118365631485</v>
      </c>
      <c r="J18" s="66">
        <f t="shared" si="17"/>
        <v>0.10261807446564743</v>
      </c>
      <c r="K18" s="66">
        <f t="shared" si="17"/>
        <v>8.8661799510610137E-2</v>
      </c>
      <c r="L18" s="66">
        <f t="shared" si="17"/>
        <v>6.7568546111215266E-2</v>
      </c>
      <c r="M18" s="66">
        <f t="shared" si="17"/>
        <v>8.6139295085885748E-2</v>
      </c>
      <c r="N18" s="66">
        <f t="shared" si="17"/>
        <v>7.4715522965512787E-2</v>
      </c>
      <c r="O18" s="66">
        <f t="shared" si="17"/>
        <v>7.5113721425692406E-2</v>
      </c>
      <c r="P18" s="66">
        <f t="shared" si="17"/>
        <v>7.8711018925025605E-2</v>
      </c>
      <c r="Q18" s="66">
        <f t="shared" si="17"/>
        <v>8.0816995787862195E-2</v>
      </c>
      <c r="R18" s="66">
        <f t="shared" si="17"/>
        <v>4.134816720906178E-2</v>
      </c>
      <c r="S18" s="66">
        <f t="shared" si="17"/>
        <v>4.7207192003572096E-2</v>
      </c>
      <c r="T18" s="66">
        <f t="shared" si="17"/>
        <v>5.4030485890683315E-2</v>
      </c>
      <c r="U18" s="66">
        <f t="shared" si="17"/>
        <v>3.9066824558920167E-2</v>
      </c>
      <c r="V18" s="66">
        <f t="shared" si="17"/>
        <v>3.5488264039093165E-2</v>
      </c>
      <c r="W18" s="66">
        <f t="shared" ref="W18:Y18" si="18">IF(W4=0,0,W4/W$3)</f>
        <v>4.1294992732765254E-2</v>
      </c>
      <c r="X18" s="66">
        <f t="shared" si="18"/>
        <v>6.061333265971152E-2</v>
      </c>
      <c r="Y18" s="66">
        <f t="shared" si="18"/>
        <v>6.3287821199762548E-2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0.41638377351071493</v>
      </c>
      <c r="C19" s="67">
        <f t="shared" si="19"/>
        <v>0.46199803237635279</v>
      </c>
      <c r="D19" s="67">
        <f t="shared" si="19"/>
        <v>0.46216475095785442</v>
      </c>
      <c r="E19" s="67">
        <f t="shared" si="19"/>
        <v>0.48370106211282166</v>
      </c>
      <c r="F19" s="67">
        <f t="shared" ref="F19:V19" si="20">IF(F5=0,0,F5/F$3)</f>
        <v>0.66348106647062977</v>
      </c>
      <c r="G19" s="67">
        <f t="shared" si="20"/>
        <v>0.54739387897333647</v>
      </c>
      <c r="H19" s="67">
        <f t="shared" si="20"/>
        <v>0.52192628463814905</v>
      </c>
      <c r="I19" s="67">
        <f t="shared" si="20"/>
        <v>0.49794881634368521</v>
      </c>
      <c r="J19" s="67">
        <f t="shared" si="20"/>
        <v>0.89738192553435259</v>
      </c>
      <c r="K19" s="67">
        <f t="shared" si="20"/>
        <v>0.91133820048938996</v>
      </c>
      <c r="L19" s="67">
        <f t="shared" si="20"/>
        <v>0.93243145388878479</v>
      </c>
      <c r="M19" s="67">
        <f t="shared" si="20"/>
        <v>0.91386070491411431</v>
      </c>
      <c r="N19" s="67">
        <f t="shared" si="20"/>
        <v>0.92528447703448724</v>
      </c>
      <c r="O19" s="67">
        <f t="shared" si="20"/>
        <v>0.92488627857430761</v>
      </c>
      <c r="P19" s="67">
        <f t="shared" si="20"/>
        <v>0.92128898107497437</v>
      </c>
      <c r="Q19" s="67">
        <f t="shared" si="20"/>
        <v>0.91918300421213783</v>
      </c>
      <c r="R19" s="67">
        <f t="shared" si="20"/>
        <v>0.95865183279093824</v>
      </c>
      <c r="S19" s="67">
        <f t="shared" si="20"/>
        <v>0.95279280799642796</v>
      </c>
      <c r="T19" s="67">
        <f t="shared" si="20"/>
        <v>0.94596951410931662</v>
      </c>
      <c r="U19" s="67">
        <f t="shared" si="20"/>
        <v>0.96093317544107981</v>
      </c>
      <c r="V19" s="67">
        <f t="shared" si="20"/>
        <v>0.96451173596090678</v>
      </c>
      <c r="W19" s="67">
        <f t="shared" ref="W19:Y19" si="21">IF(W5=0,0,W5/W$3)</f>
        <v>0.95870500726723473</v>
      </c>
      <c r="X19" s="67">
        <f t="shared" si="21"/>
        <v>0.93938666734028842</v>
      </c>
      <c r="Y19" s="67">
        <f t="shared" si="21"/>
        <v>0.93671217880023738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0.1673728813559322</v>
      </c>
      <c r="C22" s="66">
        <f t="shared" si="25"/>
        <v>0.15076335877862596</v>
      </c>
      <c r="D22" s="66">
        <f t="shared" si="25"/>
        <v>0.14497528830313014</v>
      </c>
      <c r="E22" s="66">
        <f t="shared" si="25"/>
        <v>0.14308426073131955</v>
      </c>
      <c r="F22" s="66">
        <f t="shared" ref="F22:V22" si="26">IF(F8=0,0,F8/F$7)</f>
        <v>7.4509803921568626E-2</v>
      </c>
      <c r="G22" s="66">
        <f t="shared" si="26"/>
        <v>0.14186851211072665</v>
      </c>
      <c r="H22" s="66">
        <f t="shared" si="26"/>
        <v>9.5027624309392267E-2</v>
      </c>
      <c r="I22" s="66">
        <f t="shared" si="26"/>
        <v>0.10081112398609501</v>
      </c>
      <c r="J22" s="66">
        <f t="shared" si="26"/>
        <v>1.3975448536355052E-2</v>
      </c>
      <c r="K22" s="66">
        <f t="shared" si="26"/>
        <v>1.2880562060889932E-2</v>
      </c>
      <c r="L22" s="66">
        <f t="shared" si="26"/>
        <v>1.2243936896632918E-2</v>
      </c>
      <c r="M22" s="66">
        <f t="shared" si="26"/>
        <v>1.2500000000000002E-2</v>
      </c>
      <c r="N22" s="66">
        <f t="shared" si="26"/>
        <v>9.6646942800788956E-3</v>
      </c>
      <c r="O22" s="66">
        <f t="shared" si="26"/>
        <v>9.1846298031865049E-3</v>
      </c>
      <c r="P22" s="66">
        <f t="shared" si="26"/>
        <v>8.8329261417026874E-3</v>
      </c>
      <c r="Q22" s="66">
        <f t="shared" si="26"/>
        <v>1.1056511056511056E-2</v>
      </c>
      <c r="R22" s="66">
        <f t="shared" si="26"/>
        <v>5.0156739811912229E-3</v>
      </c>
      <c r="S22" s="66">
        <f t="shared" si="26"/>
        <v>5.5796652200867944E-3</v>
      </c>
      <c r="T22" s="66">
        <f t="shared" si="26"/>
        <v>5.517545795630103E-3</v>
      </c>
      <c r="U22" s="66">
        <f t="shared" si="26"/>
        <v>4.4747081712062263E-3</v>
      </c>
      <c r="V22" s="66">
        <f t="shared" si="26"/>
        <v>4.1160732661041366E-3</v>
      </c>
      <c r="W22" s="66">
        <f t="shared" ref="W22:Y22" si="27">IF(W8=0,0,W8/W$7)</f>
        <v>4.3624826492167359E-3</v>
      </c>
      <c r="X22" s="66">
        <f t="shared" si="27"/>
        <v>5.6285178236397749E-3</v>
      </c>
      <c r="Y22" s="66">
        <f t="shared" si="27"/>
        <v>5.3078556263269636E-3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0.8326271186440678</v>
      </c>
      <c r="C23" s="67">
        <f t="shared" si="28"/>
        <v>0.84923664122137399</v>
      </c>
      <c r="D23" s="67">
        <f t="shared" si="28"/>
        <v>0.85502471169686989</v>
      </c>
      <c r="E23" s="67">
        <f t="shared" si="28"/>
        <v>0.85691573926868048</v>
      </c>
      <c r="F23" s="67">
        <f t="shared" ref="F23:V23" si="29">IF(F9=0,0,F9/F$7)</f>
        <v>0.9254901960784313</v>
      </c>
      <c r="G23" s="67">
        <f t="shared" si="29"/>
        <v>0.8581314878892734</v>
      </c>
      <c r="H23" s="67">
        <f t="shared" si="29"/>
        <v>0.90497237569060773</v>
      </c>
      <c r="I23" s="67">
        <f t="shared" si="29"/>
        <v>0.89918887601390507</v>
      </c>
      <c r="J23" s="67">
        <f t="shared" si="29"/>
        <v>0.98602455146364498</v>
      </c>
      <c r="K23" s="67">
        <f t="shared" si="29"/>
        <v>0.98711943793911017</v>
      </c>
      <c r="L23" s="67">
        <f t="shared" si="29"/>
        <v>0.98775606310336717</v>
      </c>
      <c r="M23" s="67">
        <f t="shared" si="29"/>
        <v>0.98750000000000004</v>
      </c>
      <c r="N23" s="67">
        <f t="shared" si="29"/>
        <v>0.99033530571992101</v>
      </c>
      <c r="O23" s="67">
        <f t="shared" si="29"/>
        <v>0.99081537019681343</v>
      </c>
      <c r="P23" s="67">
        <f t="shared" si="29"/>
        <v>0.99116707385829739</v>
      </c>
      <c r="Q23" s="67">
        <f t="shared" si="29"/>
        <v>0.98894348894348894</v>
      </c>
      <c r="R23" s="67">
        <f t="shared" si="29"/>
        <v>0.99498432601880882</v>
      </c>
      <c r="S23" s="67">
        <f t="shared" si="29"/>
        <v>0.99442033477991321</v>
      </c>
      <c r="T23" s="67">
        <f t="shared" si="29"/>
        <v>0.99448245420436987</v>
      </c>
      <c r="U23" s="67">
        <f t="shared" si="29"/>
        <v>0.99552529182879379</v>
      </c>
      <c r="V23" s="67">
        <f t="shared" si="29"/>
        <v>0.99588392673389592</v>
      </c>
      <c r="W23" s="67">
        <f t="shared" ref="W23:Y23" si="30">IF(W9=0,0,W9/W$7)</f>
        <v>0.99563751735078321</v>
      </c>
      <c r="X23" s="67">
        <f t="shared" si="30"/>
        <v>0.99437148217636018</v>
      </c>
      <c r="Y23" s="67">
        <f t="shared" si="30"/>
        <v>0.99469214437367304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28.938779019776437</v>
      </c>
      <c r="C3" s="62">
        <f t="shared" ref="C3:V3" si="0">SUM(C4,C10)</f>
        <v>29.417712811693896</v>
      </c>
      <c r="D3" s="62">
        <f t="shared" si="0"/>
        <v>35.317712811693895</v>
      </c>
      <c r="E3" s="62">
        <f t="shared" si="0"/>
        <v>36.33783319002579</v>
      </c>
      <c r="F3" s="62">
        <f t="shared" si="0"/>
        <v>29.583233018056752</v>
      </c>
      <c r="G3" s="62">
        <f t="shared" si="0"/>
        <v>32.643508168529657</v>
      </c>
      <c r="H3" s="62">
        <f t="shared" si="0"/>
        <v>33.66362854686156</v>
      </c>
      <c r="I3" s="62">
        <f t="shared" si="0"/>
        <v>34.683748925193463</v>
      </c>
      <c r="J3" s="62">
        <f t="shared" si="0"/>
        <v>43.040326741186576</v>
      </c>
      <c r="K3" s="62">
        <f t="shared" si="0"/>
        <v>47.311092003439377</v>
      </c>
      <c r="L3" s="62">
        <f t="shared" si="0"/>
        <v>37.633705932932067</v>
      </c>
      <c r="M3" s="62">
        <f t="shared" si="0"/>
        <v>38.041788478073954</v>
      </c>
      <c r="N3" s="62">
        <f t="shared" si="0"/>
        <v>36.103525365434216</v>
      </c>
      <c r="O3" s="62">
        <f t="shared" si="0"/>
        <v>39.784350816852957</v>
      </c>
      <c r="P3" s="62">
        <f t="shared" si="0"/>
        <v>43.864746345657785</v>
      </c>
      <c r="Q3" s="62">
        <f t="shared" si="0"/>
        <v>41.824505588993986</v>
      </c>
      <c r="R3" s="62">
        <f t="shared" si="0"/>
        <v>42.844625967325882</v>
      </c>
      <c r="S3" s="62">
        <f t="shared" si="0"/>
        <v>45.190885640584703</v>
      </c>
      <c r="T3" s="62">
        <f t="shared" si="0"/>
        <v>48.149269131556331</v>
      </c>
      <c r="U3" s="62">
        <f t="shared" si="0"/>
        <v>50.087446259673264</v>
      </c>
      <c r="V3" s="62">
        <f t="shared" si="0"/>
        <v>41.008426483233023</v>
      </c>
      <c r="W3" s="62">
        <f t="shared" ref="W3:Y3" si="1">SUM(W4,W10)</f>
        <v>47.843164230438518</v>
      </c>
      <c r="X3" s="62">
        <f t="shared" si="1"/>
        <v>49.351418744625967</v>
      </c>
      <c r="Y3" s="62">
        <f t="shared" si="1"/>
        <v>47.719260533104041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19.706326028888345</v>
      </c>
      <c r="C4" s="71">
        <f t="shared" ref="C4:V4" si="2">SUM(C5:C9)</f>
        <v>19.145881692120216</v>
      </c>
      <c r="D4" s="71">
        <f t="shared" si="2"/>
        <v>23.09616445596464</v>
      </c>
      <c r="E4" s="71">
        <f t="shared" si="2"/>
        <v>23.349304090937956</v>
      </c>
      <c r="F4" s="71">
        <f t="shared" si="2"/>
        <v>13.694407776064782</v>
      </c>
      <c r="G4" s="71">
        <f t="shared" si="2"/>
        <v>20.823532147050848</v>
      </c>
      <c r="H4" s="71">
        <f t="shared" si="2"/>
        <v>18.413374960944605</v>
      </c>
      <c r="I4" s="71">
        <f t="shared" si="2"/>
        <v>19.546310060478731</v>
      </c>
      <c r="J4" s="71">
        <f t="shared" si="2"/>
        <v>6.261204222420413</v>
      </c>
      <c r="K4" s="71">
        <f t="shared" si="2"/>
        <v>6.1167358723141394</v>
      </c>
      <c r="L4" s="71">
        <f t="shared" si="2"/>
        <v>4.6688800467114593</v>
      </c>
      <c r="M4" s="71">
        <f t="shared" si="2"/>
        <v>5.0404927312381353</v>
      </c>
      <c r="N4" s="71">
        <f t="shared" si="2"/>
        <v>3.7607951104907631</v>
      </c>
      <c r="O4" s="71">
        <f t="shared" si="2"/>
        <v>3.8764137176746951</v>
      </c>
      <c r="P4" s="71">
        <f t="shared" si="2"/>
        <v>4.2602962704247931</v>
      </c>
      <c r="Q4" s="71">
        <f t="shared" si="2"/>
        <v>4.7403639888534572</v>
      </c>
      <c r="R4" s="71">
        <f t="shared" si="2"/>
        <v>2.4580162946750237</v>
      </c>
      <c r="S4" s="71">
        <f t="shared" si="2"/>
        <v>3.0772916761434175</v>
      </c>
      <c r="T4" s="71">
        <f t="shared" si="2"/>
        <v>3.2381374265313494</v>
      </c>
      <c r="U4" s="71">
        <f t="shared" si="2"/>
        <v>2.6648079941312846</v>
      </c>
      <c r="V4" s="71">
        <f t="shared" si="2"/>
        <v>1.8914433122264771</v>
      </c>
      <c r="W4" s="71">
        <f t="shared" ref="W4:Y4" si="3">SUM(W5:W9)</f>
        <v>2.3974658216770841</v>
      </c>
      <c r="X4" s="71">
        <f t="shared" si="3"/>
        <v>3.4094282340550324</v>
      </c>
      <c r="Y4" s="71">
        <f t="shared" si="3"/>
        <v>3.1600816268745291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18.061175289836903</v>
      </c>
      <c r="C5" s="73">
        <v>17.261837127136904</v>
      </c>
      <c r="D5" s="73">
        <v>18.678965719515606</v>
      </c>
      <c r="E5" s="73">
        <v>19.009055936810331</v>
      </c>
      <c r="F5" s="73">
        <v>13.694407776064782</v>
      </c>
      <c r="G5" s="73">
        <v>20.823532147050848</v>
      </c>
      <c r="H5" s="73">
        <v>18.413374960944605</v>
      </c>
      <c r="I5" s="73">
        <v>19.546310060478731</v>
      </c>
      <c r="J5" s="73">
        <v>5.9804651535633875</v>
      </c>
      <c r="K5" s="73">
        <v>6.066832873319508</v>
      </c>
      <c r="L5" s="73">
        <v>4.429462335670534</v>
      </c>
      <c r="M5" s="73">
        <v>4.7847916222167202</v>
      </c>
      <c r="N5" s="73">
        <v>3.5597698619462728</v>
      </c>
      <c r="O5" s="73">
        <v>3.8764137176746951</v>
      </c>
      <c r="P5" s="73">
        <v>4.2602962704247931</v>
      </c>
      <c r="Q5" s="73">
        <v>4.7403639888534572</v>
      </c>
      <c r="R5" s="73">
        <v>2.4580162946750237</v>
      </c>
      <c r="S5" s="73">
        <v>3.0772916761434175</v>
      </c>
      <c r="T5" s="73">
        <v>3.2381374265313494</v>
      </c>
      <c r="U5" s="73">
        <v>2.6648079941312846</v>
      </c>
      <c r="V5" s="73">
        <v>1.8914433122264771</v>
      </c>
      <c r="W5" s="73">
        <v>2.3974658216770841</v>
      </c>
      <c r="X5" s="73">
        <v>3.4038978934791611</v>
      </c>
      <c r="Y5" s="73">
        <v>3.1547804223254587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1.645150739051443</v>
      </c>
      <c r="C6" s="73">
        <v>1.8840445649833142</v>
      </c>
      <c r="D6" s="73">
        <v>4.4171987364490333</v>
      </c>
      <c r="E6" s="73">
        <v>4.3402481541276243</v>
      </c>
      <c r="F6" s="73">
        <v>0</v>
      </c>
      <c r="G6" s="73">
        <v>0</v>
      </c>
      <c r="H6" s="73">
        <v>0</v>
      </c>
      <c r="I6" s="73">
        <v>0</v>
      </c>
      <c r="J6" s="73">
        <v>0.2807390688570256</v>
      </c>
      <c r="K6" s="73">
        <v>4.9902998994631423E-2</v>
      </c>
      <c r="L6" s="73">
        <v>0.23941771104092505</v>
      </c>
      <c r="M6" s="73">
        <v>0.25570110902141552</v>
      </c>
      <c r="N6" s="73">
        <v>0.20102524854449028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5.5303405758711588E-3</v>
      </c>
      <c r="Y6" s="73">
        <v>5.3012045490701933E-3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9.2324529908880919</v>
      </c>
      <c r="C10" s="71">
        <f t="shared" ref="C10:V10" si="4">SUM(C11:C15)</f>
        <v>10.271831119573678</v>
      </c>
      <c r="D10" s="71">
        <f t="shared" si="4"/>
        <v>12.221548355729258</v>
      </c>
      <c r="E10" s="71">
        <f t="shared" si="4"/>
        <v>12.988529099087833</v>
      </c>
      <c r="F10" s="71">
        <f t="shared" si="4"/>
        <v>15.88882524199197</v>
      </c>
      <c r="G10" s="71">
        <f t="shared" si="4"/>
        <v>11.819976021478807</v>
      </c>
      <c r="H10" s="71">
        <f t="shared" si="4"/>
        <v>15.250253585916955</v>
      </c>
      <c r="I10" s="71">
        <f t="shared" si="4"/>
        <v>15.13743886471473</v>
      </c>
      <c r="J10" s="71">
        <f t="shared" si="4"/>
        <v>36.779122518766165</v>
      </c>
      <c r="K10" s="71">
        <f t="shared" si="4"/>
        <v>41.19435613112524</v>
      </c>
      <c r="L10" s="71">
        <f t="shared" si="4"/>
        <v>32.964825886220609</v>
      </c>
      <c r="M10" s="71">
        <f t="shared" si="4"/>
        <v>33.001295746835815</v>
      </c>
      <c r="N10" s="71">
        <f t="shared" si="4"/>
        <v>32.342730254943454</v>
      </c>
      <c r="O10" s="71">
        <f t="shared" si="4"/>
        <v>35.907937099178262</v>
      </c>
      <c r="P10" s="71">
        <f t="shared" si="4"/>
        <v>39.60445007523299</v>
      </c>
      <c r="Q10" s="71">
        <f t="shared" si="4"/>
        <v>37.084141600140526</v>
      </c>
      <c r="R10" s="71">
        <f t="shared" si="4"/>
        <v>40.386609672650856</v>
      </c>
      <c r="S10" s="71">
        <f t="shared" si="4"/>
        <v>42.113593964441286</v>
      </c>
      <c r="T10" s="71">
        <f t="shared" si="4"/>
        <v>44.911131705024978</v>
      </c>
      <c r="U10" s="71">
        <f t="shared" si="4"/>
        <v>47.422638265541977</v>
      </c>
      <c r="V10" s="71">
        <f t="shared" si="4"/>
        <v>39.116983171006545</v>
      </c>
      <c r="W10" s="71">
        <f t="shared" ref="W10:Y10" si="5">SUM(W11:W15)</f>
        <v>45.44569840876143</v>
      </c>
      <c r="X10" s="71">
        <f t="shared" si="5"/>
        <v>45.941990510570932</v>
      </c>
      <c r="Y10" s="71">
        <f t="shared" si="5"/>
        <v>44.559178906229512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8.4616965932241452</v>
      </c>
      <c r="C11" s="73">
        <v>9.2610347559241468</v>
      </c>
      <c r="D11" s="73">
        <v>9.8841469202092451</v>
      </c>
      <c r="E11" s="73">
        <v>10.574177081246416</v>
      </c>
      <c r="F11" s="73">
        <v>15.88882524199197</v>
      </c>
      <c r="G11" s="73">
        <v>11.819976021478807</v>
      </c>
      <c r="H11" s="73">
        <v>15.250253585916955</v>
      </c>
      <c r="I11" s="73">
        <v>15.13743886471473</v>
      </c>
      <c r="J11" s="73">
        <v>35.130024958216481</v>
      </c>
      <c r="K11" s="73">
        <v>40.858274607333975</v>
      </c>
      <c r="L11" s="73">
        <v>31.274406967854826</v>
      </c>
      <c r="M11" s="73">
        <v>31.327160226450523</v>
      </c>
      <c r="N11" s="73">
        <v>30.613918874081236</v>
      </c>
      <c r="O11" s="73">
        <v>35.907937099178262</v>
      </c>
      <c r="P11" s="73">
        <v>39.60445007523299</v>
      </c>
      <c r="Q11" s="73">
        <v>37.084141600140526</v>
      </c>
      <c r="R11" s="73">
        <v>40.386609672650856</v>
      </c>
      <c r="S11" s="73">
        <v>42.113593964441286</v>
      </c>
      <c r="T11" s="73">
        <v>44.911131705024978</v>
      </c>
      <c r="U11" s="73">
        <v>47.422638265541977</v>
      </c>
      <c r="V11" s="73">
        <v>39.116983171006545</v>
      </c>
      <c r="W11" s="73">
        <v>45.44569840876143</v>
      </c>
      <c r="X11" s="73">
        <v>45.867469260433133</v>
      </c>
      <c r="Y11" s="73">
        <v>44.48442852006491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0.77075639766394677</v>
      </c>
      <c r="C12" s="73">
        <v>1.0107963636495316</v>
      </c>
      <c r="D12" s="73">
        <v>2.3374014355200123</v>
      </c>
      <c r="E12" s="73">
        <v>2.4143520178414168</v>
      </c>
      <c r="F12" s="73">
        <v>0</v>
      </c>
      <c r="G12" s="73">
        <v>0</v>
      </c>
      <c r="H12" s="73">
        <v>0</v>
      </c>
      <c r="I12" s="73">
        <v>0</v>
      </c>
      <c r="J12" s="73">
        <v>1.6490975605496825</v>
      </c>
      <c r="K12" s="73">
        <v>0.33608152379126549</v>
      </c>
      <c r="L12" s="73">
        <v>1.690418918365783</v>
      </c>
      <c r="M12" s="73">
        <v>1.6741355203852928</v>
      </c>
      <c r="N12" s="73">
        <v>1.7288113808622176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7.4521250137801587E-2</v>
      </c>
      <c r="Y12" s="73">
        <v>7.4750386164602542E-2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6131.0972499526342</v>
      </c>
      <c r="C19" s="62">
        <f>IF(C3=0,0,C3/TrNavi_act!C7*100)</f>
        <v>5614.0673304759339</v>
      </c>
      <c r="D19" s="62">
        <f>IF(D3=0,0,D3/TrNavi_act!D7*100)</f>
        <v>5818.4040875937226</v>
      </c>
      <c r="E19" s="62">
        <f>IF(E3=0,0,E3/TrNavi_act!E7*100)</f>
        <v>5777.079998414275</v>
      </c>
      <c r="F19" s="62">
        <f>IF(F3=0,0,F3/TrNavi_act!F7*100)</f>
        <v>2900.3169625545834</v>
      </c>
      <c r="G19" s="62">
        <f>IF(G3=0,0,G3/TrNavi_act!G7*100)</f>
        <v>5647.6657731020168</v>
      </c>
      <c r="H19" s="62">
        <f>IF(H3=0,0,H3/TrNavi_act!H7*100)</f>
        <v>3719.7379609791783</v>
      </c>
      <c r="I19" s="62">
        <f>IF(I3=0,0,I3/TrNavi_act!I7*100)</f>
        <v>4018.9743829888139</v>
      </c>
      <c r="J19" s="62">
        <f>IF(J3=0,0,J3/TrNavi_act!J7*100)</f>
        <v>812.84847480994472</v>
      </c>
      <c r="K19" s="62">
        <f>IF(K3=0,0,K3/TrNavi_act!K7*100)</f>
        <v>1107.9881031250441</v>
      </c>
      <c r="L19" s="62">
        <f>IF(L3=0,0,L3/TrNavi_act!L7*100)</f>
        <v>886.12446274857712</v>
      </c>
      <c r="M19" s="62">
        <f>IF(M3=0,0,M3/TrNavi_act!M7*100)</f>
        <v>914.46606918447026</v>
      </c>
      <c r="N19" s="62">
        <f>IF(N3=0,0,N3/TrNavi_act!N7*100)</f>
        <v>712.10109202039871</v>
      </c>
      <c r="O19" s="62">
        <f>IF(O3=0,0,O3/TrNavi_act!O7*100)</f>
        <v>745.72353920998978</v>
      </c>
      <c r="P19" s="62">
        <f>IF(P3=0,0,P3/TrNavi_act!P7*100)</f>
        <v>824.37035041642139</v>
      </c>
      <c r="Q19" s="62">
        <f>IF(Q3=0,0,Q3/TrNavi_act!Q7*100)</f>
        <v>856.35760829226012</v>
      </c>
      <c r="R19" s="62">
        <f>IF(R3=0,0,R3/TrNavi_act!R7*100)</f>
        <v>895.39448207577607</v>
      </c>
      <c r="S19" s="62">
        <f>IF(S3=0,0,S3/TrNavi_act!S7*100)</f>
        <v>933.88893656922301</v>
      </c>
      <c r="T19" s="62">
        <f>IF(T3=0,0,T3/TrNavi_act!T7*100)</f>
        <v>1062.6631898379237</v>
      </c>
      <c r="U19" s="62">
        <f>IF(U3=0,0,U3/TrNavi_act!U7*100)</f>
        <v>974.46393501309865</v>
      </c>
      <c r="V19" s="62">
        <f>IF(V3=0,0,V3/TrNavi_act!V7*100)</f>
        <v>843.96843966316158</v>
      </c>
      <c r="W19" s="62">
        <f>IF(W3=0,0,W3/TrNavi_act!W7*100)</f>
        <v>948.70442654052192</v>
      </c>
      <c r="X19" s="62">
        <f>IF(X3=0,0,X3/TrNavi_act!X7*100)</f>
        <v>1157.3972501084888</v>
      </c>
      <c r="Y19" s="62">
        <f>IF(Y3=0,0,Y3/TrNavi_act!Y7*100)</f>
        <v>1266.4347275239925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24944.716492263728</v>
      </c>
      <c r="C20" s="63">
        <f>IF(C4=0,0,C4/TrNavi_act!C8*100)</f>
        <v>24235.293281164832</v>
      </c>
      <c r="D20" s="63">
        <f>IF(D4=0,0,D4/TrNavi_act!D8*100)</f>
        <v>26245.641427232546</v>
      </c>
      <c r="E20" s="63">
        <f>IF(E4=0,0,E4/TrNavi_act!E8*100)</f>
        <v>25943.671212153287</v>
      </c>
      <c r="F20" s="63">
        <f>IF(F4=0,0,F4/TrNavi_act!F8*100)</f>
        <v>18018.957600085239</v>
      </c>
      <c r="G20" s="63">
        <f>IF(G4=0,0,G4/TrNavi_act!G8*100)</f>
        <v>25394.551398842497</v>
      </c>
      <c r="H20" s="63">
        <f>IF(H4=0,0,H4/TrNavi_act!H8*100)</f>
        <v>21410.901117377449</v>
      </c>
      <c r="I20" s="63">
        <f>IF(I4=0,0,I4/TrNavi_act!I8*100)</f>
        <v>22467.023058021532</v>
      </c>
      <c r="J20" s="63">
        <f>IF(J4=0,0,J4/TrNavi_act!J8*100)</f>
        <v>8461.0867870546135</v>
      </c>
      <c r="K20" s="63">
        <f>IF(K4=0,0,K4/TrNavi_act!K8*100)</f>
        <v>11121.337949662071</v>
      </c>
      <c r="L20" s="63">
        <f>IF(L4=0,0,L4/TrNavi_act!L8*100)</f>
        <v>8978.6154744451142</v>
      </c>
      <c r="M20" s="63">
        <f>IF(M4=0,0,M4/TrNavi_act!M8*100)</f>
        <v>9693.25525238103</v>
      </c>
      <c r="N20" s="63">
        <f>IF(N4=0,0,N4/TrNavi_act!N8*100)</f>
        <v>7675.0920622260464</v>
      </c>
      <c r="O20" s="63">
        <f>IF(O4=0,0,O4/TrNavi_act!O8*100)</f>
        <v>7911.0484034177443</v>
      </c>
      <c r="P20" s="63">
        <f>IF(P4=0,0,P4/TrNavi_act!P8*100)</f>
        <v>9064.4601498399843</v>
      </c>
      <c r="Q20" s="63">
        <f>IF(Q4=0,0,Q4/TrNavi_act!Q8*100)</f>
        <v>8778.4518312101063</v>
      </c>
      <c r="R20" s="63">
        <f>IF(R4=0,0,R4/TrNavi_act!R8*100)</f>
        <v>10241.734561145933</v>
      </c>
      <c r="S20" s="63">
        <f>IF(S4=0,0,S4/TrNavi_act!S8*100)</f>
        <v>11397.376578308953</v>
      </c>
      <c r="T20" s="63">
        <f>IF(T4=0,0,T4/TrNavi_act!T8*100)</f>
        <v>12952.549706125395</v>
      </c>
      <c r="U20" s="63">
        <f>IF(U4=0,0,U4/TrNavi_act!U8*100)</f>
        <v>11586.12171361428</v>
      </c>
      <c r="V20" s="63">
        <f>IF(V4=0,0,V4/TrNavi_act!V8*100)</f>
        <v>9457.2165611323853</v>
      </c>
      <c r="W20" s="63">
        <f>IF(W4=0,0,W4/TrNavi_act!W8*100)</f>
        <v>10897.57191671402</v>
      </c>
      <c r="X20" s="63">
        <f>IF(X4=0,0,X4/TrNavi_act!X8*100)</f>
        <v>14205.950975229302</v>
      </c>
      <c r="Y20" s="63">
        <f>IF(Y4=0,0,Y4/TrNavi_act!Y8*100)</f>
        <v>15800.408134372645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2349.2246796152904</v>
      </c>
      <c r="C21" s="64">
        <f>IF(C10=0,0,C10/TrNavi_act!C9*100)</f>
        <v>2308.2766560839727</v>
      </c>
      <c r="D21" s="64">
        <f>IF(D10=0,0,D10/TrNavi_act!D9*100)</f>
        <v>2354.8262727802035</v>
      </c>
      <c r="E21" s="64">
        <f>IF(E10=0,0,E10/TrNavi_act!E9*100)</f>
        <v>2409.745658457854</v>
      </c>
      <c r="F21" s="64">
        <f>IF(F10=0,0,F10/TrNavi_act!F9*100)</f>
        <v>1683.1382671601664</v>
      </c>
      <c r="G21" s="64">
        <f>IF(G10=0,0,G10/TrNavi_act!G9*100)</f>
        <v>2383.0596817497594</v>
      </c>
      <c r="H21" s="64">
        <f>IF(H10=0,0,H10/TrNavi_act!H9*100)</f>
        <v>1862.0578248982852</v>
      </c>
      <c r="I21" s="64">
        <f>IF(I10=0,0,I10/TrNavi_act!I9*100)</f>
        <v>1950.7008846281867</v>
      </c>
      <c r="J21" s="64">
        <f>IF(J10=0,0,J10/TrNavi_act!J9*100)</f>
        <v>704.44593983463255</v>
      </c>
      <c r="K21" s="64">
        <f>IF(K10=0,0,K10/TrNavi_act!K9*100)</f>
        <v>977.3275475949049</v>
      </c>
      <c r="L21" s="64">
        <f>IF(L10=0,0,L10/TrNavi_act!L9*100)</f>
        <v>785.81229764530644</v>
      </c>
      <c r="M21" s="64">
        <f>IF(M10=0,0,M10/TrNavi_act!M9*100)</f>
        <v>803.34215547312124</v>
      </c>
      <c r="N21" s="64">
        <f>IF(N10=0,0,N10/TrNavi_act!N9*100)</f>
        <v>644.14917854896339</v>
      </c>
      <c r="O21" s="64">
        <f>IF(O10=0,0,O10/TrNavi_act!O9*100)</f>
        <v>679.3026314638339</v>
      </c>
      <c r="P21" s="64">
        <f>IF(P10=0,0,P10/TrNavi_act!P9*100)</f>
        <v>750.93761993236615</v>
      </c>
      <c r="Q21" s="64">
        <f>IF(Q10=0,0,Q10/TrNavi_act!Q9*100)</f>
        <v>767.78761076895501</v>
      </c>
      <c r="R21" s="64">
        <f>IF(R10=0,0,R10/TrNavi_act!R9*100)</f>
        <v>848.27997632116899</v>
      </c>
      <c r="S21" s="64">
        <f>IF(S10=0,0,S10/TrNavi_act!S9*100)</f>
        <v>875.17859443976067</v>
      </c>
      <c r="T21" s="64">
        <f>IF(T10=0,0,T10/TrNavi_act!T9*100)</f>
        <v>996.69622070627997</v>
      </c>
      <c r="U21" s="64">
        <f>IF(U10=0,0,U10/TrNavi_act!U9*100)</f>
        <v>926.76643082943087</v>
      </c>
      <c r="V21" s="64">
        <f>IF(V10=0,0,V10/TrNavi_act!V9*100)</f>
        <v>808.36915005179878</v>
      </c>
      <c r="W21" s="64">
        <f>IF(W10=0,0,W10/TrNavi_act!W9*100)</f>
        <v>905.11249569331676</v>
      </c>
      <c r="X21" s="64">
        <f>IF(X10=0,0,X10/TrNavi_act!X9*100)</f>
        <v>1083.5375120417671</v>
      </c>
      <c r="Y21" s="64">
        <f>IF(Y10=0,0,Y10/TrNavi_act!Y9*100)</f>
        <v>1188.878839547212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189.65056045465914</v>
      </c>
      <c r="C23" s="62">
        <f>IF(C3=0,0,C3/TrNavi_act!C3*1000)</f>
        <v>175.40299205016785</v>
      </c>
      <c r="D23" s="62">
        <f>IF(D3=0,0,D3/TrNavi_act!D3*1000)</f>
        <v>181.87756360819583</v>
      </c>
      <c r="E23" s="62">
        <f>IF(E3=0,0,E3/TrNavi_act!E3*1000)</f>
        <v>175.59089419474543</v>
      </c>
      <c r="F23" s="62">
        <f>IF(F3=0,0,F3/TrNavi_act!F3*1000)</f>
        <v>109.83724114420504</v>
      </c>
      <c r="G23" s="62">
        <f>IF(G3=0,0,G3/TrNavi_act!G3*1000)</f>
        <v>150.66489510682328</v>
      </c>
      <c r="H23" s="62">
        <f>IF(H3=0,0,H3/TrNavi_act!H3*1000)</f>
        <v>150.94443792871292</v>
      </c>
      <c r="I23" s="62">
        <f>IF(I3=0,0,I3/TrNavi_act!I3*1000)</f>
        <v>158.4470800335931</v>
      </c>
      <c r="J23" s="62">
        <f>IF(J3=0,0,J3/TrNavi_act!J3*1000)</f>
        <v>45.871272311916506</v>
      </c>
      <c r="K23" s="62">
        <f>IF(K3=0,0,K3/TrNavi_act!K3*1000)</f>
        <v>59.30729772985201</v>
      </c>
      <c r="L23" s="62">
        <f>IF(L3=0,0,L3/TrNavi_act!L3*1000)</f>
        <v>37.330692700283862</v>
      </c>
      <c r="M23" s="62">
        <f>IF(M3=0,0,M3/TrNavi_act!M3*1000)</f>
        <v>50.238288489546669</v>
      </c>
      <c r="N23" s="62">
        <f>IF(N3=0,0,N3/TrNavi_act!N3*1000)</f>
        <v>43.272061641006665</v>
      </c>
      <c r="O23" s="62">
        <f>IF(O3=0,0,O3/TrNavi_act!O3*1000)</f>
        <v>47.725032649148957</v>
      </c>
      <c r="P23" s="62">
        <f>IF(P3=0,0,P3/TrNavi_act!P3*1000)</f>
        <v>56.441490874166576</v>
      </c>
      <c r="Q23" s="62">
        <f>IF(Q3=0,0,Q3/TrNavi_act!Q3*1000)</f>
        <v>43.736489985186395</v>
      </c>
      <c r="R23" s="62">
        <f>IF(R3=0,0,R3/TrNavi_act!R3*1000)</f>
        <v>49.130477522510986</v>
      </c>
      <c r="S23" s="62">
        <f>IF(S3=0,0,S3/TrNavi_act!S3*1000)</f>
        <v>52.961317128337214</v>
      </c>
      <c r="T23" s="62">
        <f>IF(T3=0,0,T3/TrNavi_act!T3*1000)</f>
        <v>67.179558591588588</v>
      </c>
      <c r="U23" s="62">
        <f>IF(U3=0,0,U3/TrNavi_act!U3*1000)</f>
        <v>57.64154345394283</v>
      </c>
      <c r="V23" s="62">
        <f>IF(V3=0,0,V3/TrNavi_act!V3*1000)</f>
        <v>43.80189215544663</v>
      </c>
      <c r="W23" s="62">
        <f>IF(W3=0,0,W3/TrNavi_act!W3*1000)</f>
        <v>54.539216541296149</v>
      </c>
      <c r="X23" s="62">
        <f>IF(X3=0,0,X3/TrNavi_act!X3*1000)</f>
        <v>77.916075265595339</v>
      </c>
      <c r="Y23" s="62">
        <f>IF(Y3=0,0,Y3/TrNavi_act!Y3*1000)</f>
        <v>91.973688281275855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221.28513069472842</v>
      </c>
      <c r="C24" s="63">
        <f>IF(C4=0,0,C4/TrNavi_act!C4*1000)</f>
        <v>212.18740446321348</v>
      </c>
      <c r="D24" s="63">
        <f>IF(D4=0,0,D4/TrNavi_act!D4*1000)</f>
        <v>221.14501724417738</v>
      </c>
      <c r="E24" s="63">
        <f>IF(E4=0,0,E4/TrNavi_act!E4*1000)</f>
        <v>218.53231839224637</v>
      </c>
      <c r="F24" s="63">
        <f>IF(F4=0,0,F4/TrNavi_act!F4*1000)</f>
        <v>151.09070000181805</v>
      </c>
      <c r="G24" s="63">
        <f>IF(G4=0,0,G4/TrNavi_act!G4*1000)</f>
        <v>212.34851215087085</v>
      </c>
      <c r="H24" s="63">
        <f>IF(H4=0,0,H4/TrNavi_act!H4*1000)</f>
        <v>172.70094692313452</v>
      </c>
      <c r="I24" s="63">
        <f>IF(I4=0,0,I4/TrNavi_act!I4*1000)</f>
        <v>177.85865129919318</v>
      </c>
      <c r="J24" s="63">
        <f>IF(J4=0,0,J4/TrNavi_act!J4*1000)</f>
        <v>65.027825958564804</v>
      </c>
      <c r="K24" s="63">
        <f>IF(K4=0,0,K4/TrNavi_act!K4*1000)</f>
        <v>86.482522795980941</v>
      </c>
      <c r="L24" s="63">
        <f>IF(L4=0,0,L4/TrNavi_act!L4*1000)</f>
        <v>68.542068011090606</v>
      </c>
      <c r="M24" s="63">
        <f>IF(M4=0,0,M4/TrNavi_act!M4*1000)</f>
        <v>77.276169856625856</v>
      </c>
      <c r="N24" s="63">
        <f>IF(N4=0,0,N4/TrNavi_act!N4*1000)</f>
        <v>60.329094781525924</v>
      </c>
      <c r="O24" s="63">
        <f>IF(O4=0,0,O4/TrNavi_act!O4*1000)</f>
        <v>61.907718756782536</v>
      </c>
      <c r="P24" s="63">
        <f>IF(P4=0,0,P4/TrNavi_act!P4*1000)</f>
        <v>69.644547675812348</v>
      </c>
      <c r="Q24" s="63">
        <f>IF(Q4=0,0,Q4/TrNavi_act!Q4*1000)</f>
        <v>61.336938937599719</v>
      </c>
      <c r="R24" s="63">
        <f>IF(R4=0,0,R4/TrNavi_act!R4*1000)</f>
        <v>68.168403535277164</v>
      </c>
      <c r="S24" s="63">
        <f>IF(S4=0,0,S4/TrNavi_act!S4*1000)</f>
        <v>76.39561272419796</v>
      </c>
      <c r="T24" s="63">
        <f>IF(T4=0,0,T4/TrNavi_act!T4*1000)</f>
        <v>83.618784416561638</v>
      </c>
      <c r="U24" s="63">
        <f>IF(U4=0,0,U4/TrNavi_act!U4*1000)</f>
        <v>78.499071910074065</v>
      </c>
      <c r="V24" s="63">
        <f>IF(V4=0,0,V4/TrNavi_act!V4*1000)</f>
        <v>56.928316395078319</v>
      </c>
      <c r="W24" s="63">
        <f>IF(W4=0,0,W4/TrNavi_act!W4*1000)</f>
        <v>66.182631378249383</v>
      </c>
      <c r="X24" s="63">
        <f>IF(X4=0,0,X4/TrNavi_act!X4*1000)</f>
        <v>88.80569478159596</v>
      </c>
      <c r="Y24" s="63">
        <f>IF(Y4=0,0,Y4/TrNavi_act!Y4*1000)</f>
        <v>96.238324609408252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145.3105796853452</v>
      </c>
      <c r="C25" s="64">
        <f>IF(C10=0,0,C10/TrNavi_act!C5*1000)</f>
        <v>132.56712507838623</v>
      </c>
      <c r="D25" s="64">
        <f>IF(D10=0,0,D10/TrNavi_act!D5*1000)</f>
        <v>136.18082740798101</v>
      </c>
      <c r="E25" s="64">
        <f>IF(E10=0,0,E10/TrNavi_act!E5*1000)</f>
        <v>129.75553545542289</v>
      </c>
      <c r="F25" s="64">
        <f>IF(F10=0,0,F10/TrNavi_act!F5*1000)</f>
        <v>88.913403704487806</v>
      </c>
      <c r="G25" s="64">
        <f>IF(G10=0,0,G10/TrNavi_act!G5*1000)</f>
        <v>99.66252969206414</v>
      </c>
      <c r="H25" s="64">
        <f>IF(H10=0,0,H10/TrNavi_act!H5*1000)</f>
        <v>131.01592427763705</v>
      </c>
      <c r="I25" s="64">
        <f>IF(I10=0,0,I10/TrNavi_act!I5*1000)</f>
        <v>138.87558591481402</v>
      </c>
      <c r="J25" s="64">
        <f>IF(J10=0,0,J10/TrNavi_act!J5*1000)</f>
        <v>43.680668074544144</v>
      </c>
      <c r="K25" s="64">
        <f>IF(K10=0,0,K10/TrNavi_act!K5*1000)</f>
        <v>56.66348848848039</v>
      </c>
      <c r="L25" s="64">
        <f>IF(L10=0,0,L10/TrNavi_act!L5*1000)</f>
        <v>35.068963708745329</v>
      </c>
      <c r="M25" s="64">
        <f>IF(M10=0,0,M10/TrNavi_act!M5*1000)</f>
        <v>47.689733738202044</v>
      </c>
      <c r="N25" s="64">
        <f>IF(N10=0,0,N10/TrNavi_act!N5*1000)</f>
        <v>41.894728309512246</v>
      </c>
      <c r="O25" s="64">
        <f>IF(O10=0,0,O10/TrNavi_act!O5*1000)</f>
        <v>46.573199869232511</v>
      </c>
      <c r="P25" s="64">
        <f>IF(P10=0,0,P10/TrNavi_act!P5*1000)</f>
        <v>55.313477758705289</v>
      </c>
      <c r="Q25" s="64">
        <f>IF(Q10=0,0,Q10/TrNavi_act!Q5*1000)</f>
        <v>42.18901205931801</v>
      </c>
      <c r="R25" s="64">
        <f>IF(R10=0,0,R10/TrNavi_act!R5*1000)</f>
        <v>48.309341713697201</v>
      </c>
      <c r="S25" s="64">
        <f>IF(S10=0,0,S10/TrNavi_act!S5*1000)</f>
        <v>51.800238578648568</v>
      </c>
      <c r="T25" s="64">
        <f>IF(T10=0,0,T10/TrNavi_act!T5*1000)</f>
        <v>66.240607234550112</v>
      </c>
      <c r="U25" s="64">
        <f>IF(U10=0,0,U10/TrNavi_act!U5*1000)</f>
        <v>56.793578761128117</v>
      </c>
      <c r="V25" s="64">
        <f>IF(V10=0,0,V10/TrNavi_act!V5*1000)</f>
        <v>43.318918240317323</v>
      </c>
      <c r="W25" s="64">
        <f>IF(W10=0,0,W10/TrNavi_act!W5*1000)</f>
        <v>54.037691330275187</v>
      </c>
      <c r="X25" s="64">
        <f>IF(X10=0,0,X10/TrNavi_act!X5*1000)</f>
        <v>77.213429429530976</v>
      </c>
      <c r="Y25" s="64">
        <f>IF(Y10=0,0,Y10/TrNavi_act!Y5*1000)</f>
        <v>91.685553304999004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0.68096604958423657</v>
      </c>
      <c r="C28" s="77">
        <f t="shared" si="9"/>
        <v>0.65082835687040552</v>
      </c>
      <c r="D28" s="77">
        <f t="shared" si="9"/>
        <v>0.65395413851140916</v>
      </c>
      <c r="E28" s="77">
        <f t="shared" si="9"/>
        <v>0.64256181618850627</v>
      </c>
      <c r="F28" s="77">
        <f t="shared" si="9"/>
        <v>0.46291112833090658</v>
      </c>
      <c r="G28" s="77">
        <f t="shared" si="9"/>
        <v>0.63790729965494364</v>
      </c>
      <c r="H28" s="77">
        <f t="shared" si="9"/>
        <v>0.54698128977130933</v>
      </c>
      <c r="I28" s="77">
        <f t="shared" si="9"/>
        <v>0.56355816963836769</v>
      </c>
      <c r="J28" s="77">
        <f t="shared" si="9"/>
        <v>0.1454729714314385</v>
      </c>
      <c r="K28" s="77">
        <f t="shared" si="9"/>
        <v>0.12928756478226017</v>
      </c>
      <c r="L28" s="77">
        <f t="shared" si="9"/>
        <v>0.12406112900579026</v>
      </c>
      <c r="M28" s="77">
        <f t="shared" si="9"/>
        <v>0.13249883701296827</v>
      </c>
      <c r="N28" s="77">
        <f t="shared" si="9"/>
        <v>0.10416697739139281</v>
      </c>
      <c r="O28" s="77">
        <f t="shared" si="9"/>
        <v>9.743564085083968E-2</v>
      </c>
      <c r="P28" s="77">
        <f t="shared" si="9"/>
        <v>9.7123467598633995E-2</v>
      </c>
      <c r="Q28" s="77">
        <f t="shared" si="9"/>
        <v>0.1133393909168139</v>
      </c>
      <c r="R28" s="77">
        <f t="shared" si="9"/>
        <v>5.737046920539237E-2</v>
      </c>
      <c r="S28" s="77">
        <f t="shared" si="9"/>
        <v>6.8095405357132141E-2</v>
      </c>
      <c r="T28" s="77">
        <f t="shared" si="9"/>
        <v>6.7252057714187005E-2</v>
      </c>
      <c r="U28" s="77">
        <f t="shared" si="9"/>
        <v>5.3203111620342129E-2</v>
      </c>
      <c r="V28" s="77">
        <f t="shared" ref="V28:W28" si="10">IF(V4=0,0,V4/V$3)</f>
        <v>4.6123284271827041E-2</v>
      </c>
      <c r="W28" s="77">
        <f t="shared" si="10"/>
        <v>5.011093769069274E-2</v>
      </c>
      <c r="X28" s="77">
        <f t="shared" ref="X28:Y28" si="11">IF(X4=0,0,X4/X$3)</f>
        <v>6.9084705582578537E-2</v>
      </c>
      <c r="Y28" s="77">
        <f t="shared" si="11"/>
        <v>6.6222351133926341E-2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0.31903395041576349</v>
      </c>
      <c r="C29" s="78">
        <f t="shared" si="12"/>
        <v>0.34917164312959437</v>
      </c>
      <c r="D29" s="78">
        <f t="shared" si="12"/>
        <v>0.3460458614885909</v>
      </c>
      <c r="E29" s="78">
        <f t="shared" si="12"/>
        <v>0.35743818381149361</v>
      </c>
      <c r="F29" s="78">
        <f t="shared" si="12"/>
        <v>0.53708887166909347</v>
      </c>
      <c r="G29" s="78">
        <f t="shared" si="12"/>
        <v>0.36209270034505631</v>
      </c>
      <c r="H29" s="78">
        <f t="shared" si="12"/>
        <v>0.45301871022869061</v>
      </c>
      <c r="I29" s="78">
        <f t="shared" si="12"/>
        <v>0.43644183036163225</v>
      </c>
      <c r="J29" s="78">
        <f t="shared" si="12"/>
        <v>0.85452702856856155</v>
      </c>
      <c r="K29" s="78">
        <f t="shared" si="12"/>
        <v>0.87071243521773989</v>
      </c>
      <c r="L29" s="78">
        <f t="shared" si="12"/>
        <v>0.87593887099420975</v>
      </c>
      <c r="M29" s="78">
        <f t="shared" si="12"/>
        <v>0.86750116298703162</v>
      </c>
      <c r="N29" s="78">
        <f t="shared" si="12"/>
        <v>0.8958330226086072</v>
      </c>
      <c r="O29" s="78">
        <f t="shared" si="12"/>
        <v>0.90256435914916033</v>
      </c>
      <c r="P29" s="78">
        <f t="shared" si="12"/>
        <v>0.90287653240136589</v>
      </c>
      <c r="Q29" s="78">
        <f t="shared" si="12"/>
        <v>0.886660609083186</v>
      </c>
      <c r="R29" s="78">
        <f t="shared" si="12"/>
        <v>0.94262953079460754</v>
      </c>
      <c r="S29" s="78">
        <f t="shared" si="12"/>
        <v>0.9319045946428679</v>
      </c>
      <c r="T29" s="78">
        <f t="shared" si="12"/>
        <v>0.93274794228581293</v>
      </c>
      <c r="U29" s="78">
        <f t="shared" si="12"/>
        <v>0.94679688837965781</v>
      </c>
      <c r="V29" s="78">
        <f t="shared" ref="V29:W29" si="13">IF(V10=0,0,V10/V$3)</f>
        <v>0.9538767157281729</v>
      </c>
      <c r="W29" s="78">
        <f t="shared" si="13"/>
        <v>0.94988906230930714</v>
      </c>
      <c r="X29" s="78">
        <f t="shared" ref="X29:Y29" si="14">IF(X10=0,0,X10/X$3)</f>
        <v>0.93091529441742138</v>
      </c>
      <c r="Y29" s="78">
        <f t="shared" si="14"/>
        <v>0.93377764886607362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89.752828680000007</v>
      </c>
      <c r="C3" s="54">
        <f t="shared" ref="C3:V3" si="1">SUM(C4:C5)</f>
        <v>91.666029240000029</v>
      </c>
      <c r="D3" s="54">
        <f t="shared" si="1"/>
        <v>110.50358148000001</v>
      </c>
      <c r="E3" s="54">
        <f t="shared" si="1"/>
        <v>113.66842212</v>
      </c>
      <c r="F3" s="54">
        <f t="shared" si="1"/>
        <v>91.77957828000001</v>
      </c>
      <c r="G3" s="54">
        <f t="shared" si="1"/>
        <v>101.27383343999998</v>
      </c>
      <c r="H3" s="54">
        <f t="shared" si="1"/>
        <v>104.43867408</v>
      </c>
      <c r="I3" s="54">
        <f t="shared" si="1"/>
        <v>107.60351471999999</v>
      </c>
      <c r="J3" s="54">
        <f t="shared" si="1"/>
        <v>133.79575356000001</v>
      </c>
      <c r="K3" s="54">
        <f t="shared" si="1"/>
        <v>146.83215060000003</v>
      </c>
      <c r="L3" s="54">
        <f t="shared" si="1"/>
        <v>117.02215152000001</v>
      </c>
      <c r="M3" s="54">
        <f t="shared" si="1"/>
        <v>118.28819448000002</v>
      </c>
      <c r="N3" s="54">
        <f t="shared" si="1"/>
        <v>112.27489055999999</v>
      </c>
      <c r="O3" s="54">
        <f t="shared" si="1"/>
        <v>123.42771791999998</v>
      </c>
      <c r="P3" s="54">
        <f t="shared" si="1"/>
        <v>136.08681372000004</v>
      </c>
      <c r="Q3" s="54">
        <f t="shared" si="1"/>
        <v>129.75713244000002</v>
      </c>
      <c r="R3" s="54">
        <f t="shared" si="1"/>
        <v>132.92197308000001</v>
      </c>
      <c r="S3" s="54">
        <f t="shared" si="1"/>
        <v>140.20105320000005</v>
      </c>
      <c r="T3" s="54">
        <f t="shared" si="1"/>
        <v>149.37919776000004</v>
      </c>
      <c r="U3" s="54">
        <f t="shared" si="1"/>
        <v>155.39223491999999</v>
      </c>
      <c r="V3" s="54">
        <f t="shared" si="1"/>
        <v>127.22531328000002</v>
      </c>
      <c r="W3" s="54">
        <f t="shared" ref="W3:Y3" si="2">SUM(W4:W5)</f>
        <v>148.42953216000001</v>
      </c>
      <c r="X3" s="54">
        <f t="shared" si="2"/>
        <v>153.10608804</v>
      </c>
      <c r="Y3" s="54">
        <f t="shared" si="2"/>
        <v>148.04244972000001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61.118629185230375</v>
      </c>
      <c r="C4" s="56">
        <v>59.658851191103771</v>
      </c>
      <c r="D4" s="56">
        <v>72.264274429178712</v>
      </c>
      <c r="E4" s="56">
        <v>73.038987760708991</v>
      </c>
      <c r="F4" s="56">
        <v>42.485788139329571</v>
      </c>
      <c r="G4" s="56">
        <v>64.603317615414923</v>
      </c>
      <c r="H4" s="56">
        <v>57.126000650283814</v>
      </c>
      <c r="I4" s="56">
        <v>60.640839802258355</v>
      </c>
      <c r="J4" s="56">
        <v>19.463665835281663</v>
      </c>
      <c r="K4" s="56">
        <v>18.983571182816082</v>
      </c>
      <c r="L4" s="56">
        <v>14.517900236257853</v>
      </c>
      <c r="M4" s="56">
        <v>15.673048200963818</v>
      </c>
      <c r="N4" s="56">
        <v>11.695335986584622</v>
      </c>
      <c r="O4" s="56">
        <v>12.026258794291866</v>
      </c>
      <c r="P4" s="56">
        <v>13.217223242935765</v>
      </c>
      <c r="Q4" s="56">
        <v>14.706594357861956</v>
      </c>
      <c r="R4" s="56">
        <v>7.6257959633061336</v>
      </c>
      <c r="S4" s="56">
        <v>9.547047549150852</v>
      </c>
      <c r="T4" s="56">
        <v>10.046058429054478</v>
      </c>
      <c r="U4" s="56">
        <v>8.2673504193831864</v>
      </c>
      <c r="V4" s="56">
        <v>5.8680492909856925</v>
      </c>
      <c r="W4" s="56">
        <v>7.4379430375284343</v>
      </c>
      <c r="X4" s="56">
        <v>10.577289015143748</v>
      </c>
      <c r="Y4" s="56">
        <v>9.8037190880844776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28.634199494769636</v>
      </c>
      <c r="C5" s="58">
        <v>32.00717804889625</v>
      </c>
      <c r="D5" s="58">
        <v>38.239307050821303</v>
      </c>
      <c r="E5" s="58">
        <v>40.629434359291018</v>
      </c>
      <c r="F5" s="58">
        <v>49.293790140670438</v>
      </c>
      <c r="G5" s="58">
        <v>36.670515824585053</v>
      </c>
      <c r="H5" s="58">
        <v>47.312673429716178</v>
      </c>
      <c r="I5" s="58">
        <v>46.962674917741637</v>
      </c>
      <c r="J5" s="58">
        <v>114.33208772471833</v>
      </c>
      <c r="K5" s="58">
        <v>127.84857941718394</v>
      </c>
      <c r="L5" s="58">
        <v>102.50425128374215</v>
      </c>
      <c r="M5" s="58">
        <v>102.6151462790362</v>
      </c>
      <c r="N5" s="58">
        <v>100.57955457341536</v>
      </c>
      <c r="O5" s="58">
        <v>111.40145912570812</v>
      </c>
      <c r="P5" s="58">
        <v>122.86959047706426</v>
      </c>
      <c r="Q5" s="58">
        <v>115.05053808213806</v>
      </c>
      <c r="R5" s="58">
        <v>125.29617711669387</v>
      </c>
      <c r="S5" s="58">
        <v>130.6540056508492</v>
      </c>
      <c r="T5" s="58">
        <v>139.33313933094556</v>
      </c>
      <c r="U5" s="58">
        <v>147.12488450061682</v>
      </c>
      <c r="V5" s="58">
        <v>121.35726398901433</v>
      </c>
      <c r="W5" s="58">
        <v>140.99158912247157</v>
      </c>
      <c r="X5" s="58">
        <v>142.52879902485626</v>
      </c>
      <c r="Y5" s="58">
        <v>138.23873063191553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3.101472547223362</v>
      </c>
      <c r="C9" s="79">
        <f>IF(C3=0,0,C3/TrNavi_ene!C3)</f>
        <v>3.1160148250397519</v>
      </c>
      <c r="D9" s="79">
        <f>IF(D3=0,0,D3/TrNavi_ene!D3)</f>
        <v>3.1288430841821571</v>
      </c>
      <c r="E9" s="79">
        <f>IF(E3=0,0,E3/TrNavi_ene!E3)</f>
        <v>3.1281012691532841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3.1024188000000006</v>
      </c>
      <c r="I9" s="79">
        <f>IF(I3=0,0,I3/TrNavi_ene!I3)</f>
        <v>3.1024188000000001</v>
      </c>
      <c r="J9" s="79">
        <f>IF(J3=0,0,J3/TrNavi_ene!J3)</f>
        <v>3.1086137975799066</v>
      </c>
      <c r="K9" s="79">
        <f>IF(K3=0,0,K3/TrNavi_ene!K3)</f>
        <v>3.103546005434112</v>
      </c>
      <c r="L9" s="79">
        <f>IF(L3=0,0,L3/TrNavi_ene!L3)</f>
        <v>3.1095037977006039</v>
      </c>
      <c r="M9" s="79">
        <f>IF(M3=0,0,M3/TrNavi_ene!M3)</f>
        <v>3.1094277953881551</v>
      </c>
      <c r="N9" s="79">
        <f>IF(N3=0,0,N3/TrNavi_ene!N3)</f>
        <v>3.1098040821102972</v>
      </c>
      <c r="O9" s="79">
        <f>IF(O3=0,0,O3/TrNavi_ene!O3)</f>
        <v>3.1024188000000001</v>
      </c>
      <c r="P9" s="79">
        <f>IF(P3=0,0,P3/TrNavi_ene!P3)</f>
        <v>3.1024188000000006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3.1024188000000006</v>
      </c>
      <c r="T9" s="79">
        <f>IF(T3=0,0,T3/TrNavi_ene!T3)</f>
        <v>3.1024188000000001</v>
      </c>
      <c r="U9" s="79">
        <f>IF(U3=0,0,U3/TrNavi_ene!U3)</f>
        <v>3.1024187999999997</v>
      </c>
      <c r="V9" s="79">
        <f>IF(V3=0,0,V3/TrNavi_ene!V3)</f>
        <v>3.1024188000000001</v>
      </c>
      <c r="W9" s="79">
        <f>IF(W3=0,0,W3/TrNavi_ene!W3)</f>
        <v>3.1024188000000006</v>
      </c>
      <c r="X9" s="79">
        <f>IF(X3=0,0,X3/TrNavi_ene!X3)</f>
        <v>3.1023644696470294</v>
      </c>
      <c r="Y9" s="79">
        <f>IF(Y3=0,0,Y3/TrNavi_ene!Y3)</f>
        <v>3.1023626113673592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3.101472547223362</v>
      </c>
      <c r="C10" s="80">
        <f>IF(C4=0,0,C4/TrNavi_ene!C4)</f>
        <v>3.1160148250397524</v>
      </c>
      <c r="D10" s="80">
        <f>IF(D4=0,0,D4/TrNavi_ene!D4)</f>
        <v>3.1288430841821571</v>
      </c>
      <c r="E10" s="80">
        <f>IF(E4=0,0,E4/TrNavi_ene!E4)</f>
        <v>3.1281012691532841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3.1024188000000001</v>
      </c>
      <c r="J10" s="80">
        <f>IF(J4=0,0,J4/TrNavi_ene!J4)</f>
        <v>3.1086137975799062</v>
      </c>
      <c r="K10" s="80">
        <f>IF(K4=0,0,K4/TrNavi_ene!K4)</f>
        <v>3.1035460054341115</v>
      </c>
      <c r="L10" s="80">
        <f>IF(L4=0,0,L4/TrNavi_ene!L4)</f>
        <v>3.1095037977006035</v>
      </c>
      <c r="M10" s="80">
        <f>IF(M4=0,0,M4/TrNavi_ene!M4)</f>
        <v>3.1094277953881555</v>
      </c>
      <c r="N10" s="80">
        <f>IF(N4=0,0,N4/TrNavi_ene!N4)</f>
        <v>3.1098040821102972</v>
      </c>
      <c r="O10" s="80">
        <f>IF(O4=0,0,O4/TrNavi_ene!O4)</f>
        <v>3.1024188000000001</v>
      </c>
      <c r="P10" s="80">
        <f>IF(P4=0,0,P4/TrNavi_ene!P4)</f>
        <v>3.1024188000000006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3.1024188000000006</v>
      </c>
      <c r="T10" s="80">
        <f>IF(T4=0,0,T4/TrNavi_ene!T4)</f>
        <v>3.1024188000000001</v>
      </c>
      <c r="U10" s="80">
        <f>IF(U4=0,0,U4/TrNavi_ene!U4)</f>
        <v>3.1024187999999997</v>
      </c>
      <c r="V10" s="80">
        <f>IF(V4=0,0,V4/TrNavi_ene!V4)</f>
        <v>3.1024188000000001</v>
      </c>
      <c r="W10" s="80">
        <f>IF(W4=0,0,W4/TrNavi_ene!W4)</f>
        <v>3.1024188000000006</v>
      </c>
      <c r="X10" s="80">
        <f>IF(X4=0,0,X4/TrNavi_ene!X4)</f>
        <v>3.1023644696470294</v>
      </c>
      <c r="Y10" s="80">
        <f>IF(Y4=0,0,Y4/TrNavi_ene!Y4)</f>
        <v>3.1023626113673592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3.101472547223362</v>
      </c>
      <c r="C11" s="81">
        <f>IF(C5=0,0,C5/TrNavi_ene!C10)</f>
        <v>3.1160148250397515</v>
      </c>
      <c r="D11" s="81">
        <f>IF(D5=0,0,D5/TrNavi_ene!D10)</f>
        <v>3.1288430841821571</v>
      </c>
      <c r="E11" s="81">
        <f>IF(E5=0,0,E5/TrNavi_ene!E10)</f>
        <v>3.1281012691532846</v>
      </c>
      <c r="F11" s="81">
        <f>IF(F5=0,0,F5/TrNavi_ene!F10)</f>
        <v>3.1024188000000001</v>
      </c>
      <c r="G11" s="81">
        <f>IF(G5=0,0,G5/TrNavi_ene!G10)</f>
        <v>3.1024187999999997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3.1086137975799062</v>
      </c>
      <c r="K11" s="81">
        <f>IF(K5=0,0,K5/TrNavi_ene!K10)</f>
        <v>3.1035460054341115</v>
      </c>
      <c r="L11" s="81">
        <f>IF(L5=0,0,L5/TrNavi_ene!L10)</f>
        <v>3.1095037977006035</v>
      </c>
      <c r="M11" s="81">
        <f>IF(M5=0,0,M5/TrNavi_ene!M10)</f>
        <v>3.1094277953881555</v>
      </c>
      <c r="N11" s="81">
        <f>IF(N5=0,0,N5/TrNavi_ene!N10)</f>
        <v>3.1098040821102972</v>
      </c>
      <c r="O11" s="81">
        <f>IF(O5=0,0,O5/TrNavi_ene!O10)</f>
        <v>3.1024188000000001</v>
      </c>
      <c r="P11" s="81">
        <f>IF(P5=0,0,P5/TrNavi_ene!P10)</f>
        <v>3.1024188000000006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3.1024188000000006</v>
      </c>
      <c r="T11" s="81">
        <f>IF(T5=0,0,T5/TrNavi_ene!T10)</f>
        <v>3.1024188000000001</v>
      </c>
      <c r="U11" s="81">
        <f>IF(U5=0,0,U5/TrNavi_ene!U10)</f>
        <v>3.1024187999999997</v>
      </c>
      <c r="V11" s="81">
        <f>IF(V5=0,0,V5/TrNavi_ene!V10)</f>
        <v>3.1024188000000001</v>
      </c>
      <c r="W11" s="81">
        <f>IF(W5=0,0,W5/TrNavi_ene!W10)</f>
        <v>3.1024188000000006</v>
      </c>
      <c r="X11" s="81">
        <f>IF(X5=0,0,X5/TrNavi_ene!X10)</f>
        <v>3.1023644696470294</v>
      </c>
      <c r="Y11" s="81">
        <f>IF(Y5=0,0,Y5/TrNavi_ene!Y10)</f>
        <v>3.1023626113673592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190154.29805084749</v>
      </c>
      <c r="C13" s="54">
        <f>IF(C3=0,0,C3/TrNavi_act!C7*1000)</f>
        <v>174935.17030534355</v>
      </c>
      <c r="D13" s="54">
        <f>IF(D3=0,0,D3/TrNavi_act!D7*1000)</f>
        <v>182048.73390444811</v>
      </c>
      <c r="E13" s="54">
        <f>IF(E3=0,0,E3/TrNavi_act!E7*1000)</f>
        <v>180712.91275039746</v>
      </c>
      <c r="F13" s="54">
        <f>IF(F3=0,0,F3/TrNavi_act!F7*1000)</f>
        <v>89979.978705882357</v>
      </c>
      <c r="G13" s="54">
        <f>IF(G3=0,0,G3/TrNavi_act!G7*1000)</f>
        <v>175214.24470588233</v>
      </c>
      <c r="H13" s="54">
        <f>IF(H3=0,0,H3/TrNavi_act!H7*1000)</f>
        <v>115401.8498121547</v>
      </c>
      <c r="I13" s="54">
        <f>IF(I3=0,0,I3/TrNavi_act!I7*1000)</f>
        <v>124685.41682502897</v>
      </c>
      <c r="J13" s="54">
        <f>IF(J3=0,0,J3/TrNavi_act!J7*1000)</f>
        <v>25268.319841359775</v>
      </c>
      <c r="K13" s="54">
        <f>IF(K3=0,0,K3/TrNavi_act!K7*1000)</f>
        <v>34386.920515222489</v>
      </c>
      <c r="L13" s="54">
        <f>IF(L3=0,0,L3/TrNavi_act!L7*1000)</f>
        <v>27554.073821521077</v>
      </c>
      <c r="M13" s="54">
        <f>IF(M3=0,0,M3/TrNavi_act!M7*1000)</f>
        <v>28434.662134615395</v>
      </c>
      <c r="N13" s="54">
        <f>IF(N3=0,0,N3/TrNavi_act!N7*1000)</f>
        <v>22144.948828402365</v>
      </c>
      <c r="O13" s="54">
        <f>IF(O3=0,0,O3/TrNavi_act!O7*1000)</f>
        <v>23135.467276476094</v>
      </c>
      <c r="P13" s="54">
        <f>IF(P3=0,0,P3/TrNavi_act!P7*1000)</f>
        <v>25575.420732944945</v>
      </c>
      <c r="Q13" s="54">
        <f>IF(Q3=0,0,Q3/TrNavi_act!Q7*1000)</f>
        <v>26567.799434889439</v>
      </c>
      <c r="R13" s="54">
        <f>IF(R3=0,0,R3/TrNavi_act!R7*1000)</f>
        <v>27778.886746081509</v>
      </c>
      <c r="S13" s="54">
        <f>IF(S3=0,0,S3/TrNavi_act!S7*1000)</f>
        <v>28973.145939243655</v>
      </c>
      <c r="T13" s="54">
        <f>IF(T3=0,0,T3/TrNavi_act!T7*1000)</f>
        <v>32968.262582211435</v>
      </c>
      <c r="U13" s="54">
        <f>IF(U3=0,0,U3/TrNavi_act!U7*1000)</f>
        <v>30231.952319066149</v>
      </c>
      <c r="V13" s="54">
        <f>IF(V3=0,0,V3/TrNavi_act!V7*1000)</f>
        <v>26183.435538176585</v>
      </c>
      <c r="W13" s="54">
        <f>IF(W3=0,0,W3/TrNavi_act!W7*1000)</f>
        <v>29432.784485425345</v>
      </c>
      <c r="X13" s="54">
        <f>IF(X3=0,0,X3/TrNavi_act!X7*1000)</f>
        <v>35906.681060037517</v>
      </c>
      <c r="Y13" s="54">
        <f>IF(Y3=0,0,Y3/TrNavi_act!Y7*1000)</f>
        <v>39289.397484076435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773653.53399025789</v>
      </c>
      <c r="C14" s="56">
        <f>IF(C4=0,0,C4/TrNavi_act!C8*1000)</f>
        <v>755175.33153295913</v>
      </c>
      <c r="D14" s="56">
        <f>IF(D4=0,0,D4/TrNavi_act!D8*1000)</f>
        <v>821184.93669521273</v>
      </c>
      <c r="E14" s="56">
        <f>IF(E4=0,0,E4/TrNavi_act!E8*1000)</f>
        <v>811544.30845232215</v>
      </c>
      <c r="F14" s="56">
        <f>IF(F4=0,0,F4/TrNavi_act!F8*1000)</f>
        <v>559023.52814907325</v>
      </c>
      <c r="G14" s="56">
        <f>IF(G4=0,0,G4/TrNavi_act!G8*1000)</f>
        <v>787845.3367733527</v>
      </c>
      <c r="H14" s="56">
        <f>IF(H4=0,0,H4/TrNavi_act!H8*1000)</f>
        <v>664255.82151492813</v>
      </c>
      <c r="I14" s="56">
        <f>IF(I4=0,0,I4/TrNavi_act!I8*1000)</f>
        <v>697021.14715239499</v>
      </c>
      <c r="J14" s="56">
        <f>IF(J4=0,0,J4/TrNavi_act!J8*1000)</f>
        <v>263022.51128759008</v>
      </c>
      <c r="K14" s="56">
        <f>IF(K4=0,0,K4/TrNavi_act!K8*1000)</f>
        <v>345155.83968756511</v>
      </c>
      <c r="L14" s="56">
        <f>IF(L4=0,0,L4/TrNavi_act!L8*1000)</f>
        <v>279190.38915880484</v>
      </c>
      <c r="M14" s="56">
        <f>IF(M4=0,0,M4/TrNavi_act!M8*1000)</f>
        <v>301404.77309545805</v>
      </c>
      <c r="N14" s="56">
        <f>IF(N4=0,0,N4/TrNavi_act!N8*1000)</f>
        <v>238680.32625682899</v>
      </c>
      <c r="O14" s="56">
        <f>IF(O4=0,0,O4/TrNavi_act!O8*1000)</f>
        <v>245433.85294473197</v>
      </c>
      <c r="P14" s="56">
        <f>IF(P4=0,0,P4/TrNavi_act!P8*1000)</f>
        <v>281217.51580714394</v>
      </c>
      <c r="Q14" s="56">
        <f>IF(Q4=0,0,Q4/TrNavi_act!Q8*1000)</f>
        <v>272344.33996040659</v>
      </c>
      <c r="R14" s="56">
        <f>IF(R4=0,0,R4/TrNavi_act!R8*1000)</f>
        <v>317741.49847108888</v>
      </c>
      <c r="S14" s="56">
        <f>IF(S4=0,0,S4/TrNavi_act!S8*1000)</f>
        <v>353594.35367225378</v>
      </c>
      <c r="T14" s="56">
        <f>IF(T4=0,0,T4/TrNavi_act!T8*1000)</f>
        <v>401842.33716217912</v>
      </c>
      <c r="U14" s="56">
        <f>IF(U4=0,0,U4/TrNavi_act!U8*1000)</f>
        <v>359450.01823405159</v>
      </c>
      <c r="V14" s="56">
        <f>IF(V4=0,0,V4/TrNavi_act!V8*1000)</f>
        <v>293402.4645492846</v>
      </c>
      <c r="W14" s="56">
        <f>IF(W4=0,0,W4/TrNavi_act!W8*1000)</f>
        <v>338088.31988765608</v>
      </c>
      <c r="X14" s="56">
        <f>IF(X4=0,0,X4/TrNavi_act!X8*1000)</f>
        <v>440720.3756309895</v>
      </c>
      <c r="Y14" s="56">
        <f>IF(Y4=0,0,Y4/TrNavi_act!Y8*1000)</f>
        <v>490185.95440422388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72860.558510864212</v>
      </c>
      <c r="C15" s="58">
        <f>IF(C5=0,0,C5/TrNavi_act!C9*1000)</f>
        <v>71926.242806508424</v>
      </c>
      <c r="D15" s="58">
        <f>IF(D5=0,0,D5/TrNavi_act!D9*1000)</f>
        <v>73678.818980387863</v>
      </c>
      <c r="E15" s="58">
        <f>IF(E5=0,0,E5/TrNavi_act!E9*1000)</f>
        <v>75379.284525586307</v>
      </c>
      <c r="F15" s="58">
        <f>IF(F5=0,0,F5/TrNavi_act!F9*1000)</f>
        <v>52217.998030371229</v>
      </c>
      <c r="G15" s="58">
        <f>IF(G5=0,0,G5/TrNavi_act!G9*1000)</f>
        <v>73932.49158182471</v>
      </c>
      <c r="H15" s="58">
        <f>IF(H5=0,0,H5/TrNavi_act!H9*1000)</f>
        <v>57768.832026515483</v>
      </c>
      <c r="I15" s="58">
        <f>IF(I5=0,0,I5/TrNavi_act!I9*1000)</f>
        <v>60518.910976471183</v>
      </c>
      <c r="J15" s="58">
        <f>IF(J5=0,0,J5/TrNavi_act!J9*1000)</f>
        <v>21898.503682190832</v>
      </c>
      <c r="K15" s="58">
        <f>IF(K5=0,0,K5/TrNavi_act!K9*1000)</f>
        <v>30331.810063388835</v>
      </c>
      <c r="L15" s="58">
        <f>IF(L5=0,0,L5/TrNavi_act!L9*1000)</f>
        <v>24434.863238079175</v>
      </c>
      <c r="M15" s="58">
        <f>IF(M5=0,0,M5/TrNavi_act!M9*1000)</f>
        <v>24979.344274351559</v>
      </c>
      <c r="N15" s="58">
        <f>IF(N5=0,0,N5/TrNavi_act!N9*1000)</f>
        <v>20031.777449395613</v>
      </c>
      <c r="O15" s="58">
        <f>IF(O5=0,0,O5/TrNavi_act!O9*1000)</f>
        <v>21074.812547428704</v>
      </c>
      <c r="P15" s="58">
        <f>IF(P5=0,0,P5/TrNavi_act!P9*1000)</f>
        <v>23297.22989705428</v>
      </c>
      <c r="Q15" s="58">
        <f>IF(Q5=0,0,Q5/TrNavi_act!Q9*1000)</f>
        <v>23819.987180566888</v>
      </c>
      <c r="R15" s="58">
        <f>IF(R5=0,0,R5/TrNavi_act!R9*1000)</f>
        <v>26317.197462023498</v>
      </c>
      <c r="S15" s="58">
        <f>IF(S5=0,0,S5/TrNavi_act!S9*1000)</f>
        <v>27151.705247474893</v>
      </c>
      <c r="T15" s="58">
        <f>IF(T5=0,0,T5/TrNavi_act!T9*1000)</f>
        <v>30921.690930081128</v>
      </c>
      <c r="U15" s="58">
        <f>IF(U5=0,0,U5/TrNavi_act!U9*1000)</f>
        <v>28752.175982141256</v>
      </c>
      <c r="V15" s="58">
        <f>IF(V5=0,0,V5/TrNavi_act!V9*1000)</f>
        <v>25078.996484607218</v>
      </c>
      <c r="W15" s="58">
        <f>IF(W5=0,0,W5/TrNavi_act!W9*1000)</f>
        <v>28080.380227538652</v>
      </c>
      <c r="X15" s="58">
        <f>IF(X5=0,0,X5/TrNavi_act!X9*1000)</f>
        <v>33615.282788881188</v>
      </c>
      <c r="Y15" s="58">
        <f>IF(Y5=0,0,Y5/TrNavi_act!Y9*1000)</f>
        <v>36883.332612570848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588.19600681564975</v>
      </c>
      <c r="C17" s="62">
        <f>IF(C3=0,0,C3/TrNavi_act!C3*1000)</f>
        <v>546.55832358465284</v>
      </c>
      <c r="D17" s="62">
        <f>IF(D3=0,0,D3/TrNavi_act!D3*1000)</f>
        <v>569.06635706340376</v>
      </c>
      <c r="E17" s="62">
        <f>IF(E3=0,0,E3/TrNavi_act!E3*1000)</f>
        <v>549.26609898234324</v>
      </c>
      <c r="F17" s="62">
        <f>IF(F3=0,0,F3/TrNavi_act!F3*1000)</f>
        <v>340.76112186591524</v>
      </c>
      <c r="G17" s="62">
        <f>IF(G3=0,0,G3/TrNavi_act!G3*1000)</f>
        <v>467.4256030794366</v>
      </c>
      <c r="H17" s="62">
        <f>IF(H3=0,0,H3/TrNavi_act!H3*1000)</f>
        <v>468.29286198547214</v>
      </c>
      <c r="I17" s="62">
        <f>IF(I3=0,0,I3/TrNavi_act!I3*1000)</f>
        <v>491.56919990132388</v>
      </c>
      <c r="J17" s="62">
        <f>IF(J3=0,0,J3/TrNavi_act!J3*1000)</f>
        <v>142.59607002136877</v>
      </c>
      <c r="K17" s="62">
        <f>IF(K3=0,0,K3/TrNavi_act!K3*1000)</f>
        <v>184.06292696257375</v>
      </c>
      <c r="L17" s="62">
        <f>IF(L3=0,0,L3/TrNavi_act!L3*1000)</f>
        <v>116.07993072232689</v>
      </c>
      <c r="M17" s="62">
        <f>IF(M3=0,0,M3/TrNavi_act!M3*1000)</f>
        <v>156.21233062212522</v>
      </c>
      <c r="N17" s="62">
        <f>IF(N3=0,0,N3/TrNavi_act!N3*1000)</f>
        <v>134.56763393253092</v>
      </c>
      <c r="O17" s="62">
        <f>IF(O3=0,0,O3/TrNavi_act!O3*1000)</f>
        <v>148.06303852133354</v>
      </c>
      <c r="P17" s="62">
        <f>IF(P3=0,0,P3/TrNavi_act!P3*1000)</f>
        <v>175.10514238804285</v>
      </c>
      <c r="Q17" s="62">
        <f>IF(Q3=0,0,Q3/TrNavi_act!Q3*1000)</f>
        <v>135.68890877605401</v>
      </c>
      <c r="R17" s="62">
        <f>IF(R3=0,0,R3/TrNavi_act!R3*1000)</f>
        <v>152.4233171188155</v>
      </c>
      <c r="S17" s="62">
        <f>IF(S3=0,0,S3/TrNavi_act!S3*1000)</f>
        <v>164.3081859317154</v>
      </c>
      <c r="T17" s="62">
        <f>IF(T3=0,0,T3/TrNavi_act!T3*1000)</f>
        <v>208.41912555024598</v>
      </c>
      <c r="U17" s="62">
        <f>IF(U3=0,0,U3/TrNavi_act!U3*1000)</f>
        <v>178.82820807252918</v>
      </c>
      <c r="V17" s="62">
        <f>IF(V3=0,0,V3/TrNavi_act!V3*1000)</f>
        <v>135.89181369863016</v>
      </c>
      <c r="W17" s="62">
        <f>IF(W3=0,0,W3/TrNavi_act!W3*1000)</f>
        <v>169.20349073498818</v>
      </c>
      <c r="X17" s="62">
        <f>IF(X3=0,0,X3/TrNavi_act!X3*1000)</f>
        <v>241.72406351832672</v>
      </c>
      <c r="Y17" s="62">
        <f>IF(Y3=0,0,Y3/TrNavi_act!Y3*1000)</f>
        <v>285.33573175338643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686.30975795843392</v>
      </c>
      <c r="C18" s="63">
        <f>IF(C4=0,0,C4/TrNavi_act!C4*1000)</f>
        <v>661.17909799407937</v>
      </c>
      <c r="D18" s="63">
        <f>IF(D4=0,0,D4/TrNavi_act!D4*1000)</f>
        <v>691.92805780578828</v>
      </c>
      <c r="E18" s="63">
        <f>IF(E4=0,0,E4/TrNavi_act!E4*1000)</f>
        <v>683.5912225137954</v>
      </c>
      <c r="F18" s="63">
        <f>IF(F4=0,0,F4/TrNavi_act!F4*1000)</f>
        <v>468.74662819080038</v>
      </c>
      <c r="G18" s="63">
        <f>IF(G4=0,0,G4/TrNavi_act!G4*1000)</f>
        <v>658.79401624889022</v>
      </c>
      <c r="H18" s="63">
        <f>IF(H4=0,0,H4/TrNavi_act!H4*1000)</f>
        <v>535.79066451213475</v>
      </c>
      <c r="I18" s="63">
        <f>IF(I4=0,0,I4/TrNavi_act!I4*1000)</f>
        <v>551.79202353326139</v>
      </c>
      <c r="J18" s="63">
        <f>IF(J4=0,0,J4/TrNavi_act!J4*1000)</f>
        <v>202.14639700141936</v>
      </c>
      <c r="K18" s="63">
        <f>IF(K4=0,0,K4/TrNavi_act!K4*1000)</f>
        <v>268.4024881633311</v>
      </c>
      <c r="L18" s="63">
        <f>IF(L4=0,0,L4/TrNavi_act!L4*1000)</f>
        <v>213.13182078273928</v>
      </c>
      <c r="M18" s="63">
        <f>IF(M4=0,0,M4/TrNavi_act!M4*1000)</f>
        <v>240.28467047332879</v>
      </c>
      <c r="N18" s="63">
        <f>IF(N4=0,0,N4/TrNavi_act!N4*1000)</f>
        <v>187.61166522160835</v>
      </c>
      <c r="O18" s="63">
        <f>IF(O4=0,0,O4/TrNavi_act!O4*1000)</f>
        <v>192.06367053615475</v>
      </c>
      <c r="P18" s="63">
        <f>IF(P4=0,0,P4/TrNavi_act!P4*1000)</f>
        <v>216.06655402693659</v>
      </c>
      <c r="Q18" s="63">
        <f>IF(Q4=0,0,Q4/TrNavi_act!Q4*1000)</f>
        <v>190.29287249446139</v>
      </c>
      <c r="R18" s="63">
        <f>IF(R4=0,0,R4/TrNavi_act!R4*1000)</f>
        <v>211.4869366938303</v>
      </c>
      <c r="S18" s="63">
        <f>IF(S4=0,0,S4/TrNavi_act!S4*1000)</f>
        <v>237.01118515307098</v>
      </c>
      <c r="T18" s="63">
        <f>IF(T4=0,0,T4/TrNavi_act!T4*1000)</f>
        <v>259.42048880708785</v>
      </c>
      <c r="U18" s="63">
        <f>IF(U4=0,0,U4/TrNavi_act!U4*1000)</f>
        <v>243.53699647636569</v>
      </c>
      <c r="V18" s="63">
        <f>IF(V4=0,0,V4/TrNavi_act!V4*1000)</f>
        <v>176.61547903643921</v>
      </c>
      <c r="W18" s="63">
        <f>IF(W4=0,0,W4/TrNavi_act!W4*1000)</f>
        <v>205.32623982135084</v>
      </c>
      <c r="X18" s="63">
        <f>IF(X4=0,0,X4/TrNavi_act!X4*1000)</f>
        <v>275.50763219274188</v>
      </c>
      <c r="Y18" s="63">
        <f>IF(Y4=0,0,Y4/TrNavi_act!Y4*1000)</f>
        <v>298.56618004886337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450.67677371521086</v>
      </c>
      <c r="C19" s="64">
        <f>IF(C5=0,0,C5/TrNavi_act!C5*1000)</f>
        <v>413.08112705715058</v>
      </c>
      <c r="D19" s="64">
        <f>IF(D5=0,0,D5/TrNavi_act!D5*1000)</f>
        <v>426.08844003366539</v>
      </c>
      <c r="E19" s="64">
        <f>IF(E5=0,0,E5/TrNavi_act!E5*1000)</f>
        <v>405.88845513777244</v>
      </c>
      <c r="F19" s="64">
        <f>IF(F5=0,0,F5/TrNavi_act!F5*1000)</f>
        <v>275.84661522479263</v>
      </c>
      <c r="G19" s="64">
        <f>IF(G5=0,0,G5/TrNavi_act!G5*1000)</f>
        <v>309.19490577221796</v>
      </c>
      <c r="H19" s="64">
        <f>IF(H5=0,0,H5/TrNavi_act!H5*1000)</f>
        <v>406.46626657831763</v>
      </c>
      <c r="I19" s="64">
        <f>IF(I5=0,0,I5/TrNavi_act!I5*1000)</f>
        <v>430.85022860313427</v>
      </c>
      <c r="J19" s="64">
        <f>IF(J5=0,0,J5/TrNavi_act!J5*1000)</f>
        <v>135.78632746403602</v>
      </c>
      <c r="K19" s="64">
        <f>IF(K5=0,0,K5/TrNavi_act!K5*1000)</f>
        <v>175.85774335238509</v>
      </c>
      <c r="L19" s="64">
        <f>IF(L5=0,0,L5/TrNavi_act!L5*1000)</f>
        <v>109.04707583376825</v>
      </c>
      <c r="M19" s="64">
        <f>IF(M5=0,0,M5/TrNavi_act!M5*1000)</f>
        <v>148.28778364022571</v>
      </c>
      <c r="N19" s="64">
        <f>IF(N5=0,0,N5/TrNavi_act!N5*1000)</f>
        <v>130.28439711582303</v>
      </c>
      <c r="O19" s="64">
        <f>IF(O5=0,0,O5/TrNavi_act!O5*1000)</f>
        <v>144.48957085046447</v>
      </c>
      <c r="P19" s="64">
        <f>IF(P5=0,0,P5/TrNavi_act!P5*1000)</f>
        <v>171.6055732919892</v>
      </c>
      <c r="Q19" s="64">
        <f>IF(Q5=0,0,Q5/TrNavi_act!Q5*1000)</f>
        <v>130.88798416625491</v>
      </c>
      <c r="R19" s="64">
        <f>IF(R5=0,0,R5/TrNavi_act!R5*1000)</f>
        <v>149.87580994819839</v>
      </c>
      <c r="S19" s="64">
        <f>IF(S5=0,0,S5/TrNavi_act!S5*1000)</f>
        <v>160.70603401088462</v>
      </c>
      <c r="T19" s="64">
        <f>IF(T5=0,0,T5/TrNavi_act!T5*1000)</f>
        <v>205.50610520788427</v>
      </c>
      <c r="U19" s="64">
        <f>IF(U5=0,0,U5/TrNavi_act!U5*1000)</f>
        <v>176.19746646780456</v>
      </c>
      <c r="V19" s="64">
        <f>IF(V5=0,0,V5/TrNavi_act!V5*1000)</f>
        <v>134.39342634442337</v>
      </c>
      <c r="W19" s="64">
        <f>IF(W5=0,0,W5/TrNavi_act!W5*1000)</f>
        <v>167.64754949164276</v>
      </c>
      <c r="X19" s="64">
        <f>IF(X5=0,0,X5/TrNavi_act!X5*1000)</f>
        <v>239.54420004177521</v>
      </c>
      <c r="Y19" s="64">
        <f>IF(Y5=0,0,Y5/TrNavi_act!Y5*1000)</f>
        <v>284.4418325759579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0.68096604958423657</v>
      </c>
      <c r="C22" s="77">
        <f t="shared" si="6"/>
        <v>0.65082835687040563</v>
      </c>
      <c r="D22" s="77">
        <f t="shared" si="6"/>
        <v>0.65395413851140916</v>
      </c>
      <c r="E22" s="77">
        <f t="shared" si="6"/>
        <v>0.64256181618850639</v>
      </c>
      <c r="F22" s="77">
        <f t="shared" si="6"/>
        <v>0.46291112833090658</v>
      </c>
      <c r="G22" s="77">
        <f t="shared" si="6"/>
        <v>0.63790729965494375</v>
      </c>
      <c r="H22" s="77">
        <f t="shared" si="6"/>
        <v>0.54698128977130933</v>
      </c>
      <c r="I22" s="77">
        <f t="shared" si="6"/>
        <v>0.56355816963836769</v>
      </c>
      <c r="J22" s="77">
        <f t="shared" si="6"/>
        <v>0.14547297143143847</v>
      </c>
      <c r="K22" s="77">
        <f t="shared" si="6"/>
        <v>0.12928756478226014</v>
      </c>
      <c r="L22" s="77">
        <f t="shared" si="6"/>
        <v>0.12406112900579024</v>
      </c>
      <c r="M22" s="77">
        <f t="shared" si="6"/>
        <v>0.1324988370129683</v>
      </c>
      <c r="N22" s="77">
        <f t="shared" si="6"/>
        <v>0.10416697739139281</v>
      </c>
      <c r="O22" s="77">
        <f t="shared" si="6"/>
        <v>9.743564085083968E-2</v>
      </c>
      <c r="P22" s="77">
        <f t="shared" si="6"/>
        <v>9.7123467598633995E-2</v>
      </c>
      <c r="Q22" s="77">
        <f t="shared" si="6"/>
        <v>0.1133393909168139</v>
      </c>
      <c r="R22" s="77">
        <f t="shared" si="6"/>
        <v>5.7370469205392363E-2</v>
      </c>
      <c r="S22" s="77">
        <f t="shared" si="6"/>
        <v>6.8095405357132141E-2</v>
      </c>
      <c r="T22" s="77">
        <f t="shared" si="6"/>
        <v>6.7252057714187005E-2</v>
      </c>
      <c r="U22" s="77">
        <f t="shared" si="6"/>
        <v>5.3203111620342136E-2</v>
      </c>
      <c r="V22" s="77">
        <f t="shared" ref="V22:W22" si="7">IF(V4=0,0,V4/V$3)</f>
        <v>4.6123284271827034E-2</v>
      </c>
      <c r="W22" s="77">
        <f t="shared" si="7"/>
        <v>5.011093769069274E-2</v>
      </c>
      <c r="X22" s="77">
        <f t="shared" ref="X22:Y22" si="8">IF(X4=0,0,X4/X$3)</f>
        <v>6.9084705582578523E-2</v>
      </c>
      <c r="Y22" s="77">
        <f t="shared" si="8"/>
        <v>6.6222351133926355E-2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0.31903395041576349</v>
      </c>
      <c r="C23" s="78">
        <f t="shared" si="9"/>
        <v>0.34917164312959437</v>
      </c>
      <c r="D23" s="78">
        <f t="shared" si="9"/>
        <v>0.3460458614885909</v>
      </c>
      <c r="E23" s="78">
        <f t="shared" si="9"/>
        <v>0.35743818381149373</v>
      </c>
      <c r="F23" s="78">
        <f t="shared" si="9"/>
        <v>0.53708887166909336</v>
      </c>
      <c r="G23" s="78">
        <f t="shared" si="9"/>
        <v>0.36209270034505631</v>
      </c>
      <c r="H23" s="78">
        <f t="shared" si="9"/>
        <v>0.45301871022869056</v>
      </c>
      <c r="I23" s="78">
        <f t="shared" si="9"/>
        <v>0.43644183036163225</v>
      </c>
      <c r="J23" s="78">
        <f t="shared" si="9"/>
        <v>0.85452702856856144</v>
      </c>
      <c r="K23" s="78">
        <f t="shared" si="9"/>
        <v>0.87071243521773978</v>
      </c>
      <c r="L23" s="78">
        <f t="shared" si="9"/>
        <v>0.87593887099420975</v>
      </c>
      <c r="M23" s="78">
        <f t="shared" si="9"/>
        <v>0.86750116298703173</v>
      </c>
      <c r="N23" s="78">
        <f t="shared" si="9"/>
        <v>0.8958330226086072</v>
      </c>
      <c r="O23" s="78">
        <f t="shared" si="9"/>
        <v>0.90256435914916033</v>
      </c>
      <c r="P23" s="78">
        <f t="shared" si="9"/>
        <v>0.90287653240136589</v>
      </c>
      <c r="Q23" s="78">
        <f t="shared" si="9"/>
        <v>0.88666060908318611</v>
      </c>
      <c r="R23" s="78">
        <f t="shared" si="9"/>
        <v>0.94262953079460754</v>
      </c>
      <c r="S23" s="78">
        <f t="shared" si="9"/>
        <v>0.9319045946428679</v>
      </c>
      <c r="T23" s="78">
        <f t="shared" si="9"/>
        <v>0.93274794228581293</v>
      </c>
      <c r="U23" s="78">
        <f t="shared" si="9"/>
        <v>0.94679688837965792</v>
      </c>
      <c r="V23" s="78">
        <f t="shared" ref="V23:W23" si="10">IF(V5=0,0,V5/V$3)</f>
        <v>0.9538767157281729</v>
      </c>
      <c r="W23" s="78">
        <f t="shared" si="10"/>
        <v>0.94988906230930725</v>
      </c>
      <c r="X23" s="78">
        <f t="shared" ref="X23:Y23" si="11">IF(X5=0,0,X5/X$3)</f>
        <v>0.93091529441742149</v>
      </c>
      <c r="Y23" s="78">
        <f t="shared" si="11"/>
        <v>0.93377764886607362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30443.353301999996</v>
      </c>
      <c r="C3" s="54">
        <f t="shared" si="0"/>
        <v>48086.130715999992</v>
      </c>
      <c r="D3" s="54">
        <f t="shared" si="0"/>
        <v>39555.051325</v>
      </c>
      <c r="E3" s="54">
        <f t="shared" si="0"/>
        <v>36201.768375</v>
      </c>
      <c r="F3" s="54">
        <f t="shared" si="0"/>
        <v>39289.136744000003</v>
      </c>
      <c r="G3" s="54">
        <f t="shared" si="0"/>
        <v>41672.733864000002</v>
      </c>
      <c r="H3" s="54">
        <f t="shared" si="0"/>
        <v>35869.758231</v>
      </c>
      <c r="I3" s="54">
        <f t="shared" si="0"/>
        <v>49002.275716000004</v>
      </c>
      <c r="J3" s="54">
        <f t="shared" si="0"/>
        <v>55084.013793999999</v>
      </c>
      <c r="K3" s="54">
        <f t="shared" si="0"/>
        <v>33653.408637</v>
      </c>
      <c r="L3" s="54">
        <f t="shared" si="0"/>
        <v>38161.072994000002</v>
      </c>
      <c r="M3" s="54">
        <f t="shared" si="0"/>
        <v>34307.733602</v>
      </c>
      <c r="N3" s="54">
        <f t="shared" si="0"/>
        <v>28886.016502999999</v>
      </c>
      <c r="O3" s="54">
        <f t="shared" si="0"/>
        <v>27776.679847000003</v>
      </c>
      <c r="P3" s="54">
        <f t="shared" si="0"/>
        <v>31194.009788000003</v>
      </c>
      <c r="Q3" s="54">
        <f t="shared" si="0"/>
        <v>32097.277504000001</v>
      </c>
      <c r="R3" s="54">
        <f t="shared" ref="R3:W3" si="1">SUM(R4:R5)</f>
        <v>32570.103737000001</v>
      </c>
      <c r="S3" s="54">
        <f t="shared" si="1"/>
        <v>37509.201671000003</v>
      </c>
      <c r="T3" s="54">
        <f t="shared" si="1"/>
        <v>46504.240420999995</v>
      </c>
      <c r="U3" s="54">
        <f t="shared" si="1"/>
        <v>44292.311919</v>
      </c>
      <c r="V3" s="54">
        <f t="shared" si="1"/>
        <v>40210.557296999999</v>
      </c>
      <c r="W3" s="54">
        <f t="shared" si="1"/>
        <v>43425.810471000004</v>
      </c>
      <c r="X3" s="54">
        <f t="shared" ref="X3:Y3" si="2">SUM(X4:X5)</f>
        <v>47974.309840000002</v>
      </c>
      <c r="Y3" s="54">
        <f t="shared" si="2"/>
        <v>53329.720272999999</v>
      </c>
      <c r="DA3" s="172" t="s">
        <v>388</v>
      </c>
    </row>
    <row r="4" spans="1:105" ht="11.45" customHeight="1" x14ac:dyDescent="0.25">
      <c r="A4" s="55" t="s">
        <v>166</v>
      </c>
      <c r="B4" s="56">
        <v>6519.8503760000003</v>
      </c>
      <c r="C4" s="56">
        <v>10118.975708</v>
      </c>
      <c r="D4" s="56">
        <v>8334.367142000001</v>
      </c>
      <c r="E4" s="56">
        <v>7645.5680300000004</v>
      </c>
      <c r="F4" s="56">
        <v>8293.1759840000013</v>
      </c>
      <c r="G4" s="56">
        <v>8615.3819249999997</v>
      </c>
      <c r="H4" s="56">
        <v>7979.4047680000003</v>
      </c>
      <c r="I4" s="56">
        <v>9125.6897050000007</v>
      </c>
      <c r="J4" s="56">
        <v>8488.7227490000005</v>
      </c>
      <c r="K4" s="56">
        <v>7841.2533410000005</v>
      </c>
      <c r="L4" s="56">
        <v>7287.9327510000003</v>
      </c>
      <c r="M4" s="56">
        <v>7065.6916160000001</v>
      </c>
      <c r="N4" s="56">
        <v>5468.9826190000003</v>
      </c>
      <c r="O4" s="56">
        <v>4021.4422070000001</v>
      </c>
      <c r="P4" s="56">
        <v>4067.1539540000003</v>
      </c>
      <c r="Q4" s="56">
        <v>3556.866395</v>
      </c>
      <c r="R4" s="56">
        <v>3471.7742370000001</v>
      </c>
      <c r="S4" s="56">
        <v>4225.0713340000002</v>
      </c>
      <c r="T4" s="56">
        <v>4588.9469280000003</v>
      </c>
      <c r="U4" s="56">
        <v>4676.4820959999997</v>
      </c>
      <c r="V4" s="56">
        <v>6071.6849199999997</v>
      </c>
      <c r="W4" s="56">
        <v>7190.26692</v>
      </c>
      <c r="X4" s="56">
        <v>7829.3721519999999</v>
      </c>
      <c r="Y4" s="56">
        <v>9419.010816</v>
      </c>
      <c r="DA4" s="181" t="s">
        <v>389</v>
      </c>
    </row>
    <row r="5" spans="1:105" ht="11.45" customHeight="1" x14ac:dyDescent="0.25">
      <c r="A5" s="57" t="s">
        <v>167</v>
      </c>
      <c r="B5" s="58">
        <v>23923.502925999997</v>
      </c>
      <c r="C5" s="58">
        <v>37967.155007999994</v>
      </c>
      <c r="D5" s="58">
        <v>31220.684182999998</v>
      </c>
      <c r="E5" s="58">
        <v>28556.200345000001</v>
      </c>
      <c r="F5" s="58">
        <v>30995.960759999998</v>
      </c>
      <c r="G5" s="58">
        <v>33057.351939</v>
      </c>
      <c r="H5" s="58">
        <v>27890.353462999999</v>
      </c>
      <c r="I5" s="58">
        <v>39876.586010999999</v>
      </c>
      <c r="J5" s="58">
        <v>46595.291044999998</v>
      </c>
      <c r="K5" s="58">
        <v>25812.155295999997</v>
      </c>
      <c r="L5" s="58">
        <v>30873.140243000002</v>
      </c>
      <c r="M5" s="58">
        <v>27242.041986</v>
      </c>
      <c r="N5" s="58">
        <v>23417.033884</v>
      </c>
      <c r="O5" s="58">
        <v>23755.237640000003</v>
      </c>
      <c r="P5" s="58">
        <v>27126.855834000002</v>
      </c>
      <c r="Q5" s="58">
        <v>28540.411109000001</v>
      </c>
      <c r="R5" s="58">
        <v>29098.3295</v>
      </c>
      <c r="S5" s="58">
        <v>33284.130337000002</v>
      </c>
      <c r="T5" s="58">
        <v>41915.293492999997</v>
      </c>
      <c r="U5" s="58">
        <v>39615.829823</v>
      </c>
      <c r="V5" s="58">
        <v>34138.872377</v>
      </c>
      <c r="W5" s="58">
        <v>36235.543551000002</v>
      </c>
      <c r="X5" s="58">
        <v>40144.937687999998</v>
      </c>
      <c r="Y5" s="58">
        <v>43910.709456999997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4.361070999999999</v>
      </c>
      <c r="C7" s="59">
        <f t="shared" si="3"/>
        <v>6.6641379999999995</v>
      </c>
      <c r="D7" s="59">
        <f t="shared" si="3"/>
        <v>5.3713959999999998</v>
      </c>
      <c r="E7" s="59">
        <f t="shared" si="3"/>
        <v>4.9288309999999997</v>
      </c>
      <c r="F7" s="59">
        <f t="shared" si="3"/>
        <v>5.2911700000000002</v>
      </c>
      <c r="G7" s="59">
        <f t="shared" si="3"/>
        <v>5.5631250000000012</v>
      </c>
      <c r="H7" s="59">
        <f t="shared" si="3"/>
        <v>4.8055500000000002</v>
      </c>
      <c r="I7" s="59">
        <f t="shared" si="3"/>
        <v>5.6188370000000001</v>
      </c>
      <c r="J7" s="59">
        <f t="shared" si="3"/>
        <v>5.3325580000000006</v>
      </c>
      <c r="K7" s="59">
        <f t="shared" si="3"/>
        <v>3.7843150000000003</v>
      </c>
      <c r="L7" s="59">
        <f t="shared" si="3"/>
        <v>3.5373140000000003</v>
      </c>
      <c r="M7" s="59">
        <f t="shared" si="3"/>
        <v>3.3665520000000004</v>
      </c>
      <c r="N7" s="59">
        <f t="shared" si="3"/>
        <v>2.5754740000000003</v>
      </c>
      <c r="O7" s="59">
        <f t="shared" si="3"/>
        <v>2.10202</v>
      </c>
      <c r="P7" s="59">
        <f t="shared" si="3"/>
        <v>2.200539</v>
      </c>
      <c r="Q7" s="59">
        <f t="shared" si="3"/>
        <v>1.8790740000000001</v>
      </c>
      <c r="R7" s="59">
        <f t="shared" si="3"/>
        <v>1.8924879999999997</v>
      </c>
      <c r="S7" s="59">
        <f t="shared" si="3"/>
        <v>2.2548010000000001</v>
      </c>
      <c r="T7" s="59">
        <f t="shared" si="3"/>
        <v>2.516429</v>
      </c>
      <c r="U7" s="59">
        <f t="shared" si="3"/>
        <v>2.3917090000000001</v>
      </c>
      <c r="V7" s="59">
        <f t="shared" si="3"/>
        <v>2.425827</v>
      </c>
      <c r="W7" s="59">
        <f t="shared" si="3"/>
        <v>2.8435969999999999</v>
      </c>
      <c r="X7" s="59">
        <f t="shared" ref="X7:Y7" si="4">SUM(X8:X9)</f>
        <v>3.3194109999999997</v>
      </c>
      <c r="Y7" s="59">
        <f t="shared" si="4"/>
        <v>3.4417249999999999</v>
      </c>
      <c r="DA7" s="172" t="s">
        <v>963</v>
      </c>
    </row>
    <row r="8" spans="1:105" ht="11.45" customHeight="1" x14ac:dyDescent="0.25">
      <c r="A8" s="55" t="s">
        <v>166</v>
      </c>
      <c r="B8" s="60">
        <v>2.1835459999999998</v>
      </c>
      <c r="C8" s="60">
        <v>3.3210410000000001</v>
      </c>
      <c r="D8" s="60">
        <v>2.6597939999999998</v>
      </c>
      <c r="E8" s="60">
        <v>2.4295070000000001</v>
      </c>
      <c r="F8" s="60">
        <v>2.6177770000000002</v>
      </c>
      <c r="G8" s="60">
        <v>2.7249740000000005</v>
      </c>
      <c r="H8" s="60">
        <v>2.4179650000000001</v>
      </c>
      <c r="I8" s="60">
        <v>2.7199049999999998</v>
      </c>
      <c r="J8" s="60">
        <v>2.4735400000000003</v>
      </c>
      <c r="K8" s="60">
        <v>2.282286</v>
      </c>
      <c r="L8" s="60">
        <v>2.085334</v>
      </c>
      <c r="M8" s="60">
        <v>2.1118580000000002</v>
      </c>
      <c r="N8" s="60">
        <v>1.6323340000000002</v>
      </c>
      <c r="O8" s="60">
        <v>1.183486</v>
      </c>
      <c r="P8" s="60">
        <v>1.1732320000000001</v>
      </c>
      <c r="Q8" s="60">
        <v>0.9329130000000001</v>
      </c>
      <c r="R8" s="60">
        <v>0.88723699999999994</v>
      </c>
      <c r="S8" s="60">
        <v>1.0609250000000001</v>
      </c>
      <c r="T8" s="60">
        <v>1.129443</v>
      </c>
      <c r="U8" s="60">
        <v>1.168174</v>
      </c>
      <c r="V8" s="60">
        <v>1.3267760000000002</v>
      </c>
      <c r="W8" s="60">
        <v>1.684639</v>
      </c>
      <c r="X8" s="60">
        <v>1.9120009999999998</v>
      </c>
      <c r="Y8" s="60">
        <v>2.1862270000000001</v>
      </c>
      <c r="DA8" s="181" t="s">
        <v>964</v>
      </c>
    </row>
    <row r="9" spans="1:105" ht="11.45" customHeight="1" x14ac:dyDescent="0.25">
      <c r="A9" s="57" t="s">
        <v>167</v>
      </c>
      <c r="B9" s="61">
        <v>2.1775249999999997</v>
      </c>
      <c r="C9" s="61">
        <v>3.3430969999999998</v>
      </c>
      <c r="D9" s="61">
        <v>2.7116020000000001</v>
      </c>
      <c r="E9" s="61">
        <v>2.4993239999999997</v>
      </c>
      <c r="F9" s="61">
        <v>2.6733929999999999</v>
      </c>
      <c r="G9" s="61">
        <v>2.8381510000000003</v>
      </c>
      <c r="H9" s="61">
        <v>2.3875850000000001</v>
      </c>
      <c r="I9" s="61">
        <v>2.8989320000000003</v>
      </c>
      <c r="J9" s="61">
        <v>2.8590179999999998</v>
      </c>
      <c r="K9" s="61">
        <v>1.5020290000000001</v>
      </c>
      <c r="L9" s="61">
        <v>1.45198</v>
      </c>
      <c r="M9" s="61">
        <v>1.254694</v>
      </c>
      <c r="N9" s="61">
        <v>0.94313999999999998</v>
      </c>
      <c r="O9" s="61">
        <v>0.91853400000000007</v>
      </c>
      <c r="P9" s="61">
        <v>1.027307</v>
      </c>
      <c r="Q9" s="61">
        <v>0.94616099999999992</v>
      </c>
      <c r="R9" s="61">
        <v>1.0052509999999999</v>
      </c>
      <c r="S9" s="61">
        <v>1.1938759999999999</v>
      </c>
      <c r="T9" s="61">
        <v>1.3869860000000001</v>
      </c>
      <c r="U9" s="61">
        <v>1.223535</v>
      </c>
      <c r="V9" s="61">
        <v>1.099051</v>
      </c>
      <c r="W9" s="61">
        <v>1.1589579999999999</v>
      </c>
      <c r="X9" s="61">
        <v>1.40741</v>
      </c>
      <c r="Y9" s="61">
        <v>1.255498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6980.7057261851514</v>
      </c>
      <c r="C13" s="62">
        <f t="shared" si="5"/>
        <v>7215.6565059126924</v>
      </c>
      <c r="D13" s="62">
        <f t="shared" si="5"/>
        <v>7364.0169752891061</v>
      </c>
      <c r="E13" s="62">
        <f t="shared" si="5"/>
        <v>7344.8995055825617</v>
      </c>
      <c r="F13" s="62">
        <f t="shared" si="5"/>
        <v>7425.4156914255263</v>
      </c>
      <c r="G13" s="62">
        <f t="shared" si="5"/>
        <v>7490.8857636670027</v>
      </c>
      <c r="H13" s="62">
        <f t="shared" si="5"/>
        <v>7464.2357755095663</v>
      </c>
      <c r="I13" s="62">
        <f t="shared" si="5"/>
        <v>8721.0708756990116</v>
      </c>
      <c r="J13" s="62">
        <f t="shared" si="5"/>
        <v>10329.75427440264</v>
      </c>
      <c r="K13" s="62">
        <f t="shared" si="5"/>
        <v>8892.8666448221138</v>
      </c>
      <c r="L13" s="62">
        <f t="shared" si="5"/>
        <v>10788.149707376841</v>
      </c>
      <c r="M13" s="62">
        <f t="shared" si="5"/>
        <v>10190.763012720432</v>
      </c>
      <c r="N13" s="62">
        <f t="shared" si="5"/>
        <v>11215.805907184462</v>
      </c>
      <c r="O13" s="62">
        <f t="shared" si="5"/>
        <v>13214.279524933161</v>
      </c>
      <c r="P13" s="62">
        <f t="shared" si="5"/>
        <v>14175.622330710796</v>
      </c>
      <c r="Q13" s="62">
        <f t="shared" si="5"/>
        <v>17081.433463503832</v>
      </c>
      <c r="R13" s="62">
        <f t="shared" si="5"/>
        <v>17210.203571700327</v>
      </c>
      <c r="S13" s="62">
        <f t="shared" si="5"/>
        <v>16635.260349361208</v>
      </c>
      <c r="T13" s="62">
        <f t="shared" si="5"/>
        <v>18480.251348637292</v>
      </c>
      <c r="U13" s="62">
        <f t="shared" si="5"/>
        <v>18519.105760357968</v>
      </c>
      <c r="V13" s="62">
        <f t="shared" si="5"/>
        <v>16576.020176624301</v>
      </c>
      <c r="W13" s="62">
        <f t="shared" si="5"/>
        <v>15271.436307957845</v>
      </c>
      <c r="X13" s="62">
        <f t="shared" ref="X13:Y13" si="6">IF(X3=0,0,X3/X7)</f>
        <v>14452.657366020661</v>
      </c>
      <c r="Y13" s="62">
        <f t="shared" si="6"/>
        <v>15495.055611067124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2985.9001715558093</v>
      </c>
      <c r="C14" s="63">
        <f t="shared" si="5"/>
        <v>3046.9288720012792</v>
      </c>
      <c r="D14" s="63">
        <f t="shared" si="5"/>
        <v>3133.463396789376</v>
      </c>
      <c r="E14" s="63">
        <f t="shared" si="5"/>
        <v>3146.9627500558754</v>
      </c>
      <c r="F14" s="63">
        <f t="shared" si="5"/>
        <v>3168.0223273410993</v>
      </c>
      <c r="G14" s="63">
        <f t="shared" si="5"/>
        <v>3161.6382119609207</v>
      </c>
      <c r="H14" s="63">
        <f t="shared" si="5"/>
        <v>3300.04973934693</v>
      </c>
      <c r="I14" s="63">
        <f t="shared" si="5"/>
        <v>3355.1501633329112</v>
      </c>
      <c r="J14" s="63">
        <f t="shared" si="5"/>
        <v>3431.8113913662201</v>
      </c>
      <c r="K14" s="63">
        <f t="shared" si="5"/>
        <v>3435.7014594139387</v>
      </c>
      <c r="L14" s="63">
        <f t="shared" si="5"/>
        <v>3494.8515446446468</v>
      </c>
      <c r="M14" s="63">
        <f t="shared" si="5"/>
        <v>3345.7228734128903</v>
      </c>
      <c r="N14" s="63">
        <f t="shared" si="5"/>
        <v>3350.4066073487411</v>
      </c>
      <c r="O14" s="63">
        <f t="shared" si="5"/>
        <v>3397.963479922872</v>
      </c>
      <c r="P14" s="63">
        <f t="shared" si="5"/>
        <v>3466.6237828494282</v>
      </c>
      <c r="Q14" s="63">
        <f t="shared" si="5"/>
        <v>3812.6453324157769</v>
      </c>
      <c r="R14" s="63">
        <f t="shared" si="5"/>
        <v>3913.017871211413</v>
      </c>
      <c r="S14" s="63">
        <f t="shared" si="5"/>
        <v>3982.4411094092416</v>
      </c>
      <c r="T14" s="63">
        <f t="shared" si="5"/>
        <v>4063.0177246660523</v>
      </c>
      <c r="U14" s="63">
        <f t="shared" si="5"/>
        <v>4003.2410377221199</v>
      </c>
      <c r="V14" s="63">
        <f t="shared" si="5"/>
        <v>4576.2697848016533</v>
      </c>
      <c r="W14" s="63">
        <f t="shared" si="5"/>
        <v>4268.1351434936505</v>
      </c>
      <c r="X14" s="63">
        <f t="shared" ref="X14:Y14" si="7">IF(X4=0,0,X4/X8)</f>
        <v>4094.8577704718778</v>
      </c>
      <c r="Y14" s="63">
        <f t="shared" si="7"/>
        <v>4308.3407239961816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10986.55718120343</v>
      </c>
      <c r="C15" s="64">
        <f t="shared" si="5"/>
        <v>11356.881062081058</v>
      </c>
      <c r="D15" s="64">
        <f t="shared" si="5"/>
        <v>11513.741390882584</v>
      </c>
      <c r="E15" s="64">
        <f t="shared" si="5"/>
        <v>11425.569612023093</v>
      </c>
      <c r="F15" s="64">
        <f t="shared" si="5"/>
        <v>11594.24026321607</v>
      </c>
      <c r="G15" s="64">
        <f t="shared" si="5"/>
        <v>11647.495830560107</v>
      </c>
      <c r="H15" s="64">
        <f t="shared" si="5"/>
        <v>11681.407557427274</v>
      </c>
      <c r="I15" s="64">
        <f t="shared" si="5"/>
        <v>13755.612760492484</v>
      </c>
      <c r="J15" s="64">
        <f t="shared" si="5"/>
        <v>16297.655714304703</v>
      </c>
      <c r="K15" s="64">
        <f t="shared" si="5"/>
        <v>17184.858145881335</v>
      </c>
      <c r="L15" s="64">
        <f t="shared" si="5"/>
        <v>21262.786156145401</v>
      </c>
      <c r="M15" s="64">
        <f t="shared" si="5"/>
        <v>21712.100309716952</v>
      </c>
      <c r="N15" s="64">
        <f t="shared" si="5"/>
        <v>24828.79941896219</v>
      </c>
      <c r="O15" s="64">
        <f t="shared" si="5"/>
        <v>25862.121206182896</v>
      </c>
      <c r="P15" s="64">
        <f t="shared" si="5"/>
        <v>26405.792848681067</v>
      </c>
      <c r="Q15" s="64">
        <f t="shared" si="5"/>
        <v>30164.434075173256</v>
      </c>
      <c r="R15" s="64">
        <f t="shared" si="5"/>
        <v>28946.332309045207</v>
      </c>
      <c r="S15" s="64">
        <f t="shared" si="5"/>
        <v>27879.051373006914</v>
      </c>
      <c r="T15" s="64">
        <f t="shared" si="5"/>
        <v>30220.415702105136</v>
      </c>
      <c r="U15" s="64">
        <f t="shared" si="5"/>
        <v>32378.174570404604</v>
      </c>
      <c r="V15" s="64">
        <f t="shared" si="5"/>
        <v>31062.136677005888</v>
      </c>
      <c r="W15" s="64">
        <f t="shared" si="5"/>
        <v>31265.622698147821</v>
      </c>
      <c r="X15" s="64">
        <f t="shared" ref="X15:Y15" si="8">IF(X5=0,0,X5/X9)</f>
        <v>28523.982128875025</v>
      </c>
      <c r="Y15" s="64">
        <f t="shared" si="8"/>
        <v>34974.734692528378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0.21416334499431358</v>
      </c>
      <c r="C18" s="66">
        <f t="shared" si="9"/>
        <v>0.21043439256452903</v>
      </c>
      <c r="D18" s="66">
        <f t="shared" si="9"/>
        <v>0.21070297883123784</v>
      </c>
      <c r="E18" s="66">
        <f t="shared" si="9"/>
        <v>0.21119321992236798</v>
      </c>
      <c r="F18" s="66">
        <f t="shared" si="9"/>
        <v>0.21108063631014964</v>
      </c>
      <c r="G18" s="66">
        <f t="shared" si="9"/>
        <v>0.20673906235949174</v>
      </c>
      <c r="H18" s="66">
        <f t="shared" si="9"/>
        <v>0.22245493589928625</v>
      </c>
      <c r="I18" s="66">
        <f t="shared" si="9"/>
        <v>0.18622991629795516</v>
      </c>
      <c r="J18" s="66">
        <f t="shared" si="9"/>
        <v>0.15410501458273598</v>
      </c>
      <c r="K18" s="66">
        <f t="shared" si="9"/>
        <v>0.23300027125273101</v>
      </c>
      <c r="L18" s="66">
        <f t="shared" si="9"/>
        <v>0.19097819267675908</v>
      </c>
      <c r="M18" s="66">
        <f t="shared" si="9"/>
        <v>0.20595040459297781</v>
      </c>
      <c r="N18" s="66">
        <f t="shared" si="9"/>
        <v>0.18932976163161894</v>
      </c>
      <c r="O18" s="66">
        <f t="shared" si="9"/>
        <v>0.14477764186184161</v>
      </c>
      <c r="P18" s="66">
        <f t="shared" si="9"/>
        <v>0.13038253118599041</v>
      </c>
      <c r="Q18" s="66">
        <f t="shared" si="9"/>
        <v>0.11081520526333546</v>
      </c>
      <c r="R18" s="66">
        <f t="shared" si="9"/>
        <v>0.10659389558701422</v>
      </c>
      <c r="S18" s="66">
        <f t="shared" si="9"/>
        <v>0.1126409293127288</v>
      </c>
      <c r="T18" s="66">
        <f t="shared" si="9"/>
        <v>9.8678032077430991E-2</v>
      </c>
      <c r="U18" s="66">
        <f t="shared" si="9"/>
        <v>0.10558225329380327</v>
      </c>
      <c r="V18" s="66">
        <f t="shared" si="9"/>
        <v>0.15099728350328015</v>
      </c>
      <c r="W18" s="66">
        <f t="shared" si="9"/>
        <v>0.16557588314446542</v>
      </c>
      <c r="X18" s="66">
        <f t="shared" ref="X18:Y18" si="11">IF(X4=0,0,X4/X$3)</f>
        <v>0.16319926598447965</v>
      </c>
      <c r="Y18" s="66">
        <f t="shared" si="11"/>
        <v>0.17661841779373999</v>
      </c>
      <c r="DA18" s="181"/>
    </row>
    <row r="19" spans="1:105" ht="11.45" customHeight="1" x14ac:dyDescent="0.25">
      <c r="A19" s="57" t="s">
        <v>167</v>
      </c>
      <c r="B19" s="67">
        <f t="shared" si="9"/>
        <v>0.78583665500568645</v>
      </c>
      <c r="C19" s="67">
        <f t="shared" si="9"/>
        <v>0.789565607435471</v>
      </c>
      <c r="D19" s="67">
        <f t="shared" si="9"/>
        <v>0.7892970211687621</v>
      </c>
      <c r="E19" s="67">
        <f t="shared" si="9"/>
        <v>0.78880678007763205</v>
      </c>
      <c r="F19" s="67">
        <f t="shared" si="9"/>
        <v>0.78891936368985027</v>
      </c>
      <c r="G19" s="67">
        <f t="shared" si="9"/>
        <v>0.7932609376405082</v>
      </c>
      <c r="H19" s="67">
        <f t="shared" si="9"/>
        <v>0.77754506410071378</v>
      </c>
      <c r="I19" s="67">
        <f t="shared" si="9"/>
        <v>0.81377008370204473</v>
      </c>
      <c r="J19" s="67">
        <f t="shared" si="9"/>
        <v>0.84589498541726404</v>
      </c>
      <c r="K19" s="67">
        <f t="shared" si="9"/>
        <v>0.76699972874726896</v>
      </c>
      <c r="L19" s="67">
        <f t="shared" si="9"/>
        <v>0.80902180732324092</v>
      </c>
      <c r="M19" s="67">
        <f t="shared" si="9"/>
        <v>0.79404959540702214</v>
      </c>
      <c r="N19" s="67">
        <f t="shared" si="9"/>
        <v>0.81067023836838115</v>
      </c>
      <c r="O19" s="67">
        <f t="shared" si="9"/>
        <v>0.85522235813815839</v>
      </c>
      <c r="P19" s="67">
        <f t="shared" si="9"/>
        <v>0.86961746881400959</v>
      </c>
      <c r="Q19" s="67">
        <f t="shared" si="9"/>
        <v>0.88918479473666445</v>
      </c>
      <c r="R19" s="67">
        <f t="shared" si="9"/>
        <v>0.89340610441298574</v>
      </c>
      <c r="S19" s="67">
        <f t="shared" si="9"/>
        <v>0.88735907068727116</v>
      </c>
      <c r="T19" s="67">
        <f t="shared" si="9"/>
        <v>0.90132196792256902</v>
      </c>
      <c r="U19" s="67">
        <f t="shared" si="9"/>
        <v>0.89441774670619678</v>
      </c>
      <c r="V19" s="67">
        <f t="shared" si="9"/>
        <v>0.84900271649671988</v>
      </c>
      <c r="W19" s="67">
        <f t="shared" si="9"/>
        <v>0.83442411685553453</v>
      </c>
      <c r="X19" s="67">
        <f t="shared" ref="X19:Y19" si="12">IF(X5=0,0,X5/X$3)</f>
        <v>0.83680073401552024</v>
      </c>
      <c r="Y19" s="67">
        <f t="shared" si="12"/>
        <v>0.82338158220626001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0.50069031208159653</v>
      </c>
      <c r="C22" s="66">
        <f t="shared" si="13"/>
        <v>0.4983451723238625</v>
      </c>
      <c r="D22" s="66">
        <f t="shared" si="13"/>
        <v>0.49517741756519157</v>
      </c>
      <c r="E22" s="66">
        <f t="shared" si="13"/>
        <v>0.49291748895427745</v>
      </c>
      <c r="F22" s="66">
        <f t="shared" si="13"/>
        <v>0.49474445160522157</v>
      </c>
      <c r="G22" s="66">
        <f t="shared" si="13"/>
        <v>0.48982792944612963</v>
      </c>
      <c r="H22" s="66">
        <f t="shared" si="13"/>
        <v>0.50316092850974392</v>
      </c>
      <c r="I22" s="66">
        <f t="shared" si="13"/>
        <v>0.48406903421473158</v>
      </c>
      <c r="J22" s="66">
        <f t="shared" si="13"/>
        <v>0.46385618309261711</v>
      </c>
      <c r="K22" s="66">
        <f t="shared" si="13"/>
        <v>0.60309091605746346</v>
      </c>
      <c r="L22" s="66">
        <f t="shared" si="13"/>
        <v>0.58952470716481487</v>
      </c>
      <c r="M22" s="66">
        <f t="shared" si="13"/>
        <v>0.62730592012242792</v>
      </c>
      <c r="N22" s="66">
        <f t="shared" si="13"/>
        <v>0.63379944817924783</v>
      </c>
      <c r="O22" s="66">
        <f t="shared" si="13"/>
        <v>0.56302318721991229</v>
      </c>
      <c r="P22" s="66">
        <f t="shared" si="13"/>
        <v>0.53315664934818241</v>
      </c>
      <c r="Q22" s="66">
        <f t="shared" si="13"/>
        <v>0.4964748594254404</v>
      </c>
      <c r="R22" s="66">
        <f t="shared" si="13"/>
        <v>0.46882040995768537</v>
      </c>
      <c r="S22" s="66">
        <f t="shared" si="13"/>
        <v>0.47051824085584498</v>
      </c>
      <c r="T22" s="66">
        <f t="shared" si="13"/>
        <v>0.44882768399187895</v>
      </c>
      <c r="U22" s="66">
        <f t="shared" si="13"/>
        <v>0.48842647663239969</v>
      </c>
      <c r="V22" s="66">
        <f t="shared" si="13"/>
        <v>0.5469376010737782</v>
      </c>
      <c r="W22" s="66">
        <f t="shared" si="13"/>
        <v>0.59243240163778488</v>
      </c>
      <c r="X22" s="66">
        <f t="shared" ref="X22:Y22" si="15">IF(X8=0,0,X8/X$7)</f>
        <v>0.57600610469749003</v>
      </c>
      <c r="Y22" s="66">
        <f t="shared" si="15"/>
        <v>0.63521257508952633</v>
      </c>
      <c r="DA22" s="181"/>
    </row>
    <row r="23" spans="1:105" ht="11.45" customHeight="1" x14ac:dyDescent="0.25">
      <c r="A23" s="57" t="s">
        <v>167</v>
      </c>
      <c r="B23" s="67">
        <f t="shared" si="13"/>
        <v>0.49930968791840358</v>
      </c>
      <c r="C23" s="67">
        <f t="shared" si="13"/>
        <v>0.50165482767613756</v>
      </c>
      <c r="D23" s="67">
        <f t="shared" si="13"/>
        <v>0.50482258243480838</v>
      </c>
      <c r="E23" s="67">
        <f t="shared" si="13"/>
        <v>0.50708251104572255</v>
      </c>
      <c r="F23" s="67">
        <f t="shared" si="13"/>
        <v>0.50525554839477849</v>
      </c>
      <c r="G23" s="67">
        <f t="shared" si="13"/>
        <v>0.51017207055387026</v>
      </c>
      <c r="H23" s="67">
        <f t="shared" si="13"/>
        <v>0.49683907149025602</v>
      </c>
      <c r="I23" s="67">
        <f t="shared" si="13"/>
        <v>0.51593096578526842</v>
      </c>
      <c r="J23" s="67">
        <f t="shared" si="13"/>
        <v>0.53614381690738278</v>
      </c>
      <c r="K23" s="67">
        <f t="shared" si="13"/>
        <v>0.39690908394253649</v>
      </c>
      <c r="L23" s="67">
        <f t="shared" si="13"/>
        <v>0.41047529283518508</v>
      </c>
      <c r="M23" s="67">
        <f t="shared" si="13"/>
        <v>0.37269407987757203</v>
      </c>
      <c r="N23" s="67">
        <f t="shared" si="13"/>
        <v>0.36620055182075217</v>
      </c>
      <c r="O23" s="67">
        <f t="shared" si="13"/>
        <v>0.43697681278008776</v>
      </c>
      <c r="P23" s="67">
        <f t="shared" si="13"/>
        <v>0.46684335065181753</v>
      </c>
      <c r="Q23" s="67">
        <f t="shared" si="13"/>
        <v>0.50352514057455955</v>
      </c>
      <c r="R23" s="67">
        <f t="shared" si="13"/>
        <v>0.53117959004231474</v>
      </c>
      <c r="S23" s="67">
        <f t="shared" si="13"/>
        <v>0.52948175914415507</v>
      </c>
      <c r="T23" s="67">
        <f t="shared" si="13"/>
        <v>0.551172316008121</v>
      </c>
      <c r="U23" s="67">
        <f t="shared" si="13"/>
        <v>0.51157352336760031</v>
      </c>
      <c r="V23" s="67">
        <f t="shared" si="13"/>
        <v>0.45306239892622185</v>
      </c>
      <c r="W23" s="67">
        <f t="shared" si="13"/>
        <v>0.40756759836221518</v>
      </c>
      <c r="X23" s="67">
        <f t="shared" ref="X23:Y23" si="16">IF(X9=0,0,X9/X$7)</f>
        <v>0.42399389530251003</v>
      </c>
      <c r="Y23" s="67">
        <f t="shared" si="16"/>
        <v>0.36478742491047367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18.044539982803091</v>
      </c>
      <c r="C3" s="62">
        <f t="shared" ref="C3:W3" si="0">SUM(C4,C10)</f>
        <v>28.700515907136719</v>
      </c>
      <c r="D3" s="62">
        <f t="shared" si="0"/>
        <v>23.57239896818572</v>
      </c>
      <c r="E3" s="62">
        <f t="shared" si="0"/>
        <v>21.559673258813415</v>
      </c>
      <c r="F3" s="62">
        <f t="shared" si="0"/>
        <v>23.406878761822867</v>
      </c>
      <c r="G3" s="62">
        <f t="shared" si="0"/>
        <v>25.005932932072227</v>
      </c>
      <c r="H3" s="62">
        <f t="shared" si="0"/>
        <v>19.974462596732586</v>
      </c>
      <c r="I3" s="62">
        <f t="shared" si="0"/>
        <v>23.379191745485812</v>
      </c>
      <c r="J3" s="62">
        <f t="shared" si="0"/>
        <v>21.228632846087699</v>
      </c>
      <c r="K3" s="62">
        <f t="shared" si="0"/>
        <v>6.4237317282889066</v>
      </c>
      <c r="L3" s="62">
        <f t="shared" si="0"/>
        <v>6.8097162510748053</v>
      </c>
      <c r="M3" s="62">
        <f t="shared" si="0"/>
        <v>23.519690455717971</v>
      </c>
      <c r="N3" s="62">
        <f t="shared" si="0"/>
        <v>3.9149613069647464</v>
      </c>
      <c r="O3" s="62">
        <f t="shared" si="0"/>
        <v>3.9149613069647464</v>
      </c>
      <c r="P3" s="62">
        <f t="shared" si="0"/>
        <v>4.9350816852966464</v>
      </c>
      <c r="Q3" s="62">
        <f t="shared" si="0"/>
        <v>3.970077386070507</v>
      </c>
      <c r="R3" s="62">
        <f t="shared" si="0"/>
        <v>4.5077386070507295</v>
      </c>
      <c r="S3" s="62">
        <f t="shared" si="0"/>
        <v>6.3852966466036118</v>
      </c>
      <c r="T3" s="62">
        <f t="shared" si="0"/>
        <v>20.868013757523645</v>
      </c>
      <c r="U3" s="62">
        <f t="shared" si="0"/>
        <v>24.931900257953568</v>
      </c>
      <c r="V3" s="62">
        <f t="shared" si="0"/>
        <v>20.385554600171968</v>
      </c>
      <c r="W3" s="62">
        <f t="shared" si="0"/>
        <v>23.809802235597594</v>
      </c>
      <c r="X3" s="62">
        <f t="shared" ref="X3:Y3" si="1">SUM(X4,X10)</f>
        <v>18.858727429062771</v>
      </c>
      <c r="Y3" s="62">
        <f t="shared" si="1"/>
        <v>23.371367153912292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8.6295250628710392</v>
      </c>
      <c r="C4" s="71">
        <f t="shared" ref="C4:W4" si="2">SUM(C5:C9)</f>
        <v>13.666044828080905</v>
      </c>
      <c r="D4" s="71">
        <f t="shared" si="2"/>
        <v>11.199505779088767</v>
      </c>
      <c r="E4" s="71">
        <f t="shared" si="2"/>
        <v>10.247594440781127</v>
      </c>
      <c r="F4" s="71">
        <f t="shared" si="2"/>
        <v>11.131789140259711</v>
      </c>
      <c r="G4" s="71">
        <f t="shared" si="2"/>
        <v>11.806863523267358</v>
      </c>
      <c r="H4" s="71">
        <f t="shared" si="2"/>
        <v>9.7022337977989626</v>
      </c>
      <c r="I4" s="71">
        <f t="shared" si="2"/>
        <v>10.578302085094023</v>
      </c>
      <c r="J4" s="71">
        <f t="shared" si="2"/>
        <v>8.8280748046848725</v>
      </c>
      <c r="K4" s="71">
        <f t="shared" si="2"/>
        <v>3.2703569494782823</v>
      </c>
      <c r="L4" s="71">
        <f t="shared" si="2"/>
        <v>3.2221540558406785</v>
      </c>
      <c r="M4" s="71">
        <f t="shared" si="2"/>
        <v>11.554365206843954</v>
      </c>
      <c r="N4" s="71">
        <f t="shared" si="2"/>
        <v>1.8718600368666385</v>
      </c>
      <c r="O4" s="71">
        <f t="shared" si="2"/>
        <v>1.6250448036493079</v>
      </c>
      <c r="P4" s="71">
        <f t="shared" si="2"/>
        <v>1.9603685905664014</v>
      </c>
      <c r="Q4" s="71">
        <f t="shared" si="2"/>
        <v>1.4426590628144014</v>
      </c>
      <c r="R4" s="71">
        <f t="shared" si="2"/>
        <v>1.5548518770159809</v>
      </c>
      <c r="S4" s="71">
        <f t="shared" si="2"/>
        <v>2.2516793485233095</v>
      </c>
      <c r="T4" s="71">
        <f t="shared" si="2"/>
        <v>6.9027031313524194</v>
      </c>
      <c r="U4" s="71">
        <f t="shared" si="2"/>
        <v>8.8508447668926742</v>
      </c>
      <c r="V4" s="71">
        <f t="shared" si="2"/>
        <v>7.7766819970190566</v>
      </c>
      <c r="W4" s="71">
        <f t="shared" si="2"/>
        <v>9.6565433830335206</v>
      </c>
      <c r="X4" s="71">
        <f t="shared" ref="X4:Y4" si="3">SUM(X5:X9)</f>
        <v>8.1748845466262452</v>
      </c>
      <c r="Y4" s="71">
        <f t="shared" si="3"/>
        <v>10.734389740294747</v>
      </c>
      <c r="DA4" s="186" t="s">
        <v>971</v>
      </c>
    </row>
    <row r="5" spans="1:105" ht="11.45" customHeight="1" x14ac:dyDescent="0.25">
      <c r="A5" s="72" t="s">
        <v>144</v>
      </c>
      <c r="B5" s="73">
        <v>6.0610180028626734</v>
      </c>
      <c r="C5" s="73">
        <v>11.255900495683527</v>
      </c>
      <c r="D5" s="73">
        <v>9.5107520319328582</v>
      </c>
      <c r="E5" s="73">
        <v>5.1881875447484225</v>
      </c>
      <c r="F5" s="73">
        <v>6.9197374481126825</v>
      </c>
      <c r="G5" s="73">
        <v>7.7754028382229894</v>
      </c>
      <c r="H5" s="73">
        <v>6.1068441229250618</v>
      </c>
      <c r="I5" s="73">
        <v>3.4023664864378484</v>
      </c>
      <c r="J5" s="73">
        <v>0</v>
      </c>
      <c r="K5" s="73">
        <v>0.88799593223992757</v>
      </c>
      <c r="L5" s="73">
        <v>0.86400871424717285</v>
      </c>
      <c r="M5" s="73">
        <v>1.1373635110546412</v>
      </c>
      <c r="N5" s="73">
        <v>0.86254136100341106</v>
      </c>
      <c r="O5" s="73">
        <v>0.81216457380775486</v>
      </c>
      <c r="P5" s="73">
        <v>1.5657319765061555</v>
      </c>
      <c r="Q5" s="73">
        <v>1.4426210181733707</v>
      </c>
      <c r="R5" s="73">
        <v>1.5548518770159809</v>
      </c>
      <c r="S5" s="73">
        <v>2.2516793485233095</v>
      </c>
      <c r="T5" s="73">
        <v>6.9027031313524194</v>
      </c>
      <c r="U5" s="73">
        <v>8.8508447668926742</v>
      </c>
      <c r="V5" s="73">
        <v>7.7766819970190566</v>
      </c>
      <c r="W5" s="73">
        <v>9.6565433830335206</v>
      </c>
      <c r="X5" s="73">
        <v>8.1748845466262452</v>
      </c>
      <c r="Y5" s="73">
        <v>10.734389740294747</v>
      </c>
      <c r="DA5" s="187" t="s">
        <v>972</v>
      </c>
    </row>
    <row r="6" spans="1:105" ht="11.45" customHeight="1" x14ac:dyDescent="0.25">
      <c r="A6" s="72" t="s">
        <v>145</v>
      </c>
      <c r="B6" s="73">
        <v>2.5685070600083666</v>
      </c>
      <c r="C6" s="73">
        <v>2.4101443323973779</v>
      </c>
      <c r="D6" s="73">
        <v>1.6887537471559098</v>
      </c>
      <c r="E6" s="73">
        <v>5.0594068960327041</v>
      </c>
      <c r="F6" s="73">
        <v>4.2120516921470283</v>
      </c>
      <c r="G6" s="73">
        <v>4.0314606850443688</v>
      </c>
      <c r="H6" s="73">
        <v>3.5953896748739007</v>
      </c>
      <c r="I6" s="73">
        <v>7.1759355986561744</v>
      </c>
      <c r="J6" s="73">
        <v>8.8280748046848725</v>
      </c>
      <c r="K6" s="73">
        <v>2.3823610172383547</v>
      </c>
      <c r="L6" s="73">
        <v>2.3581453415935054</v>
      </c>
      <c r="M6" s="73">
        <v>10.417001695789313</v>
      </c>
      <c r="N6" s="73">
        <v>1.0093186758632273</v>
      </c>
      <c r="O6" s="73">
        <v>0.81288022984155295</v>
      </c>
      <c r="P6" s="73">
        <v>0.39463661406024592</v>
      </c>
      <c r="Q6" s="73">
        <v>3.8044641030667665E-5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9.4150149199320516</v>
      </c>
      <c r="C10" s="71">
        <f t="shared" ref="C10:W10" si="4">SUM(C11:C15)</f>
        <v>15.034471079055816</v>
      </c>
      <c r="D10" s="71">
        <f t="shared" si="4"/>
        <v>12.372893189096953</v>
      </c>
      <c r="E10" s="71">
        <f t="shared" si="4"/>
        <v>11.312078818032289</v>
      </c>
      <c r="F10" s="71">
        <f t="shared" si="4"/>
        <v>12.275089621563156</v>
      </c>
      <c r="G10" s="71">
        <f t="shared" si="4"/>
        <v>13.199069408804869</v>
      </c>
      <c r="H10" s="71">
        <f t="shared" si="4"/>
        <v>10.272228798933625</v>
      </c>
      <c r="I10" s="71">
        <f t="shared" si="4"/>
        <v>12.800889660391789</v>
      </c>
      <c r="J10" s="71">
        <f t="shared" si="4"/>
        <v>12.400558041402826</v>
      </c>
      <c r="K10" s="71">
        <f t="shared" si="4"/>
        <v>3.1533747788106248</v>
      </c>
      <c r="L10" s="71">
        <f t="shared" si="4"/>
        <v>3.5875621952341272</v>
      </c>
      <c r="M10" s="71">
        <f t="shared" si="4"/>
        <v>11.965325248874018</v>
      </c>
      <c r="N10" s="71">
        <f t="shared" si="4"/>
        <v>2.0431012700981079</v>
      </c>
      <c r="O10" s="71">
        <f t="shared" si="4"/>
        <v>2.2899165033154385</v>
      </c>
      <c r="P10" s="71">
        <f t="shared" si="4"/>
        <v>2.9747130947302454</v>
      </c>
      <c r="Q10" s="71">
        <f t="shared" si="4"/>
        <v>2.5274183232561054</v>
      </c>
      <c r="R10" s="71">
        <f t="shared" si="4"/>
        <v>2.9528867300347486</v>
      </c>
      <c r="S10" s="71">
        <f t="shared" si="4"/>
        <v>4.1336172980803019</v>
      </c>
      <c r="T10" s="71">
        <f t="shared" si="4"/>
        <v>13.965310626171226</v>
      </c>
      <c r="U10" s="71">
        <f t="shared" si="4"/>
        <v>16.081055491060894</v>
      </c>
      <c r="V10" s="71">
        <f t="shared" si="4"/>
        <v>12.608872603152912</v>
      </c>
      <c r="W10" s="71">
        <f t="shared" si="4"/>
        <v>14.153258852564074</v>
      </c>
      <c r="X10" s="71">
        <f t="shared" ref="X10:Y10" si="5">SUM(X11:X15)</f>
        <v>10.683842882436526</v>
      </c>
      <c r="Y10" s="71">
        <f t="shared" si="5"/>
        <v>12.636977413617545</v>
      </c>
      <c r="DA10" s="186" t="s">
        <v>977</v>
      </c>
    </row>
    <row r="11" spans="1:105" ht="11.45" customHeight="1" x14ac:dyDescent="0.25">
      <c r="A11" s="72" t="s">
        <v>144</v>
      </c>
      <c r="B11" s="73">
        <v>1.0797386609378428</v>
      </c>
      <c r="C11" s="73">
        <v>2.0055784381083948</v>
      </c>
      <c r="D11" s="73">
        <v>1.7104861451952518</v>
      </c>
      <c r="E11" s="73">
        <v>0.93244874072019379</v>
      </c>
      <c r="F11" s="73">
        <v>1.2411395940197336</v>
      </c>
      <c r="G11" s="73">
        <v>1.4055945822413263</v>
      </c>
      <c r="H11" s="73">
        <v>1.0339125408754546</v>
      </c>
      <c r="I11" s="73">
        <v>0.678115026889752</v>
      </c>
      <c r="J11" s="73">
        <v>0</v>
      </c>
      <c r="K11" s="73">
        <v>0.13212444609197241</v>
      </c>
      <c r="L11" s="73">
        <v>0.15611166408472707</v>
      </c>
      <c r="M11" s="73">
        <v>0.1887757838722719</v>
      </c>
      <c r="N11" s="73">
        <v>0.15757901732848892</v>
      </c>
      <c r="O11" s="73">
        <v>0.20795580452414503</v>
      </c>
      <c r="P11" s="73">
        <v>0.47450878015764447</v>
      </c>
      <c r="Q11" s="73">
        <v>0.59761973849042904</v>
      </c>
      <c r="R11" s="73">
        <v>1.5055092579797189</v>
      </c>
      <c r="S11" s="73">
        <v>1.6247608922333547</v>
      </c>
      <c r="T11" s="73">
        <v>9.6230922254833491</v>
      </c>
      <c r="U11" s="73">
        <v>11.449327202152897</v>
      </c>
      <c r="V11" s="73">
        <v>8.7491133598167128</v>
      </c>
      <c r="W11" s="73">
        <v>9.92961310879795</v>
      </c>
      <c r="X11" s="73">
        <v>3.9644103802869144</v>
      </c>
      <c r="Y11" s="73">
        <v>5.6894279725169437</v>
      </c>
      <c r="DA11" s="187" t="s">
        <v>978</v>
      </c>
    </row>
    <row r="12" spans="1:105" ht="11.45" customHeight="1" x14ac:dyDescent="0.25">
      <c r="A12" s="72" t="s">
        <v>145</v>
      </c>
      <c r="B12" s="73">
        <v>8.3352762589942095</v>
      </c>
      <c r="C12" s="73">
        <v>13.02889264094742</v>
      </c>
      <c r="D12" s="73">
        <v>10.662407043901702</v>
      </c>
      <c r="E12" s="73">
        <v>10.379630077312095</v>
      </c>
      <c r="F12" s="73">
        <v>11.033950027543423</v>
      </c>
      <c r="G12" s="73">
        <v>11.793474826563543</v>
      </c>
      <c r="H12" s="73">
        <v>9.2383162580581697</v>
      </c>
      <c r="I12" s="73">
        <v>12.122774633502036</v>
      </c>
      <c r="J12" s="73">
        <v>12.400558041402826</v>
      </c>
      <c r="K12" s="73">
        <v>3.0212503327186524</v>
      </c>
      <c r="L12" s="73">
        <v>3.4314505311494004</v>
      </c>
      <c r="M12" s="73">
        <v>11.776549465001747</v>
      </c>
      <c r="N12" s="73">
        <v>1.8855222527696189</v>
      </c>
      <c r="O12" s="73">
        <v>2.0819606987912933</v>
      </c>
      <c r="P12" s="73">
        <v>2.5002043145726009</v>
      </c>
      <c r="Q12" s="73">
        <v>1.9297985847656765</v>
      </c>
      <c r="R12" s="73">
        <v>1.4473774720550296</v>
      </c>
      <c r="S12" s="73">
        <v>2.5088564058469469</v>
      </c>
      <c r="T12" s="73">
        <v>4.3422184006878766</v>
      </c>
      <c r="U12" s="73">
        <v>4.6317282889079969</v>
      </c>
      <c r="V12" s="73">
        <v>3.8597592433361996</v>
      </c>
      <c r="W12" s="73">
        <v>4.2236457437661237</v>
      </c>
      <c r="X12" s="73">
        <v>6.719432502149612</v>
      </c>
      <c r="Y12" s="73">
        <v>6.9475494411006018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413.7639580461564</v>
      </c>
      <c r="C19" s="62">
        <f>IF(C3=0,0,C3/MBunk_act!C7*100)</f>
        <v>430.67109215230414</v>
      </c>
      <c r="D19" s="62">
        <f>IF(D3=0,0,D3/MBunk_act!D7*100)</f>
        <v>438.85051424593752</v>
      </c>
      <c r="E19" s="62">
        <f>IF(E3=0,0,E3/MBunk_act!E7*100)</f>
        <v>437.41960839828789</v>
      </c>
      <c r="F19" s="62">
        <f>IF(F3=0,0,F3/MBunk_act!F7*100)</f>
        <v>442.37623742618109</v>
      </c>
      <c r="G19" s="62">
        <f>IF(G3=0,0,G3/MBunk_act!G7*100)</f>
        <v>449.49435671627407</v>
      </c>
      <c r="H19" s="62">
        <f>IF(H3=0,0,H3/MBunk_act!H7*100)</f>
        <v>415.65403745112599</v>
      </c>
      <c r="I19" s="62">
        <f>IF(I3=0,0,I3/MBunk_act!I7*100)</f>
        <v>416.0859577433161</v>
      </c>
      <c r="J19" s="62">
        <f>IF(J3=0,0,J3/MBunk_act!J7*100)</f>
        <v>398.09473888680998</v>
      </c>
      <c r="K19" s="62">
        <f>IF(K3=0,0,K3/MBunk_act!K7*100)</f>
        <v>169.74622166201561</v>
      </c>
      <c r="L19" s="62">
        <f>IF(L3=0,0,L3/MBunk_act!L7*100)</f>
        <v>192.51093488095216</v>
      </c>
      <c r="M19" s="62">
        <f>IF(M3=0,0,M3/MBunk_act!M7*100)</f>
        <v>698.62846187190837</v>
      </c>
      <c r="N19" s="62">
        <f>IF(N3=0,0,N3/MBunk_act!N7*100)</f>
        <v>152.00935078221508</v>
      </c>
      <c r="O19" s="62">
        <f>IF(O3=0,0,O3/MBunk_act!O7*100)</f>
        <v>186.24757647238116</v>
      </c>
      <c r="P19" s="62">
        <f>IF(P3=0,0,P3/MBunk_act!P7*100)</f>
        <v>224.2669493836122</v>
      </c>
      <c r="Q19" s="62">
        <f>IF(Q3=0,0,Q3/MBunk_act!Q7*100)</f>
        <v>211.27839489400137</v>
      </c>
      <c r="R19" s="62">
        <f>IF(R3=0,0,R3/MBunk_act!R7*100)</f>
        <v>238.19113289229472</v>
      </c>
      <c r="S19" s="62">
        <f>IF(S3=0,0,S3/MBunk_act!S7*100)</f>
        <v>283.18670457408933</v>
      </c>
      <c r="T19" s="62">
        <f>IF(T3=0,0,T3/MBunk_act!T7*100)</f>
        <v>829.27091356535971</v>
      </c>
      <c r="U19" s="62">
        <f>IF(U3=0,0,U3/MBunk_act!U7*100)</f>
        <v>1042.4303398930876</v>
      </c>
      <c r="V19" s="62">
        <f>IF(V3=0,0,V3/MBunk_act!V7*100)</f>
        <v>840.35483982048049</v>
      </c>
      <c r="W19" s="62">
        <f>IF(W3=0,0,W3/MBunk_act!W7*100)</f>
        <v>837.31282019208754</v>
      </c>
      <c r="X19" s="62">
        <f>IF(X3=0,0,X3/MBunk_act!X7*100)</f>
        <v>568.13475128758603</v>
      </c>
      <c r="Y19" s="62">
        <f>IF(Y3=0,0,Y3/MBunk_act!Y7*100)</f>
        <v>679.05969111164586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395.20692776204578</v>
      </c>
      <c r="C20" s="63">
        <f>IF(C4=0,0,C4/MBunk_act!C8*100)</f>
        <v>411.4988290744048</v>
      </c>
      <c r="D20" s="63">
        <f>IF(D4=0,0,D4/MBunk_act!D8*100)</f>
        <v>421.0666607672913</v>
      </c>
      <c r="E20" s="63">
        <f>IF(E4=0,0,E4/MBunk_act!E8*100)</f>
        <v>421.79727989181038</v>
      </c>
      <c r="F20" s="63">
        <f>IF(F4=0,0,F4/MBunk_act!F8*100)</f>
        <v>425.23825139649824</v>
      </c>
      <c r="G20" s="63">
        <f>IF(G4=0,0,G4/MBunk_act!G8*100)</f>
        <v>433.28352943064249</v>
      </c>
      <c r="H20" s="63">
        <f>IF(H4=0,0,H4/MBunk_act!H8*100)</f>
        <v>401.25617193792971</v>
      </c>
      <c r="I20" s="63">
        <f>IF(I4=0,0,I4/MBunk_act!I8*100)</f>
        <v>388.92174855717474</v>
      </c>
      <c r="J20" s="63">
        <f>IF(J4=0,0,J4/MBunk_act!J8*100)</f>
        <v>356.90042629934715</v>
      </c>
      <c r="K20" s="63">
        <f>IF(K4=0,0,K4/MBunk_act!K8*100)</f>
        <v>143.29303818532307</v>
      </c>
      <c r="L20" s="63">
        <f>IF(L4=0,0,L4/MBunk_act!L8*100)</f>
        <v>154.51501082515696</v>
      </c>
      <c r="M20" s="63">
        <f>IF(M4=0,0,M4/MBunk_act!M8*100)</f>
        <v>547.11847135763639</v>
      </c>
      <c r="N20" s="63">
        <f>IF(N4=0,0,N4/MBunk_act!N8*100)</f>
        <v>114.67383739275408</v>
      </c>
      <c r="O20" s="63">
        <f>IF(O4=0,0,O4/MBunk_act!O8*100)</f>
        <v>137.31001495998331</v>
      </c>
      <c r="P20" s="63">
        <f>IF(P4=0,0,P4/MBunk_act!P8*100)</f>
        <v>167.0912991263792</v>
      </c>
      <c r="Q20" s="63">
        <f>IF(Q4=0,0,Q4/MBunk_act!Q8*100)</f>
        <v>154.64025721738267</v>
      </c>
      <c r="R20" s="63">
        <f>IF(R4=0,0,R4/MBunk_act!R8*100)</f>
        <v>175.24650989712794</v>
      </c>
      <c r="S20" s="63">
        <f>IF(S4=0,0,S4/MBunk_act!S8*100)</f>
        <v>212.23737290791615</v>
      </c>
      <c r="T20" s="63">
        <f>IF(T4=0,0,T4/MBunk_act!T8*100)</f>
        <v>611.15993736314454</v>
      </c>
      <c r="U20" s="63">
        <f>IF(U4=0,0,U4/MBunk_act!U8*100)</f>
        <v>757.66493406741415</v>
      </c>
      <c r="V20" s="63">
        <f>IF(V4=0,0,V4/MBunk_act!V8*100)</f>
        <v>586.13375558640314</v>
      </c>
      <c r="W20" s="63">
        <f>IF(W4=0,0,W4/MBunk_act!W8*100)</f>
        <v>573.21143479603165</v>
      </c>
      <c r="X20" s="63">
        <f>IF(X4=0,0,X4/MBunk_act!X8*100)</f>
        <v>427.55649953249224</v>
      </c>
      <c r="Y20" s="63">
        <f>IF(Y4=0,0,Y4/MBunk_act!Y8*100)</f>
        <v>491.0006939030003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432.37229974085494</v>
      </c>
      <c r="C21" s="64">
        <f>IF(C10=0,0,C10/MBunk_act!C9*100)</f>
        <v>449.7168666974311</v>
      </c>
      <c r="D21" s="64">
        <f>IF(D10=0,0,D10/MBunk_act!D9*100)</f>
        <v>456.29458855307502</v>
      </c>
      <c r="E21" s="64">
        <f>IF(E10=0,0,E10/MBunk_act!E9*100)</f>
        <v>452.6055372585663</v>
      </c>
      <c r="F21" s="64">
        <f>IF(F10=0,0,F10/MBunk_act!F9*100)</f>
        <v>459.15769292293191</v>
      </c>
      <c r="G21" s="64">
        <f>IF(G10=0,0,G10/MBunk_act!G9*100)</f>
        <v>465.05874454195242</v>
      </c>
      <c r="H21" s="64">
        <f>IF(H10=0,0,H10/MBunk_act!H9*100)</f>
        <v>430.23510362703837</v>
      </c>
      <c r="I21" s="64">
        <f>IF(I10=0,0,I10/MBunk_act!I9*100)</f>
        <v>441.57260882255213</v>
      </c>
      <c r="J21" s="64">
        <f>IF(J10=0,0,J10/MBunk_act!J9*100)</f>
        <v>433.73487125309555</v>
      </c>
      <c r="K21" s="64">
        <f>IF(K10=0,0,K10/MBunk_act!K9*100)</f>
        <v>209.94100505453787</v>
      </c>
      <c r="L21" s="64">
        <f>IF(L10=0,0,L10/MBunk_act!L9*100)</f>
        <v>247.08068948843146</v>
      </c>
      <c r="M21" s="64">
        <f>IF(M10=0,0,M10/MBunk_act!M9*100)</f>
        <v>953.64489260919549</v>
      </c>
      <c r="N21" s="64">
        <f>IF(N10=0,0,N10/MBunk_act!N9*100)</f>
        <v>216.62757067859576</v>
      </c>
      <c r="O21" s="64">
        <f>IF(O10=0,0,O10/MBunk_act!O9*100)</f>
        <v>249.30122383226299</v>
      </c>
      <c r="P21" s="64">
        <f>IF(P10=0,0,P10/MBunk_act!P9*100)</f>
        <v>289.56418039887251</v>
      </c>
      <c r="Q21" s="64">
        <f>IF(Q10=0,0,Q10/MBunk_act!Q9*100)</f>
        <v>267.12349412585235</v>
      </c>
      <c r="R21" s="64">
        <f>IF(R10=0,0,R10/MBunk_act!R9*100)</f>
        <v>293.74621164612108</v>
      </c>
      <c r="S21" s="64">
        <f>IF(S10=0,0,S10/MBunk_act!S9*100)</f>
        <v>346.23506110184826</v>
      </c>
      <c r="T21" s="64">
        <f>IF(T10=0,0,T10/MBunk_act!T9*100)</f>
        <v>1006.8818738019868</v>
      </c>
      <c r="U21" s="64">
        <f>IF(U10=0,0,U10/MBunk_act!U9*100)</f>
        <v>1314.3110324642037</v>
      </c>
      <c r="V21" s="64">
        <f>IF(V10=0,0,V10/MBunk_act!V9*100)</f>
        <v>1147.2509103902287</v>
      </c>
      <c r="W21" s="64">
        <f>IF(W10=0,0,W10/MBunk_act!W9*100)</f>
        <v>1221.2055011971163</v>
      </c>
      <c r="X21" s="64">
        <f>IF(X10=0,0,X10/MBunk_act!X9*100)</f>
        <v>759.11375380568029</v>
      </c>
      <c r="Y21" s="64">
        <f>IF(Y10=0,0,Y10/MBunk_act!Y9*100)</f>
        <v>1006.5310668449927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0.59272511158018992</v>
      </c>
      <c r="C23" s="62">
        <f>IF(C3=0,0,C3/MBunk_act!C3*1000)</f>
        <v>0.59685642158742092</v>
      </c>
      <c r="D23" s="62">
        <f>IF(D3=0,0,D3/MBunk_act!D3*1000)</f>
        <v>0.59593903126317638</v>
      </c>
      <c r="E23" s="62">
        <f>IF(E3=0,0,E3/MBunk_act!E3*1000)</f>
        <v>0.59554199218903259</v>
      </c>
      <c r="F23" s="62">
        <f>IF(F3=0,0,F3/MBunk_act!F3*1000)</f>
        <v>0.5957595585349027</v>
      </c>
      <c r="G23" s="62">
        <f>IF(G3=0,0,G3/MBunk_act!G3*1000)</f>
        <v>0.60005501471728995</v>
      </c>
      <c r="H23" s="62">
        <f>IF(H3=0,0,H3/MBunk_act!H3*1000)</f>
        <v>0.55686080926717541</v>
      </c>
      <c r="I23" s="62">
        <f>IF(I3=0,0,I3/MBunk_act!I3*1000)</f>
        <v>0.47710420391459785</v>
      </c>
      <c r="J23" s="62">
        <f>IF(J3=0,0,J3/MBunk_act!J3*1000)</f>
        <v>0.38538645577784708</v>
      </c>
      <c r="K23" s="62">
        <f>IF(K3=0,0,K3/MBunk_act!K3*1000)</f>
        <v>0.1908790814499064</v>
      </c>
      <c r="L23" s="62">
        <f>IF(L3=0,0,L3/MBunk_act!L3*1000)</f>
        <v>0.17844666611301743</v>
      </c>
      <c r="M23" s="62">
        <f>IF(M3=0,0,M3/MBunk_act!M3*1000)</f>
        <v>0.68555069036524374</v>
      </c>
      <c r="N23" s="62">
        <f>IF(N3=0,0,N3/MBunk_act!N3*1000)</f>
        <v>0.13553136710830838</v>
      </c>
      <c r="O23" s="62">
        <f>IF(O3=0,0,O3/MBunk_act!O3*1000)</f>
        <v>0.14094417794096362</v>
      </c>
      <c r="P23" s="62">
        <f>IF(P3=0,0,P3/MBunk_act!P3*1000)</f>
        <v>0.1582060696536397</v>
      </c>
      <c r="Q23" s="62">
        <f>IF(Q3=0,0,Q3/MBunk_act!Q3*1000)</f>
        <v>0.12368891366489732</v>
      </c>
      <c r="R23" s="62">
        <f>IF(R3=0,0,R3/MBunk_act!R3*1000)</f>
        <v>0.13840111297925922</v>
      </c>
      <c r="S23" s="62">
        <f>IF(S3=0,0,S3/MBunk_act!S3*1000)</f>
        <v>0.17023280587548101</v>
      </c>
      <c r="T23" s="62">
        <f>IF(T3=0,0,T3/MBunk_act!T3*1000)</f>
        <v>0.4487335685650774</v>
      </c>
      <c r="U23" s="62">
        <f>IF(U3=0,0,U3/MBunk_act!U3*1000)</f>
        <v>0.56289453356031693</v>
      </c>
      <c r="V23" s="62">
        <f>IF(V3=0,0,V3/MBunk_act!V3*1000)</f>
        <v>0.50697020808743865</v>
      </c>
      <c r="W23" s="62">
        <f>IF(W3=0,0,W3/MBunk_act!W3*1000)</f>
        <v>0.5482868823253837</v>
      </c>
      <c r="X23" s="62">
        <f>IF(X3=0,0,X3/MBunk_act!X3*1000)</f>
        <v>0.39310054677094591</v>
      </c>
      <c r="Y23" s="62">
        <f>IF(Y3=0,0,Y3/MBunk_act!Y3*1000)</f>
        <v>0.43824282284384775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1.3235771628497628</v>
      </c>
      <c r="C24" s="63">
        <f>IF(C4=0,0,C4/MBunk_act!C4*1000)</f>
        <v>1.3505363806019035</v>
      </c>
      <c r="D24" s="63">
        <f>IF(D4=0,0,D4/MBunk_act!D4*1000)</f>
        <v>1.343773988867164</v>
      </c>
      <c r="E24" s="63">
        <f>IF(E4=0,0,E4/MBunk_act!E4*1000)</f>
        <v>1.3403313397475749</v>
      </c>
      <c r="F24" s="63">
        <f>IF(F4=0,0,F4/MBunk_act!F4*1000)</f>
        <v>1.3422830001119277</v>
      </c>
      <c r="G24" s="63">
        <f>IF(G4=0,0,G4/MBunk_act!G4*1000)</f>
        <v>1.3704399440501134</v>
      </c>
      <c r="H24" s="63">
        <f>IF(H4=0,0,H4/MBunk_act!H4*1000)</f>
        <v>1.2159094669201473</v>
      </c>
      <c r="I24" s="63">
        <f>IF(I4=0,0,I4/MBunk_act!I4*1000)</f>
        <v>1.1591783664634281</v>
      </c>
      <c r="J24" s="63">
        <f>IF(J4=0,0,J4/MBunk_act!J4*1000)</f>
        <v>1.039976809906396</v>
      </c>
      <c r="K24" s="63">
        <f>IF(K4=0,0,K4/MBunk_act!K4*1000)</f>
        <v>0.41707069103077998</v>
      </c>
      <c r="L24" s="63">
        <f>IF(L4=0,0,L4/MBunk_act!L4*1000)</f>
        <v>0.4421218150508533</v>
      </c>
      <c r="M24" s="63">
        <f>IF(M4=0,0,M4/MBunk_act!M4*1000)</f>
        <v>1.6352773139262853</v>
      </c>
      <c r="N24" s="63">
        <f>IF(N4=0,0,N4/MBunk_act!N4*1000)</f>
        <v>0.34226841942476438</v>
      </c>
      <c r="O24" s="63">
        <f>IF(O4=0,0,O4/MBunk_act!O4*1000)</f>
        <v>0.40409502859960106</v>
      </c>
      <c r="P24" s="63">
        <f>IF(P4=0,0,P4/MBunk_act!P4*1000)</f>
        <v>0.48200009459646859</v>
      </c>
      <c r="Q24" s="63">
        <f>IF(Q4=0,0,Q4/MBunk_act!Q4*1000)</f>
        <v>0.40559832802333901</v>
      </c>
      <c r="R24" s="63">
        <f>IF(R4=0,0,R4/MBunk_act!R4*1000)</f>
        <v>0.44785512273388672</v>
      </c>
      <c r="S24" s="63">
        <f>IF(S4=0,0,S4/MBunk_act!S4*1000)</f>
        <v>0.53293285971377391</v>
      </c>
      <c r="T24" s="63">
        <f>IF(T4=0,0,T4/MBunk_act!T4*1000)</f>
        <v>1.5042019965920204</v>
      </c>
      <c r="U24" s="63">
        <f>IF(U4=0,0,U4/MBunk_act!U4*1000)</f>
        <v>1.8926288148228323</v>
      </c>
      <c r="V24" s="63">
        <f>IF(V4=0,0,V4/MBunk_act!V4*1000)</f>
        <v>1.2808111915364437</v>
      </c>
      <c r="W24" s="63">
        <f>IF(W4=0,0,W4/MBunk_act!W4*1000)</f>
        <v>1.3430020735632886</v>
      </c>
      <c r="X24" s="63">
        <f>IF(X4=0,0,X4/MBunk_act!X4*1000)</f>
        <v>1.0441302811922135</v>
      </c>
      <c r="Y24" s="63">
        <f>IF(Y4=0,0,Y4/MBunk_act!Y4*1000)</f>
        <v>1.1396514931334747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0.39354667036238405</v>
      </c>
      <c r="C25" s="64">
        <f>IF(C10=0,0,C10/MBunk_act!C5*1000)</f>
        <v>0.39598624326441972</v>
      </c>
      <c r="D25" s="64">
        <f>IF(D10=0,0,D10/MBunk_act!D5*1000)</f>
        <v>0.39630435760386468</v>
      </c>
      <c r="E25" s="64">
        <f>IF(E10=0,0,E10/MBunk_act!E5*1000)</f>
        <v>0.39613389321289583</v>
      </c>
      <c r="F25" s="64">
        <f>IF(F10=0,0,F10/MBunk_act!F5*1000)</f>
        <v>0.39602223388423069</v>
      </c>
      <c r="G25" s="64">
        <f>IF(G10=0,0,G10/MBunk_act!G5*1000)</f>
        <v>0.39927788024766225</v>
      </c>
      <c r="H25" s="64">
        <f>IF(H10=0,0,H10/MBunk_act!H5*1000)</f>
        <v>0.36830758751627174</v>
      </c>
      <c r="I25" s="64">
        <f>IF(I10=0,0,I10/MBunk_act!I5*1000)</f>
        <v>0.32101267788723564</v>
      </c>
      <c r="J25" s="64">
        <f>IF(J10=0,0,J10/MBunk_act!J5*1000)</f>
        <v>0.26613328864985153</v>
      </c>
      <c r="K25" s="64">
        <f>IF(K10=0,0,K10/MBunk_act!K5*1000)</f>
        <v>0.12216627176806465</v>
      </c>
      <c r="L25" s="64">
        <f>IF(L10=0,0,L10/MBunk_act!L5*1000)</f>
        <v>0.11620334591806061</v>
      </c>
      <c r="M25" s="64">
        <f>IF(M10=0,0,M10/MBunk_act!M5*1000)</f>
        <v>0.43922277393974862</v>
      </c>
      <c r="N25" s="64">
        <f>IF(N10=0,0,N10/MBunk_act!N5*1000)</f>
        <v>8.7248508082575046E-2</v>
      </c>
      <c r="O25" s="64">
        <f>IF(O10=0,0,O10/MBunk_act!O5*1000)</f>
        <v>9.6396278497319132E-2</v>
      </c>
      <c r="P25" s="64">
        <f>IF(P10=0,0,P10/MBunk_act!P5*1000)</f>
        <v>0.10965933954652524</v>
      </c>
      <c r="Q25" s="64">
        <f>IF(Q10=0,0,Q10/MBunk_act!Q5*1000)</f>
        <v>8.8555778457553594E-2</v>
      </c>
      <c r="R25" s="64">
        <f>IF(R10=0,0,R10/MBunk_act!R5*1000)</f>
        <v>0.10147959627836191</v>
      </c>
      <c r="S25" s="64">
        <f>IF(S10=0,0,S10/MBunk_act!S5*1000)</f>
        <v>0.12419183725780582</v>
      </c>
      <c r="T25" s="64">
        <f>IF(T10=0,0,T10/MBunk_act!T5*1000)</f>
        <v>0.33317935918791741</v>
      </c>
      <c r="U25" s="64">
        <f>IF(U10=0,0,U10/MBunk_act!U5*1000)</f>
        <v>0.40592499419826916</v>
      </c>
      <c r="V25" s="64">
        <f>IF(V10=0,0,V10/MBunk_act!V5*1000)</f>
        <v>0.3693406291781256</v>
      </c>
      <c r="W25" s="64">
        <f>IF(W10=0,0,W10/MBunk_act!W5*1000)</f>
        <v>0.39059049390673439</v>
      </c>
      <c r="X25" s="64">
        <f>IF(X10=0,0,X10/MBunk_act!X5*1000)</f>
        <v>0.26613175901453967</v>
      </c>
      <c r="Y25" s="64">
        <f>IF(Y10=0,0,Y10/MBunk_act!Y5*1000)</f>
        <v>0.28778804919998918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0.47823469432278115</v>
      </c>
      <c r="C28" s="77">
        <f t="shared" si="6"/>
        <v>0.47616024995155865</v>
      </c>
      <c r="D28" s="77">
        <f t="shared" si="6"/>
        <v>0.47511098866959112</v>
      </c>
      <c r="E28" s="77">
        <f t="shared" si="6"/>
        <v>0.47531306795625927</v>
      </c>
      <c r="F28" s="77">
        <f t="shared" si="6"/>
        <v>0.47557768182299914</v>
      </c>
      <c r="G28" s="77">
        <f t="shared" si="6"/>
        <v>0.47216248861181481</v>
      </c>
      <c r="H28" s="77">
        <f t="shared" si="6"/>
        <v>0.48573190646871522</v>
      </c>
      <c r="I28" s="77">
        <f t="shared" si="6"/>
        <v>0.45246654376477929</v>
      </c>
      <c r="J28" s="77">
        <f t="shared" si="6"/>
        <v>0.4158569639736282</v>
      </c>
      <c r="K28" s="77">
        <f t="shared" si="6"/>
        <v>0.50910546825550718</v>
      </c>
      <c r="L28" s="77">
        <f t="shared" si="6"/>
        <v>0.47317009065276588</v>
      </c>
      <c r="M28" s="77">
        <f t="shared" si="6"/>
        <v>0.49126348956837246</v>
      </c>
      <c r="N28" s="77">
        <f t="shared" si="6"/>
        <v>0.47812989455006488</v>
      </c>
      <c r="O28" s="77">
        <f t="shared" si="6"/>
        <v>0.41508578916433753</v>
      </c>
      <c r="P28" s="77">
        <f t="shared" si="6"/>
        <v>0.39723123457247583</v>
      </c>
      <c r="Q28" s="77">
        <f t="shared" si="6"/>
        <v>0.36338310882204561</v>
      </c>
      <c r="R28" s="77">
        <f t="shared" si="6"/>
        <v>0.34492946742386005</v>
      </c>
      <c r="S28" s="77">
        <f t="shared" si="6"/>
        <v>0.35263504158745623</v>
      </c>
      <c r="T28" s="77">
        <f t="shared" si="6"/>
        <v>0.33077911542317989</v>
      </c>
      <c r="U28" s="77">
        <f t="shared" si="6"/>
        <v>0.35500080921706523</v>
      </c>
      <c r="V28" s="77">
        <f t="shared" si="6"/>
        <v>0.38148003081326293</v>
      </c>
      <c r="W28" s="77">
        <f t="shared" si="6"/>
        <v>0.40557007939344414</v>
      </c>
      <c r="X28" s="77">
        <f t="shared" ref="X28:Y28" si="8">IF(X4=0,0,X4/X$3)</f>
        <v>0.4334801792632153</v>
      </c>
      <c r="Y28" s="77">
        <f t="shared" si="8"/>
        <v>0.45929661151627771</v>
      </c>
      <c r="DA28" s="184"/>
    </row>
    <row r="29" spans="1:105" ht="11.45" customHeight="1" x14ac:dyDescent="0.25">
      <c r="A29" s="57" t="s">
        <v>167</v>
      </c>
      <c r="B29" s="78">
        <f>IF(B10=0,0,B10/B$3)</f>
        <v>0.52176530567721879</v>
      </c>
      <c r="C29" s="78">
        <f t="shared" ref="C29:W29" si="9">IF(C10=0,0,C10/C$3)</f>
        <v>0.52383975004844141</v>
      </c>
      <c r="D29" s="78">
        <f t="shared" si="9"/>
        <v>0.52488901133040888</v>
      </c>
      <c r="E29" s="78">
        <f t="shared" si="9"/>
        <v>0.52468693204374073</v>
      </c>
      <c r="F29" s="78">
        <f t="shared" si="9"/>
        <v>0.52442231817700091</v>
      </c>
      <c r="G29" s="78">
        <f t="shared" si="9"/>
        <v>0.52783751138818513</v>
      </c>
      <c r="H29" s="78">
        <f t="shared" si="9"/>
        <v>0.51426809353128489</v>
      </c>
      <c r="I29" s="78">
        <f t="shared" si="9"/>
        <v>0.54753345623522065</v>
      </c>
      <c r="J29" s="78">
        <f t="shared" si="9"/>
        <v>0.58414303602637174</v>
      </c>
      <c r="K29" s="78">
        <f t="shared" si="9"/>
        <v>0.49089453174449288</v>
      </c>
      <c r="L29" s="78">
        <f t="shared" si="9"/>
        <v>0.52682990934723417</v>
      </c>
      <c r="M29" s="78">
        <f t="shared" si="9"/>
        <v>0.5087365104316276</v>
      </c>
      <c r="N29" s="78">
        <f t="shared" si="9"/>
        <v>0.52187010544993506</v>
      </c>
      <c r="O29" s="78">
        <f t="shared" si="9"/>
        <v>0.58491421083566253</v>
      </c>
      <c r="P29" s="78">
        <f t="shared" si="9"/>
        <v>0.60276876542752422</v>
      </c>
      <c r="Q29" s="78">
        <f t="shared" si="9"/>
        <v>0.63661689117795439</v>
      </c>
      <c r="R29" s="78">
        <f t="shared" si="9"/>
        <v>0.6550705325761399</v>
      </c>
      <c r="S29" s="78">
        <f t="shared" si="9"/>
        <v>0.64736495841254371</v>
      </c>
      <c r="T29" s="78">
        <f t="shared" si="9"/>
        <v>0.66922088457682016</v>
      </c>
      <c r="U29" s="78">
        <f t="shared" si="9"/>
        <v>0.64499919078293477</v>
      </c>
      <c r="V29" s="78">
        <f t="shared" si="9"/>
        <v>0.61851996918673713</v>
      </c>
      <c r="W29" s="78">
        <f t="shared" si="9"/>
        <v>0.59442992060655586</v>
      </c>
      <c r="X29" s="78">
        <f t="shared" ref="X29:Y29" si="10">IF(X10=0,0,X10/X$3)</f>
        <v>0.56651982073678475</v>
      </c>
      <c r="Y29" s="78">
        <f t="shared" si="10"/>
        <v>0.54070338848372235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57.488234760000012</v>
      </c>
      <c r="C3" s="62">
        <f t="shared" ref="C3:W3" si="1">SUM(C4:C5)</f>
        <v>91.174145400000015</v>
      </c>
      <c r="D3" s="62">
        <f t="shared" si="1"/>
        <v>74.837944439999987</v>
      </c>
      <c r="E3" s="62">
        <f t="shared" si="1"/>
        <v>69.020260920000013</v>
      </c>
      <c r="F3" s="62">
        <f t="shared" si="1"/>
        <v>74.724395399999992</v>
      </c>
      <c r="G3" s="62">
        <f t="shared" si="1"/>
        <v>79.76531915999999</v>
      </c>
      <c r="H3" s="62">
        <f t="shared" si="1"/>
        <v>63.742309560000002</v>
      </c>
      <c r="I3" s="62">
        <f t="shared" si="1"/>
        <v>75.198438720000013</v>
      </c>
      <c r="J3" s="62">
        <f t="shared" si="1"/>
        <v>68.793150959999991</v>
      </c>
      <c r="K3" s="62">
        <f t="shared" si="1"/>
        <v>20.6756928</v>
      </c>
      <c r="L3" s="62">
        <f t="shared" si="1"/>
        <v>21.92650776</v>
      </c>
      <c r="M3" s="62">
        <f t="shared" si="1"/>
        <v>76.034288520000018</v>
      </c>
      <c r="N3" s="62">
        <f t="shared" si="1"/>
        <v>12.545813520000003</v>
      </c>
      <c r="O3" s="62">
        <f t="shared" si="1"/>
        <v>12.545813519999999</v>
      </c>
      <c r="P3" s="62">
        <f t="shared" si="1"/>
        <v>15.710654160000001</v>
      </c>
      <c r="Q3" s="62">
        <f t="shared" si="1"/>
        <v>12.583477439999999</v>
      </c>
      <c r="R3" s="62">
        <f t="shared" si="1"/>
        <v>14.184869039999999</v>
      </c>
      <c r="S3" s="62">
        <f t="shared" si="1"/>
        <v>20.156499</v>
      </c>
      <c r="T3" s="62">
        <f t="shared" si="1"/>
        <v>65.341258199999999</v>
      </c>
      <c r="U3" s="62">
        <f t="shared" si="1"/>
        <v>77.989136040000005</v>
      </c>
      <c r="V3" s="62">
        <f t="shared" si="1"/>
        <v>63.777809160000011</v>
      </c>
      <c r="W3" s="62">
        <f t="shared" si="1"/>
        <v>74.451535559999996</v>
      </c>
      <c r="X3" s="62">
        <f t="shared" ref="X3:Y3" si="2">SUM(X4:X5)</f>
        <v>59.436056880000024</v>
      </c>
      <c r="Y3" s="62">
        <f t="shared" si="2"/>
        <v>73.467672839999992</v>
      </c>
      <c r="DA3" s="172" t="s">
        <v>987</v>
      </c>
    </row>
    <row r="4" spans="1:105" ht="11.45" customHeight="1" x14ac:dyDescent="0.25">
      <c r="A4" s="55" t="s">
        <v>166</v>
      </c>
      <c r="B4" s="63">
        <v>27.127277026964123</v>
      </c>
      <c r="C4" s="63">
        <v>42.730790541880054</v>
      </c>
      <c r="D4" s="63">
        <v>34.978882927977189</v>
      </c>
      <c r="E4" s="63">
        <v>32.491359566001073</v>
      </c>
      <c r="F4" s="63">
        <v>35.11742750119204</v>
      </c>
      <c r="G4" s="63">
        <v>37.186839710291629</v>
      </c>
      <c r="H4" s="63">
        <v>30.597147393482054</v>
      </c>
      <c r="I4" s="63">
        <v>33.809782097301877</v>
      </c>
      <c r="J4" s="63">
        <v>28.608110900405084</v>
      </c>
      <c r="K4" s="63">
        <v>10.475174363302202</v>
      </c>
      <c r="L4" s="63">
        <v>10.322283055570434</v>
      </c>
      <c r="M4" s="63">
        <v>37.285738628876288</v>
      </c>
      <c r="N4" s="63">
        <v>5.9467456786031905</v>
      </c>
      <c r="O4" s="63">
        <v>5.1538806589118424</v>
      </c>
      <c r="P4" s="63">
        <v>6.1364091013023714</v>
      </c>
      <c r="Q4" s="63">
        <v>4.4757378548807809</v>
      </c>
      <c r="R4" s="63">
        <v>4.8238016944696671</v>
      </c>
      <c r="S4" s="63">
        <v>6.9856523424304671</v>
      </c>
      <c r="T4" s="63">
        <v>21.415075965526615</v>
      </c>
      <c r="U4" s="63">
        <v>27.459027200689448</v>
      </c>
      <c r="V4" s="63">
        <v>24.126524429173465</v>
      </c>
      <c r="W4" s="63">
        <v>29.958641734538798</v>
      </c>
      <c r="X4" s="63">
        <v>25.361915505282742</v>
      </c>
      <c r="Y4" s="63">
        <v>33.302572536817543</v>
      </c>
      <c r="DA4" s="181" t="s">
        <v>988</v>
      </c>
    </row>
    <row r="5" spans="1:105" ht="11.45" customHeight="1" x14ac:dyDescent="0.25">
      <c r="A5" s="57" t="s">
        <v>167</v>
      </c>
      <c r="B5" s="64">
        <v>30.360957733035889</v>
      </c>
      <c r="C5" s="64">
        <v>48.443354858119967</v>
      </c>
      <c r="D5" s="64">
        <v>39.859061512022798</v>
      </c>
      <c r="E5" s="64">
        <v>36.52890135399894</v>
      </c>
      <c r="F5" s="64">
        <v>39.606967898807952</v>
      </c>
      <c r="G5" s="64">
        <v>42.578479449708368</v>
      </c>
      <c r="H5" s="64">
        <v>33.145162166517949</v>
      </c>
      <c r="I5" s="64">
        <v>41.388656622698136</v>
      </c>
      <c r="J5" s="64">
        <v>40.185040059594911</v>
      </c>
      <c r="K5" s="64">
        <v>10.2005184366978</v>
      </c>
      <c r="L5" s="64">
        <v>11.604224704429567</v>
      </c>
      <c r="M5" s="64">
        <v>38.74854989112373</v>
      </c>
      <c r="N5" s="64">
        <v>6.5990678413968116</v>
      </c>
      <c r="O5" s="64">
        <v>7.3919328610881578</v>
      </c>
      <c r="P5" s="64">
        <v>9.5742450586976293</v>
      </c>
      <c r="Q5" s="64">
        <v>8.1077395851192176</v>
      </c>
      <c r="R5" s="64">
        <v>9.3610673455303317</v>
      </c>
      <c r="S5" s="64">
        <v>13.170846657569532</v>
      </c>
      <c r="T5" s="64">
        <v>43.92618223447338</v>
      </c>
      <c r="U5" s="64">
        <v>50.530108839310557</v>
      </c>
      <c r="V5" s="64">
        <v>39.651284730826546</v>
      </c>
      <c r="W5" s="64">
        <v>44.492893825461202</v>
      </c>
      <c r="X5" s="64">
        <v>34.074141374717279</v>
      </c>
      <c r="Y5" s="64">
        <v>40.165100303182449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3.1859074719991627</v>
      </c>
      <c r="C9" s="79">
        <f>IF(C3=0,0,C3/MBunk_ene!C3)</f>
        <v>3.1767423866178133</v>
      </c>
      <c r="D9" s="79">
        <f>IF(D3=0,0,D3/MBunk_ene!D3)</f>
        <v>3.1748123956753131</v>
      </c>
      <c r="E9" s="79">
        <f>IF(E3=0,0,E3/MBunk_ene!E3)</f>
        <v>3.201359319848927</v>
      </c>
      <c r="F9" s="79">
        <f>IF(F3=0,0,F3/MBunk_ene!F3)</f>
        <v>3.1924117760577766</v>
      </c>
      <c r="G9" s="79">
        <f>IF(G3=0,0,G3/MBunk_ene!G3)</f>
        <v>3.1898557584985845</v>
      </c>
      <c r="H9" s="79">
        <f>IF(H3=0,0,H3/MBunk_ene!H3)</f>
        <v>3.1911902135693473</v>
      </c>
      <c r="I9" s="79">
        <f>IF(I3=0,0,I3/MBunk_ene!I3)</f>
        <v>3.2164687102375877</v>
      </c>
      <c r="J9" s="79">
        <f>IF(J3=0,0,J3/MBunk_ene!J3)</f>
        <v>3.2405832000000006</v>
      </c>
      <c r="K9" s="79">
        <f>IF(K3=0,0,K3/MBunk_ene!K3)</f>
        <v>3.2186420097446065</v>
      </c>
      <c r="L9" s="79">
        <f>IF(L3=0,0,L3/MBunk_ene!L3)</f>
        <v>3.2198856680025765</v>
      </c>
      <c r="M9" s="79">
        <f>IF(M3=0,0,M3/MBunk_ene!M3)</f>
        <v>3.2327929086972742</v>
      </c>
      <c r="N9" s="79">
        <f>IF(N3=0,0,N3/MBunk_ene!N3)</f>
        <v>3.2045817407392772</v>
      </c>
      <c r="O9" s="79">
        <f>IF(O3=0,0,O3/MBunk_ene!O3)</f>
        <v>3.2045817407392763</v>
      </c>
      <c r="P9" s="79">
        <f>IF(P3=0,0,P3/MBunk_ene!P3)</f>
        <v>3.1834638536597266</v>
      </c>
      <c r="Q9" s="79">
        <f>IF(Q3=0,0,Q3/MBunk_ene!Q3)</f>
        <v>3.1695798888330593</v>
      </c>
      <c r="R9" s="79">
        <f>IF(R3=0,0,R3/MBunk_ene!R3)</f>
        <v>3.1467816296652367</v>
      </c>
      <c r="S9" s="79">
        <f>IF(S3=0,0,S3/MBunk_ene!S3)</f>
        <v>3.1567051799733372</v>
      </c>
      <c r="T9" s="79">
        <f>IF(T3=0,0,T3/MBunk_ene!T3)</f>
        <v>3.1311680622427325</v>
      </c>
      <c r="U9" s="79">
        <f>IF(U3=0,0,U3/MBunk_ene!U3)</f>
        <v>3.1280863164499686</v>
      </c>
      <c r="V9" s="79">
        <f>IF(V3=0,0,V3/MBunk_ene!V3)</f>
        <v>3.1285785651111007</v>
      </c>
      <c r="W9" s="79">
        <f>IF(W3=0,0,W3/MBunk_ene!W3)</f>
        <v>3.126927927552833</v>
      </c>
      <c r="X9" s="79">
        <f>IF(X3=0,0,X3/MBunk_ene!X3)</f>
        <v>3.1516472733151879</v>
      </c>
      <c r="Y9" s="79">
        <f>IF(Y3=0,0,Y3/MBunk_ene!Y3)</f>
        <v>3.1434905949736764</v>
      </c>
      <c r="DA9" s="172"/>
    </row>
    <row r="10" spans="1:105" ht="11.45" customHeight="1" x14ac:dyDescent="0.25">
      <c r="A10" s="55" t="s">
        <v>166</v>
      </c>
      <c r="B10" s="80">
        <f>IF(B4=0,0,B4/MBunk_ene!B4)</f>
        <v>3.143542295702991</v>
      </c>
      <c r="C10" s="80">
        <f>IF(C4=0,0,C4/MBunk_ene!C4)</f>
        <v>3.1267854803225208</v>
      </c>
      <c r="D10" s="80">
        <f>IF(D4=0,0,D4/MBunk_ene!D4)</f>
        <v>3.123252366482836</v>
      </c>
      <c r="E10" s="80">
        <f>IF(E4=0,0,E4/MBunk_ene!E4)</f>
        <v>3.1706328498617289</v>
      </c>
      <c r="F10" s="80">
        <f>IF(F4=0,0,F4/MBunk_ene!F4)</f>
        <v>3.1546975116681675</v>
      </c>
      <c r="G10" s="80">
        <f>IF(G4=0,0,G4/MBunk_ene!G4)</f>
        <v>3.1495951178743509</v>
      </c>
      <c r="H10" s="80">
        <f>IF(H4=0,0,H4/MBunk_ene!H4)</f>
        <v>3.1536188501686371</v>
      </c>
      <c r="I10" s="80">
        <f>IF(I4=0,0,I4/MBunk_ene!I4)</f>
        <v>3.1961445064934884</v>
      </c>
      <c r="J10" s="80">
        <f>IF(J4=0,0,J4/MBunk_ene!J4)</f>
        <v>3.2405832000000006</v>
      </c>
      <c r="K10" s="80">
        <f>IF(K4=0,0,K4/MBunk_ene!K4)</f>
        <v>3.2030675932709114</v>
      </c>
      <c r="L10" s="80">
        <f>IF(L4=0,0,L4/MBunk_ene!L4)</f>
        <v>3.2035349262272597</v>
      </c>
      <c r="M10" s="80">
        <f>IF(M4=0,0,M4/MBunk_ene!M4)</f>
        <v>3.2269828728272296</v>
      </c>
      <c r="N10" s="80">
        <f>IF(N4=0,0,N4/MBunk_ene!N4)</f>
        <v>3.1769179113186383</v>
      </c>
      <c r="O10" s="80">
        <f>IF(O4=0,0,O4/MBunk_ene!O4)</f>
        <v>3.171531423218577</v>
      </c>
      <c r="P10" s="80">
        <f>IF(P4=0,0,P4/MBunk_ene!P4)</f>
        <v>3.1302323097971096</v>
      </c>
      <c r="Q10" s="80">
        <f>IF(Q4=0,0,Q4/MBunk_ene!Q4)</f>
        <v>3.1024224435601013</v>
      </c>
      <c r="R10" s="80">
        <f>IF(R4=0,0,R4/MBunk_ene!R4)</f>
        <v>3.1024188000000001</v>
      </c>
      <c r="S10" s="80">
        <f>IF(S4=0,0,S4/MBunk_ene!S4)</f>
        <v>3.1024187999999997</v>
      </c>
      <c r="T10" s="80">
        <f>IF(T4=0,0,T4/MBunk_ene!T4)</f>
        <v>3.1024188000000001</v>
      </c>
      <c r="U10" s="80">
        <f>IF(U4=0,0,U4/MBunk_ene!U4)</f>
        <v>3.1024187999999997</v>
      </c>
      <c r="V10" s="80">
        <f>IF(V4=0,0,V4/MBunk_ene!V4)</f>
        <v>3.1024188000000001</v>
      </c>
      <c r="W10" s="80">
        <f>IF(W4=0,0,W4/MBunk_ene!W4)</f>
        <v>3.1024188000000001</v>
      </c>
      <c r="X10" s="80">
        <f>IF(X4=0,0,X4/MBunk_ene!X4)</f>
        <v>3.1024188000000001</v>
      </c>
      <c r="Y10" s="80">
        <f>IF(Y4=0,0,Y4/MBunk_ene!Y4)</f>
        <v>3.1024188000000001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3.224738143405407</v>
      </c>
      <c r="C11" s="81">
        <f>IF(C5=0,0,C5/MBunk_ene!C10)</f>
        <v>3.2221522528720894</v>
      </c>
      <c r="D11" s="81">
        <f>IF(D5=0,0,D5/MBunk_ene!D10)</f>
        <v>3.2214827124788226</v>
      </c>
      <c r="E11" s="81">
        <f>IF(E5=0,0,E5/MBunk_ene!E10)</f>
        <v>3.2291943807683849</v>
      </c>
      <c r="F11" s="81">
        <f>IF(F5=0,0,F5/MBunk_ene!F10)</f>
        <v>3.2266133380592175</v>
      </c>
      <c r="G11" s="81">
        <f>IF(G5=0,0,G5/MBunk_ene!G10)</f>
        <v>3.2258698042230924</v>
      </c>
      <c r="H11" s="81">
        <f>IF(H5=0,0,H5/MBunk_ene!H10)</f>
        <v>3.2266767821564484</v>
      </c>
      <c r="I11" s="81">
        <f>IF(I5=0,0,I5/MBunk_ene!I10)</f>
        <v>3.2332640715404293</v>
      </c>
      <c r="J11" s="81">
        <f>IF(J5=0,0,J5/MBunk_ene!J10)</f>
        <v>3.2405832000000006</v>
      </c>
      <c r="K11" s="81">
        <f>IF(K5=0,0,K5/MBunk_ene!K10)</f>
        <v>3.2347941973916541</v>
      </c>
      <c r="L11" s="81">
        <f>IF(L5=0,0,L5/MBunk_ene!L10)</f>
        <v>3.2345710186836958</v>
      </c>
      <c r="M11" s="81">
        <f>IF(M5=0,0,M5/MBunk_ene!M10)</f>
        <v>3.2384033935701089</v>
      </c>
      <c r="N11" s="81">
        <f>IF(N5=0,0,N5/MBunk_ene!N10)</f>
        <v>3.2299269438954097</v>
      </c>
      <c r="O11" s="81">
        <f>IF(O5=0,0,O5/MBunk_ene!O10)</f>
        <v>3.2280359787729394</v>
      </c>
      <c r="P11" s="81">
        <f>IF(P5=0,0,P5/MBunk_ene!P10)</f>
        <v>3.2185440255258788</v>
      </c>
      <c r="Q11" s="81">
        <f>IF(Q5=0,0,Q5/MBunk_ene!Q10)</f>
        <v>3.2079135893396202</v>
      </c>
      <c r="R11" s="81">
        <f>IF(R5=0,0,R5/MBunk_ene!R10)</f>
        <v>3.1701410183858201</v>
      </c>
      <c r="S11" s="81">
        <f>IF(S5=0,0,S5/MBunk_ene!S10)</f>
        <v>3.1862762582511497</v>
      </c>
      <c r="T11" s="81">
        <f>IF(T5=0,0,T5/MBunk_ene!T10)</f>
        <v>3.1453781022353331</v>
      </c>
      <c r="U11" s="81">
        <f>IF(U5=0,0,U5/MBunk_ene!U10)</f>
        <v>3.1422134490736093</v>
      </c>
      <c r="V11" s="81">
        <f>IF(V5=0,0,V5/MBunk_ene!V10)</f>
        <v>3.1447129318216396</v>
      </c>
      <c r="W11" s="81">
        <f>IF(W5=0,0,W5/MBunk_ene!W10)</f>
        <v>3.1436501154220502</v>
      </c>
      <c r="X11" s="81">
        <f>IF(X5=0,0,X5/MBunk_ene!X10)</f>
        <v>3.1893150947336308</v>
      </c>
      <c r="Y11" s="81">
        <f>IF(Y5=0,0,Y5/MBunk_ene!Y10)</f>
        <v>3.1783787363504135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1318.213685583198</v>
      </c>
      <c r="C13" s="62">
        <f>IF(C3=0,0,C3/MBunk_act!C7*100)</f>
        <v>1368.1311131312111</v>
      </c>
      <c r="D13" s="62">
        <f>IF(D3=0,0,D3/MBunk_act!D7*100)</f>
        <v>1393.2680524764883</v>
      </c>
      <c r="E13" s="62">
        <f>IF(E3=0,0,E3/MBunk_act!E7*100)</f>
        <v>1400.3373400305268</v>
      </c>
      <c r="F13" s="62">
        <f>IF(F3=0,0,F3/MBunk_act!F7*100)</f>
        <v>1412.2471098074716</v>
      </c>
      <c r="G13" s="62">
        <f>IF(G3=0,0,G3/MBunk_act!G7*100)</f>
        <v>1433.8221621840237</v>
      </c>
      <c r="H13" s="62">
        <f>IF(H3=0,0,H3/MBunk_act!H7*100)</f>
        <v>1326.4310965446202</v>
      </c>
      <c r="I13" s="62">
        <f>IF(I3=0,0,I3/MBunk_act!I7*100)</f>
        <v>1338.3274638506155</v>
      </c>
      <c r="J13" s="62">
        <f>IF(J3=0,0,J3/MBunk_act!J7*100)</f>
        <v>1290.0591228449834</v>
      </c>
      <c r="K13" s="62">
        <f>IF(K3=0,0,K3/MBunk_act!K7*100)</f>
        <v>546.35232003678334</v>
      </c>
      <c r="L13" s="62">
        <f>IF(L3=0,0,L3/MBunk_act!L7*100)</f>
        <v>619.86320015695514</v>
      </c>
      <c r="M13" s="62">
        <f>IF(M3=0,0,M3/MBunk_act!M7*100)</f>
        <v>2258.5211373535894</v>
      </c>
      <c r="N13" s="62">
        <f>IF(N3=0,0,N3/MBunk_act!N7*100)</f>
        <v>487.1263899383182</v>
      </c>
      <c r="O13" s="62">
        <f>IF(O3=0,0,O3/MBunk_act!O7*100)</f>
        <v>596.8455828203347</v>
      </c>
      <c r="P13" s="62">
        <f>IF(P3=0,0,P3/MBunk_act!P7*100)</f>
        <v>713.94572693326495</v>
      </c>
      <c r="Q13" s="62">
        <f>IF(Q3=0,0,Q3/MBunk_act!Q7*100)</f>
        <v>669.6637514009559</v>
      </c>
      <c r="R13" s="62">
        <f>IF(R3=0,0,R3/MBunk_act!R7*100)</f>
        <v>749.53548133462414</v>
      </c>
      <c r="S13" s="62">
        <f>IF(S3=0,0,S3/MBunk_act!S7*100)</f>
        <v>893.93693722860678</v>
      </c>
      <c r="T13" s="62">
        <f>IF(T3=0,0,T3/MBunk_act!T7*100)</f>
        <v>2596.5865995027079</v>
      </c>
      <c r="U13" s="62">
        <f>IF(U3=0,0,U3/MBunk_act!U7*100)</f>
        <v>3260.8120820718577</v>
      </c>
      <c r="V13" s="62">
        <f>IF(V3=0,0,V3/MBunk_act!V7*100)</f>
        <v>2629.1161389497274</v>
      </c>
      <c r="W13" s="62">
        <f>IF(W3=0,0,W3/MBunk_act!W7*100)</f>
        <v>2618.2168415566621</v>
      </c>
      <c r="X13" s="62">
        <f>IF(X3=0,0,X3/MBunk_act!X7*100)</f>
        <v>1790.5603397711229</v>
      </c>
      <c r="Y13" s="62">
        <f>IF(Y3=0,0,Y3/MBunk_act!Y7*100)</f>
        <v>2134.6177524351888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1242.3496929748276</v>
      </c>
      <c r="C14" s="63">
        <f>IF(C4=0,0,C4/MBunk_act!C8*100)</f>
        <v>1286.6685639195678</v>
      </c>
      <c r="D14" s="63">
        <f>IF(D4=0,0,D4/MBunk_act!D8*100)</f>
        <v>1315.0974446884679</v>
      </c>
      <c r="E14" s="63">
        <f>IF(E4=0,0,E4/MBunk_act!E8*100)</f>
        <v>1337.364311607296</v>
      </c>
      <c r="F14" s="63">
        <f>IF(F4=0,0,F4/MBunk_act!F8*100)</f>
        <v>1341.4980535466557</v>
      </c>
      <c r="G14" s="63">
        <f>IF(G4=0,0,G4/MBunk_act!G8*100)</f>
        <v>1364.6676889501191</v>
      </c>
      <c r="H14" s="63">
        <f>IF(H4=0,0,H4/MBunk_act!H8*100)</f>
        <v>1265.4090275699627</v>
      </c>
      <c r="I14" s="63">
        <f>IF(I4=0,0,I4/MBunk_act!I8*100)</f>
        <v>1243.050110106856</v>
      </c>
      <c r="J14" s="63">
        <f>IF(J4=0,0,J4/MBunk_act!J8*100)</f>
        <v>1156.5655255385027</v>
      </c>
      <c r="K14" s="63">
        <f>IF(K4=0,0,K4/MBunk_act!K8*100)</f>
        <v>458.97728695273958</v>
      </c>
      <c r="L14" s="63">
        <f>IF(L4=0,0,L4/MBunk_act!L8*100)</f>
        <v>494.9942338047735</v>
      </c>
      <c r="M14" s="63">
        <f>IF(M4=0,0,M4/MBunk_act!M8*100)</f>
        <v>1765.541936478508</v>
      </c>
      <c r="N14" s="63">
        <f>IF(N4=0,0,N4/MBunk_act!N8*100)</f>
        <v>364.30936797268146</v>
      </c>
      <c r="O14" s="63">
        <f>IF(O4=0,0,O4/MBunk_act!O8*100)</f>
        <v>435.48302716819995</v>
      </c>
      <c r="P14" s="63">
        <f>IF(P4=0,0,P4/MBunk_act!P8*100)</f>
        <v>523.03458321136577</v>
      </c>
      <c r="Q14" s="63">
        <f>IF(Q4=0,0,Q4/MBunk_act!Q8*100)</f>
        <v>479.75940466911499</v>
      </c>
      <c r="R14" s="63">
        <f>IF(R4=0,0,R4/MBunk_act!R8*100)</f>
        <v>543.6880669392358</v>
      </c>
      <c r="S14" s="63">
        <f>IF(S4=0,0,S4/MBunk_act!S8*100)</f>
        <v>658.44921577212961</v>
      </c>
      <c r="T14" s="63">
        <f>IF(T4=0,0,T4/MBunk_act!T8*100)</f>
        <v>1896.0740794822418</v>
      </c>
      <c r="U14" s="63">
        <f>IF(U4=0,0,U4/MBunk_act!U8*100)</f>
        <v>2350.5939355515056</v>
      </c>
      <c r="V14" s="63">
        <f>IF(V4=0,0,V4/MBunk_act!V8*100)</f>
        <v>1818.4323826458619</v>
      </c>
      <c r="W14" s="63">
        <f>IF(W4=0,0,W4/MBunk_act!W8*100)</f>
        <v>1778.3419316861832</v>
      </c>
      <c r="X14" s="63">
        <f>IF(X4=0,0,X4/MBunk_act!X8*100)</f>
        <v>1326.4593222117951</v>
      </c>
      <c r="Y14" s="63">
        <f>IF(Y4=0,0,Y4/MBunk_act!Y8*100)</f>
        <v>1523.2897835777135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1394.2874471262508</v>
      </c>
      <c r="C15" s="64">
        <f>IF(C5=0,0,C5/MBunk_act!C9*100)</f>
        <v>1449.0562151837046</v>
      </c>
      <c r="D15" s="64">
        <f>IF(D5=0,0,D5/MBunk_act!D9*100)</f>
        <v>1469.9451288213681</v>
      </c>
      <c r="E15" s="64">
        <f>IF(E5=0,0,E5/MBunk_act!E9*100)</f>
        <v>1461.5512576200181</v>
      </c>
      <c r="F15" s="64">
        <f>IF(F5=0,0,F5/MBunk_act!F9*100)</f>
        <v>1481.5243362576305</v>
      </c>
      <c r="G15" s="64">
        <f>IF(G5=0,0,G5/MBunk_act!G9*100)</f>
        <v>1500.218961207785</v>
      </c>
      <c r="H15" s="64">
        <f>IF(H5=0,0,H5/MBunk_act!H9*100)</f>
        <v>1388.2296197420385</v>
      </c>
      <c r="I15" s="64">
        <f>IF(I5=0,0,I5/MBunk_act!I9*100)</f>
        <v>1427.7208510823343</v>
      </c>
      <c r="J15" s="64">
        <f>IF(J5=0,0,J5/MBunk_act!J9*100)</f>
        <v>1405.5539370369447</v>
      </c>
      <c r="K15" s="64">
        <f>IF(K5=0,0,K5/MBunk_act!K9*100)</f>
        <v>679.11594494499104</v>
      </c>
      <c r="L15" s="64">
        <f>IF(L5=0,0,L5/MBunk_act!L9*100)</f>
        <v>799.2000374956657</v>
      </c>
      <c r="M15" s="64">
        <f>IF(M5=0,0,M5/MBunk_act!M9*100)</f>
        <v>3088.2868564864207</v>
      </c>
      <c r="N15" s="64">
        <f>IF(N5=0,0,N5/MBunk_act!N9*100)</f>
        <v>699.69122732540359</v>
      </c>
      <c r="O15" s="64">
        <f>IF(O5=0,0,O5/MBunk_act!O9*100)</f>
        <v>804.7533200826706</v>
      </c>
      <c r="P15" s="64">
        <f>IF(P5=0,0,P5/MBunk_act!P9*100)</f>
        <v>931.97506282908898</v>
      </c>
      <c r="Q15" s="64">
        <f>IF(Q5=0,0,Q5/MBunk_act!Q9*100)</f>
        <v>856.90908683820396</v>
      </c>
      <c r="R15" s="64">
        <f>IF(R5=0,0,R5/MBunk_act!R9*100)</f>
        <v>931.21691453481094</v>
      </c>
      <c r="S15" s="64">
        <f>IF(S5=0,0,S5/MBunk_act!S9*100)</f>
        <v>1103.2005549629555</v>
      </c>
      <c r="T15" s="64">
        <f>IF(T5=0,0,T5/MBunk_act!T9*100)</f>
        <v>3167.0241973944494</v>
      </c>
      <c r="U15" s="64">
        <f>IF(U5=0,0,U5/MBunk_act!U9*100)</f>
        <v>4129.8458024748425</v>
      </c>
      <c r="V15" s="64">
        <f>IF(V5=0,0,V5/MBunk_act!V9*100)</f>
        <v>3607.7747739483016</v>
      </c>
      <c r="W15" s="64">
        <f>IF(W5=0,0,W5/MBunk_act!W9*100)</f>
        <v>3839.0428147923571</v>
      </c>
      <c r="X15" s="64">
        <f>IF(X5=0,0,X5/MBunk_act!X9*100)</f>
        <v>2421.0529536323656</v>
      </c>
      <c r="Y15" s="64">
        <f>IF(Y5=0,0,Y5/MBunk_act!Y9*100)</f>
        <v>3199.136940336221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1.8883673618248644</v>
      </c>
      <c r="C17" s="62">
        <f>IF(C3=0,0,C3/MBunk_act!C3*1000)</f>
        <v>1.8960590931817911</v>
      </c>
      <c r="D17" s="62">
        <f>IF(D3=0,0,D3/MBunk_act!D3*1000)</f>
        <v>1.8919946235210703</v>
      </c>
      <c r="E17" s="62">
        <f>IF(E3=0,0,E3/MBunk_act!E3*1000)</f>
        <v>1.9065439070557562</v>
      </c>
      <c r="F17" s="62">
        <f>IF(F3=0,0,F3/MBunk_act!F3*1000)</f>
        <v>1.9019098303658057</v>
      </c>
      <c r="G17" s="62">
        <f>IF(G3=0,0,G3/MBunk_act!G3*1000)</f>
        <v>1.9140889441119002</v>
      </c>
      <c r="H17" s="62">
        <f>IF(H3=0,0,H3/MBunk_act!H3*1000)</f>
        <v>1.777048764853717</v>
      </c>
      <c r="I17" s="62">
        <f>IF(I3=0,0,I3/MBunk_act!I3*1000)</f>
        <v>1.5345907434141177</v>
      </c>
      <c r="J17" s="62">
        <f>IF(J3=0,0,J3/MBunk_act!J3*1000)</f>
        <v>1.2488768741012344</v>
      </c>
      <c r="K17" s="62">
        <f>IF(K3=0,0,K3/MBunk_act!K3*1000)</f>
        <v>0.61437143033613117</v>
      </c>
      <c r="L17" s="62">
        <f>IF(L3=0,0,L3/MBunk_act!L3*1000)</f>
        <v>0.57457786272014588</v>
      </c>
      <c r="M17" s="62">
        <f>IF(M3=0,0,M3/MBunk_act!M3*1000)</f>
        <v>2.2162434103652808</v>
      </c>
      <c r="N17" s="62">
        <f>IF(N3=0,0,N3/MBunk_act!N3*1000)</f>
        <v>0.4343213443327168</v>
      </c>
      <c r="O17" s="62">
        <f>IF(O3=0,0,O3/MBunk_act!O3*1000)</f>
        <v>0.45166713909311951</v>
      </c>
      <c r="P17" s="62">
        <f>IF(P3=0,0,P3/MBunk_act!P3*1000)</f>
        <v>0.50364330417193492</v>
      </c>
      <c r="Q17" s="62">
        <f>IF(Q3=0,0,Q3/MBunk_act!Q3*1000)</f>
        <v>0.39204189322386707</v>
      </c>
      <c r="R17" s="62">
        <f>IF(R3=0,0,R3/MBunk_act!R3*1000)</f>
        <v>0.43551807984835583</v>
      </c>
      <c r="S17" s="62">
        <f>IF(S3=0,0,S3/MBunk_act!S3*1000)</f>
        <v>0.53737478010852646</v>
      </c>
      <c r="T17" s="62">
        <f>IF(T3=0,0,T3/MBunk_act!T3*1000)</f>
        <v>1.4050602183471799</v>
      </c>
      <c r="U17" s="62">
        <f>IF(U3=0,0,U3/MBunk_act!U3*1000)</f>
        <v>1.760782688034515</v>
      </c>
      <c r="V17" s="62">
        <f>IF(V3=0,0,V3/MBunk_act!V3*1000)</f>
        <v>1.5860961261722752</v>
      </c>
      <c r="W17" s="62">
        <f>IF(W3=0,0,W3/MBunk_act!W3*1000)</f>
        <v>1.7144535646541161</v>
      </c>
      <c r="X17" s="62">
        <f>IF(X3=0,0,X3/MBunk_act!X3*1000)</f>
        <v>1.2389142663693611</v>
      </c>
      <c r="Y17" s="62">
        <f>IF(Y3=0,0,Y3/MBunk_act!Y3*1000)</f>
        <v>1.3776121919243505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4.1607207930447947</v>
      </c>
      <c r="C18" s="63">
        <f>IF(C4=0,0,C4/MBunk_act!C4*1000)</f>
        <v>4.2228375455133618</v>
      </c>
      <c r="D18" s="63">
        <f>IF(D4=0,0,D4/MBunk_act!D4*1000)</f>
        <v>4.1969452907474505</v>
      </c>
      <c r="E18" s="63">
        <f>IF(E4=0,0,E4/MBunk_act!E4*1000)</f>
        <v>4.2496985755028422</v>
      </c>
      <c r="F18" s="63">
        <f>IF(F4=0,0,F4/MBunk_act!F4*1000)</f>
        <v>4.2344968404075809</v>
      </c>
      <c r="G18" s="63">
        <f>IF(G4=0,0,G4/MBunk_act!G4*1000)</f>
        <v>4.3163309571202353</v>
      </c>
      <c r="H18" s="63">
        <f>IF(H4=0,0,H4/MBunk_act!H4*1000)</f>
        <v>3.8345150149778759</v>
      </c>
      <c r="I18" s="63">
        <f>IF(I4=0,0,I4/MBunk_act!I4*1000)</f>
        <v>3.7049015680181809</v>
      </c>
      <c r="J18" s="63">
        <f>IF(J4=0,0,J4/MBunk_act!J4*1000)</f>
        <v>3.3701313785722609</v>
      </c>
      <c r="K18" s="63">
        <f>IF(K4=0,0,K4/MBunk_act!K4*1000)</f>
        <v>1.3359056145437964</v>
      </c>
      <c r="L18" s="63">
        <f>IF(L4=0,0,L4/MBunk_act!L4*1000)</f>
        <v>1.4163526761623975</v>
      </c>
      <c r="M18" s="63">
        <f>IF(M4=0,0,M4/MBunk_act!M4*1000)</f>
        <v>5.2770118843630396</v>
      </c>
      <c r="N18" s="63">
        <f>IF(N4=0,0,N4/MBunk_act!N4*1000)</f>
        <v>1.0873586721492541</v>
      </c>
      <c r="O18" s="63">
        <f>IF(O4=0,0,O4/MBunk_act!O4*1000)</f>
        <v>1.2816000811700443</v>
      </c>
      <c r="P18" s="63">
        <f>IF(P4=0,0,P4/MBunk_act!P4*1000)</f>
        <v>1.5087722694311294</v>
      </c>
      <c r="Q18" s="63">
        <f>IF(Q4=0,0,Q4/MBunk_act!Q4*1000)</f>
        <v>1.258337355930059</v>
      </c>
      <c r="R18" s="63">
        <f>IF(R4=0,0,R4/MBunk_act!R4*1000)</f>
        <v>1.3894341524459175</v>
      </c>
      <c r="S18" s="63">
        <f>IF(S4=0,0,S4/MBunk_act!S4*1000)</f>
        <v>1.6533809231137746</v>
      </c>
      <c r="T18" s="63">
        <f>IF(T4=0,0,T4/MBunk_act!T4*1000)</f>
        <v>4.6666645532246198</v>
      </c>
      <c r="U18" s="63">
        <f>IF(U4=0,0,U4/MBunk_act!U4*1000)</f>
        <v>5.8717272165280736</v>
      </c>
      <c r="V18" s="63">
        <f>IF(V4=0,0,V4/MBunk_act!V4*1000)</f>
        <v>3.9736127198730635</v>
      </c>
      <c r="W18" s="63">
        <f>IF(W4=0,0,W4/MBunk_act!W4*1000)</f>
        <v>4.1665548814617299</v>
      </c>
      <c r="X18" s="63">
        <f>IF(X4=0,0,X4/MBunk_act!X4*1000)</f>
        <v>3.2393294140200095</v>
      </c>
      <c r="Y18" s="63">
        <f>IF(Y4=0,0,Y4/MBunk_act!Y4*1000)</f>
        <v>3.5356762177453627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1.269084959127774</v>
      </c>
      <c r="C19" s="64">
        <f>IF(C5=0,0,C5/MBunk_act!C5*1000)</f>
        <v>1.2759279658408049</v>
      </c>
      <c r="D19" s="64">
        <f>IF(D5=0,0,D5/MBunk_act!D5*1000)</f>
        <v>1.2766876369008753</v>
      </c>
      <c r="E19" s="64">
        <f>IF(E5=0,0,E5/MBunk_act!E5*1000)</f>
        <v>1.2791933419949866</v>
      </c>
      <c r="F19" s="64">
        <f>IF(F5=0,0,F5/MBunk_act!F5*1000)</f>
        <v>1.2778106220188659</v>
      </c>
      <c r="G19" s="64">
        <f>IF(G5=0,0,G5/MBunk_act!G5*1000)</f>
        <v>1.2880184573851376</v>
      </c>
      <c r="H19" s="64">
        <f>IF(H5=0,0,H5/MBunk_act!H5*1000)</f>
        <v>1.1884095413308082</v>
      </c>
      <c r="I19" s="64">
        <f>IF(I5=0,0,I5/MBunk_act!I5*1000)</f>
        <v>1.0379187579217797</v>
      </c>
      <c r="J19" s="64">
        <f>IF(J5=0,0,J5/MBunk_act!J5*1000)</f>
        <v>0.86242706415945969</v>
      </c>
      <c r="K19" s="64">
        <f>IF(K5=0,0,K5/MBunk_act!K5*1000)</f>
        <v>0.39518274703230738</v>
      </c>
      <c r="L19" s="64">
        <f>IF(L5=0,0,L5/MBunk_act!L5*1000)</f>
        <v>0.37586797498063523</v>
      </c>
      <c r="M19" s="64">
        <f>IF(M5=0,0,M5/MBunk_act!M5*1000)</f>
        <v>1.4223805216597587</v>
      </c>
      <c r="N19" s="64">
        <f>IF(N5=0,0,N5/MBunk_act!N5*1000)</f>
        <v>0.28180630707058557</v>
      </c>
      <c r="O19" s="64">
        <f>IF(O5=0,0,O5/MBunk_act!O5*1000)</f>
        <v>0.31117065520916243</v>
      </c>
      <c r="P19" s="64">
        <f>IF(P5=0,0,P5/MBunk_act!P5*1000)</f>
        <v>0.35294341214058256</v>
      </c>
      <c r="Q19" s="64">
        <f>IF(Q5=0,0,Q5/MBunk_act!Q5*1000)</f>
        <v>0.28407928512853498</v>
      </c>
      <c r="R19" s="64">
        <f>IF(R5=0,0,R5/MBunk_act!R5*1000)</f>
        <v>0.32170463069126809</v>
      </c>
      <c r="S19" s="64">
        <f>IF(S5=0,0,S5/MBunk_act!S5*1000)</f>
        <v>0.39570950252313725</v>
      </c>
      <c r="T19" s="64">
        <f>IF(T5=0,0,T5/MBunk_act!T5*1000)</f>
        <v>1.0479750605064762</v>
      </c>
      <c r="U19" s="64">
        <f>IF(U5=0,0,U5/MBunk_act!U5*1000)</f>
        <v>1.2755029760849284</v>
      </c>
      <c r="V19" s="64">
        <f>IF(V5=0,0,V5/MBunk_act!V5*1000)</f>
        <v>1.1614702528235925</v>
      </c>
      <c r="W19" s="64">
        <f>IF(W5=0,0,W5/MBunk_act!W5*1000)</f>
        <v>1.227879851252661</v>
      </c>
      <c r="X19" s="64">
        <f>IF(X5=0,0,X5/MBunk_act!X5*1000)</f>
        <v>0.84877803621308445</v>
      </c>
      <c r="Y19" s="64">
        <f>IF(Y5=0,0,Y5/MBunk_act!Y5*1000)</f>
        <v>0.9146994161530122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0.47187528265938561</v>
      </c>
      <c r="C22" s="77">
        <f t="shared" si="3"/>
        <v>0.46867223547214126</v>
      </c>
      <c r="D22" s="77">
        <f t="shared" si="3"/>
        <v>0.46739502520704451</v>
      </c>
      <c r="E22" s="77">
        <f t="shared" si="3"/>
        <v>0.47075103937467216</v>
      </c>
      <c r="F22" s="77">
        <f t="shared" si="3"/>
        <v>0.46995933942601087</v>
      </c>
      <c r="G22" s="77">
        <f t="shared" si="3"/>
        <v>0.46620310809136406</v>
      </c>
      <c r="H22" s="77">
        <f t="shared" si="3"/>
        <v>0.4800131593079674</v>
      </c>
      <c r="I22" s="77">
        <f t="shared" si="3"/>
        <v>0.44960750080453094</v>
      </c>
      <c r="J22" s="77">
        <f t="shared" si="3"/>
        <v>0.4158569639736282</v>
      </c>
      <c r="K22" s="77">
        <f t="shared" si="3"/>
        <v>0.50664200056707176</v>
      </c>
      <c r="L22" s="77">
        <f t="shared" si="3"/>
        <v>0.47076730907423053</v>
      </c>
      <c r="M22" s="77">
        <f t="shared" si="3"/>
        <v>0.49038058163809434</v>
      </c>
      <c r="N22" s="77">
        <f t="shared" si="3"/>
        <v>0.47400239682529482</v>
      </c>
      <c r="O22" s="77">
        <f t="shared" si="3"/>
        <v>0.41080481952770509</v>
      </c>
      <c r="P22" s="77">
        <f t="shared" si="3"/>
        <v>0.39058902568970882</v>
      </c>
      <c r="Q22" s="77">
        <f t="shared" si="3"/>
        <v>0.35568370319109349</v>
      </c>
      <c r="R22" s="77">
        <f t="shared" si="3"/>
        <v>0.34006670635217001</v>
      </c>
      <c r="S22" s="77">
        <f t="shared" si="3"/>
        <v>0.34657071857719274</v>
      </c>
      <c r="T22" s="77">
        <f t="shared" si="3"/>
        <v>0.32774202020992943</v>
      </c>
      <c r="U22" s="77">
        <f t="shared" si="3"/>
        <v>0.35208784960261558</v>
      </c>
      <c r="V22" s="77">
        <f t="shared" si="3"/>
        <v>0.37829026658233145</v>
      </c>
      <c r="W22" s="77">
        <f t="shared" si="3"/>
        <v>0.40239118655108636</v>
      </c>
      <c r="X22" s="77">
        <f t="shared" ref="X22:Y22" si="5">IF(X4=0,0,X4/X$3)</f>
        <v>0.42670925422404521</v>
      </c>
      <c r="Y22" s="77">
        <f t="shared" si="5"/>
        <v>0.45329559586493018</v>
      </c>
      <c r="DA22" s="184"/>
    </row>
    <row r="23" spans="1:105" ht="11.45" customHeight="1" x14ac:dyDescent="0.25">
      <c r="A23" s="57" t="s">
        <v>167</v>
      </c>
      <c r="B23" s="78">
        <f t="shared" si="3"/>
        <v>0.52812471734061439</v>
      </c>
      <c r="C23" s="78">
        <f t="shared" si="3"/>
        <v>0.53132776452785879</v>
      </c>
      <c r="D23" s="78">
        <f t="shared" si="3"/>
        <v>0.53260497479295554</v>
      </c>
      <c r="E23" s="78">
        <f t="shared" si="3"/>
        <v>0.52924896062532778</v>
      </c>
      <c r="F23" s="78">
        <f t="shared" si="3"/>
        <v>0.53004066057398913</v>
      </c>
      <c r="G23" s="78">
        <f t="shared" si="3"/>
        <v>0.533796891908636</v>
      </c>
      <c r="H23" s="78">
        <f t="shared" si="3"/>
        <v>0.5199868406920326</v>
      </c>
      <c r="I23" s="78">
        <f t="shared" si="3"/>
        <v>0.55039249919546906</v>
      </c>
      <c r="J23" s="78">
        <f t="shared" si="3"/>
        <v>0.58414303602637185</v>
      </c>
      <c r="K23" s="78">
        <f t="shared" si="3"/>
        <v>0.49335799943292835</v>
      </c>
      <c r="L23" s="78">
        <f t="shared" si="3"/>
        <v>0.52923269092576952</v>
      </c>
      <c r="M23" s="78">
        <f t="shared" si="3"/>
        <v>0.50961941836190561</v>
      </c>
      <c r="N23" s="78">
        <f t="shared" si="3"/>
        <v>0.52599760317470512</v>
      </c>
      <c r="O23" s="78">
        <f t="shared" si="3"/>
        <v>0.58919518047229502</v>
      </c>
      <c r="P23" s="78">
        <f t="shared" si="3"/>
        <v>0.60941097431029112</v>
      </c>
      <c r="Q23" s="78">
        <f t="shared" si="3"/>
        <v>0.64431629680890645</v>
      </c>
      <c r="R23" s="78">
        <f t="shared" si="3"/>
        <v>0.65993329364783004</v>
      </c>
      <c r="S23" s="78">
        <f t="shared" si="3"/>
        <v>0.65342928142280721</v>
      </c>
      <c r="T23" s="78">
        <f t="shared" si="3"/>
        <v>0.67225797979007051</v>
      </c>
      <c r="U23" s="78">
        <f t="shared" si="3"/>
        <v>0.64791215039738448</v>
      </c>
      <c r="V23" s="78">
        <f t="shared" si="3"/>
        <v>0.62170973341766855</v>
      </c>
      <c r="W23" s="78">
        <f t="shared" si="3"/>
        <v>0.5976088134489137</v>
      </c>
      <c r="X23" s="78">
        <f t="shared" ref="X23:Y23" si="6">IF(X5=0,0,X5/X$3)</f>
        <v>0.57329074577595474</v>
      </c>
      <c r="Y23" s="78">
        <f t="shared" si="6"/>
        <v>0.54670440413506982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2025-11-06T10:24:56Z</dcterms:created>
  <dcterms:modified xsi:type="dcterms:W3CDTF">2025-11-06T10:24:56Z</dcterms:modified>
</cp:coreProperties>
</file>