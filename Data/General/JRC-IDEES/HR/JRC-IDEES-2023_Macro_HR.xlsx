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R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14" i="59" l="1"/>
  <c r="AA113" i="59"/>
  <c r="AA110" i="59"/>
  <c r="AA74" i="59"/>
  <c r="AA106" i="59"/>
  <c r="AA105" i="59"/>
  <c r="AA70" i="59"/>
  <c r="AA102" i="59"/>
  <c r="AA101" i="59"/>
  <c r="AA66" i="59"/>
  <c r="AA98" i="59"/>
  <c r="AA97" i="59"/>
  <c r="AA5" i="59"/>
  <c r="Z115" i="59"/>
  <c r="Z111" i="59"/>
  <c r="Z107" i="59"/>
  <c r="Z103" i="59"/>
  <c r="Z99" i="59"/>
  <c r="F75" i="57"/>
  <c r="Y75" i="57"/>
  <c r="Q75" i="57"/>
  <c r="S54" i="57"/>
  <c r="L54" i="57"/>
  <c r="J54" i="57"/>
  <c r="U39" i="57"/>
  <c r="H39" i="57"/>
  <c r="S16" i="57"/>
  <c r="K75" i="57"/>
  <c r="T75" i="57"/>
  <c r="D75" i="57"/>
  <c r="U75" i="57"/>
  <c r="O75" i="57"/>
  <c r="J75" i="57"/>
  <c r="P54" i="57"/>
  <c r="R54" i="57"/>
  <c r="Q54" i="57"/>
  <c r="I54" i="57"/>
  <c r="O39" i="57"/>
  <c r="I39" i="57"/>
  <c r="E39" i="57"/>
  <c r="Y16" i="57"/>
  <c r="O16" i="57"/>
  <c r="M16" i="57"/>
  <c r="G16" i="57"/>
  <c r="AA89" i="59" l="1"/>
  <c r="AA80" i="59"/>
  <c r="Z54" i="55"/>
  <c r="AA79" i="59"/>
  <c r="AA81" i="59"/>
  <c r="AA82" i="59"/>
  <c r="AA84" i="59"/>
  <c r="AA88" i="59"/>
  <c r="AA93" i="59"/>
  <c r="AA109" i="59"/>
  <c r="AA117" i="59"/>
  <c r="AA121" i="59"/>
  <c r="E16" i="57"/>
  <c r="Q39" i="57"/>
  <c r="K54" i="57"/>
  <c r="E75" i="57"/>
  <c r="AA94" i="59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F16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78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AA12" i="59"/>
  <c r="AA13" i="59" s="1"/>
  <c r="Z12" i="59"/>
  <c r="Z13" i="59" s="1"/>
  <c r="AA96" i="59"/>
  <c r="Z10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7" i="4"/>
  <c r="B4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<sst xmlns="http://schemas.openxmlformats.org/spreadsheetml/2006/main" count="722" uniqueCount="281">
  <si>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</si>
  <si>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</si>
  <si>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</si>
  <si>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</si>
  <si>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</si>
  <si>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</si>
  <si>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</si>
  <si>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</si>
  <si>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</si>
  <si>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</si>
  <si>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</si>
  <si>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</si>
  <si>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</si>
  <si>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</si>
  <si>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</si>
  <si>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</si>
  <si>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</si>
  <si>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</si>
  <si>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</si>
  <si>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</si>
  <si>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</si>
  <si>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</si>
  <si>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</si>
  <si>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</si>
  <si>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</si>
  <si>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</si>
  <si>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</si>
  <si>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</si>
  <si>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</si>
  <si>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</si>
  <si>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</si>
  <si>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</si>
  <si>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</si>
  <si>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</si>
  <si>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</si>
  <si>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</si>
  <si>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</si>
  <si>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</si>
  <si>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</si>
  <si>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</si>
  <si>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</si>
  <si>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</si>
  <si>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</si>
  <si>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</si>
  <si>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</si>
  <si>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</si>
  <si>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</si>
  <si>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</si>
  <si>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</si>
  <si>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</si>
  <si>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</si>
  <si>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</si>
  <si>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</si>
  <si>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</si>
  <si>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</si>
  <si>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</si>
  <si>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</si>
  <si>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</si>
  <si>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</si>
  <si>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</si>
  <si>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</si>
  <si>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</si>
  <si>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</si>
  <si>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</si>
  <si>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</si>
  <si>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</si>
  <si>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</si>
  <si>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</si>
  <si>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</si>
  <si>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</si>
  <si>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</si>
  <si>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</si>
  <si>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</si>
  <si>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</si>
  <si>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</si>
  <si>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</si>
  <si>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</si>
  <si>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</si>
  <si>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</si>
  <si>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</si>
  <si>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</si>
  <si>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</si>
  <si>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</si>
  <si>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</si>
  <si>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</si>
  <si>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</si>
  <si>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</si>
  <si>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</si>
  <si>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</si>
  <si>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</si>
  <si>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</si>
  <si>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</si>
  <si>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</si>
  <si>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</si>
  <si>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</si>
  <si>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</si>
  <si>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</si>
  <si>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</si>
  <si>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</si>
  <si>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</si>
  <si>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</si>
  <si>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</si>
  <si>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</si>
  <si>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</si>
  <si>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</si>
  <si>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</si>
  <si>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</si>
  <si>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</si>
  <si>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</si>
  <si>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</si>
  <si>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</si>
  <si>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</si>
  <si>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</si>
  <si>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</si>
  <si>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</si>
  <si>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</si>
  <si>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</si>
  <si>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</si>
  <si>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</si>
  <si>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</si>
  <si>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</si>
  <si>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</si>
  <si>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</si>
  <si>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</si>
  <si>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</si>
  <si>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</si>
  <si>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</si>
  <si>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</si>
  <si>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</si>
  <si>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</si>
  <si>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</si>
  <si>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</si>
  <si>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</si>
  <si>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</si>
  <si>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</si>
  <si>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</si>
  <si>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</si>
  <si>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</si>
  <si>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</si>
  <si>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</si>
  <si>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</si>
  <si>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</si>
  <si>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</si>
  <si>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</si>
  <si>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</si>
  <si>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</si>
  <si>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</si>
  <si>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</si>
  <si>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</si>
  <si>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</si>
  <si>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</si>
  <si>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</si>
  <si>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</si>
  <si>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</si>
  <si>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</si>
  <si>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</si>
  <si>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</si>
  <si>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</si>
  <si>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</si>
  <si>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</si>
  <si>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</si>
  <si>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</si>
  <si>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</si>
  <si>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</si>
  <si>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</si>
  <si>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</si>
  <si>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</si>
  <si>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</si>
  <si>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</si>
  <si>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</si>
  <si>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</si>
  <si>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</si>
  <si>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</si>
  <si>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</si>
  <si>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</si>
  <si>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</si>
  <si>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</si>
  <si>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</si>
  <si>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</si>
  <si>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</si>
  <si>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</si>
  <si>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</si>
  <si>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</si>
  <si>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</si>
  <si>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</si>
  <si>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</si>
  <si>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</si>
  <si>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</si>
  <si>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</si>
  <si>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</si>
  <si>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</si>
  <si>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</si>
  <si>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</si>
  <si>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</si>
  <si>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</si>
  <si>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</si>
  <si>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</si>
  <si>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</si>
  <si>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</si>
  <si>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</si>
  <si>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</si>
  <si>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</si>
  <si>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</si>
  <si>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</si>
  <si>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</si>
  <si>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</si>
  <si>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</si>
  <si>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</si>
  <si>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</si>
  <si>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</si>
  <si>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</si>
  <si>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</si>
  <si>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</si>
  <si>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</si>
  <si>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</si>
  <si>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</si>
  <si>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</si>
  <si>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</si>
  <si>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</si>
  <si>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</si>
  <si>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</si>
  <si>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</si>
  <si>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</si>
  <si>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</si>
  <si>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</si>
  <si>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</si>
  <si>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</si>
  <si>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</si>
  <si>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</si>
  <si>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</si>
  <si>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</si>
  <si>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</si>
  <si>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</si>
  <si>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</si>
  <si>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</si>
  <si>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</si>
  <si>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</si>
  <si>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</si>
  <si>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</si>
  <si>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</si>
  <si>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</si>
  <si>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</si>
  <si>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</si>
  <si>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</si>
  <si>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</si>
  <si>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</si>
  <si>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</si>
  <si>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</si>
  <si>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</si>
  <si>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</si>
  <si>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</si>
  <si>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</si>
  <si>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</si>
  <si>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</si>
  <si>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</si>
  <si>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</si>
  <si>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</si>
  <si>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</si>
  <si>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</si>
  <si>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</si>
  <si>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</si>
  <si>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</si>
  <si>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</si>
  <si>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</si>
  <si>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</si>
  <si>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</si>
  <si>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</si>
  <si>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</si>
  <si>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</si>
  <si>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</si>
  <si>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</si>
  <si>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</si>
  <si>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</si>
  <si>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</si>
  <si>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</si>
  <si>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</si>
  <si>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</si>
  <si>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</si>
  <si>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</si>
  <si>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HR</t>
  </si>
  <si>
    <t>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</si>
</sst>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45967.475462962961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23631.3</v>
      </c>
      <c r="E2" s="19">
        <v>25936.5</v>
      </c>
      <c r="F2" s="19">
        <v>28760.9</v>
      </c>
      <c r="G2" s="19">
        <v>31016.3</v>
      </c>
      <c r="H2" s="19">
        <v>33802.699999999997</v>
      </c>
      <c r="I2" s="19">
        <v>36834.9</v>
      </c>
      <c r="J2" s="19">
        <v>40626.5</v>
      </c>
      <c r="K2" s="19">
        <v>44428.7</v>
      </c>
      <c r="L2" s="19">
        <v>48560.7</v>
      </c>
      <c r="M2" s="19">
        <v>45865.4</v>
      </c>
      <c r="N2" s="19">
        <v>45988.9</v>
      </c>
      <c r="O2" s="19">
        <v>45769.599999999999</v>
      </c>
      <c r="P2" s="19">
        <v>44870.7</v>
      </c>
      <c r="Q2" s="19">
        <v>44803.9</v>
      </c>
      <c r="R2" s="19">
        <v>44284.6</v>
      </c>
      <c r="S2" s="19">
        <v>45493.1</v>
      </c>
      <c r="T2" s="19">
        <v>47577.2</v>
      </c>
      <c r="U2" s="19">
        <v>50207.3</v>
      </c>
      <c r="V2" s="19">
        <v>53035.5</v>
      </c>
      <c r="W2" s="19">
        <v>55768.6</v>
      </c>
      <c r="X2" s="19">
        <v>50720.9</v>
      </c>
      <c r="Y2" s="19">
        <v>58394.1</v>
      </c>
      <c r="Z2" s="19">
        <v>67611.5</v>
      </c>
      <c r="AA2" s="19">
        <v>78060.399999999994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14702</v>
      </c>
      <c r="E3" s="23">
        <v>16551.3</v>
      </c>
      <c r="F3" s="23">
        <v>18708.3</v>
      </c>
      <c r="G3" s="23">
        <v>19592.900000000001</v>
      </c>
      <c r="H3" s="23">
        <v>21125.4</v>
      </c>
      <c r="I3" s="23">
        <v>23093.5</v>
      </c>
      <c r="J3" s="23">
        <v>24494.799999999999</v>
      </c>
      <c r="K3" s="23">
        <v>26421.4</v>
      </c>
      <c r="L3" s="23">
        <v>29152.9</v>
      </c>
      <c r="M3" s="23">
        <v>26965.3</v>
      </c>
      <c r="N3" s="23">
        <v>27121</v>
      </c>
      <c r="O3" s="23">
        <v>27420.2</v>
      </c>
      <c r="P3" s="23">
        <v>27309.1</v>
      </c>
      <c r="Q3" s="23">
        <v>27184.400000000001</v>
      </c>
      <c r="R3" s="23">
        <v>26230.400000000001</v>
      </c>
      <c r="S3" s="23">
        <v>26316.9</v>
      </c>
      <c r="T3" s="23">
        <v>27136.3</v>
      </c>
      <c r="U3" s="23">
        <v>28503.9</v>
      </c>
      <c r="V3" s="23">
        <v>30070.5</v>
      </c>
      <c r="W3" s="23">
        <v>31647.3</v>
      </c>
      <c r="X3" s="23">
        <v>29698</v>
      </c>
      <c r="Y3" s="23">
        <v>33801.300000000003</v>
      </c>
      <c r="Z3" s="23">
        <v>39916.699999999997</v>
      </c>
      <c r="AA3" s="23">
        <v>44694.1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19552.8</v>
      </c>
      <c r="E4" s="27">
        <v>21541.5</v>
      </c>
      <c r="F4" s="27">
        <v>23840.9</v>
      </c>
      <c r="G4" s="27">
        <v>25915</v>
      </c>
      <c r="H4" s="27">
        <v>28460.1</v>
      </c>
      <c r="I4" s="27">
        <v>31042.9</v>
      </c>
      <c r="J4" s="27">
        <v>34128.699999999997</v>
      </c>
      <c r="K4" s="27">
        <v>37497.5</v>
      </c>
      <c r="L4" s="27">
        <v>40999.599999999999</v>
      </c>
      <c r="M4" s="27">
        <v>39180.300000000003</v>
      </c>
      <c r="N4" s="27">
        <v>39021.699999999997</v>
      </c>
      <c r="O4" s="27">
        <v>39053.599999999999</v>
      </c>
      <c r="P4" s="27">
        <v>37756.5</v>
      </c>
      <c r="Q4" s="27">
        <v>37333</v>
      </c>
      <c r="R4" s="27">
        <v>36809.4</v>
      </c>
      <c r="S4" s="27">
        <v>37593</v>
      </c>
      <c r="T4" s="27">
        <v>39288</v>
      </c>
      <c r="U4" s="27">
        <v>41338.800000000003</v>
      </c>
      <c r="V4" s="27">
        <v>43358.2</v>
      </c>
      <c r="W4" s="27">
        <v>45507.5</v>
      </c>
      <c r="X4" s="27">
        <v>41979.5</v>
      </c>
      <c r="Y4" s="27">
        <v>47880.3</v>
      </c>
      <c r="Z4" s="27">
        <v>56303.5</v>
      </c>
      <c r="AA4" s="27">
        <v>65124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1173.9000000000001</v>
      </c>
      <c r="E6" s="19">
        <v>1287.2</v>
      </c>
      <c r="F6" s="19">
        <v>1392.7</v>
      </c>
      <c r="G6" s="19">
        <v>1220.8</v>
      </c>
      <c r="H6" s="19">
        <v>1493.3</v>
      </c>
      <c r="I6" s="19">
        <v>1424.2</v>
      </c>
      <c r="J6" s="19">
        <v>1616</v>
      </c>
      <c r="K6" s="19">
        <v>1639.4</v>
      </c>
      <c r="L6" s="19">
        <v>1884.3</v>
      </c>
      <c r="M6" s="19">
        <v>1828</v>
      </c>
      <c r="N6" s="19">
        <v>1675.9</v>
      </c>
      <c r="O6" s="19">
        <v>1658.6</v>
      </c>
      <c r="P6" s="19">
        <v>1473.4</v>
      </c>
      <c r="Q6" s="19">
        <v>1540.1</v>
      </c>
      <c r="R6" s="19">
        <v>1301.3</v>
      </c>
      <c r="S6" s="19">
        <v>1348.2</v>
      </c>
      <c r="T6" s="19">
        <v>1455.7</v>
      </c>
      <c r="U6" s="19">
        <v>1451</v>
      </c>
      <c r="V6" s="19">
        <v>1565</v>
      </c>
      <c r="W6" s="19">
        <v>1593.2</v>
      </c>
      <c r="X6" s="19">
        <v>1586.8</v>
      </c>
      <c r="Y6" s="19">
        <v>1961.8</v>
      </c>
      <c r="Z6" s="19">
        <v>2294.1</v>
      </c>
      <c r="AA6" s="19">
        <v>2620.3000000000002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4769.5</v>
      </c>
      <c r="E7" s="23">
        <v>5006.5</v>
      </c>
      <c r="F7" s="23">
        <v>5296.1</v>
      </c>
      <c r="G7" s="23">
        <v>5560</v>
      </c>
      <c r="H7" s="23">
        <v>6269</v>
      </c>
      <c r="I7" s="23">
        <v>6536.6</v>
      </c>
      <c r="J7" s="23">
        <v>6975.4</v>
      </c>
      <c r="K7" s="23">
        <v>7388.2</v>
      </c>
      <c r="L7" s="23">
        <v>7873.1</v>
      </c>
      <c r="M7" s="23">
        <v>7585.9</v>
      </c>
      <c r="N7" s="23">
        <v>7703.6</v>
      </c>
      <c r="O7" s="23">
        <v>7897.5</v>
      </c>
      <c r="P7" s="23">
        <v>7812.8</v>
      </c>
      <c r="Q7" s="23">
        <v>7563.3</v>
      </c>
      <c r="R7" s="23">
        <v>7553.2</v>
      </c>
      <c r="S7" s="23">
        <v>7602.8</v>
      </c>
      <c r="T7" s="23">
        <v>7858.8</v>
      </c>
      <c r="U7" s="23">
        <v>8027.7</v>
      </c>
      <c r="V7" s="23">
        <v>8060.6</v>
      </c>
      <c r="W7" s="23">
        <v>8413.1</v>
      </c>
      <c r="X7" s="23">
        <v>7631.8</v>
      </c>
      <c r="Y7" s="23">
        <v>8534.2999999999993</v>
      </c>
      <c r="Z7" s="23">
        <v>10218.9</v>
      </c>
      <c r="AA7" s="23">
        <v>11901.6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949.8</v>
      </c>
      <c r="E8" s="23">
        <v>1167.4000000000001</v>
      </c>
      <c r="F8" s="23">
        <v>1294</v>
      </c>
      <c r="G8" s="23">
        <v>1679.5</v>
      </c>
      <c r="H8" s="23">
        <v>1894</v>
      </c>
      <c r="I8" s="23">
        <v>2220.4</v>
      </c>
      <c r="J8" s="23">
        <v>2532.3000000000002</v>
      </c>
      <c r="K8" s="23">
        <v>2803.1</v>
      </c>
      <c r="L8" s="23">
        <v>3177.5</v>
      </c>
      <c r="M8" s="23">
        <v>2820.6</v>
      </c>
      <c r="N8" s="23">
        <v>2122.1999999999998</v>
      </c>
      <c r="O8" s="23">
        <v>1942.7</v>
      </c>
      <c r="P8" s="23">
        <v>1627.2</v>
      </c>
      <c r="Q8" s="23">
        <v>1623.9</v>
      </c>
      <c r="R8" s="23">
        <v>1592</v>
      </c>
      <c r="S8" s="23">
        <v>1663.1</v>
      </c>
      <c r="T8" s="23">
        <v>1787.7</v>
      </c>
      <c r="U8" s="23">
        <v>1898.8</v>
      </c>
      <c r="V8" s="23">
        <v>2169.9</v>
      </c>
      <c r="W8" s="23">
        <v>2504.1999999999998</v>
      </c>
      <c r="X8" s="23">
        <v>2560.6999999999998</v>
      </c>
      <c r="Y8" s="23">
        <v>2901.7</v>
      </c>
      <c r="Z8" s="23">
        <v>3347.4</v>
      </c>
      <c r="AA8" s="23">
        <v>4496.6000000000004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3866.6</v>
      </c>
      <c r="E9" s="23">
        <v>4566</v>
      </c>
      <c r="F9" s="23">
        <v>5269.8</v>
      </c>
      <c r="G9" s="23">
        <v>6033.4</v>
      </c>
      <c r="H9" s="23">
        <v>6290.4</v>
      </c>
      <c r="I9" s="23">
        <v>6906.3</v>
      </c>
      <c r="J9" s="23">
        <v>7573.6</v>
      </c>
      <c r="K9" s="23">
        <v>8102.1</v>
      </c>
      <c r="L9" s="23">
        <v>8987.2000000000007</v>
      </c>
      <c r="M9" s="23">
        <v>7956.4</v>
      </c>
      <c r="N9" s="23">
        <v>8155</v>
      </c>
      <c r="O9" s="23">
        <v>8194.9</v>
      </c>
      <c r="P9" s="23">
        <v>8041.5</v>
      </c>
      <c r="Q9" s="23">
        <v>8205.4</v>
      </c>
      <c r="R9" s="23">
        <v>8111.9</v>
      </c>
      <c r="S9" s="23">
        <v>8605.7000000000007</v>
      </c>
      <c r="T9" s="23">
        <v>8993.6</v>
      </c>
      <c r="U9" s="23">
        <v>9776.2999999999993</v>
      </c>
      <c r="V9" s="23">
        <v>10469.299999999999</v>
      </c>
      <c r="W9" s="23">
        <v>10762.4</v>
      </c>
      <c r="X9" s="23">
        <v>8630.9</v>
      </c>
      <c r="Y9" s="23">
        <v>10712.1</v>
      </c>
      <c r="Z9" s="23">
        <v>13669.1</v>
      </c>
      <c r="AA9" s="23">
        <v>15679.2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930.2</v>
      </c>
      <c r="E10" s="23">
        <v>1114.0999999999999</v>
      </c>
      <c r="F10" s="23">
        <v>1259.7</v>
      </c>
      <c r="G10" s="23">
        <v>1290.9000000000001</v>
      </c>
      <c r="H10" s="23">
        <v>1400.1</v>
      </c>
      <c r="I10" s="23">
        <v>1523.3</v>
      </c>
      <c r="J10" s="23">
        <v>1646.6</v>
      </c>
      <c r="K10" s="23">
        <v>1761.4</v>
      </c>
      <c r="L10" s="23">
        <v>1996.7</v>
      </c>
      <c r="M10" s="23">
        <v>1915.5</v>
      </c>
      <c r="N10" s="23">
        <v>1961.2</v>
      </c>
      <c r="O10" s="23">
        <v>1865.1</v>
      </c>
      <c r="P10" s="23">
        <v>1801.9</v>
      </c>
      <c r="Q10" s="23">
        <v>1744</v>
      </c>
      <c r="R10" s="23">
        <v>1667.3</v>
      </c>
      <c r="S10" s="23">
        <v>1663.6</v>
      </c>
      <c r="T10" s="23">
        <v>1739</v>
      </c>
      <c r="U10" s="23">
        <v>1882.7</v>
      </c>
      <c r="V10" s="23">
        <v>2040.4</v>
      </c>
      <c r="W10" s="23">
        <v>2183.1999999999998</v>
      </c>
      <c r="X10" s="23">
        <v>2493.4</v>
      </c>
      <c r="Y10" s="23">
        <v>2829.4</v>
      </c>
      <c r="Z10" s="23">
        <v>3484.4</v>
      </c>
      <c r="AA10" s="23">
        <v>3755.7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857.3</v>
      </c>
      <c r="E11" s="23">
        <v>1025.3</v>
      </c>
      <c r="F11" s="23">
        <v>1177.5999999999999</v>
      </c>
      <c r="G11" s="23">
        <v>1403.6</v>
      </c>
      <c r="H11" s="23">
        <v>1482.3</v>
      </c>
      <c r="I11" s="23">
        <v>1839.3</v>
      </c>
      <c r="J11" s="23">
        <v>1970.2</v>
      </c>
      <c r="K11" s="23">
        <v>2275.9</v>
      </c>
      <c r="L11" s="23">
        <v>2528</v>
      </c>
      <c r="M11" s="23">
        <v>2506.1999999999998</v>
      </c>
      <c r="N11" s="23">
        <v>2635.5</v>
      </c>
      <c r="O11" s="23">
        <v>2762.2</v>
      </c>
      <c r="P11" s="23">
        <v>2497.1999999999998</v>
      </c>
      <c r="Q11" s="23">
        <v>2326.8000000000002</v>
      </c>
      <c r="R11" s="23">
        <v>2331.1</v>
      </c>
      <c r="S11" s="23">
        <v>2354</v>
      </c>
      <c r="T11" s="23">
        <v>2443.5</v>
      </c>
      <c r="U11" s="23">
        <v>2564.9</v>
      </c>
      <c r="V11" s="23">
        <v>2554.1</v>
      </c>
      <c r="W11" s="23">
        <v>2498.6</v>
      </c>
      <c r="X11" s="23">
        <v>2160.6</v>
      </c>
      <c r="Y11" s="23">
        <v>2564.9</v>
      </c>
      <c r="Z11" s="23">
        <v>2700.9</v>
      </c>
      <c r="AA11" s="23">
        <v>3172.1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1822.5</v>
      </c>
      <c r="E12" s="23">
        <v>1956.9</v>
      </c>
      <c r="F12" s="23">
        <v>2117.1999999999998</v>
      </c>
      <c r="G12" s="23">
        <v>2241</v>
      </c>
      <c r="H12" s="23">
        <v>2431.4</v>
      </c>
      <c r="I12" s="23">
        <v>2659.4</v>
      </c>
      <c r="J12" s="23">
        <v>2933.9</v>
      </c>
      <c r="K12" s="23">
        <v>3485.1</v>
      </c>
      <c r="L12" s="23">
        <v>3636.1</v>
      </c>
      <c r="M12" s="23">
        <v>3594.4</v>
      </c>
      <c r="N12" s="23">
        <v>3576</v>
      </c>
      <c r="O12" s="23">
        <v>3666.8</v>
      </c>
      <c r="P12" s="23">
        <v>3643.1</v>
      </c>
      <c r="Q12" s="23">
        <v>3600.6</v>
      </c>
      <c r="R12" s="23">
        <v>3609.1</v>
      </c>
      <c r="S12" s="23">
        <v>3668.2</v>
      </c>
      <c r="T12" s="23">
        <v>3743.2</v>
      </c>
      <c r="U12" s="23">
        <v>3840.4</v>
      </c>
      <c r="V12" s="23">
        <v>3901.3</v>
      </c>
      <c r="W12" s="23">
        <v>4159.2</v>
      </c>
      <c r="X12" s="23">
        <v>4146.8</v>
      </c>
      <c r="Y12" s="23">
        <v>4432.3</v>
      </c>
      <c r="Z12" s="23">
        <v>5062.8999999999996</v>
      </c>
      <c r="AA12" s="23">
        <v>5858.3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911.2</v>
      </c>
      <c r="E13" s="23">
        <v>1061.3</v>
      </c>
      <c r="F13" s="23">
        <v>1293.2</v>
      </c>
      <c r="G13" s="23">
        <v>1505.5</v>
      </c>
      <c r="H13" s="23">
        <v>1698</v>
      </c>
      <c r="I13" s="23">
        <v>2043.4</v>
      </c>
      <c r="J13" s="23">
        <v>2480.9</v>
      </c>
      <c r="K13" s="23">
        <v>3039.2</v>
      </c>
      <c r="L13" s="23">
        <v>3380.4</v>
      </c>
      <c r="M13" s="23">
        <v>3121.3</v>
      </c>
      <c r="N13" s="23">
        <v>3103.5</v>
      </c>
      <c r="O13" s="23">
        <v>3035.3</v>
      </c>
      <c r="P13" s="23">
        <v>2968.6</v>
      </c>
      <c r="Q13" s="23">
        <v>2960.8</v>
      </c>
      <c r="R13" s="23">
        <v>2969.2</v>
      </c>
      <c r="S13" s="23">
        <v>2971.3</v>
      </c>
      <c r="T13" s="23">
        <v>3124.4</v>
      </c>
      <c r="U13" s="23">
        <v>3338.1</v>
      </c>
      <c r="V13" s="23">
        <v>3513.6</v>
      </c>
      <c r="W13" s="23">
        <v>3693.8</v>
      </c>
      <c r="X13" s="23">
        <v>3174.7</v>
      </c>
      <c r="Y13" s="23">
        <v>3583.8</v>
      </c>
      <c r="Z13" s="23">
        <v>4344.2</v>
      </c>
      <c r="AA13" s="23">
        <v>4594.3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3778.8999999999996</v>
      </c>
      <c r="E14" s="23">
        <v>3785.2000000000007</v>
      </c>
      <c r="F14" s="23">
        <v>4060.5</v>
      </c>
      <c r="G14" s="23">
        <v>4274.7000000000044</v>
      </c>
      <c r="H14" s="23">
        <v>4750.5999999999985</v>
      </c>
      <c r="I14" s="23">
        <v>5023</v>
      </c>
      <c r="J14" s="23">
        <v>5411.4999999999927</v>
      </c>
      <c r="K14" s="23">
        <v>5963.9999999999964</v>
      </c>
      <c r="L14" s="23">
        <v>6388.3000000000029</v>
      </c>
      <c r="M14" s="23">
        <v>6694.2000000000007</v>
      </c>
      <c r="N14" s="23">
        <v>6862.8999999999942</v>
      </c>
      <c r="O14" s="23">
        <v>6785</v>
      </c>
      <c r="P14" s="23">
        <v>6645.5</v>
      </c>
      <c r="Q14" s="23">
        <v>6483.3000000000065</v>
      </c>
      <c r="R14" s="23">
        <v>6379.8000000000029</v>
      </c>
      <c r="S14" s="23">
        <v>6448</v>
      </c>
      <c r="T14" s="23">
        <v>6718.3999999999942</v>
      </c>
      <c r="U14" s="23">
        <v>7004.2000000000044</v>
      </c>
      <c r="V14" s="23">
        <v>7419.0999999999985</v>
      </c>
      <c r="W14" s="23">
        <v>7858.2999999999956</v>
      </c>
      <c r="X14" s="23">
        <v>8063.6000000000058</v>
      </c>
      <c r="Y14" s="23">
        <v>8679.9999999999927</v>
      </c>
      <c r="Z14" s="23">
        <v>9245.7999999999956</v>
      </c>
      <c r="AA14" s="23">
        <v>11057.700000000004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492.9</v>
      </c>
      <c r="E15" s="23">
        <v>571.6</v>
      </c>
      <c r="F15" s="23">
        <v>680.1</v>
      </c>
      <c r="G15" s="23">
        <v>705.6</v>
      </c>
      <c r="H15" s="23">
        <v>751</v>
      </c>
      <c r="I15" s="23">
        <v>867</v>
      </c>
      <c r="J15" s="23">
        <v>988.3</v>
      </c>
      <c r="K15" s="23">
        <v>1039.0999999999999</v>
      </c>
      <c r="L15" s="23">
        <v>1148</v>
      </c>
      <c r="M15" s="23">
        <v>1157.8</v>
      </c>
      <c r="N15" s="23">
        <v>1225.9000000000001</v>
      </c>
      <c r="O15" s="23">
        <v>1245.5</v>
      </c>
      <c r="P15" s="23">
        <v>1245.3</v>
      </c>
      <c r="Q15" s="23">
        <v>1284.8</v>
      </c>
      <c r="R15" s="23">
        <v>1294.5</v>
      </c>
      <c r="S15" s="23">
        <v>1268.0999999999999</v>
      </c>
      <c r="T15" s="23">
        <v>1423.7</v>
      </c>
      <c r="U15" s="23">
        <v>1554.7</v>
      </c>
      <c r="V15" s="23">
        <v>1664.9</v>
      </c>
      <c r="W15" s="23">
        <v>1841.5</v>
      </c>
      <c r="X15" s="23">
        <v>1530.2</v>
      </c>
      <c r="Y15" s="23">
        <v>1680</v>
      </c>
      <c r="Z15" s="23">
        <v>1935.8</v>
      </c>
      <c r="AA15" s="23">
        <v>1988.2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19552.800000000003</v>
      </c>
      <c r="E16" s="30">
        <f t="shared" ref="E16:Y16" si="0">SUM(E6:E15)</f>
        <v>21541.5</v>
      </c>
      <c r="F16" s="30">
        <f t="shared" si="0"/>
        <v>23840.9</v>
      </c>
      <c r="G16" s="30">
        <f t="shared" si="0"/>
        <v>25915</v>
      </c>
      <c r="H16" s="30">
        <f t="shared" si="0"/>
        <v>28460.1</v>
      </c>
      <c r="I16" s="30">
        <f t="shared" si="0"/>
        <v>31042.9</v>
      </c>
      <c r="J16" s="30">
        <f t="shared" si="0"/>
        <v>34128.699999999997</v>
      </c>
      <c r="K16" s="30">
        <f t="shared" si="0"/>
        <v>37497.5</v>
      </c>
      <c r="L16" s="30">
        <f t="shared" si="0"/>
        <v>40999.599999999999</v>
      </c>
      <c r="M16" s="30">
        <f t="shared" si="0"/>
        <v>39180.300000000003</v>
      </c>
      <c r="N16" s="30">
        <f t="shared" si="0"/>
        <v>39021.699999999997</v>
      </c>
      <c r="O16" s="30">
        <f t="shared" si="0"/>
        <v>39053.599999999999</v>
      </c>
      <c r="P16" s="30">
        <f t="shared" si="0"/>
        <v>37756.5</v>
      </c>
      <c r="Q16" s="30">
        <f t="shared" si="0"/>
        <v>37333</v>
      </c>
      <c r="R16" s="30">
        <f t="shared" si="0"/>
        <v>36809.4</v>
      </c>
      <c r="S16" s="30">
        <f t="shared" si="0"/>
        <v>37593</v>
      </c>
      <c r="T16" s="30">
        <f t="shared" si="0"/>
        <v>39288</v>
      </c>
      <c r="U16" s="30">
        <f t="shared" si="0"/>
        <v>41338.800000000003</v>
      </c>
      <c r="V16" s="30">
        <f t="shared" si="0"/>
        <v>43358.2</v>
      </c>
      <c r="W16" s="30">
        <f t="shared" si="0"/>
        <v>45507.5</v>
      </c>
      <c r="X16" s="30">
        <f t="shared" si="0"/>
        <v>41979.5</v>
      </c>
      <c r="Y16" s="30">
        <f t="shared" si="0"/>
        <v>47880.3</v>
      </c>
      <c r="Z16" s="30">
        <f t="shared" ref="Z16:AA16" si="1">SUM(Z6:Z15)</f>
        <v>56303.5</v>
      </c>
      <c r="AA16" s="30">
        <f t="shared" si="1"/>
        <v>65124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1173.9000000000001</v>
      </c>
      <c r="E18" s="19">
        <v>1287.2</v>
      </c>
      <c r="F18" s="19">
        <v>1392.7</v>
      </c>
      <c r="G18" s="19">
        <v>1220.8</v>
      </c>
      <c r="H18" s="19">
        <v>1493.3</v>
      </c>
      <c r="I18" s="19">
        <v>1424.2</v>
      </c>
      <c r="J18" s="19">
        <v>1616</v>
      </c>
      <c r="K18" s="19">
        <v>1639.4</v>
      </c>
      <c r="L18" s="19">
        <v>1884.3</v>
      </c>
      <c r="M18" s="19">
        <v>1828</v>
      </c>
      <c r="N18" s="19">
        <v>1675.9</v>
      </c>
      <c r="O18" s="19">
        <v>1658.6</v>
      </c>
      <c r="P18" s="19">
        <v>1473.4</v>
      </c>
      <c r="Q18" s="19">
        <v>1540.1</v>
      </c>
      <c r="R18" s="19">
        <v>1301.3</v>
      </c>
      <c r="S18" s="19">
        <v>1348.2</v>
      </c>
      <c r="T18" s="19">
        <v>1455.7</v>
      </c>
      <c r="U18" s="19">
        <v>1451</v>
      </c>
      <c r="V18" s="19">
        <v>1565</v>
      </c>
      <c r="W18" s="19">
        <v>1593.2</v>
      </c>
      <c r="X18" s="19">
        <v>1586.8</v>
      </c>
      <c r="Y18" s="19">
        <v>1961.8</v>
      </c>
      <c r="Z18" s="19">
        <v>2294.1</v>
      </c>
      <c r="AA18" s="19">
        <v>2620.3000000000002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131.11581995897191</v>
      </c>
      <c r="E19" s="23">
        <v>110.09999999999992</v>
      </c>
      <c r="F19" s="23">
        <v>165.71804224738673</v>
      </c>
      <c r="G19" s="23">
        <v>142.6</v>
      </c>
      <c r="H19" s="23">
        <v>225.1</v>
      </c>
      <c r="I19" s="23">
        <v>267.62100470957625</v>
      </c>
      <c r="J19" s="23">
        <v>407.39999999999981</v>
      </c>
      <c r="K19" s="23">
        <v>326.2</v>
      </c>
      <c r="L19" s="23">
        <v>354.00000000000011</v>
      </c>
      <c r="M19" s="23">
        <v>391.07410448255303</v>
      </c>
      <c r="N19" s="23">
        <v>403.62311569301272</v>
      </c>
      <c r="O19" s="23">
        <v>346</v>
      </c>
      <c r="P19" s="23">
        <v>377.27842397209361</v>
      </c>
      <c r="Q19" s="23">
        <v>406.87874418847616</v>
      </c>
      <c r="R19" s="23">
        <v>316.2</v>
      </c>
      <c r="S19" s="23">
        <v>217.6879643962848</v>
      </c>
      <c r="T19" s="23">
        <v>162.9</v>
      </c>
      <c r="U19" s="23">
        <v>169.51045328399624</v>
      </c>
      <c r="V19" s="23">
        <v>166.51082715567699</v>
      </c>
      <c r="W19" s="23">
        <v>167.60000000000008</v>
      </c>
      <c r="X19" s="23">
        <v>94.100000000000037</v>
      </c>
      <c r="Y19" s="23">
        <v>110.39999999999995</v>
      </c>
      <c r="Z19" s="23">
        <v>125.99999999999994</v>
      </c>
      <c r="AA19" s="23">
        <v>147.49396505871283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3940.7</v>
      </c>
      <c r="E20" s="23">
        <v>4242.1000000000004</v>
      </c>
      <c r="F20" s="23">
        <v>4377.6000000000004</v>
      </c>
      <c r="G20" s="23">
        <v>4603.5</v>
      </c>
      <c r="H20" s="23">
        <v>5075</v>
      </c>
      <c r="I20" s="23">
        <v>5262.5</v>
      </c>
      <c r="J20" s="23">
        <v>5593.8</v>
      </c>
      <c r="K20" s="23">
        <v>6149.5</v>
      </c>
      <c r="L20" s="23">
        <v>6533.7</v>
      </c>
      <c r="M20" s="23">
        <v>6075.7</v>
      </c>
      <c r="N20" s="23">
        <v>5957.5</v>
      </c>
      <c r="O20" s="23">
        <v>6252</v>
      </c>
      <c r="P20" s="23">
        <v>6064.2</v>
      </c>
      <c r="Q20" s="23">
        <v>5649.1</v>
      </c>
      <c r="R20" s="23">
        <v>5637.9</v>
      </c>
      <c r="S20" s="23">
        <v>5794.1</v>
      </c>
      <c r="T20" s="23">
        <v>6125.5</v>
      </c>
      <c r="U20" s="23">
        <v>6406.1</v>
      </c>
      <c r="V20" s="23">
        <v>6522.7</v>
      </c>
      <c r="W20" s="23">
        <v>6688.9</v>
      </c>
      <c r="X20" s="23">
        <v>6165.4</v>
      </c>
      <c r="Y20" s="23">
        <v>6807.1</v>
      </c>
      <c r="Z20" s="23">
        <v>8299.1</v>
      </c>
      <c r="AA20" s="23">
        <v>9457.6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367.74437070109821</v>
      </c>
      <c r="E21" s="23">
        <v>380.99999999999977</v>
      </c>
      <c r="F21" s="23">
        <v>475.05172038327521</v>
      </c>
      <c r="G21" s="23">
        <v>499.2</v>
      </c>
      <c r="H21" s="23">
        <v>614.20000000000005</v>
      </c>
      <c r="I21" s="23">
        <v>622.74887755102066</v>
      </c>
      <c r="J21" s="23">
        <v>610.39999999999975</v>
      </c>
      <c r="K21" s="23">
        <v>504.4</v>
      </c>
      <c r="L21" s="23">
        <v>550.60000000000014</v>
      </c>
      <c r="M21" s="23">
        <v>704.75333377474658</v>
      </c>
      <c r="N21" s="23">
        <v>850.94873424971377</v>
      </c>
      <c r="O21" s="23">
        <v>801.5</v>
      </c>
      <c r="P21" s="23">
        <v>841.35188425687659</v>
      </c>
      <c r="Q21" s="23">
        <v>985.6485085932195</v>
      </c>
      <c r="R21" s="23">
        <v>1042.2</v>
      </c>
      <c r="S21" s="23">
        <v>1027.7431777974348</v>
      </c>
      <c r="T21" s="23">
        <v>1030.8</v>
      </c>
      <c r="U21" s="23">
        <v>902.05562750539593</v>
      </c>
      <c r="V21" s="23">
        <v>806.85246455976085</v>
      </c>
      <c r="W21" s="23">
        <v>998.10000000000048</v>
      </c>
      <c r="X21" s="23">
        <v>683.20000000000027</v>
      </c>
      <c r="Y21" s="23">
        <v>828.49999999999955</v>
      </c>
      <c r="Z21" s="23">
        <v>933.19999999999959</v>
      </c>
      <c r="AA21" s="23">
        <v>1410.7422773208953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329.93980933993009</v>
      </c>
      <c r="E22" s="23">
        <v>273.29999999999984</v>
      </c>
      <c r="F22" s="23">
        <v>277.73023736933794</v>
      </c>
      <c r="G22" s="23">
        <v>314.7</v>
      </c>
      <c r="H22" s="23">
        <v>354.7</v>
      </c>
      <c r="I22" s="23">
        <v>383.73011773940351</v>
      </c>
      <c r="J22" s="23">
        <v>363.7999999999999</v>
      </c>
      <c r="K22" s="23">
        <v>408.1</v>
      </c>
      <c r="L22" s="23">
        <v>434.80000000000018</v>
      </c>
      <c r="M22" s="23">
        <v>414.37256174269999</v>
      </c>
      <c r="N22" s="23">
        <v>491.52815005727388</v>
      </c>
      <c r="O22" s="23">
        <v>497.99999999999994</v>
      </c>
      <c r="P22" s="23">
        <v>529.96969177102994</v>
      </c>
      <c r="Q22" s="23">
        <v>521.67274721830438</v>
      </c>
      <c r="R22" s="23">
        <v>556.9</v>
      </c>
      <c r="S22" s="23">
        <v>563.26885780628027</v>
      </c>
      <c r="T22" s="23">
        <v>539.6</v>
      </c>
      <c r="U22" s="23">
        <v>550.03391921060722</v>
      </c>
      <c r="V22" s="23">
        <v>564.53670828456256</v>
      </c>
      <c r="W22" s="23">
        <v>558.50000000000023</v>
      </c>
      <c r="X22" s="23">
        <v>689.10000000000025</v>
      </c>
      <c r="Y22" s="23">
        <v>788.2999999999995</v>
      </c>
      <c r="Z22" s="23">
        <v>860.59999999999957</v>
      </c>
      <c r="AA22" s="23">
        <v>885.76375762039197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949.8</v>
      </c>
      <c r="E23" s="23">
        <v>1167.4000000000001</v>
      </c>
      <c r="F23" s="23">
        <v>1294</v>
      </c>
      <c r="G23" s="23">
        <v>1679.5</v>
      </c>
      <c r="H23" s="23">
        <v>1894</v>
      </c>
      <c r="I23" s="23">
        <v>2220.4</v>
      </c>
      <c r="J23" s="23">
        <v>2532.3000000000002</v>
      </c>
      <c r="K23" s="23">
        <v>2803.1</v>
      </c>
      <c r="L23" s="23">
        <v>3177.5</v>
      </c>
      <c r="M23" s="23">
        <v>2820.6</v>
      </c>
      <c r="N23" s="23">
        <v>2122.1999999999998</v>
      </c>
      <c r="O23" s="23">
        <v>1942.7</v>
      </c>
      <c r="P23" s="23">
        <v>1627.2</v>
      </c>
      <c r="Q23" s="23">
        <v>1623.9</v>
      </c>
      <c r="R23" s="23">
        <v>1592</v>
      </c>
      <c r="S23" s="23">
        <v>1663.1</v>
      </c>
      <c r="T23" s="23">
        <v>1787.7</v>
      </c>
      <c r="U23" s="23">
        <v>1898.8</v>
      </c>
      <c r="V23" s="23">
        <v>2169.9</v>
      </c>
      <c r="W23" s="23">
        <v>2504.1999999999998</v>
      </c>
      <c r="X23" s="23">
        <v>2560.6999999999998</v>
      </c>
      <c r="Y23" s="23">
        <v>2901.7</v>
      </c>
      <c r="Z23" s="23">
        <v>3347.4</v>
      </c>
      <c r="AA23" s="23">
        <v>4496.6000000000004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2163.5</v>
      </c>
      <c r="E24" s="23">
        <v>2648.8999999999996</v>
      </c>
      <c r="F24" s="23">
        <v>3101.2000000000003</v>
      </c>
      <c r="G24" s="23">
        <v>3565.2</v>
      </c>
      <c r="H24" s="23">
        <v>3546.2999999999993</v>
      </c>
      <c r="I24" s="23">
        <v>3965.5</v>
      </c>
      <c r="J24" s="23">
        <v>4468.3</v>
      </c>
      <c r="K24" s="23">
        <v>4767.3</v>
      </c>
      <c r="L24" s="23">
        <v>5239.9000000000005</v>
      </c>
      <c r="M24" s="23">
        <v>4411.0999999999995</v>
      </c>
      <c r="N24" s="23">
        <v>4592.7</v>
      </c>
      <c r="O24" s="23">
        <v>4604.7</v>
      </c>
      <c r="P24" s="23">
        <v>4471.8</v>
      </c>
      <c r="Q24" s="23">
        <v>4363.2</v>
      </c>
      <c r="R24" s="23">
        <v>4333.7999999999993</v>
      </c>
      <c r="S24" s="23">
        <v>4597.0000000000009</v>
      </c>
      <c r="T24" s="23">
        <v>4589.7000000000007</v>
      </c>
      <c r="U24" s="23">
        <v>4896.2999999999993</v>
      </c>
      <c r="V24" s="23">
        <v>5293.2999999999993</v>
      </c>
      <c r="W24" s="23">
        <v>5581.4</v>
      </c>
      <c r="X24" s="23">
        <v>5099.5999999999995</v>
      </c>
      <c r="Y24" s="23">
        <v>5743</v>
      </c>
      <c r="Z24" s="23">
        <v>6613.1</v>
      </c>
      <c r="AA24" s="23">
        <v>8098.8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1017.1</v>
      </c>
      <c r="E25" s="23">
        <v>1103.4000000000001</v>
      </c>
      <c r="F25" s="23">
        <v>1214.7</v>
      </c>
      <c r="G25" s="23">
        <v>1393.8</v>
      </c>
      <c r="H25" s="23">
        <v>1596.2</v>
      </c>
      <c r="I25" s="23">
        <v>1653.5</v>
      </c>
      <c r="J25" s="23">
        <v>1716.2</v>
      </c>
      <c r="K25" s="23">
        <v>1782.1</v>
      </c>
      <c r="L25" s="23">
        <v>2119.5</v>
      </c>
      <c r="M25" s="23">
        <v>1893.6</v>
      </c>
      <c r="N25" s="23">
        <v>1854.1</v>
      </c>
      <c r="O25" s="23">
        <v>1812.1</v>
      </c>
      <c r="P25" s="23">
        <v>1761.6</v>
      </c>
      <c r="Q25" s="23">
        <v>1758.5</v>
      </c>
      <c r="R25" s="23">
        <v>1668.6</v>
      </c>
      <c r="S25" s="23">
        <v>1784.7</v>
      </c>
      <c r="T25" s="23">
        <v>1963</v>
      </c>
      <c r="U25" s="23">
        <v>2206.6</v>
      </c>
      <c r="V25" s="23">
        <v>2351.6999999999998</v>
      </c>
      <c r="W25" s="23">
        <v>2352.5</v>
      </c>
      <c r="X25" s="23">
        <v>2252.4</v>
      </c>
      <c r="Y25" s="23">
        <v>2533.9</v>
      </c>
      <c r="Z25" s="23">
        <v>3196.4</v>
      </c>
      <c r="AA25" s="23">
        <v>3392.8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686</v>
      </c>
      <c r="E26" s="23">
        <v>813.7</v>
      </c>
      <c r="F26" s="23">
        <v>953.9</v>
      </c>
      <c r="G26" s="23">
        <v>1074.4000000000001</v>
      </c>
      <c r="H26" s="23">
        <v>1147.9000000000001</v>
      </c>
      <c r="I26" s="23">
        <v>1287.3</v>
      </c>
      <c r="J26" s="23">
        <v>1389.1</v>
      </c>
      <c r="K26" s="23">
        <v>1552.7</v>
      </c>
      <c r="L26" s="23">
        <v>1627.8</v>
      </c>
      <c r="M26" s="23">
        <v>1651.7</v>
      </c>
      <c r="N26" s="23">
        <v>1708.2</v>
      </c>
      <c r="O26" s="23">
        <v>1778.1</v>
      </c>
      <c r="P26" s="23">
        <v>1808.1</v>
      </c>
      <c r="Q26" s="23">
        <v>2083.6999999999998</v>
      </c>
      <c r="R26" s="23">
        <v>2109.5</v>
      </c>
      <c r="S26" s="23">
        <v>2224</v>
      </c>
      <c r="T26" s="23">
        <v>2440.9</v>
      </c>
      <c r="U26" s="23">
        <v>2673.4</v>
      </c>
      <c r="V26" s="23">
        <v>2824.3</v>
      </c>
      <c r="W26" s="23">
        <v>2828.5</v>
      </c>
      <c r="X26" s="23">
        <v>1278.9000000000001</v>
      </c>
      <c r="Y26" s="23">
        <v>2435.1999999999998</v>
      </c>
      <c r="Z26" s="23">
        <v>3859.6</v>
      </c>
      <c r="AA26" s="23">
        <v>4187.6000000000004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930.2</v>
      </c>
      <c r="E27" s="23">
        <v>1114.0999999999999</v>
      </c>
      <c r="F27" s="23">
        <v>1259.7</v>
      </c>
      <c r="G27" s="23">
        <v>1290.9000000000001</v>
      </c>
      <c r="H27" s="23">
        <v>1400.1</v>
      </c>
      <c r="I27" s="23">
        <v>1523.3</v>
      </c>
      <c r="J27" s="23">
        <v>1646.6</v>
      </c>
      <c r="K27" s="23">
        <v>1761.4</v>
      </c>
      <c r="L27" s="23">
        <v>1996.7</v>
      </c>
      <c r="M27" s="23">
        <v>1915.5</v>
      </c>
      <c r="N27" s="23">
        <v>1961.2</v>
      </c>
      <c r="O27" s="23">
        <v>1865.1</v>
      </c>
      <c r="P27" s="23">
        <v>1801.9</v>
      </c>
      <c r="Q27" s="23">
        <v>1744</v>
      </c>
      <c r="R27" s="23">
        <v>1667.3</v>
      </c>
      <c r="S27" s="23">
        <v>1663.6</v>
      </c>
      <c r="T27" s="23">
        <v>1739</v>
      </c>
      <c r="U27" s="23">
        <v>1882.7</v>
      </c>
      <c r="V27" s="23">
        <v>2040.4</v>
      </c>
      <c r="W27" s="23">
        <v>2183.1999999999998</v>
      </c>
      <c r="X27" s="23">
        <v>2493.4</v>
      </c>
      <c r="Y27" s="23">
        <v>2829.4</v>
      </c>
      <c r="Z27" s="23">
        <v>3484.4</v>
      </c>
      <c r="AA27" s="23">
        <v>3755.7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857.3</v>
      </c>
      <c r="E28" s="23">
        <v>1025.3</v>
      </c>
      <c r="F28" s="23">
        <v>1177.5999999999999</v>
      </c>
      <c r="G28" s="23">
        <v>1403.6</v>
      </c>
      <c r="H28" s="23">
        <v>1482.3</v>
      </c>
      <c r="I28" s="23">
        <v>1839.3</v>
      </c>
      <c r="J28" s="23">
        <v>1970.2</v>
      </c>
      <c r="K28" s="23">
        <v>2275.9</v>
      </c>
      <c r="L28" s="23">
        <v>2528</v>
      </c>
      <c r="M28" s="23">
        <v>2506.1999999999998</v>
      </c>
      <c r="N28" s="23">
        <v>2635.5</v>
      </c>
      <c r="O28" s="23">
        <v>2762.2</v>
      </c>
      <c r="P28" s="23">
        <v>2497.1999999999998</v>
      </c>
      <c r="Q28" s="23">
        <v>2326.8000000000002</v>
      </c>
      <c r="R28" s="23">
        <v>2331.1</v>
      </c>
      <c r="S28" s="23">
        <v>2354</v>
      </c>
      <c r="T28" s="23">
        <v>2443.5</v>
      </c>
      <c r="U28" s="23">
        <v>2564.9</v>
      </c>
      <c r="V28" s="23">
        <v>2554.1</v>
      </c>
      <c r="W28" s="23">
        <v>2498.6</v>
      </c>
      <c r="X28" s="23">
        <v>2160.6</v>
      </c>
      <c r="Y28" s="23">
        <v>2564.9</v>
      </c>
      <c r="Z28" s="23">
        <v>2700.9</v>
      </c>
      <c r="AA28" s="23">
        <v>3172.1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1822.5</v>
      </c>
      <c r="E29" s="23">
        <v>1956.9</v>
      </c>
      <c r="F29" s="23">
        <v>2117.1999999999998</v>
      </c>
      <c r="G29" s="23">
        <v>2241</v>
      </c>
      <c r="H29" s="23">
        <v>2431.4</v>
      </c>
      <c r="I29" s="23">
        <v>2659.4</v>
      </c>
      <c r="J29" s="23">
        <v>2933.9</v>
      </c>
      <c r="K29" s="23">
        <v>3485.1</v>
      </c>
      <c r="L29" s="23">
        <v>3636.1</v>
      </c>
      <c r="M29" s="23">
        <v>3594.4</v>
      </c>
      <c r="N29" s="23">
        <v>3576</v>
      </c>
      <c r="O29" s="23">
        <v>3666.8</v>
      </c>
      <c r="P29" s="23">
        <v>3643.1</v>
      </c>
      <c r="Q29" s="23">
        <v>3600.6</v>
      </c>
      <c r="R29" s="23">
        <v>3609.1</v>
      </c>
      <c r="S29" s="23">
        <v>3668.2</v>
      </c>
      <c r="T29" s="23">
        <v>3743.2</v>
      </c>
      <c r="U29" s="23">
        <v>3840.4</v>
      </c>
      <c r="V29" s="23">
        <v>3901.3</v>
      </c>
      <c r="W29" s="23">
        <v>4159.2</v>
      </c>
      <c r="X29" s="23">
        <v>4146.8</v>
      </c>
      <c r="Y29" s="23">
        <v>4432.3</v>
      </c>
      <c r="Z29" s="23">
        <v>5062.8999999999996</v>
      </c>
      <c r="AA29" s="23">
        <v>5858.3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699</v>
      </c>
      <c r="E30" s="23">
        <v>820.5</v>
      </c>
      <c r="F30" s="23">
        <v>991.7</v>
      </c>
      <c r="G30" s="23">
        <v>1170.2</v>
      </c>
      <c r="H30" s="23">
        <v>1305.4000000000001</v>
      </c>
      <c r="I30" s="23">
        <v>1583.3000000000002</v>
      </c>
      <c r="J30" s="23">
        <v>1928.8000000000002</v>
      </c>
      <c r="K30" s="23">
        <v>2385.7999999999997</v>
      </c>
      <c r="L30" s="23">
        <v>2685.2</v>
      </c>
      <c r="M30" s="23">
        <v>2440.5</v>
      </c>
      <c r="N30" s="23">
        <v>2392.5</v>
      </c>
      <c r="O30" s="23">
        <v>2354.5</v>
      </c>
      <c r="P30" s="23">
        <v>2274</v>
      </c>
      <c r="Q30" s="23">
        <v>2247.3000000000002</v>
      </c>
      <c r="R30" s="23">
        <v>2242</v>
      </c>
      <c r="S30" s="23">
        <v>2206.1000000000004</v>
      </c>
      <c r="T30" s="23">
        <v>2268.4</v>
      </c>
      <c r="U30" s="23">
        <v>2371.6999999999998</v>
      </c>
      <c r="V30" s="23">
        <v>2424.8999999999996</v>
      </c>
      <c r="W30" s="23">
        <v>2598.7000000000003</v>
      </c>
      <c r="X30" s="23">
        <v>2332.6</v>
      </c>
      <c r="Y30" s="23">
        <v>2521.1000000000004</v>
      </c>
      <c r="Z30" s="23">
        <v>3098.7</v>
      </c>
      <c r="AA30" s="23">
        <v>3131.8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212.2</v>
      </c>
      <c r="E31" s="23">
        <v>240.8</v>
      </c>
      <c r="F31" s="23">
        <v>301.5</v>
      </c>
      <c r="G31" s="23">
        <v>335.3</v>
      </c>
      <c r="H31" s="23">
        <v>392.6</v>
      </c>
      <c r="I31" s="23">
        <v>460.1</v>
      </c>
      <c r="J31" s="23">
        <v>552.1</v>
      </c>
      <c r="K31" s="23">
        <v>653.4</v>
      </c>
      <c r="L31" s="23">
        <v>695.2</v>
      </c>
      <c r="M31" s="23">
        <v>680.8</v>
      </c>
      <c r="N31" s="23">
        <v>711</v>
      </c>
      <c r="O31" s="23">
        <v>680.8</v>
      </c>
      <c r="P31" s="23">
        <v>694.6</v>
      </c>
      <c r="Q31" s="23">
        <v>713.5</v>
      </c>
      <c r="R31" s="23">
        <v>727.2</v>
      </c>
      <c r="S31" s="23">
        <v>765.2</v>
      </c>
      <c r="T31" s="23">
        <v>856</v>
      </c>
      <c r="U31" s="23">
        <v>966.4</v>
      </c>
      <c r="V31" s="23">
        <v>1088.7</v>
      </c>
      <c r="W31" s="23">
        <v>1095.0999999999999</v>
      </c>
      <c r="X31" s="23">
        <v>842.1</v>
      </c>
      <c r="Y31" s="23">
        <v>1062.7</v>
      </c>
      <c r="Z31" s="23">
        <v>1245.5</v>
      </c>
      <c r="AA31" s="23">
        <v>1462.5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1899.2999999999997</v>
      </c>
      <c r="E32" s="23">
        <v>1831.3000000000006</v>
      </c>
      <c r="F32" s="23">
        <v>1943.1000000000004</v>
      </c>
      <c r="G32" s="23">
        <v>2002.2000000000044</v>
      </c>
      <c r="H32" s="23">
        <v>2261.8999999999987</v>
      </c>
      <c r="I32" s="23">
        <v>2293.1000000000004</v>
      </c>
      <c r="J32" s="23">
        <v>2534.8999999999928</v>
      </c>
      <c r="K32" s="23">
        <v>2792.5999999999967</v>
      </c>
      <c r="L32" s="23">
        <v>2895.5000000000027</v>
      </c>
      <c r="M32" s="23">
        <v>3097.3000000000006</v>
      </c>
      <c r="N32" s="23">
        <v>3113.8999999999942</v>
      </c>
      <c r="O32" s="23">
        <v>3020.7</v>
      </c>
      <c r="P32" s="23">
        <v>2920.8</v>
      </c>
      <c r="Q32" s="23">
        <v>2793.9000000000065</v>
      </c>
      <c r="R32" s="23">
        <v>2732.9000000000028</v>
      </c>
      <c r="S32" s="23">
        <v>2765</v>
      </c>
      <c r="T32" s="23">
        <v>2768.1999999999944</v>
      </c>
      <c r="U32" s="23">
        <v>2862.2000000000044</v>
      </c>
      <c r="V32" s="23">
        <v>3033.1999999999989</v>
      </c>
      <c r="W32" s="23">
        <v>3173.1999999999953</v>
      </c>
      <c r="X32" s="23">
        <v>3277.2000000000062</v>
      </c>
      <c r="Y32" s="23">
        <v>3383.3999999999924</v>
      </c>
      <c r="Z32" s="23">
        <v>3484.4999999999955</v>
      </c>
      <c r="AA32" s="23">
        <v>4289.8000000000047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896.1</v>
      </c>
      <c r="E33" s="23">
        <v>940</v>
      </c>
      <c r="F33" s="23">
        <v>1034.8</v>
      </c>
      <c r="G33" s="23">
        <v>1141.4000000000001</v>
      </c>
      <c r="H33" s="23">
        <v>1248.5999999999999</v>
      </c>
      <c r="I33" s="23">
        <v>1399.6</v>
      </c>
      <c r="J33" s="23">
        <v>1466.6</v>
      </c>
      <c r="K33" s="23">
        <v>1626.8</v>
      </c>
      <c r="L33" s="23">
        <v>1807.7</v>
      </c>
      <c r="M33" s="23">
        <v>1857.5</v>
      </c>
      <c r="N33" s="23">
        <v>1967</v>
      </c>
      <c r="O33" s="23">
        <v>1965.5</v>
      </c>
      <c r="P33" s="23">
        <v>1935.9</v>
      </c>
      <c r="Q33" s="23">
        <v>1913.2</v>
      </c>
      <c r="R33" s="23">
        <v>1880.2</v>
      </c>
      <c r="S33" s="23">
        <v>1845.6</v>
      </c>
      <c r="T33" s="23">
        <v>2000.8</v>
      </c>
      <c r="U33" s="23">
        <v>2095.9</v>
      </c>
      <c r="V33" s="23">
        <v>2213.1999999999998</v>
      </c>
      <c r="W33" s="23">
        <v>2344.6</v>
      </c>
      <c r="X33" s="23">
        <v>2336.5</v>
      </c>
      <c r="Y33" s="23">
        <v>2575</v>
      </c>
      <c r="Z33" s="23">
        <v>2789.5</v>
      </c>
      <c r="AA33" s="23">
        <v>3170.6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983.5</v>
      </c>
      <c r="E34" s="23">
        <v>1013.9</v>
      </c>
      <c r="F34" s="23">
        <v>1082.5999999999999</v>
      </c>
      <c r="G34" s="23">
        <v>1131.0999999999999</v>
      </c>
      <c r="H34" s="23">
        <v>1240.0999999999999</v>
      </c>
      <c r="I34" s="23">
        <v>1330.3</v>
      </c>
      <c r="J34" s="23">
        <v>1410</v>
      </c>
      <c r="K34" s="23">
        <v>1544.6</v>
      </c>
      <c r="L34" s="23">
        <v>1685.1</v>
      </c>
      <c r="M34" s="23">
        <v>1739.4</v>
      </c>
      <c r="N34" s="23">
        <v>1782</v>
      </c>
      <c r="O34" s="23">
        <v>1798.8</v>
      </c>
      <c r="P34" s="23">
        <v>1788.8</v>
      </c>
      <c r="Q34" s="23">
        <v>1776.2</v>
      </c>
      <c r="R34" s="23">
        <v>1766.7</v>
      </c>
      <c r="S34" s="23">
        <v>1837.4</v>
      </c>
      <c r="T34" s="23">
        <v>1949.4</v>
      </c>
      <c r="U34" s="23">
        <v>2046.1</v>
      </c>
      <c r="V34" s="23">
        <v>2172.6999999999998</v>
      </c>
      <c r="W34" s="23">
        <v>2340.5</v>
      </c>
      <c r="X34" s="23">
        <v>2449.9</v>
      </c>
      <c r="Y34" s="23">
        <v>2721.6</v>
      </c>
      <c r="Z34" s="23">
        <v>2971.8</v>
      </c>
      <c r="AA34" s="23">
        <v>3597.3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191.29999999999995</v>
      </c>
      <c r="E35" s="23">
        <v>240.40000000000003</v>
      </c>
      <c r="F35" s="23">
        <v>305.3</v>
      </c>
      <c r="G35" s="23">
        <v>287.3</v>
      </c>
      <c r="H35" s="23">
        <v>300.40000000000003</v>
      </c>
      <c r="I35" s="23">
        <v>369.59999999999997</v>
      </c>
      <c r="J35" s="23">
        <v>448.69999999999993</v>
      </c>
      <c r="K35" s="23">
        <v>471.89999999999986</v>
      </c>
      <c r="L35" s="23">
        <v>542.1</v>
      </c>
      <c r="M35" s="23">
        <v>543.79999999999995</v>
      </c>
      <c r="N35" s="23">
        <v>607.70000000000005</v>
      </c>
      <c r="O35" s="23">
        <v>634</v>
      </c>
      <c r="P35" s="23">
        <v>623.89999999999986</v>
      </c>
      <c r="Q35" s="23">
        <v>654.6</v>
      </c>
      <c r="R35" s="23">
        <v>653.5</v>
      </c>
      <c r="S35" s="23">
        <v>629.59999999999991</v>
      </c>
      <c r="T35" s="23">
        <v>723.80000000000007</v>
      </c>
      <c r="U35" s="23">
        <v>800.5</v>
      </c>
      <c r="V35" s="23">
        <v>880.30000000000018</v>
      </c>
      <c r="W35" s="23">
        <v>964.4</v>
      </c>
      <c r="X35" s="23">
        <v>775.90000000000009</v>
      </c>
      <c r="Y35" s="23">
        <v>803.8</v>
      </c>
      <c r="Z35" s="23">
        <v>973.19999999999993</v>
      </c>
      <c r="AA35" s="23">
        <v>977.80000000000007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259</v>
      </c>
      <c r="E36" s="23">
        <v>286.5</v>
      </c>
      <c r="F36" s="23">
        <v>324.8</v>
      </c>
      <c r="G36" s="23">
        <v>364.3</v>
      </c>
      <c r="H36" s="23">
        <v>392.7</v>
      </c>
      <c r="I36" s="23">
        <v>434.8</v>
      </c>
      <c r="J36" s="23">
        <v>471.7</v>
      </c>
      <c r="K36" s="23">
        <v>492.7</v>
      </c>
      <c r="L36" s="23">
        <v>525.29999999999995</v>
      </c>
      <c r="M36" s="23">
        <v>541.6</v>
      </c>
      <c r="N36" s="23">
        <v>550.1</v>
      </c>
      <c r="O36" s="23">
        <v>558.5</v>
      </c>
      <c r="P36" s="23">
        <v>575.70000000000005</v>
      </c>
      <c r="Q36" s="23">
        <v>589.79999999999995</v>
      </c>
      <c r="R36" s="23">
        <v>616.29999999999995</v>
      </c>
      <c r="S36" s="23">
        <v>618.6</v>
      </c>
      <c r="T36" s="23">
        <v>682.5</v>
      </c>
      <c r="U36" s="23">
        <v>734.7</v>
      </c>
      <c r="V36" s="23">
        <v>765.8</v>
      </c>
      <c r="W36" s="23">
        <v>859.2</v>
      </c>
      <c r="X36" s="23">
        <v>738.9</v>
      </c>
      <c r="Y36" s="23">
        <v>860.5</v>
      </c>
      <c r="Z36" s="23">
        <v>946.7</v>
      </c>
      <c r="AA36" s="23">
        <v>994.3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42.6</v>
      </c>
      <c r="E37" s="23">
        <v>44.7</v>
      </c>
      <c r="F37" s="23">
        <v>50</v>
      </c>
      <c r="G37" s="23">
        <v>54</v>
      </c>
      <c r="H37" s="23">
        <v>57.9</v>
      </c>
      <c r="I37" s="23">
        <v>62.6</v>
      </c>
      <c r="J37" s="23">
        <v>67.900000000000006</v>
      </c>
      <c r="K37" s="23">
        <v>74.5</v>
      </c>
      <c r="L37" s="23">
        <v>80.599999999999994</v>
      </c>
      <c r="M37" s="23">
        <v>72.400000000000006</v>
      </c>
      <c r="N37" s="23">
        <v>68.099999999999994</v>
      </c>
      <c r="O37" s="23">
        <v>53</v>
      </c>
      <c r="P37" s="23">
        <v>45.7</v>
      </c>
      <c r="Q37" s="23">
        <v>40.4</v>
      </c>
      <c r="R37" s="23">
        <v>24.7</v>
      </c>
      <c r="S37" s="23">
        <v>19.899999999999999</v>
      </c>
      <c r="T37" s="23">
        <v>17.399999999999999</v>
      </c>
      <c r="U37" s="23">
        <v>19.5</v>
      </c>
      <c r="V37" s="23">
        <v>18.8</v>
      </c>
      <c r="W37" s="23">
        <v>17.899999999999999</v>
      </c>
      <c r="X37" s="23">
        <v>15.4</v>
      </c>
      <c r="Y37" s="23">
        <v>15.7</v>
      </c>
      <c r="Z37" s="23">
        <v>15.9</v>
      </c>
      <c r="AA37" s="23">
        <v>16.100000000000001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19552.8</v>
      </c>
      <c r="E39" s="30">
        <f t="shared" ref="E39:Y39" si="2">SUM(E18:E38)</f>
        <v>21541.500000000004</v>
      </c>
      <c r="F39" s="30">
        <f t="shared" si="2"/>
        <v>23840.899999999998</v>
      </c>
      <c r="G39" s="30">
        <f t="shared" si="2"/>
        <v>25915</v>
      </c>
      <c r="H39" s="30">
        <f t="shared" si="2"/>
        <v>28460.1</v>
      </c>
      <c r="I39" s="30">
        <f t="shared" si="2"/>
        <v>31042.899999999994</v>
      </c>
      <c r="J39" s="30">
        <f t="shared" si="2"/>
        <v>34128.69999999999</v>
      </c>
      <c r="K39" s="30">
        <f t="shared" si="2"/>
        <v>37497.5</v>
      </c>
      <c r="L39" s="30">
        <f t="shared" si="2"/>
        <v>40999.599999999991</v>
      </c>
      <c r="M39" s="30">
        <f t="shared" si="2"/>
        <v>39180.300000000003</v>
      </c>
      <c r="N39" s="30">
        <f t="shared" si="2"/>
        <v>39021.69999999999</v>
      </c>
      <c r="O39" s="30">
        <f t="shared" si="2"/>
        <v>39053.599999999999</v>
      </c>
      <c r="P39" s="30">
        <f t="shared" si="2"/>
        <v>37756.5</v>
      </c>
      <c r="Q39" s="30">
        <f t="shared" si="2"/>
        <v>37333</v>
      </c>
      <c r="R39" s="30">
        <f t="shared" si="2"/>
        <v>36809.399999999994</v>
      </c>
      <c r="S39" s="30">
        <f t="shared" si="2"/>
        <v>37593.000000000007</v>
      </c>
      <c r="T39" s="30">
        <f t="shared" si="2"/>
        <v>39288.000000000007</v>
      </c>
      <c r="U39" s="30">
        <f t="shared" si="2"/>
        <v>41338.800000000003</v>
      </c>
      <c r="V39" s="30">
        <f t="shared" si="2"/>
        <v>43358.2</v>
      </c>
      <c r="W39" s="30">
        <f t="shared" si="2"/>
        <v>45507.499999999993</v>
      </c>
      <c r="X39" s="30">
        <f t="shared" si="2"/>
        <v>41979.500000000007</v>
      </c>
      <c r="Y39" s="30">
        <f t="shared" si="2"/>
        <v>47880.299999999996</v>
      </c>
      <c r="Z39" s="30">
        <f t="shared" ref="Z39:AA39" si="3">SUM(Z18:Z38)</f>
        <v>56303.499999999993</v>
      </c>
      <c r="AA39" s="30">
        <f t="shared" si="3"/>
        <v>65124.000000000007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881.3</v>
      </c>
      <c r="E41" s="19">
        <v>921.6</v>
      </c>
      <c r="F41" s="19">
        <v>1025.5</v>
      </c>
      <c r="G41" s="19">
        <v>1076.4000000000001</v>
      </c>
      <c r="H41" s="19">
        <v>1210.3</v>
      </c>
      <c r="I41" s="19">
        <v>1283.8</v>
      </c>
      <c r="J41" s="19">
        <v>1396.6</v>
      </c>
      <c r="K41" s="19">
        <v>1434</v>
      </c>
      <c r="L41" s="19">
        <v>1564.1</v>
      </c>
      <c r="M41" s="19">
        <v>1531.6</v>
      </c>
      <c r="N41" s="19">
        <v>1543.3</v>
      </c>
      <c r="O41" s="19">
        <v>1615.8</v>
      </c>
      <c r="P41" s="19">
        <v>1570.6</v>
      </c>
      <c r="Q41" s="19">
        <v>1530.6</v>
      </c>
      <c r="R41" s="19">
        <v>1474.8</v>
      </c>
      <c r="S41" s="19">
        <v>1447.8</v>
      </c>
      <c r="T41" s="19">
        <v>1462.8</v>
      </c>
      <c r="U41" s="19">
        <v>1499.3</v>
      </c>
      <c r="V41" s="19">
        <v>1565.1</v>
      </c>
      <c r="W41" s="19">
        <v>1598.1</v>
      </c>
      <c r="X41" s="19">
        <v>1368.1</v>
      </c>
      <c r="Y41" s="19">
        <v>1387.7</v>
      </c>
      <c r="Z41" s="19">
        <v>1536.3</v>
      </c>
      <c r="AA41" s="19">
        <v>1787.2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335.8</v>
      </c>
      <c r="E42" s="23">
        <v>356.2</v>
      </c>
      <c r="F42" s="23">
        <v>382.8</v>
      </c>
      <c r="G42" s="23">
        <v>374.3</v>
      </c>
      <c r="H42" s="23">
        <v>373.8</v>
      </c>
      <c r="I42" s="23">
        <v>375.1</v>
      </c>
      <c r="J42" s="23">
        <v>389.8</v>
      </c>
      <c r="K42" s="23">
        <v>399</v>
      </c>
      <c r="L42" s="23">
        <v>403.1</v>
      </c>
      <c r="M42" s="23">
        <v>354.3</v>
      </c>
      <c r="N42" s="23">
        <v>345.7</v>
      </c>
      <c r="O42" s="23">
        <v>354.6</v>
      </c>
      <c r="P42" s="23">
        <v>325.2</v>
      </c>
      <c r="Q42" s="23">
        <v>318.3</v>
      </c>
      <c r="R42" s="23">
        <v>328.7</v>
      </c>
      <c r="S42" s="23">
        <v>295.5</v>
      </c>
      <c r="T42" s="23">
        <v>315.10000000000002</v>
      </c>
      <c r="U42" s="23">
        <v>338.9</v>
      </c>
      <c r="V42" s="23">
        <v>350.2</v>
      </c>
      <c r="W42" s="23">
        <v>386.1</v>
      </c>
      <c r="X42" s="23">
        <v>319.2</v>
      </c>
      <c r="Y42" s="23">
        <v>342.7</v>
      </c>
      <c r="Z42" s="23">
        <v>386.8</v>
      </c>
      <c r="AA42" s="23">
        <v>380.8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316.2</v>
      </c>
      <c r="E43" s="23">
        <v>322.60000000000002</v>
      </c>
      <c r="F43" s="23">
        <v>358.8</v>
      </c>
      <c r="G43" s="23">
        <v>386.7</v>
      </c>
      <c r="H43" s="23">
        <v>394.5</v>
      </c>
      <c r="I43" s="23">
        <v>402</v>
      </c>
      <c r="J43" s="23">
        <v>412.1</v>
      </c>
      <c r="K43" s="23">
        <v>495.9</v>
      </c>
      <c r="L43" s="23">
        <v>539.70000000000005</v>
      </c>
      <c r="M43" s="23">
        <v>460.8</v>
      </c>
      <c r="N43" s="23">
        <v>416.2</v>
      </c>
      <c r="O43" s="23">
        <v>428.9</v>
      </c>
      <c r="P43" s="23">
        <v>407.3</v>
      </c>
      <c r="Q43" s="23">
        <v>413.9</v>
      </c>
      <c r="R43" s="23">
        <v>454.9</v>
      </c>
      <c r="S43" s="23">
        <v>508.2</v>
      </c>
      <c r="T43" s="23">
        <v>535</v>
      </c>
      <c r="U43" s="23">
        <v>567.1</v>
      </c>
      <c r="V43" s="23">
        <v>599.79999999999995</v>
      </c>
      <c r="W43" s="23">
        <v>677.2</v>
      </c>
      <c r="X43" s="23">
        <v>545.9</v>
      </c>
      <c r="Y43" s="23">
        <v>732.9</v>
      </c>
      <c r="Z43" s="23">
        <v>878.7</v>
      </c>
      <c r="AA43" s="23">
        <v>929.6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502</v>
      </c>
      <c r="E44" s="23">
        <v>473.9</v>
      </c>
      <c r="F44" s="23">
        <v>326.3</v>
      </c>
      <c r="G44" s="23">
        <v>393.2</v>
      </c>
      <c r="H44" s="23">
        <v>522.29999999999995</v>
      </c>
      <c r="I44" s="23">
        <v>530.5</v>
      </c>
      <c r="J44" s="23">
        <v>491.8</v>
      </c>
      <c r="K44" s="23">
        <v>548.9</v>
      </c>
      <c r="L44" s="23">
        <v>438.2</v>
      </c>
      <c r="M44" s="23">
        <v>535.70000000000005</v>
      </c>
      <c r="N44" s="23">
        <v>676.9</v>
      </c>
      <c r="O44" s="23">
        <v>902.9</v>
      </c>
      <c r="P44" s="23">
        <v>929.1</v>
      </c>
      <c r="Q44" s="23">
        <v>748</v>
      </c>
      <c r="R44" s="23">
        <v>590.29999999999995</v>
      </c>
      <c r="S44" s="23">
        <v>572.20000000000005</v>
      </c>
      <c r="T44" s="23">
        <v>519.9</v>
      </c>
      <c r="U44" s="23">
        <v>557.4</v>
      </c>
      <c r="V44" s="23">
        <v>532.5</v>
      </c>
      <c r="W44" s="23">
        <v>518.4</v>
      </c>
      <c r="X44" s="23">
        <v>184</v>
      </c>
      <c r="Y44" s="23">
        <v>379.9</v>
      </c>
      <c r="Z44" s="23">
        <v>827.9</v>
      </c>
      <c r="AA44" s="23">
        <v>727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212.5</v>
      </c>
      <c r="E45" s="23">
        <v>228.8</v>
      </c>
      <c r="F45" s="23">
        <v>183.4</v>
      </c>
      <c r="G45" s="23">
        <v>158.5</v>
      </c>
      <c r="H45" s="23">
        <v>167.8</v>
      </c>
      <c r="I45" s="23">
        <v>186.7</v>
      </c>
      <c r="J45" s="23">
        <v>155.1</v>
      </c>
      <c r="K45" s="23">
        <v>182.5</v>
      </c>
      <c r="L45" s="23">
        <v>205.3</v>
      </c>
      <c r="M45" s="23">
        <v>185.2</v>
      </c>
      <c r="N45" s="23">
        <v>210.3</v>
      </c>
      <c r="O45" s="23">
        <v>206.6</v>
      </c>
      <c r="P45" s="23">
        <v>206.5</v>
      </c>
      <c r="Q45" s="23">
        <v>170.1</v>
      </c>
      <c r="R45" s="23">
        <v>163.6</v>
      </c>
      <c r="S45" s="23">
        <v>180.6</v>
      </c>
      <c r="T45" s="23">
        <v>168.1</v>
      </c>
      <c r="U45" s="23">
        <v>162.9</v>
      </c>
      <c r="V45" s="23">
        <v>137.9</v>
      </c>
      <c r="W45" s="23">
        <v>217.1</v>
      </c>
      <c r="X45" s="23">
        <v>242.6</v>
      </c>
      <c r="Y45" s="23">
        <v>201.8</v>
      </c>
      <c r="Z45" s="23">
        <v>151.30000000000001</v>
      </c>
      <c r="AA45" s="23">
        <v>167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337.8</v>
      </c>
      <c r="E46" s="23">
        <v>366.8</v>
      </c>
      <c r="F46" s="23">
        <v>307.39999999999998</v>
      </c>
      <c r="G46" s="23">
        <v>283.2</v>
      </c>
      <c r="H46" s="23">
        <v>291.10000000000002</v>
      </c>
      <c r="I46" s="23">
        <v>275.10000000000002</v>
      </c>
      <c r="J46" s="23">
        <v>207.7</v>
      </c>
      <c r="K46" s="23">
        <v>243.7</v>
      </c>
      <c r="L46" s="23">
        <v>346.7</v>
      </c>
      <c r="M46" s="23">
        <v>279.8</v>
      </c>
      <c r="N46" s="23">
        <v>343.8</v>
      </c>
      <c r="O46" s="23">
        <v>327.5</v>
      </c>
      <c r="P46" s="23">
        <v>365.3</v>
      </c>
      <c r="Q46" s="23">
        <v>363</v>
      </c>
      <c r="R46" s="23">
        <v>386.7</v>
      </c>
      <c r="S46" s="23">
        <v>375.7</v>
      </c>
      <c r="T46" s="23">
        <v>377.3</v>
      </c>
      <c r="U46" s="23">
        <v>364</v>
      </c>
      <c r="V46" s="23">
        <v>372.1</v>
      </c>
      <c r="W46" s="23">
        <v>376</v>
      </c>
      <c r="X46" s="23">
        <v>433.9</v>
      </c>
      <c r="Y46" s="23">
        <v>374</v>
      </c>
      <c r="Z46" s="23">
        <v>411.7</v>
      </c>
      <c r="AA46" s="23">
        <v>449.6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340.6</v>
      </c>
      <c r="E47" s="23">
        <v>386.7</v>
      </c>
      <c r="F47" s="23">
        <v>430.1</v>
      </c>
      <c r="G47" s="23">
        <v>474.9</v>
      </c>
      <c r="H47" s="23">
        <v>506</v>
      </c>
      <c r="I47" s="23">
        <v>525.6</v>
      </c>
      <c r="J47" s="23">
        <v>595</v>
      </c>
      <c r="K47" s="23">
        <v>669.6</v>
      </c>
      <c r="L47" s="23">
        <v>704</v>
      </c>
      <c r="M47" s="23">
        <v>616.5</v>
      </c>
      <c r="N47" s="23">
        <v>458</v>
      </c>
      <c r="O47" s="23">
        <v>486.1</v>
      </c>
      <c r="P47" s="23">
        <v>482.6</v>
      </c>
      <c r="Q47" s="23">
        <v>477.7</v>
      </c>
      <c r="R47" s="23">
        <v>508.7</v>
      </c>
      <c r="S47" s="23">
        <v>550.6</v>
      </c>
      <c r="T47" s="23">
        <v>593.79999999999995</v>
      </c>
      <c r="U47" s="23">
        <v>616</v>
      </c>
      <c r="V47" s="23">
        <v>636.5</v>
      </c>
      <c r="W47" s="23">
        <v>604.6</v>
      </c>
      <c r="X47" s="23">
        <v>721.8</v>
      </c>
      <c r="Y47" s="23">
        <v>785</v>
      </c>
      <c r="Z47" s="23">
        <v>880.6</v>
      </c>
      <c r="AA47" s="23">
        <v>1030.7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279.3</v>
      </c>
      <c r="E48" s="23">
        <v>320.7</v>
      </c>
      <c r="F48" s="23">
        <v>410.1</v>
      </c>
      <c r="G48" s="23">
        <v>440.5</v>
      </c>
      <c r="H48" s="23">
        <v>456.1</v>
      </c>
      <c r="I48" s="23">
        <v>495.1</v>
      </c>
      <c r="J48" s="23">
        <v>603.79999999999995</v>
      </c>
      <c r="K48" s="23">
        <v>672.4</v>
      </c>
      <c r="L48" s="23">
        <v>707.7</v>
      </c>
      <c r="M48" s="23">
        <v>640.29999999999995</v>
      </c>
      <c r="N48" s="23">
        <v>570.6</v>
      </c>
      <c r="O48" s="23">
        <v>600.5</v>
      </c>
      <c r="P48" s="23">
        <v>580.4</v>
      </c>
      <c r="Q48" s="23">
        <v>597.29999999999995</v>
      </c>
      <c r="R48" s="23">
        <v>614.1</v>
      </c>
      <c r="S48" s="23">
        <v>659.4</v>
      </c>
      <c r="T48" s="23">
        <v>792.2</v>
      </c>
      <c r="U48" s="23">
        <v>847.7</v>
      </c>
      <c r="V48" s="23">
        <v>846.5</v>
      </c>
      <c r="W48" s="23">
        <v>813.3</v>
      </c>
      <c r="X48" s="23">
        <v>830</v>
      </c>
      <c r="Y48" s="23">
        <v>946.9</v>
      </c>
      <c r="Z48" s="23">
        <v>1115.5</v>
      </c>
      <c r="AA48" s="23">
        <v>1299.8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144.1</v>
      </c>
      <c r="E49" s="23">
        <v>158</v>
      </c>
      <c r="F49" s="23">
        <v>166.5</v>
      </c>
      <c r="G49" s="23">
        <v>193.6</v>
      </c>
      <c r="H49" s="23">
        <v>217</v>
      </c>
      <c r="I49" s="23">
        <v>232.6</v>
      </c>
      <c r="J49" s="23">
        <v>259.3</v>
      </c>
      <c r="K49" s="23">
        <v>297</v>
      </c>
      <c r="L49" s="23">
        <v>315.7</v>
      </c>
      <c r="M49" s="23">
        <v>291.7</v>
      </c>
      <c r="N49" s="23">
        <v>276.7</v>
      </c>
      <c r="O49" s="23">
        <v>249.3</v>
      </c>
      <c r="P49" s="23">
        <v>219.3</v>
      </c>
      <c r="Q49" s="23">
        <v>175.5</v>
      </c>
      <c r="R49" s="23">
        <v>170.8</v>
      </c>
      <c r="S49" s="23">
        <v>185.3</v>
      </c>
      <c r="T49" s="23">
        <v>225.7</v>
      </c>
      <c r="U49" s="23">
        <v>217.3</v>
      </c>
      <c r="V49" s="23">
        <v>234.1</v>
      </c>
      <c r="W49" s="23">
        <v>195.5</v>
      </c>
      <c r="X49" s="23">
        <v>208</v>
      </c>
      <c r="Y49" s="23">
        <v>124.3</v>
      </c>
      <c r="Z49" s="23">
        <v>144.80000000000001</v>
      </c>
      <c r="AA49" s="23">
        <v>171.4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141</v>
      </c>
      <c r="E50" s="23">
        <v>158.4</v>
      </c>
      <c r="F50" s="23">
        <v>168.4</v>
      </c>
      <c r="G50" s="23">
        <v>189.8</v>
      </c>
      <c r="H50" s="23">
        <v>222</v>
      </c>
      <c r="I50" s="23">
        <v>227.7</v>
      </c>
      <c r="J50" s="23">
        <v>264</v>
      </c>
      <c r="K50" s="23">
        <v>281</v>
      </c>
      <c r="L50" s="23">
        <v>326.2</v>
      </c>
      <c r="M50" s="23">
        <v>302.7</v>
      </c>
      <c r="N50" s="23">
        <v>262.5</v>
      </c>
      <c r="O50" s="23">
        <v>237.1</v>
      </c>
      <c r="P50" s="23">
        <v>196</v>
      </c>
      <c r="Q50" s="23">
        <v>196.1</v>
      </c>
      <c r="R50" s="23">
        <v>229.1</v>
      </c>
      <c r="S50" s="23">
        <v>246.4</v>
      </c>
      <c r="T50" s="23">
        <v>281.8</v>
      </c>
      <c r="U50" s="23">
        <v>293.8</v>
      </c>
      <c r="V50" s="23">
        <v>293.60000000000002</v>
      </c>
      <c r="W50" s="23">
        <v>277.5</v>
      </c>
      <c r="X50" s="23">
        <v>295.8</v>
      </c>
      <c r="Y50" s="23">
        <v>356.1</v>
      </c>
      <c r="Z50" s="23">
        <v>440.7</v>
      </c>
      <c r="AA50" s="23">
        <v>604.70000000000005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116.2</v>
      </c>
      <c r="E51" s="23">
        <v>185.6</v>
      </c>
      <c r="F51" s="23">
        <v>202</v>
      </c>
      <c r="G51" s="23">
        <v>198.2</v>
      </c>
      <c r="H51" s="23">
        <v>217</v>
      </c>
      <c r="I51" s="23">
        <v>225.7</v>
      </c>
      <c r="J51" s="23">
        <v>250.3</v>
      </c>
      <c r="K51" s="23">
        <v>284.10000000000002</v>
      </c>
      <c r="L51" s="23">
        <v>266.2</v>
      </c>
      <c r="M51" s="23">
        <v>225.9</v>
      </c>
      <c r="N51" s="23">
        <v>214.1</v>
      </c>
      <c r="O51" s="23">
        <v>232</v>
      </c>
      <c r="P51" s="23">
        <v>217.8</v>
      </c>
      <c r="Q51" s="23">
        <v>220.2</v>
      </c>
      <c r="R51" s="23">
        <v>236.1</v>
      </c>
      <c r="S51" s="23">
        <v>259.8</v>
      </c>
      <c r="T51" s="23">
        <v>276.5</v>
      </c>
      <c r="U51" s="23">
        <v>287.89999999999998</v>
      </c>
      <c r="V51" s="23">
        <v>290.5</v>
      </c>
      <c r="W51" s="23">
        <v>296.89999999999998</v>
      </c>
      <c r="X51" s="23">
        <v>308.60000000000002</v>
      </c>
      <c r="Y51" s="23">
        <v>379.9</v>
      </c>
      <c r="Z51" s="23">
        <v>411.4</v>
      </c>
      <c r="AA51" s="23">
        <v>475.6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165.7</v>
      </c>
      <c r="E52" s="23">
        <v>172.6</v>
      </c>
      <c r="F52" s="23">
        <v>209.2</v>
      </c>
      <c r="G52" s="23">
        <v>208.6</v>
      </c>
      <c r="H52" s="23">
        <v>245.1</v>
      </c>
      <c r="I52" s="23">
        <v>223.2</v>
      </c>
      <c r="J52" s="23">
        <v>277</v>
      </c>
      <c r="K52" s="23">
        <v>284.39999999999998</v>
      </c>
      <c r="L52" s="23">
        <v>301.5</v>
      </c>
      <c r="M52" s="23">
        <v>286.60000000000002</v>
      </c>
      <c r="N52" s="23">
        <v>276.60000000000002</v>
      </c>
      <c r="O52" s="23">
        <v>260.3</v>
      </c>
      <c r="P52" s="23">
        <v>229.2</v>
      </c>
      <c r="Q52" s="23">
        <v>98.5</v>
      </c>
      <c r="R52" s="23">
        <v>125.3</v>
      </c>
      <c r="S52" s="23">
        <v>122.8</v>
      </c>
      <c r="T52" s="23">
        <v>149.80000000000001</v>
      </c>
      <c r="U52" s="23">
        <v>144.6</v>
      </c>
      <c r="V52" s="23">
        <v>129.30000000000001</v>
      </c>
      <c r="W52" s="23">
        <v>254.8</v>
      </c>
      <c r="X52" s="23">
        <v>149.19999999999999</v>
      </c>
      <c r="Y52" s="23">
        <v>173.2</v>
      </c>
      <c r="Z52" s="23">
        <v>261.7</v>
      </c>
      <c r="AA52" s="23">
        <v>345.6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168.19999999999982</v>
      </c>
      <c r="E53" s="23">
        <v>190.20000000000027</v>
      </c>
      <c r="F53" s="23">
        <v>207.10000000000036</v>
      </c>
      <c r="G53" s="23">
        <v>225.59999999999945</v>
      </c>
      <c r="H53" s="23">
        <v>252</v>
      </c>
      <c r="I53" s="23">
        <v>279.40000000000055</v>
      </c>
      <c r="J53" s="23">
        <v>291.30000000000018</v>
      </c>
      <c r="K53" s="23">
        <v>357</v>
      </c>
      <c r="L53" s="23">
        <v>415.30000000000109</v>
      </c>
      <c r="M53" s="23">
        <v>364.60000000000036</v>
      </c>
      <c r="N53" s="23">
        <v>362.79999999999927</v>
      </c>
      <c r="O53" s="23">
        <v>350.39999999999873</v>
      </c>
      <c r="P53" s="23">
        <v>334.89999999999964</v>
      </c>
      <c r="Q53" s="23">
        <v>339.90000000000055</v>
      </c>
      <c r="R53" s="23">
        <v>354.79999999999927</v>
      </c>
      <c r="S53" s="23">
        <v>389.80000000000109</v>
      </c>
      <c r="T53" s="23">
        <v>427.5</v>
      </c>
      <c r="U53" s="23">
        <v>509.19999999999982</v>
      </c>
      <c r="V53" s="23">
        <v>534.59999999999854</v>
      </c>
      <c r="W53" s="23">
        <v>473.39999999999964</v>
      </c>
      <c r="X53" s="23">
        <v>558.29999999999927</v>
      </c>
      <c r="Y53" s="23">
        <v>622.70000000000073</v>
      </c>
      <c r="Z53" s="23">
        <v>851.69999999999982</v>
      </c>
      <c r="AA53" s="23">
        <v>1088.6000000000004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3940.7</v>
      </c>
      <c r="E54" s="30">
        <f t="shared" ref="E54:Y54" si="4">SUM(E41:E53)</f>
        <v>4242.1000000000004</v>
      </c>
      <c r="F54" s="30">
        <f t="shared" si="4"/>
        <v>4377.6000000000004</v>
      </c>
      <c r="G54" s="30">
        <f t="shared" si="4"/>
        <v>4603.5</v>
      </c>
      <c r="H54" s="30">
        <f t="shared" si="4"/>
        <v>5075</v>
      </c>
      <c r="I54" s="30">
        <f t="shared" si="4"/>
        <v>5262.5</v>
      </c>
      <c r="J54" s="30">
        <f t="shared" si="4"/>
        <v>5593.8</v>
      </c>
      <c r="K54" s="30">
        <f t="shared" si="4"/>
        <v>6149.5</v>
      </c>
      <c r="L54" s="30">
        <f t="shared" si="4"/>
        <v>6533.7</v>
      </c>
      <c r="M54" s="30">
        <f t="shared" si="4"/>
        <v>6075.7</v>
      </c>
      <c r="N54" s="30">
        <f t="shared" si="4"/>
        <v>5957.5</v>
      </c>
      <c r="O54" s="30">
        <f t="shared" si="4"/>
        <v>6252</v>
      </c>
      <c r="P54" s="30">
        <f t="shared" si="4"/>
        <v>6064.2</v>
      </c>
      <c r="Q54" s="30">
        <f t="shared" si="4"/>
        <v>5649.1</v>
      </c>
      <c r="R54" s="30">
        <f t="shared" si="4"/>
        <v>5637.9</v>
      </c>
      <c r="S54" s="30">
        <f t="shared" si="4"/>
        <v>5794.1</v>
      </c>
      <c r="T54" s="30">
        <f t="shared" si="4"/>
        <v>6125.5</v>
      </c>
      <c r="U54" s="30">
        <f t="shared" si="4"/>
        <v>6406.1</v>
      </c>
      <c r="V54" s="30">
        <f t="shared" si="4"/>
        <v>6522.7</v>
      </c>
      <c r="W54" s="30">
        <f t="shared" si="4"/>
        <v>6688.9</v>
      </c>
      <c r="X54" s="30">
        <f t="shared" si="4"/>
        <v>6165.4</v>
      </c>
      <c r="Y54" s="30">
        <f t="shared" si="4"/>
        <v>6807.1</v>
      </c>
      <c r="Z54" s="30">
        <f t="shared" ref="Z54:AA54" si="5">SUM(Z41:Z53)</f>
        <v>8299.1</v>
      </c>
      <c r="AA54" s="30">
        <f t="shared" si="5"/>
        <v>9457.6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881.3</v>
      </c>
      <c r="E56" s="19">
        <v>921.6</v>
      </c>
      <c r="F56" s="19">
        <v>1025.5</v>
      </c>
      <c r="G56" s="19">
        <v>1076.4000000000001</v>
      </c>
      <c r="H56" s="19">
        <v>1210.3</v>
      </c>
      <c r="I56" s="19">
        <v>1283.8</v>
      </c>
      <c r="J56" s="19">
        <v>1396.6</v>
      </c>
      <c r="K56" s="19">
        <v>1434</v>
      </c>
      <c r="L56" s="19">
        <v>1564.1</v>
      </c>
      <c r="M56" s="19">
        <v>1531.6</v>
      </c>
      <c r="N56" s="19">
        <v>1543.3</v>
      </c>
      <c r="O56" s="19">
        <v>1615.8</v>
      </c>
      <c r="P56" s="19">
        <v>1570.6</v>
      </c>
      <c r="Q56" s="19">
        <v>1530.6</v>
      </c>
      <c r="R56" s="19">
        <v>1474.8</v>
      </c>
      <c r="S56" s="19">
        <v>1447.8</v>
      </c>
      <c r="T56" s="19">
        <v>1462.8</v>
      </c>
      <c r="U56" s="19">
        <v>1499.3</v>
      </c>
      <c r="V56" s="19">
        <v>1565.1</v>
      </c>
      <c r="W56" s="19">
        <v>1598.1</v>
      </c>
      <c r="X56" s="19">
        <v>1368.1</v>
      </c>
      <c r="Y56" s="19">
        <v>1387.7</v>
      </c>
      <c r="Z56" s="19">
        <v>1536.3</v>
      </c>
      <c r="AA56" s="19">
        <v>1787.2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335.8</v>
      </c>
      <c r="E57" s="23">
        <v>356.2</v>
      </c>
      <c r="F57" s="23">
        <v>382.8</v>
      </c>
      <c r="G57" s="23">
        <v>374.3</v>
      </c>
      <c r="H57" s="23">
        <v>373.8</v>
      </c>
      <c r="I57" s="23">
        <v>375.1</v>
      </c>
      <c r="J57" s="23">
        <v>389.8</v>
      </c>
      <c r="K57" s="23">
        <v>399</v>
      </c>
      <c r="L57" s="23">
        <v>403.1</v>
      </c>
      <c r="M57" s="23">
        <v>354.3</v>
      </c>
      <c r="N57" s="23">
        <v>345.7</v>
      </c>
      <c r="O57" s="23">
        <v>354.6</v>
      </c>
      <c r="P57" s="23">
        <v>325.2</v>
      </c>
      <c r="Q57" s="23">
        <v>318.3</v>
      </c>
      <c r="R57" s="23">
        <v>328.7</v>
      </c>
      <c r="S57" s="23">
        <v>295.5</v>
      </c>
      <c r="T57" s="23">
        <v>315.10000000000002</v>
      </c>
      <c r="U57" s="23">
        <v>338.9</v>
      </c>
      <c r="V57" s="23">
        <v>350.2</v>
      </c>
      <c r="W57" s="23">
        <v>386.1</v>
      </c>
      <c r="X57" s="23">
        <v>319.2</v>
      </c>
      <c r="Y57" s="23">
        <v>342.7</v>
      </c>
      <c r="Z57" s="23">
        <v>386.8</v>
      </c>
      <c r="AA57" s="23">
        <v>380.8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127</v>
      </c>
      <c r="E58" s="23">
        <v>118.1</v>
      </c>
      <c r="F58" s="23">
        <v>141.4</v>
      </c>
      <c r="G58" s="23">
        <v>154.9</v>
      </c>
      <c r="H58" s="23">
        <v>161.1</v>
      </c>
      <c r="I58" s="23">
        <v>167.7</v>
      </c>
      <c r="J58" s="23">
        <v>175.3</v>
      </c>
      <c r="K58" s="23">
        <v>217.5</v>
      </c>
      <c r="L58" s="23">
        <v>222.4</v>
      </c>
      <c r="M58" s="23">
        <v>195.1</v>
      </c>
      <c r="N58" s="23">
        <v>159.1</v>
      </c>
      <c r="O58" s="23">
        <v>164.7</v>
      </c>
      <c r="P58" s="23">
        <v>160.5</v>
      </c>
      <c r="Q58" s="23">
        <v>170.3</v>
      </c>
      <c r="R58" s="23">
        <v>194.8</v>
      </c>
      <c r="S58" s="23">
        <v>225.1</v>
      </c>
      <c r="T58" s="23">
        <v>252.2</v>
      </c>
      <c r="U58" s="23">
        <v>277.10000000000002</v>
      </c>
      <c r="V58" s="23">
        <v>287.3</v>
      </c>
      <c r="W58" s="23">
        <v>317.2</v>
      </c>
      <c r="X58" s="23">
        <v>172</v>
      </c>
      <c r="Y58" s="23">
        <v>252.7</v>
      </c>
      <c r="Z58" s="23">
        <v>481.9</v>
      </c>
      <c r="AA58" s="23">
        <v>519.70000000000005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93.9</v>
      </c>
      <c r="E59" s="23">
        <v>102.8</v>
      </c>
      <c r="F59" s="23">
        <v>106.2</v>
      </c>
      <c r="G59" s="23">
        <v>99.8</v>
      </c>
      <c r="H59" s="23">
        <v>104.6</v>
      </c>
      <c r="I59" s="23">
        <v>107.9</v>
      </c>
      <c r="J59" s="23">
        <v>101.9</v>
      </c>
      <c r="K59" s="23">
        <v>119.6</v>
      </c>
      <c r="L59" s="23">
        <v>132.1</v>
      </c>
      <c r="M59" s="23">
        <v>98.2</v>
      </c>
      <c r="N59" s="23">
        <v>92</v>
      </c>
      <c r="O59" s="23">
        <v>91.7</v>
      </c>
      <c r="P59" s="23">
        <v>88.7</v>
      </c>
      <c r="Q59" s="23">
        <v>86.1</v>
      </c>
      <c r="R59" s="23">
        <v>93.2</v>
      </c>
      <c r="S59" s="23">
        <v>100.5</v>
      </c>
      <c r="T59" s="23">
        <v>107</v>
      </c>
      <c r="U59" s="23">
        <v>98.1</v>
      </c>
      <c r="V59" s="23">
        <v>115.4</v>
      </c>
      <c r="W59" s="23">
        <v>136.9</v>
      </c>
      <c r="X59" s="23">
        <v>158</v>
      </c>
      <c r="Y59" s="23">
        <v>248.2</v>
      </c>
      <c r="Z59" s="23">
        <v>195.9</v>
      </c>
      <c r="AA59" s="23">
        <v>177.3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95.299999999999983</v>
      </c>
      <c r="E60" s="23">
        <v>101.70000000000005</v>
      </c>
      <c r="F60" s="23">
        <v>111.19999999999999</v>
      </c>
      <c r="G60" s="23">
        <v>132</v>
      </c>
      <c r="H60" s="23">
        <v>128.80000000000001</v>
      </c>
      <c r="I60" s="23">
        <v>126.39999999999998</v>
      </c>
      <c r="J60" s="23">
        <v>134.89999999999998</v>
      </c>
      <c r="K60" s="23">
        <v>158.79999999999995</v>
      </c>
      <c r="L60" s="23">
        <v>185.20000000000005</v>
      </c>
      <c r="M60" s="23">
        <v>167.5</v>
      </c>
      <c r="N60" s="23">
        <v>165.1</v>
      </c>
      <c r="O60" s="23">
        <v>172.5</v>
      </c>
      <c r="P60" s="23">
        <v>158.10000000000002</v>
      </c>
      <c r="Q60" s="23">
        <v>157.5</v>
      </c>
      <c r="R60" s="23">
        <v>166.89999999999998</v>
      </c>
      <c r="S60" s="23">
        <v>182.59999999999997</v>
      </c>
      <c r="T60" s="23">
        <v>175.8</v>
      </c>
      <c r="U60" s="23">
        <v>191.89999999999998</v>
      </c>
      <c r="V60" s="23">
        <v>197.09999999999991</v>
      </c>
      <c r="W60" s="23">
        <v>223.10000000000002</v>
      </c>
      <c r="X60" s="23">
        <v>215.89999999999998</v>
      </c>
      <c r="Y60" s="23">
        <v>232</v>
      </c>
      <c r="Z60" s="23">
        <v>200.90000000000009</v>
      </c>
      <c r="AA60" s="23">
        <v>232.60000000000002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502</v>
      </c>
      <c r="E61" s="23">
        <v>473.9</v>
      </c>
      <c r="F61" s="23">
        <v>326.3</v>
      </c>
      <c r="G61" s="23">
        <v>393.2</v>
      </c>
      <c r="H61" s="23">
        <v>522.29999999999995</v>
      </c>
      <c r="I61" s="23">
        <v>530.5</v>
      </c>
      <c r="J61" s="23">
        <v>491.8</v>
      </c>
      <c r="K61" s="23">
        <v>548.9</v>
      </c>
      <c r="L61" s="23">
        <v>438.2</v>
      </c>
      <c r="M61" s="23">
        <v>535.70000000000005</v>
      </c>
      <c r="N61" s="23">
        <v>676.9</v>
      </c>
      <c r="O61" s="23">
        <v>902.9</v>
      </c>
      <c r="P61" s="23">
        <v>929.1</v>
      </c>
      <c r="Q61" s="23">
        <v>748</v>
      </c>
      <c r="R61" s="23">
        <v>590.29999999999995</v>
      </c>
      <c r="S61" s="23">
        <v>572.20000000000005</v>
      </c>
      <c r="T61" s="23">
        <v>519.9</v>
      </c>
      <c r="U61" s="23">
        <v>557.4</v>
      </c>
      <c r="V61" s="23">
        <v>532.5</v>
      </c>
      <c r="W61" s="23">
        <v>518.4</v>
      </c>
      <c r="X61" s="23">
        <v>184</v>
      </c>
      <c r="Y61" s="23">
        <v>379.9</v>
      </c>
      <c r="Z61" s="23">
        <v>827.9</v>
      </c>
      <c r="AA61" s="23">
        <v>727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212.5</v>
      </c>
      <c r="E62" s="23">
        <v>228.8</v>
      </c>
      <c r="F62" s="23">
        <v>183.4</v>
      </c>
      <c r="G62" s="23">
        <v>158.5</v>
      </c>
      <c r="H62" s="23">
        <v>167.8</v>
      </c>
      <c r="I62" s="23">
        <v>186.7</v>
      </c>
      <c r="J62" s="23">
        <v>155.1</v>
      </c>
      <c r="K62" s="23">
        <v>182.5</v>
      </c>
      <c r="L62" s="23">
        <v>205.3</v>
      </c>
      <c r="M62" s="23">
        <v>185.2</v>
      </c>
      <c r="N62" s="23">
        <v>210.3</v>
      </c>
      <c r="O62" s="23">
        <v>206.6</v>
      </c>
      <c r="P62" s="23">
        <v>206.5</v>
      </c>
      <c r="Q62" s="23">
        <v>170.1</v>
      </c>
      <c r="R62" s="23">
        <v>163.6</v>
      </c>
      <c r="S62" s="23">
        <v>180.6</v>
      </c>
      <c r="T62" s="23">
        <v>168.1</v>
      </c>
      <c r="U62" s="23">
        <v>162.9</v>
      </c>
      <c r="V62" s="23">
        <v>137.9</v>
      </c>
      <c r="W62" s="23">
        <v>217.1</v>
      </c>
      <c r="X62" s="23">
        <v>242.6</v>
      </c>
      <c r="Y62" s="23">
        <v>201.8</v>
      </c>
      <c r="Z62" s="23">
        <v>151.30000000000001</v>
      </c>
      <c r="AA62" s="23">
        <v>167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337.8</v>
      </c>
      <c r="E63" s="23">
        <v>366.8</v>
      </c>
      <c r="F63" s="23">
        <v>307.39999999999998</v>
      </c>
      <c r="G63" s="23">
        <v>283.2</v>
      </c>
      <c r="H63" s="23">
        <v>291.10000000000002</v>
      </c>
      <c r="I63" s="23">
        <v>275.10000000000002</v>
      </c>
      <c r="J63" s="23">
        <v>207.7</v>
      </c>
      <c r="K63" s="23">
        <v>243.7</v>
      </c>
      <c r="L63" s="23">
        <v>346.7</v>
      </c>
      <c r="M63" s="23">
        <v>279.8</v>
      </c>
      <c r="N63" s="23">
        <v>343.8</v>
      </c>
      <c r="O63" s="23">
        <v>327.5</v>
      </c>
      <c r="P63" s="23">
        <v>365.3</v>
      </c>
      <c r="Q63" s="23">
        <v>363</v>
      </c>
      <c r="R63" s="23">
        <v>386.7</v>
      </c>
      <c r="S63" s="23">
        <v>375.7</v>
      </c>
      <c r="T63" s="23">
        <v>377.3</v>
      </c>
      <c r="U63" s="23">
        <v>364</v>
      </c>
      <c r="V63" s="23">
        <v>372.1</v>
      </c>
      <c r="W63" s="23">
        <v>376</v>
      </c>
      <c r="X63" s="23">
        <v>433.9</v>
      </c>
      <c r="Y63" s="23">
        <v>374</v>
      </c>
      <c r="Z63" s="23">
        <v>411.7</v>
      </c>
      <c r="AA63" s="23">
        <v>449.6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107.3</v>
      </c>
      <c r="E64" s="23">
        <v>127</v>
      </c>
      <c r="F64" s="23">
        <v>117.4</v>
      </c>
      <c r="G64" s="23">
        <v>130.80000000000001</v>
      </c>
      <c r="H64" s="23">
        <v>125.8</v>
      </c>
      <c r="I64" s="23">
        <v>135.30000000000001</v>
      </c>
      <c r="J64" s="23">
        <v>163.69999999999999</v>
      </c>
      <c r="K64" s="23">
        <v>181</v>
      </c>
      <c r="L64" s="23">
        <v>197.3</v>
      </c>
      <c r="M64" s="23">
        <v>197.4</v>
      </c>
      <c r="N64" s="23">
        <v>150.19999999999999</v>
      </c>
      <c r="O64" s="23">
        <v>181.3</v>
      </c>
      <c r="P64" s="23">
        <v>184.9</v>
      </c>
      <c r="Q64" s="23">
        <v>185</v>
      </c>
      <c r="R64" s="23">
        <v>207.4</v>
      </c>
      <c r="S64" s="23">
        <v>238.8</v>
      </c>
      <c r="T64" s="23">
        <v>248.5</v>
      </c>
      <c r="U64" s="23">
        <v>259.3</v>
      </c>
      <c r="V64" s="23">
        <v>258.8</v>
      </c>
      <c r="W64" s="23">
        <v>248.9</v>
      </c>
      <c r="X64" s="23">
        <v>292.2</v>
      </c>
      <c r="Y64" s="23">
        <v>336.9</v>
      </c>
      <c r="Z64" s="23">
        <v>371.1</v>
      </c>
      <c r="AA64" s="23">
        <v>396.7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233.3</v>
      </c>
      <c r="E65" s="23">
        <v>259.7</v>
      </c>
      <c r="F65" s="23">
        <v>312.70000000000005</v>
      </c>
      <c r="G65" s="23">
        <v>344.09999999999997</v>
      </c>
      <c r="H65" s="23">
        <v>380.2</v>
      </c>
      <c r="I65" s="23">
        <v>390.3</v>
      </c>
      <c r="J65" s="23">
        <v>431.3</v>
      </c>
      <c r="K65" s="23">
        <v>488.6</v>
      </c>
      <c r="L65" s="23">
        <v>506.7</v>
      </c>
      <c r="M65" s="23">
        <v>419.1</v>
      </c>
      <c r="N65" s="23">
        <v>307.8</v>
      </c>
      <c r="O65" s="23">
        <v>304.8</v>
      </c>
      <c r="P65" s="23">
        <v>297.70000000000005</v>
      </c>
      <c r="Q65" s="23">
        <v>292.7</v>
      </c>
      <c r="R65" s="23">
        <v>301.29999999999995</v>
      </c>
      <c r="S65" s="23">
        <v>311.8</v>
      </c>
      <c r="T65" s="23">
        <v>345.29999999999995</v>
      </c>
      <c r="U65" s="23">
        <v>356.7</v>
      </c>
      <c r="V65" s="23">
        <v>377.7</v>
      </c>
      <c r="W65" s="23">
        <v>355.70000000000005</v>
      </c>
      <c r="X65" s="23">
        <v>429.59999999999997</v>
      </c>
      <c r="Y65" s="23">
        <v>448.1</v>
      </c>
      <c r="Z65" s="23">
        <v>509.5</v>
      </c>
      <c r="AA65" s="23">
        <v>634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49</v>
      </c>
      <c r="E66" s="23">
        <v>50.8</v>
      </c>
      <c r="F66" s="23">
        <v>74.2</v>
      </c>
      <c r="G66" s="23">
        <v>61.5</v>
      </c>
      <c r="H66" s="23">
        <v>59.3</v>
      </c>
      <c r="I66" s="23">
        <v>81.8</v>
      </c>
      <c r="J66" s="23">
        <v>102.5</v>
      </c>
      <c r="K66" s="23">
        <v>89.4</v>
      </c>
      <c r="L66" s="23">
        <v>70.599999999999994</v>
      </c>
      <c r="M66" s="23">
        <v>58.6</v>
      </c>
      <c r="N66" s="23">
        <v>78.8</v>
      </c>
      <c r="O66" s="23">
        <v>84.1</v>
      </c>
      <c r="P66" s="23">
        <v>70.099999999999994</v>
      </c>
      <c r="Q66" s="23">
        <v>68.900000000000006</v>
      </c>
      <c r="R66" s="23">
        <v>69.900000000000006</v>
      </c>
      <c r="S66" s="23">
        <v>59.7</v>
      </c>
      <c r="T66" s="23">
        <v>61.4</v>
      </c>
      <c r="U66" s="23">
        <v>59.9</v>
      </c>
      <c r="V66" s="23">
        <v>69.8</v>
      </c>
      <c r="W66" s="23">
        <v>120</v>
      </c>
      <c r="X66" s="23">
        <v>43.9</v>
      </c>
      <c r="Y66" s="23">
        <v>28.8</v>
      </c>
      <c r="Z66" s="23">
        <v>53.7</v>
      </c>
      <c r="AA66" s="23">
        <v>64.900000000000006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230.3</v>
      </c>
      <c r="E67" s="23">
        <v>269.89999999999998</v>
      </c>
      <c r="F67" s="23">
        <v>335.90000000000003</v>
      </c>
      <c r="G67" s="23">
        <v>379</v>
      </c>
      <c r="H67" s="23">
        <v>396.8</v>
      </c>
      <c r="I67" s="23">
        <v>413.3</v>
      </c>
      <c r="J67" s="23">
        <v>501.29999999999995</v>
      </c>
      <c r="K67" s="23">
        <v>583</v>
      </c>
      <c r="L67" s="23">
        <v>637.1</v>
      </c>
      <c r="M67" s="23">
        <v>581.69999999999993</v>
      </c>
      <c r="N67" s="23">
        <v>491.8</v>
      </c>
      <c r="O67" s="23">
        <v>516.4</v>
      </c>
      <c r="P67" s="23">
        <v>510.29999999999995</v>
      </c>
      <c r="Q67" s="23">
        <v>528.4</v>
      </c>
      <c r="R67" s="23">
        <v>544.20000000000005</v>
      </c>
      <c r="S67" s="23">
        <v>599.69999999999993</v>
      </c>
      <c r="T67" s="23">
        <v>730.80000000000007</v>
      </c>
      <c r="U67" s="23">
        <v>787.80000000000007</v>
      </c>
      <c r="V67" s="23">
        <v>776.7</v>
      </c>
      <c r="W67" s="23">
        <v>693.3</v>
      </c>
      <c r="X67" s="23">
        <v>786.1</v>
      </c>
      <c r="Y67" s="23">
        <v>918.1</v>
      </c>
      <c r="Z67" s="23">
        <v>1061.8</v>
      </c>
      <c r="AA67" s="23">
        <v>1234.8999999999999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144.1</v>
      </c>
      <c r="E68" s="23">
        <v>158</v>
      </c>
      <c r="F68" s="23">
        <v>166.5</v>
      </c>
      <c r="G68" s="23">
        <v>193.6</v>
      </c>
      <c r="H68" s="23">
        <v>217</v>
      </c>
      <c r="I68" s="23">
        <v>232.6</v>
      </c>
      <c r="J68" s="23">
        <v>259.3</v>
      </c>
      <c r="K68" s="23">
        <v>297</v>
      </c>
      <c r="L68" s="23">
        <v>315.7</v>
      </c>
      <c r="M68" s="23">
        <v>291.7</v>
      </c>
      <c r="N68" s="23">
        <v>276.7</v>
      </c>
      <c r="O68" s="23">
        <v>249.3</v>
      </c>
      <c r="P68" s="23">
        <v>219.3</v>
      </c>
      <c r="Q68" s="23">
        <v>175.5</v>
      </c>
      <c r="R68" s="23">
        <v>170.8</v>
      </c>
      <c r="S68" s="23">
        <v>185.3</v>
      </c>
      <c r="T68" s="23">
        <v>225.7</v>
      </c>
      <c r="U68" s="23">
        <v>217.3</v>
      </c>
      <c r="V68" s="23">
        <v>234.1</v>
      </c>
      <c r="W68" s="23">
        <v>195.5</v>
      </c>
      <c r="X68" s="23">
        <v>208</v>
      </c>
      <c r="Y68" s="23">
        <v>124.3</v>
      </c>
      <c r="Z68" s="23">
        <v>144.80000000000001</v>
      </c>
      <c r="AA68" s="23">
        <v>171.4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141</v>
      </c>
      <c r="E69" s="23">
        <v>158.4</v>
      </c>
      <c r="F69" s="23">
        <v>168.4</v>
      </c>
      <c r="G69" s="23">
        <v>189.8</v>
      </c>
      <c r="H69" s="23">
        <v>222</v>
      </c>
      <c r="I69" s="23">
        <v>227.7</v>
      </c>
      <c r="J69" s="23">
        <v>264</v>
      </c>
      <c r="K69" s="23">
        <v>281</v>
      </c>
      <c r="L69" s="23">
        <v>326.2</v>
      </c>
      <c r="M69" s="23">
        <v>302.7</v>
      </c>
      <c r="N69" s="23">
        <v>262.5</v>
      </c>
      <c r="O69" s="23">
        <v>237.1</v>
      </c>
      <c r="P69" s="23">
        <v>196</v>
      </c>
      <c r="Q69" s="23">
        <v>196.1</v>
      </c>
      <c r="R69" s="23">
        <v>229.1</v>
      </c>
      <c r="S69" s="23">
        <v>246.4</v>
      </c>
      <c r="T69" s="23">
        <v>281.8</v>
      </c>
      <c r="U69" s="23">
        <v>293.8</v>
      </c>
      <c r="V69" s="23">
        <v>293.60000000000002</v>
      </c>
      <c r="W69" s="23">
        <v>277.5</v>
      </c>
      <c r="X69" s="23">
        <v>295.8</v>
      </c>
      <c r="Y69" s="23">
        <v>356.1</v>
      </c>
      <c r="Z69" s="23">
        <v>440.7</v>
      </c>
      <c r="AA69" s="23">
        <v>604.70000000000005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116.2</v>
      </c>
      <c r="E70" s="23">
        <v>185.6</v>
      </c>
      <c r="F70" s="23">
        <v>202</v>
      </c>
      <c r="G70" s="23">
        <v>198.2</v>
      </c>
      <c r="H70" s="23">
        <v>217</v>
      </c>
      <c r="I70" s="23">
        <v>225.7</v>
      </c>
      <c r="J70" s="23">
        <v>250.3</v>
      </c>
      <c r="K70" s="23">
        <v>284.10000000000002</v>
      </c>
      <c r="L70" s="23">
        <v>266.2</v>
      </c>
      <c r="M70" s="23">
        <v>225.9</v>
      </c>
      <c r="N70" s="23">
        <v>214.1</v>
      </c>
      <c r="O70" s="23">
        <v>232</v>
      </c>
      <c r="P70" s="23">
        <v>217.8</v>
      </c>
      <c r="Q70" s="23">
        <v>220.2</v>
      </c>
      <c r="R70" s="23">
        <v>236.1</v>
      </c>
      <c r="S70" s="23">
        <v>259.8</v>
      </c>
      <c r="T70" s="23">
        <v>276.5</v>
      </c>
      <c r="U70" s="23">
        <v>287.89999999999998</v>
      </c>
      <c r="V70" s="23">
        <v>290.5</v>
      </c>
      <c r="W70" s="23">
        <v>296.89999999999998</v>
      </c>
      <c r="X70" s="23">
        <v>308.60000000000002</v>
      </c>
      <c r="Y70" s="23">
        <v>379.9</v>
      </c>
      <c r="Z70" s="23">
        <v>411.4</v>
      </c>
      <c r="AA70" s="23">
        <v>475.6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22.9</v>
      </c>
      <c r="E71" s="23">
        <v>20.8</v>
      </c>
      <c r="F71" s="23">
        <v>43.8</v>
      </c>
      <c r="G71" s="23">
        <v>53.2</v>
      </c>
      <c r="H71" s="23">
        <v>47.1</v>
      </c>
      <c r="I71" s="23">
        <v>57.3</v>
      </c>
      <c r="J71" s="23">
        <v>60.6</v>
      </c>
      <c r="K71" s="23">
        <v>66.2</v>
      </c>
      <c r="L71" s="23">
        <v>73.3</v>
      </c>
      <c r="M71" s="23">
        <v>64</v>
      </c>
      <c r="N71" s="23">
        <v>59.7</v>
      </c>
      <c r="O71" s="23">
        <v>54.8</v>
      </c>
      <c r="P71" s="23">
        <v>47</v>
      </c>
      <c r="Q71" s="23">
        <v>35.4</v>
      </c>
      <c r="R71" s="23">
        <v>37.4</v>
      </c>
      <c r="S71" s="23">
        <v>45.2</v>
      </c>
      <c r="T71" s="23">
        <v>55.2</v>
      </c>
      <c r="U71" s="23">
        <v>53.5</v>
      </c>
      <c r="V71" s="23">
        <v>87</v>
      </c>
      <c r="W71" s="23">
        <v>183.8</v>
      </c>
      <c r="X71" s="23">
        <v>131.6</v>
      </c>
      <c r="Y71" s="23">
        <v>131.30000000000001</v>
      </c>
      <c r="Z71" s="23">
        <v>102.7</v>
      </c>
      <c r="AA71" s="23">
        <v>104.6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142.79999999999998</v>
      </c>
      <c r="E72" s="23">
        <v>151.79999999999998</v>
      </c>
      <c r="F72" s="23">
        <v>165.39999999999998</v>
      </c>
      <c r="G72" s="23">
        <v>155.39999999999998</v>
      </c>
      <c r="H72" s="23">
        <v>198</v>
      </c>
      <c r="I72" s="23">
        <v>165.89999999999998</v>
      </c>
      <c r="J72" s="23">
        <v>216.4</v>
      </c>
      <c r="K72" s="23">
        <v>218.2</v>
      </c>
      <c r="L72" s="23">
        <v>228.2</v>
      </c>
      <c r="M72" s="23">
        <v>222.60000000000002</v>
      </c>
      <c r="N72" s="23">
        <v>216.90000000000003</v>
      </c>
      <c r="O72" s="23">
        <v>205.5</v>
      </c>
      <c r="P72" s="23">
        <v>182.2</v>
      </c>
      <c r="Q72" s="23">
        <v>63.1</v>
      </c>
      <c r="R72" s="23">
        <v>87.9</v>
      </c>
      <c r="S72" s="23">
        <v>77.599999999999994</v>
      </c>
      <c r="T72" s="23">
        <v>94.600000000000009</v>
      </c>
      <c r="U72" s="23">
        <v>91.1</v>
      </c>
      <c r="V72" s="23">
        <v>42.300000000000011</v>
      </c>
      <c r="W72" s="23">
        <v>71</v>
      </c>
      <c r="X72" s="23">
        <v>17.599999999999994</v>
      </c>
      <c r="Y72" s="23">
        <v>41.899999999999977</v>
      </c>
      <c r="Z72" s="23">
        <v>159</v>
      </c>
      <c r="AA72" s="23">
        <v>241.00000000000003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131.6</v>
      </c>
      <c r="E73" s="23">
        <v>147.5</v>
      </c>
      <c r="F73" s="23">
        <v>158.80000000000001</v>
      </c>
      <c r="G73" s="23">
        <v>169</v>
      </c>
      <c r="H73" s="23">
        <v>178.5</v>
      </c>
      <c r="I73" s="23">
        <v>185.2</v>
      </c>
      <c r="J73" s="23">
        <v>197.5</v>
      </c>
      <c r="K73" s="23">
        <v>229.2</v>
      </c>
      <c r="L73" s="23">
        <v>232.8</v>
      </c>
      <c r="M73" s="23">
        <v>202.2</v>
      </c>
      <c r="N73" s="23">
        <v>189.2</v>
      </c>
      <c r="O73" s="23">
        <v>190.4</v>
      </c>
      <c r="P73" s="23">
        <v>171.5</v>
      </c>
      <c r="Q73" s="23">
        <v>172</v>
      </c>
      <c r="R73" s="23">
        <v>180.9</v>
      </c>
      <c r="S73" s="23">
        <v>192.5</v>
      </c>
      <c r="T73" s="23">
        <v>210.5</v>
      </c>
      <c r="U73" s="23">
        <v>256.2</v>
      </c>
      <c r="V73" s="23">
        <v>268.60000000000002</v>
      </c>
      <c r="W73" s="23">
        <v>303.10000000000002</v>
      </c>
      <c r="X73" s="23">
        <v>268.60000000000002</v>
      </c>
      <c r="Y73" s="23">
        <v>303.2</v>
      </c>
      <c r="Z73" s="23">
        <v>362</v>
      </c>
      <c r="AA73" s="23">
        <v>412.7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36.599999999999824</v>
      </c>
      <c r="E74" s="23">
        <v>42.700000000000273</v>
      </c>
      <c r="F74" s="23">
        <v>48.300000000000352</v>
      </c>
      <c r="G74" s="23">
        <v>56.599999999999454</v>
      </c>
      <c r="H74" s="23">
        <v>73.5</v>
      </c>
      <c r="I74" s="23">
        <v>94.200000000000557</v>
      </c>
      <c r="J74" s="23">
        <v>93.800000000000182</v>
      </c>
      <c r="K74" s="23">
        <v>127.80000000000001</v>
      </c>
      <c r="L74" s="23">
        <v>182.50000000000108</v>
      </c>
      <c r="M74" s="23">
        <v>162.40000000000038</v>
      </c>
      <c r="N74" s="23">
        <v>173.59999999999928</v>
      </c>
      <c r="O74" s="23">
        <v>159.99999999999872</v>
      </c>
      <c r="P74" s="23">
        <v>163.39999999999964</v>
      </c>
      <c r="Q74" s="23">
        <v>167.90000000000055</v>
      </c>
      <c r="R74" s="23">
        <v>173.89999999999927</v>
      </c>
      <c r="S74" s="23">
        <v>197.30000000000109</v>
      </c>
      <c r="T74" s="23">
        <v>217</v>
      </c>
      <c r="U74" s="23">
        <v>252.99999999999983</v>
      </c>
      <c r="V74" s="23">
        <v>265.99999999999852</v>
      </c>
      <c r="W74" s="23">
        <v>170.29999999999961</v>
      </c>
      <c r="X74" s="23">
        <v>289.69999999999925</v>
      </c>
      <c r="Y74" s="23">
        <v>319.50000000000074</v>
      </c>
      <c r="Z74" s="23">
        <v>489.69999999999982</v>
      </c>
      <c r="AA74" s="23">
        <v>675.90000000000032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3940.7000000000007</v>
      </c>
      <c r="E75" s="30">
        <f t="shared" ref="E75:Y75" si="6">SUM(E56:E74)</f>
        <v>4242.1000000000004</v>
      </c>
      <c r="F75" s="30">
        <f t="shared" si="6"/>
        <v>4377.6000000000004</v>
      </c>
      <c r="G75" s="30">
        <f t="shared" si="6"/>
        <v>4603.4999999999991</v>
      </c>
      <c r="H75" s="30">
        <f t="shared" si="6"/>
        <v>5075</v>
      </c>
      <c r="I75" s="30">
        <f t="shared" si="6"/>
        <v>5262.5000000000009</v>
      </c>
      <c r="J75" s="30">
        <f t="shared" si="6"/>
        <v>5593.8</v>
      </c>
      <c r="K75" s="30">
        <f t="shared" si="6"/>
        <v>6149.5</v>
      </c>
      <c r="L75" s="30">
        <f t="shared" si="6"/>
        <v>6533.7000000000007</v>
      </c>
      <c r="M75" s="30">
        <f t="shared" si="6"/>
        <v>6075.7</v>
      </c>
      <c r="N75" s="30">
        <f t="shared" si="6"/>
        <v>5957.4999999999991</v>
      </c>
      <c r="O75" s="30">
        <f t="shared" si="6"/>
        <v>6251.9999999999991</v>
      </c>
      <c r="P75" s="30">
        <f t="shared" si="6"/>
        <v>6064.2000000000007</v>
      </c>
      <c r="Q75" s="30">
        <f t="shared" si="6"/>
        <v>5649.1</v>
      </c>
      <c r="R75" s="30">
        <f t="shared" si="6"/>
        <v>5637.9</v>
      </c>
      <c r="S75" s="30">
        <f t="shared" si="6"/>
        <v>5794.1000000000013</v>
      </c>
      <c r="T75" s="30">
        <f t="shared" si="6"/>
        <v>6125.5000000000009</v>
      </c>
      <c r="U75" s="30">
        <f t="shared" si="6"/>
        <v>6406.1</v>
      </c>
      <c r="V75" s="30">
        <f t="shared" si="6"/>
        <v>6522.7</v>
      </c>
      <c r="W75" s="30">
        <f t="shared" si="6"/>
        <v>6688.9</v>
      </c>
      <c r="X75" s="30">
        <f t="shared" si="6"/>
        <v>6165.4000000000005</v>
      </c>
      <c r="Y75" s="30">
        <f t="shared" si="6"/>
        <v>6807.1000000000022</v>
      </c>
      <c r="Z75" s="30">
        <f t="shared" ref="Z75:AA75" si="7">SUM(Z56:Z74)</f>
        <v>8299.1</v>
      </c>
      <c r="AA75" s="30">
        <f t="shared" si="7"/>
        <v>9457.6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46792.260226438833</v>
      </c>
      <c r="E2" s="19">
        <v>48247.597226912047</v>
      </c>
      <c r="F2" s="19">
        <v>51048.165109005</v>
      </c>
      <c r="G2" s="19">
        <v>53890.194581915195</v>
      </c>
      <c r="H2" s="19">
        <v>56137.711000715964</v>
      </c>
      <c r="I2" s="19">
        <v>58567.030320121223</v>
      </c>
      <c r="J2" s="19">
        <v>61543.468727085245</v>
      </c>
      <c r="K2" s="19">
        <v>64650.723939864183</v>
      </c>
      <c r="L2" s="19">
        <v>65922.789382411836</v>
      </c>
      <c r="M2" s="19">
        <v>61431.24744770299</v>
      </c>
      <c r="N2" s="19">
        <v>60611.792295577121</v>
      </c>
      <c r="O2" s="19">
        <v>60552.128830586662</v>
      </c>
      <c r="P2" s="19">
        <v>59187.602553000455</v>
      </c>
      <c r="Q2" s="19">
        <v>59113.052791082904</v>
      </c>
      <c r="R2" s="19">
        <v>58783.966248682293</v>
      </c>
      <c r="S2" s="19">
        <v>60149.612027000003</v>
      </c>
      <c r="T2" s="19">
        <v>62231.182814123051</v>
      </c>
      <c r="U2" s="19">
        <v>64273.141342150629</v>
      </c>
      <c r="V2" s="19">
        <v>66140.300919637812</v>
      </c>
      <c r="W2" s="19">
        <v>68190.962686001236</v>
      </c>
      <c r="X2" s="19">
        <v>62523.1004885371</v>
      </c>
      <c r="Y2" s="19">
        <v>70420.503294508249</v>
      </c>
      <c r="Z2" s="19">
        <v>75553.289797074016</v>
      </c>
      <c r="AA2" s="19">
        <v>78060.399999999994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27372.221092683489</v>
      </c>
      <c r="E3" s="23">
        <v>28825.537759302275</v>
      </c>
      <c r="F3" s="23">
        <v>31568.332477788743</v>
      </c>
      <c r="G3" s="23">
        <v>33010.602830820993</v>
      </c>
      <c r="H3" s="23">
        <v>34528.485389362024</v>
      </c>
      <c r="I3" s="23">
        <v>36110.881126045904</v>
      </c>
      <c r="J3" s="23">
        <v>36581.549358123062</v>
      </c>
      <c r="K3" s="23">
        <v>38421.754783969867</v>
      </c>
      <c r="L3" s="23">
        <v>39611.68169918708</v>
      </c>
      <c r="M3" s="23">
        <v>36082.075192050761</v>
      </c>
      <c r="N3" s="23">
        <v>35528.00008174609</v>
      </c>
      <c r="O3" s="23">
        <v>35880.716130283443</v>
      </c>
      <c r="P3" s="23">
        <v>35020.422122415497</v>
      </c>
      <c r="Q3" s="23">
        <v>34466.103743262625</v>
      </c>
      <c r="R3" s="23">
        <v>33611.911320792431</v>
      </c>
      <c r="S3" s="23">
        <v>33738.265799999994</v>
      </c>
      <c r="T3" s="23">
        <v>34806.139669834913</v>
      </c>
      <c r="U3" s="23">
        <v>35911.395691654543</v>
      </c>
      <c r="V3" s="23">
        <v>37122.286633220028</v>
      </c>
      <c r="W3" s="23">
        <v>38636.902521712633</v>
      </c>
      <c r="X3" s="23">
        <v>36639.498806682575</v>
      </c>
      <c r="Y3" s="23">
        <v>40577.639126892718</v>
      </c>
      <c r="Z3" s="23">
        <v>43373.37531678292</v>
      </c>
      <c r="AA3" s="23">
        <v>44694.1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39031.072182716642</v>
      </c>
      <c r="E4" s="27">
        <v>40427.002188323277</v>
      </c>
      <c r="F4" s="27">
        <v>42572.140659829391</v>
      </c>
      <c r="G4" s="27">
        <v>45090.235121861537</v>
      </c>
      <c r="H4" s="27">
        <v>46999.212178128968</v>
      </c>
      <c r="I4" s="27">
        <v>48985.937249601033</v>
      </c>
      <c r="J4" s="27">
        <v>51295.060191476565</v>
      </c>
      <c r="K4" s="27">
        <v>53822.201606525763</v>
      </c>
      <c r="L4" s="27">
        <v>54892.194214116098</v>
      </c>
      <c r="M4" s="27">
        <v>51781.979469148369</v>
      </c>
      <c r="N4" s="27">
        <v>50834.099186903935</v>
      </c>
      <c r="O4" s="27">
        <v>50957.319727810762</v>
      </c>
      <c r="P4" s="27">
        <v>49260.976746590517</v>
      </c>
      <c r="Q4" s="27">
        <v>49027.059487586099</v>
      </c>
      <c r="R4" s="27">
        <v>48709.73844079578</v>
      </c>
      <c r="S4" s="27">
        <v>49810.349069999997</v>
      </c>
      <c r="T4" s="27">
        <v>51554.07047358725</v>
      </c>
      <c r="U4" s="27">
        <v>52997.548753277668</v>
      </c>
      <c r="V4" s="27">
        <v>54315.194684693197</v>
      </c>
      <c r="W4" s="27">
        <v>56069.353194160307</v>
      </c>
      <c r="X4" s="27">
        <v>51990.370426971749</v>
      </c>
      <c r="Y4" s="27">
        <v>58070.022331554523</v>
      </c>
      <c r="Z4" s="27">
        <v>62932.079047265543</v>
      </c>
      <c r="AA4" s="27">
        <v>65124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2343.3255408581413</v>
      </c>
      <c r="E6" s="19">
        <v>2415.6923713209258</v>
      </c>
      <c r="F6" s="19">
        <v>2486.9119998382776</v>
      </c>
      <c r="G6" s="19">
        <v>2124.1041495955456</v>
      </c>
      <c r="H6" s="19">
        <v>2466.046273400304</v>
      </c>
      <c r="I6" s="19">
        <v>2247.3986589810165</v>
      </c>
      <c r="J6" s="19">
        <v>2428.8302006647232</v>
      </c>
      <c r="K6" s="19">
        <v>2353.1200030332247</v>
      </c>
      <c r="L6" s="19">
        <v>2522.7895286212297</v>
      </c>
      <c r="M6" s="19">
        <v>2415.9452191433757</v>
      </c>
      <c r="N6" s="19">
        <v>2183.2177180218268</v>
      </c>
      <c r="O6" s="19">
        <v>2164.1490285286613</v>
      </c>
      <c r="P6" s="19">
        <v>1922.3477583575402</v>
      </c>
      <c r="Q6" s="19">
        <v>2022.5155845185586</v>
      </c>
      <c r="R6" s="19">
        <v>1722.0053201901565</v>
      </c>
      <c r="S6" s="19">
        <v>1786.3515179999999</v>
      </c>
      <c r="T6" s="19">
        <v>1910.1827628894564</v>
      </c>
      <c r="U6" s="19">
        <v>1860.2243713171617</v>
      </c>
      <c r="V6" s="19">
        <v>1960.4891273518012</v>
      </c>
      <c r="W6" s="19">
        <v>1962.9664013390363</v>
      </c>
      <c r="X6" s="19">
        <v>1965.2049165311346</v>
      </c>
      <c r="Y6" s="19">
        <v>2379.3035927102305</v>
      </c>
      <c r="Z6" s="19">
        <v>2564.1830888369618</v>
      </c>
      <c r="AA6" s="19">
        <v>2620.3000000000002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9520.8204848137866</v>
      </c>
      <c r="E7" s="23">
        <v>9395.7146185660458</v>
      </c>
      <c r="F7" s="23">
        <v>9457.1225980781946</v>
      </c>
      <c r="G7" s="23">
        <v>9673.9998949469482</v>
      </c>
      <c r="H7" s="23">
        <v>10352.671323877657</v>
      </c>
      <c r="I7" s="23">
        <v>10314.805557011172</v>
      </c>
      <c r="J7" s="23">
        <v>10483.949369874201</v>
      </c>
      <c r="K7" s="23">
        <v>10604.685376607336</v>
      </c>
      <c r="L7" s="23">
        <v>10540.876844338907</v>
      </c>
      <c r="M7" s="23">
        <v>10025.776169529394</v>
      </c>
      <c r="N7" s="23">
        <v>10035.584469570347</v>
      </c>
      <c r="O7" s="23">
        <v>10304.69489497474</v>
      </c>
      <c r="P7" s="23">
        <v>10193.374892422824</v>
      </c>
      <c r="Q7" s="23">
        <v>9932.4018702611629</v>
      </c>
      <c r="R7" s="23">
        <v>9995.1207134867363</v>
      </c>
      <c r="S7" s="23">
        <v>10073.633972</v>
      </c>
      <c r="T7" s="23">
        <v>10312.388745617682</v>
      </c>
      <c r="U7" s="23">
        <v>10291.745820553258</v>
      </c>
      <c r="V7" s="23">
        <v>10097.583808263213</v>
      </c>
      <c r="W7" s="23">
        <v>10365.699617816626</v>
      </c>
      <c r="X7" s="23">
        <v>9451.7588114332702</v>
      </c>
      <c r="Y7" s="23">
        <v>10350.540652088348</v>
      </c>
      <c r="Z7" s="23">
        <v>11421.965287701507</v>
      </c>
      <c r="AA7" s="23">
        <v>11901.6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1895.9797245992524</v>
      </c>
      <c r="E8" s="23">
        <v>2190.8633268179374</v>
      </c>
      <c r="F8" s="23">
        <v>2310.6657053139447</v>
      </c>
      <c r="G8" s="23">
        <v>2922.2091409286691</v>
      </c>
      <c r="H8" s="23">
        <v>3127.7651120472615</v>
      </c>
      <c r="I8" s="23">
        <v>3503.8084415120411</v>
      </c>
      <c r="J8" s="23">
        <v>3806.0190081332171</v>
      </c>
      <c r="K8" s="23">
        <v>4023.4419180812683</v>
      </c>
      <c r="L8" s="23">
        <v>4254.186555853079</v>
      </c>
      <c r="M8" s="23">
        <v>3727.7981866060204</v>
      </c>
      <c r="N8" s="23">
        <v>2764.618796578507</v>
      </c>
      <c r="O8" s="23">
        <v>2534.8440357666891</v>
      </c>
      <c r="P8" s="23">
        <v>2123.010908374772</v>
      </c>
      <c r="Q8" s="23">
        <v>2132.5648059864216</v>
      </c>
      <c r="R8" s="23">
        <v>2106.6875199744327</v>
      </c>
      <c r="S8" s="23">
        <v>2203.5908689999997</v>
      </c>
      <c r="T8" s="23">
        <v>2345.8361786202386</v>
      </c>
      <c r="U8" s="23">
        <v>2434.3170477305489</v>
      </c>
      <c r="V8" s="23">
        <v>2718.2526245627305</v>
      </c>
      <c r="W8" s="23">
        <v>3085.4007420494695</v>
      </c>
      <c r="X8" s="23">
        <v>3171.3512917577996</v>
      </c>
      <c r="Y8" s="23">
        <v>3519.2299087405831</v>
      </c>
      <c r="Z8" s="23">
        <v>3741.487499050977</v>
      </c>
      <c r="AA8" s="23">
        <v>4496.6000000000004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7718.4619952995045</v>
      </c>
      <c r="E9" s="23">
        <v>8569.0268547633204</v>
      </c>
      <c r="F9" s="23">
        <v>9410.1592997398966</v>
      </c>
      <c r="G9" s="23">
        <v>10497.681828448365</v>
      </c>
      <c r="H9" s="23">
        <v>10388.011436548097</v>
      </c>
      <c r="I9" s="23">
        <v>10898.195027749329</v>
      </c>
      <c r="J9" s="23">
        <v>11383.037381036107</v>
      </c>
      <c r="K9" s="23">
        <v>11629.38488262504</v>
      </c>
      <c r="L9" s="23">
        <v>12032.486361845096</v>
      </c>
      <c r="M9" s="23">
        <v>10515.441215313103</v>
      </c>
      <c r="N9" s="23">
        <v>10623.629387474191</v>
      </c>
      <c r="O9" s="23">
        <v>10692.743804346754</v>
      </c>
      <c r="P9" s="23">
        <v>10491.760213677317</v>
      </c>
      <c r="Q9" s="23">
        <v>10775.63104811933</v>
      </c>
      <c r="R9" s="23">
        <v>10734.446289749119</v>
      </c>
      <c r="S9" s="23">
        <v>11402.466442999999</v>
      </c>
      <c r="T9" s="23">
        <v>11801.483613603501</v>
      </c>
      <c r="U9" s="23">
        <v>12533.50208222465</v>
      </c>
      <c r="V9" s="23">
        <v>13114.983272194384</v>
      </c>
      <c r="W9" s="23">
        <v>13260.249559233771</v>
      </c>
      <c r="X9" s="23">
        <v>10689.114642102702</v>
      </c>
      <c r="Y9" s="23">
        <v>12991.81262894855</v>
      </c>
      <c r="Z9" s="23">
        <v>15278.355372312155</v>
      </c>
      <c r="AA9" s="23">
        <v>15679.2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1856.8544323249366</v>
      </c>
      <c r="E10" s="23">
        <v>2090.8350457494121</v>
      </c>
      <c r="F10" s="23">
        <v>2249.4169930324392</v>
      </c>
      <c r="G10" s="23">
        <v>2246.0731051055786</v>
      </c>
      <c r="H10" s="23">
        <v>2312.1351284991397</v>
      </c>
      <c r="I10" s="23">
        <v>2403.7792284972488</v>
      </c>
      <c r="J10" s="23">
        <v>2474.8216636228544</v>
      </c>
      <c r="K10" s="23">
        <v>2528.233239808907</v>
      </c>
      <c r="L10" s="23">
        <v>2673.275938968322</v>
      </c>
      <c r="M10" s="23">
        <v>2531.5881111975582</v>
      </c>
      <c r="N10" s="23">
        <v>2554.8819073837381</v>
      </c>
      <c r="O10" s="23">
        <v>2433.5911932405679</v>
      </c>
      <c r="P10" s="23">
        <v>2350.9423278026684</v>
      </c>
      <c r="Q10" s="23">
        <v>2290.2845136032506</v>
      </c>
      <c r="R10" s="23">
        <v>2206.3317223953336</v>
      </c>
      <c r="S10" s="23">
        <v>2204.2533639999997</v>
      </c>
      <c r="T10" s="23">
        <v>2281.9315962525002</v>
      </c>
      <c r="U10" s="23">
        <v>2413.6763775870577</v>
      </c>
      <c r="V10" s="23">
        <v>2556.0268469320226</v>
      </c>
      <c r="W10" s="23">
        <v>2689.8997284731258</v>
      </c>
      <c r="X10" s="23">
        <v>3088.0022301983436</v>
      </c>
      <c r="Y10" s="23">
        <v>3431.5432690459411</v>
      </c>
      <c r="Z10" s="23">
        <v>3894.6164311684365</v>
      </c>
      <c r="AA10" s="23">
        <v>3755.7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1711.332299325057</v>
      </c>
      <c r="E11" s="23">
        <v>1924.1838007421884</v>
      </c>
      <c r="F11" s="23">
        <v>2102.8129324402635</v>
      </c>
      <c r="G11" s="23">
        <v>2442.1629950625065</v>
      </c>
      <c r="H11" s="23">
        <v>2447.8807949248448</v>
      </c>
      <c r="I11" s="23">
        <v>2902.4296822523402</v>
      </c>
      <c r="J11" s="23">
        <v>2961.1888993500233</v>
      </c>
      <c r="K11" s="23">
        <v>3266.7230785063534</v>
      </c>
      <c r="L11" s="23">
        <v>3384.605385742434</v>
      </c>
      <c r="M11" s="23">
        <v>3312.2767550421927</v>
      </c>
      <c r="N11" s="23">
        <v>3433.3016861665519</v>
      </c>
      <c r="O11" s="23">
        <v>3604.1314642480816</v>
      </c>
      <c r="P11" s="23">
        <v>3258.1015489143811</v>
      </c>
      <c r="Q11" s="23">
        <v>3055.6387650527777</v>
      </c>
      <c r="R11" s="23">
        <v>3084.7357272690952</v>
      </c>
      <c r="S11" s="23">
        <v>3119.0264599999996</v>
      </c>
      <c r="T11" s="23">
        <v>3206.3828955968856</v>
      </c>
      <c r="U11" s="23">
        <v>3288.2766988224594</v>
      </c>
      <c r="V11" s="23">
        <v>3199.5433100122909</v>
      </c>
      <c r="W11" s="23">
        <v>3078.5010358936206</v>
      </c>
      <c r="X11" s="23">
        <v>2675.8392630811504</v>
      </c>
      <c r="Y11" s="23">
        <v>3110.7532801215571</v>
      </c>
      <c r="Z11" s="23">
        <v>3018.8754215769804</v>
      </c>
      <c r="AA11" s="23">
        <v>3172.1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3638.0533249969862</v>
      </c>
      <c r="E12" s="23">
        <v>3672.5205107504034</v>
      </c>
      <c r="F12" s="23">
        <v>3780.63480007008</v>
      </c>
      <c r="G12" s="23">
        <v>3899.1787346359911</v>
      </c>
      <c r="H12" s="23">
        <v>4015.2313059301546</v>
      </c>
      <c r="I12" s="23">
        <v>4196.5538503680064</v>
      </c>
      <c r="J12" s="23">
        <v>4409.6193847340546</v>
      </c>
      <c r="K12" s="23">
        <v>5002.3536187453274</v>
      </c>
      <c r="L12" s="23">
        <v>4868.1818208457535</v>
      </c>
      <c r="M12" s="23">
        <v>4750.4778422806075</v>
      </c>
      <c r="N12" s="23">
        <v>4658.503824599351</v>
      </c>
      <c r="O12" s="23">
        <v>4784.4577702935585</v>
      </c>
      <c r="P12" s="23">
        <v>4753.1594397124709</v>
      </c>
      <c r="Q12" s="23">
        <v>4728.4394608256107</v>
      </c>
      <c r="R12" s="23">
        <v>4775.908246444551</v>
      </c>
      <c r="S12" s="23">
        <v>4860.3283179999989</v>
      </c>
      <c r="T12" s="23">
        <v>4911.8610414562154</v>
      </c>
      <c r="U12" s="23">
        <v>4923.5049452835483</v>
      </c>
      <c r="V12" s="23">
        <v>4887.1924808546855</v>
      </c>
      <c r="W12" s="23">
        <v>5124.5103291798396</v>
      </c>
      <c r="X12" s="23">
        <v>5135.6892789710801</v>
      </c>
      <c r="Y12" s="23">
        <v>5375.5669864255051</v>
      </c>
      <c r="Z12" s="23">
        <v>5658.9523388137632</v>
      </c>
      <c r="AA12" s="23">
        <v>5858.3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1818.9268530794261</v>
      </c>
      <c r="E13" s="23">
        <v>1991.7451162856573</v>
      </c>
      <c r="F13" s="23">
        <v>2309.237163919624</v>
      </c>
      <c r="G13" s="23">
        <v>2619.4616622019121</v>
      </c>
      <c r="H13" s="23">
        <v>2804.0893137572598</v>
      </c>
      <c r="I13" s="23">
        <v>3224.501067098588</v>
      </c>
      <c r="J13" s="23">
        <v>3728.7653742754405</v>
      </c>
      <c r="K13" s="23">
        <v>4362.3290918742068</v>
      </c>
      <c r="L13" s="23">
        <v>4525.8386257767897</v>
      </c>
      <c r="M13" s="23">
        <v>4125.2132453567938</v>
      </c>
      <c r="N13" s="23">
        <v>4042.9716497886143</v>
      </c>
      <c r="O13" s="23">
        <v>3960.4736200970979</v>
      </c>
      <c r="P13" s="23">
        <v>3873.1380178228542</v>
      </c>
      <c r="Q13" s="23">
        <v>3888.230726993409</v>
      </c>
      <c r="R13" s="23">
        <v>3929.1310202940231</v>
      </c>
      <c r="S13" s="23">
        <v>3936.942787</v>
      </c>
      <c r="T13" s="23">
        <v>4099.866060570047</v>
      </c>
      <c r="U13" s="23">
        <v>4279.5416773906391</v>
      </c>
      <c r="V13" s="23">
        <v>4401.5173149286184</v>
      </c>
      <c r="W13" s="23">
        <v>4551.0954640133896</v>
      </c>
      <c r="X13" s="23">
        <v>3931.7721505617551</v>
      </c>
      <c r="Y13" s="23">
        <v>4346.4921070215751</v>
      </c>
      <c r="Z13" s="23">
        <v>4855.6401963844337</v>
      </c>
      <c r="AA13" s="23">
        <v>4594.3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7543.3962742557533</v>
      </c>
      <c r="E14" s="23">
        <v>7103.6969887538608</v>
      </c>
      <c r="F14" s="23">
        <v>7250.7404145496694</v>
      </c>
      <c r="G14" s="23">
        <v>7437.6703868578707</v>
      </c>
      <c r="H14" s="23">
        <v>7845.1747314106215</v>
      </c>
      <c r="I14" s="23">
        <v>7926.3330038348859</v>
      </c>
      <c r="J14" s="23">
        <v>8133.4248953571359</v>
      </c>
      <c r="K14" s="23">
        <v>8560.4536404112132</v>
      </c>
      <c r="L14" s="23">
        <v>8552.9567190420894</v>
      </c>
      <c r="M14" s="23">
        <v>8847.2759770183748</v>
      </c>
      <c r="N14" s="23">
        <v>8940.3931481663476</v>
      </c>
      <c r="O14" s="23">
        <v>8853.0996976769366</v>
      </c>
      <c r="P14" s="23">
        <v>8670.3963812712318</v>
      </c>
      <c r="Q14" s="23">
        <v>8514.1064145894325</v>
      </c>
      <c r="R14" s="23">
        <v>8442.3649748322186</v>
      </c>
      <c r="S14" s="23">
        <v>8543.5355199999995</v>
      </c>
      <c r="T14" s="23">
        <v>8815.9455067641084</v>
      </c>
      <c r="U14" s="23">
        <v>8979.5889328598714</v>
      </c>
      <c r="V14" s="23">
        <v>9293.9711723551081</v>
      </c>
      <c r="W14" s="23">
        <v>9682.1358722335808</v>
      </c>
      <c r="X14" s="23">
        <v>9986.5303535042021</v>
      </c>
      <c r="Y14" s="23">
        <v>10527.248029730241</v>
      </c>
      <c r="Z14" s="23">
        <v>10334.302777894934</v>
      </c>
      <c r="AA14" s="23">
        <v>11057.700000000004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983.92125316379395</v>
      </c>
      <c r="E15" s="23">
        <v>1072.7235545735248</v>
      </c>
      <c r="F15" s="23">
        <v>1214.4387528469967</v>
      </c>
      <c r="G15" s="23">
        <v>1227.6932240781596</v>
      </c>
      <c r="H15" s="23">
        <v>1240.206757733629</v>
      </c>
      <c r="I15" s="23">
        <v>1368.1327322964057</v>
      </c>
      <c r="J15" s="23">
        <v>1485.4040144288031</v>
      </c>
      <c r="K15" s="23">
        <v>1491.4767568328798</v>
      </c>
      <c r="L15" s="23">
        <v>1536.9964330824027</v>
      </c>
      <c r="M15" s="23">
        <v>1530.1867476609411</v>
      </c>
      <c r="N15" s="23">
        <v>1596.9965991544589</v>
      </c>
      <c r="O15" s="23">
        <v>1625.1342186376751</v>
      </c>
      <c r="P15" s="23">
        <v>1624.745258234454</v>
      </c>
      <c r="Q15" s="23">
        <v>1687.2462976361562</v>
      </c>
      <c r="R15" s="23">
        <v>1713.006906160115</v>
      </c>
      <c r="S15" s="23">
        <v>1680.2198189999997</v>
      </c>
      <c r="T15" s="23">
        <v>1868.1920722166101</v>
      </c>
      <c r="U15" s="23">
        <v>1993.170799508471</v>
      </c>
      <c r="V15" s="23">
        <v>2085.6347272383478</v>
      </c>
      <c r="W15" s="23">
        <v>2268.8944439278407</v>
      </c>
      <c r="X15" s="23">
        <v>1895.107488830314</v>
      </c>
      <c r="Y15" s="23">
        <v>2037.5318767219837</v>
      </c>
      <c r="Z15" s="23">
        <v>2163.7006335253873</v>
      </c>
      <c r="AA15" s="23">
        <v>1988.2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39031.072182716642</v>
      </c>
      <c r="E16" s="30">
        <f t="shared" ref="E16:S16" si="0">SUM(E6:E15)</f>
        <v>40427.002188323269</v>
      </c>
      <c r="F16" s="30">
        <f t="shared" si="0"/>
        <v>42572.140659829383</v>
      </c>
      <c r="G16" s="30">
        <f t="shared" si="0"/>
        <v>45090.235121861544</v>
      </c>
      <c r="H16" s="30">
        <f t="shared" si="0"/>
        <v>46999.212178128961</v>
      </c>
      <c r="I16" s="30">
        <f t="shared" si="0"/>
        <v>48985.937249601033</v>
      </c>
      <c r="J16" s="30">
        <f t="shared" si="0"/>
        <v>51295.060191476558</v>
      </c>
      <c r="K16" s="30">
        <f t="shared" si="0"/>
        <v>53822.201606525763</v>
      </c>
      <c r="L16" s="30">
        <f t="shared" si="0"/>
        <v>54892.194214116098</v>
      </c>
      <c r="M16" s="30">
        <f t="shared" si="0"/>
        <v>51781.979469148362</v>
      </c>
      <c r="N16" s="30">
        <f t="shared" si="0"/>
        <v>50834.099186903928</v>
      </c>
      <c r="O16" s="30">
        <f t="shared" si="0"/>
        <v>50957.319727810769</v>
      </c>
      <c r="P16" s="30">
        <f t="shared" si="0"/>
        <v>49260.976746590517</v>
      </c>
      <c r="Q16" s="30">
        <f t="shared" si="0"/>
        <v>49027.059487586113</v>
      </c>
      <c r="R16" s="30">
        <f t="shared" si="0"/>
        <v>48709.738440795787</v>
      </c>
      <c r="S16" s="30">
        <f t="shared" si="0"/>
        <v>49810.349069999989</v>
      </c>
      <c r="T16" s="30">
        <f t="shared" ref="T16:Y16" si="1">SUM(T6:T15)</f>
        <v>51554.07047358725</v>
      </c>
      <c r="U16" s="30">
        <f t="shared" si="1"/>
        <v>52997.548753277668</v>
      </c>
      <c r="V16" s="30">
        <f t="shared" si="1"/>
        <v>54315.194684693204</v>
      </c>
      <c r="W16" s="30">
        <f t="shared" si="1"/>
        <v>56069.353194160292</v>
      </c>
      <c r="X16" s="30">
        <f t="shared" si="1"/>
        <v>51990.370426971749</v>
      </c>
      <c r="Y16" s="30">
        <f t="shared" si="1"/>
        <v>58070.022331554515</v>
      </c>
      <c r="Z16" s="30">
        <f t="shared" ref="Z16:AA16" si="2">SUM(Z6:Z15)</f>
        <v>62932.079047265535</v>
      </c>
      <c r="AA16" s="30">
        <f t="shared" si="2"/>
        <v>65124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2343.3255408581413</v>
      </c>
      <c r="E18" s="19">
        <v>2415.6923713209258</v>
      </c>
      <c r="F18" s="19">
        <v>2486.9119998382776</v>
      </c>
      <c r="G18" s="19">
        <v>2124.1041495955456</v>
      </c>
      <c r="H18" s="19">
        <v>2466.046273400304</v>
      </c>
      <c r="I18" s="19">
        <v>2247.3986589810165</v>
      </c>
      <c r="J18" s="19">
        <v>2428.8302006647232</v>
      </c>
      <c r="K18" s="19">
        <v>2353.1200030332247</v>
      </c>
      <c r="L18" s="19">
        <v>2522.7895286212297</v>
      </c>
      <c r="M18" s="19">
        <v>2415.9452191433757</v>
      </c>
      <c r="N18" s="19">
        <v>2183.2177180218268</v>
      </c>
      <c r="O18" s="19">
        <v>2164.1490285286613</v>
      </c>
      <c r="P18" s="19">
        <v>1922.3477583575402</v>
      </c>
      <c r="Q18" s="19">
        <v>2022.5155845185586</v>
      </c>
      <c r="R18" s="19">
        <v>1722.0053201901565</v>
      </c>
      <c r="S18" s="19">
        <v>1786.3515179999999</v>
      </c>
      <c r="T18" s="19">
        <v>1910.1827628894564</v>
      </c>
      <c r="U18" s="19">
        <v>1860.2243713171617</v>
      </c>
      <c r="V18" s="19">
        <v>1960.4891273518012</v>
      </c>
      <c r="W18" s="19">
        <v>1962.9664013390363</v>
      </c>
      <c r="X18" s="19">
        <v>1965.2049165311346</v>
      </c>
      <c r="Y18" s="19">
        <v>2379.3035927102305</v>
      </c>
      <c r="Z18" s="19">
        <v>2564.1830888369618</v>
      </c>
      <c r="AA18" s="19">
        <v>2620.3000000000002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261.73187641231493</v>
      </c>
      <c r="E19" s="23">
        <v>206.62502337044259</v>
      </c>
      <c r="F19" s="23">
        <v>295.91885392025034</v>
      </c>
      <c r="G19" s="23">
        <v>248.11373831284797</v>
      </c>
      <c r="H19" s="23">
        <v>371.7317458932622</v>
      </c>
      <c r="I19" s="23">
        <v>422.30802352159384</v>
      </c>
      <c r="J19" s="23">
        <v>612.31771271708408</v>
      </c>
      <c r="K19" s="23">
        <v>468.21260521497976</v>
      </c>
      <c r="L19" s="23">
        <v>473.95186176931253</v>
      </c>
      <c r="M19" s="23">
        <v>516.85646228413623</v>
      </c>
      <c r="N19" s="23">
        <v>525.80532107175782</v>
      </c>
      <c r="O19" s="23">
        <v>451.46241641801328</v>
      </c>
      <c r="P19" s="23">
        <v>492.23587118190562</v>
      </c>
      <c r="Q19" s="23">
        <v>534.32803138142526</v>
      </c>
      <c r="R19" s="23">
        <v>418.42625239693189</v>
      </c>
      <c r="S19" s="23">
        <v>288.43437594543337</v>
      </c>
      <c r="T19" s="23">
        <v>213.75885970645908</v>
      </c>
      <c r="U19" s="23">
        <v>217.31735106265268</v>
      </c>
      <c r="V19" s="23">
        <v>208.58956308310528</v>
      </c>
      <c r="W19" s="23">
        <v>206.49834852148047</v>
      </c>
      <c r="X19" s="23">
        <v>116.54006972874959</v>
      </c>
      <c r="Y19" s="23">
        <v>133.89495189887316</v>
      </c>
      <c r="Z19" s="23">
        <v>140.83390837080208</v>
      </c>
      <c r="AA19" s="23">
        <v>147.49396505871283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7866.379554356995</v>
      </c>
      <c r="E20" s="23">
        <v>7961.1626851930541</v>
      </c>
      <c r="F20" s="23">
        <v>7816.9785097235899</v>
      </c>
      <c r="G20" s="23">
        <v>8009.7587259691145</v>
      </c>
      <c r="H20" s="23">
        <v>8380.8912057232592</v>
      </c>
      <c r="I20" s="23">
        <v>8304.2658635638236</v>
      </c>
      <c r="J20" s="23">
        <v>8407.4197874247093</v>
      </c>
      <c r="K20" s="23">
        <v>8826.7118815742433</v>
      </c>
      <c r="L20" s="23">
        <v>8747.62508260496</v>
      </c>
      <c r="M20" s="23">
        <v>8029.8459343268096</v>
      </c>
      <c r="N20" s="23">
        <v>7760.9162570052104</v>
      </c>
      <c r="O20" s="23">
        <v>8157.6388076457197</v>
      </c>
      <c r="P20" s="23">
        <v>7911.9731751267782</v>
      </c>
      <c r="Q20" s="23">
        <v>7418.6044987363102</v>
      </c>
      <c r="R20" s="23">
        <v>7460.6115382310636</v>
      </c>
      <c r="S20" s="23">
        <v>7677.1245589999999</v>
      </c>
      <c r="T20" s="23">
        <v>8037.9367411412823</v>
      </c>
      <c r="U20" s="23">
        <v>8212.8072674671748</v>
      </c>
      <c r="V20" s="23">
        <v>8171.0430868866406</v>
      </c>
      <c r="W20" s="23">
        <v>8241.3293760461202</v>
      </c>
      <c r="X20" s="23">
        <v>7635.6657375731393</v>
      </c>
      <c r="Y20" s="23">
        <v>8255.7638321632239</v>
      </c>
      <c r="Z20" s="23">
        <v>9276.1483250803503</v>
      </c>
      <c r="AA20" s="23">
        <v>9457.6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734.08704009769804</v>
      </c>
      <c r="E21" s="23">
        <v>715.02392283504673</v>
      </c>
      <c r="F21" s="23">
        <v>848.28880876354208</v>
      </c>
      <c r="G21" s="23">
        <v>868.57207689883387</v>
      </c>
      <c r="H21" s="23">
        <v>1014.294261784281</v>
      </c>
      <c r="I21" s="23">
        <v>982.70256445028576</v>
      </c>
      <c r="J21" s="23">
        <v>917.42447678573421</v>
      </c>
      <c r="K21" s="23">
        <v>723.99275925945983</v>
      </c>
      <c r="L21" s="23">
        <v>737.16919517000974</v>
      </c>
      <c r="M21" s="23">
        <v>931.42529945757917</v>
      </c>
      <c r="N21" s="23">
        <v>1108.5424868680839</v>
      </c>
      <c r="O21" s="23">
        <v>1045.8009443902822</v>
      </c>
      <c r="P21" s="23">
        <v>1097.7133899084427</v>
      </c>
      <c r="Q21" s="23">
        <v>1294.3896302105454</v>
      </c>
      <c r="R21" s="23">
        <v>1379.139279721956</v>
      </c>
      <c r="S21" s="23">
        <v>1361.7494331498231</v>
      </c>
      <c r="T21" s="23">
        <v>1352.6251232990669</v>
      </c>
      <c r="U21" s="23">
        <v>1156.461655802435</v>
      </c>
      <c r="V21" s="23">
        <v>1010.7511080807767</v>
      </c>
      <c r="W21" s="23">
        <v>1229.749413241585</v>
      </c>
      <c r="X21" s="23">
        <v>846.12301422616065</v>
      </c>
      <c r="Y21" s="23">
        <v>1004.818547538192</v>
      </c>
      <c r="Z21" s="23">
        <v>1043.0651054891468</v>
      </c>
      <c r="AA21" s="23">
        <v>1410.7422773208953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658.62201394677879</v>
      </c>
      <c r="E22" s="23">
        <v>512.90298716750203</v>
      </c>
      <c r="F22" s="23">
        <v>495.93642567081184</v>
      </c>
      <c r="G22" s="23">
        <v>547.55535376615194</v>
      </c>
      <c r="H22" s="23">
        <v>585.7541104768552</v>
      </c>
      <c r="I22" s="23">
        <v>605.52910547546901</v>
      </c>
      <c r="J22" s="23">
        <v>546.78739294667457</v>
      </c>
      <c r="K22" s="23">
        <v>585.768130558655</v>
      </c>
      <c r="L22" s="23">
        <v>582.13070479462453</v>
      </c>
      <c r="M22" s="23">
        <v>547.64847346086947</v>
      </c>
      <c r="N22" s="23">
        <v>640.32040462529471</v>
      </c>
      <c r="O22" s="23">
        <v>649.79272652072427</v>
      </c>
      <c r="P22" s="23">
        <v>691.45245620569835</v>
      </c>
      <c r="Q22" s="23">
        <v>685.07970993288177</v>
      </c>
      <c r="R22" s="23">
        <v>736.94364313678489</v>
      </c>
      <c r="S22" s="23">
        <v>746.32560390474328</v>
      </c>
      <c r="T22" s="23">
        <v>708.06802147087365</v>
      </c>
      <c r="U22" s="23">
        <v>705.15954622099684</v>
      </c>
      <c r="V22" s="23">
        <v>707.20005021269037</v>
      </c>
      <c r="W22" s="23">
        <v>688.12248000743932</v>
      </c>
      <c r="X22" s="23">
        <v>853.42998990522142</v>
      </c>
      <c r="Y22" s="23">
        <v>956.06332048805882</v>
      </c>
      <c r="Z22" s="23">
        <v>961.91794876120844</v>
      </c>
      <c r="AA22" s="23">
        <v>885.76375762039197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1895.9797245992524</v>
      </c>
      <c r="E23" s="23">
        <v>2190.8633268179374</v>
      </c>
      <c r="F23" s="23">
        <v>2310.6657053139447</v>
      </c>
      <c r="G23" s="23">
        <v>2922.2091409286691</v>
      </c>
      <c r="H23" s="23">
        <v>3127.7651120472615</v>
      </c>
      <c r="I23" s="23">
        <v>3503.8084415120411</v>
      </c>
      <c r="J23" s="23">
        <v>3806.0190081332171</v>
      </c>
      <c r="K23" s="23">
        <v>4023.4419180812683</v>
      </c>
      <c r="L23" s="23">
        <v>4254.186555853079</v>
      </c>
      <c r="M23" s="23">
        <v>3727.7981866060204</v>
      </c>
      <c r="N23" s="23">
        <v>2764.618796578507</v>
      </c>
      <c r="O23" s="23">
        <v>2534.8440357666891</v>
      </c>
      <c r="P23" s="23">
        <v>2123.010908374772</v>
      </c>
      <c r="Q23" s="23">
        <v>2132.5648059864216</v>
      </c>
      <c r="R23" s="23">
        <v>2106.6875199744327</v>
      </c>
      <c r="S23" s="23">
        <v>2203.5908689999997</v>
      </c>
      <c r="T23" s="23">
        <v>2345.8361786202386</v>
      </c>
      <c r="U23" s="23">
        <v>2434.3170477305489</v>
      </c>
      <c r="V23" s="23">
        <v>2718.2526245627305</v>
      </c>
      <c r="W23" s="23">
        <v>3085.4007420494695</v>
      </c>
      <c r="X23" s="23">
        <v>3171.3512917577996</v>
      </c>
      <c r="Y23" s="23">
        <v>3519.2299087405831</v>
      </c>
      <c r="Z23" s="23">
        <v>3741.487499050977</v>
      </c>
      <c r="AA23" s="23">
        <v>4496.6000000000004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4318.7535630348311</v>
      </c>
      <c r="E24" s="23">
        <v>4971.1991317526408</v>
      </c>
      <c r="F24" s="23">
        <v>5537.740715084703</v>
      </c>
      <c r="G24" s="23">
        <v>6203.1914434289311</v>
      </c>
      <c r="H24" s="23">
        <v>5856.3851197746581</v>
      </c>
      <c r="I24" s="23">
        <v>6257.5897922968825</v>
      </c>
      <c r="J24" s="23">
        <v>6715.805684177094</v>
      </c>
      <c r="K24" s="23">
        <v>6842.7650301697522</v>
      </c>
      <c r="L24" s="23">
        <v>7015.4247471328254</v>
      </c>
      <c r="M24" s="23">
        <v>5829.8555558880435</v>
      </c>
      <c r="N24" s="23">
        <v>5982.9727391603574</v>
      </c>
      <c r="O24" s="23">
        <v>6008.2340719075892</v>
      </c>
      <c r="P24" s="23">
        <v>5834.3658923735902</v>
      </c>
      <c r="Q24" s="23">
        <v>5729.9136409138209</v>
      </c>
      <c r="R24" s="23">
        <v>5734.9009887344182</v>
      </c>
      <c r="S24" s="23">
        <v>6090.9790300000004</v>
      </c>
      <c r="T24" s="23">
        <v>6022.6460306613581</v>
      </c>
      <c r="U24" s="23">
        <v>6277.1995791042164</v>
      </c>
      <c r="V24" s="23">
        <v>6630.96300179635</v>
      </c>
      <c r="W24" s="23">
        <v>6876.7892746884863</v>
      </c>
      <c r="X24" s="23">
        <v>6315.7039276166961</v>
      </c>
      <c r="Y24" s="23">
        <v>6965.2056952466382</v>
      </c>
      <c r="Z24" s="23">
        <v>7391.6565035472358</v>
      </c>
      <c r="AA24" s="23">
        <v>8098.8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2030.3232026636131</v>
      </c>
      <c r="E25" s="23">
        <v>2070.7543214073257</v>
      </c>
      <c r="F25" s="23">
        <v>2169.0615396018925</v>
      </c>
      <c r="G25" s="23">
        <v>2425.1117002836431</v>
      </c>
      <c r="H25" s="23">
        <v>2635.976067502555</v>
      </c>
      <c r="I25" s="23">
        <v>2609.2358395064671</v>
      </c>
      <c r="J25" s="23">
        <v>2579.4296970178207</v>
      </c>
      <c r="K25" s="23">
        <v>2557.9450758847806</v>
      </c>
      <c r="L25" s="23">
        <v>2837.6863588137217</v>
      </c>
      <c r="M25" s="23">
        <v>2502.6443473577115</v>
      </c>
      <c r="N25" s="23">
        <v>2415.3612810933041</v>
      </c>
      <c r="O25" s="23">
        <v>2364.4365456389651</v>
      </c>
      <c r="P25" s="23">
        <v>2298.3628418098565</v>
      </c>
      <c r="Q25" s="23">
        <v>2309.326443332177</v>
      </c>
      <c r="R25" s="23">
        <v>2208.0520074304886</v>
      </c>
      <c r="S25" s="23">
        <v>2364.7096529999999</v>
      </c>
      <c r="T25" s="23">
        <v>2575.8664309624255</v>
      </c>
      <c r="U25" s="23">
        <v>2828.9256359396613</v>
      </c>
      <c r="V25" s="23">
        <v>2945.9950675995083</v>
      </c>
      <c r="W25" s="23">
        <v>2898.4926306490606</v>
      </c>
      <c r="X25" s="23">
        <v>2789.5308507655204</v>
      </c>
      <c r="Y25" s="23">
        <v>3073.1559657296634</v>
      </c>
      <c r="Z25" s="23">
        <v>3572.7103548923174</v>
      </c>
      <c r="AA25" s="23">
        <v>3392.8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1369.3852296010605</v>
      </c>
      <c r="E26" s="23">
        <v>1527.0734016033539</v>
      </c>
      <c r="F26" s="23">
        <v>1703.3570450533011</v>
      </c>
      <c r="G26" s="23">
        <v>1869.3786847357917</v>
      </c>
      <c r="H26" s="23">
        <v>1895.6502492708828</v>
      </c>
      <c r="I26" s="23">
        <v>2031.3693959459781</v>
      </c>
      <c r="J26" s="23">
        <v>2087.8019998411924</v>
      </c>
      <c r="K26" s="23">
        <v>2228.6747765705063</v>
      </c>
      <c r="L26" s="23">
        <v>2179.3752558985498</v>
      </c>
      <c r="M26" s="23">
        <v>2182.9413120673489</v>
      </c>
      <c r="N26" s="23">
        <v>2225.295367220529</v>
      </c>
      <c r="O26" s="23">
        <v>2320.0731868002003</v>
      </c>
      <c r="P26" s="23">
        <v>2359.0314794938699</v>
      </c>
      <c r="Q26" s="23">
        <v>2736.3909638733335</v>
      </c>
      <c r="R26" s="23">
        <v>2791.4932935842121</v>
      </c>
      <c r="S26" s="23">
        <v>2946.7777599999999</v>
      </c>
      <c r="T26" s="23">
        <v>3202.971151979717</v>
      </c>
      <c r="U26" s="23">
        <v>3427.376867180772</v>
      </c>
      <c r="V26" s="23">
        <v>3538.0252027985252</v>
      </c>
      <c r="W26" s="23">
        <v>3484.9676538962244</v>
      </c>
      <c r="X26" s="23">
        <v>1583.8798637204868</v>
      </c>
      <c r="Y26" s="23">
        <v>2953.4509679722464</v>
      </c>
      <c r="Z26" s="23">
        <v>4313.9885138726022</v>
      </c>
      <c r="AA26" s="23">
        <v>4187.6000000000004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1856.8544323249366</v>
      </c>
      <c r="E27" s="23">
        <v>2090.8350457494121</v>
      </c>
      <c r="F27" s="23">
        <v>2249.4169930324392</v>
      </c>
      <c r="G27" s="23">
        <v>2246.0731051055786</v>
      </c>
      <c r="H27" s="23">
        <v>2312.1351284991397</v>
      </c>
      <c r="I27" s="23">
        <v>2403.7792284972488</v>
      </c>
      <c r="J27" s="23">
        <v>2474.8216636228544</v>
      </c>
      <c r="K27" s="23">
        <v>2528.233239808907</v>
      </c>
      <c r="L27" s="23">
        <v>2673.275938968322</v>
      </c>
      <c r="M27" s="23">
        <v>2531.5881111975582</v>
      </c>
      <c r="N27" s="23">
        <v>2554.8819073837381</v>
      </c>
      <c r="O27" s="23">
        <v>2433.5911932405679</v>
      </c>
      <c r="P27" s="23">
        <v>2350.9423278026684</v>
      </c>
      <c r="Q27" s="23">
        <v>2290.2845136032506</v>
      </c>
      <c r="R27" s="23">
        <v>2206.3317223953336</v>
      </c>
      <c r="S27" s="23">
        <v>2204.2533639999997</v>
      </c>
      <c r="T27" s="23">
        <v>2281.9315962525002</v>
      </c>
      <c r="U27" s="23">
        <v>2413.6763775870577</v>
      </c>
      <c r="V27" s="23">
        <v>2556.0268469320226</v>
      </c>
      <c r="W27" s="23">
        <v>2689.8997284731258</v>
      </c>
      <c r="X27" s="23">
        <v>3088.0022301983436</v>
      </c>
      <c r="Y27" s="23">
        <v>3431.5432690459411</v>
      </c>
      <c r="Z27" s="23">
        <v>3894.6164311684365</v>
      </c>
      <c r="AA27" s="23">
        <v>3755.7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1711.332299325057</v>
      </c>
      <c r="E28" s="23">
        <v>1924.1838007421884</v>
      </c>
      <c r="F28" s="23">
        <v>2102.8129324402635</v>
      </c>
      <c r="G28" s="23">
        <v>2442.1629950625065</v>
      </c>
      <c r="H28" s="23">
        <v>2447.8807949248448</v>
      </c>
      <c r="I28" s="23">
        <v>2902.4296822523402</v>
      </c>
      <c r="J28" s="23">
        <v>2961.1888993500233</v>
      </c>
      <c r="K28" s="23">
        <v>3266.7230785063534</v>
      </c>
      <c r="L28" s="23">
        <v>3384.605385742434</v>
      </c>
      <c r="M28" s="23">
        <v>3312.2767550421927</v>
      </c>
      <c r="N28" s="23">
        <v>3433.3016861665519</v>
      </c>
      <c r="O28" s="23">
        <v>3604.1314642480816</v>
      </c>
      <c r="P28" s="23">
        <v>3258.1015489143811</v>
      </c>
      <c r="Q28" s="23">
        <v>3055.6387650527777</v>
      </c>
      <c r="R28" s="23">
        <v>3084.7357272690952</v>
      </c>
      <c r="S28" s="23">
        <v>3119.0264599999996</v>
      </c>
      <c r="T28" s="23">
        <v>3206.3828955968856</v>
      </c>
      <c r="U28" s="23">
        <v>3288.2766988224594</v>
      </c>
      <c r="V28" s="23">
        <v>3199.5433100122909</v>
      </c>
      <c r="W28" s="23">
        <v>3078.5010358936206</v>
      </c>
      <c r="X28" s="23">
        <v>2675.8392630811504</v>
      </c>
      <c r="Y28" s="23">
        <v>3110.7532801215571</v>
      </c>
      <c r="Z28" s="23">
        <v>3018.8754215769804</v>
      </c>
      <c r="AA28" s="23">
        <v>3172.1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3638.0533249969862</v>
      </c>
      <c r="E29" s="23">
        <v>3672.5205107504034</v>
      </c>
      <c r="F29" s="23">
        <v>3780.63480007008</v>
      </c>
      <c r="G29" s="23">
        <v>3899.1787346359911</v>
      </c>
      <c r="H29" s="23">
        <v>4015.2313059301546</v>
      </c>
      <c r="I29" s="23">
        <v>4196.5538503680064</v>
      </c>
      <c r="J29" s="23">
        <v>4409.6193847340546</v>
      </c>
      <c r="K29" s="23">
        <v>5002.3536187453274</v>
      </c>
      <c r="L29" s="23">
        <v>4868.1818208457535</v>
      </c>
      <c r="M29" s="23">
        <v>4750.4778422806075</v>
      </c>
      <c r="N29" s="23">
        <v>4658.503824599351</v>
      </c>
      <c r="O29" s="23">
        <v>4784.4577702935585</v>
      </c>
      <c r="P29" s="23">
        <v>4753.1594397124709</v>
      </c>
      <c r="Q29" s="23">
        <v>4728.4394608256107</v>
      </c>
      <c r="R29" s="23">
        <v>4775.908246444551</v>
      </c>
      <c r="S29" s="23">
        <v>4860.3283179999989</v>
      </c>
      <c r="T29" s="23">
        <v>4911.8610414562154</v>
      </c>
      <c r="U29" s="23">
        <v>4923.5049452835483</v>
      </c>
      <c r="V29" s="23">
        <v>4887.1924808546855</v>
      </c>
      <c r="W29" s="23">
        <v>5124.5103291798396</v>
      </c>
      <c r="X29" s="23">
        <v>5135.6892789710801</v>
      </c>
      <c r="Y29" s="23">
        <v>5375.5669864255051</v>
      </c>
      <c r="Z29" s="23">
        <v>5658.9523388137632</v>
      </c>
      <c r="AA29" s="23">
        <v>5858.3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1395.3356785585149</v>
      </c>
      <c r="E30" s="23">
        <v>1539.8349834282315</v>
      </c>
      <c r="F30" s="23">
        <v>1770.8556259349607</v>
      </c>
      <c r="G30" s="23">
        <v>2036.063790839374</v>
      </c>
      <c r="H30" s="23">
        <v>2155.7468728967769</v>
      </c>
      <c r="I30" s="23">
        <v>2498.4596944001146</v>
      </c>
      <c r="J30" s="23">
        <v>2898.9651553478457</v>
      </c>
      <c r="K30" s="23">
        <v>3424.468527044447</v>
      </c>
      <c r="L30" s="23">
        <v>3595.0721446976199</v>
      </c>
      <c r="M30" s="23">
        <v>3225.4454635226525</v>
      </c>
      <c r="N30" s="23">
        <v>3116.7422819781732</v>
      </c>
      <c r="O30" s="23">
        <v>3072.1625995844288</v>
      </c>
      <c r="P30" s="23">
        <v>2966.8920880311161</v>
      </c>
      <c r="Q30" s="23">
        <v>2951.2364606769415</v>
      </c>
      <c r="R30" s="23">
        <v>2966.8300375519334</v>
      </c>
      <c r="S30" s="23">
        <v>2923.0604390000003</v>
      </c>
      <c r="T30" s="23">
        <v>2976.6150850714043</v>
      </c>
      <c r="U30" s="23">
        <v>3040.5886571005599</v>
      </c>
      <c r="V30" s="23">
        <v>3037.6933449938542</v>
      </c>
      <c r="W30" s="23">
        <v>3201.8332834294215</v>
      </c>
      <c r="X30" s="23">
        <v>2888.8561811825844</v>
      </c>
      <c r="Y30" s="23">
        <v>3057.6319133355914</v>
      </c>
      <c r="Z30" s="23">
        <v>3463.5081894333698</v>
      </c>
      <c r="AA30" s="23">
        <v>3131.8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423.59117452091112</v>
      </c>
      <c r="E31" s="23">
        <v>451.91013285742611</v>
      </c>
      <c r="F31" s="23">
        <v>538.38153798466328</v>
      </c>
      <c r="G31" s="23">
        <v>583.39787136253813</v>
      </c>
      <c r="H31" s="23">
        <v>648.34244086048307</v>
      </c>
      <c r="I31" s="23">
        <v>726.04137269847331</v>
      </c>
      <c r="J31" s="23">
        <v>829.8002189275951</v>
      </c>
      <c r="K31" s="23">
        <v>937.86056482976016</v>
      </c>
      <c r="L31" s="23">
        <v>930.76648107916947</v>
      </c>
      <c r="M31" s="23">
        <v>899.76778183414126</v>
      </c>
      <c r="N31" s="23">
        <v>926.22936781044143</v>
      </c>
      <c r="O31" s="23">
        <v>888.31102051266885</v>
      </c>
      <c r="P31" s="23">
        <v>906.24592979173849</v>
      </c>
      <c r="Q31" s="23">
        <v>936.99426631646759</v>
      </c>
      <c r="R31" s="23">
        <v>962.30098274209013</v>
      </c>
      <c r="S31" s="23">
        <v>1013.882348</v>
      </c>
      <c r="T31" s="23">
        <v>1123.2509754986431</v>
      </c>
      <c r="U31" s="23">
        <v>1238.9530202900794</v>
      </c>
      <c r="V31" s="23">
        <v>1363.8239699347641</v>
      </c>
      <c r="W31" s="23">
        <v>1349.2621805839685</v>
      </c>
      <c r="X31" s="23">
        <v>1042.915969379171</v>
      </c>
      <c r="Y31" s="23">
        <v>1288.8601936859834</v>
      </c>
      <c r="Z31" s="23">
        <v>1392.1320069510641</v>
      </c>
      <c r="AA31" s="23">
        <v>1462.5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3791.3605926841019</v>
      </c>
      <c r="E32" s="23">
        <v>3436.8065876320793</v>
      </c>
      <c r="F32" s="23">
        <v>3469.7484791310098</v>
      </c>
      <c r="G32" s="23">
        <v>3483.6839190041046</v>
      </c>
      <c r="H32" s="23">
        <v>3735.317796694666</v>
      </c>
      <c r="I32" s="23">
        <v>3618.5296060310134</v>
      </c>
      <c r="J32" s="23">
        <v>3809.9267794956618</v>
      </c>
      <c r="K32" s="23">
        <v>4008.3706968833567</v>
      </c>
      <c r="L32" s="23">
        <v>3876.6316829182069</v>
      </c>
      <c r="M32" s="23">
        <v>4093.4940521076473</v>
      </c>
      <c r="N32" s="23">
        <v>4056.5198712024303</v>
      </c>
      <c r="O32" s="23">
        <v>3941.4234718898633</v>
      </c>
      <c r="P32" s="23">
        <v>3810.7732676874598</v>
      </c>
      <c r="Q32" s="23">
        <v>3669.0515496308126</v>
      </c>
      <c r="R32" s="23">
        <v>3616.4361327500833</v>
      </c>
      <c r="S32" s="23">
        <v>3663.5973499999996</v>
      </c>
      <c r="T32" s="23">
        <v>3632.4571850179173</v>
      </c>
      <c r="U32" s="23">
        <v>3669.4239804162567</v>
      </c>
      <c r="V32" s="23">
        <v>3799.7160518105311</v>
      </c>
      <c r="W32" s="23">
        <v>3909.6692095964231</v>
      </c>
      <c r="X32" s="23">
        <v>4058.7153721047684</v>
      </c>
      <c r="Y32" s="23">
        <v>4103.4436617268711</v>
      </c>
      <c r="Z32" s="23">
        <v>3894.7282041115827</v>
      </c>
      <c r="AA32" s="23">
        <v>4289.8000000000047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1788.784408521152</v>
      </c>
      <c r="E33" s="23">
        <v>1764.1010169683577</v>
      </c>
      <c r="F33" s="23">
        <v>1847.8182935539953</v>
      </c>
      <c r="G33" s="23">
        <v>1985.9538633259797</v>
      </c>
      <c r="H33" s="23">
        <v>2061.9469476780414</v>
      </c>
      <c r="I33" s="23">
        <v>2208.5796679608411</v>
      </c>
      <c r="J33" s="23">
        <v>2204.2836462220812</v>
      </c>
      <c r="K33" s="23">
        <v>2335.0345375957359</v>
      </c>
      <c r="L33" s="23">
        <v>2420.2338432779266</v>
      </c>
      <c r="M33" s="23">
        <v>2454.9333941787859</v>
      </c>
      <c r="N33" s="23">
        <v>2562.4376462491396</v>
      </c>
      <c r="O33" s="23">
        <v>2564.5935822820957</v>
      </c>
      <c r="P33" s="23">
        <v>2525.7723804834818</v>
      </c>
      <c r="Q33" s="23">
        <v>2512.4841349918233</v>
      </c>
      <c r="R33" s="23">
        <v>2488.0614793064874</v>
      </c>
      <c r="S33" s="23">
        <v>2445.4015439999998</v>
      </c>
      <c r="T33" s="23">
        <v>2625.4679343197254</v>
      </c>
      <c r="U33" s="23">
        <v>2687.005003338139</v>
      </c>
      <c r="V33" s="23">
        <v>2772.4949116006428</v>
      </c>
      <c r="W33" s="23">
        <v>2888.7591166077732</v>
      </c>
      <c r="X33" s="23">
        <v>2893.686215953489</v>
      </c>
      <c r="Y33" s="23">
        <v>3123.0027277137547</v>
      </c>
      <c r="Z33" s="23">
        <v>3117.9062492091475</v>
      </c>
      <c r="AA33" s="23">
        <v>3170.6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1963.2512730505</v>
      </c>
      <c r="E34" s="23">
        <v>1902.7893841534233</v>
      </c>
      <c r="F34" s="23">
        <v>1933.1736418646649</v>
      </c>
      <c r="G34" s="23">
        <v>1968.0326045277864</v>
      </c>
      <c r="H34" s="23">
        <v>2047.9099870379139</v>
      </c>
      <c r="I34" s="23">
        <v>2099.2237298430318</v>
      </c>
      <c r="J34" s="23">
        <v>2119.2144696393934</v>
      </c>
      <c r="K34" s="23">
        <v>2217.0484059321207</v>
      </c>
      <c r="L34" s="23">
        <v>2256.0911928459554</v>
      </c>
      <c r="M34" s="23">
        <v>2298.8485307319411</v>
      </c>
      <c r="N34" s="23">
        <v>2321.4356307147773</v>
      </c>
      <c r="O34" s="23">
        <v>2347.0826435049776</v>
      </c>
      <c r="P34" s="23">
        <v>2333.8507331002902</v>
      </c>
      <c r="Q34" s="23">
        <v>2332.570729966797</v>
      </c>
      <c r="R34" s="23">
        <v>2337.8673627756471</v>
      </c>
      <c r="S34" s="23">
        <v>2434.5366260000001</v>
      </c>
      <c r="T34" s="23">
        <v>2558.0203874264657</v>
      </c>
      <c r="U34" s="23">
        <v>2623.1599491054753</v>
      </c>
      <c r="V34" s="23">
        <v>2721.7602089439347</v>
      </c>
      <c r="W34" s="23">
        <v>2883.707546029384</v>
      </c>
      <c r="X34" s="23">
        <v>3034.1287654459461</v>
      </c>
      <c r="Y34" s="23">
        <v>3300.8016402896137</v>
      </c>
      <c r="Z34" s="23">
        <v>3321.6683245742051</v>
      </c>
      <c r="AA34" s="23">
        <v>3597.3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381.87083735084957</v>
      </c>
      <c r="E35" s="23">
        <v>451.15945157360983</v>
      </c>
      <c r="F35" s="23">
        <v>545.16710960768728</v>
      </c>
      <c r="G35" s="23">
        <v>499.88132550688101</v>
      </c>
      <c r="H35" s="23">
        <v>496.0827030934517</v>
      </c>
      <c r="I35" s="23">
        <v>583.23166996165116</v>
      </c>
      <c r="J35" s="23">
        <v>674.39115782070621</v>
      </c>
      <c r="K35" s="23">
        <v>677.34374126593775</v>
      </c>
      <c r="L35" s="23">
        <v>725.78899509927749</v>
      </c>
      <c r="M35" s="23">
        <v>718.70405370359276</v>
      </c>
      <c r="N35" s="23">
        <v>791.65905319044339</v>
      </c>
      <c r="O35" s="23">
        <v>827.24616187578158</v>
      </c>
      <c r="P35" s="23">
        <v>814.00350647432401</v>
      </c>
      <c r="Q35" s="23">
        <v>859.64463452103666</v>
      </c>
      <c r="R35" s="23">
        <v>864.77405421061042</v>
      </c>
      <c r="S35" s="23">
        <v>834.21370399999978</v>
      </c>
      <c r="T35" s="23">
        <v>949.7769346564462</v>
      </c>
      <c r="U35" s="23">
        <v>1026.2643757680137</v>
      </c>
      <c r="V35" s="23">
        <v>1102.7594752765438</v>
      </c>
      <c r="W35" s="23">
        <v>1188.2279672679931</v>
      </c>
      <c r="X35" s="23">
        <v>960.92922531920067</v>
      </c>
      <c r="Y35" s="23">
        <v>974.86197768400621</v>
      </c>
      <c r="Z35" s="23">
        <v>1087.7742827497193</v>
      </c>
      <c r="AA35" s="23">
        <v>977.80000000000007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517.01279076774733</v>
      </c>
      <c r="E36" s="23">
        <v>537.67546953344095</v>
      </c>
      <c r="F36" s="23">
        <v>579.98780609425751</v>
      </c>
      <c r="G36" s="23">
        <v>633.85578448366425</v>
      </c>
      <c r="H36" s="23">
        <v>648.50758157389635</v>
      </c>
      <c r="I36" s="23">
        <v>686.11777624276499</v>
      </c>
      <c r="J36" s="23">
        <v>708.95990448858288</v>
      </c>
      <c r="K36" s="23">
        <v>707.19911278179188</v>
      </c>
      <c r="L36" s="23">
        <v>703.29636437124225</v>
      </c>
      <c r="M36" s="23">
        <v>715.79646098908779</v>
      </c>
      <c r="N36" s="23">
        <v>716.62274997542033</v>
      </c>
      <c r="O36" s="23">
        <v>728.73340916029019</v>
      </c>
      <c r="P36" s="23">
        <v>751.1168755846586</v>
      </c>
      <c r="Q36" s="23">
        <v>774.54690718073232</v>
      </c>
      <c r="R36" s="23">
        <v>815.5474362815595</v>
      </c>
      <c r="S36" s="23">
        <v>819.63881399999991</v>
      </c>
      <c r="T36" s="23">
        <v>895.58269950680358</v>
      </c>
      <c r="U36" s="23">
        <v>941.90685431200473</v>
      </c>
      <c r="V36" s="23">
        <v>959.32432825943079</v>
      </c>
      <c r="W36" s="23">
        <v>1058.6120587688301</v>
      </c>
      <c r="X36" s="23">
        <v>915.10581851831068</v>
      </c>
      <c r="Y36" s="23">
        <v>1043.6286785233733</v>
      </c>
      <c r="Z36" s="23">
        <v>1058.1544528145905</v>
      </c>
      <c r="AA36" s="23">
        <v>994.3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85.037625045197046</v>
      </c>
      <c r="E37" s="23">
        <v>83.888633466474033</v>
      </c>
      <c r="F37" s="23">
        <v>89.283837145051962</v>
      </c>
      <c r="G37" s="23">
        <v>93.956114087614239</v>
      </c>
      <c r="H37" s="23">
        <v>95.616473066281117</v>
      </c>
      <c r="I37" s="23">
        <v>98.783286091989623</v>
      </c>
      <c r="J37" s="23">
        <v>102.05295211951406</v>
      </c>
      <c r="K37" s="23">
        <v>106.9339027851502</v>
      </c>
      <c r="L37" s="23">
        <v>107.91107361188297</v>
      </c>
      <c r="M37" s="23">
        <v>95.686232968260626</v>
      </c>
      <c r="N37" s="23">
        <v>88.714795988595014</v>
      </c>
      <c r="O37" s="23">
        <v>69.154647601603187</v>
      </c>
      <c r="P37" s="23">
        <v>59.624876175471421</v>
      </c>
      <c r="Q37" s="23">
        <v>53.054755934387231</v>
      </c>
      <c r="R37" s="23">
        <v>32.68541566794503</v>
      </c>
      <c r="S37" s="23">
        <v>26.367300999999998</v>
      </c>
      <c r="T37" s="23">
        <v>22.832438053360267</v>
      </c>
      <c r="U37" s="23">
        <v>24.999569428452553</v>
      </c>
      <c r="V37" s="23">
        <v>23.550923702373076</v>
      </c>
      <c r="W37" s="23">
        <v>22.054417891017291</v>
      </c>
      <c r="X37" s="23">
        <v>19.072444992802794</v>
      </c>
      <c r="Y37" s="23">
        <v>19.041220514604252</v>
      </c>
      <c r="Z37" s="23">
        <v>17.771897961077414</v>
      </c>
      <c r="AA37" s="23">
        <v>16.100000000000001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39031.072182716642</v>
      </c>
      <c r="E39" s="30">
        <f t="shared" ref="E39:S39" si="3">SUM(E18:E38)</f>
        <v>40427.002188323262</v>
      </c>
      <c r="F39" s="30">
        <f t="shared" si="3"/>
        <v>42572.140659829383</v>
      </c>
      <c r="G39" s="30">
        <f t="shared" si="3"/>
        <v>45090.235121861551</v>
      </c>
      <c r="H39" s="30">
        <f t="shared" si="3"/>
        <v>46999.212178128975</v>
      </c>
      <c r="I39" s="30">
        <f t="shared" si="3"/>
        <v>48985.937249601026</v>
      </c>
      <c r="J39" s="30">
        <f t="shared" si="3"/>
        <v>51295.060191476558</v>
      </c>
      <c r="K39" s="30">
        <f t="shared" si="3"/>
        <v>53822.201606525763</v>
      </c>
      <c r="L39" s="30">
        <f t="shared" si="3"/>
        <v>54892.194214116091</v>
      </c>
      <c r="M39" s="30">
        <f t="shared" si="3"/>
        <v>51781.979469148369</v>
      </c>
      <c r="N39" s="30">
        <f t="shared" si="3"/>
        <v>50834.099186903921</v>
      </c>
      <c r="O39" s="30">
        <f t="shared" si="3"/>
        <v>50957.319727810769</v>
      </c>
      <c r="P39" s="30">
        <f t="shared" si="3"/>
        <v>49260.97674659051</v>
      </c>
      <c r="Q39" s="30">
        <f t="shared" si="3"/>
        <v>49027.059487586121</v>
      </c>
      <c r="R39" s="30">
        <f t="shared" si="3"/>
        <v>48709.73844079578</v>
      </c>
      <c r="S39" s="30">
        <f t="shared" si="3"/>
        <v>49810.349069999997</v>
      </c>
      <c r="T39" s="30">
        <f t="shared" ref="T39:Y39" si="4">SUM(T18:T38)</f>
        <v>51554.07047358725</v>
      </c>
      <c r="U39" s="30">
        <f t="shared" si="4"/>
        <v>52997.548753277668</v>
      </c>
      <c r="V39" s="30">
        <f t="shared" si="4"/>
        <v>54315.19468469319</v>
      </c>
      <c r="W39" s="30">
        <f t="shared" si="4"/>
        <v>56069.3531941603</v>
      </c>
      <c r="X39" s="30">
        <f t="shared" si="4"/>
        <v>51990.370426971764</v>
      </c>
      <c r="Y39" s="30">
        <f t="shared" si="4"/>
        <v>58070.02233155453</v>
      </c>
      <c r="Z39" s="30">
        <f t="shared" ref="Z39:AA39" si="5">SUM(Z18:Z38)</f>
        <v>62932.079047265535</v>
      </c>
      <c r="AA39" s="30">
        <f t="shared" si="5"/>
        <v>65124.000000000007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1759.2408204772807</v>
      </c>
      <c r="E41" s="19">
        <v>1729.5696779128068</v>
      </c>
      <c r="F41" s="19">
        <v>1831.2114998450156</v>
      </c>
      <c r="G41" s="19">
        <v>1872.8585408131107</v>
      </c>
      <c r="H41" s="19">
        <v>1998.6980544407606</v>
      </c>
      <c r="I41" s="19">
        <v>2025.8463687683111</v>
      </c>
      <c r="J41" s="19">
        <v>2099.0744172328914</v>
      </c>
      <c r="K41" s="19">
        <v>2058.2982093141659</v>
      </c>
      <c r="L41" s="19">
        <v>2094.0906977214163</v>
      </c>
      <c r="M41" s="19">
        <v>2024.2131825164081</v>
      </c>
      <c r="N41" s="19">
        <v>2010.4778949955755</v>
      </c>
      <c r="O41" s="19">
        <v>2108.3033885786876</v>
      </c>
      <c r="P41" s="19">
        <v>2049.1647816454138</v>
      </c>
      <c r="Q41" s="19">
        <v>2010.0398374547794</v>
      </c>
      <c r="R41" s="19">
        <v>1951.5972075743048</v>
      </c>
      <c r="S41" s="19">
        <v>1918.3205219999998</v>
      </c>
      <c r="T41" s="19">
        <v>1919.4994473824941</v>
      </c>
      <c r="U41" s="19">
        <v>1922.1463817476365</v>
      </c>
      <c r="V41" s="19">
        <v>1960.6143982225583</v>
      </c>
      <c r="W41" s="19">
        <v>1969.0036442254041</v>
      </c>
      <c r="X41" s="19">
        <v>1694.3514282242534</v>
      </c>
      <c r="Y41" s="19">
        <v>1683.0255865042243</v>
      </c>
      <c r="Z41" s="19">
        <v>1717.1677256354233</v>
      </c>
      <c r="AA41" s="19">
        <v>1787.2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670.3200584548631</v>
      </c>
      <c r="E42" s="23">
        <v>668.48168323843504</v>
      </c>
      <c r="F42" s="23">
        <v>683.55705718251784</v>
      </c>
      <c r="G42" s="23">
        <v>651.2550648702595</v>
      </c>
      <c r="H42" s="23">
        <v>617.295986738789</v>
      </c>
      <c r="I42" s="23">
        <v>591.9107126694139</v>
      </c>
      <c r="J42" s="23">
        <v>585.86510657123085</v>
      </c>
      <c r="K42" s="23">
        <v>572.70640552046882</v>
      </c>
      <c r="L42" s="23">
        <v>539.68925276612947</v>
      </c>
      <c r="M42" s="23">
        <v>468.25459034053506</v>
      </c>
      <c r="N42" s="23">
        <v>450.3480906498869</v>
      </c>
      <c r="O42" s="23">
        <v>462.68373659487725</v>
      </c>
      <c r="P42" s="23">
        <v>424.28905322239177</v>
      </c>
      <c r="Q42" s="23">
        <v>418.00318846325388</v>
      </c>
      <c r="R42" s="23">
        <v>434.9674546580377</v>
      </c>
      <c r="S42" s="23">
        <v>391.53454499999998</v>
      </c>
      <c r="T42" s="23">
        <v>413.47708221918509</v>
      </c>
      <c r="U42" s="23">
        <v>434.47969637449074</v>
      </c>
      <c r="V42" s="23">
        <v>438.69858939207717</v>
      </c>
      <c r="W42" s="23">
        <v>475.71009763808814</v>
      </c>
      <c r="X42" s="23">
        <v>395.31976894173062</v>
      </c>
      <c r="Y42" s="23">
        <v>415.63224651941891</v>
      </c>
      <c r="Z42" s="23">
        <v>432.33774410973228</v>
      </c>
      <c r="AA42" s="23">
        <v>380.8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631.19476618054705</v>
      </c>
      <c r="E43" s="23">
        <v>605.42445539786411</v>
      </c>
      <c r="F43" s="23">
        <v>640.70081535289285</v>
      </c>
      <c r="G43" s="23">
        <v>672.8301725496375</v>
      </c>
      <c r="H43" s="23">
        <v>651.48011441533515</v>
      </c>
      <c r="I43" s="23">
        <v>634.35912154919856</v>
      </c>
      <c r="J43" s="23">
        <v>619.38176094921562</v>
      </c>
      <c r="K43" s="23">
        <v>711.79224686115401</v>
      </c>
      <c r="L43" s="23">
        <v>722.57576213812968</v>
      </c>
      <c r="M43" s="23">
        <v>609.00851038362555</v>
      </c>
      <c r="N43" s="23">
        <v>542.18939927244116</v>
      </c>
      <c r="O43" s="23">
        <v>559.6307237042945</v>
      </c>
      <c r="P43" s="23">
        <v>531.4050780365319</v>
      </c>
      <c r="Q43" s="23">
        <v>543.5486010208632</v>
      </c>
      <c r="R43" s="23">
        <v>601.9674326861616</v>
      </c>
      <c r="S43" s="23">
        <v>673.35991799999988</v>
      </c>
      <c r="T43" s="23">
        <v>702.03185968665196</v>
      </c>
      <c r="U43" s="23">
        <v>727.03876014745867</v>
      </c>
      <c r="V43" s="23">
        <v>751.37468280230689</v>
      </c>
      <c r="W43" s="23">
        <v>834.37160870373805</v>
      </c>
      <c r="X43" s="23">
        <v>676.08102088123667</v>
      </c>
      <c r="Y43" s="23">
        <v>888.87328121996541</v>
      </c>
      <c r="Z43" s="23">
        <v>982.14885147161783</v>
      </c>
      <c r="AA43" s="23">
        <v>929.6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1002.0865674340122</v>
      </c>
      <c r="E44" s="23">
        <v>889.36965100138798</v>
      </c>
      <c r="F44" s="23">
        <v>582.66632120860913</v>
      </c>
      <c r="G44" s="23">
        <v>684.13970480092439</v>
      </c>
      <c r="H44" s="23">
        <v>862.52994615748923</v>
      </c>
      <c r="I44" s="23">
        <v>837.13311935783531</v>
      </c>
      <c r="J44" s="23">
        <v>739.16998309833593</v>
      </c>
      <c r="K44" s="23">
        <v>787.86603005058976</v>
      </c>
      <c r="L44" s="23">
        <v>586.68278482291714</v>
      </c>
      <c r="M44" s="23">
        <v>707.99882598200577</v>
      </c>
      <c r="N44" s="23">
        <v>881.80683413626969</v>
      </c>
      <c r="O44" s="23">
        <v>1178.1081381035381</v>
      </c>
      <c r="P44" s="23">
        <v>1212.1985219831618</v>
      </c>
      <c r="Q44" s="23">
        <v>982.3009267059814</v>
      </c>
      <c r="R44" s="23">
        <v>781.14173557845947</v>
      </c>
      <c r="S44" s="23">
        <v>758.15927799999997</v>
      </c>
      <c r="T44" s="23">
        <v>682.21750252540244</v>
      </c>
      <c r="U44" s="23">
        <v>714.60307689330523</v>
      </c>
      <c r="V44" s="23">
        <v>667.06738678264162</v>
      </c>
      <c r="W44" s="23">
        <v>638.71565557002032</v>
      </c>
      <c r="X44" s="23">
        <v>227.87856355037104</v>
      </c>
      <c r="Y44" s="23">
        <v>460.74902378969142</v>
      </c>
      <c r="Z44" s="23">
        <v>925.36819635069116</v>
      </c>
      <c r="AA44" s="23">
        <v>727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424.19003103531395</v>
      </c>
      <c r="E45" s="23">
        <v>429.38969434293642</v>
      </c>
      <c r="F45" s="23">
        <v>327.49311464805061</v>
      </c>
      <c r="G45" s="23">
        <v>275.7785941275344</v>
      </c>
      <c r="H45" s="23">
        <v>277.1061171074607</v>
      </c>
      <c r="I45" s="23">
        <v>294.61404973441631</v>
      </c>
      <c r="J45" s="23">
        <v>233.11359166033327</v>
      </c>
      <c r="K45" s="23">
        <v>261.95217796362294</v>
      </c>
      <c r="L45" s="23">
        <v>274.86530288485829</v>
      </c>
      <c r="M45" s="23">
        <v>244.76644123925229</v>
      </c>
      <c r="N45" s="23">
        <v>273.96066955068329</v>
      </c>
      <c r="O45" s="23">
        <v>269.57264517907959</v>
      </c>
      <c r="P45" s="23">
        <v>269.42093939244745</v>
      </c>
      <c r="Q45" s="23">
        <v>223.38153426829871</v>
      </c>
      <c r="R45" s="23">
        <v>216.49125519335249</v>
      </c>
      <c r="S45" s="23">
        <v>239.29319399999997</v>
      </c>
      <c r="T45" s="23">
        <v>220.58234694079661</v>
      </c>
      <c r="U45" s="23">
        <v>208.84255691768826</v>
      </c>
      <c r="V45" s="23">
        <v>172.74853077432167</v>
      </c>
      <c r="W45" s="23">
        <v>267.48682257764551</v>
      </c>
      <c r="X45" s="23">
        <v>300.45293215934788</v>
      </c>
      <c r="Y45" s="23">
        <v>244.74638852529543</v>
      </c>
      <c r="Z45" s="23">
        <v>169.112462988114</v>
      </c>
      <c r="AA45" s="23">
        <v>167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674.31243521754845</v>
      </c>
      <c r="E46" s="23">
        <v>688.37473725956772</v>
      </c>
      <c r="F46" s="23">
        <v>548.91703076777935</v>
      </c>
      <c r="G46" s="23">
        <v>492.74762054837691</v>
      </c>
      <c r="H46" s="23">
        <v>480.72461674601794</v>
      </c>
      <c r="I46" s="23">
        <v>434.10993616463816</v>
      </c>
      <c r="J46" s="23">
        <v>312.17081230078156</v>
      </c>
      <c r="K46" s="23">
        <v>349.79586723142415</v>
      </c>
      <c r="L46" s="23">
        <v>464.17827817915423</v>
      </c>
      <c r="M46" s="23">
        <v>369.79292796297403</v>
      </c>
      <c r="N46" s="23">
        <v>447.87293481466912</v>
      </c>
      <c r="O46" s="23">
        <v>427.32352999103858</v>
      </c>
      <c r="P46" s="23">
        <v>476.60759883806804</v>
      </c>
      <c r="Q46" s="23">
        <v>476.70486148966745</v>
      </c>
      <c r="R46" s="23">
        <v>511.71863314956852</v>
      </c>
      <c r="S46" s="23">
        <v>497.79874299999994</v>
      </c>
      <c r="T46" s="23">
        <v>495.09648721453044</v>
      </c>
      <c r="U46" s="23">
        <v>466.6586293311143</v>
      </c>
      <c r="V46" s="23">
        <v>466.13291008792669</v>
      </c>
      <c r="W46" s="23">
        <v>463.26598474986048</v>
      </c>
      <c r="X46" s="23">
        <v>537.37233002448909</v>
      </c>
      <c r="Y46" s="23">
        <v>453.59340588929877</v>
      </c>
      <c r="Z46" s="23">
        <v>460.16920695443844</v>
      </c>
      <c r="AA46" s="23">
        <v>449.6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679.90176268530786</v>
      </c>
      <c r="E47" s="23">
        <v>725.72113112942964</v>
      </c>
      <c r="F47" s="23">
        <v>768.01956712173694</v>
      </c>
      <c r="G47" s="23">
        <v>826.29182555940747</v>
      </c>
      <c r="H47" s="23">
        <v>835.61200987112693</v>
      </c>
      <c r="I47" s="23">
        <v>829.40088130910135</v>
      </c>
      <c r="J47" s="23">
        <v>894.27844640811281</v>
      </c>
      <c r="K47" s="23">
        <v>961.11330610653113</v>
      </c>
      <c r="L47" s="23">
        <v>942.54833527004496</v>
      </c>
      <c r="M47" s="23">
        <v>814.78677658746778</v>
      </c>
      <c r="N47" s="23">
        <v>596.64282764723225</v>
      </c>
      <c r="O47" s="23">
        <v>634.26555092715682</v>
      </c>
      <c r="P47" s="23">
        <v>629.64913002806361</v>
      </c>
      <c r="Q47" s="23">
        <v>627.33309182813809</v>
      </c>
      <c r="R47" s="23">
        <v>673.16076721796094</v>
      </c>
      <c r="S47" s="23">
        <v>729.53949399999999</v>
      </c>
      <c r="T47" s="23">
        <v>779.18975379800725</v>
      </c>
      <c r="U47" s="23">
        <v>789.7299880988088</v>
      </c>
      <c r="V47" s="23">
        <v>797.34909237023737</v>
      </c>
      <c r="W47" s="23">
        <v>744.92184675469582</v>
      </c>
      <c r="X47" s="23">
        <v>893.92797375357509</v>
      </c>
      <c r="Y47" s="23">
        <v>952.06102573021258</v>
      </c>
      <c r="Z47" s="23">
        <v>984.27253739149501</v>
      </c>
      <c r="AA47" s="23">
        <v>1030.7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557.53541490900318</v>
      </c>
      <c r="E48" s="23">
        <v>601.85871929973644</v>
      </c>
      <c r="F48" s="23">
        <v>732.30603226371625</v>
      </c>
      <c r="G48" s="23">
        <v>766.43830102951995</v>
      </c>
      <c r="H48" s="23">
        <v>753.2067938779071</v>
      </c>
      <c r="I48" s="23">
        <v>781.27164447514474</v>
      </c>
      <c r="J48" s="23">
        <v>907.50474948103943</v>
      </c>
      <c r="K48" s="23">
        <v>965.13229842597298</v>
      </c>
      <c r="L48" s="23">
        <v>947.50206941848126</v>
      </c>
      <c r="M48" s="23">
        <v>846.24164322620538</v>
      </c>
      <c r="N48" s="23">
        <v>743.32837872382265</v>
      </c>
      <c r="O48" s="23">
        <v>783.53520537288148</v>
      </c>
      <c r="P48" s="23">
        <v>757.2489744473437</v>
      </c>
      <c r="Q48" s="23">
        <v>784.39618117845271</v>
      </c>
      <c r="R48" s="23">
        <v>812.63618468360494</v>
      </c>
      <c r="S48" s="23">
        <v>873.69840599999986</v>
      </c>
      <c r="T48" s="23">
        <v>1039.5320359696555</v>
      </c>
      <c r="U48" s="23">
        <v>1086.7761540768836</v>
      </c>
      <c r="V48" s="23">
        <v>1060.417920960575</v>
      </c>
      <c r="W48" s="23">
        <v>1002.0591100985678</v>
      </c>
      <c r="X48" s="23">
        <v>1027.930476884826</v>
      </c>
      <c r="Y48" s="23">
        <v>1148.4160321833608</v>
      </c>
      <c r="Z48" s="23">
        <v>1246.8271808542047</v>
      </c>
      <c r="AA48" s="23">
        <v>1299.8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287.65074575147639</v>
      </c>
      <c r="E49" s="23">
        <v>296.51910710744738</v>
      </c>
      <c r="F49" s="23">
        <v>297.31517769302303</v>
      </c>
      <c r="G49" s="23">
        <v>336.85006828448365</v>
      </c>
      <c r="H49" s="23">
        <v>358.35534810678763</v>
      </c>
      <c r="I49" s="23">
        <v>367.04460615010839</v>
      </c>
      <c r="J49" s="23">
        <v>389.72504395567</v>
      </c>
      <c r="K49" s="23">
        <v>426.30025674080008</v>
      </c>
      <c r="L49" s="23">
        <v>422.67401909766073</v>
      </c>
      <c r="M49" s="23">
        <v>385.52036128234283</v>
      </c>
      <c r="N49" s="23">
        <v>360.46085242355713</v>
      </c>
      <c r="O49" s="23">
        <v>325.28780466188067</v>
      </c>
      <c r="P49" s="23">
        <v>286.12112352912214</v>
      </c>
      <c r="Q49" s="23">
        <v>230.4730115466574</v>
      </c>
      <c r="R49" s="23">
        <v>226.01898769574944</v>
      </c>
      <c r="S49" s="23">
        <v>245.520647</v>
      </c>
      <c r="T49" s="23">
        <v>296.16559015192024</v>
      </c>
      <c r="U49" s="23">
        <v>278.58494547706357</v>
      </c>
      <c r="V49" s="23">
        <v>293.25910844284772</v>
      </c>
      <c r="W49" s="23">
        <v>240.87367026222799</v>
      </c>
      <c r="X49" s="23">
        <v>257.60185444824555</v>
      </c>
      <c r="Y49" s="23">
        <v>150.75310254556106</v>
      </c>
      <c r="Z49" s="23">
        <v>161.84722168327104</v>
      </c>
      <c r="AA49" s="23">
        <v>171.4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281.46256176931416</v>
      </c>
      <c r="E50" s="23">
        <v>297.26978839126372</v>
      </c>
      <c r="F50" s="23">
        <v>300.70796350453503</v>
      </c>
      <c r="G50" s="23">
        <v>330.23834173757751</v>
      </c>
      <c r="H50" s="23">
        <v>366.61238377745093</v>
      </c>
      <c r="I50" s="23">
        <v>359.31236810137437</v>
      </c>
      <c r="J50" s="23">
        <v>396.78909218780132</v>
      </c>
      <c r="K50" s="23">
        <v>403.33458634398932</v>
      </c>
      <c r="L50" s="23">
        <v>436.73191330268276</v>
      </c>
      <c r="M50" s="23">
        <v>400.0583248548686</v>
      </c>
      <c r="N50" s="23">
        <v>341.96231933929801</v>
      </c>
      <c r="O50" s="23">
        <v>309.36918766679463</v>
      </c>
      <c r="P50" s="23">
        <v>255.72156959283146</v>
      </c>
      <c r="Q50" s="23">
        <v>257.52568412706279</v>
      </c>
      <c r="R50" s="23">
        <v>303.16715504154678</v>
      </c>
      <c r="S50" s="23">
        <v>326.47753599999999</v>
      </c>
      <c r="T50" s="23">
        <v>369.78051973775422</v>
      </c>
      <c r="U50" s="23">
        <v>376.66017938868515</v>
      </c>
      <c r="V50" s="23">
        <v>367.79527654344338</v>
      </c>
      <c r="W50" s="23">
        <v>341.90508183001668</v>
      </c>
      <c r="X50" s="23">
        <v>366.33956031630305</v>
      </c>
      <c r="Y50" s="23">
        <v>431.88398886946334</v>
      </c>
      <c r="Z50" s="23">
        <v>492.58336046835319</v>
      </c>
      <c r="AA50" s="23">
        <v>604.70000000000005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231.95708991201636</v>
      </c>
      <c r="E51" s="23">
        <v>348.31611569077359</v>
      </c>
      <c r="F51" s="23">
        <v>360.70670206600994</v>
      </c>
      <c r="G51" s="23">
        <v>344.85373726231745</v>
      </c>
      <c r="H51" s="23">
        <v>358.35534810678763</v>
      </c>
      <c r="I51" s="23">
        <v>356.15635257127883</v>
      </c>
      <c r="J51" s="23">
        <v>376.19814308563133</v>
      </c>
      <c r="K51" s="23">
        <v>407.7841849833714</v>
      </c>
      <c r="L51" s="23">
        <v>356.40108927398575</v>
      </c>
      <c r="M51" s="23">
        <v>298.55690645759773</v>
      </c>
      <c r="N51" s="23">
        <v>278.91098122111885</v>
      </c>
      <c r="O51" s="23">
        <v>302.71468384098</v>
      </c>
      <c r="P51" s="23">
        <v>284.16407070060558</v>
      </c>
      <c r="Q51" s="23">
        <v>289.17468457307098</v>
      </c>
      <c r="R51" s="23">
        <v>312.43022830776601</v>
      </c>
      <c r="S51" s="23">
        <v>344.23240199999998</v>
      </c>
      <c r="T51" s="23">
        <v>362.82581159506401</v>
      </c>
      <c r="U51" s="23">
        <v>369.09620710007636</v>
      </c>
      <c r="V51" s="23">
        <v>363.9118795499669</v>
      </c>
      <c r="W51" s="23">
        <v>365.80763529849349</v>
      </c>
      <c r="X51" s="23">
        <v>382.19198212850279</v>
      </c>
      <c r="Y51" s="23">
        <v>460.74902378969142</v>
      </c>
      <c r="Z51" s="23">
        <v>459.83388812498413</v>
      </c>
      <c r="AA51" s="23">
        <v>475.6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330.76841478847768</v>
      </c>
      <c r="E52" s="23">
        <v>323.91897396674312</v>
      </c>
      <c r="F52" s="23">
        <v>373.56357461489739</v>
      </c>
      <c r="G52" s="23">
        <v>362.94898886437647</v>
      </c>
      <c r="H52" s="23">
        <v>404.75988857591545</v>
      </c>
      <c r="I52" s="23">
        <v>352.21133315865944</v>
      </c>
      <c r="J52" s="23">
        <v>416.3279490000794</v>
      </c>
      <c r="K52" s="23">
        <v>408.21479130331159</v>
      </c>
      <c r="L52" s="23">
        <v>403.66239074420247</v>
      </c>
      <c r="M52" s="23">
        <v>378.78003271689909</v>
      </c>
      <c r="N52" s="23">
        <v>360.33058106380889</v>
      </c>
      <c r="O52" s="23">
        <v>339.64065605089269</v>
      </c>
      <c r="P52" s="23">
        <v>299.03767219733146</v>
      </c>
      <c r="Q52" s="23">
        <v>129.35379850339461</v>
      </c>
      <c r="R52" s="23">
        <v>165.80901146532437</v>
      </c>
      <c r="S52" s="23">
        <v>162.70877199999998</v>
      </c>
      <c r="T52" s="23">
        <v>196.56892071226255</v>
      </c>
      <c r="U52" s="23">
        <v>185.38142253098661</v>
      </c>
      <c r="V52" s="23">
        <v>161.97523588919356</v>
      </c>
      <c r="W52" s="23">
        <v>313.93663009112885</v>
      </c>
      <c r="X52" s="23">
        <v>184.77979174845302</v>
      </c>
      <c r="Y52" s="23">
        <v>210.05983395729021</v>
      </c>
      <c r="Z52" s="23">
        <v>292.50979222729302</v>
      </c>
      <c r="AA52" s="23">
        <v>345.6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335.75888574183398</v>
      </c>
      <c r="E53" s="23">
        <v>356.94895045466183</v>
      </c>
      <c r="F53" s="23">
        <v>369.81365345480589</v>
      </c>
      <c r="G53" s="23">
        <v>392.52776552158747</v>
      </c>
      <c r="H53" s="23">
        <v>416.15459780143078</v>
      </c>
      <c r="I53" s="23">
        <v>440.89536955434431</v>
      </c>
      <c r="J53" s="23">
        <v>437.82069149358557</v>
      </c>
      <c r="K53" s="23">
        <v>512.42152072884051</v>
      </c>
      <c r="L53" s="23">
        <v>556.02318698529928</v>
      </c>
      <c r="M53" s="23">
        <v>481.86741077662782</v>
      </c>
      <c r="N53" s="23">
        <v>472.62449316684592</v>
      </c>
      <c r="O53" s="23">
        <v>457.2035569736164</v>
      </c>
      <c r="P53" s="23">
        <v>436.94466151346512</v>
      </c>
      <c r="Q53" s="23">
        <v>446.36909757668934</v>
      </c>
      <c r="R53" s="23">
        <v>469.50548497922557</v>
      </c>
      <c r="S53" s="23">
        <v>516.48110200000144</v>
      </c>
      <c r="T53" s="23">
        <v>560.96938320755828</v>
      </c>
      <c r="U53" s="23">
        <v>652.80926938297614</v>
      </c>
      <c r="V53" s="23">
        <v>669.69807506854318</v>
      </c>
      <c r="W53" s="23">
        <v>583.27158824623348</v>
      </c>
      <c r="X53" s="23">
        <v>691.43805451180424</v>
      </c>
      <c r="Y53" s="23">
        <v>755.22089263975045</v>
      </c>
      <c r="Z53" s="23">
        <v>951.9701568207314</v>
      </c>
      <c r="AA53" s="23">
        <v>1088.6000000000004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7866.379554356995</v>
      </c>
      <c r="E54" s="30">
        <f t="shared" ref="E54:S54" si="6">SUM(E41:E53)</f>
        <v>7961.1626851930541</v>
      </c>
      <c r="F54" s="30">
        <f t="shared" si="6"/>
        <v>7816.978509723589</v>
      </c>
      <c r="G54" s="30">
        <f t="shared" si="6"/>
        <v>8009.7587259691145</v>
      </c>
      <c r="H54" s="30">
        <f t="shared" si="6"/>
        <v>8380.8912057232592</v>
      </c>
      <c r="I54" s="30">
        <f t="shared" si="6"/>
        <v>8304.2658635638254</v>
      </c>
      <c r="J54" s="30">
        <f t="shared" si="6"/>
        <v>8407.4197874247093</v>
      </c>
      <c r="K54" s="30">
        <f t="shared" si="6"/>
        <v>8826.7118815742433</v>
      </c>
      <c r="L54" s="30">
        <f t="shared" si="6"/>
        <v>8747.6250826049636</v>
      </c>
      <c r="M54" s="30">
        <f t="shared" si="6"/>
        <v>8029.8459343268096</v>
      </c>
      <c r="N54" s="30">
        <f t="shared" si="6"/>
        <v>7760.9162570052094</v>
      </c>
      <c r="O54" s="30">
        <f t="shared" si="6"/>
        <v>8157.6388076457188</v>
      </c>
      <c r="P54" s="30">
        <f t="shared" si="6"/>
        <v>7911.9731751267782</v>
      </c>
      <c r="Q54" s="30">
        <f t="shared" si="6"/>
        <v>7418.6044987363111</v>
      </c>
      <c r="R54" s="30">
        <f t="shared" si="6"/>
        <v>7460.6115382310627</v>
      </c>
      <c r="S54" s="30">
        <f t="shared" si="6"/>
        <v>7677.1245590000008</v>
      </c>
      <c r="T54" s="30">
        <f t="shared" ref="T54:Y54" si="7">SUM(T41:T53)</f>
        <v>8037.9367411412804</v>
      </c>
      <c r="U54" s="30">
        <f t="shared" si="7"/>
        <v>8212.807267467173</v>
      </c>
      <c r="V54" s="30">
        <f t="shared" si="7"/>
        <v>8171.0430868866415</v>
      </c>
      <c r="W54" s="30">
        <f t="shared" si="7"/>
        <v>8241.3293760461202</v>
      </c>
      <c r="X54" s="30">
        <f t="shared" si="7"/>
        <v>7635.6657375731374</v>
      </c>
      <c r="Y54" s="30">
        <f t="shared" si="7"/>
        <v>8255.7638321632239</v>
      </c>
      <c r="Z54" s="30">
        <f t="shared" ref="Z54:AA54" si="8">SUM(Z41:Z53)</f>
        <v>9276.1483250803485</v>
      </c>
      <c r="AA54" s="30">
        <f t="shared" si="8"/>
        <v>9457.6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1759.2408204772807</v>
      </c>
      <c r="E56" s="19">
        <v>1729.5696779128068</v>
      </c>
      <c r="F56" s="19">
        <v>1831.2114998450156</v>
      </c>
      <c r="G56" s="19">
        <v>1872.8585408131107</v>
      </c>
      <c r="H56" s="19">
        <v>1998.6980544407606</v>
      </c>
      <c r="I56" s="19">
        <v>2025.8463687683111</v>
      </c>
      <c r="J56" s="19">
        <v>2099.0744172328914</v>
      </c>
      <c r="K56" s="19">
        <v>2058.2982093141659</v>
      </c>
      <c r="L56" s="19">
        <v>2094.0906977214163</v>
      </c>
      <c r="M56" s="19">
        <v>2024.2131825164081</v>
      </c>
      <c r="N56" s="19">
        <v>2010.4778949955755</v>
      </c>
      <c r="O56" s="19">
        <v>2108.3033885786876</v>
      </c>
      <c r="P56" s="19">
        <v>2049.1647816454138</v>
      </c>
      <c r="Q56" s="19">
        <v>2010.0398374547794</v>
      </c>
      <c r="R56" s="19">
        <v>1951.5972075743048</v>
      </c>
      <c r="S56" s="19">
        <v>1918.3205219999998</v>
      </c>
      <c r="T56" s="19">
        <v>1919.4994473824941</v>
      </c>
      <c r="U56" s="19">
        <v>1922.1463817476365</v>
      </c>
      <c r="V56" s="19">
        <v>1960.6143982225583</v>
      </c>
      <c r="W56" s="19">
        <v>1969.0036442254041</v>
      </c>
      <c r="X56" s="19">
        <v>1694.3514282242534</v>
      </c>
      <c r="Y56" s="19">
        <v>1683.0255865042243</v>
      </c>
      <c r="Z56" s="19">
        <v>1717.1677256354233</v>
      </c>
      <c r="AA56" s="19">
        <v>1787.2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670.3200584548631</v>
      </c>
      <c r="E57" s="23">
        <v>668.48168323843504</v>
      </c>
      <c r="F57" s="23">
        <v>683.55705718251784</v>
      </c>
      <c r="G57" s="23">
        <v>651.2550648702595</v>
      </c>
      <c r="H57" s="23">
        <v>617.295986738789</v>
      </c>
      <c r="I57" s="23">
        <v>591.9107126694139</v>
      </c>
      <c r="J57" s="23">
        <v>585.86510657123085</v>
      </c>
      <c r="K57" s="23">
        <v>572.70640552046882</v>
      </c>
      <c r="L57" s="23">
        <v>539.68925276612947</v>
      </c>
      <c r="M57" s="23">
        <v>468.25459034053506</v>
      </c>
      <c r="N57" s="23">
        <v>450.3480906498869</v>
      </c>
      <c r="O57" s="23">
        <v>462.68373659487725</v>
      </c>
      <c r="P57" s="23">
        <v>424.28905322239177</v>
      </c>
      <c r="Q57" s="23">
        <v>418.00318846325388</v>
      </c>
      <c r="R57" s="23">
        <v>434.9674546580377</v>
      </c>
      <c r="S57" s="23">
        <v>391.53454499999998</v>
      </c>
      <c r="T57" s="23">
        <v>413.47708221918509</v>
      </c>
      <c r="U57" s="23">
        <v>434.47969637449074</v>
      </c>
      <c r="V57" s="23">
        <v>438.69858939207717</v>
      </c>
      <c r="W57" s="23">
        <v>475.71009763808814</v>
      </c>
      <c r="X57" s="23">
        <v>395.31976894173062</v>
      </c>
      <c r="Y57" s="23">
        <v>415.63224651941891</v>
      </c>
      <c r="Z57" s="23">
        <v>432.33774410973228</v>
      </c>
      <c r="AA57" s="23">
        <v>380.8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253.51592443051703</v>
      </c>
      <c r="E58" s="23">
        <v>221.63864904676919</v>
      </c>
      <c r="F58" s="23">
        <v>252.49469144620696</v>
      </c>
      <c r="G58" s="23">
        <v>269.51485318836012</v>
      </c>
      <c r="H58" s="23">
        <v>266.04168930877182</v>
      </c>
      <c r="I58" s="23">
        <v>264.6319021985089</v>
      </c>
      <c r="J58" s="23">
        <v>263.47396916864233</v>
      </c>
      <c r="K58" s="23">
        <v>312.18958195664652</v>
      </c>
      <c r="L58" s="23">
        <v>297.75958773303694</v>
      </c>
      <c r="M58" s="23">
        <v>257.85060845452551</v>
      </c>
      <c r="N58" s="23">
        <v>207.26173335955164</v>
      </c>
      <c r="O58" s="23">
        <v>214.90132943366123</v>
      </c>
      <c r="P58" s="23">
        <v>209.4046526512727</v>
      </c>
      <c r="Q58" s="23">
        <v>223.64418157490462</v>
      </c>
      <c r="R58" s="23">
        <v>257.77809603707254</v>
      </c>
      <c r="S58" s="23">
        <v>298.25524899999999</v>
      </c>
      <c r="T58" s="23">
        <v>330.93913086537123</v>
      </c>
      <c r="U58" s="23">
        <v>355.25029172431812</v>
      </c>
      <c r="V58" s="23">
        <v>359.9032116857332</v>
      </c>
      <c r="W58" s="23">
        <v>390.81907011344612</v>
      </c>
      <c r="X58" s="23">
        <v>213.01691810143382</v>
      </c>
      <c r="Y58" s="23">
        <v>306.47875312359838</v>
      </c>
      <c r="Z58" s="23">
        <v>538.63381304674249</v>
      </c>
      <c r="AA58" s="23">
        <v>519.70000000000005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187.44208900807519</v>
      </c>
      <c r="E59" s="23">
        <v>192.92508994079486</v>
      </c>
      <c r="F59" s="23">
        <v>189.63887009609036</v>
      </c>
      <c r="G59" s="23">
        <v>173.6448182582204</v>
      </c>
      <c r="H59" s="23">
        <v>172.73718623027642</v>
      </c>
      <c r="I59" s="23">
        <v>170.26703784865305</v>
      </c>
      <c r="J59" s="23">
        <v>153.15457762854908</v>
      </c>
      <c r="K59" s="23">
        <v>171.66838621616057</v>
      </c>
      <c r="L59" s="23">
        <v>176.86169756984791</v>
      </c>
      <c r="M59" s="23">
        <v>129.78436571109381</v>
      </c>
      <c r="N59" s="23">
        <v>119.84965096843968</v>
      </c>
      <c r="O59" s="23">
        <v>119.65058839749081</v>
      </c>
      <c r="P59" s="23">
        <v>115.72705725961302</v>
      </c>
      <c r="Q59" s="23">
        <v>113.0696654938302</v>
      </c>
      <c r="R59" s="23">
        <v>123.33120405880473</v>
      </c>
      <c r="S59" s="23">
        <v>133.161495</v>
      </c>
      <c r="T59" s="23">
        <v>140.40637193733039</v>
      </c>
      <c r="U59" s="23">
        <v>125.76706466313821</v>
      </c>
      <c r="V59" s="23">
        <v>144.56258485392834</v>
      </c>
      <c r="W59" s="23">
        <v>168.67317370280824</v>
      </c>
      <c r="X59" s="23">
        <v>195.67833174434037</v>
      </c>
      <c r="Y59" s="23">
        <v>301.02107845380732</v>
      </c>
      <c r="Z59" s="23">
        <v>218.96319563365191</v>
      </c>
      <c r="AA59" s="23">
        <v>177.3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190.23675274195486</v>
      </c>
      <c r="E60" s="23">
        <v>190.86071641030006</v>
      </c>
      <c r="F60" s="23">
        <v>198.56725381059553</v>
      </c>
      <c r="G60" s="23">
        <v>229.67050110305703</v>
      </c>
      <c r="H60" s="23">
        <v>212.70123887628688</v>
      </c>
      <c r="I60" s="23">
        <v>199.46018150203651</v>
      </c>
      <c r="J60" s="23">
        <v>202.75321415202421</v>
      </c>
      <c r="K60" s="23">
        <v>227.93427868834692</v>
      </c>
      <c r="L60" s="23">
        <v>247.95447683524483</v>
      </c>
      <c r="M60" s="23">
        <v>221.37353621800625</v>
      </c>
      <c r="N60" s="23">
        <v>215.07801494444988</v>
      </c>
      <c r="O60" s="23">
        <v>225.07880587314247</v>
      </c>
      <c r="P60" s="23">
        <v>206.27336812564621</v>
      </c>
      <c r="Q60" s="23">
        <v>206.83475395212844</v>
      </c>
      <c r="R60" s="23">
        <v>220.85813259028438</v>
      </c>
      <c r="S60" s="23">
        <v>241.94317399999994</v>
      </c>
      <c r="T60" s="23">
        <v>230.68635688395031</v>
      </c>
      <c r="U60" s="23">
        <v>246.02140376000227</v>
      </c>
      <c r="V60" s="23">
        <v>246.90888626264527</v>
      </c>
      <c r="W60" s="23">
        <v>274.87936488748375</v>
      </c>
      <c r="X60" s="23">
        <v>267.38577103546254</v>
      </c>
      <c r="Y60" s="23">
        <v>281.37344964255965</v>
      </c>
      <c r="Z60" s="23">
        <v>224.55184279122352</v>
      </c>
      <c r="AA60" s="23">
        <v>232.60000000000002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1002.0865674340122</v>
      </c>
      <c r="E61" s="23">
        <v>889.36965100138798</v>
      </c>
      <c r="F61" s="23">
        <v>582.66632120860913</v>
      </c>
      <c r="G61" s="23">
        <v>684.13970480092439</v>
      </c>
      <c r="H61" s="23">
        <v>862.52994615748923</v>
      </c>
      <c r="I61" s="23">
        <v>837.13311935783531</v>
      </c>
      <c r="J61" s="23">
        <v>739.16998309833593</v>
      </c>
      <c r="K61" s="23">
        <v>787.86603005058976</v>
      </c>
      <c r="L61" s="23">
        <v>586.68278482291714</v>
      </c>
      <c r="M61" s="23">
        <v>707.99882598200577</v>
      </c>
      <c r="N61" s="23">
        <v>881.80683413626969</v>
      </c>
      <c r="O61" s="23">
        <v>1178.1081381035381</v>
      </c>
      <c r="P61" s="23">
        <v>1212.1985219831618</v>
      </c>
      <c r="Q61" s="23">
        <v>982.3009267059814</v>
      </c>
      <c r="R61" s="23">
        <v>781.14173557845947</v>
      </c>
      <c r="S61" s="23">
        <v>758.15927799999997</v>
      </c>
      <c r="T61" s="23">
        <v>682.21750252540244</v>
      </c>
      <c r="U61" s="23">
        <v>714.60307689330523</v>
      </c>
      <c r="V61" s="23">
        <v>667.06738678264162</v>
      </c>
      <c r="W61" s="23">
        <v>638.71565557002032</v>
      </c>
      <c r="X61" s="23">
        <v>227.87856355037104</v>
      </c>
      <c r="Y61" s="23">
        <v>460.74902378969142</v>
      </c>
      <c r="Z61" s="23">
        <v>925.36819635069116</v>
      </c>
      <c r="AA61" s="23">
        <v>727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424.19003103531395</v>
      </c>
      <c r="E62" s="23">
        <v>429.38969434293642</v>
      </c>
      <c r="F62" s="23">
        <v>327.49311464805061</v>
      </c>
      <c r="G62" s="23">
        <v>275.7785941275344</v>
      </c>
      <c r="H62" s="23">
        <v>277.1061171074607</v>
      </c>
      <c r="I62" s="23">
        <v>294.61404973441631</v>
      </c>
      <c r="J62" s="23">
        <v>233.11359166033327</v>
      </c>
      <c r="K62" s="23">
        <v>261.95217796362294</v>
      </c>
      <c r="L62" s="23">
        <v>274.86530288485829</v>
      </c>
      <c r="M62" s="23">
        <v>244.76644123925229</v>
      </c>
      <c r="N62" s="23">
        <v>273.96066955068329</v>
      </c>
      <c r="O62" s="23">
        <v>269.57264517907959</v>
      </c>
      <c r="P62" s="23">
        <v>269.42093939244745</v>
      </c>
      <c r="Q62" s="23">
        <v>223.38153426829871</v>
      </c>
      <c r="R62" s="23">
        <v>216.49125519335249</v>
      </c>
      <c r="S62" s="23">
        <v>239.29319399999997</v>
      </c>
      <c r="T62" s="23">
        <v>220.58234694079661</v>
      </c>
      <c r="U62" s="23">
        <v>208.84255691768826</v>
      </c>
      <c r="V62" s="23">
        <v>172.74853077432167</v>
      </c>
      <c r="W62" s="23">
        <v>267.48682257764551</v>
      </c>
      <c r="X62" s="23">
        <v>300.45293215934788</v>
      </c>
      <c r="Y62" s="23">
        <v>244.74638852529543</v>
      </c>
      <c r="Z62" s="23">
        <v>169.112462988114</v>
      </c>
      <c r="AA62" s="23">
        <v>167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674.31243521754845</v>
      </c>
      <c r="E63" s="23">
        <v>688.37473725956772</v>
      </c>
      <c r="F63" s="23">
        <v>548.91703076777935</v>
      </c>
      <c r="G63" s="23">
        <v>492.74762054837691</v>
      </c>
      <c r="H63" s="23">
        <v>480.72461674601794</v>
      </c>
      <c r="I63" s="23">
        <v>434.10993616463816</v>
      </c>
      <c r="J63" s="23">
        <v>312.17081230078156</v>
      </c>
      <c r="K63" s="23">
        <v>349.79586723142415</v>
      </c>
      <c r="L63" s="23">
        <v>464.17827817915423</v>
      </c>
      <c r="M63" s="23">
        <v>369.79292796297403</v>
      </c>
      <c r="N63" s="23">
        <v>447.87293481466912</v>
      </c>
      <c r="O63" s="23">
        <v>427.32352999103858</v>
      </c>
      <c r="P63" s="23">
        <v>476.60759883806804</v>
      </c>
      <c r="Q63" s="23">
        <v>476.70486148966745</v>
      </c>
      <c r="R63" s="23">
        <v>511.71863314956852</v>
      </c>
      <c r="S63" s="23">
        <v>497.79874299999994</v>
      </c>
      <c r="T63" s="23">
        <v>495.09648721453044</v>
      </c>
      <c r="U63" s="23">
        <v>466.6586293311143</v>
      </c>
      <c r="V63" s="23">
        <v>466.13291008792669</v>
      </c>
      <c r="W63" s="23">
        <v>463.26598474986048</v>
      </c>
      <c r="X63" s="23">
        <v>537.37233002448909</v>
      </c>
      <c r="Y63" s="23">
        <v>453.59340588929877</v>
      </c>
      <c r="Z63" s="23">
        <v>460.16920695443844</v>
      </c>
      <c r="AA63" s="23">
        <v>449.6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214.19101331806675</v>
      </c>
      <c r="E64" s="23">
        <v>238.34130761168237</v>
      </c>
      <c r="F64" s="23">
        <v>209.63844961658202</v>
      </c>
      <c r="G64" s="23">
        <v>227.58258745666564</v>
      </c>
      <c r="H64" s="23">
        <v>207.74701747388886</v>
      </c>
      <c r="I64" s="23">
        <v>213.50445061096161</v>
      </c>
      <c r="J64" s="23">
        <v>246.03929693614799</v>
      </c>
      <c r="K64" s="23">
        <v>259.79914636392192</v>
      </c>
      <c r="L64" s="23">
        <v>264.15452634769866</v>
      </c>
      <c r="M64" s="23">
        <v>260.89036447423547</v>
      </c>
      <c r="N64" s="23">
        <v>195.6675823419526</v>
      </c>
      <c r="O64" s="23">
        <v>236.56108698435207</v>
      </c>
      <c r="P64" s="23">
        <v>241.23937866180887</v>
      </c>
      <c r="Q64" s="23">
        <v>242.94875861043658</v>
      </c>
      <c r="R64" s="23">
        <v>274.45162791626717</v>
      </c>
      <c r="S64" s="23">
        <v>316.40761199999997</v>
      </c>
      <c r="T64" s="23">
        <v>326.08395725632334</v>
      </c>
      <c r="U64" s="23">
        <v>332.43017193834601</v>
      </c>
      <c r="V64" s="23">
        <v>324.20101351990172</v>
      </c>
      <c r="W64" s="23">
        <v>306.66729681978796</v>
      </c>
      <c r="X64" s="23">
        <v>361.88106668162186</v>
      </c>
      <c r="Y64" s="23">
        <v>408.5979102783549</v>
      </c>
      <c r="Z64" s="23">
        <v>414.78939203495776</v>
      </c>
      <c r="AA64" s="23">
        <v>396.7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465.71074936724114</v>
      </c>
      <c r="E65" s="23">
        <v>487.3798235177473</v>
      </c>
      <c r="F65" s="23">
        <v>558.38111750515498</v>
      </c>
      <c r="G65" s="23">
        <v>598.70923810274178</v>
      </c>
      <c r="H65" s="23">
        <v>627.8649923972381</v>
      </c>
      <c r="I65" s="23">
        <v>615.89643069813974</v>
      </c>
      <c r="J65" s="23">
        <v>648.23914947196488</v>
      </c>
      <c r="K65" s="23">
        <v>701.31415974260915</v>
      </c>
      <c r="L65" s="23">
        <v>678.39380892234624</v>
      </c>
      <c r="M65" s="23">
        <v>553.89641211323237</v>
      </c>
      <c r="N65" s="23">
        <v>400.97524530527971</v>
      </c>
      <c r="O65" s="23">
        <v>397.70446394280481</v>
      </c>
      <c r="P65" s="23">
        <v>388.4097513662548</v>
      </c>
      <c r="Q65" s="23">
        <v>384.38433321770151</v>
      </c>
      <c r="R65" s="23">
        <v>398.70913930169377</v>
      </c>
      <c r="S65" s="23">
        <v>413.13188199999996</v>
      </c>
      <c r="T65" s="23">
        <v>453.10579654168384</v>
      </c>
      <c r="U65" s="23">
        <v>457.29981616046285</v>
      </c>
      <c r="V65" s="23">
        <v>473.14807885033565</v>
      </c>
      <c r="W65" s="23">
        <v>438.25454993490797</v>
      </c>
      <c r="X65" s="23">
        <v>532.04690707195323</v>
      </c>
      <c r="Y65" s="23">
        <v>543.46311545185767</v>
      </c>
      <c r="Z65" s="23">
        <v>569.48314535653719</v>
      </c>
      <c r="AA65" s="23">
        <v>634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97.813230685790032</v>
      </c>
      <c r="E66" s="23">
        <v>95.336523044672944</v>
      </c>
      <c r="F66" s="23">
        <v>132.49721432325711</v>
      </c>
      <c r="G66" s="23">
        <v>107.00557437756066</v>
      </c>
      <c r="H66" s="23">
        <v>97.928443054066847</v>
      </c>
      <c r="I66" s="23">
        <v>129.08103518090655</v>
      </c>
      <c r="J66" s="23">
        <v>154.05637101988498</v>
      </c>
      <c r="K66" s="23">
        <v>128.32068334218025</v>
      </c>
      <c r="L66" s="23">
        <v>94.522602940433472</v>
      </c>
      <c r="M66" s="23">
        <v>77.447696850000995</v>
      </c>
      <c r="N66" s="23">
        <v>102.65383148166354</v>
      </c>
      <c r="O66" s="23">
        <v>109.73407289235524</v>
      </c>
      <c r="P66" s="23">
        <v>91.459602186007572</v>
      </c>
      <c r="Q66" s="23">
        <v>90.48199712572476</v>
      </c>
      <c r="R66" s="23">
        <v>92.498403044103554</v>
      </c>
      <c r="S66" s="23">
        <v>79.101902999999993</v>
      </c>
      <c r="T66" s="23">
        <v>80.569637728524157</v>
      </c>
      <c r="U66" s="23">
        <v>76.7935491674004</v>
      </c>
      <c r="V66" s="23">
        <v>87.439067788597896</v>
      </c>
      <c r="W66" s="23">
        <v>147.85084619676397</v>
      </c>
      <c r="X66" s="23">
        <v>54.368852934028745</v>
      </c>
      <c r="Y66" s="23">
        <v>34.929117886662581</v>
      </c>
      <c r="Z66" s="23">
        <v>60.022070472318056</v>
      </c>
      <c r="AA66" s="23">
        <v>64.900000000000006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459.72218422321316</v>
      </c>
      <c r="E67" s="23">
        <v>506.52219625506353</v>
      </c>
      <c r="F67" s="23">
        <v>599.80881794045911</v>
      </c>
      <c r="G67" s="23">
        <v>659.43272665195923</v>
      </c>
      <c r="H67" s="23">
        <v>655.27835082384024</v>
      </c>
      <c r="I67" s="23">
        <v>652.19060929423824</v>
      </c>
      <c r="J67" s="23">
        <v>753.44837846115445</v>
      </c>
      <c r="K67" s="23">
        <v>836.81161508379273</v>
      </c>
      <c r="L67" s="23">
        <v>852.97946647804781</v>
      </c>
      <c r="M67" s="23">
        <v>768.7939463762043</v>
      </c>
      <c r="N67" s="23">
        <v>640.67454724215906</v>
      </c>
      <c r="O67" s="23">
        <v>673.80113248052612</v>
      </c>
      <c r="P67" s="23">
        <v>665.7893722613361</v>
      </c>
      <c r="Q67" s="23">
        <v>693.91418405272805</v>
      </c>
      <c r="R67" s="23">
        <v>720.13778163950144</v>
      </c>
      <c r="S67" s="23">
        <v>794.59650299999987</v>
      </c>
      <c r="T67" s="23">
        <v>958.96239824113138</v>
      </c>
      <c r="U67" s="23">
        <v>1009.9826049094833</v>
      </c>
      <c r="V67" s="23">
        <v>972.97885317197699</v>
      </c>
      <c r="W67" s="23">
        <v>854.20826390180378</v>
      </c>
      <c r="X67" s="23">
        <v>973.56162395079718</v>
      </c>
      <c r="Y67" s="23">
        <v>1113.4869142966984</v>
      </c>
      <c r="Z67" s="23">
        <v>1186.8051103818866</v>
      </c>
      <c r="AA67" s="23">
        <v>1234.8999999999999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287.65074575147639</v>
      </c>
      <c r="E68" s="23">
        <v>296.51910710744738</v>
      </c>
      <c r="F68" s="23">
        <v>297.31517769302303</v>
      </c>
      <c r="G68" s="23">
        <v>336.85006828448365</v>
      </c>
      <c r="H68" s="23">
        <v>358.35534810678763</v>
      </c>
      <c r="I68" s="23">
        <v>367.04460615010839</v>
      </c>
      <c r="J68" s="23">
        <v>389.72504395567</v>
      </c>
      <c r="K68" s="23">
        <v>426.30025674080008</v>
      </c>
      <c r="L68" s="23">
        <v>422.67401909766073</v>
      </c>
      <c r="M68" s="23">
        <v>385.52036128234283</v>
      </c>
      <c r="N68" s="23">
        <v>360.46085242355713</v>
      </c>
      <c r="O68" s="23">
        <v>325.28780466188067</v>
      </c>
      <c r="P68" s="23">
        <v>286.12112352912214</v>
      </c>
      <c r="Q68" s="23">
        <v>230.4730115466574</v>
      </c>
      <c r="R68" s="23">
        <v>226.01898769574944</v>
      </c>
      <c r="S68" s="23">
        <v>245.520647</v>
      </c>
      <c r="T68" s="23">
        <v>296.16559015192024</v>
      </c>
      <c r="U68" s="23">
        <v>278.58494547706357</v>
      </c>
      <c r="V68" s="23">
        <v>293.25910844284772</v>
      </c>
      <c r="W68" s="23">
        <v>240.87367026222799</v>
      </c>
      <c r="X68" s="23">
        <v>257.60185444824555</v>
      </c>
      <c r="Y68" s="23">
        <v>150.75310254556106</v>
      </c>
      <c r="Z68" s="23">
        <v>161.84722168327104</v>
      </c>
      <c r="AA68" s="23">
        <v>171.4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281.46256176931416</v>
      </c>
      <c r="E69" s="23">
        <v>297.26978839126372</v>
      </c>
      <c r="F69" s="23">
        <v>300.70796350453503</v>
      </c>
      <c r="G69" s="23">
        <v>330.23834173757751</v>
      </c>
      <c r="H69" s="23">
        <v>366.61238377745093</v>
      </c>
      <c r="I69" s="23">
        <v>359.31236810137437</v>
      </c>
      <c r="J69" s="23">
        <v>396.78909218780132</v>
      </c>
      <c r="K69" s="23">
        <v>403.33458634398932</v>
      </c>
      <c r="L69" s="23">
        <v>436.73191330268276</v>
      </c>
      <c r="M69" s="23">
        <v>400.0583248548686</v>
      </c>
      <c r="N69" s="23">
        <v>341.96231933929801</v>
      </c>
      <c r="O69" s="23">
        <v>309.36918766679463</v>
      </c>
      <c r="P69" s="23">
        <v>255.72156959283146</v>
      </c>
      <c r="Q69" s="23">
        <v>257.52568412706279</v>
      </c>
      <c r="R69" s="23">
        <v>303.16715504154678</v>
      </c>
      <c r="S69" s="23">
        <v>326.47753599999999</v>
      </c>
      <c r="T69" s="23">
        <v>369.78051973775422</v>
      </c>
      <c r="U69" s="23">
        <v>376.66017938868515</v>
      </c>
      <c r="V69" s="23">
        <v>367.79527654344338</v>
      </c>
      <c r="W69" s="23">
        <v>341.90508183001668</v>
      </c>
      <c r="X69" s="23">
        <v>366.33956031630305</v>
      </c>
      <c r="Y69" s="23">
        <v>431.88398886946334</v>
      </c>
      <c r="Z69" s="23">
        <v>492.58336046835319</v>
      </c>
      <c r="AA69" s="23">
        <v>604.70000000000005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231.95708991201636</v>
      </c>
      <c r="E70" s="23">
        <v>348.31611569077359</v>
      </c>
      <c r="F70" s="23">
        <v>360.70670206600994</v>
      </c>
      <c r="G70" s="23">
        <v>344.85373726231745</v>
      </c>
      <c r="H70" s="23">
        <v>358.35534810678763</v>
      </c>
      <c r="I70" s="23">
        <v>356.15635257127883</v>
      </c>
      <c r="J70" s="23">
        <v>376.19814308563133</v>
      </c>
      <c r="K70" s="23">
        <v>407.7841849833714</v>
      </c>
      <c r="L70" s="23">
        <v>356.40108927398575</v>
      </c>
      <c r="M70" s="23">
        <v>298.55690645759773</v>
      </c>
      <c r="N70" s="23">
        <v>278.91098122111885</v>
      </c>
      <c r="O70" s="23">
        <v>302.71468384098</v>
      </c>
      <c r="P70" s="23">
        <v>284.16407070060558</v>
      </c>
      <c r="Q70" s="23">
        <v>289.17468457307098</v>
      </c>
      <c r="R70" s="23">
        <v>312.43022830776601</v>
      </c>
      <c r="S70" s="23">
        <v>344.23240199999998</v>
      </c>
      <c r="T70" s="23">
        <v>362.82581159506401</v>
      </c>
      <c r="U70" s="23">
        <v>369.09620710007636</v>
      </c>
      <c r="V70" s="23">
        <v>363.9118795499669</v>
      </c>
      <c r="W70" s="23">
        <v>365.80763529849349</v>
      </c>
      <c r="X70" s="23">
        <v>382.19198212850279</v>
      </c>
      <c r="Y70" s="23">
        <v>460.74902378969142</v>
      </c>
      <c r="Z70" s="23">
        <v>459.83388812498413</v>
      </c>
      <c r="AA70" s="23">
        <v>475.6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45.712713932746766</v>
      </c>
      <c r="E71" s="23">
        <v>39.035426758448764</v>
      </c>
      <c r="F71" s="23">
        <v>78.212641339065513</v>
      </c>
      <c r="G71" s="23">
        <v>92.564171656686625</v>
      </c>
      <c r="H71" s="23">
        <v>77.781276017648381</v>
      </c>
      <c r="I71" s="23">
        <v>90.419844937236505</v>
      </c>
      <c r="J71" s="23">
        <v>91.081132524927128</v>
      </c>
      <c r="K71" s="23">
        <v>95.020461266804602</v>
      </c>
      <c r="L71" s="23">
        <v>98.137490021724844</v>
      </c>
      <c r="M71" s="23">
        <v>84.584515331059109</v>
      </c>
      <c r="N71" s="23">
        <v>77.772001769737486</v>
      </c>
      <c r="O71" s="23">
        <v>71.503296010714237</v>
      </c>
      <c r="P71" s="23">
        <v>61.32098862685244</v>
      </c>
      <c r="Q71" s="23">
        <v>46.488573269240298</v>
      </c>
      <c r="R71" s="23">
        <v>49.491277165228503</v>
      </c>
      <c r="S71" s="23">
        <v>59.889547999999998</v>
      </c>
      <c r="T71" s="23">
        <v>72.433941410660168</v>
      </c>
      <c r="U71" s="23">
        <v>68.588562278062128</v>
      </c>
      <c r="V71" s="23">
        <v>108.98565755885411</v>
      </c>
      <c r="W71" s="23">
        <v>226.45821275804352</v>
      </c>
      <c r="X71" s="23">
        <v>162.98271175667841</v>
      </c>
      <c r="Y71" s="23">
        <v>159.24281869856932</v>
      </c>
      <c r="Z71" s="23">
        <v>114.79081261651889</v>
      </c>
      <c r="AA71" s="23">
        <v>104.6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285.05570085573095</v>
      </c>
      <c r="E72" s="23">
        <v>284.88354720829432</v>
      </c>
      <c r="F72" s="23">
        <v>295.35093327583184</v>
      </c>
      <c r="G72" s="23">
        <v>270.38481720768982</v>
      </c>
      <c r="H72" s="23">
        <v>326.97861255826706</v>
      </c>
      <c r="I72" s="23">
        <v>261.79148822142292</v>
      </c>
      <c r="J72" s="23">
        <v>325.24681647515229</v>
      </c>
      <c r="K72" s="23">
        <v>313.19433003650698</v>
      </c>
      <c r="L72" s="23">
        <v>305.52490072247764</v>
      </c>
      <c r="M72" s="23">
        <v>294.19551738583999</v>
      </c>
      <c r="N72" s="23">
        <v>282.55857929407142</v>
      </c>
      <c r="O72" s="23">
        <v>268.13736004017841</v>
      </c>
      <c r="P72" s="23">
        <v>237.71668357047903</v>
      </c>
      <c r="Q72" s="23">
        <v>82.865225234154323</v>
      </c>
      <c r="R72" s="23">
        <v>116.31773430009588</v>
      </c>
      <c r="S72" s="23">
        <v>102.81922399999998</v>
      </c>
      <c r="T72" s="23">
        <v>124.13497930160239</v>
      </c>
      <c r="U72" s="23">
        <v>116.79286025292448</v>
      </c>
      <c r="V72" s="23">
        <v>52.989578330339434</v>
      </c>
      <c r="W72" s="23">
        <v>87.478417333085346</v>
      </c>
      <c r="X72" s="23">
        <v>21.797079991774616</v>
      </c>
      <c r="Y72" s="23">
        <v>50.817015258720879</v>
      </c>
      <c r="Z72" s="23">
        <v>177.71897961077414</v>
      </c>
      <c r="AA72" s="23">
        <v>241.00000000000003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262.69839098469322</v>
      </c>
      <c r="E73" s="23">
        <v>276.81372340726887</v>
      </c>
      <c r="F73" s="23">
        <v>283.56546677268506</v>
      </c>
      <c r="G73" s="23">
        <v>294.04783853345941</v>
      </c>
      <c r="H73" s="23">
        <v>294.77617344268015</v>
      </c>
      <c r="I73" s="23">
        <v>292.24703808684467</v>
      </c>
      <c r="J73" s="23">
        <v>296.84032464807109</v>
      </c>
      <c r="K73" s="23">
        <v>328.98322843431441</v>
      </c>
      <c r="L73" s="23">
        <v>311.68359723134444</v>
      </c>
      <c r="M73" s="23">
        <v>267.23420312406483</v>
      </c>
      <c r="N73" s="23">
        <v>246.47341264379114</v>
      </c>
      <c r="O73" s="23">
        <v>248.43480949708015</v>
      </c>
      <c r="P73" s="23">
        <v>223.75637339372753</v>
      </c>
      <c r="Q73" s="23">
        <v>225.87668368105454</v>
      </c>
      <c r="R73" s="23">
        <v>239.38427912272292</v>
      </c>
      <c r="S73" s="23">
        <v>255.06057499999997</v>
      </c>
      <c r="T73" s="23">
        <v>276.22001208231819</v>
      </c>
      <c r="U73" s="23">
        <v>328.45588141382274</v>
      </c>
      <c r="V73" s="23">
        <v>336.47755885411749</v>
      </c>
      <c r="W73" s="23">
        <v>373.44659568532637</v>
      </c>
      <c r="X73" s="23">
        <v>332.65316396537861</v>
      </c>
      <c r="Y73" s="23">
        <v>367.72599108458655</v>
      </c>
      <c r="Z73" s="23">
        <v>404.61805420817757</v>
      </c>
      <c r="AA73" s="23">
        <v>412.7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73.060494757140773</v>
      </c>
      <c r="E74" s="23">
        <v>80.135227047392931</v>
      </c>
      <c r="F74" s="23">
        <v>86.248186682120817</v>
      </c>
      <c r="G74" s="23">
        <v>98.479926988128057</v>
      </c>
      <c r="H74" s="23">
        <v>121.37842435875065</v>
      </c>
      <c r="I74" s="23">
        <v>148.64833146749964</v>
      </c>
      <c r="J74" s="23">
        <v>140.98036684551454</v>
      </c>
      <c r="K74" s="23">
        <v>183.43829229452612</v>
      </c>
      <c r="L74" s="23">
        <v>244.33958975395484</v>
      </c>
      <c r="M74" s="23">
        <v>214.63320765256299</v>
      </c>
      <c r="N74" s="23">
        <v>226.15108052305479</v>
      </c>
      <c r="O74" s="23">
        <v>208.76874747653628</v>
      </c>
      <c r="P74" s="23">
        <v>213.18828811973759</v>
      </c>
      <c r="Q74" s="23">
        <v>220.49241389563477</v>
      </c>
      <c r="R74" s="23">
        <v>230.12120585650268</v>
      </c>
      <c r="S74" s="23">
        <v>261.42052700000141</v>
      </c>
      <c r="T74" s="23">
        <v>284.74937112524015</v>
      </c>
      <c r="U74" s="23">
        <v>324.3533879691534</v>
      </c>
      <c r="V74" s="23">
        <v>333.22051621442569</v>
      </c>
      <c r="W74" s="23">
        <v>209.82499256090708</v>
      </c>
      <c r="X74" s="23">
        <v>358.78489054642569</v>
      </c>
      <c r="Y74" s="23">
        <v>387.49490155516389</v>
      </c>
      <c r="Z74" s="23">
        <v>547.35210261255384</v>
      </c>
      <c r="AA74" s="23">
        <v>675.90000000000032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7866.3795543569931</v>
      </c>
      <c r="E75" s="30">
        <f t="shared" ref="E75:S75" si="9">SUM(E56:E74)</f>
        <v>7961.1626851930541</v>
      </c>
      <c r="F75" s="30">
        <f t="shared" si="9"/>
        <v>7816.978509723589</v>
      </c>
      <c r="G75" s="30">
        <f t="shared" si="9"/>
        <v>8009.7587259691136</v>
      </c>
      <c r="H75" s="30">
        <f t="shared" si="9"/>
        <v>8380.8912057232592</v>
      </c>
      <c r="I75" s="30">
        <f t="shared" si="9"/>
        <v>8304.2658635638236</v>
      </c>
      <c r="J75" s="30">
        <f t="shared" si="9"/>
        <v>8407.4197874247111</v>
      </c>
      <c r="K75" s="30">
        <f t="shared" si="9"/>
        <v>8826.7118815742433</v>
      </c>
      <c r="L75" s="30">
        <f t="shared" si="9"/>
        <v>8747.6250826049618</v>
      </c>
      <c r="M75" s="30">
        <f t="shared" si="9"/>
        <v>8029.8459343268096</v>
      </c>
      <c r="N75" s="30">
        <f t="shared" si="9"/>
        <v>7760.9162570052094</v>
      </c>
      <c r="O75" s="30">
        <f t="shared" si="9"/>
        <v>8157.6388076457197</v>
      </c>
      <c r="P75" s="30">
        <f t="shared" si="9"/>
        <v>7911.9731751267791</v>
      </c>
      <c r="Q75" s="30">
        <f t="shared" si="9"/>
        <v>7418.6044987363102</v>
      </c>
      <c r="R75" s="30">
        <f t="shared" si="9"/>
        <v>7460.6115382310618</v>
      </c>
      <c r="S75" s="30">
        <f t="shared" si="9"/>
        <v>7677.124558999999</v>
      </c>
      <c r="T75" s="30">
        <f t="shared" ref="T75:Y75" si="10">SUM(T56:T74)</f>
        <v>8037.9367411412804</v>
      </c>
      <c r="U75" s="30">
        <f t="shared" si="10"/>
        <v>8212.8072674671748</v>
      </c>
      <c r="V75" s="30">
        <f t="shared" si="10"/>
        <v>8171.0430868866388</v>
      </c>
      <c r="W75" s="30">
        <f t="shared" si="10"/>
        <v>8241.329376046122</v>
      </c>
      <c r="X75" s="30">
        <f t="shared" si="10"/>
        <v>7635.6657375731374</v>
      </c>
      <c r="Y75" s="30">
        <f t="shared" si="10"/>
        <v>8255.7638321632239</v>
      </c>
      <c r="Z75" s="30">
        <f t="shared" ref="Z75:AA75" si="11">SUM(Z56:Z74)</f>
        <v>9276.1483250803503</v>
      </c>
      <c r="AA75" s="30">
        <f t="shared" si="11"/>
        <v>9457.6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4497735</v>
      </c>
      <c r="E3" s="42">
        <v>4295406</v>
      </c>
      <c r="F3" s="42">
        <v>4305494</v>
      </c>
      <c r="G3" s="42">
        <v>4305384</v>
      </c>
      <c r="H3" s="42">
        <v>4305725</v>
      </c>
      <c r="I3" s="42">
        <v>4310861</v>
      </c>
      <c r="J3" s="42">
        <v>4312487</v>
      </c>
      <c r="K3" s="42">
        <v>4313530</v>
      </c>
      <c r="L3" s="42">
        <v>4311967</v>
      </c>
      <c r="M3" s="42">
        <v>4309796</v>
      </c>
      <c r="N3" s="42">
        <v>4302847</v>
      </c>
      <c r="O3" s="42">
        <v>4289857</v>
      </c>
      <c r="P3" s="42">
        <v>4275984</v>
      </c>
      <c r="Q3" s="42">
        <v>4247803</v>
      </c>
      <c r="R3" s="42">
        <v>4217632</v>
      </c>
      <c r="S3" s="42">
        <v>4180915</v>
      </c>
      <c r="T3" s="42">
        <v>4131115</v>
      </c>
      <c r="U3" s="42">
        <v>4078769</v>
      </c>
      <c r="V3" s="42">
        <v>4014341</v>
      </c>
      <c r="W3" s="42">
        <v>3968676</v>
      </c>
      <c r="X3" s="42">
        <v>3933511</v>
      </c>
      <c r="Y3" s="42">
        <v>3893026</v>
      </c>
      <c r="Z3" s="42">
        <v>3862305</v>
      </c>
      <c r="AA3" s="42">
        <v>3850894</v>
      </c>
    </row>
    <row r="4" spans="1:27" x14ac:dyDescent="0.25">
      <c r="A4" s="43" t="s">
        <v>239</v>
      </c>
      <c r="B4" s="44"/>
      <c r="C4" s="44"/>
      <c r="D4" s="45">
        <v>1615721</v>
      </c>
      <c r="E4" s="45">
        <v>1589317</v>
      </c>
      <c r="F4" s="45">
        <v>1581887</v>
      </c>
      <c r="G4" s="45">
        <v>1575673</v>
      </c>
      <c r="H4" s="45">
        <v>1569711</v>
      </c>
      <c r="I4" s="45">
        <v>1565574</v>
      </c>
      <c r="J4" s="45">
        <v>1562392</v>
      </c>
      <c r="K4" s="45">
        <v>1560584</v>
      </c>
      <c r="L4" s="45">
        <v>1560964</v>
      </c>
      <c r="M4" s="45">
        <v>1561129</v>
      </c>
      <c r="N4" s="45">
        <v>1559568</v>
      </c>
      <c r="O4" s="45">
        <v>1554859</v>
      </c>
      <c r="P4" s="45">
        <v>1551518</v>
      </c>
      <c r="Q4" s="45">
        <v>1541852</v>
      </c>
      <c r="R4" s="45">
        <v>1530345</v>
      </c>
      <c r="S4" s="45">
        <v>1517574</v>
      </c>
      <c r="T4" s="45">
        <v>1498953</v>
      </c>
      <c r="U4" s="45">
        <v>1488059</v>
      </c>
      <c r="V4" s="45">
        <v>1468303</v>
      </c>
      <c r="W4" s="45">
        <v>1464997</v>
      </c>
      <c r="X4" s="45">
        <v>1446676</v>
      </c>
      <c r="Y4" s="45">
        <v>1442930</v>
      </c>
      <c r="Z4" s="45">
        <v>1447641</v>
      </c>
      <c r="AA4" s="45">
        <v>1453716</v>
      </c>
    </row>
    <row r="5" spans="1:27" x14ac:dyDescent="0.25">
      <c r="A5" s="46" t="s">
        <v>240</v>
      </c>
      <c r="B5" s="47"/>
      <c r="C5" s="47"/>
      <c r="D5" s="48">
        <f>D3/D4</f>
        <v>2.7837324637112473</v>
      </c>
      <c r="E5" s="48">
        <f t="shared" ref="E5:S5" si="0">E3/E4</f>
        <v>2.7026741675826784</v>
      </c>
      <c r="F5" s="48">
        <f t="shared" si="0"/>
        <v>2.7217456114121932</v>
      </c>
      <c r="G5" s="48">
        <f t="shared" si="0"/>
        <v>2.7324095799064909</v>
      </c>
      <c r="H5" s="48">
        <f t="shared" si="0"/>
        <v>2.7430049225621786</v>
      </c>
      <c r="I5" s="48">
        <f t="shared" si="0"/>
        <v>2.7535338476494884</v>
      </c>
      <c r="J5" s="48">
        <f t="shared" si="0"/>
        <v>2.7601824638118986</v>
      </c>
      <c r="K5" s="48">
        <f t="shared" si="0"/>
        <v>2.7640485869392486</v>
      </c>
      <c r="L5" s="48">
        <f t="shared" si="0"/>
        <v>2.7623744045346337</v>
      </c>
      <c r="M5" s="48">
        <f t="shared" si="0"/>
        <v>2.7606917813966687</v>
      </c>
      <c r="N5" s="48">
        <f t="shared" si="0"/>
        <v>2.7589992869820361</v>
      </c>
      <c r="O5" s="48">
        <f t="shared" si="0"/>
        <v>2.7590006553648916</v>
      </c>
      <c r="P5" s="48">
        <f t="shared" si="0"/>
        <v>2.7560002526557863</v>
      </c>
      <c r="Q5" s="48">
        <f t="shared" si="0"/>
        <v>2.7550004799423031</v>
      </c>
      <c r="R5" s="48">
        <f t="shared" si="0"/>
        <v>2.7560007710679617</v>
      </c>
      <c r="S5" s="48">
        <f t="shared" si="0"/>
        <v>2.7549990972433633</v>
      </c>
      <c r="T5" s="48">
        <f t="shared" ref="T5:Y5" si="1">T3/T4</f>
        <v>2.7560003549143968</v>
      </c>
      <c r="U5" s="48">
        <f t="shared" si="1"/>
        <v>2.7409995168202337</v>
      </c>
      <c r="V5" s="48">
        <f t="shared" si="1"/>
        <v>2.7340004072728856</v>
      </c>
      <c r="W5" s="48">
        <f t="shared" si="1"/>
        <v>2.7089994040943428</v>
      </c>
      <c r="X5" s="48">
        <f t="shared" si="1"/>
        <v>2.7189992783456698</v>
      </c>
      <c r="Y5" s="48">
        <f t="shared" si="1"/>
        <v>2.6980005960095084</v>
      </c>
      <c r="Z5" s="48">
        <f t="shared" ref="Z5:AA5" si="2">Z3/Z4</f>
        <v>2.6679991793545499</v>
      </c>
      <c r="AA5" s="48">
        <f t="shared" si="2"/>
        <v>2.6490002173739575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2850.03</v>
      </c>
      <c r="E8" s="42">
        <v>2626.66</v>
      </c>
      <c r="F8" s="42">
        <v>2602.09</v>
      </c>
      <c r="G8" s="42">
        <v>2604.0500000000002</v>
      </c>
      <c r="H8" s="42">
        <v>2727.9</v>
      </c>
      <c r="I8" s="42">
        <v>2876.15</v>
      </c>
      <c r="J8" s="42">
        <v>2758.59</v>
      </c>
      <c r="K8" s="42">
        <v>2819.1</v>
      </c>
      <c r="L8" s="42">
        <v>2542.9899999999998</v>
      </c>
      <c r="M8" s="42">
        <v>2473.0100000000002</v>
      </c>
      <c r="N8" s="42">
        <v>2343.87</v>
      </c>
      <c r="O8" s="42">
        <v>2855.9</v>
      </c>
      <c r="P8" s="42">
        <v>2546.5</v>
      </c>
      <c r="Q8" s="42">
        <v>2740.24</v>
      </c>
      <c r="R8" s="42">
        <v>2346.2800000000002</v>
      </c>
      <c r="S8" s="42">
        <v>2659.36</v>
      </c>
      <c r="T8" s="42">
        <v>2909.12</v>
      </c>
      <c r="U8" s="42">
        <v>2577.5300000000002</v>
      </c>
      <c r="V8" s="42">
        <v>2510.83</v>
      </c>
      <c r="W8" s="42">
        <v>2437.9299999999998</v>
      </c>
      <c r="X8" s="42">
        <v>2119.27</v>
      </c>
      <c r="Y8" s="42">
        <v>2358.02</v>
      </c>
      <c r="Z8" s="42">
        <v>2179.12</v>
      </c>
      <c r="AA8" s="42">
        <v>2569.42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2615.5904761904758</v>
      </c>
      <c r="E9" s="45">
        <f t="shared" si="3"/>
        <v>2615.5904761904758</v>
      </c>
      <c r="F9" s="45">
        <f t="shared" si="3"/>
        <v>2615.5904761904758</v>
      </c>
      <c r="G9" s="45">
        <f t="shared" si="3"/>
        <v>2615.5904761904758</v>
      </c>
      <c r="H9" s="45">
        <f t="shared" si="3"/>
        <v>2615.5904761904758</v>
      </c>
      <c r="I9" s="45">
        <f t="shared" si="3"/>
        <v>2615.5904761904758</v>
      </c>
      <c r="J9" s="45">
        <f t="shared" si="3"/>
        <v>2615.5904761904758</v>
      </c>
      <c r="K9" s="45">
        <f t="shared" si="3"/>
        <v>2615.5904761904758</v>
      </c>
      <c r="L9" s="45">
        <f t="shared" si="3"/>
        <v>2615.5904761904758</v>
      </c>
      <c r="M9" s="45">
        <f t="shared" si="3"/>
        <v>2615.5904761904758</v>
      </c>
      <c r="N9" s="45">
        <f t="shared" si="3"/>
        <v>2615.5904761904758</v>
      </c>
      <c r="O9" s="45">
        <f t="shared" si="3"/>
        <v>2615.5904761904758</v>
      </c>
      <c r="P9" s="45">
        <f t="shared" si="3"/>
        <v>2615.5904761904758</v>
      </c>
      <c r="Q9" s="45">
        <f t="shared" si="3"/>
        <v>2615.5904761904758</v>
      </c>
      <c r="R9" s="45">
        <f t="shared" si="3"/>
        <v>2615.5904761904758</v>
      </c>
      <c r="S9" s="45">
        <f t="shared" si="3"/>
        <v>2615.5904761904758</v>
      </c>
      <c r="T9" s="45">
        <f t="shared" si="3"/>
        <v>2615.5904761904758</v>
      </c>
      <c r="U9" s="45">
        <f t="shared" si="3"/>
        <v>2615.5904761904758</v>
      </c>
      <c r="V9" s="45">
        <f t="shared" si="3"/>
        <v>2615.5904761904758</v>
      </c>
      <c r="W9" s="45">
        <f t="shared" si="3"/>
        <v>2615.5904761904758</v>
      </c>
      <c r="X9" s="45">
        <f>AVERAGE($D8:$X8)</f>
        <v>2615.5904761904758</v>
      </c>
      <c r="Y9" s="45">
        <f t="shared" ref="Y9:AA9" si="4">AVERAGE($D8:$X8)</f>
        <v>2615.5904761904758</v>
      </c>
      <c r="Z9" s="45">
        <f t="shared" si="4"/>
        <v>2615.5904761904758</v>
      </c>
      <c r="AA9" s="45">
        <f t="shared" si="4"/>
        <v>2615.5904761904758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1.0896315864213491</v>
      </c>
      <c r="E10" s="53">
        <f t="shared" si="5"/>
        <v>1.004232131868612</v>
      </c>
      <c r="F10" s="53">
        <f t="shared" si="5"/>
        <v>0.99483845949380478</v>
      </c>
      <c r="G10" s="53">
        <f t="shared" si="5"/>
        <v>0.9955878122758407</v>
      </c>
      <c r="H10" s="53">
        <f t="shared" si="5"/>
        <v>1.0429384969978555</v>
      </c>
      <c r="I10" s="53">
        <f t="shared" si="5"/>
        <v>1.0996178592105217</v>
      </c>
      <c r="J10" s="53">
        <f t="shared" si="5"/>
        <v>1.0546719852022854</v>
      </c>
      <c r="K10" s="53">
        <f t="shared" si="5"/>
        <v>1.0778063407334046</v>
      </c>
      <c r="L10" s="53">
        <f t="shared" si="5"/>
        <v>0.97224317917833369</v>
      </c>
      <c r="M10" s="53">
        <f t="shared" si="5"/>
        <v>0.94548822627686746</v>
      </c>
      <c r="N10" s="53">
        <f t="shared" si="5"/>
        <v>0.89611505368905142</v>
      </c>
      <c r="O10" s="53">
        <f t="shared" si="5"/>
        <v>1.091875821538977</v>
      </c>
      <c r="P10" s="53">
        <f t="shared" si="5"/>
        <v>0.97358513237473476</v>
      </c>
      <c r="Q10" s="53">
        <f t="shared" si="5"/>
        <v>1.0476563609418978</v>
      </c>
      <c r="R10" s="53">
        <f t="shared" si="5"/>
        <v>0.89703645175267743</v>
      </c>
      <c r="S10" s="53">
        <f t="shared" si="5"/>
        <v>1.016734088997477</v>
      </c>
      <c r="T10" s="53">
        <f t="shared" ref="T10:Y10" si="6">IF(T8=0,0,T8/T9)</f>
        <v>1.1122230435083402</v>
      </c>
      <c r="U10" s="53">
        <f t="shared" si="6"/>
        <v>0.98544861034747711</v>
      </c>
      <c r="V10" s="53">
        <f t="shared" si="6"/>
        <v>0.95994767638737688</v>
      </c>
      <c r="W10" s="53">
        <f t="shared" si="6"/>
        <v>0.93207634076981627</v>
      </c>
      <c r="X10" s="53">
        <f t="shared" si="6"/>
        <v>0.81024534203330223</v>
      </c>
      <c r="Y10" s="53">
        <f t="shared" si="6"/>
        <v>0.90152492198793333</v>
      </c>
      <c r="Z10" s="53">
        <f t="shared" ref="Z10:AA10" si="7">IF(Z8=0,0,Z8/Z9)</f>
        <v>0.83312736448475633</v>
      </c>
      <c r="AA10" s="53">
        <f t="shared" si="7"/>
        <v>0.98234797205037938</v>
      </c>
    </row>
    <row r="11" spans="1:27" x14ac:dyDescent="0.25">
      <c r="A11" s="43" t="s">
        <v>251</v>
      </c>
      <c r="B11" s="44"/>
      <c r="C11" s="44"/>
      <c r="D11" s="45">
        <v>28.7</v>
      </c>
      <c r="E11" s="45">
        <v>32.93</v>
      </c>
      <c r="F11" s="45">
        <v>44.46</v>
      </c>
      <c r="G11" s="45">
        <v>55.11</v>
      </c>
      <c r="H11" s="45">
        <v>18.22</v>
      </c>
      <c r="I11" s="45">
        <v>52.06</v>
      </c>
      <c r="J11" s="45">
        <v>41.99</v>
      </c>
      <c r="K11" s="45">
        <v>73.599999999999994</v>
      </c>
      <c r="L11" s="45">
        <v>95.59</v>
      </c>
      <c r="M11" s="45">
        <v>42.91</v>
      </c>
      <c r="N11" s="45">
        <v>36.950000000000003</v>
      </c>
      <c r="O11" s="45">
        <v>61.03</v>
      </c>
      <c r="P11" s="45">
        <v>91.9</v>
      </c>
      <c r="Q11" s="45">
        <v>61.57</v>
      </c>
      <c r="R11" s="45">
        <v>140.30000000000001</v>
      </c>
      <c r="S11" s="45">
        <v>33.29</v>
      </c>
      <c r="T11" s="45">
        <v>27.03</v>
      </c>
      <c r="U11" s="45">
        <v>41.44</v>
      </c>
      <c r="V11" s="45">
        <v>132.03</v>
      </c>
      <c r="W11" s="45">
        <v>80.069999999999993</v>
      </c>
      <c r="X11" s="45">
        <v>137.16999999999999</v>
      </c>
      <c r="Y11" s="45">
        <v>113.23</v>
      </c>
      <c r="Z11" s="45">
        <v>94.97</v>
      </c>
      <c r="AA11" s="45">
        <v>253.12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63.254761904761899</v>
      </c>
      <c r="E12" s="45">
        <f t="shared" ref="E12" si="9">AVERAGE($D11:$X11)</f>
        <v>63.254761904761899</v>
      </c>
      <c r="F12" s="45">
        <f t="shared" ref="F12" si="10">AVERAGE($D11:$X11)</f>
        <v>63.254761904761899</v>
      </c>
      <c r="G12" s="45">
        <f t="shared" ref="G12" si="11">AVERAGE($D11:$X11)</f>
        <v>63.254761904761899</v>
      </c>
      <c r="H12" s="45">
        <f t="shared" ref="H12" si="12">AVERAGE($D11:$X11)</f>
        <v>63.254761904761899</v>
      </c>
      <c r="I12" s="45">
        <f t="shared" ref="I12" si="13">AVERAGE($D11:$X11)</f>
        <v>63.254761904761899</v>
      </c>
      <c r="J12" s="45">
        <f t="shared" ref="J12" si="14">AVERAGE($D11:$X11)</f>
        <v>63.254761904761899</v>
      </c>
      <c r="K12" s="45">
        <f t="shared" ref="K12" si="15">AVERAGE($D11:$X11)</f>
        <v>63.254761904761899</v>
      </c>
      <c r="L12" s="45">
        <f t="shared" ref="L12" si="16">AVERAGE($D11:$X11)</f>
        <v>63.254761904761899</v>
      </c>
      <c r="M12" s="45">
        <f t="shared" ref="M12" si="17">AVERAGE($D11:$X11)</f>
        <v>63.254761904761899</v>
      </c>
      <c r="N12" s="45">
        <f t="shared" ref="N12" si="18">AVERAGE($D11:$X11)</f>
        <v>63.254761904761899</v>
      </c>
      <c r="O12" s="45">
        <f t="shared" ref="O12" si="19">AVERAGE($D11:$X11)</f>
        <v>63.254761904761899</v>
      </c>
      <c r="P12" s="45">
        <f t="shared" ref="P12" si="20">AVERAGE($D11:$X11)</f>
        <v>63.254761904761899</v>
      </c>
      <c r="Q12" s="45">
        <f t="shared" ref="Q12" si="21">AVERAGE($D11:$X11)</f>
        <v>63.254761904761899</v>
      </c>
      <c r="R12" s="45">
        <f t="shared" ref="R12" si="22">AVERAGE($D11:$X11)</f>
        <v>63.254761904761899</v>
      </c>
      <c r="S12" s="45">
        <f t="shared" ref="S12" si="23">AVERAGE($D11:$X11)</f>
        <v>63.254761904761899</v>
      </c>
      <c r="T12" s="45">
        <f t="shared" ref="T12" si="24">AVERAGE($D11:$X11)</f>
        <v>63.254761904761899</v>
      </c>
      <c r="U12" s="45">
        <f t="shared" ref="U12" si="25">AVERAGE($D11:$X11)</f>
        <v>63.254761904761899</v>
      </c>
      <c r="V12" s="45">
        <f t="shared" ref="V12" si="26">AVERAGE($D11:$X11)</f>
        <v>63.254761904761899</v>
      </c>
      <c r="W12" s="45">
        <f t="shared" ref="W12" si="27">AVERAGE($D11:$X11)</f>
        <v>63.254761904761899</v>
      </c>
      <c r="X12" s="45">
        <f>AVERAGE($D11:$X11)</f>
        <v>63.254761904761899</v>
      </c>
      <c r="Y12" s="45">
        <f t="shared" ref="Y12:AA12" si="28">AVERAGE($D11:$X11)</f>
        <v>63.254761904761899</v>
      </c>
      <c r="Z12" s="45">
        <f t="shared" si="28"/>
        <v>63.254761904761899</v>
      </c>
      <c r="AA12" s="45">
        <f t="shared" si="28"/>
        <v>63.254761904761899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0.45372078142055938</v>
      </c>
      <c r="E13" s="55">
        <f t="shared" si="29"/>
        <v>0.52059321714909479</v>
      </c>
      <c r="F13" s="55">
        <f t="shared" ref="F13" si="30">IF(F11=0,0,F11/F12)</f>
        <v>0.70287198404035089</v>
      </c>
      <c r="G13" s="55">
        <f t="shared" ref="G13" si="31">IF(G11=0,0,G11/G12)</f>
        <v>0.87123875484623792</v>
      </c>
      <c r="H13" s="55">
        <f t="shared" ref="H13" si="32">IF(H11=0,0,H11/H12)</f>
        <v>0.28804155531298226</v>
      </c>
      <c r="I13" s="55">
        <f t="shared" ref="I13" si="33">IF(I11=0,0,I11/I12)</f>
        <v>0.82302104114126562</v>
      </c>
      <c r="J13" s="55">
        <f t="shared" ref="J13" si="34">IF(J11=0,0,J11/J12)</f>
        <v>0.66382354048255365</v>
      </c>
      <c r="K13" s="55">
        <f t="shared" ref="K13" si="35">IF(K11=0,0,K11/K12)</f>
        <v>1.1635487635035946</v>
      </c>
      <c r="L13" s="55">
        <f t="shared" ref="L13" si="36">IF(L11=0,0,L11/L12)</f>
        <v>1.5111905747732151</v>
      </c>
      <c r="M13" s="55">
        <f t="shared" ref="M13" si="37">IF(M11=0,0,M11/M12)</f>
        <v>0.6783679000263485</v>
      </c>
      <c r="N13" s="55">
        <f t="shared" ref="N13" si="38">IF(N11=0,0,N11/N12)</f>
        <v>0.58414574472089442</v>
      </c>
      <c r="O13" s="55">
        <f t="shared" ref="O13" si="39">IF(O11=0,0,O11/O12)</f>
        <v>0.96482854669326623</v>
      </c>
      <c r="P13" s="55">
        <f t="shared" ref="P13" si="40">IF(P11=0,0,P11/P12)</f>
        <v>1.4528550457334288</v>
      </c>
      <c r="Q13" s="55">
        <f t="shared" ref="Q13" si="41">IF(Q11=0,0,Q11/Q12)</f>
        <v>0.97336545338201541</v>
      </c>
      <c r="R13" s="55">
        <f t="shared" ref="R13" si="42">IF(R11=0,0,R11/R12)</f>
        <v>2.2180148304287277</v>
      </c>
      <c r="S13" s="55">
        <f t="shared" ref="S13:Y13" si="43">IF(S11=0,0,S11/S12)</f>
        <v>0.52628448827492758</v>
      </c>
      <c r="T13" s="55">
        <f t="shared" si="43"/>
        <v>0.42731960703127947</v>
      </c>
      <c r="U13" s="55">
        <f t="shared" si="43"/>
        <v>0.65512854292919787</v>
      </c>
      <c r="V13" s="55">
        <f t="shared" si="43"/>
        <v>2.0872736853991798</v>
      </c>
      <c r="W13" s="55">
        <f t="shared" si="43"/>
        <v>1.2658335529039786</v>
      </c>
      <c r="X13" s="55">
        <f t="shared" si="43"/>
        <v>2.1685323898069031</v>
      </c>
      <c r="Y13" s="55">
        <f t="shared" si="43"/>
        <v>1.7900628599390223</v>
      </c>
      <c r="Z13" s="55">
        <f t="shared" ref="Z13:AA13" si="44">IF(Z11=0,0,Z11/Z12)</f>
        <v>1.501388941167614</v>
      </c>
      <c r="AA13" s="55">
        <f t="shared" si="44"/>
        <v>4.0015959649188844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46792.260226438833</v>
      </c>
      <c r="E16" s="42">
        <v>48247.597226912047</v>
      </c>
      <c r="F16" s="42">
        <v>51048.165109005</v>
      </c>
      <c r="G16" s="42">
        <v>53890.194581915195</v>
      </c>
      <c r="H16" s="42">
        <v>56137.711000715964</v>
      </c>
      <c r="I16" s="42">
        <v>58567.030320121223</v>
      </c>
      <c r="J16" s="42">
        <v>61543.468727085245</v>
      </c>
      <c r="K16" s="42">
        <v>64650.723939864183</v>
      </c>
      <c r="L16" s="42">
        <v>65922.789382411836</v>
      </c>
      <c r="M16" s="42">
        <v>61431.24744770299</v>
      </c>
      <c r="N16" s="42">
        <v>60611.792295577121</v>
      </c>
      <c r="O16" s="42">
        <v>60552.128830586662</v>
      </c>
      <c r="P16" s="42">
        <v>59187.602553000455</v>
      </c>
      <c r="Q16" s="42">
        <v>59113.052791082904</v>
      </c>
      <c r="R16" s="42">
        <v>58783.966248682293</v>
      </c>
      <c r="S16" s="42">
        <v>60149.612027000003</v>
      </c>
      <c r="T16" s="42">
        <v>62231.182814123051</v>
      </c>
      <c r="U16" s="42">
        <v>64273.141342150629</v>
      </c>
      <c r="V16" s="42">
        <v>66140.300919637812</v>
      </c>
      <c r="W16" s="42">
        <v>68190.962686001236</v>
      </c>
      <c r="X16" s="42">
        <v>62523.1004885371</v>
      </c>
      <c r="Y16" s="42">
        <v>70420.503294508249</v>
      </c>
      <c r="Z16" s="42">
        <v>75553.289797074016</v>
      </c>
      <c r="AA16" s="42">
        <v>78060.399999999994</v>
      </c>
    </row>
    <row r="17" spans="1:27" x14ac:dyDescent="0.25">
      <c r="A17" s="46" t="s">
        <v>141</v>
      </c>
      <c r="B17" s="47"/>
      <c r="C17" s="47"/>
      <c r="D17" s="57">
        <v>27372.221092683489</v>
      </c>
      <c r="E17" s="57">
        <v>28825.537759302275</v>
      </c>
      <c r="F17" s="57">
        <v>31568.332477788743</v>
      </c>
      <c r="G17" s="57">
        <v>33010.602830820993</v>
      </c>
      <c r="H17" s="57">
        <v>34528.485389362024</v>
      </c>
      <c r="I17" s="57">
        <v>36110.881126045904</v>
      </c>
      <c r="J17" s="57">
        <v>36581.549358123062</v>
      </c>
      <c r="K17" s="57">
        <v>38421.754783969867</v>
      </c>
      <c r="L17" s="57">
        <v>39611.68169918708</v>
      </c>
      <c r="M17" s="57">
        <v>36082.075192050761</v>
      </c>
      <c r="N17" s="57">
        <v>35528.00008174609</v>
      </c>
      <c r="O17" s="57">
        <v>35880.716130283443</v>
      </c>
      <c r="P17" s="57">
        <v>35020.422122415497</v>
      </c>
      <c r="Q17" s="57">
        <v>34466.103743262625</v>
      </c>
      <c r="R17" s="57">
        <v>33611.911320792431</v>
      </c>
      <c r="S17" s="57">
        <v>33738.265799999994</v>
      </c>
      <c r="T17" s="57">
        <v>34806.139669834913</v>
      </c>
      <c r="U17" s="57">
        <v>35911.395691654543</v>
      </c>
      <c r="V17" s="57">
        <v>37122.286633220028</v>
      </c>
      <c r="W17" s="57">
        <v>38636.902521712633</v>
      </c>
      <c r="X17" s="57">
        <v>36639.498806682575</v>
      </c>
      <c r="Y17" s="57">
        <v>40577.639126892718</v>
      </c>
      <c r="Z17" s="57">
        <v>43373.37531678292</v>
      </c>
      <c r="AA17" s="57">
        <v>44694.1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10403.516486951507</v>
      </c>
      <c r="E20" s="42">
        <f t="shared" ref="E20:S20" si="45">1000000*E16/E$3</f>
        <v>11232.3718006894</v>
      </c>
      <c r="F20" s="42">
        <f t="shared" si="45"/>
        <v>11856.517535271214</v>
      </c>
      <c r="G20" s="42">
        <f t="shared" si="45"/>
        <v>12516.931029128922</v>
      </c>
      <c r="H20" s="42">
        <f t="shared" si="45"/>
        <v>13037.922998035398</v>
      </c>
      <c r="I20" s="42">
        <f t="shared" si="45"/>
        <v>13585.924092686177</v>
      </c>
      <c r="J20" s="42">
        <f t="shared" si="45"/>
        <v>14270.992289851596</v>
      </c>
      <c r="K20" s="42">
        <f t="shared" si="45"/>
        <v>14987.892501005947</v>
      </c>
      <c r="L20" s="42">
        <f t="shared" si="45"/>
        <v>15288.333464150313</v>
      </c>
      <c r="M20" s="42">
        <f t="shared" si="45"/>
        <v>14253.864323903726</v>
      </c>
      <c r="N20" s="42">
        <f t="shared" si="45"/>
        <v>14086.439117072283</v>
      </c>
      <c r="O20" s="42">
        <f t="shared" si="45"/>
        <v>14115.185851320141</v>
      </c>
      <c r="P20" s="42">
        <f t="shared" si="45"/>
        <v>13841.867170924976</v>
      </c>
      <c r="Q20" s="42">
        <f t="shared" si="45"/>
        <v>13916.147427524982</v>
      </c>
      <c r="R20" s="42">
        <f t="shared" si="45"/>
        <v>13937.670770869125</v>
      </c>
      <c r="S20" s="42">
        <f t="shared" si="45"/>
        <v>14386.710092647183</v>
      </c>
      <c r="T20" s="42">
        <f t="shared" ref="T20:Y20" si="46">1000000*T16/T$3</f>
        <v>15064.016086243799</v>
      </c>
      <c r="U20" s="42">
        <f t="shared" si="46"/>
        <v>15757.975345539457</v>
      </c>
      <c r="V20" s="42">
        <f t="shared" si="46"/>
        <v>16476.00463429435</v>
      </c>
      <c r="W20" s="42">
        <f t="shared" si="46"/>
        <v>17182.2952254105</v>
      </c>
      <c r="X20" s="42">
        <f t="shared" si="46"/>
        <v>15894.985545619957</v>
      </c>
      <c r="Y20" s="42">
        <f t="shared" si="46"/>
        <v>18088.885944894344</v>
      </c>
      <c r="Z20" s="42">
        <f t="shared" ref="Z20:AA20" si="47">1000000*Z16/Z$3</f>
        <v>19561.709859028229</v>
      </c>
      <c r="AA20" s="42">
        <f t="shared" si="47"/>
        <v>20270.721551930539</v>
      </c>
    </row>
    <row r="21" spans="1:27" x14ac:dyDescent="0.25">
      <c r="A21" s="46" t="s">
        <v>141</v>
      </c>
      <c r="B21" s="47"/>
      <c r="C21" s="47"/>
      <c r="D21" s="57">
        <f>1000000*D17/D$3</f>
        <v>6085.7789737909161</v>
      </c>
      <c r="E21" s="57">
        <f t="shared" ref="E21:S21" si="48">1000000*E17/E$3</f>
        <v>6710.7830457242635</v>
      </c>
      <c r="F21" s="57">
        <f t="shared" si="48"/>
        <v>7332.1046267370812</v>
      </c>
      <c r="G21" s="57">
        <f t="shared" si="48"/>
        <v>7667.2842261737842</v>
      </c>
      <c r="H21" s="57">
        <f t="shared" si="48"/>
        <v>8019.2035927426905</v>
      </c>
      <c r="I21" s="57">
        <f t="shared" si="48"/>
        <v>8376.7212921144765</v>
      </c>
      <c r="J21" s="57">
        <f t="shared" si="48"/>
        <v>8482.7036830773195</v>
      </c>
      <c r="K21" s="57">
        <f t="shared" si="48"/>
        <v>8907.264997338576</v>
      </c>
      <c r="L21" s="57">
        <f t="shared" si="48"/>
        <v>9186.4528877858011</v>
      </c>
      <c r="M21" s="57">
        <f t="shared" si="48"/>
        <v>8372.1074482529475</v>
      </c>
      <c r="N21" s="57">
        <f t="shared" si="48"/>
        <v>8256.8587918060039</v>
      </c>
      <c r="O21" s="57">
        <f t="shared" si="48"/>
        <v>8364.0820965089133</v>
      </c>
      <c r="P21" s="57">
        <f t="shared" si="48"/>
        <v>8190.026464648955</v>
      </c>
      <c r="Q21" s="57">
        <f t="shared" si="48"/>
        <v>8113.8658603665535</v>
      </c>
      <c r="R21" s="57">
        <f t="shared" si="48"/>
        <v>7969.3798133152513</v>
      </c>
      <c r="S21" s="57">
        <f t="shared" si="48"/>
        <v>8069.5890253688467</v>
      </c>
      <c r="T21" s="57">
        <f t="shared" ref="T21:Y21" si="49">1000000*T17/T$3</f>
        <v>8425.3620801732504</v>
      </c>
      <c r="U21" s="57">
        <f t="shared" si="49"/>
        <v>8804.4691159647773</v>
      </c>
      <c r="V21" s="57">
        <f t="shared" si="49"/>
        <v>9247.4173552321627</v>
      </c>
      <c r="W21" s="57">
        <f t="shared" si="49"/>
        <v>9735.4640493990009</v>
      </c>
      <c r="X21" s="57">
        <f t="shared" si="49"/>
        <v>9314.7060747211781</v>
      </c>
      <c r="Y21" s="57">
        <f t="shared" si="49"/>
        <v>10423.161604081944</v>
      </c>
      <c r="Z21" s="57">
        <f t="shared" ref="Z21:AA21" si="50">1000000*Z17/Z$3</f>
        <v>11229.919780230437</v>
      </c>
      <c r="AA21" s="57">
        <f t="shared" si="50"/>
        <v>11606.16210157953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39031.072182716642</v>
      </c>
      <c r="E23" s="60">
        <v>40427.002188323277</v>
      </c>
      <c r="F23" s="60">
        <v>42572.140659829391</v>
      </c>
      <c r="G23" s="60">
        <v>45090.235121861537</v>
      </c>
      <c r="H23" s="60">
        <v>46999.212178128968</v>
      </c>
      <c r="I23" s="60">
        <v>48985.937249601033</v>
      </c>
      <c r="J23" s="60">
        <v>51295.060191476565</v>
      </c>
      <c r="K23" s="60">
        <v>53822.201606525763</v>
      </c>
      <c r="L23" s="60">
        <v>54892.194214116098</v>
      </c>
      <c r="M23" s="60">
        <v>51781.979469148369</v>
      </c>
      <c r="N23" s="60">
        <v>50834.099186903935</v>
      </c>
      <c r="O23" s="60">
        <v>50957.319727810762</v>
      </c>
      <c r="P23" s="60">
        <v>49260.976746590517</v>
      </c>
      <c r="Q23" s="60">
        <v>49027.059487586099</v>
      </c>
      <c r="R23" s="60">
        <v>48709.73844079578</v>
      </c>
      <c r="S23" s="60">
        <v>49810.349069999997</v>
      </c>
      <c r="T23" s="60">
        <v>51554.07047358725</v>
      </c>
      <c r="U23" s="60">
        <v>52997.548753277668</v>
      </c>
      <c r="V23" s="60">
        <v>54315.194684693197</v>
      </c>
      <c r="W23" s="60">
        <v>56069.353194160307</v>
      </c>
      <c r="X23" s="60">
        <v>51990.370426971749</v>
      </c>
      <c r="Y23" s="60">
        <v>58070.022331554523</v>
      </c>
      <c r="Z23" s="60">
        <v>62932.079047265543</v>
      </c>
      <c r="AA23" s="60">
        <v>65124</v>
      </c>
    </row>
    <row r="24" spans="1:27" x14ac:dyDescent="0.25">
      <c r="A24" s="61" t="s">
        <v>33</v>
      </c>
      <c r="B24" s="62"/>
      <c r="C24" s="62"/>
      <c r="D24" s="63">
        <v>2343.3255408581413</v>
      </c>
      <c r="E24" s="63">
        <v>2415.6923713209258</v>
      </c>
      <c r="F24" s="63">
        <v>2486.9119998382776</v>
      </c>
      <c r="G24" s="63">
        <v>2124.1041495955456</v>
      </c>
      <c r="H24" s="63">
        <v>2466.046273400304</v>
      </c>
      <c r="I24" s="63">
        <v>2247.3986589810165</v>
      </c>
      <c r="J24" s="63">
        <v>2428.8302006647232</v>
      </c>
      <c r="K24" s="63">
        <v>2353.1200030332247</v>
      </c>
      <c r="L24" s="63">
        <v>2522.7895286212297</v>
      </c>
      <c r="M24" s="63">
        <v>2415.9452191433757</v>
      </c>
      <c r="N24" s="63">
        <v>2183.2177180218268</v>
      </c>
      <c r="O24" s="63">
        <v>2164.1490285286613</v>
      </c>
      <c r="P24" s="63">
        <v>1922.3477583575402</v>
      </c>
      <c r="Q24" s="63">
        <v>2022.5155845185586</v>
      </c>
      <c r="R24" s="63">
        <v>1722.0053201901565</v>
      </c>
      <c r="S24" s="63">
        <v>1786.3515179999999</v>
      </c>
      <c r="T24" s="63">
        <v>1910.1827628894564</v>
      </c>
      <c r="U24" s="63">
        <v>1860.2243713171617</v>
      </c>
      <c r="V24" s="63">
        <v>1960.4891273518012</v>
      </c>
      <c r="W24" s="63">
        <v>1962.9664013390363</v>
      </c>
      <c r="X24" s="63">
        <v>1965.2049165311346</v>
      </c>
      <c r="Y24" s="63">
        <v>2379.3035927102305</v>
      </c>
      <c r="Z24" s="63">
        <v>2564.1830888369618</v>
      </c>
      <c r="AA24" s="63">
        <v>2620.3000000000002</v>
      </c>
    </row>
    <row r="25" spans="1:27" x14ac:dyDescent="0.25">
      <c r="A25" s="64" t="s">
        <v>56</v>
      </c>
      <c r="B25" s="65"/>
      <c r="C25" s="65"/>
      <c r="D25" s="66">
        <v>261.73187641231493</v>
      </c>
      <c r="E25" s="66">
        <v>206.62502337044259</v>
      </c>
      <c r="F25" s="66">
        <v>295.91885392025034</v>
      </c>
      <c r="G25" s="66">
        <v>248.11373831284797</v>
      </c>
      <c r="H25" s="66">
        <v>371.7317458932622</v>
      </c>
      <c r="I25" s="66">
        <v>422.30802352159384</v>
      </c>
      <c r="J25" s="66">
        <v>612.31771271708408</v>
      </c>
      <c r="K25" s="66">
        <v>468.21260521497976</v>
      </c>
      <c r="L25" s="66">
        <v>473.95186176931253</v>
      </c>
      <c r="M25" s="66">
        <v>516.85646228413623</v>
      </c>
      <c r="N25" s="66">
        <v>525.80532107175782</v>
      </c>
      <c r="O25" s="66">
        <v>451.46241641801328</v>
      </c>
      <c r="P25" s="66">
        <v>492.23587118190562</v>
      </c>
      <c r="Q25" s="66">
        <v>534.32803138142526</v>
      </c>
      <c r="R25" s="66">
        <v>418.42625239693189</v>
      </c>
      <c r="S25" s="66">
        <v>288.43437594543337</v>
      </c>
      <c r="T25" s="66">
        <v>213.75885970645908</v>
      </c>
      <c r="U25" s="66">
        <v>217.31735106265268</v>
      </c>
      <c r="V25" s="66">
        <v>208.58956308310528</v>
      </c>
      <c r="W25" s="66">
        <v>206.49834852148047</v>
      </c>
      <c r="X25" s="66">
        <v>116.54006972874959</v>
      </c>
      <c r="Y25" s="66">
        <v>133.89495189887316</v>
      </c>
      <c r="Z25" s="66">
        <v>140.83390837080208</v>
      </c>
      <c r="AA25" s="66">
        <v>147.49396505871283</v>
      </c>
    </row>
    <row r="26" spans="1:27" x14ac:dyDescent="0.25">
      <c r="A26" s="67" t="s">
        <v>146</v>
      </c>
      <c r="B26" s="44"/>
      <c r="C26" s="44"/>
      <c r="D26" s="45">
        <v>26002.628941149378</v>
      </c>
      <c r="E26" s="45">
        <v>27017.770085833261</v>
      </c>
      <c r="F26" s="45">
        <v>28899.624968951899</v>
      </c>
      <c r="G26" s="45">
        <v>31015.957217144667</v>
      </c>
      <c r="H26" s="45">
        <v>31759.862003639355</v>
      </c>
      <c r="I26" s="45">
        <v>33674.102029039772</v>
      </c>
      <c r="J26" s="45">
        <v>35264.029372596604</v>
      </c>
      <c r="K26" s="45">
        <v>37610.16073165711</v>
      </c>
      <c r="L26" s="45">
        <v>38400.811579851463</v>
      </c>
      <c r="M26" s="45">
        <v>36374.741574983003</v>
      </c>
      <c r="N26" s="45">
        <v>36717.149687881611</v>
      </c>
      <c r="O26" s="45">
        <v>36812.193242537927</v>
      </c>
      <c r="P26" s="45">
        <v>35926.883931760814</v>
      </c>
      <c r="Q26" s="45">
        <v>35845.149350648484</v>
      </c>
      <c r="R26" s="45">
        <v>35852.989736137744</v>
      </c>
      <c r="S26" s="45">
        <v>36754.518841904741</v>
      </c>
      <c r="T26" s="45">
        <v>37978.48017905598</v>
      </c>
      <c r="U26" s="45">
        <v>39440.774447866846</v>
      </c>
      <c r="V26" s="45">
        <v>40579.289690942576</v>
      </c>
      <c r="W26" s="45">
        <v>41553.233905523513</v>
      </c>
      <c r="X26" s="45">
        <v>38614.270287701191</v>
      </c>
      <c r="Y26" s="45">
        <v>43164.506400058577</v>
      </c>
      <c r="Z26" s="45">
        <v>46713.713223049854</v>
      </c>
      <c r="AA26" s="45">
        <v>47667.163757620394</v>
      </c>
    </row>
    <row r="27" spans="1:27" x14ac:dyDescent="0.25">
      <c r="A27" s="68" t="s">
        <v>148</v>
      </c>
      <c r="B27" s="69"/>
      <c r="C27" s="69"/>
      <c r="D27" s="70">
        <v>11324.975543871276</v>
      </c>
      <c r="E27" s="70">
        <v>11152.684163338152</v>
      </c>
      <c r="F27" s="70">
        <v>11668.326108812553</v>
      </c>
      <c r="G27" s="70">
        <v>12232.042097384188</v>
      </c>
      <c r="H27" s="70">
        <v>12872.883751277512</v>
      </c>
      <c r="I27" s="70">
        <v>13150.169909248983</v>
      </c>
      <c r="J27" s="70">
        <v>13475.047750036854</v>
      </c>
      <c r="K27" s="70">
        <v>14024.417234132437</v>
      </c>
      <c r="L27" s="70">
        <v>14295.807328853638</v>
      </c>
      <c r="M27" s="70">
        <v>14251.565690147028</v>
      </c>
      <c r="N27" s="70">
        <v>14372.708849670624</v>
      </c>
      <c r="O27" s="70">
        <v>14364.855591991884</v>
      </c>
      <c r="P27" s="70">
        <v>14141.794209049283</v>
      </c>
      <c r="Q27" s="70">
        <v>14419.468456315983</v>
      </c>
      <c r="R27" s="70">
        <v>14306.684330057529</v>
      </c>
      <c r="S27" s="70">
        <v>14689.236637</v>
      </c>
      <c r="T27" s="70">
        <v>15544.560024362696</v>
      </c>
      <c r="U27" s="70">
        <v>16262.155811748318</v>
      </c>
      <c r="V27" s="70">
        <v>16880.750918029687</v>
      </c>
      <c r="W27" s="70">
        <v>17253.824124046856</v>
      </c>
      <c r="X27" s="70">
        <v>15320.87029330941</v>
      </c>
      <c r="Y27" s="70">
        <v>17528.716941116152</v>
      </c>
      <c r="Z27" s="70">
        <v>19308.775929409574</v>
      </c>
      <c r="AA27" s="70">
        <v>19615.900000000005</v>
      </c>
    </row>
    <row r="28" spans="1:27" x14ac:dyDescent="0.25">
      <c r="A28" s="68" t="s">
        <v>150</v>
      </c>
      <c r="B28" s="71"/>
      <c r="C28" s="71"/>
      <c r="D28" s="70">
        <v>9627.21732553935</v>
      </c>
      <c r="E28" s="70">
        <v>10300.848576527575</v>
      </c>
      <c r="F28" s="70">
        <v>11111.373532701717</v>
      </c>
      <c r="G28" s="70">
        <v>11934.688395577268</v>
      </c>
      <c r="H28" s="70">
        <v>12323.460597751575</v>
      </c>
      <c r="I28" s="70">
        <v>13512.164890550939</v>
      </c>
      <c r="J28" s="70">
        <v>14385.408178590473</v>
      </c>
      <c r="K28" s="70">
        <v>15973.772044501738</v>
      </c>
      <c r="L28" s="70">
        <v>16263.109209316426</v>
      </c>
      <c r="M28" s="70">
        <v>15531.038647834501</v>
      </c>
      <c r="N28" s="70">
        <v>15494.996613902271</v>
      </c>
      <c r="O28" s="70">
        <v>15580.542104641199</v>
      </c>
      <c r="P28" s="70">
        <v>15046.083086012506</v>
      </c>
      <c r="Q28" s="70">
        <v>14790.195129590167</v>
      </c>
      <c r="R28" s="70">
        <v>14844.33956835251</v>
      </c>
      <c r="S28" s="70">
        <v>14966.557043999997</v>
      </c>
      <c r="T28" s="70">
        <v>15418.456731435812</v>
      </c>
      <c r="U28" s="70">
        <v>15871.906122824161</v>
      </c>
      <c r="V28" s="70">
        <v>16027.155204689421</v>
      </c>
      <c r="W28" s="70">
        <v>16524.673034219824</v>
      </c>
      <c r="X28" s="70">
        <v>15765.481186323443</v>
      </c>
      <c r="Y28" s="70">
        <v>17327.025541652558</v>
      </c>
      <c r="Z28" s="70">
        <v>18504.010738719284</v>
      </c>
      <c r="AA28" s="70">
        <v>18390.799999999996</v>
      </c>
    </row>
    <row r="29" spans="1:27" x14ac:dyDescent="0.25">
      <c r="A29" s="68" t="s">
        <v>152</v>
      </c>
      <c r="B29" s="71"/>
      <c r="C29" s="71"/>
      <c r="D29" s="70">
        <v>5050.4360717387508</v>
      </c>
      <c r="E29" s="70">
        <v>5564.2373459675355</v>
      </c>
      <c r="F29" s="70">
        <v>6119.925327437636</v>
      </c>
      <c r="G29" s="70">
        <v>6849.2267241832105</v>
      </c>
      <c r="H29" s="70">
        <v>6563.5176546102639</v>
      </c>
      <c r="I29" s="70">
        <v>7011.7672292398511</v>
      </c>
      <c r="J29" s="70">
        <v>7403.5734439692833</v>
      </c>
      <c r="K29" s="70">
        <v>7611.971453022933</v>
      </c>
      <c r="L29" s="70">
        <v>7841.895041681405</v>
      </c>
      <c r="M29" s="70">
        <v>6592.137237001476</v>
      </c>
      <c r="N29" s="70">
        <v>6849.4442243087069</v>
      </c>
      <c r="O29" s="70">
        <v>6866.7955459048499</v>
      </c>
      <c r="P29" s="70">
        <v>6739.0066366990268</v>
      </c>
      <c r="Q29" s="70">
        <v>6635.4857647423378</v>
      </c>
      <c r="R29" s="70">
        <v>6701.9658377277055</v>
      </c>
      <c r="S29" s="70">
        <v>7098.7251609047444</v>
      </c>
      <c r="T29" s="70">
        <v>7015.4634232574717</v>
      </c>
      <c r="U29" s="70">
        <v>7306.7125132943665</v>
      </c>
      <c r="V29" s="70">
        <v>7671.3835682234658</v>
      </c>
      <c r="W29" s="70">
        <v>7774.736747256833</v>
      </c>
      <c r="X29" s="70">
        <v>7527.9188080683434</v>
      </c>
      <c r="Y29" s="70">
        <v>8308.7639172898616</v>
      </c>
      <c r="Z29" s="70">
        <v>8900.9265549209995</v>
      </c>
      <c r="AA29" s="70">
        <v>9660.4637576203913</v>
      </c>
    </row>
    <row r="30" spans="1:27" x14ac:dyDescent="0.25">
      <c r="A30" s="64" t="s">
        <v>154</v>
      </c>
      <c r="B30" s="65"/>
      <c r="C30" s="65"/>
      <c r="D30" s="66">
        <v>1736.1736075317103</v>
      </c>
      <c r="E30" s="66">
        <v>1604.3935738364348</v>
      </c>
      <c r="F30" s="66">
        <v>1430.9551299721511</v>
      </c>
      <c r="G30" s="66">
        <v>1552.7117816997584</v>
      </c>
      <c r="H30" s="66">
        <v>1876.8242079417703</v>
      </c>
      <c r="I30" s="66">
        <v>1819.8356838081211</v>
      </c>
      <c r="J30" s="66">
        <v>1656.5944598840701</v>
      </c>
      <c r="K30" s="66">
        <v>1511.8587893100496</v>
      </c>
      <c r="L30" s="66">
        <v>1323.8519799929268</v>
      </c>
      <c r="M30" s="66">
        <v>1639.4241254395849</v>
      </c>
      <c r="N30" s="66">
        <v>1990.3493210043534</v>
      </c>
      <c r="O30" s="66">
        <v>2223.9090824938203</v>
      </c>
      <c r="P30" s="66">
        <v>2309.9119118916042</v>
      </c>
      <c r="Q30" s="66">
        <v>2276.6905569165269</v>
      </c>
      <c r="R30" s="66">
        <v>2160.2810153004157</v>
      </c>
      <c r="S30" s="66">
        <v>2119.9087111498229</v>
      </c>
      <c r="T30" s="66">
        <v>2034.8426258244695</v>
      </c>
      <c r="U30" s="66">
        <v>1871.0647326957401</v>
      </c>
      <c r="V30" s="66">
        <v>1677.8184948634184</v>
      </c>
      <c r="W30" s="66">
        <v>1868.4650688116053</v>
      </c>
      <c r="X30" s="66">
        <v>1074.0015777765316</v>
      </c>
      <c r="Y30" s="66">
        <v>1465.5675713278833</v>
      </c>
      <c r="Z30" s="66">
        <v>1968.4333018398379</v>
      </c>
      <c r="AA30" s="66">
        <v>2137.7422773208955</v>
      </c>
    </row>
    <row r="31" spans="1:27" x14ac:dyDescent="0.25">
      <c r="A31" s="64" t="s">
        <v>37</v>
      </c>
      <c r="B31" s="65"/>
      <c r="C31" s="65"/>
      <c r="D31" s="66">
        <v>1895.9797245992524</v>
      </c>
      <c r="E31" s="66">
        <v>2190.8633268179374</v>
      </c>
      <c r="F31" s="66">
        <v>2310.6657053139447</v>
      </c>
      <c r="G31" s="66">
        <v>2922.2091409286691</v>
      </c>
      <c r="H31" s="66">
        <v>3127.7651120472615</v>
      </c>
      <c r="I31" s="66">
        <v>3503.8084415120411</v>
      </c>
      <c r="J31" s="66">
        <v>3806.0190081332171</v>
      </c>
      <c r="K31" s="66">
        <v>4023.4419180812683</v>
      </c>
      <c r="L31" s="66">
        <v>4254.186555853079</v>
      </c>
      <c r="M31" s="66">
        <v>3727.7981866060204</v>
      </c>
      <c r="N31" s="66">
        <v>2764.618796578507</v>
      </c>
      <c r="O31" s="66">
        <v>2534.8440357666891</v>
      </c>
      <c r="P31" s="66">
        <v>2123.010908374772</v>
      </c>
      <c r="Q31" s="66">
        <v>2132.5648059864216</v>
      </c>
      <c r="R31" s="66">
        <v>2106.6875199744327</v>
      </c>
      <c r="S31" s="66">
        <v>2203.5908689999997</v>
      </c>
      <c r="T31" s="66">
        <v>2345.8361786202386</v>
      </c>
      <c r="U31" s="66">
        <v>2434.3170477305489</v>
      </c>
      <c r="V31" s="66">
        <v>2718.2526245627305</v>
      </c>
      <c r="W31" s="66">
        <v>3085.4007420494695</v>
      </c>
      <c r="X31" s="66">
        <v>3171.3512917577996</v>
      </c>
      <c r="Y31" s="66">
        <v>3519.2299087405831</v>
      </c>
      <c r="Z31" s="66">
        <v>3741.487499050977</v>
      </c>
      <c r="AA31" s="66">
        <v>4496.6000000000004</v>
      </c>
    </row>
    <row r="32" spans="1:27" x14ac:dyDescent="0.25">
      <c r="A32" s="64" t="s">
        <v>58</v>
      </c>
      <c r="B32" s="65"/>
      <c r="C32" s="65"/>
      <c r="D32" s="66">
        <v>6791.2324921658419</v>
      </c>
      <c r="E32" s="66">
        <v>6991.6578071442736</v>
      </c>
      <c r="F32" s="66">
        <v>7148.0640018328595</v>
      </c>
      <c r="G32" s="66">
        <v>7227.1390941800619</v>
      </c>
      <c r="H32" s="66">
        <v>7396.982835207019</v>
      </c>
      <c r="I32" s="66">
        <v>7318.4844127384886</v>
      </c>
      <c r="J32" s="66">
        <v>7527.269437480858</v>
      </c>
      <c r="K32" s="66">
        <v>7855.4075592291274</v>
      </c>
      <c r="L32" s="66">
        <v>7916.6027080280892</v>
      </c>
      <c r="M32" s="66">
        <v>7107.2139006922407</v>
      </c>
      <c r="N32" s="66">
        <v>6652.9583423458862</v>
      </c>
      <c r="O32" s="66">
        <v>6770.7619220656452</v>
      </c>
      <c r="P32" s="66">
        <v>6486.5863650238789</v>
      </c>
      <c r="Q32" s="66">
        <v>6215.8111581346939</v>
      </c>
      <c r="R32" s="66">
        <v>6449.3485967961014</v>
      </c>
      <c r="S32" s="66">
        <v>6657.5447539999986</v>
      </c>
      <c r="T32" s="66">
        <v>7070.9698674906394</v>
      </c>
      <c r="U32" s="66">
        <v>7173.8508026047166</v>
      </c>
      <c r="V32" s="66">
        <v>7170.7551838895733</v>
      </c>
      <c r="W32" s="66">
        <v>7392.7887279151928</v>
      </c>
      <c r="X32" s="66">
        <v>7049.0022834763431</v>
      </c>
      <c r="Y32" s="66">
        <v>7407.5199068183683</v>
      </c>
      <c r="Z32" s="66">
        <v>7803.4280261171043</v>
      </c>
      <c r="AA32" s="66">
        <v>8054.7000000000007</v>
      </c>
    </row>
    <row r="33" spans="1:27" x14ac:dyDescent="0.25">
      <c r="A33" s="72" t="s">
        <v>158</v>
      </c>
      <c r="B33" s="65"/>
      <c r="C33" s="65"/>
      <c r="D33" s="66">
        <v>97.813230685790032</v>
      </c>
      <c r="E33" s="66">
        <v>95.336523044672944</v>
      </c>
      <c r="F33" s="66">
        <v>132.49721432325711</v>
      </c>
      <c r="G33" s="66">
        <v>107.00557437756066</v>
      </c>
      <c r="H33" s="66">
        <v>97.928443054066847</v>
      </c>
      <c r="I33" s="66">
        <v>129.08103518090655</v>
      </c>
      <c r="J33" s="66">
        <v>154.05637101988498</v>
      </c>
      <c r="K33" s="66">
        <v>128.32068334218025</v>
      </c>
      <c r="L33" s="66">
        <v>94.522602940433472</v>
      </c>
      <c r="M33" s="66">
        <v>77.447696850000995</v>
      </c>
      <c r="N33" s="66">
        <v>102.65383148166354</v>
      </c>
      <c r="O33" s="66">
        <v>109.73407289235524</v>
      </c>
      <c r="P33" s="66">
        <v>91.459602186007572</v>
      </c>
      <c r="Q33" s="66">
        <v>90.48199712572476</v>
      </c>
      <c r="R33" s="66">
        <v>92.498403044103554</v>
      </c>
      <c r="S33" s="66">
        <v>79.101902999999993</v>
      </c>
      <c r="T33" s="66">
        <v>80.569637728524157</v>
      </c>
      <c r="U33" s="66">
        <v>76.7935491674004</v>
      </c>
      <c r="V33" s="66">
        <v>87.439067788597896</v>
      </c>
      <c r="W33" s="66">
        <v>147.85084619676397</v>
      </c>
      <c r="X33" s="66">
        <v>54.368852934028745</v>
      </c>
      <c r="Y33" s="66">
        <v>34.929117886662581</v>
      </c>
      <c r="Z33" s="66">
        <v>60.022070472318056</v>
      </c>
      <c r="AA33" s="66">
        <v>64.900000000000006</v>
      </c>
    </row>
    <row r="34" spans="1:27" x14ac:dyDescent="0.25">
      <c r="A34" s="73" t="s">
        <v>5</v>
      </c>
      <c r="B34" s="65"/>
      <c r="C34" s="65"/>
      <c r="D34" s="66">
        <v>24.644019947706884</v>
      </c>
      <c r="E34" s="66">
        <v>24.020014053162861</v>
      </c>
      <c r="F34" s="66">
        <v>33.382641283847391</v>
      </c>
      <c r="G34" s="66">
        <v>30.998059828530586</v>
      </c>
      <c r="H34" s="66">
        <v>28.368538315527097</v>
      </c>
      <c r="I34" s="66">
        <v>37.393020639731056</v>
      </c>
      <c r="J34" s="66">
        <v>44.628035816067943</v>
      </c>
      <c r="K34" s="66">
        <v>37.172757051365004</v>
      </c>
      <c r="L34" s="66">
        <v>27.381912747439344</v>
      </c>
      <c r="M34" s="66">
        <v>17.010366744002653</v>
      </c>
      <c r="N34" s="66">
        <v>61.937108178630325</v>
      </c>
      <c r="O34" s="66">
        <v>51.325038769258157</v>
      </c>
      <c r="P34" s="66">
        <v>27.313735504466351</v>
      </c>
      <c r="Q34" s="66">
        <v>45.765599018067633</v>
      </c>
      <c r="R34" s="66">
        <v>66.848193797196032</v>
      </c>
      <c r="S34" s="66">
        <v>48.844906823526308</v>
      </c>
      <c r="T34" s="66">
        <v>53.991685284409179</v>
      </c>
      <c r="U34" s="66">
        <v>39.873182841560229</v>
      </c>
      <c r="V34" s="66">
        <v>24.275341541116418</v>
      </c>
      <c r="W34" s="66">
        <v>69.192706234345266</v>
      </c>
      <c r="X34" s="66">
        <v>24.58125101232563</v>
      </c>
      <c r="Y34" s="66">
        <v>13.209777247947329</v>
      </c>
      <c r="Z34" s="66">
        <v>30.925201702852728</v>
      </c>
      <c r="AA34" s="66">
        <v>27.794862920120231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24.644019947706884</v>
      </c>
      <c r="E36" s="45">
        <v>24.020014053162861</v>
      </c>
      <c r="F36" s="45">
        <v>33.382641283847391</v>
      </c>
      <c r="G36" s="45">
        <v>30.998059828530586</v>
      </c>
      <c r="H36" s="45">
        <v>28.368538315527097</v>
      </c>
      <c r="I36" s="45">
        <v>37.393020639731056</v>
      </c>
      <c r="J36" s="45">
        <v>44.628035816067943</v>
      </c>
      <c r="K36" s="45">
        <v>37.172757051365004</v>
      </c>
      <c r="L36" s="45">
        <v>27.381912747439344</v>
      </c>
      <c r="M36" s="45">
        <v>17.010366744002653</v>
      </c>
      <c r="N36" s="45">
        <v>61.937108178630325</v>
      </c>
      <c r="O36" s="45">
        <v>51.325038769258157</v>
      </c>
      <c r="P36" s="45">
        <v>27.313735504466351</v>
      </c>
      <c r="Q36" s="45">
        <v>45.765599018067633</v>
      </c>
      <c r="R36" s="45">
        <v>66.848193797196032</v>
      </c>
      <c r="S36" s="45">
        <v>48.844906823526308</v>
      </c>
      <c r="T36" s="45">
        <v>53.991685284409179</v>
      </c>
      <c r="U36" s="45">
        <v>39.873182841560229</v>
      </c>
      <c r="V36" s="45">
        <v>24.275341541116418</v>
      </c>
      <c r="W36" s="45">
        <v>69.192706234345266</v>
      </c>
      <c r="X36" s="45">
        <v>24.58125101232563</v>
      </c>
      <c r="Y36" s="45">
        <v>13.209777247947329</v>
      </c>
      <c r="Z36" s="45">
        <v>30.925201702852728</v>
      </c>
      <c r="AA36" s="45">
        <v>27.794862920120231</v>
      </c>
    </row>
    <row r="37" spans="1:27" x14ac:dyDescent="0.25">
      <c r="A37" s="73" t="s">
        <v>263</v>
      </c>
      <c r="B37" s="65"/>
      <c r="C37" s="65"/>
      <c r="D37" s="66">
        <v>73.169210738083152</v>
      </c>
      <c r="E37" s="66">
        <v>71.316508991510091</v>
      </c>
      <c r="F37" s="66">
        <v>99.11457303940972</v>
      </c>
      <c r="G37" s="66">
        <v>76.007514549030077</v>
      </c>
      <c r="H37" s="66">
        <v>69.559904738539757</v>
      </c>
      <c r="I37" s="66">
        <v>91.688014541175505</v>
      </c>
      <c r="J37" s="66">
        <v>109.42833520381701</v>
      </c>
      <c r="K37" s="66">
        <v>91.147926290815235</v>
      </c>
      <c r="L37" s="66">
        <v>67.140690192994128</v>
      </c>
      <c r="M37" s="66">
        <v>60.437330105998356</v>
      </c>
      <c r="N37" s="66">
        <v>40.716723303033234</v>
      </c>
      <c r="O37" s="66">
        <v>58.409034123097086</v>
      </c>
      <c r="P37" s="66">
        <v>64.145866681541222</v>
      </c>
      <c r="Q37" s="66">
        <v>44.716398107657128</v>
      </c>
      <c r="R37" s="66">
        <v>25.650209246907522</v>
      </c>
      <c r="S37" s="66">
        <v>30.256996176473688</v>
      </c>
      <c r="T37" s="66">
        <v>26.57795244411497</v>
      </c>
      <c r="U37" s="66">
        <v>36.92036632584017</v>
      </c>
      <c r="V37" s="66">
        <v>63.163726247481478</v>
      </c>
      <c r="W37" s="66">
        <v>78.658139962418701</v>
      </c>
      <c r="X37" s="66">
        <v>29.787601921703114</v>
      </c>
      <c r="Y37" s="66">
        <v>21.719340638715252</v>
      </c>
      <c r="Z37" s="66">
        <v>29.096868769465328</v>
      </c>
      <c r="AA37" s="66">
        <v>37.105137079879775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73.169210738083152</v>
      </c>
      <c r="E39" s="45">
        <v>71.316508991510091</v>
      </c>
      <c r="F39" s="45">
        <v>99.11457303940972</v>
      </c>
      <c r="G39" s="45">
        <v>76.007514549030077</v>
      </c>
      <c r="H39" s="45">
        <v>69.559904738539757</v>
      </c>
      <c r="I39" s="45">
        <v>91.688014541175505</v>
      </c>
      <c r="J39" s="45">
        <v>109.42833520381701</v>
      </c>
      <c r="K39" s="45">
        <v>91.147926290815235</v>
      </c>
      <c r="L39" s="45">
        <v>67.140690192994128</v>
      </c>
      <c r="M39" s="45">
        <v>60.437330105998356</v>
      </c>
      <c r="N39" s="45">
        <v>40.716723303033234</v>
      </c>
      <c r="O39" s="45">
        <v>58.409034123097086</v>
      </c>
      <c r="P39" s="45">
        <v>64.145866681541222</v>
      </c>
      <c r="Q39" s="45">
        <v>44.716398107657128</v>
      </c>
      <c r="R39" s="45">
        <v>24.965956014778392</v>
      </c>
      <c r="S39" s="45">
        <v>28.349898996680444</v>
      </c>
      <c r="T39" s="45">
        <v>20.706642256436609</v>
      </c>
      <c r="U39" s="45">
        <v>29.92036632584017</v>
      </c>
      <c r="V39" s="45">
        <v>54.281687195337753</v>
      </c>
      <c r="W39" s="45">
        <v>69.509564977540478</v>
      </c>
      <c r="X39" s="45">
        <v>20.724070695560751</v>
      </c>
      <c r="Y39" s="45">
        <v>12.530641003894742</v>
      </c>
      <c r="Z39" s="45">
        <v>21.138969149754022</v>
      </c>
      <c r="AA39" s="45">
        <v>29.242180526459606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73.169210738083152</v>
      </c>
      <c r="E41" s="45">
        <v>71.316508991510091</v>
      </c>
      <c r="F41" s="45">
        <v>99.11457303940972</v>
      </c>
      <c r="G41" s="45">
        <v>76.007514549030077</v>
      </c>
      <c r="H41" s="45">
        <v>69.559904738539757</v>
      </c>
      <c r="I41" s="45">
        <v>91.688014541175505</v>
      </c>
      <c r="J41" s="45">
        <v>109.42833520381701</v>
      </c>
      <c r="K41" s="45">
        <v>91.147926290815235</v>
      </c>
      <c r="L41" s="45">
        <v>67.140690192994128</v>
      </c>
      <c r="M41" s="45">
        <v>60.437330105998356</v>
      </c>
      <c r="N41" s="45">
        <v>40.716723303033234</v>
      </c>
      <c r="O41" s="45">
        <v>58.409034123097086</v>
      </c>
      <c r="P41" s="45">
        <v>64.145866681541222</v>
      </c>
      <c r="Q41" s="45">
        <v>44.716398107657128</v>
      </c>
      <c r="R41" s="45">
        <v>24.965956014778392</v>
      </c>
      <c r="S41" s="45">
        <v>28.349898996680444</v>
      </c>
      <c r="T41" s="45">
        <v>20.706642256436609</v>
      </c>
      <c r="U41" s="45">
        <v>29.92036632584017</v>
      </c>
      <c r="V41" s="45">
        <v>54.281687195337753</v>
      </c>
      <c r="W41" s="45">
        <v>69.509564977540478</v>
      </c>
      <c r="X41" s="45">
        <v>20.724070695560751</v>
      </c>
      <c r="Y41" s="45">
        <v>12.530641003894742</v>
      </c>
      <c r="Z41" s="45">
        <v>21.138969149754022</v>
      </c>
      <c r="AA41" s="45">
        <v>29.242180526459606</v>
      </c>
    </row>
    <row r="42" spans="1:27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0.68425323212913014</v>
      </c>
      <c r="S42" s="45">
        <v>1.9070971797932434</v>
      </c>
      <c r="T42" s="45">
        <v>5.8713101876783611</v>
      </c>
      <c r="U42" s="45">
        <v>6.9999999999999991</v>
      </c>
      <c r="V42" s="45">
        <v>8.8820390521437247</v>
      </c>
      <c r="W42" s="45">
        <v>9.1485749848782234</v>
      </c>
      <c r="X42" s="45">
        <v>9.0635312261423628</v>
      </c>
      <c r="Y42" s="45">
        <v>9.1886996348205106</v>
      </c>
      <c r="Z42" s="45">
        <v>7.9578996197113057</v>
      </c>
      <c r="AA42" s="45">
        <v>7.8629565534201689</v>
      </c>
    </row>
    <row r="43" spans="1:27" x14ac:dyDescent="0.25">
      <c r="A43" s="72" t="s">
        <v>265</v>
      </c>
      <c r="B43" s="65"/>
      <c r="C43" s="65"/>
      <c r="D43" s="66">
        <v>1098.5024662528624</v>
      </c>
      <c r="E43" s="66">
        <v>1117.7644316025041</v>
      </c>
      <c r="F43" s="66">
        <v>876.4101454158299</v>
      </c>
      <c r="G43" s="66">
        <v>768.52621467591132</v>
      </c>
      <c r="H43" s="66">
        <v>757.8307338534787</v>
      </c>
      <c r="I43" s="66">
        <v>728.72398589905447</v>
      </c>
      <c r="J43" s="66">
        <v>545.28440396111478</v>
      </c>
      <c r="K43" s="66">
        <v>611.7480451950471</v>
      </c>
      <c r="L43" s="66">
        <v>739.04358106401253</v>
      </c>
      <c r="M43" s="66">
        <v>614.55936920222632</v>
      </c>
      <c r="N43" s="66">
        <v>721.83360436535236</v>
      </c>
      <c r="O43" s="66">
        <v>696.89617517011811</v>
      </c>
      <c r="P43" s="66">
        <v>746.02853823051555</v>
      </c>
      <c r="Q43" s="66">
        <v>700.0863957579661</v>
      </c>
      <c r="R43" s="66">
        <v>728.20988834292098</v>
      </c>
      <c r="S43" s="66">
        <v>737.09193699999992</v>
      </c>
      <c r="T43" s="66">
        <v>715.67883415532708</v>
      </c>
      <c r="U43" s="66">
        <v>675.50118624880258</v>
      </c>
      <c r="V43" s="66">
        <v>638.88144086224838</v>
      </c>
      <c r="W43" s="66">
        <v>730.75280732750593</v>
      </c>
      <c r="X43" s="66">
        <v>837.82526218383691</v>
      </c>
      <c r="Y43" s="66">
        <v>698.33979441459417</v>
      </c>
      <c r="Z43" s="66">
        <v>629.28166994255241</v>
      </c>
      <c r="AA43" s="66">
        <v>616.6</v>
      </c>
    </row>
    <row r="44" spans="1:27" x14ac:dyDescent="0.25">
      <c r="A44" s="73" t="s">
        <v>266</v>
      </c>
      <c r="B44" s="65"/>
      <c r="C44" s="65"/>
      <c r="D44" s="66">
        <v>424.19003103531395</v>
      </c>
      <c r="E44" s="66">
        <v>429.38969434293642</v>
      </c>
      <c r="F44" s="66">
        <v>327.49311464805061</v>
      </c>
      <c r="G44" s="66">
        <v>275.7785941275344</v>
      </c>
      <c r="H44" s="66">
        <v>277.1061171074607</v>
      </c>
      <c r="I44" s="66">
        <v>294.61404973441631</v>
      </c>
      <c r="J44" s="66">
        <v>233.11359166033327</v>
      </c>
      <c r="K44" s="66">
        <v>261.95217796362294</v>
      </c>
      <c r="L44" s="66">
        <v>274.86530288485829</v>
      </c>
      <c r="M44" s="66">
        <v>244.76644123925229</v>
      </c>
      <c r="N44" s="66">
        <v>273.96066955068329</v>
      </c>
      <c r="O44" s="66">
        <v>269.57264517907959</v>
      </c>
      <c r="P44" s="66">
        <v>269.42093939244745</v>
      </c>
      <c r="Q44" s="66">
        <v>223.38153426829871</v>
      </c>
      <c r="R44" s="66">
        <v>216.49125519335249</v>
      </c>
      <c r="S44" s="66">
        <v>239.29319399999997</v>
      </c>
      <c r="T44" s="66">
        <v>220.58234694079661</v>
      </c>
      <c r="U44" s="66">
        <v>208.84255691768826</v>
      </c>
      <c r="V44" s="66">
        <v>172.74853077432167</v>
      </c>
      <c r="W44" s="66">
        <v>267.48682257764551</v>
      </c>
      <c r="X44" s="66">
        <v>300.45293215934788</v>
      </c>
      <c r="Y44" s="66">
        <v>244.74638852529543</v>
      </c>
      <c r="Z44" s="66">
        <v>169.112462988114</v>
      </c>
      <c r="AA44" s="66">
        <v>167</v>
      </c>
    </row>
    <row r="45" spans="1:27" x14ac:dyDescent="0.25">
      <c r="A45" s="74" t="s">
        <v>20</v>
      </c>
      <c r="B45" s="44"/>
      <c r="C45" s="44"/>
      <c r="D45" s="45">
        <v>71.19185100942623</v>
      </c>
      <c r="E45" s="45">
        <v>71.626852003973752</v>
      </c>
      <c r="F45" s="45">
        <v>62.553432066554045</v>
      </c>
      <c r="G45" s="45">
        <v>57.402437262079125</v>
      </c>
      <c r="H45" s="45">
        <v>71.925539047705982</v>
      </c>
      <c r="I45" s="45">
        <v>74.162915737960006</v>
      </c>
      <c r="J45" s="45">
        <v>77.611296982217183</v>
      </c>
      <c r="K45" s="45">
        <v>82.27201801663017</v>
      </c>
      <c r="L45" s="45">
        <v>84.275454565380969</v>
      </c>
      <c r="M45" s="45">
        <v>78.747575890386202</v>
      </c>
      <c r="N45" s="45">
        <v>73.834522497522229</v>
      </c>
      <c r="O45" s="45">
        <v>67.122293179565659</v>
      </c>
      <c r="P45" s="45">
        <v>31.986548675198556</v>
      </c>
      <c r="Q45" s="45">
        <v>29.710613924985328</v>
      </c>
      <c r="R45" s="45">
        <v>14.390155472655758</v>
      </c>
      <c r="S45" s="45">
        <v>26.821596018242346</v>
      </c>
      <c r="T45" s="45">
        <v>31.65070378283847</v>
      </c>
      <c r="U45" s="45">
        <v>22.550442544729218</v>
      </c>
      <c r="V45" s="45">
        <v>3.9917617669574055</v>
      </c>
      <c r="W45" s="45">
        <v>42.155024910869486</v>
      </c>
      <c r="X45" s="45">
        <v>53.761625400555147</v>
      </c>
      <c r="Y45" s="45">
        <v>48.11472544752813</v>
      </c>
      <c r="Z45" s="45">
        <v>24.690261325358719</v>
      </c>
      <c r="AA45" s="45">
        <v>24.381843706130091</v>
      </c>
    </row>
    <row r="46" spans="1:27" x14ac:dyDescent="0.25">
      <c r="A46" s="74" t="s">
        <v>12</v>
      </c>
      <c r="B46" s="44"/>
      <c r="C46" s="44"/>
      <c r="D46" s="45">
        <v>352.99818002588773</v>
      </c>
      <c r="E46" s="45">
        <v>357.76284233896268</v>
      </c>
      <c r="F46" s="45">
        <v>264.93968258149658</v>
      </c>
      <c r="G46" s="45">
        <v>218.37615686545527</v>
      </c>
      <c r="H46" s="45">
        <v>205.18057805975474</v>
      </c>
      <c r="I46" s="45">
        <v>220.45113399645629</v>
      </c>
      <c r="J46" s="45">
        <v>155.50229467811607</v>
      </c>
      <c r="K46" s="45">
        <v>179.68015994699277</v>
      </c>
      <c r="L46" s="45">
        <v>190.58984831947731</v>
      </c>
      <c r="M46" s="45">
        <v>166.01886534886609</v>
      </c>
      <c r="N46" s="45">
        <v>200.12614705316105</v>
      </c>
      <c r="O46" s="45">
        <v>202.45035199951394</v>
      </c>
      <c r="P46" s="45">
        <v>237.4343907172489</v>
      </c>
      <c r="Q46" s="45">
        <v>193.67092034331338</v>
      </c>
      <c r="R46" s="45">
        <v>202.10109972069674</v>
      </c>
      <c r="S46" s="45">
        <v>212.47159798175761</v>
      </c>
      <c r="T46" s="45">
        <v>188.93164315795815</v>
      </c>
      <c r="U46" s="45">
        <v>186.29211437295905</v>
      </c>
      <c r="V46" s="45">
        <v>168.75676900736426</v>
      </c>
      <c r="W46" s="45">
        <v>225.33179766677603</v>
      </c>
      <c r="X46" s="45">
        <v>246.69130675879273</v>
      </c>
      <c r="Y46" s="45">
        <v>196.63166307776731</v>
      </c>
      <c r="Z46" s="45">
        <v>144.4222016627553</v>
      </c>
      <c r="AA46" s="45">
        <v>142.6181562938699</v>
      </c>
    </row>
    <row r="47" spans="1:27" x14ac:dyDescent="0.25">
      <c r="A47" s="73" t="s">
        <v>11</v>
      </c>
      <c r="B47" s="65"/>
      <c r="C47" s="65"/>
      <c r="D47" s="66">
        <v>674.31243521754845</v>
      </c>
      <c r="E47" s="66">
        <v>688.37473725956772</v>
      </c>
      <c r="F47" s="66">
        <v>548.91703076777935</v>
      </c>
      <c r="G47" s="66">
        <v>492.74762054837691</v>
      </c>
      <c r="H47" s="66">
        <v>480.72461674601794</v>
      </c>
      <c r="I47" s="66">
        <v>434.10993616463816</v>
      </c>
      <c r="J47" s="66">
        <v>312.17081230078156</v>
      </c>
      <c r="K47" s="66">
        <v>349.79586723142415</v>
      </c>
      <c r="L47" s="66">
        <v>464.17827817915423</v>
      </c>
      <c r="M47" s="66">
        <v>369.79292796297403</v>
      </c>
      <c r="N47" s="66">
        <v>447.87293481466912</v>
      </c>
      <c r="O47" s="66">
        <v>427.32352999103858</v>
      </c>
      <c r="P47" s="66">
        <v>476.60759883806804</v>
      </c>
      <c r="Q47" s="66">
        <v>476.70486148966745</v>
      </c>
      <c r="R47" s="66">
        <v>511.71863314956852</v>
      </c>
      <c r="S47" s="66">
        <v>497.79874299999994</v>
      </c>
      <c r="T47" s="66">
        <v>495.09648721453044</v>
      </c>
      <c r="U47" s="66">
        <v>466.6586293311143</v>
      </c>
      <c r="V47" s="66">
        <v>466.13291008792669</v>
      </c>
      <c r="W47" s="66">
        <v>463.26598474986048</v>
      </c>
      <c r="X47" s="66">
        <v>537.37233002448909</v>
      </c>
      <c r="Y47" s="66">
        <v>453.59340588929877</v>
      </c>
      <c r="Z47" s="66">
        <v>460.16920695443844</v>
      </c>
      <c r="AA47" s="66">
        <v>449.6</v>
      </c>
    </row>
    <row r="48" spans="1:27" x14ac:dyDescent="0.25">
      <c r="A48" s="72" t="s">
        <v>4</v>
      </c>
      <c r="B48" s="65"/>
      <c r="C48" s="65"/>
      <c r="D48" s="66">
        <v>465.71074936724114</v>
      </c>
      <c r="E48" s="66">
        <v>487.3798235177473</v>
      </c>
      <c r="F48" s="66">
        <v>558.38111750515498</v>
      </c>
      <c r="G48" s="66">
        <v>598.70923810274178</v>
      </c>
      <c r="H48" s="66">
        <v>627.8649923972381</v>
      </c>
      <c r="I48" s="66">
        <v>615.89643069813974</v>
      </c>
      <c r="J48" s="66">
        <v>648.23914947196488</v>
      </c>
      <c r="K48" s="66">
        <v>701.31415974260915</v>
      </c>
      <c r="L48" s="66">
        <v>678.39380892234624</v>
      </c>
      <c r="M48" s="66">
        <v>553.89641211323237</v>
      </c>
      <c r="N48" s="66">
        <v>400.97524530527971</v>
      </c>
      <c r="O48" s="66">
        <v>397.70446394280481</v>
      </c>
      <c r="P48" s="66">
        <v>388.4097513662548</v>
      </c>
      <c r="Q48" s="66">
        <v>384.38433321770151</v>
      </c>
      <c r="R48" s="66">
        <v>398.70913930169377</v>
      </c>
      <c r="S48" s="66">
        <v>413.13188199999996</v>
      </c>
      <c r="T48" s="66">
        <v>453.10579654168384</v>
      </c>
      <c r="U48" s="66">
        <v>457.29981616046285</v>
      </c>
      <c r="V48" s="66">
        <v>473.14807885033565</v>
      </c>
      <c r="W48" s="66">
        <v>438.25454993490797</v>
      </c>
      <c r="X48" s="66">
        <v>532.04690707195323</v>
      </c>
      <c r="Y48" s="66">
        <v>543.46311545185767</v>
      </c>
      <c r="Z48" s="66">
        <v>569.48314535653719</v>
      </c>
      <c r="AA48" s="66">
        <v>634</v>
      </c>
    </row>
    <row r="49" spans="1:27" x14ac:dyDescent="0.25">
      <c r="A49" s="77" t="s">
        <v>10</v>
      </c>
      <c r="B49" s="44"/>
      <c r="C49" s="44"/>
      <c r="D49" s="45">
        <v>304.2213835188748</v>
      </c>
      <c r="E49" s="45">
        <v>287.60093163378707</v>
      </c>
      <c r="F49" s="45">
        <v>322.02985482488663</v>
      </c>
      <c r="G49" s="45">
        <v>398.84587068180997</v>
      </c>
      <c r="H49" s="45">
        <v>364.49188102999619</v>
      </c>
      <c r="I49" s="45">
        <v>346.37993465790561</v>
      </c>
      <c r="J49" s="45">
        <v>377.43944575540638</v>
      </c>
      <c r="K49" s="45">
        <v>396.60808201119119</v>
      </c>
      <c r="L49" s="45">
        <v>378.10079652268303</v>
      </c>
      <c r="M49" s="45">
        <v>308.77523954594386</v>
      </c>
      <c r="N49" s="45">
        <v>200.49583055629455</v>
      </c>
      <c r="O49" s="45">
        <v>196.97530168850773</v>
      </c>
      <c r="P49" s="45">
        <v>190.60327864575837</v>
      </c>
      <c r="Q49" s="45">
        <v>179.02703194744871</v>
      </c>
      <c r="R49" s="45">
        <v>192.42895249429824</v>
      </c>
      <c r="S49" s="45">
        <v>219.32137027227202</v>
      </c>
      <c r="T49" s="45">
        <v>223.38390396671502</v>
      </c>
      <c r="U49" s="45">
        <v>221.43167561699806</v>
      </c>
      <c r="V49" s="45">
        <v>226.59087162440892</v>
      </c>
      <c r="W49" s="45">
        <v>213.38597721519582</v>
      </c>
      <c r="X49" s="45">
        <v>273.90819802445088</v>
      </c>
      <c r="Y49" s="45">
        <v>264.31418286960849</v>
      </c>
      <c r="Z49" s="45">
        <v>253.39901988158419</v>
      </c>
      <c r="AA49" s="45">
        <v>320.42065411364439</v>
      </c>
    </row>
    <row r="50" spans="1:27" x14ac:dyDescent="0.25">
      <c r="A50" s="77" t="s">
        <v>18</v>
      </c>
      <c r="B50" s="44"/>
      <c r="C50" s="44"/>
      <c r="D50" s="45">
        <v>65.698483210625042</v>
      </c>
      <c r="E50" s="45">
        <v>62.639388969387518</v>
      </c>
      <c r="F50" s="45">
        <v>69.170454777893056</v>
      </c>
      <c r="G50" s="45">
        <v>85.964113455612221</v>
      </c>
      <c r="H50" s="45">
        <v>99.573885190870001</v>
      </c>
      <c r="I50" s="45">
        <v>100.97966829944281</v>
      </c>
      <c r="J50" s="45">
        <v>92.580149797549112</v>
      </c>
      <c r="K50" s="45">
        <v>88.226961120765836</v>
      </c>
      <c r="L50" s="45">
        <v>108.41229207936563</v>
      </c>
      <c r="M50" s="45">
        <v>99.575870764273461</v>
      </c>
      <c r="N50" s="45">
        <v>76.03205007228361</v>
      </c>
      <c r="O50" s="45">
        <v>88.212230082923682</v>
      </c>
      <c r="P50" s="45">
        <v>92.102100845896658</v>
      </c>
      <c r="Q50" s="45">
        <v>89.836042313615096</v>
      </c>
      <c r="R50" s="45">
        <v>93.856773601910675</v>
      </c>
      <c r="S50" s="45">
        <v>86.40107091949217</v>
      </c>
      <c r="T50" s="45">
        <v>105.2594922518638</v>
      </c>
      <c r="U50" s="45">
        <v>110.81593208208099</v>
      </c>
      <c r="V50" s="45">
        <v>117.41587751248396</v>
      </c>
      <c r="W50" s="45">
        <v>113.0908311059743</v>
      </c>
      <c r="X50" s="45">
        <v>111.80964502056077</v>
      </c>
      <c r="Y50" s="45">
        <v>137.76046948118028</v>
      </c>
      <c r="Z50" s="45">
        <v>143.55270631828276</v>
      </c>
      <c r="AA50" s="45">
        <v>148.06621191147283</v>
      </c>
    </row>
    <row r="51" spans="1:27" x14ac:dyDescent="0.25">
      <c r="A51" s="77" t="s">
        <v>9</v>
      </c>
      <c r="B51" s="44"/>
      <c r="C51" s="44"/>
      <c r="D51" s="45">
        <v>95.790882637741291</v>
      </c>
      <c r="E51" s="45">
        <v>137.13950291457272</v>
      </c>
      <c r="F51" s="45">
        <v>167.18080790237531</v>
      </c>
      <c r="G51" s="45">
        <v>113.89925396531959</v>
      </c>
      <c r="H51" s="45">
        <v>163.79922617637192</v>
      </c>
      <c r="I51" s="45">
        <v>168.53682774079132</v>
      </c>
      <c r="J51" s="45">
        <v>178.2195539190094</v>
      </c>
      <c r="K51" s="45">
        <v>216.47911661065211</v>
      </c>
      <c r="L51" s="45">
        <v>191.8807203202976</v>
      </c>
      <c r="M51" s="45">
        <v>145.54530180301504</v>
      </c>
      <c r="N51" s="45">
        <v>124.44736467670155</v>
      </c>
      <c r="O51" s="45">
        <v>112.5169321713734</v>
      </c>
      <c r="P51" s="45">
        <v>105.70437187459977</v>
      </c>
      <c r="Q51" s="45">
        <v>115.52125895663771</v>
      </c>
      <c r="R51" s="45">
        <v>112.42341320548485</v>
      </c>
      <c r="S51" s="45">
        <v>107.40944080823577</v>
      </c>
      <c r="T51" s="45">
        <v>124.46240032310502</v>
      </c>
      <c r="U51" s="45">
        <v>125.0522084613838</v>
      </c>
      <c r="V51" s="45">
        <v>129.14132971344276</v>
      </c>
      <c r="W51" s="45">
        <v>111.77774161373785</v>
      </c>
      <c r="X51" s="45">
        <v>146.32906402694158</v>
      </c>
      <c r="Y51" s="45">
        <v>141.38846310106891</v>
      </c>
      <c r="Z51" s="45">
        <v>172.53141915667024</v>
      </c>
      <c r="AA51" s="45">
        <v>165.51313397488278</v>
      </c>
    </row>
    <row r="52" spans="1:27" x14ac:dyDescent="0.25">
      <c r="A52" s="72" t="s">
        <v>3</v>
      </c>
      <c r="B52" s="65"/>
      <c r="C52" s="65"/>
      <c r="D52" s="66">
        <v>377.67884175003007</v>
      </c>
      <c r="E52" s="66">
        <v>383.78580635109495</v>
      </c>
      <c r="F52" s="66">
        <v>388.20612390668589</v>
      </c>
      <c r="G52" s="66">
        <v>403.31531936127743</v>
      </c>
      <c r="H52" s="66">
        <v>385.43842510656327</v>
      </c>
      <c r="I52" s="66">
        <v>369.72721935068955</v>
      </c>
      <c r="J52" s="66">
        <v>355.90779178057329</v>
      </c>
      <c r="K52" s="66">
        <v>399.60266490450749</v>
      </c>
      <c r="L52" s="66">
        <v>424.81617440509274</v>
      </c>
      <c r="M52" s="66">
        <v>351.15790192910003</v>
      </c>
      <c r="N52" s="66">
        <v>334.92766591288955</v>
      </c>
      <c r="O52" s="66">
        <v>344.72939427063329</v>
      </c>
      <c r="P52" s="66">
        <v>322.00042538525923</v>
      </c>
      <c r="Q52" s="66">
        <v>319.90441944595864</v>
      </c>
      <c r="R52" s="66">
        <v>344.18933664908911</v>
      </c>
      <c r="S52" s="66">
        <v>375.10466899999994</v>
      </c>
      <c r="T52" s="66">
        <v>371.09272882128073</v>
      </c>
      <c r="U52" s="66">
        <v>371.7884684231405</v>
      </c>
      <c r="V52" s="66">
        <v>391.47147111657364</v>
      </c>
      <c r="W52" s="66">
        <v>443.55253859029199</v>
      </c>
      <c r="X52" s="66">
        <v>463.06410277980291</v>
      </c>
      <c r="Y52" s="66">
        <v>582.39452809636691</v>
      </c>
      <c r="Z52" s="66">
        <v>443.51503842487546</v>
      </c>
      <c r="AA52" s="66">
        <v>409.90000000000003</v>
      </c>
    </row>
    <row r="53" spans="1:27" x14ac:dyDescent="0.25">
      <c r="A53" s="73" t="s">
        <v>21</v>
      </c>
      <c r="B53" s="65"/>
      <c r="C53" s="65"/>
      <c r="D53" s="66">
        <v>187.44208900807519</v>
      </c>
      <c r="E53" s="66">
        <v>192.92508994079486</v>
      </c>
      <c r="F53" s="66">
        <v>189.63887009609036</v>
      </c>
      <c r="G53" s="66">
        <v>173.6448182582204</v>
      </c>
      <c r="H53" s="66">
        <v>172.73718623027642</v>
      </c>
      <c r="I53" s="66">
        <v>170.26703784865305</v>
      </c>
      <c r="J53" s="66">
        <v>153.15457762854908</v>
      </c>
      <c r="K53" s="66">
        <v>171.66838621616057</v>
      </c>
      <c r="L53" s="66">
        <v>176.86169756984791</v>
      </c>
      <c r="M53" s="66">
        <v>129.78436571109381</v>
      </c>
      <c r="N53" s="66">
        <v>119.84965096843968</v>
      </c>
      <c r="O53" s="66">
        <v>119.65058839749081</v>
      </c>
      <c r="P53" s="66">
        <v>115.72705725961302</v>
      </c>
      <c r="Q53" s="66">
        <v>113.0696654938302</v>
      </c>
      <c r="R53" s="66">
        <v>123.33120405880473</v>
      </c>
      <c r="S53" s="66">
        <v>133.161495</v>
      </c>
      <c r="T53" s="66">
        <v>140.40637193733039</v>
      </c>
      <c r="U53" s="66">
        <v>125.76706466313821</v>
      </c>
      <c r="V53" s="66">
        <v>144.56258485392834</v>
      </c>
      <c r="W53" s="66">
        <v>168.67317370280824</v>
      </c>
      <c r="X53" s="66">
        <v>195.67833174434037</v>
      </c>
      <c r="Y53" s="66">
        <v>301.02107845380732</v>
      </c>
      <c r="Z53" s="66">
        <v>218.96319563365191</v>
      </c>
      <c r="AA53" s="66">
        <v>177.3</v>
      </c>
    </row>
    <row r="54" spans="1:27" x14ac:dyDescent="0.25">
      <c r="A54" s="74" t="s">
        <v>8</v>
      </c>
      <c r="B54" s="44"/>
      <c r="C54" s="44"/>
      <c r="D54" s="45">
        <v>14.84915934083851</v>
      </c>
      <c r="E54" s="45">
        <v>12.458537801448358</v>
      </c>
      <c r="F54" s="45">
        <v>12.546638167501809</v>
      </c>
      <c r="G54" s="45">
        <v>11.302769286397792</v>
      </c>
      <c r="H54" s="45">
        <v>10.276646618056075</v>
      </c>
      <c r="I54" s="45">
        <v>7.1382542734726346</v>
      </c>
      <c r="J54" s="45">
        <v>7.3585411023091956</v>
      </c>
      <c r="K54" s="45">
        <v>7.7378912351665177</v>
      </c>
      <c r="L54" s="45">
        <v>8.0372653096830291</v>
      </c>
      <c r="M54" s="45">
        <v>5.3154006434577674</v>
      </c>
      <c r="N54" s="45">
        <v>5.2782820176792953</v>
      </c>
      <c r="O54" s="45">
        <v>5.5417114626206274</v>
      </c>
      <c r="P54" s="45">
        <v>4.3739548939665793</v>
      </c>
      <c r="Q54" s="45">
        <v>3.9746285360888902</v>
      </c>
      <c r="R54" s="45">
        <v>4.0031253572852057</v>
      </c>
      <c r="S54" s="45">
        <v>3.9026872141881168</v>
      </c>
      <c r="T54" s="45">
        <v>3.7648396260798376</v>
      </c>
      <c r="U54" s="45">
        <v>3.7111076879065905</v>
      </c>
      <c r="V54" s="45">
        <v>4.3429377192214078</v>
      </c>
      <c r="W54" s="45">
        <v>5.9376343559396849</v>
      </c>
      <c r="X54" s="45">
        <v>6.7445899515474128</v>
      </c>
      <c r="Y54" s="45">
        <v>10.024061757656604</v>
      </c>
      <c r="Z54" s="45">
        <v>7.1279634719331639</v>
      </c>
      <c r="AA54" s="45">
        <v>5.4871425164496195</v>
      </c>
    </row>
    <row r="55" spans="1:27" x14ac:dyDescent="0.25">
      <c r="A55" s="74" t="s">
        <v>17</v>
      </c>
      <c r="B55" s="44"/>
      <c r="C55" s="44"/>
      <c r="D55" s="45">
        <v>172.59292966723669</v>
      </c>
      <c r="E55" s="45">
        <v>180.4665521393465</v>
      </c>
      <c r="F55" s="45">
        <v>177.09223192858855</v>
      </c>
      <c r="G55" s="45">
        <v>162.34204897182261</v>
      </c>
      <c r="H55" s="45">
        <v>162.46053961222034</v>
      </c>
      <c r="I55" s="45">
        <v>163.12878357518042</v>
      </c>
      <c r="J55" s="45">
        <v>145.79603652623987</v>
      </c>
      <c r="K55" s="45">
        <v>163.93049498099404</v>
      </c>
      <c r="L55" s="45">
        <v>168.82443226016488</v>
      </c>
      <c r="M55" s="45">
        <v>124.46896506763605</v>
      </c>
      <c r="N55" s="45">
        <v>114.57136895076039</v>
      </c>
      <c r="O55" s="45">
        <v>114.10887693487018</v>
      </c>
      <c r="P55" s="45">
        <v>111.35310236564644</v>
      </c>
      <c r="Q55" s="45">
        <v>109.09503695774131</v>
      </c>
      <c r="R55" s="45">
        <v>119.32807870151953</v>
      </c>
      <c r="S55" s="45">
        <v>129.25880778581188</v>
      </c>
      <c r="T55" s="45">
        <v>136.64153231125056</v>
      </c>
      <c r="U55" s="45">
        <v>122.05595697523162</v>
      </c>
      <c r="V55" s="45">
        <v>140.21964713470695</v>
      </c>
      <c r="W55" s="45">
        <v>162.73553934686856</v>
      </c>
      <c r="X55" s="45">
        <v>188.93374179279294</v>
      </c>
      <c r="Y55" s="45">
        <v>290.99701669615069</v>
      </c>
      <c r="Z55" s="45">
        <v>211.83523216171875</v>
      </c>
      <c r="AA55" s="45">
        <v>171.8128574835504</v>
      </c>
    </row>
    <row r="56" spans="1:27" x14ac:dyDescent="0.25">
      <c r="A56" s="73" t="s">
        <v>16</v>
      </c>
      <c r="B56" s="65"/>
      <c r="C56" s="65"/>
      <c r="D56" s="66">
        <v>190.23675274195486</v>
      </c>
      <c r="E56" s="66">
        <v>190.86071641030006</v>
      </c>
      <c r="F56" s="66">
        <v>198.56725381059553</v>
      </c>
      <c r="G56" s="66">
        <v>229.67050110305703</v>
      </c>
      <c r="H56" s="66">
        <v>212.70123887628688</v>
      </c>
      <c r="I56" s="66">
        <v>199.46018150203651</v>
      </c>
      <c r="J56" s="66">
        <v>202.75321415202421</v>
      </c>
      <c r="K56" s="66">
        <v>227.93427868834692</v>
      </c>
      <c r="L56" s="66">
        <v>247.95447683524483</v>
      </c>
      <c r="M56" s="66">
        <v>221.37353621800625</v>
      </c>
      <c r="N56" s="66">
        <v>215.07801494444988</v>
      </c>
      <c r="O56" s="66">
        <v>225.07880587314247</v>
      </c>
      <c r="P56" s="66">
        <v>206.27336812564621</v>
      </c>
      <c r="Q56" s="66">
        <v>206.83475395212844</v>
      </c>
      <c r="R56" s="66">
        <v>220.85813259028438</v>
      </c>
      <c r="S56" s="66">
        <v>241.94317399999994</v>
      </c>
      <c r="T56" s="66">
        <v>230.68635688395031</v>
      </c>
      <c r="U56" s="66">
        <v>246.02140376000227</v>
      </c>
      <c r="V56" s="66">
        <v>246.90888626264527</v>
      </c>
      <c r="W56" s="66">
        <v>274.87936488748375</v>
      </c>
      <c r="X56" s="66">
        <v>267.38577103546254</v>
      </c>
      <c r="Y56" s="66">
        <v>281.37344964255965</v>
      </c>
      <c r="Z56" s="66">
        <v>224.55184279122352</v>
      </c>
      <c r="AA56" s="66">
        <v>232.60000000000002</v>
      </c>
    </row>
    <row r="57" spans="1:27" x14ac:dyDescent="0.25">
      <c r="A57" s="72" t="s">
        <v>2</v>
      </c>
      <c r="B57" s="65"/>
      <c r="C57" s="65"/>
      <c r="D57" s="66">
        <v>1759.2408204772807</v>
      </c>
      <c r="E57" s="66">
        <v>1729.5696779128068</v>
      </c>
      <c r="F57" s="66">
        <v>1831.2114998450156</v>
      </c>
      <c r="G57" s="66">
        <v>1872.8585408131107</v>
      </c>
      <c r="H57" s="66">
        <v>1998.6980544407606</v>
      </c>
      <c r="I57" s="66">
        <v>2025.8463687683111</v>
      </c>
      <c r="J57" s="66">
        <v>2099.0744172328914</v>
      </c>
      <c r="K57" s="66">
        <v>2058.2982093141659</v>
      </c>
      <c r="L57" s="66">
        <v>2094.0906977214163</v>
      </c>
      <c r="M57" s="66">
        <v>2024.2131825164081</v>
      </c>
      <c r="N57" s="66">
        <v>2010.4778949955755</v>
      </c>
      <c r="O57" s="66">
        <v>2108.3033885786876</v>
      </c>
      <c r="P57" s="66">
        <v>2049.1647816454138</v>
      </c>
      <c r="Q57" s="66">
        <v>2010.0398374547794</v>
      </c>
      <c r="R57" s="66">
        <v>1951.5972075743048</v>
      </c>
      <c r="S57" s="66">
        <v>1918.3205219999998</v>
      </c>
      <c r="T57" s="66">
        <v>1919.4994473824941</v>
      </c>
      <c r="U57" s="66">
        <v>1922.1463817476365</v>
      </c>
      <c r="V57" s="66">
        <v>1960.6143982225583</v>
      </c>
      <c r="W57" s="66">
        <v>1969.0036442254041</v>
      </c>
      <c r="X57" s="66">
        <v>1694.3514282242534</v>
      </c>
      <c r="Y57" s="66">
        <v>1683.0255865042243</v>
      </c>
      <c r="Z57" s="66">
        <v>1717.1677256354233</v>
      </c>
      <c r="AA57" s="66">
        <v>1787.2</v>
      </c>
    </row>
    <row r="58" spans="1:27" x14ac:dyDescent="0.25">
      <c r="A58" s="72" t="s">
        <v>269</v>
      </c>
      <c r="B58" s="65"/>
      <c r="C58" s="65"/>
      <c r="D58" s="66">
        <v>330.76841478847768</v>
      </c>
      <c r="E58" s="66">
        <v>323.91897396674312</v>
      </c>
      <c r="F58" s="66">
        <v>373.56357461489739</v>
      </c>
      <c r="G58" s="66">
        <v>362.94898886437647</v>
      </c>
      <c r="H58" s="66">
        <v>404.75988857591545</v>
      </c>
      <c r="I58" s="66">
        <v>352.21133315865944</v>
      </c>
      <c r="J58" s="66">
        <v>416.3279490000794</v>
      </c>
      <c r="K58" s="66">
        <v>408.21479130331159</v>
      </c>
      <c r="L58" s="66">
        <v>403.66239074420247</v>
      </c>
      <c r="M58" s="66">
        <v>378.78003271689909</v>
      </c>
      <c r="N58" s="66">
        <v>360.33058106380889</v>
      </c>
      <c r="O58" s="66">
        <v>339.64065605089269</v>
      </c>
      <c r="P58" s="66">
        <v>299.03767219733146</v>
      </c>
      <c r="Q58" s="66">
        <v>129.35379850339461</v>
      </c>
      <c r="R58" s="66">
        <v>165.80901146532437</v>
      </c>
      <c r="S58" s="66">
        <v>162.70877199999998</v>
      </c>
      <c r="T58" s="66">
        <v>196.56892071226255</v>
      </c>
      <c r="U58" s="66">
        <v>185.38142253098661</v>
      </c>
      <c r="V58" s="66">
        <v>161.97523588919356</v>
      </c>
      <c r="W58" s="66">
        <v>313.93663009112885</v>
      </c>
      <c r="X58" s="66">
        <v>184.77979174845302</v>
      </c>
      <c r="Y58" s="66">
        <v>210.05983395729021</v>
      </c>
      <c r="Z58" s="66">
        <v>292.50979222729302</v>
      </c>
      <c r="AA58" s="66">
        <v>345.6</v>
      </c>
    </row>
    <row r="59" spans="1:27" x14ac:dyDescent="0.25">
      <c r="A59" s="72" t="s">
        <v>270</v>
      </c>
      <c r="B59" s="65"/>
      <c r="C59" s="65"/>
      <c r="D59" s="66">
        <v>1260.79258165602</v>
      </c>
      <c r="E59" s="66">
        <v>1448.6272074445483</v>
      </c>
      <c r="F59" s="66">
        <v>1558.538661204027</v>
      </c>
      <c r="G59" s="66">
        <v>1671.374873936338</v>
      </c>
      <c r="H59" s="66">
        <v>1738.6014308148665</v>
      </c>
      <c r="I59" s="66">
        <v>1734.703936117</v>
      </c>
      <c r="J59" s="66">
        <v>1916.1606576902573</v>
      </c>
      <c r="K59" s="66">
        <v>2074.2306431519537</v>
      </c>
      <c r="L59" s="66">
        <v>2068.7864881523769</v>
      </c>
      <c r="M59" s="66">
        <v>1852.9295389710135</v>
      </c>
      <c r="N59" s="66">
        <v>1622.008700226133</v>
      </c>
      <c r="O59" s="66">
        <v>1611.1728086501814</v>
      </c>
      <c r="P59" s="66">
        <v>1491.7961360838954</v>
      </c>
      <c r="Q59" s="66">
        <v>1471.0875642995193</v>
      </c>
      <c r="R59" s="66">
        <v>1561.7541526845637</v>
      </c>
      <c r="S59" s="66">
        <v>1710.8270879999998</v>
      </c>
      <c r="T59" s="66">
        <v>1987.7343197258697</v>
      </c>
      <c r="U59" s="66">
        <v>2034.3239368753084</v>
      </c>
      <c r="V59" s="66">
        <v>1997.9451177082351</v>
      </c>
      <c r="W59" s="66">
        <v>1802.7946512925419</v>
      </c>
      <c r="X59" s="66">
        <v>1979.6950208438486</v>
      </c>
      <c r="Y59" s="66">
        <v>2156.8730295014143</v>
      </c>
      <c r="Z59" s="66">
        <v>2301.0695806584949</v>
      </c>
      <c r="AA59" s="66">
        <v>2486.6</v>
      </c>
    </row>
    <row r="60" spans="1:27" x14ac:dyDescent="0.25">
      <c r="A60" s="72" t="s">
        <v>1</v>
      </c>
      <c r="B60" s="65"/>
      <c r="C60" s="65"/>
      <c r="D60" s="66">
        <v>670.3200584548631</v>
      </c>
      <c r="E60" s="66">
        <v>668.48168323843504</v>
      </c>
      <c r="F60" s="66">
        <v>683.55705718251784</v>
      </c>
      <c r="G60" s="66">
        <v>651.2550648702595</v>
      </c>
      <c r="H60" s="66">
        <v>617.295986738789</v>
      </c>
      <c r="I60" s="66">
        <v>591.9107126694139</v>
      </c>
      <c r="J60" s="66">
        <v>585.86510657123085</v>
      </c>
      <c r="K60" s="66">
        <v>572.70640552046882</v>
      </c>
      <c r="L60" s="66">
        <v>539.68925276612947</v>
      </c>
      <c r="M60" s="66">
        <v>468.25459034053506</v>
      </c>
      <c r="N60" s="66">
        <v>450.3480906498869</v>
      </c>
      <c r="O60" s="66">
        <v>462.68373659487725</v>
      </c>
      <c r="P60" s="66">
        <v>424.28905322239177</v>
      </c>
      <c r="Q60" s="66">
        <v>418.00318846325388</v>
      </c>
      <c r="R60" s="66">
        <v>434.9674546580377</v>
      </c>
      <c r="S60" s="66">
        <v>391.53454499999998</v>
      </c>
      <c r="T60" s="66">
        <v>413.47708221918509</v>
      </c>
      <c r="U60" s="66">
        <v>434.47969637449074</v>
      </c>
      <c r="V60" s="66">
        <v>438.69858939207717</v>
      </c>
      <c r="W60" s="66">
        <v>475.71009763808814</v>
      </c>
      <c r="X60" s="66">
        <v>395.31976894173062</v>
      </c>
      <c r="Y60" s="66">
        <v>415.63224651941891</v>
      </c>
      <c r="Z60" s="66">
        <v>432.33774410973228</v>
      </c>
      <c r="AA60" s="66">
        <v>380.8</v>
      </c>
    </row>
    <row r="61" spans="1:27" x14ac:dyDescent="0.25">
      <c r="A61" s="72" t="s">
        <v>0</v>
      </c>
      <c r="B61" s="65"/>
      <c r="C61" s="65"/>
      <c r="D61" s="66">
        <v>253.51592443051703</v>
      </c>
      <c r="E61" s="66">
        <v>221.63864904676919</v>
      </c>
      <c r="F61" s="66">
        <v>252.49469144620696</v>
      </c>
      <c r="G61" s="66">
        <v>269.51485318836012</v>
      </c>
      <c r="H61" s="66">
        <v>266.04168930877182</v>
      </c>
      <c r="I61" s="66">
        <v>264.6319021985089</v>
      </c>
      <c r="J61" s="66">
        <v>263.47396916864233</v>
      </c>
      <c r="K61" s="66">
        <v>312.18958195664652</v>
      </c>
      <c r="L61" s="66">
        <v>297.75958773303694</v>
      </c>
      <c r="M61" s="66">
        <v>257.85060845452551</v>
      </c>
      <c r="N61" s="66">
        <v>207.26173335955164</v>
      </c>
      <c r="O61" s="66">
        <v>214.90132943366123</v>
      </c>
      <c r="P61" s="66">
        <v>209.4046526512727</v>
      </c>
      <c r="Q61" s="66">
        <v>223.64418157490462</v>
      </c>
      <c r="R61" s="66">
        <v>257.77809603707254</v>
      </c>
      <c r="S61" s="66">
        <v>298.25524899999999</v>
      </c>
      <c r="T61" s="66">
        <v>330.93913086537123</v>
      </c>
      <c r="U61" s="66">
        <v>355.25029172431812</v>
      </c>
      <c r="V61" s="66">
        <v>359.9032116857332</v>
      </c>
      <c r="W61" s="66">
        <v>390.81907011344612</v>
      </c>
      <c r="X61" s="66">
        <v>213.01691810143382</v>
      </c>
      <c r="Y61" s="66">
        <v>306.47875312359838</v>
      </c>
      <c r="Z61" s="66">
        <v>538.63381304674249</v>
      </c>
      <c r="AA61" s="66">
        <v>519.70000000000005</v>
      </c>
    </row>
    <row r="62" spans="1:27" x14ac:dyDescent="0.25">
      <c r="A62" s="78" t="s">
        <v>271</v>
      </c>
      <c r="B62" s="79"/>
      <c r="C62" s="79"/>
      <c r="D62" s="80">
        <v>476.88940430276</v>
      </c>
      <c r="E62" s="80">
        <v>515.15503101895126</v>
      </c>
      <c r="F62" s="80">
        <v>493.20391638926708</v>
      </c>
      <c r="G62" s="80">
        <v>521.6304259901251</v>
      </c>
      <c r="H62" s="80">
        <v>502.52319091656898</v>
      </c>
      <c r="I62" s="80">
        <v>505.75148869780628</v>
      </c>
      <c r="J62" s="80">
        <v>542.87962158421908</v>
      </c>
      <c r="K62" s="80">
        <v>588.78237479823633</v>
      </c>
      <c r="L62" s="80">
        <v>575.8381235790431</v>
      </c>
      <c r="M62" s="80">
        <v>528.12456759830025</v>
      </c>
      <c r="N62" s="80">
        <v>442.14099498574376</v>
      </c>
      <c r="O62" s="80">
        <v>484.99589648143223</v>
      </c>
      <c r="P62" s="80">
        <v>464.9957520555364</v>
      </c>
      <c r="Q62" s="80">
        <v>468.82544229149113</v>
      </c>
      <c r="R62" s="80">
        <v>513.83590703899006</v>
      </c>
      <c r="S62" s="80">
        <v>571.46818699999994</v>
      </c>
      <c r="T62" s="80">
        <v>602.30396933864154</v>
      </c>
      <c r="U62" s="80">
        <v>660.8860533521688</v>
      </c>
      <c r="V62" s="80">
        <v>660.67857237401927</v>
      </c>
      <c r="W62" s="80">
        <v>680.11389250511434</v>
      </c>
      <c r="X62" s="80">
        <v>694.53423064700041</v>
      </c>
      <c r="Y62" s="80">
        <v>776.32390136294146</v>
      </c>
      <c r="Z62" s="80">
        <v>819.40744624313538</v>
      </c>
      <c r="AA62" s="80">
        <v>809.4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6.0037437093408613E-2</v>
      </c>
      <c r="E66" s="83">
        <f t="shared" ref="E66:S66" si="55">E24/E$23</f>
        <v>5.9754427500406194E-2</v>
      </c>
      <c r="F66" s="83">
        <f t="shared" si="55"/>
        <v>5.8416418843248365E-2</v>
      </c>
      <c r="G66" s="83">
        <f t="shared" si="55"/>
        <v>4.710785259502219E-2</v>
      </c>
      <c r="H66" s="83">
        <f t="shared" si="55"/>
        <v>5.2469949156889822E-2</v>
      </c>
      <c r="I66" s="83">
        <f t="shared" si="55"/>
        <v>4.587844563491169E-2</v>
      </c>
      <c r="J66" s="83">
        <f t="shared" si="55"/>
        <v>4.7350177416661053E-2</v>
      </c>
      <c r="K66" s="83">
        <f t="shared" si="55"/>
        <v>4.3720248016534437E-2</v>
      </c>
      <c r="L66" s="83">
        <f t="shared" si="55"/>
        <v>4.5958984965706988E-2</v>
      </c>
      <c r="M66" s="83">
        <f t="shared" si="55"/>
        <v>4.6656100131954058E-2</v>
      </c>
      <c r="N66" s="83">
        <f t="shared" si="55"/>
        <v>4.2947898220733596E-2</v>
      </c>
      <c r="O66" s="83">
        <f t="shared" si="55"/>
        <v>4.2469836327508857E-2</v>
      </c>
      <c r="P66" s="83">
        <f t="shared" si="55"/>
        <v>3.9023744255955929E-2</v>
      </c>
      <c r="Q66" s="83">
        <f t="shared" si="55"/>
        <v>4.1253046902204486E-2</v>
      </c>
      <c r="R66" s="83">
        <f t="shared" si="55"/>
        <v>3.5352382815259147E-2</v>
      </c>
      <c r="S66" s="83">
        <f t="shared" si="55"/>
        <v>3.5863059612161838E-2</v>
      </c>
      <c r="T66" s="83">
        <f t="shared" ref="T66:Y66" si="56">T24/T$23</f>
        <v>3.70520260639381E-2</v>
      </c>
      <c r="U66" s="83">
        <f t="shared" si="56"/>
        <v>3.5100196425634021E-2</v>
      </c>
      <c r="V66" s="83">
        <f t="shared" si="56"/>
        <v>3.6094671826782485E-2</v>
      </c>
      <c r="W66" s="83">
        <f t="shared" si="56"/>
        <v>3.5009613799923088E-2</v>
      </c>
      <c r="X66" s="83">
        <f t="shared" si="56"/>
        <v>3.779940208911492E-2</v>
      </c>
      <c r="Y66" s="83">
        <f t="shared" si="56"/>
        <v>4.0973009776463384E-2</v>
      </c>
      <c r="Z66" s="83">
        <f t="shared" ref="Z66:AA66" si="57">Z24/Z$23</f>
        <v>4.0745246743097673E-2</v>
      </c>
      <c r="AA66" s="83">
        <f t="shared" si="57"/>
        <v>4.0235550641852469E-2</v>
      </c>
    </row>
    <row r="67" spans="1:27" x14ac:dyDescent="0.25">
      <c r="A67" s="64" t="s">
        <v>56</v>
      </c>
      <c r="B67" s="65"/>
      <c r="C67" s="65"/>
      <c r="D67" s="83">
        <f t="shared" si="51"/>
        <v>6.7057311463816893E-3</v>
      </c>
      <c r="E67" s="83">
        <f t="shared" ref="E67:S67" si="58">E25/E$23</f>
        <v>5.1110646890884992E-3</v>
      </c>
      <c r="F67" s="83">
        <f t="shared" si="58"/>
        <v>6.950997749555877E-3</v>
      </c>
      <c r="G67" s="83">
        <f t="shared" si="58"/>
        <v>5.5026046691105538E-3</v>
      </c>
      <c r="H67" s="83">
        <f t="shared" si="58"/>
        <v>7.9093186601593111E-3</v>
      </c>
      <c r="I67" s="83">
        <f t="shared" si="58"/>
        <v>8.6210052768773623E-3</v>
      </c>
      <c r="J67" s="83">
        <f t="shared" si="58"/>
        <v>1.1937167252195364E-2</v>
      </c>
      <c r="K67" s="83">
        <f t="shared" si="58"/>
        <v>8.6992466164410951E-3</v>
      </c>
      <c r="L67" s="83">
        <f t="shared" si="58"/>
        <v>8.6342305778593E-3</v>
      </c>
      <c r="M67" s="83">
        <f t="shared" si="58"/>
        <v>9.9813963773261807E-3</v>
      </c>
      <c r="N67" s="83">
        <f t="shared" si="58"/>
        <v>1.0343555398483735E-2</v>
      </c>
      <c r="O67" s="83">
        <f t="shared" si="58"/>
        <v>8.8596185754962406E-3</v>
      </c>
      <c r="P67" s="83">
        <f t="shared" si="58"/>
        <v>9.9924098889487521E-3</v>
      </c>
      <c r="Q67" s="83">
        <f t="shared" si="58"/>
        <v>1.089863510000472E-2</v>
      </c>
      <c r="R67" s="83">
        <f t="shared" si="58"/>
        <v>8.590197069226882E-3</v>
      </c>
      <c r="S67" s="83">
        <f t="shared" si="58"/>
        <v>5.7906515680122578E-3</v>
      </c>
      <c r="T67" s="83">
        <f t="shared" ref="T67:Y67" si="59">T25/T$23</f>
        <v>4.1463042150274897E-3</v>
      </c>
      <c r="U67" s="83">
        <f t="shared" si="59"/>
        <v>4.1005170271995375E-3</v>
      </c>
      <c r="V67" s="83">
        <f t="shared" si="59"/>
        <v>3.8403537775017643E-3</v>
      </c>
      <c r="W67" s="83">
        <f t="shared" si="59"/>
        <v>3.6829094105367264E-3</v>
      </c>
      <c r="X67" s="83">
        <f t="shared" si="59"/>
        <v>2.2415702902607235E-3</v>
      </c>
      <c r="Y67" s="83">
        <f t="shared" si="59"/>
        <v>2.3057499639726558E-3</v>
      </c>
      <c r="Z67" s="83">
        <f t="shared" ref="Z67:AA67" si="60">Z25/Z$23</f>
        <v>2.237871535517329E-3</v>
      </c>
      <c r="AA67" s="83">
        <f t="shared" si="60"/>
        <v>2.2648173493445248E-3</v>
      </c>
    </row>
    <row r="68" spans="1:27" x14ac:dyDescent="0.25">
      <c r="A68" s="64" t="s">
        <v>146</v>
      </c>
      <c r="B68" s="65"/>
      <c r="C68" s="65"/>
      <c r="D68" s="83">
        <f t="shared" si="51"/>
        <v>0.66620329616934293</v>
      </c>
      <c r="E68" s="83">
        <f t="shared" ref="E68:S68" si="61">E26/E$23</f>
        <v>0.66831000626697301</v>
      </c>
      <c r="F68" s="83">
        <f t="shared" si="61"/>
        <v>0.67883889607226799</v>
      </c>
      <c r="G68" s="83">
        <f t="shared" si="61"/>
        <v>0.68786417132934619</v>
      </c>
      <c r="H68" s="83">
        <f t="shared" si="61"/>
        <v>0.67575307184444189</v>
      </c>
      <c r="I68" s="83">
        <f t="shared" si="61"/>
        <v>0.68742385916713333</v>
      </c>
      <c r="J68" s="83">
        <f t="shared" si="61"/>
        <v>0.68747417862385596</v>
      </c>
      <c r="K68" s="83">
        <f t="shared" si="61"/>
        <v>0.69878525235015665</v>
      </c>
      <c r="L68" s="83">
        <f t="shared" si="61"/>
        <v>0.69956780066146995</v>
      </c>
      <c r="M68" s="83">
        <f t="shared" si="61"/>
        <v>0.70245946462234077</v>
      </c>
      <c r="N68" s="83">
        <f t="shared" si="61"/>
        <v>0.72229370196729714</v>
      </c>
      <c r="O68" s="83">
        <f t="shared" si="61"/>
        <v>0.72241227441260203</v>
      </c>
      <c r="P68" s="83">
        <f t="shared" si="61"/>
        <v>0.72931732792422577</v>
      </c>
      <c r="Q68" s="83">
        <f t="shared" si="61"/>
        <v>0.73112990510321463</v>
      </c>
      <c r="R68" s="83">
        <f t="shared" si="61"/>
        <v>0.7360538340749917</v>
      </c>
      <c r="S68" s="83">
        <f t="shared" si="61"/>
        <v>0.7378892043148001</v>
      </c>
      <c r="T68" s="83">
        <f t="shared" ref="T68:Y68" si="62">T26/T$23</f>
        <v>0.73667277540215825</v>
      </c>
      <c r="U68" s="83">
        <f t="shared" si="62"/>
        <v>0.74419997482294131</v>
      </c>
      <c r="V68" s="83">
        <f t="shared" si="62"/>
        <v>0.74710750696026507</v>
      </c>
      <c r="W68" s="83">
        <f t="shared" si="62"/>
        <v>0.74110421359116618</v>
      </c>
      <c r="X68" s="83">
        <f t="shared" si="62"/>
        <v>0.74271966078681262</v>
      </c>
      <c r="Y68" s="83">
        <f t="shared" si="62"/>
        <v>0.74331823317731915</v>
      </c>
      <c r="Z68" s="83">
        <f t="shared" ref="Z68:AA68" si="63">Z26/Z$23</f>
        <v>0.74228777962293635</v>
      </c>
      <c r="AA68" s="83">
        <f t="shared" si="63"/>
        <v>0.73194465569713762</v>
      </c>
    </row>
    <row r="69" spans="1:27" x14ac:dyDescent="0.25">
      <c r="A69" s="68" t="s">
        <v>148</v>
      </c>
      <c r="B69" s="69"/>
      <c r="C69" s="69"/>
      <c r="D69" s="84">
        <f t="shared" si="51"/>
        <v>0.29015281698784823</v>
      </c>
      <c r="E69" s="84">
        <f t="shared" ref="E69:S69" si="64">E27/E$23</f>
        <v>0.27587215374973895</v>
      </c>
      <c r="F69" s="84">
        <f t="shared" si="64"/>
        <v>0.27408361261529557</v>
      </c>
      <c r="G69" s="84">
        <f t="shared" si="64"/>
        <v>0.27127918194096107</v>
      </c>
      <c r="H69" s="84">
        <f t="shared" si="64"/>
        <v>0.27389573473037693</v>
      </c>
      <c r="I69" s="84">
        <f t="shared" si="64"/>
        <v>0.26844785764216617</v>
      </c>
      <c r="J69" s="84">
        <f t="shared" si="64"/>
        <v>0.2626967918496747</v>
      </c>
      <c r="K69" s="84">
        <f t="shared" si="64"/>
        <v>0.26056937129141933</v>
      </c>
      <c r="L69" s="84">
        <f t="shared" si="64"/>
        <v>0.26043424813900629</v>
      </c>
      <c r="M69" s="84">
        <f t="shared" si="64"/>
        <v>0.27522249702018614</v>
      </c>
      <c r="N69" s="84">
        <f t="shared" si="64"/>
        <v>0.28273755372010945</v>
      </c>
      <c r="O69" s="84">
        <f t="shared" si="64"/>
        <v>0.28189974803859308</v>
      </c>
      <c r="P69" s="84">
        <f t="shared" si="64"/>
        <v>0.28707904599208084</v>
      </c>
      <c r="Q69" s="84">
        <f t="shared" si="64"/>
        <v>0.29411244743256659</v>
      </c>
      <c r="R69" s="84">
        <f t="shared" si="64"/>
        <v>0.29371301895711427</v>
      </c>
      <c r="S69" s="84">
        <f t="shared" si="64"/>
        <v>0.29490330646662943</v>
      </c>
      <c r="T69" s="84">
        <f t="shared" ref="T69:Y69" si="65">T27/T$23</f>
        <v>0.30151954795357344</v>
      </c>
      <c r="U69" s="84">
        <f t="shared" si="65"/>
        <v>0.30684732019313582</v>
      </c>
      <c r="V69" s="84">
        <f t="shared" si="65"/>
        <v>0.31079242219464837</v>
      </c>
      <c r="W69" s="84">
        <f t="shared" si="65"/>
        <v>0.30772290281821663</v>
      </c>
      <c r="X69" s="84">
        <f t="shared" si="65"/>
        <v>0.29468669231410582</v>
      </c>
      <c r="Y69" s="84">
        <f t="shared" si="65"/>
        <v>0.30185483382518463</v>
      </c>
      <c r="Z69" s="84">
        <f t="shared" ref="Z69:AA69" si="66">Z27/Z$23</f>
        <v>0.30681929187350687</v>
      </c>
      <c r="AA69" s="84">
        <f t="shared" si="66"/>
        <v>0.30120846385357175</v>
      </c>
    </row>
    <row r="70" spans="1:27" x14ac:dyDescent="0.25">
      <c r="A70" s="68" t="s">
        <v>150</v>
      </c>
      <c r="B70" s="71"/>
      <c r="C70" s="71"/>
      <c r="D70" s="84">
        <f t="shared" si="51"/>
        <v>0.24665521050693504</v>
      </c>
      <c r="E70" s="84">
        <f t="shared" ref="E70:S70" si="67">E28/E$23</f>
        <v>0.25480119768818321</v>
      </c>
      <c r="F70" s="84">
        <f t="shared" si="67"/>
        <v>0.26100105281260355</v>
      </c>
      <c r="G70" s="84">
        <f t="shared" si="67"/>
        <v>0.26468454562994409</v>
      </c>
      <c r="H70" s="84">
        <f t="shared" si="67"/>
        <v>0.2622056844494573</v>
      </c>
      <c r="I70" s="84">
        <f t="shared" si="67"/>
        <v>0.27583763114915166</v>
      </c>
      <c r="J70" s="84">
        <f t="shared" si="67"/>
        <v>0.28044431812521436</v>
      </c>
      <c r="K70" s="84">
        <f t="shared" si="67"/>
        <v>0.29678778585239018</v>
      </c>
      <c r="L70" s="84">
        <f t="shared" si="67"/>
        <v>0.29627362218167985</v>
      </c>
      <c r="M70" s="84">
        <f t="shared" si="67"/>
        <v>0.29993134304739877</v>
      </c>
      <c r="N70" s="84">
        <f t="shared" si="67"/>
        <v>0.30481501318497145</v>
      </c>
      <c r="O70" s="84">
        <f t="shared" si="67"/>
        <v>0.30575670360734991</v>
      </c>
      <c r="P70" s="84">
        <f t="shared" si="67"/>
        <v>0.30543615006687591</v>
      </c>
      <c r="Q70" s="84">
        <f t="shared" si="67"/>
        <v>0.30167412209037581</v>
      </c>
      <c r="R70" s="84">
        <f t="shared" si="67"/>
        <v>0.3047509603525187</v>
      </c>
      <c r="S70" s="84">
        <f t="shared" si="67"/>
        <v>0.30047083233580718</v>
      </c>
      <c r="T70" s="84">
        <f t="shared" ref="T70:Y70" si="68">T28/T$23</f>
        <v>0.29907350845041741</v>
      </c>
      <c r="U70" s="84">
        <f t="shared" si="68"/>
        <v>0.29948377795194825</v>
      </c>
      <c r="V70" s="84">
        <f t="shared" si="68"/>
        <v>0.29507682514495531</v>
      </c>
      <c r="W70" s="84">
        <f t="shared" si="68"/>
        <v>0.29471845300225241</v>
      </c>
      <c r="X70" s="84">
        <f t="shared" si="68"/>
        <v>0.30323848545123216</v>
      </c>
      <c r="Y70" s="84">
        <f t="shared" si="68"/>
        <v>0.29838158908778772</v>
      </c>
      <c r="Z70" s="84">
        <f t="shared" ref="Z70:AA70" si="69">Z28/Z$23</f>
        <v>0.29403145452769369</v>
      </c>
      <c r="AA70" s="84">
        <f t="shared" si="69"/>
        <v>0.28239665868189906</v>
      </c>
    </row>
    <row r="71" spans="1:27" x14ac:dyDescent="0.25">
      <c r="A71" s="68" t="s">
        <v>152</v>
      </c>
      <c r="B71" s="71"/>
      <c r="C71" s="71"/>
      <c r="D71" s="84">
        <f t="shared" si="51"/>
        <v>0.12939526867455964</v>
      </c>
      <c r="E71" s="84">
        <f t="shared" ref="E71:S71" si="70">E29/E$23</f>
        <v>0.13763665482905088</v>
      </c>
      <c r="F71" s="84">
        <f t="shared" si="70"/>
        <v>0.14375423064436907</v>
      </c>
      <c r="G71" s="84">
        <f t="shared" si="70"/>
        <v>0.15190044375844103</v>
      </c>
      <c r="H71" s="84">
        <f t="shared" si="70"/>
        <v>0.13965165266460763</v>
      </c>
      <c r="I71" s="84">
        <f t="shared" si="70"/>
        <v>0.14313837037581553</v>
      </c>
      <c r="J71" s="84">
        <f t="shared" si="70"/>
        <v>0.14433306864896703</v>
      </c>
      <c r="K71" s="84">
        <f t="shared" si="70"/>
        <v>0.14142809520634708</v>
      </c>
      <c r="L71" s="84">
        <f t="shared" si="70"/>
        <v>0.14285993034078387</v>
      </c>
      <c r="M71" s="84">
        <f t="shared" si="70"/>
        <v>0.1273056245547558</v>
      </c>
      <c r="N71" s="84">
        <f t="shared" si="70"/>
        <v>0.13474113506221599</v>
      </c>
      <c r="O71" s="84">
        <f t="shared" si="70"/>
        <v>0.13475582276665912</v>
      </c>
      <c r="P71" s="84">
        <f t="shared" si="70"/>
        <v>0.13680213186526902</v>
      </c>
      <c r="Q71" s="84">
        <f t="shared" si="70"/>
        <v>0.13534333558027228</v>
      </c>
      <c r="R71" s="84">
        <f t="shared" si="70"/>
        <v>0.13758985476535879</v>
      </c>
      <c r="S71" s="84">
        <f t="shared" si="70"/>
        <v>0.14251506551236351</v>
      </c>
      <c r="T71" s="84">
        <f t="shared" ref="T71:Y71" si="71">T29/T$23</f>
        <v>0.1360797189981674</v>
      </c>
      <c r="U71" s="84">
        <f t="shared" si="71"/>
        <v>0.13786887667785727</v>
      </c>
      <c r="V71" s="84">
        <f t="shared" si="71"/>
        <v>0.14123825962066139</v>
      </c>
      <c r="W71" s="84">
        <f t="shared" si="71"/>
        <v>0.13866285777069712</v>
      </c>
      <c r="X71" s="84">
        <f t="shared" si="71"/>
        <v>0.14479448302147474</v>
      </c>
      <c r="Y71" s="84">
        <f t="shared" si="71"/>
        <v>0.14308181026434671</v>
      </c>
      <c r="Z71" s="84">
        <f t="shared" ref="Z71:AA71" si="72">Z29/Z$23</f>
        <v>0.14143703322173579</v>
      </c>
      <c r="AA71" s="84">
        <f t="shared" si="72"/>
        <v>0.14833953316166684</v>
      </c>
    </row>
    <row r="72" spans="1:27" x14ac:dyDescent="0.25">
      <c r="A72" s="64" t="s">
        <v>154</v>
      </c>
      <c r="B72" s="65"/>
      <c r="C72" s="65"/>
      <c r="D72" s="83">
        <f t="shared" si="51"/>
        <v>4.4481832305403736E-2</v>
      </c>
      <c r="E72" s="83">
        <f t="shared" ref="E72:S72" si="73">E30/E$23</f>
        <v>3.9686187127173124E-2</v>
      </c>
      <c r="F72" s="83">
        <f t="shared" si="73"/>
        <v>3.3612477732941085E-2</v>
      </c>
      <c r="G72" s="83">
        <f t="shared" si="73"/>
        <v>3.4435655026046695E-2</v>
      </c>
      <c r="H72" s="83">
        <f t="shared" si="73"/>
        <v>3.9933099321506252E-2</v>
      </c>
      <c r="I72" s="83">
        <f t="shared" si="73"/>
        <v>3.7150165659491238E-2</v>
      </c>
      <c r="J72" s="83">
        <f t="shared" si="73"/>
        <v>3.2295399473170672E-2</v>
      </c>
      <c r="K72" s="83">
        <f t="shared" si="73"/>
        <v>2.8089872658177212E-2</v>
      </c>
      <c r="L72" s="83">
        <f t="shared" si="73"/>
        <v>2.4117308461545969E-2</v>
      </c>
      <c r="M72" s="83">
        <f t="shared" si="73"/>
        <v>3.1660128528233487E-2</v>
      </c>
      <c r="N72" s="83">
        <f t="shared" si="73"/>
        <v>3.915382298182072E-2</v>
      </c>
      <c r="O72" s="83">
        <f t="shared" si="73"/>
        <v>4.3642583526230613E-2</v>
      </c>
      <c r="P72" s="83">
        <f t="shared" si="73"/>
        <v>4.6891313661406017E-2</v>
      </c>
      <c r="Q72" s="83">
        <f t="shared" si="73"/>
        <v>4.6437428242927695E-2</v>
      </c>
      <c r="R72" s="83">
        <f t="shared" si="73"/>
        <v>4.4350084489288066E-2</v>
      </c>
      <c r="S72" s="83">
        <f t="shared" si="73"/>
        <v>4.2559603591025848E-2</v>
      </c>
      <c r="T72" s="83">
        <f t="shared" ref="T72:Y72" si="74">T30/T$23</f>
        <v>3.9470067196090412E-2</v>
      </c>
      <c r="U72" s="83">
        <f t="shared" si="74"/>
        <v>3.5304741006158762E-2</v>
      </c>
      <c r="V72" s="83">
        <f t="shared" si="74"/>
        <v>3.0890407456023568E-2</v>
      </c>
      <c r="W72" s="83">
        <f t="shared" si="74"/>
        <v>3.332417733340659E-2</v>
      </c>
      <c r="X72" s="83">
        <f t="shared" si="74"/>
        <v>2.0657701973582347E-2</v>
      </c>
      <c r="Y72" s="83">
        <f t="shared" si="74"/>
        <v>2.5237937105657221E-2</v>
      </c>
      <c r="Z72" s="83">
        <f t="shared" ref="Z72:AA72" si="75">Z30/Z$23</f>
        <v>3.127869493015531E-2</v>
      </c>
      <c r="AA72" s="83">
        <f t="shared" si="75"/>
        <v>3.2825721351896313E-2</v>
      </c>
    </row>
    <row r="73" spans="1:27" x14ac:dyDescent="0.25">
      <c r="A73" s="64" t="s">
        <v>37</v>
      </c>
      <c r="B73" s="65"/>
      <c r="C73" s="65"/>
      <c r="D73" s="83">
        <f t="shared" si="51"/>
        <v>4.8576163004787037E-2</v>
      </c>
      <c r="E73" s="83">
        <f t="shared" ref="E73:S73" si="76">E31/E$23</f>
        <v>5.4193069192024705E-2</v>
      </c>
      <c r="F73" s="83">
        <f t="shared" si="76"/>
        <v>5.4276474461954029E-2</v>
      </c>
      <c r="G73" s="83">
        <f t="shared" si="76"/>
        <v>6.4808026239629571E-2</v>
      </c>
      <c r="H73" s="83">
        <f t="shared" si="76"/>
        <v>6.6549309384014821E-2</v>
      </c>
      <c r="I73" s="83">
        <f t="shared" si="76"/>
        <v>7.1526822558459421E-2</v>
      </c>
      <c r="J73" s="83">
        <f t="shared" si="76"/>
        <v>7.4198548435774003E-2</v>
      </c>
      <c r="K73" s="83">
        <f t="shared" si="76"/>
        <v>7.4754316954463634E-2</v>
      </c>
      <c r="L73" s="83">
        <f t="shared" si="76"/>
        <v>7.7500756104937604E-2</v>
      </c>
      <c r="M73" s="83">
        <f t="shared" si="76"/>
        <v>7.1990260411482293E-2</v>
      </c>
      <c r="N73" s="83">
        <f t="shared" si="76"/>
        <v>5.4385124174497777E-2</v>
      </c>
      <c r="O73" s="83">
        <f t="shared" si="76"/>
        <v>4.9744453776348403E-2</v>
      </c>
      <c r="P73" s="83">
        <f t="shared" si="76"/>
        <v>4.3097215049064393E-2</v>
      </c>
      <c r="Q73" s="83">
        <f t="shared" si="76"/>
        <v>4.3497709800980375E-2</v>
      </c>
      <c r="R73" s="83">
        <f t="shared" si="76"/>
        <v>4.3249822056322572E-2</v>
      </c>
      <c r="S73" s="83">
        <f t="shared" si="76"/>
        <v>4.4239619078019841E-2</v>
      </c>
      <c r="T73" s="83">
        <f t="shared" ref="T73:Y73" si="77">T31/T$23</f>
        <v>4.5502443494196708E-2</v>
      </c>
      <c r="U73" s="83">
        <f t="shared" si="77"/>
        <v>4.5932634716053675E-2</v>
      </c>
      <c r="V73" s="83">
        <f t="shared" si="77"/>
        <v>5.0045896739255788E-2</v>
      </c>
      <c r="W73" s="83">
        <f t="shared" si="77"/>
        <v>5.5028292039773663E-2</v>
      </c>
      <c r="X73" s="83">
        <f t="shared" si="77"/>
        <v>6.0998820853035408E-2</v>
      </c>
      <c r="Y73" s="83">
        <f t="shared" si="77"/>
        <v>6.0603212594741461E-2</v>
      </c>
      <c r="Z73" s="83">
        <f t="shared" ref="Z73:AA73" si="78">Z31/Z$23</f>
        <v>5.9452787126910406E-2</v>
      </c>
      <c r="AA73" s="83">
        <f t="shared" si="78"/>
        <v>6.9046741600638784E-2</v>
      </c>
    </row>
    <row r="74" spans="1:27" x14ac:dyDescent="0.25">
      <c r="A74" s="64" t="s">
        <v>58</v>
      </c>
      <c r="B74" s="65"/>
      <c r="C74" s="65"/>
      <c r="D74" s="83">
        <f t="shared" si="51"/>
        <v>0.1739955402806759</v>
      </c>
      <c r="E74" s="83">
        <f t="shared" ref="E74:S74" si="79">E32/E$23</f>
        <v>0.17294524522433444</v>
      </c>
      <c r="F74" s="83">
        <f t="shared" si="79"/>
        <v>0.16790473514003243</v>
      </c>
      <c r="G74" s="83">
        <f t="shared" si="79"/>
        <v>0.16028169014084509</v>
      </c>
      <c r="H74" s="83">
        <f t="shared" si="79"/>
        <v>0.15738525163298794</v>
      </c>
      <c r="I74" s="83">
        <f t="shared" si="79"/>
        <v>0.14939970170312694</v>
      </c>
      <c r="J74" s="83">
        <f t="shared" si="79"/>
        <v>0.14674452879834277</v>
      </c>
      <c r="K74" s="83">
        <f t="shared" si="79"/>
        <v>0.14595106340422695</v>
      </c>
      <c r="L74" s="83">
        <f t="shared" si="79"/>
        <v>0.14422091922848027</v>
      </c>
      <c r="M74" s="83">
        <f t="shared" si="79"/>
        <v>0.1372526499286631</v>
      </c>
      <c r="N74" s="83">
        <f t="shared" si="79"/>
        <v>0.1308758972571672</v>
      </c>
      <c r="O74" s="83">
        <f t="shared" si="79"/>
        <v>0.13287123338181375</v>
      </c>
      <c r="P74" s="83">
        <f t="shared" si="79"/>
        <v>0.13167798922039914</v>
      </c>
      <c r="Q74" s="83">
        <f t="shared" si="79"/>
        <v>0.12678327485066831</v>
      </c>
      <c r="R74" s="83">
        <f t="shared" si="79"/>
        <v>0.13240367949491164</v>
      </c>
      <c r="S74" s="83">
        <f t="shared" si="79"/>
        <v>0.13365786183598008</v>
      </c>
      <c r="T74" s="83">
        <f t="shared" ref="T74:Y74" si="80">T32/T$23</f>
        <v>0.13715638362858887</v>
      </c>
      <c r="U74" s="83">
        <f t="shared" si="80"/>
        <v>0.13536193600201266</v>
      </c>
      <c r="V74" s="83">
        <f t="shared" si="80"/>
        <v>0.13202116324017146</v>
      </c>
      <c r="W74" s="83">
        <f t="shared" si="80"/>
        <v>0.13185079382519363</v>
      </c>
      <c r="X74" s="83">
        <f t="shared" si="80"/>
        <v>0.135582844007194</v>
      </c>
      <c r="Y74" s="83">
        <f t="shared" si="80"/>
        <v>0.12756185738184597</v>
      </c>
      <c r="Z74" s="83">
        <f t="shared" ref="Z74:AA74" si="81">Z32/Z$23</f>
        <v>0.12399762004138286</v>
      </c>
      <c r="AA74" s="83">
        <f t="shared" si="81"/>
        <v>0.12368251335913029</v>
      </c>
    </row>
    <row r="75" spans="1:27" x14ac:dyDescent="0.25">
      <c r="A75" s="85" t="s">
        <v>158</v>
      </c>
      <c r="B75" s="86"/>
      <c r="C75" s="86"/>
      <c r="D75" s="87">
        <f t="shared" si="51"/>
        <v>2.5060349412871813E-3</v>
      </c>
      <c r="E75" s="87">
        <f t="shared" ref="E75:S75" si="82">E33/E$23</f>
        <v>2.3582387484622704E-3</v>
      </c>
      <c r="F75" s="87">
        <f t="shared" si="82"/>
        <v>3.112298612887936E-3</v>
      </c>
      <c r="G75" s="87">
        <f t="shared" si="82"/>
        <v>2.3731429673934015E-3</v>
      </c>
      <c r="H75" s="87">
        <f t="shared" si="82"/>
        <v>2.083618820734994E-3</v>
      </c>
      <c r="I75" s="87">
        <f t="shared" si="82"/>
        <v>2.6350630901107821E-3</v>
      </c>
      <c r="J75" s="87">
        <f t="shared" si="82"/>
        <v>3.0033373670840086E-3</v>
      </c>
      <c r="K75" s="87">
        <f t="shared" si="82"/>
        <v>2.3841589439295954E-3</v>
      </c>
      <c r="L75" s="87">
        <f t="shared" si="82"/>
        <v>1.7219680192001872E-3</v>
      </c>
      <c r="M75" s="87">
        <f t="shared" si="82"/>
        <v>1.4956495994160328E-3</v>
      </c>
      <c r="N75" s="87">
        <f t="shared" si="82"/>
        <v>2.0193892116437779E-3</v>
      </c>
      <c r="O75" s="87">
        <f t="shared" si="82"/>
        <v>2.1534506421943176E-3</v>
      </c>
      <c r="P75" s="87">
        <f t="shared" si="82"/>
        <v>1.856633957066995E-3</v>
      </c>
      <c r="Q75" s="87">
        <f t="shared" si="82"/>
        <v>1.8455521924302897E-3</v>
      </c>
      <c r="R75" s="87">
        <f t="shared" si="82"/>
        <v>1.8989714583774798E-3</v>
      </c>
      <c r="S75" s="87">
        <f t="shared" si="82"/>
        <v>1.5880616072141091E-3</v>
      </c>
      <c r="T75" s="87">
        <f t="shared" ref="T75:Y75" si="83">T33/T$23</f>
        <v>1.5628181633068621E-3</v>
      </c>
      <c r="U75" s="87">
        <f t="shared" si="83"/>
        <v>1.4490019061995023E-3</v>
      </c>
      <c r="V75" s="87">
        <f t="shared" si="83"/>
        <v>1.6098454271625668E-3</v>
      </c>
      <c r="W75" s="87">
        <f t="shared" si="83"/>
        <v>2.6369279789045757E-3</v>
      </c>
      <c r="X75" s="87">
        <f t="shared" si="83"/>
        <v>1.0457485201110066E-3</v>
      </c>
      <c r="Y75" s="87">
        <f t="shared" si="83"/>
        <v>6.0149999060156271E-4</v>
      </c>
      <c r="Z75" s="87">
        <f t="shared" ref="Z75:AA75" si="84">Z33/Z$23</f>
        <v>9.5375953537524315E-4</v>
      </c>
      <c r="AA75" s="87">
        <f t="shared" si="84"/>
        <v>9.9656040783735662E-4</v>
      </c>
    </row>
    <row r="76" spans="1:27" x14ac:dyDescent="0.25">
      <c r="A76" s="88" t="s">
        <v>5</v>
      </c>
      <c r="B76" s="44"/>
      <c r="C76" s="44"/>
      <c r="D76" s="89">
        <f t="shared" si="51"/>
        <v>6.3139490076881638E-4</v>
      </c>
      <c r="E76" s="89">
        <f t="shared" ref="E76:S76" si="85">E34/E$23</f>
        <v>5.9415768553080291E-4</v>
      </c>
      <c r="F76" s="89">
        <f t="shared" si="85"/>
        <v>7.8414288702533788E-4</v>
      </c>
      <c r="G76" s="89">
        <f t="shared" si="85"/>
        <v>6.8746724750391676E-4</v>
      </c>
      <c r="H76" s="89">
        <f t="shared" si="85"/>
        <v>6.0359603918485184E-4</v>
      </c>
      <c r="I76" s="89">
        <f t="shared" si="85"/>
        <v>7.6334194544855024E-4</v>
      </c>
      <c r="J76" s="89">
        <f t="shared" si="85"/>
        <v>8.7002599567050619E-4</v>
      </c>
      <c r="K76" s="89">
        <f t="shared" si="85"/>
        <v>6.9065842611049804E-4</v>
      </c>
      <c r="L76" s="89">
        <f t="shared" si="85"/>
        <v>4.9883071973096311E-4</v>
      </c>
      <c r="M76" s="89">
        <f t="shared" si="85"/>
        <v>3.2849973906728318E-4</v>
      </c>
      <c r="N76" s="89">
        <f t="shared" si="85"/>
        <v>1.2184165583598418E-3</v>
      </c>
      <c r="O76" s="89">
        <f t="shared" si="85"/>
        <v>1.0072162163043813E-3</v>
      </c>
      <c r="P76" s="89">
        <f t="shared" si="85"/>
        <v>5.5447003507409765E-4</v>
      </c>
      <c r="Q76" s="89">
        <f t="shared" si="85"/>
        <v>9.334763189225272E-4</v>
      </c>
      <c r="R76" s="89">
        <f t="shared" si="85"/>
        <v>1.3723784183002055E-3</v>
      </c>
      <c r="S76" s="89">
        <f t="shared" si="85"/>
        <v>9.806176374087055E-4</v>
      </c>
      <c r="T76" s="89">
        <f t="shared" ref="T76:Y76" si="86">T34/T$23</f>
        <v>1.0472826837615236E-3</v>
      </c>
      <c r="U76" s="89">
        <f t="shared" si="86"/>
        <v>7.5235900111501376E-4</v>
      </c>
      <c r="V76" s="89">
        <f t="shared" si="86"/>
        <v>4.4693463186568598E-4</v>
      </c>
      <c r="W76" s="89">
        <f t="shared" si="86"/>
        <v>1.2340557237166734E-3</v>
      </c>
      <c r="X76" s="89">
        <f t="shared" si="86"/>
        <v>4.7280392138874399E-4</v>
      </c>
      <c r="Y76" s="89">
        <f t="shared" si="86"/>
        <v>2.274801475454109E-4</v>
      </c>
      <c r="Z76" s="89">
        <f t="shared" ref="Z76:AA76" si="87">Z34/Z$23</f>
        <v>4.9140600741358245E-4</v>
      </c>
      <c r="AA76" s="89">
        <f t="shared" si="87"/>
        <v>4.2679907438302671E-4</v>
      </c>
    </row>
    <row r="77" spans="1:27" x14ac:dyDescent="0.25">
      <c r="A77" s="88" t="s">
        <v>263</v>
      </c>
      <c r="B77" s="44"/>
      <c r="C77" s="44"/>
      <c r="D77" s="89">
        <f>D37/D$23</f>
        <v>1.874640040518365E-3</v>
      </c>
      <c r="E77" s="89">
        <f t="shared" ref="E77:S77" si="88">E37/E$23</f>
        <v>1.7640810629314676E-3</v>
      </c>
      <c r="F77" s="89">
        <f t="shared" si="88"/>
        <v>2.328155725862598E-3</v>
      </c>
      <c r="G77" s="89">
        <f t="shared" si="88"/>
        <v>1.6856757198894848E-3</v>
      </c>
      <c r="H77" s="89">
        <f t="shared" si="88"/>
        <v>1.4800227815501422E-3</v>
      </c>
      <c r="I77" s="89">
        <f t="shared" si="88"/>
        <v>1.8717211446622319E-3</v>
      </c>
      <c r="J77" s="89">
        <f t="shared" si="88"/>
        <v>2.1333113714135021E-3</v>
      </c>
      <c r="K77" s="89">
        <f t="shared" si="88"/>
        <v>1.6935005178190974E-3</v>
      </c>
      <c r="L77" s="89">
        <f t="shared" si="88"/>
        <v>1.223137299469224E-3</v>
      </c>
      <c r="M77" s="89">
        <f t="shared" si="88"/>
        <v>1.1671498603487498E-3</v>
      </c>
      <c r="N77" s="89">
        <f t="shared" si="88"/>
        <v>8.0097265328393633E-4</v>
      </c>
      <c r="O77" s="89">
        <f t="shared" si="88"/>
        <v>1.1462344258899363E-3</v>
      </c>
      <c r="P77" s="89">
        <f t="shared" si="88"/>
        <v>1.3021639219928972E-3</v>
      </c>
      <c r="Q77" s="89">
        <f t="shared" si="88"/>
        <v>9.1207587350776258E-4</v>
      </c>
      <c r="R77" s="89">
        <f t="shared" si="88"/>
        <v>5.2659304007727429E-4</v>
      </c>
      <c r="S77" s="89">
        <f t="shared" si="88"/>
        <v>6.0744396980540356E-4</v>
      </c>
      <c r="T77" s="89">
        <f t="shared" ref="T77:Y77" si="89">T37/T$23</f>
        <v>5.1553547954533835E-4</v>
      </c>
      <c r="U77" s="89">
        <f t="shared" si="89"/>
        <v>6.9664290508448861E-4</v>
      </c>
      <c r="V77" s="89">
        <f t="shared" si="89"/>
        <v>1.1629107952968807E-3</v>
      </c>
      <c r="W77" s="89">
        <f t="shared" si="89"/>
        <v>1.4028722551879026E-3</v>
      </c>
      <c r="X77" s="89">
        <f t="shared" si="89"/>
        <v>5.7294459872226256E-4</v>
      </c>
      <c r="Y77" s="89">
        <f t="shared" si="89"/>
        <v>3.7401984305615181E-4</v>
      </c>
      <c r="Z77" s="89">
        <f t="shared" ref="Z77:AA77" si="90">Z37/Z$23</f>
        <v>4.6235352796166065E-4</v>
      </c>
      <c r="AA77" s="89">
        <f t="shared" si="90"/>
        <v>5.697613334543298E-4</v>
      </c>
    </row>
    <row r="78" spans="1:27" x14ac:dyDescent="0.25">
      <c r="A78" s="68" t="s">
        <v>265</v>
      </c>
      <c r="B78" s="44"/>
      <c r="C78" s="44"/>
      <c r="D78" s="89">
        <f>D43/D$23</f>
        <v>2.8144306697761957E-2</v>
      </c>
      <c r="E78" s="89">
        <f t="shared" ref="E78:S78" si="91">E43/E$23</f>
        <v>2.7648956665041895E-2</v>
      </c>
      <c r="F78" s="89">
        <f t="shared" si="91"/>
        <v>2.0586471148320736E-2</v>
      </c>
      <c r="G78" s="89">
        <f t="shared" si="91"/>
        <v>1.7044182905653099E-2</v>
      </c>
      <c r="H78" s="89">
        <f t="shared" si="91"/>
        <v>1.6124328445789021E-2</v>
      </c>
      <c r="I78" s="89">
        <f t="shared" si="91"/>
        <v>1.4876187469598524E-2</v>
      </c>
      <c r="J78" s="89">
        <f t="shared" si="91"/>
        <v>1.06303492368593E-2</v>
      </c>
      <c r="K78" s="89">
        <f t="shared" si="91"/>
        <v>1.1366091072738182E-2</v>
      </c>
      <c r="L78" s="89">
        <f t="shared" si="91"/>
        <v>1.3463545985814496E-2</v>
      </c>
      <c r="M78" s="89">
        <f t="shared" si="91"/>
        <v>1.1868209278642581E-2</v>
      </c>
      <c r="N78" s="89">
        <f t="shared" si="91"/>
        <v>1.4199791398119508E-2</v>
      </c>
      <c r="O78" s="89">
        <f t="shared" si="91"/>
        <v>1.3676075957146075E-2</v>
      </c>
      <c r="P78" s="89">
        <f t="shared" si="91"/>
        <v>1.5144412220412381E-2</v>
      </c>
      <c r="Q78" s="89">
        <f t="shared" si="91"/>
        <v>1.4279591782069482E-2</v>
      </c>
      <c r="R78" s="89">
        <f t="shared" si="91"/>
        <v>1.4949985601503962E-2</v>
      </c>
      <c r="S78" s="89">
        <f t="shared" si="91"/>
        <v>1.4797967706753916E-2</v>
      </c>
      <c r="T78" s="89">
        <f t="shared" ref="T78:Y78" si="92">T43/T$23</f>
        <v>1.3882101405009166E-2</v>
      </c>
      <c r="U78" s="89">
        <f t="shared" si="92"/>
        <v>1.2745894897771583E-2</v>
      </c>
      <c r="V78" s="89">
        <f t="shared" si="92"/>
        <v>1.1762480914798127E-2</v>
      </c>
      <c r="W78" s="89">
        <f t="shared" si="92"/>
        <v>1.3033016535735867E-2</v>
      </c>
      <c r="X78" s="89">
        <f t="shared" si="92"/>
        <v>1.6115008516061409E-2</v>
      </c>
      <c r="Y78" s="89">
        <f t="shared" si="92"/>
        <v>1.2025822728763185E-2</v>
      </c>
      <c r="Z78" s="89">
        <f t="shared" ref="Z78:AA78" si="93">Z43/Z$23</f>
        <v>9.9993783690179115E-3</v>
      </c>
      <c r="AA78" s="89">
        <f t="shared" si="93"/>
        <v>9.46809164056262E-3</v>
      </c>
    </row>
    <row r="79" spans="1:27" x14ac:dyDescent="0.25">
      <c r="A79" s="88" t="s">
        <v>266</v>
      </c>
      <c r="B79" s="44"/>
      <c r="C79" s="44"/>
      <c r="D79" s="89">
        <f>D44/D$23</f>
        <v>1.0868008673949511E-2</v>
      </c>
      <c r="E79" s="89">
        <f t="shared" ref="E79:S79" si="94">E44/E$23</f>
        <v>1.0621358772601721E-2</v>
      </c>
      <c r="F79" s="89">
        <f t="shared" si="94"/>
        <v>7.6926626092135774E-3</v>
      </c>
      <c r="G79" s="89">
        <f t="shared" si="94"/>
        <v>6.1161489484854335E-3</v>
      </c>
      <c r="H79" s="89">
        <f t="shared" si="94"/>
        <v>5.8959736613715353E-3</v>
      </c>
      <c r="I79" s="89">
        <f t="shared" si="94"/>
        <v>6.0142576885535816E-3</v>
      </c>
      <c r="J79" s="89">
        <f t="shared" si="94"/>
        <v>4.5445622013144367E-3</v>
      </c>
      <c r="K79" s="89">
        <f t="shared" si="94"/>
        <v>4.8669911327421829E-3</v>
      </c>
      <c r="L79" s="89">
        <f t="shared" si="94"/>
        <v>5.0073659255212254E-3</v>
      </c>
      <c r="M79" s="89">
        <f t="shared" si="94"/>
        <v>4.7268652868916261E-3</v>
      </c>
      <c r="N79" s="89">
        <f t="shared" si="94"/>
        <v>5.3893090254909454E-3</v>
      </c>
      <c r="O79" s="89">
        <f t="shared" si="94"/>
        <v>5.290165311264518E-3</v>
      </c>
      <c r="P79" s="89">
        <f t="shared" si="94"/>
        <v>5.4692569491345865E-3</v>
      </c>
      <c r="Q79" s="89">
        <f t="shared" si="94"/>
        <v>4.5562906811667959E-3</v>
      </c>
      <c r="R79" s="89">
        <f t="shared" si="94"/>
        <v>4.4445168897075202E-3</v>
      </c>
      <c r="S79" s="89">
        <f t="shared" si="94"/>
        <v>4.8040858670497164E-3</v>
      </c>
      <c r="T79" s="89">
        <f t="shared" ref="T79:Y79" si="95">T44/T$23</f>
        <v>4.2786601506821422E-3</v>
      </c>
      <c r="U79" s="89">
        <f t="shared" si="95"/>
        <v>3.9406078550901329E-3</v>
      </c>
      <c r="V79" s="89">
        <f t="shared" si="95"/>
        <v>3.1804825846091403E-3</v>
      </c>
      <c r="W79" s="89">
        <f t="shared" si="95"/>
        <v>4.7706422018348625E-3</v>
      </c>
      <c r="X79" s="89">
        <f t="shared" si="95"/>
        <v>5.7790111840302994E-3</v>
      </c>
      <c r="Y79" s="89">
        <f t="shared" si="95"/>
        <v>4.2146770174790052E-3</v>
      </c>
      <c r="Z79" s="89">
        <f t="shared" ref="Z79:AA79" si="96">Z44/Z$23</f>
        <v>2.687221931141048E-3</v>
      </c>
      <c r="AA79" s="89">
        <f t="shared" si="96"/>
        <v>2.5643387998280204E-3</v>
      </c>
    </row>
    <row r="80" spans="1:27" x14ac:dyDescent="0.25">
      <c r="A80" s="88" t="s">
        <v>11</v>
      </c>
      <c r="B80" s="44"/>
      <c r="C80" s="44"/>
      <c r="D80" s="89">
        <f>D47/D$23</f>
        <v>1.7276298023812448E-2</v>
      </c>
      <c r="E80" s="89">
        <f t="shared" ref="E80:S80" si="97">E47/E$23</f>
        <v>1.7027597892440172E-2</v>
      </c>
      <c r="F80" s="89">
        <f t="shared" si="97"/>
        <v>1.2893808539107161E-2</v>
      </c>
      <c r="G80" s="89">
        <f t="shared" si="97"/>
        <v>1.0928033957167665E-2</v>
      </c>
      <c r="H80" s="89">
        <f t="shared" si="97"/>
        <v>1.0228354784417484E-2</v>
      </c>
      <c r="I80" s="89">
        <f t="shared" si="97"/>
        <v>8.8619297810449416E-3</v>
      </c>
      <c r="J80" s="89">
        <f t="shared" si="97"/>
        <v>6.0857870355448644E-3</v>
      </c>
      <c r="K80" s="89">
        <f t="shared" si="97"/>
        <v>6.4990999399959989E-3</v>
      </c>
      <c r="L80" s="89">
        <f t="shared" si="97"/>
        <v>8.456180060293271E-3</v>
      </c>
      <c r="M80" s="89">
        <f t="shared" si="97"/>
        <v>7.1413439917509553E-3</v>
      </c>
      <c r="N80" s="89">
        <f t="shared" si="97"/>
        <v>8.8104823726285631E-3</v>
      </c>
      <c r="O80" s="89">
        <f t="shared" si="97"/>
        <v>8.3859106458815582E-3</v>
      </c>
      <c r="P80" s="89">
        <f t="shared" si="97"/>
        <v>9.6751552712777932E-3</v>
      </c>
      <c r="Q80" s="89">
        <f t="shared" si="97"/>
        <v>9.7233011009026874E-3</v>
      </c>
      <c r="R80" s="89">
        <f t="shared" si="97"/>
        <v>1.0505468711796443E-2</v>
      </c>
      <c r="S80" s="89">
        <f t="shared" si="97"/>
        <v>9.9938818397041999E-3</v>
      </c>
      <c r="T80" s="89">
        <f t="shared" ref="T80:Y80" si="98">T47/T$23</f>
        <v>9.603441254327022E-3</v>
      </c>
      <c r="U80" s="89">
        <f t="shared" si="98"/>
        <v>8.8052870426814506E-3</v>
      </c>
      <c r="V80" s="89">
        <f t="shared" si="98"/>
        <v>8.5819983301889859E-3</v>
      </c>
      <c r="W80" s="89">
        <f t="shared" si="98"/>
        <v>8.2623743339010052E-3</v>
      </c>
      <c r="X80" s="89">
        <f t="shared" si="98"/>
        <v>1.0335997332031109E-2</v>
      </c>
      <c r="Y80" s="89">
        <f t="shared" si="98"/>
        <v>7.811145711284182E-3</v>
      </c>
      <c r="Z80" s="89">
        <f t="shared" ref="Z80:AA80" si="99">Z47/Z$23</f>
        <v>7.3121564378768643E-3</v>
      </c>
      <c r="AA80" s="89">
        <f t="shared" si="99"/>
        <v>6.9037528407345991E-3</v>
      </c>
    </row>
    <row r="81" spans="1:27" x14ac:dyDescent="0.25">
      <c r="A81" s="68" t="s">
        <v>4</v>
      </c>
      <c r="B81" s="44"/>
      <c r="C81" s="44"/>
      <c r="D81" s="89">
        <f>D48/D$23</f>
        <v>1.1931794934740805E-2</v>
      </c>
      <c r="E81" s="89">
        <f t="shared" ref="E81:S81" si="100">E48/E$23</f>
        <v>1.2055799271174244E-2</v>
      </c>
      <c r="F81" s="89">
        <f t="shared" si="100"/>
        <v>1.3116115582884873E-2</v>
      </c>
      <c r="G81" s="89">
        <f t="shared" si="100"/>
        <v>1.327802431024503E-2</v>
      </c>
      <c r="H81" s="89">
        <f t="shared" si="100"/>
        <v>1.3359053552166017E-2</v>
      </c>
      <c r="I81" s="89">
        <f t="shared" si="100"/>
        <v>1.2572923277142276E-2</v>
      </c>
      <c r="J81" s="89">
        <f t="shared" si="100"/>
        <v>1.2637457623642274E-2</v>
      </c>
      <c r="K81" s="89">
        <f t="shared" si="100"/>
        <v>1.3030202013467563E-2</v>
      </c>
      <c r="L81" s="89">
        <f t="shared" si="100"/>
        <v>1.2358657157630806E-2</v>
      </c>
      <c r="M81" s="89">
        <f t="shared" si="100"/>
        <v>1.0696702169202378E-2</v>
      </c>
      <c r="N81" s="89">
        <f t="shared" si="100"/>
        <v>7.8879187734004416E-3</v>
      </c>
      <c r="O81" s="89">
        <f t="shared" si="100"/>
        <v>7.8046582133273253E-3</v>
      </c>
      <c r="P81" s="89">
        <f t="shared" si="100"/>
        <v>7.8847350787281667E-3</v>
      </c>
      <c r="Q81" s="89">
        <f t="shared" si="100"/>
        <v>7.8402485736479791E-3</v>
      </c>
      <c r="R81" s="89">
        <f t="shared" si="100"/>
        <v>8.1854091617901935E-3</v>
      </c>
      <c r="S81" s="89">
        <f t="shared" si="100"/>
        <v>8.2940973053494006E-3</v>
      </c>
      <c r="T81" s="89">
        <f t="shared" ref="T81:Y81" si="101">T48/T$23</f>
        <v>8.7889431887599248E-3</v>
      </c>
      <c r="U81" s="89">
        <f t="shared" si="101"/>
        <v>8.6286974948474541E-3</v>
      </c>
      <c r="V81" s="89">
        <f t="shared" si="101"/>
        <v>8.7111549833710812E-3</v>
      </c>
      <c r="W81" s="89">
        <f t="shared" si="101"/>
        <v>7.8162940174696487E-3</v>
      </c>
      <c r="X81" s="89">
        <f t="shared" si="101"/>
        <v>1.0233566383591989E-2</v>
      </c>
      <c r="Y81" s="89">
        <f t="shared" si="101"/>
        <v>9.3587550621027846E-3</v>
      </c>
      <c r="Z81" s="89">
        <f t="shared" ref="Z81:AA81" si="102">Z48/Z$23</f>
        <v>9.0491710106831713E-3</v>
      </c>
      <c r="AA81" s="89">
        <f t="shared" si="102"/>
        <v>9.735274246053683E-3</v>
      </c>
    </row>
    <row r="82" spans="1:27" x14ac:dyDescent="0.25">
      <c r="A82" s="68" t="s">
        <v>3</v>
      </c>
      <c r="B82" s="44"/>
      <c r="C82" s="44"/>
      <c r="D82" s="89">
        <f>D52/D$23</f>
        <v>9.6763634875823411E-3</v>
      </c>
      <c r="E82" s="89">
        <f t="shared" ref="E82:S82" si="103">E52/E$23</f>
        <v>9.4933036232388666E-3</v>
      </c>
      <c r="F82" s="89">
        <f t="shared" si="103"/>
        <v>9.1187832674102052E-3</v>
      </c>
      <c r="G82" s="89">
        <f t="shared" si="103"/>
        <v>8.9446266640941536E-3</v>
      </c>
      <c r="H82" s="89">
        <f t="shared" si="103"/>
        <v>8.2009550212402624E-3</v>
      </c>
      <c r="I82" s="89">
        <f t="shared" si="103"/>
        <v>7.5476195845104671E-3</v>
      </c>
      <c r="J82" s="89">
        <f t="shared" si="103"/>
        <v>6.9384418392731051E-3</v>
      </c>
      <c r="K82" s="89">
        <f t="shared" si="103"/>
        <v>7.4244949663310874E-3</v>
      </c>
      <c r="L82" s="89">
        <f t="shared" si="103"/>
        <v>7.7390998936574997E-3</v>
      </c>
      <c r="M82" s="89">
        <f t="shared" si="103"/>
        <v>6.7814692587856631E-3</v>
      </c>
      <c r="N82" s="89">
        <f t="shared" si="103"/>
        <v>6.5886417044875032E-3</v>
      </c>
      <c r="O82" s="89">
        <f t="shared" si="103"/>
        <v>6.7650613515783439E-3</v>
      </c>
      <c r="P82" s="89">
        <f t="shared" si="103"/>
        <v>6.5366228331545564E-3</v>
      </c>
      <c r="Q82" s="89">
        <f t="shared" si="103"/>
        <v>6.5250582594487449E-3</v>
      </c>
      <c r="R82" s="89">
        <f t="shared" si="103"/>
        <v>7.0661298472672737E-3</v>
      </c>
      <c r="S82" s="89">
        <f t="shared" si="103"/>
        <v>7.5306573032213435E-3</v>
      </c>
      <c r="T82" s="89">
        <f t="shared" ref="T82:Y82" si="104">T52/T$23</f>
        <v>7.1981266544491971E-3</v>
      </c>
      <c r="U82" s="89">
        <f t="shared" si="104"/>
        <v>7.015201215323133E-3</v>
      </c>
      <c r="V82" s="89">
        <f t="shared" si="104"/>
        <v>7.2074025213223793E-3</v>
      </c>
      <c r="W82" s="89">
        <f t="shared" si="104"/>
        <v>7.9107839367137285E-3</v>
      </c>
      <c r="X82" s="89">
        <f t="shared" si="104"/>
        <v>8.9067282840434026E-3</v>
      </c>
      <c r="Y82" s="89">
        <f t="shared" si="104"/>
        <v>1.0029176926627442E-2</v>
      </c>
      <c r="Z82" s="89">
        <f t="shared" ref="Z82:AA82" si="105">Z52/Z$23</f>
        <v>7.0475192483593404E-3</v>
      </c>
      <c r="AA82" s="89">
        <f t="shared" si="105"/>
        <v>6.2941465511946442E-3</v>
      </c>
    </row>
    <row r="83" spans="1:27" x14ac:dyDescent="0.25">
      <c r="A83" s="88" t="s">
        <v>21</v>
      </c>
      <c r="B83" s="44"/>
      <c r="C83" s="44"/>
      <c r="D83" s="89">
        <f>D53/D$23</f>
        <v>4.8023812446299245E-3</v>
      </c>
      <c r="E83" s="89">
        <f t="shared" ref="E83:S83" si="106">E53/E$23</f>
        <v>4.7721839240535708E-3</v>
      </c>
      <c r="F83" s="89">
        <f t="shared" si="106"/>
        <v>4.4545298206024094E-3</v>
      </c>
      <c r="G83" s="89">
        <f t="shared" si="106"/>
        <v>3.8510515145668534E-3</v>
      </c>
      <c r="H83" s="89">
        <f t="shared" si="106"/>
        <v>3.6753208878394666E-3</v>
      </c>
      <c r="I83" s="89">
        <f t="shared" si="106"/>
        <v>3.4758350540703351E-3</v>
      </c>
      <c r="J83" s="89">
        <f t="shared" si="106"/>
        <v>2.9857568556669318E-3</v>
      </c>
      <c r="K83" s="89">
        <f t="shared" si="106"/>
        <v>3.1895459697313154E-3</v>
      </c>
      <c r="L83" s="89">
        <f t="shared" si="106"/>
        <v>3.2219826534893021E-3</v>
      </c>
      <c r="M83" s="89">
        <f t="shared" si="106"/>
        <v>2.5063616154036589E-3</v>
      </c>
      <c r="N83" s="89">
        <f t="shared" si="106"/>
        <v>2.3576625313607557E-3</v>
      </c>
      <c r="O83" s="89">
        <f t="shared" si="106"/>
        <v>2.3480549808468361E-3</v>
      </c>
      <c r="P83" s="89">
        <f t="shared" si="106"/>
        <v>2.3492643650762121E-3</v>
      </c>
      <c r="Q83" s="89">
        <f t="shared" si="106"/>
        <v>2.3062705917017115E-3</v>
      </c>
      <c r="R83" s="89">
        <f t="shared" si="106"/>
        <v>2.5319619445033064E-3</v>
      </c>
      <c r="S83" s="89">
        <f t="shared" si="106"/>
        <v>2.6733700422951084E-3</v>
      </c>
      <c r="T83" s="89">
        <f t="shared" ref="T83:Y83" si="107">T53/T$23</f>
        <v>2.7234779067399719E-3</v>
      </c>
      <c r="U83" s="89">
        <f t="shared" si="107"/>
        <v>2.3730732387006875E-3</v>
      </c>
      <c r="V83" s="89">
        <f t="shared" si="107"/>
        <v>2.6615496030739289E-3</v>
      </c>
      <c r="W83" s="89">
        <f t="shared" si="107"/>
        <v>3.0082953359336375E-3</v>
      </c>
      <c r="X83" s="89">
        <f t="shared" si="107"/>
        <v>3.763741826367632E-3</v>
      </c>
      <c r="Y83" s="89">
        <f t="shared" si="107"/>
        <v>5.1837603356704107E-3</v>
      </c>
      <c r="Z83" s="89">
        <f t="shared" ref="Z83:AA83" si="108">Z53/Z$23</f>
        <v>3.4793574111733729E-3</v>
      </c>
      <c r="AA83" s="89">
        <f t="shared" si="108"/>
        <v>2.7224986180210062E-3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4.8739822429524149E-3</v>
      </c>
      <c r="E84" s="89">
        <f t="shared" ref="E84:S84" si="110">E56/E$23</f>
        <v>4.7211196991852949E-3</v>
      </c>
      <c r="F84" s="89">
        <f t="shared" si="110"/>
        <v>4.6642534468077958E-3</v>
      </c>
      <c r="G84" s="89">
        <f t="shared" si="110"/>
        <v>5.0935751495273006E-3</v>
      </c>
      <c r="H84" s="89">
        <f t="shared" si="110"/>
        <v>4.5256341334007971E-3</v>
      </c>
      <c r="I84" s="89">
        <f t="shared" si="110"/>
        <v>4.0717845304401321E-3</v>
      </c>
      <c r="J84" s="89">
        <f t="shared" si="110"/>
        <v>3.9526849836061728E-3</v>
      </c>
      <c r="K84" s="89">
        <f t="shared" si="110"/>
        <v>4.234948996599772E-3</v>
      </c>
      <c r="L84" s="89">
        <f t="shared" si="110"/>
        <v>4.517117240168198E-3</v>
      </c>
      <c r="M84" s="89">
        <f t="shared" si="110"/>
        <v>4.275107643382005E-3</v>
      </c>
      <c r="N84" s="89">
        <f t="shared" si="110"/>
        <v>4.2309791731267475E-3</v>
      </c>
      <c r="O84" s="89">
        <f t="shared" si="110"/>
        <v>4.4170063707315074E-3</v>
      </c>
      <c r="P84" s="89">
        <f t="shared" si="110"/>
        <v>4.1873584680783447E-3</v>
      </c>
      <c r="Q84" s="89">
        <f t="shared" si="110"/>
        <v>4.2187876677470338E-3</v>
      </c>
      <c r="R84" s="89">
        <f t="shared" si="110"/>
        <v>4.5341679027639673E-3</v>
      </c>
      <c r="S84" s="89">
        <f t="shared" si="110"/>
        <v>4.8572872609262355E-3</v>
      </c>
      <c r="T84" s="89">
        <f t="shared" ref="T84:Y84" si="111">T56/T$23</f>
        <v>4.4746487477092247E-3</v>
      </c>
      <c r="U84" s="89">
        <f t="shared" si="111"/>
        <v>4.6421279766224455E-3</v>
      </c>
      <c r="V84" s="89">
        <f t="shared" si="111"/>
        <v>4.5458529182484499E-3</v>
      </c>
      <c r="W84" s="89">
        <f t="shared" si="111"/>
        <v>4.9024886007800923E-3</v>
      </c>
      <c r="X84" s="89">
        <f t="shared" si="111"/>
        <v>5.1429864576757701E-3</v>
      </c>
      <c r="Y84" s="89">
        <f t="shared" si="111"/>
        <v>4.8454165909570324E-3</v>
      </c>
      <c r="Z84" s="89">
        <f t="shared" ref="Z84:AA84" si="112">Z56/Z$23</f>
        <v>3.5681618371859671E-3</v>
      </c>
      <c r="AA84" s="89">
        <f t="shared" si="112"/>
        <v>3.5716479331736385E-3</v>
      </c>
    </row>
    <row r="85" spans="1:27" x14ac:dyDescent="0.25">
      <c r="A85" s="68" t="s">
        <v>2</v>
      </c>
      <c r="B85" s="44"/>
      <c r="C85" s="44"/>
      <c r="D85" s="89">
        <f t="shared" si="109"/>
        <v>4.507282844400802E-2</v>
      </c>
      <c r="E85" s="89">
        <f t="shared" ref="E85:S85" si="113">E57/E$23</f>
        <v>4.2782536035095048E-2</v>
      </c>
      <c r="F85" s="89">
        <f t="shared" si="113"/>
        <v>4.3014315734724771E-2</v>
      </c>
      <c r="G85" s="89">
        <f t="shared" si="113"/>
        <v>4.1535790082963542E-2</v>
      </c>
      <c r="H85" s="89">
        <f t="shared" si="113"/>
        <v>4.2526203351358573E-2</v>
      </c>
      <c r="I85" s="89">
        <f t="shared" si="113"/>
        <v>4.1355672311543058E-2</v>
      </c>
      <c r="J85" s="89">
        <f t="shared" si="113"/>
        <v>4.0921570408483189E-2</v>
      </c>
      <c r="K85" s="89">
        <f t="shared" si="113"/>
        <v>3.8242549503300215E-2</v>
      </c>
      <c r="L85" s="89">
        <f t="shared" si="113"/>
        <v>3.8149152674660236E-2</v>
      </c>
      <c r="M85" s="89">
        <f t="shared" si="113"/>
        <v>3.9091073830470918E-2</v>
      </c>
      <c r="N85" s="89">
        <f t="shared" si="113"/>
        <v>3.9549788963576679E-2</v>
      </c>
      <c r="O85" s="89">
        <f t="shared" si="113"/>
        <v>4.1373906630886782E-2</v>
      </c>
      <c r="P85" s="89">
        <f t="shared" si="113"/>
        <v>4.1598135420391188E-2</v>
      </c>
      <c r="Q85" s="89">
        <f t="shared" si="113"/>
        <v>4.0998580344467357E-2</v>
      </c>
      <c r="R85" s="89">
        <f t="shared" si="113"/>
        <v>4.0065852744136009E-2</v>
      </c>
      <c r="S85" s="89">
        <f t="shared" si="113"/>
        <v>3.8512489027212514E-2</v>
      </c>
      <c r="T85" s="89">
        <f t="shared" ref="T85:Y85" si="114">T57/T$23</f>
        <v>3.72327428222358E-2</v>
      </c>
      <c r="U85" s="89">
        <f t="shared" si="114"/>
        <v>3.6268590283220603E-2</v>
      </c>
      <c r="V85" s="89">
        <f t="shared" si="114"/>
        <v>3.6096978195589303E-2</v>
      </c>
      <c r="W85" s="89">
        <f t="shared" si="114"/>
        <v>3.5117288359061687E-2</v>
      </c>
      <c r="X85" s="89">
        <f t="shared" si="114"/>
        <v>3.2589716409199727E-2</v>
      </c>
      <c r="Y85" s="89">
        <f t="shared" si="114"/>
        <v>2.8982692255478767E-2</v>
      </c>
      <c r="Z85" s="89">
        <f t="shared" ref="Z85:AA85" si="115">Z57/Z$23</f>
        <v>2.728604793662916E-2</v>
      </c>
      <c r="AA85" s="89">
        <f t="shared" si="115"/>
        <v>2.7443031754806217E-2</v>
      </c>
    </row>
    <row r="86" spans="1:27" x14ac:dyDescent="0.25">
      <c r="A86" s="68" t="s">
        <v>269</v>
      </c>
      <c r="B86" s="44"/>
      <c r="C86" s="44"/>
      <c r="D86" s="89">
        <f t="shared" si="109"/>
        <v>8.4744895871690998E-3</v>
      </c>
      <c r="E86" s="89">
        <f t="shared" ref="E86:S86" si="116">E58/E$23</f>
        <v>8.0124411020588166E-3</v>
      </c>
      <c r="F86" s="89">
        <f t="shared" si="116"/>
        <v>8.7748365204333711E-3</v>
      </c>
      <c r="G86" s="89">
        <f t="shared" si="116"/>
        <v>8.0493922438742045E-3</v>
      </c>
      <c r="H86" s="89">
        <f t="shared" si="116"/>
        <v>8.6120568796314856E-3</v>
      </c>
      <c r="I86" s="89">
        <f t="shared" si="116"/>
        <v>7.1900498986885884E-3</v>
      </c>
      <c r="J86" s="89">
        <f t="shared" si="116"/>
        <v>8.116336104217272E-3</v>
      </c>
      <c r="K86" s="89">
        <f t="shared" si="116"/>
        <v>7.5845056337089135E-3</v>
      </c>
      <c r="L86" s="89">
        <f t="shared" si="116"/>
        <v>7.3537302802954172E-3</v>
      </c>
      <c r="M86" s="89">
        <f t="shared" si="116"/>
        <v>7.3149006005569115E-3</v>
      </c>
      <c r="N86" s="89">
        <f t="shared" si="116"/>
        <v>7.088363654069404E-3</v>
      </c>
      <c r="O86" s="89">
        <f t="shared" si="116"/>
        <v>6.665198598848762E-3</v>
      </c>
      <c r="P86" s="89">
        <f t="shared" si="116"/>
        <v>6.0704779309522861E-3</v>
      </c>
      <c r="Q86" s="89">
        <f t="shared" si="116"/>
        <v>2.6384164144322721E-3</v>
      </c>
      <c r="R86" s="89">
        <f t="shared" si="116"/>
        <v>3.4040217987796593E-3</v>
      </c>
      <c r="S86" s="89">
        <f t="shared" si="116"/>
        <v>3.2665655840183011E-3</v>
      </c>
      <c r="T86" s="89">
        <f t="shared" ref="T86:Y86" si="117">T58/T$23</f>
        <v>3.8128690694359609E-3</v>
      </c>
      <c r="U86" s="89">
        <f t="shared" si="117"/>
        <v>3.4979244680542246E-3</v>
      </c>
      <c r="V86" s="89">
        <f t="shared" si="117"/>
        <v>2.9821348672223486E-3</v>
      </c>
      <c r="W86" s="89">
        <f t="shared" si="117"/>
        <v>5.5990770752073829E-3</v>
      </c>
      <c r="X86" s="89">
        <f t="shared" si="117"/>
        <v>3.5541156993294338E-3</v>
      </c>
      <c r="Y86" s="89">
        <f t="shared" si="117"/>
        <v>3.6173541101455083E-3</v>
      </c>
      <c r="Z86" s="89">
        <f t="shared" ref="Z86:AA86" si="118">Z58/Z$23</f>
        <v>4.6480236574990902E-3</v>
      </c>
      <c r="AA86" s="89">
        <f t="shared" si="118"/>
        <v>5.3067993366500829E-3</v>
      </c>
    </row>
    <row r="87" spans="1:27" x14ac:dyDescent="0.25">
      <c r="A87" s="68" t="s">
        <v>270</v>
      </c>
      <c r="B87" s="44"/>
      <c r="C87" s="44"/>
      <c r="D87" s="89">
        <f t="shared" si="109"/>
        <v>3.2302278957489459E-2</v>
      </c>
      <c r="E87" s="89">
        <f t="shared" ref="E87:S87" si="119">E59/E$23</f>
        <v>3.5833159250748557E-2</v>
      </c>
      <c r="F87" s="89">
        <f t="shared" si="119"/>
        <v>3.6609356190412272E-2</v>
      </c>
      <c r="G87" s="89">
        <f t="shared" si="119"/>
        <v>3.7067335519969137E-2</v>
      </c>
      <c r="H87" s="89">
        <f t="shared" si="119"/>
        <v>3.6992139873015209E-2</v>
      </c>
      <c r="I87" s="89">
        <f t="shared" si="119"/>
        <v>3.5412284290449673E-2</v>
      </c>
      <c r="J87" s="89">
        <f t="shared" si="119"/>
        <v>3.7355656676052715E-2</v>
      </c>
      <c r="K87" s="89">
        <f t="shared" si="119"/>
        <v>3.8538569237949197E-2</v>
      </c>
      <c r="L87" s="89">
        <f t="shared" si="119"/>
        <v>3.7688172567537245E-2</v>
      </c>
      <c r="M87" s="89">
        <f t="shared" si="119"/>
        <v>3.578328905087505E-2</v>
      </c>
      <c r="N87" s="89">
        <f t="shared" si="119"/>
        <v>3.19078871499704E-2</v>
      </c>
      <c r="O87" s="89">
        <f t="shared" si="119"/>
        <v>3.1618083864227625E-2</v>
      </c>
      <c r="P87" s="89">
        <f t="shared" si="119"/>
        <v>3.0283527339663368E-2</v>
      </c>
      <c r="Q87" s="89">
        <f t="shared" si="119"/>
        <v>3.0005625050223667E-2</v>
      </c>
      <c r="R87" s="89">
        <f t="shared" si="119"/>
        <v>3.2062462305824053E-2</v>
      </c>
      <c r="S87" s="89">
        <f t="shared" si="119"/>
        <v>3.4346819886681028E-2</v>
      </c>
      <c r="T87" s="89">
        <f t="shared" ref="T87:Y87" si="120">T59/T$23</f>
        <v>3.855630217878233E-2</v>
      </c>
      <c r="U87" s="89">
        <f t="shared" si="120"/>
        <v>3.8385245822326719E-2</v>
      </c>
      <c r="V87" s="89">
        <f t="shared" si="120"/>
        <v>3.6784276100022613E-2</v>
      </c>
      <c r="W87" s="89">
        <f t="shared" si="120"/>
        <v>3.2152941822776462E-2</v>
      </c>
      <c r="X87" s="89">
        <f t="shared" si="120"/>
        <v>3.8078109553472531E-2</v>
      </c>
      <c r="Y87" s="89">
        <f t="shared" si="120"/>
        <v>3.7142624419646497E-2</v>
      </c>
      <c r="Z87" s="89">
        <f t="shared" ref="Z87:AA87" si="121">Z59/Z$23</f>
        <v>3.6564334366424825E-2</v>
      </c>
      <c r="AA87" s="89">
        <f t="shared" si="121"/>
        <v>3.8182544069774581E-2</v>
      </c>
    </row>
    <row r="88" spans="1:27" x14ac:dyDescent="0.25">
      <c r="A88" s="68" t="s">
        <v>1</v>
      </c>
      <c r="B88" s="44"/>
      <c r="C88" s="44"/>
      <c r="D88" s="89">
        <f t="shared" si="109"/>
        <v>1.7174010883351742E-2</v>
      </c>
      <c r="E88" s="89">
        <f t="shared" ref="E88:S88" si="122">E60/E$23</f>
        <v>1.6535524452800404E-2</v>
      </c>
      <c r="F88" s="89">
        <f t="shared" si="122"/>
        <v>1.6056440822284392E-2</v>
      </c>
      <c r="G88" s="89">
        <f t="shared" si="122"/>
        <v>1.4443372564152037E-2</v>
      </c>
      <c r="H88" s="89">
        <f t="shared" si="122"/>
        <v>1.313417732193492E-2</v>
      </c>
      <c r="I88" s="89">
        <f t="shared" si="122"/>
        <v>1.2083278301962768E-2</v>
      </c>
      <c r="J88" s="89">
        <f t="shared" si="122"/>
        <v>1.1421472250627772E-2</v>
      </c>
      <c r="K88" s="89">
        <f t="shared" si="122"/>
        <v>1.0640709380625375E-2</v>
      </c>
      <c r="L88" s="89">
        <f t="shared" si="122"/>
        <v>9.8318032371047543E-3</v>
      </c>
      <c r="M88" s="89">
        <f t="shared" si="122"/>
        <v>9.0428097794044444E-3</v>
      </c>
      <c r="N88" s="89">
        <f t="shared" si="122"/>
        <v>8.8591732292544918E-3</v>
      </c>
      <c r="O88" s="89">
        <f t="shared" si="122"/>
        <v>9.0798287481819867E-3</v>
      </c>
      <c r="P88" s="89">
        <f t="shared" si="122"/>
        <v>8.613086488419212E-3</v>
      </c>
      <c r="Q88" s="89">
        <f t="shared" si="122"/>
        <v>8.5259689818659098E-3</v>
      </c>
      <c r="R88" s="89">
        <f t="shared" si="122"/>
        <v>8.9297842398952439E-3</v>
      </c>
      <c r="S88" s="89">
        <f t="shared" si="122"/>
        <v>7.8605059452557663E-3</v>
      </c>
      <c r="T88" s="89">
        <f t="shared" ref="T88:Y88" si="123">T60/T$23</f>
        <v>8.0202606393809817E-3</v>
      </c>
      <c r="U88" s="89">
        <f t="shared" si="123"/>
        <v>8.1981092823207244E-3</v>
      </c>
      <c r="V88" s="89">
        <f t="shared" si="123"/>
        <v>8.0769035614947134E-3</v>
      </c>
      <c r="W88" s="89">
        <f t="shared" si="123"/>
        <v>8.4843157721254739E-3</v>
      </c>
      <c r="X88" s="89">
        <f t="shared" si="123"/>
        <v>7.6037113352946072E-3</v>
      </c>
      <c r="Y88" s="89">
        <f t="shared" si="123"/>
        <v>7.1574321798317884E-3</v>
      </c>
      <c r="Z88" s="89">
        <f t="shared" ref="Z88:AA88" si="124">Z60/Z$23</f>
        <v>6.8699103963341529E-3</v>
      </c>
      <c r="AA88" s="89">
        <f t="shared" si="124"/>
        <v>5.8473066764940726E-3</v>
      </c>
    </row>
    <row r="89" spans="1:27" x14ac:dyDescent="0.25">
      <c r="A89" s="68" t="s">
        <v>0</v>
      </c>
      <c r="B89" s="44"/>
      <c r="C89" s="44"/>
      <c r="D89" s="89">
        <f t="shared" si="109"/>
        <v>6.4952334192545308E-3</v>
      </c>
      <c r="E89" s="89">
        <f t="shared" ref="E89:S89" si="125">E61/E$23</f>
        <v>5.4824408699487032E-3</v>
      </c>
      <c r="F89" s="89">
        <f t="shared" si="125"/>
        <v>5.9309841490883313E-3</v>
      </c>
      <c r="G89" s="89">
        <f t="shared" si="125"/>
        <v>5.9772332625892344E-3</v>
      </c>
      <c r="H89" s="89">
        <f t="shared" si="125"/>
        <v>5.6605563578483566E-3</v>
      </c>
      <c r="I89" s="89">
        <f t="shared" si="125"/>
        <v>5.4022014695791947E-3</v>
      </c>
      <c r="J89" s="89">
        <f t="shared" si="125"/>
        <v>5.1364394190227007E-3</v>
      </c>
      <c r="K89" s="89">
        <f t="shared" si="125"/>
        <v>5.8003866924461632E-3</v>
      </c>
      <c r="L89" s="89">
        <f t="shared" si="125"/>
        <v>5.4244431652991738E-3</v>
      </c>
      <c r="M89" s="89">
        <f t="shared" si="125"/>
        <v>4.9795432908885332E-3</v>
      </c>
      <c r="N89" s="89">
        <f t="shared" si="125"/>
        <v>4.0772185732553942E-3</v>
      </c>
      <c r="O89" s="89">
        <f t="shared" si="125"/>
        <v>4.2172808652723437E-3</v>
      </c>
      <c r="P89" s="89">
        <f t="shared" si="125"/>
        <v>4.2509236820150167E-3</v>
      </c>
      <c r="Q89" s="89">
        <f t="shared" si="125"/>
        <v>4.561647871856E-3</v>
      </c>
      <c r="R89" s="89">
        <f t="shared" si="125"/>
        <v>5.2921264676957513E-3</v>
      </c>
      <c r="S89" s="89">
        <f t="shared" si="125"/>
        <v>5.9878168808022774E-3</v>
      </c>
      <c r="T89" s="89">
        <f t="shared" ref="T89:Y89" si="126">T61/T$23</f>
        <v>6.4192628792506621E-3</v>
      </c>
      <c r="U89" s="89">
        <f t="shared" si="126"/>
        <v>6.7031457129863468E-3</v>
      </c>
      <c r="V89" s="89">
        <f t="shared" si="126"/>
        <v>6.6261975820029436E-3</v>
      </c>
      <c r="W89" s="89">
        <f t="shared" si="126"/>
        <v>6.9702796242377633E-3</v>
      </c>
      <c r="X89" s="89">
        <f t="shared" si="126"/>
        <v>4.0972379375647638E-3</v>
      </c>
      <c r="Y89" s="89">
        <f t="shared" si="126"/>
        <v>5.2777447092019055E-3</v>
      </c>
      <c r="Z89" s="89">
        <f t="shared" ref="Z89:AA89" si="127">Z61/Z$23</f>
        <v>8.5589705790936627E-3</v>
      </c>
      <c r="AA89" s="89">
        <f t="shared" si="127"/>
        <v>7.9801609237761823E-3</v>
      </c>
    </row>
    <row r="90" spans="1:27" x14ac:dyDescent="0.25">
      <c r="A90" s="90" t="s">
        <v>272</v>
      </c>
      <c r="B90" s="47"/>
      <c r="C90" s="47"/>
      <c r="D90" s="91">
        <f t="shared" si="109"/>
        <v>1.2218198928030768E-2</v>
      </c>
      <c r="E90" s="91">
        <f t="shared" ref="E90:S90" si="128">E62/E$23</f>
        <v>1.2742845205765614E-2</v>
      </c>
      <c r="F90" s="91">
        <f t="shared" si="128"/>
        <v>1.1585133111585552E-2</v>
      </c>
      <c r="G90" s="91">
        <f t="shared" si="128"/>
        <v>1.1568589619911251E-2</v>
      </c>
      <c r="H90" s="91">
        <f t="shared" si="128"/>
        <v>1.0692162009269117E-2</v>
      </c>
      <c r="I90" s="91">
        <f t="shared" si="128"/>
        <v>1.0324422009541635E-2</v>
      </c>
      <c r="J90" s="91">
        <f t="shared" si="128"/>
        <v>1.058346787308043E-2</v>
      </c>
      <c r="K90" s="91">
        <f t="shared" si="128"/>
        <v>1.0939395959730648E-2</v>
      </c>
      <c r="L90" s="91">
        <f t="shared" si="128"/>
        <v>1.0490346247280463E-2</v>
      </c>
      <c r="M90" s="91">
        <f t="shared" si="128"/>
        <v>1.0199003070420591E-2</v>
      </c>
      <c r="N90" s="91">
        <f t="shared" si="128"/>
        <v>8.6977245993895714E-3</v>
      </c>
      <c r="O90" s="91">
        <f t="shared" si="128"/>
        <v>9.5176885101501529E-3</v>
      </c>
      <c r="P90" s="91">
        <f t="shared" si="128"/>
        <v>9.4394342695959636E-3</v>
      </c>
      <c r="Q90" s="91">
        <f t="shared" si="128"/>
        <v>9.5625853802266091E-3</v>
      </c>
      <c r="R90" s="91">
        <f t="shared" si="128"/>
        <v>1.0548935869641993E-2</v>
      </c>
      <c r="S90" s="91">
        <f t="shared" si="128"/>
        <v>1.1472880589471443E-2</v>
      </c>
      <c r="T90" s="91">
        <f t="shared" ref="T90:Y90" si="129">T62/T$23</f>
        <v>1.1682956627978009E-2</v>
      </c>
      <c r="U90" s="91">
        <f t="shared" si="129"/>
        <v>1.2470124918962331E-2</v>
      </c>
      <c r="V90" s="91">
        <f t="shared" si="129"/>
        <v>1.2163789087185357E-2</v>
      </c>
      <c r="W90" s="91">
        <f t="shared" si="129"/>
        <v>1.2129868702961051E-2</v>
      </c>
      <c r="X90" s="91">
        <f t="shared" si="129"/>
        <v>1.3358901368525113E-2</v>
      </c>
      <c r="Y90" s="91">
        <f t="shared" si="129"/>
        <v>1.3368754999446534E-2</v>
      </c>
      <c r="Z90" s="91">
        <f t="shared" ref="Z90:AA90" si="130">Z62/Z$23</f>
        <v>1.3020504941966309E-2</v>
      </c>
      <c r="AA90" s="91">
        <f t="shared" si="130"/>
        <v>1.2428597751980837E-2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3.1102088110950277E-2</v>
      </c>
      <c r="F93" s="92">
        <f t="shared" ref="F93:F94" si="132">IF(E16=0,"",F16/E16-1)</f>
        <v>5.8045748245693529E-2</v>
      </c>
      <c r="G93" s="92">
        <f t="shared" ref="G93:G94" si="133">IF(F16=0,"",G16/F16-1)</f>
        <v>5.5673489279027155E-2</v>
      </c>
      <c r="H93" s="92">
        <f t="shared" ref="H93:H94" si="134">IF(G16=0,"",H16/G16-1)</f>
        <v>4.1705479748907814E-2</v>
      </c>
      <c r="I93" s="92">
        <f t="shared" ref="I93:I94" si="135">IF(H16=0,"",I16/H16-1)</f>
        <v>4.3274285254955913E-2</v>
      </c>
      <c r="J93" s="92">
        <f t="shared" ref="J93:J94" si="136">IF(I16=0,"",J16/I16-1)</f>
        <v>5.0821057354199395E-2</v>
      </c>
      <c r="K93" s="92">
        <f t="shared" ref="K93:K94" si="137">IF(J16=0,"",K16/J16-1)</f>
        <v>5.0488789095689102E-2</v>
      </c>
      <c r="L93" s="92">
        <f t="shared" ref="L93:L94" si="138">IF(K16=0,"",L16/K16-1)</f>
        <v>1.9675965944803364E-2</v>
      </c>
      <c r="M93" s="92">
        <f t="shared" ref="M93:M94" si="139">IF(L16=0,"",M16/L16-1)</f>
        <v>-6.8133372037002871E-2</v>
      </c>
      <c r="N93" s="92">
        <f t="shared" ref="N93:N94" si="140">IF(M16=0,"",N16/M16-1)</f>
        <v>-1.3339386487690619E-2</v>
      </c>
      <c r="O93" s="92">
        <f t="shared" ref="O93:O94" si="141">IF(N16=0,"",O16/N16-1)</f>
        <v>-9.8435407914532203E-4</v>
      </c>
      <c r="P93" s="92">
        <f t="shared" ref="P93:P94" si="142">IF(O16=0,"",P16/O16-1)</f>
        <v>-2.2534736663080701E-2</v>
      </c>
      <c r="Q93" s="92">
        <f t="shared" ref="Q93:Q94" si="143">IF(P16=0,"",Q16/P16-1)</f>
        <v>-1.259550289282152E-3</v>
      </c>
      <c r="R93" s="92">
        <f t="shared" ref="R93:R94" si="144">IF(Q16=0,"",R16/Q16-1)</f>
        <v>-5.5670706698851546E-3</v>
      </c>
      <c r="S93" s="92">
        <f t="shared" ref="S93:S94" si="145">IF(R16=0,"",S16/R16-1)</f>
        <v>2.3231603198403228E-2</v>
      </c>
      <c r="T93" s="92">
        <f t="shared" ref="T93:T94" si="146">IF(S16=0,"",T16/S16-1)</f>
        <v>3.4606553840923704E-2</v>
      </c>
      <c r="U93" s="92">
        <f t="shared" ref="U93:U94" si="147">IF(T16=0,"",U16/T16-1)</f>
        <v>3.2812465321873541E-2</v>
      </c>
      <c r="V93" s="92">
        <f t="shared" ref="V93:V94" si="148">IF(U16=0,"",V16/U16-1)</f>
        <v>2.9050386187716715E-2</v>
      </c>
      <c r="W93" s="92">
        <f t="shared" ref="W93:W94" si="149">IF(V16=0,"",W16/V16-1)</f>
        <v>3.1004723865031059E-2</v>
      </c>
      <c r="X93" s="92">
        <f t="shared" ref="X93:X94" si="150">IF(W16=0,"",X16/W16-1)</f>
        <v>-8.3117497894302006E-2</v>
      </c>
      <c r="Y93" s="92">
        <f t="shared" ref="Y93:Y94" si="151">IF(X16=0,"",Y16/X16-1)</f>
        <v>0.12631175908205394</v>
      </c>
      <c r="Z93" s="92">
        <f t="shared" ref="Z93:Z94" si="152">IF(Y16=0,"",Z16/Y16-1)</f>
        <v>7.2887671380304386E-2</v>
      </c>
      <c r="AA93" s="92">
        <f t="shared" ref="AA93:AA94" si="153">IF(Z16=0,"",AA16/Z16-1)</f>
        <v>3.3183336022292842E-2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5.3094583070105728E-2</v>
      </c>
      <c r="F94" s="93">
        <f t="shared" si="132"/>
        <v>9.515155420132082E-2</v>
      </c>
      <c r="G94" s="93">
        <f t="shared" si="133"/>
        <v>4.5687251743405266E-2</v>
      </c>
      <c r="H94" s="93">
        <f t="shared" si="134"/>
        <v>4.5981667354581868E-2</v>
      </c>
      <c r="I94" s="93">
        <f t="shared" si="135"/>
        <v>4.5828704005980159E-2</v>
      </c>
      <c r="J94" s="93">
        <f t="shared" si="136"/>
        <v>1.3033972514663317E-2</v>
      </c>
      <c r="K94" s="93">
        <f t="shared" si="137"/>
        <v>5.0304195916682337E-2</v>
      </c>
      <c r="L94" s="93">
        <f t="shared" si="138"/>
        <v>3.0970134547672057E-2</v>
      </c>
      <c r="M94" s="93">
        <f t="shared" si="139"/>
        <v>-8.9105192098136943E-2</v>
      </c>
      <c r="N94" s="93">
        <f t="shared" si="140"/>
        <v>-1.5355965735217469E-2</v>
      </c>
      <c r="O94" s="93">
        <f t="shared" si="141"/>
        <v>9.9278329127954201E-3</v>
      </c>
      <c r="P94" s="93">
        <f t="shared" si="142"/>
        <v>-2.3976500489683805E-2</v>
      </c>
      <c r="Q94" s="93">
        <f t="shared" si="143"/>
        <v>-1.5828432256333902E-2</v>
      </c>
      <c r="R94" s="93">
        <f t="shared" si="144"/>
        <v>-2.4783550494510753E-2</v>
      </c>
      <c r="S94" s="93">
        <f t="shared" si="145"/>
        <v>3.7592173203611079E-3</v>
      </c>
      <c r="T94" s="93">
        <f t="shared" si="146"/>
        <v>3.1651711921568904E-2</v>
      </c>
      <c r="U94" s="93">
        <f t="shared" si="147"/>
        <v>3.1754628128942253E-2</v>
      </c>
      <c r="V94" s="93">
        <f t="shared" si="148"/>
        <v>3.3718849358085112E-2</v>
      </c>
      <c r="W94" s="93">
        <f t="shared" si="149"/>
        <v>4.080071638521332E-2</v>
      </c>
      <c r="X94" s="93">
        <f t="shared" si="150"/>
        <v>-5.1696786871245237E-2</v>
      </c>
      <c r="Y94" s="93">
        <f t="shared" si="151"/>
        <v>0.10748346588987401</v>
      </c>
      <c r="Z94" s="93">
        <f t="shared" si="152"/>
        <v>6.8898443823887545E-2</v>
      </c>
      <c r="AA94" s="93">
        <f t="shared" si="153"/>
        <v>3.0450124611492546E-2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7.967068776960895E-2</v>
      </c>
      <c r="F95" s="92">
        <f t="shared" ref="F95:F96" si="155">IF(E20=0,"",F20/E20-1)</f>
        <v>5.5566691136729185E-2</v>
      </c>
      <c r="G95" s="92">
        <f t="shared" ref="G95:G96" si="156">IF(F20=0,"",G20/F20-1)</f>
        <v>5.5700461108675992E-2</v>
      </c>
      <c r="H95" s="92">
        <f t="shared" ref="H95:H96" si="157">IF(G20=0,"",H20/G20-1)</f>
        <v>4.1622979921679182E-2</v>
      </c>
      <c r="I95" s="92">
        <f t="shared" ref="I95:I96" si="158">IF(H20=0,"",I20/H20-1)</f>
        <v>4.2031318541561724E-2</v>
      </c>
      <c r="J95" s="92">
        <f t="shared" ref="J95:J96" si="159">IF(I20=0,"",J20/I20-1)</f>
        <v>5.0424850933343368E-2</v>
      </c>
      <c r="K95" s="92">
        <f t="shared" ref="K95:K96" si="160">IF(J20=0,"",K20/J20-1)</f>
        <v>5.0234783720271015E-2</v>
      </c>
      <c r="L95" s="92">
        <f t="shared" ref="L95:L96" si="161">IF(K20=0,"",L20/K20-1)</f>
        <v>2.0045577663717618E-2</v>
      </c>
      <c r="M95" s="92">
        <f t="shared" ref="M95:M96" si="162">IF(L20=0,"",M20/L20-1)</f>
        <v>-6.7663957139103448E-2</v>
      </c>
      <c r="N95" s="92">
        <f t="shared" ref="N95:N96" si="163">IF(M20=0,"",N20/M20-1)</f>
        <v>-1.1745952046889552E-2</v>
      </c>
      <c r="O95" s="92">
        <f t="shared" ref="O95:O96" si="164">IF(N20=0,"",O20/N20-1)</f>
        <v>2.0407381886184961E-3</v>
      </c>
      <c r="P95" s="92">
        <f t="shared" ref="P95:P96" si="165">IF(O20=0,"",P20/O20-1)</f>
        <v>-1.9363448931818517E-2</v>
      </c>
      <c r="Q95" s="92">
        <f t="shared" ref="Q95:Q96" si="166">IF(P20=0,"",Q20/P20-1)</f>
        <v>5.3663465833593271E-3</v>
      </c>
      <c r="R95" s="92">
        <f t="shared" ref="R95:R96" si="167">IF(Q20=0,"",R20/Q20-1)</f>
        <v>1.5466452519445895E-3</v>
      </c>
      <c r="S95" s="92">
        <f t="shared" ref="S95:S96" si="168">IF(R20=0,"",S20/R20-1)</f>
        <v>3.2217673179408601E-2</v>
      </c>
      <c r="T95" s="92">
        <f t="shared" ref="T95:T96" si="169">IF(S20=0,"",T20/S20-1)</f>
        <v>4.7078587754595613E-2</v>
      </c>
      <c r="U95" s="92">
        <f t="shared" ref="U95:U96" si="170">IF(T20=0,"",U20/T20-1)</f>
        <v>4.6067347201611764E-2</v>
      </c>
      <c r="V95" s="92">
        <f t="shared" ref="V95:V96" si="171">IF(U20=0,"",V20/U20-1)</f>
        <v>4.556608783869831E-2</v>
      </c>
      <c r="W95" s="92">
        <f t="shared" ref="W95:W96" si="172">IF(V20=0,"",W20/V20-1)</f>
        <v>4.2867831540058354E-2</v>
      </c>
      <c r="X95" s="92">
        <f t="shared" ref="X95:X96" si="173">IF(W20=0,"",X20/W20-1)</f>
        <v>-7.492070546470242E-2</v>
      </c>
      <c r="Y95" s="92">
        <f t="shared" ref="Y95:Y96" si="174">IF(X20=0,"",Y20/X20-1)</f>
        <v>0.13802468665213352</v>
      </c>
      <c r="Z95" s="92">
        <f t="shared" ref="Z95:Z96" si="175">IF(Y20=0,"",Z20/Y20-1)</f>
        <v>8.1421482706047765E-2</v>
      </c>
      <c r="AA95" s="92">
        <f t="shared" ref="AA95:AA96" si="176">IF(Z20=0,"",AA20/Z20-1)</f>
        <v>3.624487317375702E-2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0.10269910797368698</v>
      </c>
      <c r="F96" s="93">
        <f t="shared" si="155"/>
        <v>9.2585556227851695E-2</v>
      </c>
      <c r="G96" s="93">
        <f t="shared" si="156"/>
        <v>4.5713968430625584E-2</v>
      </c>
      <c r="H96" s="93">
        <f t="shared" si="157"/>
        <v>4.5898828866622665E-2</v>
      </c>
      <c r="I96" s="93">
        <f t="shared" si="158"/>
        <v>4.4582693934262618E-2</v>
      </c>
      <c r="J96" s="93">
        <f t="shared" si="159"/>
        <v>1.2652013510657367E-2</v>
      </c>
      <c r="K96" s="93">
        <f t="shared" si="160"/>
        <v>5.0050235175400637E-2</v>
      </c>
      <c r="L96" s="93">
        <f t="shared" si="161"/>
        <v>3.1343840172111781E-2</v>
      </c>
      <c r="M96" s="93">
        <f t="shared" si="162"/>
        <v>-8.864634146391781E-2</v>
      </c>
      <c r="N96" s="93">
        <f t="shared" si="163"/>
        <v>-1.3765788024016956E-2</v>
      </c>
      <c r="O96" s="93">
        <f t="shared" si="164"/>
        <v>1.2985968078964349E-2</v>
      </c>
      <c r="P96" s="93">
        <f t="shared" si="165"/>
        <v>-2.0809890416141119E-2</v>
      </c>
      <c r="Q96" s="93">
        <f t="shared" si="166"/>
        <v>-9.299189033287969E-3</v>
      </c>
      <c r="R96" s="93">
        <f t="shared" si="167"/>
        <v>-1.7807300433331896E-2</v>
      </c>
      <c r="S96" s="93">
        <f t="shared" si="168"/>
        <v>1.257427985627757E-2</v>
      </c>
      <c r="T96" s="93">
        <f t="shared" si="169"/>
        <v>4.4088125638857001E-2</v>
      </c>
      <c r="U96" s="93">
        <f t="shared" si="170"/>
        <v>4.4995933965099155E-2</v>
      </c>
      <c r="V96" s="93">
        <f t="shared" si="171"/>
        <v>5.0309477315810591E-2</v>
      </c>
      <c r="W96" s="93">
        <f t="shared" si="172"/>
        <v>5.2776540240254466E-2</v>
      </c>
      <c r="X96" s="93">
        <f t="shared" si="173"/>
        <v>-4.3219097984733224E-2</v>
      </c>
      <c r="Y96" s="93">
        <f t="shared" si="174"/>
        <v>0.11900059115863693</v>
      </c>
      <c r="Z96" s="93">
        <f t="shared" si="175"/>
        <v>7.7400524600189202E-2</v>
      </c>
      <c r="AA96" s="93">
        <f t="shared" si="176"/>
        <v>3.3503562688973476E-2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3.5764582614380869E-2</v>
      </c>
      <c r="F97" s="89">
        <f t="shared" ref="F97:F106" si="178">IF(E23=0,"",F23/E23-1)</f>
        <v>5.3062021801995041E-2</v>
      </c>
      <c r="G97" s="89">
        <f t="shared" ref="G97:G106" si="179">IF(F23=0,"",G23/F23-1)</f>
        <v>5.9148880535579762E-2</v>
      </c>
      <c r="H97" s="89">
        <f t="shared" ref="H97:H106" si="180">IF(G23=0,"",H23/G23-1)</f>
        <v>4.2336817519540659E-2</v>
      </c>
      <c r="I97" s="89">
        <f t="shared" ref="I97:I106" si="181">IF(H23=0,"",I23/H23-1)</f>
        <v>4.2271454762737193E-2</v>
      </c>
      <c r="J97" s="89">
        <f t="shared" ref="J97:J106" si="182">IF(I23=0,"",J23/I23-1)</f>
        <v>4.7138486502967591E-2</v>
      </c>
      <c r="K97" s="89">
        <f t="shared" ref="K97:K106" si="183">IF(J23=0,"",K23/J23-1)</f>
        <v>4.9266759910520985E-2</v>
      </c>
      <c r="L97" s="89">
        <f t="shared" ref="L97:L106" si="184">IF(K23=0,"",L23/K23-1)</f>
        <v>1.988013451052506E-2</v>
      </c>
      <c r="M97" s="89">
        <f t="shared" ref="M97:M106" si="185">IF(L23=0,"",M23/L23-1)</f>
        <v>-5.6660419381958427E-2</v>
      </c>
      <c r="N97" s="89">
        <f t="shared" ref="N97:N106" si="186">IF(M23=0,"",N23/M23-1)</f>
        <v>-1.8305215288441756E-2</v>
      </c>
      <c r="O97" s="89">
        <f t="shared" ref="O97:O106" si="187">IF(N23=0,"",O23/N23-1)</f>
        <v>2.4239741212641608E-3</v>
      </c>
      <c r="P97" s="89">
        <f t="shared" ref="P97:P106" si="188">IF(O23=0,"",P23/O23-1)</f>
        <v>-3.3289485991046752E-2</v>
      </c>
      <c r="Q97" s="89">
        <f t="shared" ref="Q97:Q106" si="189">IF(P23=0,"",Q23/P23-1)</f>
        <v>-4.7485306718082487E-3</v>
      </c>
      <c r="R97" s="89">
        <f t="shared" ref="R97:R106" si="190">IF(Q23=0,"",R23/Q23-1)</f>
        <v>-6.4723654672919073E-3</v>
      </c>
      <c r="S97" s="89">
        <f t="shared" ref="S97:S106" si="191">IF(R23=0,"",S23/R23-1)</f>
        <v>2.2595289246768457E-2</v>
      </c>
      <c r="T97" s="89">
        <f t="shared" ref="T97:T106" si="192">IF(S23=0,"",T23/S23-1)</f>
        <v>3.500721107448479E-2</v>
      </c>
      <c r="U97" s="89">
        <f t="shared" ref="U97:U106" si="193">IF(T23=0,"",U23/T23-1)</f>
        <v>2.7999307647879279E-2</v>
      </c>
      <c r="V97" s="89">
        <f t="shared" ref="V97:V106" si="194">IF(U23=0,"",V23/U23-1)</f>
        <v>2.4862393873151367E-2</v>
      </c>
      <c r="W97" s="89">
        <f t="shared" ref="W97:W106" si="195">IF(V23=0,"",W23/V23-1)</f>
        <v>3.2295907612045482E-2</v>
      </c>
      <c r="X97" s="89">
        <f t="shared" ref="X97:X106" si="196">IF(W23=0,"",X23/W23-1)</f>
        <v>-7.2748882140009963E-2</v>
      </c>
      <c r="Y97" s="89">
        <f t="shared" ref="Y97:Y106" si="197">IF(X23=0,"",Y23/X23-1)</f>
        <v>0.11693803784534595</v>
      </c>
      <c r="Z97" s="89">
        <f t="shared" ref="Z97:Z108" si="198">IF(Y23=0,"",Z23/Y23-1)</f>
        <v>8.3727481418050642E-2</v>
      </c>
      <c r="AA97" s="89">
        <f t="shared" ref="AA97:AA108" si="199">IF(Z23=0,"",AA23/Z23-1)</f>
        <v>3.4829946601449446E-2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3.0882107159674987E-2</v>
      </c>
      <c r="F98" s="83">
        <f t="shared" si="178"/>
        <v>2.948207700735006E-2</v>
      </c>
      <c r="G98" s="83">
        <f t="shared" si="179"/>
        <v>-0.14588688713807529</v>
      </c>
      <c r="H98" s="83">
        <f t="shared" si="180"/>
        <v>0.16098180678657781</v>
      </c>
      <c r="I98" s="83">
        <f t="shared" si="181"/>
        <v>-8.8663224521657313E-2</v>
      </c>
      <c r="J98" s="83">
        <f t="shared" si="182"/>
        <v>8.0729576374299672E-2</v>
      </c>
      <c r="K98" s="83">
        <f t="shared" si="183"/>
        <v>-3.1171465840130752E-2</v>
      </c>
      <c r="L98" s="83">
        <f t="shared" si="184"/>
        <v>7.2104068372754959E-2</v>
      </c>
      <c r="M98" s="83">
        <f t="shared" si="185"/>
        <v>-4.2351654097853797E-2</v>
      </c>
      <c r="N98" s="83">
        <f t="shared" si="186"/>
        <v>-9.6329792280665738E-2</v>
      </c>
      <c r="O98" s="83">
        <f t="shared" si="187"/>
        <v>-8.7342134207499811E-3</v>
      </c>
      <c r="P98" s="83">
        <f t="shared" si="188"/>
        <v>-0.1117304155044786</v>
      </c>
      <c r="Q98" s="83">
        <f t="shared" si="189"/>
        <v>5.2107026798627887E-2</v>
      </c>
      <c r="R98" s="83">
        <f t="shared" si="190"/>
        <v>-0.14858242212256467</v>
      </c>
      <c r="S98" s="83">
        <f t="shared" si="191"/>
        <v>3.7367014523937758E-2</v>
      </c>
      <c r="T98" s="83">
        <f t="shared" si="192"/>
        <v>6.9320760019337069E-2</v>
      </c>
      <c r="U98" s="83">
        <f t="shared" si="193"/>
        <v>-2.6153723372901005E-2</v>
      </c>
      <c r="V98" s="83">
        <f t="shared" si="194"/>
        <v>5.3899280958052076E-2</v>
      </c>
      <c r="W98" s="83">
        <f t="shared" si="195"/>
        <v>1.263599962210149E-3</v>
      </c>
      <c r="X98" s="83">
        <f t="shared" si="196"/>
        <v>1.1403736663915254E-3</v>
      </c>
      <c r="Y98" s="83">
        <f t="shared" si="197"/>
        <v>0.21071526571897592</v>
      </c>
      <c r="Z98" s="83">
        <f t="shared" si="198"/>
        <v>7.7703197142714231E-2</v>
      </c>
      <c r="AA98" s="83">
        <f t="shared" si="199"/>
        <v>2.1884908065785247E-2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-0.21054696813108342</v>
      </c>
      <c r="F99" s="83">
        <f t="shared" si="178"/>
        <v>0.43215400096879608</v>
      </c>
      <c r="G99" s="83">
        <f t="shared" si="179"/>
        <v>-0.16154805607717637</v>
      </c>
      <c r="H99" s="83">
        <f t="shared" si="180"/>
        <v>0.49823120807822252</v>
      </c>
      <c r="I99" s="83">
        <f t="shared" si="181"/>
        <v>0.13605584722606379</v>
      </c>
      <c r="J99" s="83">
        <f t="shared" si="182"/>
        <v>0.4499315158897863</v>
      </c>
      <c r="K99" s="83">
        <f t="shared" si="183"/>
        <v>-0.23534368598069089</v>
      </c>
      <c r="L99" s="83">
        <f t="shared" si="184"/>
        <v>1.2257800175408784E-2</v>
      </c>
      <c r="M99" s="83">
        <f t="shared" si="185"/>
        <v>9.0525228352635434E-2</v>
      </c>
      <c r="N99" s="83">
        <f t="shared" si="186"/>
        <v>1.731401160793089E-2</v>
      </c>
      <c r="O99" s="83">
        <f t="shared" si="187"/>
        <v>-0.14138865027499181</v>
      </c>
      <c r="P99" s="83">
        <f t="shared" si="188"/>
        <v>9.0314172965706652E-2</v>
      </c>
      <c r="Q99" s="83">
        <f t="shared" si="189"/>
        <v>8.551217549109591E-2</v>
      </c>
      <c r="R99" s="83">
        <f t="shared" si="190"/>
        <v>-0.21691128328949283</v>
      </c>
      <c r="S99" s="83">
        <f t="shared" si="191"/>
        <v>-0.3106685484164704</v>
      </c>
      <c r="T99" s="83">
        <f t="shared" si="192"/>
        <v>-0.25889950181632149</v>
      </c>
      <c r="U99" s="83">
        <f t="shared" si="193"/>
        <v>1.6647222768124026E-2</v>
      </c>
      <c r="V99" s="83">
        <f t="shared" si="194"/>
        <v>-4.0161487045878741E-2</v>
      </c>
      <c r="W99" s="83">
        <f t="shared" si="195"/>
        <v>-1.0025499505896374E-2</v>
      </c>
      <c r="X99" s="83">
        <f t="shared" si="196"/>
        <v>-0.43563679533918021</v>
      </c>
      <c r="Y99" s="83">
        <f t="shared" si="197"/>
        <v>0.14891772598486996</v>
      </c>
      <c r="Z99" s="83">
        <f t="shared" si="198"/>
        <v>5.1823884123500807E-2</v>
      </c>
      <c r="AA99" s="83">
        <f t="shared" si="199"/>
        <v>4.7290150255401953E-2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3.9039942729691246E-2</v>
      </c>
      <c r="F100" s="83">
        <f t="shared" si="178"/>
        <v>6.9652487127551233E-2</v>
      </c>
      <c r="G100" s="83">
        <f t="shared" si="179"/>
        <v>7.3230439857487228E-2</v>
      </c>
      <c r="H100" s="83">
        <f t="shared" si="180"/>
        <v>2.3984582558151057E-2</v>
      </c>
      <c r="I100" s="83">
        <f t="shared" si="181"/>
        <v>6.0272302983591874E-2</v>
      </c>
      <c r="J100" s="83">
        <f t="shared" si="182"/>
        <v>4.7215137086230596E-2</v>
      </c>
      <c r="K100" s="83">
        <f t="shared" si="183"/>
        <v>6.6530439113224649E-2</v>
      </c>
      <c r="L100" s="83">
        <f t="shared" si="184"/>
        <v>2.1022267196237898E-2</v>
      </c>
      <c r="M100" s="83">
        <f t="shared" si="185"/>
        <v>-5.2761124609447596E-2</v>
      </c>
      <c r="N100" s="83">
        <f t="shared" si="186"/>
        <v>9.4133483310876453E-3</v>
      </c>
      <c r="O100" s="83">
        <f t="shared" si="187"/>
        <v>2.588533027869655E-3</v>
      </c>
      <c r="P100" s="83">
        <f t="shared" si="188"/>
        <v>-2.404934976148343E-2</v>
      </c>
      <c r="Q100" s="83">
        <f t="shared" si="189"/>
        <v>-2.2750256122289203E-3</v>
      </c>
      <c r="R100" s="83">
        <f t="shared" si="190"/>
        <v>2.1872932966648939E-4</v>
      </c>
      <c r="S100" s="83">
        <f t="shared" si="191"/>
        <v>2.514515839269893E-2</v>
      </c>
      <c r="T100" s="83">
        <f t="shared" si="192"/>
        <v>3.3300975654611653E-2</v>
      </c>
      <c r="U100" s="83">
        <f t="shared" si="193"/>
        <v>3.8503232933930764E-2</v>
      </c>
      <c r="V100" s="83">
        <f t="shared" si="194"/>
        <v>2.8866452523152786E-2</v>
      </c>
      <c r="W100" s="83">
        <f t="shared" si="195"/>
        <v>2.4001016824065413E-2</v>
      </c>
      <c r="X100" s="83">
        <f t="shared" si="196"/>
        <v>-7.0727674878552804E-2</v>
      </c>
      <c r="Y100" s="83">
        <f t="shared" si="197"/>
        <v>0.11783820019011615</v>
      </c>
      <c r="Z100" s="83">
        <f t="shared" si="198"/>
        <v>8.2225122421102359E-2</v>
      </c>
      <c r="AA100" s="83">
        <f t="shared" si="199"/>
        <v>2.041050622582663E-2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-1.5213399787548654E-2</v>
      </c>
      <c r="F101" s="84">
        <f t="shared" si="178"/>
        <v>4.6234784193876166E-2</v>
      </c>
      <c r="G101" s="84">
        <f t="shared" si="179"/>
        <v>4.831164155978529E-2</v>
      </c>
      <c r="H101" s="84">
        <f t="shared" si="180"/>
        <v>5.2390406180041316E-2</v>
      </c>
      <c r="I101" s="84">
        <f t="shared" si="181"/>
        <v>2.1540329527480973E-2</v>
      </c>
      <c r="J101" s="84">
        <f t="shared" si="182"/>
        <v>2.4705220010835971E-2</v>
      </c>
      <c r="K101" s="84">
        <f t="shared" si="183"/>
        <v>4.0769390527323424E-2</v>
      </c>
      <c r="L101" s="84">
        <f t="shared" si="184"/>
        <v>1.9351256468660649E-2</v>
      </c>
      <c r="M101" s="84">
        <f t="shared" si="185"/>
        <v>-3.0947282436659673E-3</v>
      </c>
      <c r="N101" s="84">
        <f t="shared" si="186"/>
        <v>8.5003403946941614E-3</v>
      </c>
      <c r="O101" s="84">
        <f t="shared" si="187"/>
        <v>-5.4640066537769982E-4</v>
      </c>
      <c r="P101" s="84">
        <f t="shared" si="188"/>
        <v>-1.552827186560457E-2</v>
      </c>
      <c r="Q101" s="84">
        <f t="shared" si="189"/>
        <v>1.9635008342082649E-2</v>
      </c>
      <c r="R101" s="84">
        <f t="shared" si="190"/>
        <v>-7.8216562975351733E-3</v>
      </c>
      <c r="S101" s="84">
        <f t="shared" si="191"/>
        <v>2.6739410622120818E-2</v>
      </c>
      <c r="T101" s="84">
        <f t="shared" si="192"/>
        <v>5.8227899005198314E-2</v>
      </c>
      <c r="U101" s="84">
        <f t="shared" si="193"/>
        <v>4.6163788892123581E-2</v>
      </c>
      <c r="V101" s="84">
        <f t="shared" si="194"/>
        <v>3.803893613136311E-2</v>
      </c>
      <c r="W101" s="84">
        <f t="shared" si="195"/>
        <v>2.2100510091568548E-2</v>
      </c>
      <c r="X101" s="84">
        <f t="shared" si="196"/>
        <v>-0.11203045868790706</v>
      </c>
      <c r="Y101" s="84">
        <f t="shared" si="197"/>
        <v>0.14410713004801723</v>
      </c>
      <c r="Z101" s="84">
        <f t="shared" si="198"/>
        <v>0.10155101450226711</v>
      </c>
      <c r="AA101" s="84">
        <f t="shared" si="199"/>
        <v>1.5905931671341467E-2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6.9971542992095737E-2</v>
      </c>
      <c r="F102" s="84">
        <f t="shared" si="178"/>
        <v>7.8685260748427632E-2</v>
      </c>
      <c r="G102" s="84">
        <f t="shared" si="179"/>
        <v>7.4096587649804535E-2</v>
      </c>
      <c r="H102" s="84">
        <f t="shared" si="180"/>
        <v>3.2574977183181142E-2</v>
      </c>
      <c r="I102" s="84">
        <f t="shared" si="181"/>
        <v>9.6458643525524357E-2</v>
      </c>
      <c r="J102" s="84">
        <f t="shared" si="182"/>
        <v>6.462645291208613E-2</v>
      </c>
      <c r="K102" s="84">
        <f t="shared" si="183"/>
        <v>0.11041493200555808</v>
      </c>
      <c r="L102" s="84">
        <f t="shared" si="184"/>
        <v>1.8113264920058603E-2</v>
      </c>
      <c r="M102" s="84">
        <f t="shared" si="185"/>
        <v>-4.5014182224303978E-2</v>
      </c>
      <c r="N102" s="84">
        <f t="shared" si="186"/>
        <v>-2.3206454345702232E-3</v>
      </c>
      <c r="O102" s="84">
        <f t="shared" si="187"/>
        <v>5.5208460427913497E-3</v>
      </c>
      <c r="P102" s="84">
        <f t="shared" si="188"/>
        <v>-3.430297964211948E-2</v>
      </c>
      <c r="Q102" s="84">
        <f t="shared" si="189"/>
        <v>-1.7006948250885556E-2</v>
      </c>
      <c r="R102" s="84">
        <f t="shared" si="190"/>
        <v>3.6608332944856325E-3</v>
      </c>
      <c r="S102" s="84">
        <f t="shared" si="191"/>
        <v>8.2332713479587039E-3</v>
      </c>
      <c r="T102" s="84">
        <f t="shared" si="192"/>
        <v>3.0193964190112776E-2</v>
      </c>
      <c r="U102" s="84">
        <f t="shared" si="193"/>
        <v>2.9409518688328751E-2</v>
      </c>
      <c r="V102" s="84">
        <f t="shared" si="194"/>
        <v>9.7813760151976847E-3</v>
      </c>
      <c r="W102" s="84">
        <f t="shared" si="195"/>
        <v>3.1042179549420901E-2</v>
      </c>
      <c r="X102" s="84">
        <f t="shared" si="196"/>
        <v>-4.5942927059689609E-2</v>
      </c>
      <c r="Y102" s="84">
        <f t="shared" si="197"/>
        <v>9.9048315549274513E-2</v>
      </c>
      <c r="Z102" s="84">
        <f t="shared" si="198"/>
        <v>6.7927711783962064E-2</v>
      </c>
      <c r="AA102" s="84">
        <f t="shared" si="199"/>
        <v>-6.1181729905936955E-3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0.10173404176006029</v>
      </c>
      <c r="F103" s="84">
        <f t="shared" si="178"/>
        <v>9.9867771074289902E-2</v>
      </c>
      <c r="G103" s="84">
        <f t="shared" si="179"/>
        <v>0.11916834891365036</v>
      </c>
      <c r="H103" s="84">
        <f t="shared" si="180"/>
        <v>-4.1714062196856028E-2</v>
      </c>
      <c r="I103" s="84">
        <f t="shared" si="181"/>
        <v>6.8294106638798091E-2</v>
      </c>
      <c r="J103" s="84">
        <f t="shared" si="182"/>
        <v>5.5878382998163056E-2</v>
      </c>
      <c r="K103" s="84">
        <f t="shared" si="183"/>
        <v>2.8148300362091261E-2</v>
      </c>
      <c r="L103" s="84">
        <f t="shared" si="184"/>
        <v>3.02055242951762E-2</v>
      </c>
      <c r="M103" s="84">
        <f t="shared" si="185"/>
        <v>-0.15936936136446489</v>
      </c>
      <c r="N103" s="84">
        <f t="shared" si="186"/>
        <v>3.903240755713866E-2</v>
      </c>
      <c r="O103" s="84">
        <f t="shared" si="187"/>
        <v>2.5332451842681181E-3</v>
      </c>
      <c r="P103" s="84">
        <f t="shared" si="188"/>
        <v>-1.8609686039368523E-2</v>
      </c>
      <c r="Q103" s="84">
        <f t="shared" si="189"/>
        <v>-1.5361443835496313E-2</v>
      </c>
      <c r="R103" s="84">
        <f t="shared" si="190"/>
        <v>1.0018870560857707E-2</v>
      </c>
      <c r="S103" s="84">
        <f t="shared" si="191"/>
        <v>5.9200439510380898E-2</v>
      </c>
      <c r="T103" s="84">
        <f t="shared" si="192"/>
        <v>-1.1729111320695318E-2</v>
      </c>
      <c r="U103" s="84">
        <f t="shared" si="193"/>
        <v>4.1515303047743535E-2</v>
      </c>
      <c r="V103" s="84">
        <f t="shared" si="194"/>
        <v>4.9909046546663838E-2</v>
      </c>
      <c r="W103" s="84">
        <f t="shared" si="195"/>
        <v>1.3472560472856276E-2</v>
      </c>
      <c r="X103" s="84">
        <f t="shared" si="196"/>
        <v>-3.1746147453233675E-2</v>
      </c>
      <c r="Y103" s="84">
        <f t="shared" si="197"/>
        <v>0.10372655831311794</v>
      </c>
      <c r="Z103" s="84">
        <f t="shared" si="198"/>
        <v>7.126964293676652E-2</v>
      </c>
      <c r="AA103" s="84">
        <f t="shared" si="199"/>
        <v>8.5332375007573846E-2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-7.5902567072555049E-2</v>
      </c>
      <c r="F104" s="83">
        <f t="shared" si="178"/>
        <v>-0.10810218059497501</v>
      </c>
      <c r="G104" s="83">
        <f t="shared" si="179"/>
        <v>8.5087679674468175E-2</v>
      </c>
      <c r="H104" s="83">
        <f t="shared" si="180"/>
        <v>0.20873959356913296</v>
      </c>
      <c r="I104" s="83">
        <f t="shared" si="181"/>
        <v>-3.0364337742715963E-2</v>
      </c>
      <c r="J104" s="83">
        <f t="shared" si="182"/>
        <v>-8.9701078716325822E-2</v>
      </c>
      <c r="K104" s="83">
        <f t="shared" si="183"/>
        <v>-8.7369403966345072E-2</v>
      </c>
      <c r="L104" s="83">
        <f t="shared" si="184"/>
        <v>-0.12435474175661698</v>
      </c>
      <c r="M104" s="83">
        <f t="shared" si="185"/>
        <v>0.23837419153789696</v>
      </c>
      <c r="N104" s="83">
        <f t="shared" si="186"/>
        <v>0.21405394133179145</v>
      </c>
      <c r="O104" s="83">
        <f t="shared" si="187"/>
        <v>0.11734611559121189</v>
      </c>
      <c r="P104" s="83">
        <f t="shared" si="188"/>
        <v>3.8671917874153028E-2</v>
      </c>
      <c r="Q104" s="83">
        <f t="shared" si="189"/>
        <v>-1.4382087387857179E-2</v>
      </c>
      <c r="R104" s="83">
        <f t="shared" si="190"/>
        <v>-5.1131033711393936E-2</v>
      </c>
      <c r="S104" s="83">
        <f t="shared" si="191"/>
        <v>-1.8688450189883521E-2</v>
      </c>
      <c r="T104" s="83">
        <f t="shared" si="192"/>
        <v>-4.0127239856104113E-2</v>
      </c>
      <c r="U104" s="83">
        <f t="shared" si="193"/>
        <v>-8.0486761506861293E-2</v>
      </c>
      <c r="V104" s="83">
        <f t="shared" si="194"/>
        <v>-0.10328142819190533</v>
      </c>
      <c r="W104" s="83">
        <f t="shared" si="195"/>
        <v>0.11362765074520542</v>
      </c>
      <c r="X104" s="83">
        <f t="shared" si="196"/>
        <v>-0.42519579535965002</v>
      </c>
      <c r="Y104" s="83">
        <f t="shared" si="197"/>
        <v>0.36458605057359161</v>
      </c>
      <c r="Z104" s="83">
        <f t="shared" si="198"/>
        <v>0.34312012652977231</v>
      </c>
      <c r="AA104" s="83">
        <f t="shared" si="199"/>
        <v>8.6012045885836885E-2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0.15553098927838671</v>
      </c>
      <c r="F105" s="83">
        <f t="shared" si="178"/>
        <v>5.4682725768207208E-2</v>
      </c>
      <c r="G105" s="83">
        <f t="shared" si="179"/>
        <v>0.26466114687569453</v>
      </c>
      <c r="H105" s="83">
        <f t="shared" si="180"/>
        <v>7.0342662419181634E-2</v>
      </c>
      <c r="I105" s="83">
        <f t="shared" si="181"/>
        <v>0.12022748384025639</v>
      </c>
      <c r="J105" s="83">
        <f t="shared" si="182"/>
        <v>8.6252023095977126E-2</v>
      </c>
      <c r="K105" s="83">
        <f t="shared" si="183"/>
        <v>5.7126070438280108E-2</v>
      </c>
      <c r="L105" s="83">
        <f t="shared" si="184"/>
        <v>5.7350060587391338E-2</v>
      </c>
      <c r="M105" s="83">
        <f t="shared" si="185"/>
        <v>-0.12373419979028244</v>
      </c>
      <c r="N105" s="83">
        <f t="shared" si="186"/>
        <v>-0.25837755742470636</v>
      </c>
      <c r="O105" s="83">
        <f t="shared" si="187"/>
        <v>-8.3112637842218007E-2</v>
      </c>
      <c r="P105" s="83">
        <f t="shared" si="188"/>
        <v>-0.16246882316266609</v>
      </c>
      <c r="Q105" s="83">
        <f t="shared" si="189"/>
        <v>4.5001641649422552E-3</v>
      </c>
      <c r="R105" s="83">
        <f t="shared" si="190"/>
        <v>-1.2134349183362425E-2</v>
      </c>
      <c r="S105" s="83">
        <f t="shared" si="191"/>
        <v>4.599796984924609E-2</v>
      </c>
      <c r="T105" s="83">
        <f t="shared" si="192"/>
        <v>6.4551596950839896E-2</v>
      </c>
      <c r="U105" s="83">
        <f t="shared" si="193"/>
        <v>3.7718264351414676E-2</v>
      </c>
      <c r="V105" s="83">
        <f t="shared" si="194"/>
        <v>0.11663870040958191</v>
      </c>
      <c r="W105" s="83">
        <f t="shared" si="195"/>
        <v>0.13506769538971741</v>
      </c>
      <c r="X105" s="83">
        <f t="shared" si="196"/>
        <v>2.7857175418722901E-2</v>
      </c>
      <c r="Y105" s="83">
        <f t="shared" si="197"/>
        <v>0.10969412877308948</v>
      </c>
      <c r="Z105" s="83">
        <f t="shared" si="198"/>
        <v>6.3155177716119226E-2</v>
      </c>
      <c r="AA105" s="83">
        <f t="shared" si="199"/>
        <v>0.20182146837068315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2.951236247759681E-2</v>
      </c>
      <c r="F106" s="83">
        <f t="shared" si="178"/>
        <v>2.2370401842144672E-2</v>
      </c>
      <c r="G106" s="83">
        <f t="shared" si="179"/>
        <v>1.1062448843061068E-2</v>
      </c>
      <c r="H106" s="83">
        <f t="shared" si="180"/>
        <v>2.350082637315376E-2</v>
      </c>
      <c r="I106" s="83">
        <f t="shared" si="181"/>
        <v>-1.0612221796014731E-2</v>
      </c>
      <c r="J106" s="83">
        <f t="shared" si="182"/>
        <v>2.8528451106483166E-2</v>
      </c>
      <c r="K106" s="83">
        <f t="shared" si="183"/>
        <v>4.3593247787086842E-2</v>
      </c>
      <c r="L106" s="83">
        <f t="shared" si="184"/>
        <v>7.7901939953535226E-3</v>
      </c>
      <c r="M106" s="83">
        <f t="shared" si="185"/>
        <v>-0.10223941218056343</v>
      </c>
      <c r="N106" s="83">
        <f t="shared" si="186"/>
        <v>-6.3914716046763465E-2</v>
      </c>
      <c r="O106" s="83">
        <f t="shared" si="187"/>
        <v>1.7706946843472959E-2</v>
      </c>
      <c r="P106" s="83">
        <f t="shared" si="188"/>
        <v>-4.1970986472829486E-2</v>
      </c>
      <c r="Q106" s="83">
        <f t="shared" si="189"/>
        <v>-4.1743868292454023E-2</v>
      </c>
      <c r="R106" s="83">
        <f t="shared" si="190"/>
        <v>3.7571514436337772E-2</v>
      </c>
      <c r="S106" s="83">
        <f t="shared" si="191"/>
        <v>3.228173420604441E-2</v>
      </c>
      <c r="T106" s="83">
        <f t="shared" si="192"/>
        <v>6.209873591044901E-2</v>
      </c>
      <c r="U106" s="83">
        <f t="shared" si="193"/>
        <v>1.4549762909764397E-2</v>
      </c>
      <c r="V106" s="83">
        <f t="shared" si="194"/>
        <v>-4.3151423138310108E-4</v>
      </c>
      <c r="W106" s="83">
        <f t="shared" si="195"/>
        <v>3.0963760208193802E-2</v>
      </c>
      <c r="X106" s="83">
        <f t="shared" si="196"/>
        <v>-4.6502944570931848E-2</v>
      </c>
      <c r="Y106" s="83">
        <f t="shared" si="197"/>
        <v>5.08607614133465E-2</v>
      </c>
      <c r="Z106" s="83">
        <f t="shared" si="198"/>
        <v>5.3446784386541601E-2</v>
      </c>
      <c r="AA106" s="83">
        <f t="shared" si="199"/>
        <v>3.2200203941385785E-2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-2.532078353564593E-2</v>
      </c>
      <c r="F107" s="87">
        <f t="shared" ref="F107:F108" si="201">IF(E33=0,"",F33/E33-1)</f>
        <v>0.38978441935806019</v>
      </c>
      <c r="G107" s="87">
        <f t="shared" ref="G107:G108" si="202">IF(F33=0,"",G33/F33-1)</f>
        <v>-0.19239378032132659</v>
      </c>
      <c r="H107" s="87">
        <f t="shared" ref="H107:H108" si="203">IF(G33=0,"",H33/G33-1)</f>
        <v>-8.4828583709722238E-2</v>
      </c>
      <c r="I107" s="87">
        <f t="shared" ref="I107:I108" si="204">IF(H33=0,"",I33/H33-1)</f>
        <v>0.31811587272596764</v>
      </c>
      <c r="J107" s="87">
        <f t="shared" ref="J107:J108" si="205">IF(I33=0,"",J33/I33-1)</f>
        <v>0.19348571077056831</v>
      </c>
      <c r="K107" s="87">
        <f t="shared" ref="K107:K108" si="206">IF(J33=0,"",K33/J33-1)</f>
        <v>-0.16705370577879486</v>
      </c>
      <c r="L107" s="87">
        <f t="shared" ref="L107:L108" si="207">IF(K33=0,"",L33/K33-1)</f>
        <v>-0.26338762794475412</v>
      </c>
      <c r="M107" s="87">
        <f t="shared" ref="M107:M108" si="208">IF(L33=0,"",M33/L33-1)</f>
        <v>-0.18064362976962023</v>
      </c>
      <c r="N107" s="87">
        <f t="shared" ref="N107:N108" si="209">IF(M33=0,"",N33/M33-1)</f>
        <v>0.32546009315785396</v>
      </c>
      <c r="O107" s="87">
        <f t="shared" ref="O107:O108" si="210">IF(N33=0,"",O33/N33-1)</f>
        <v>6.8972013109480423E-2</v>
      </c>
      <c r="P107" s="87">
        <f t="shared" ref="P107:P108" si="211">IF(O33=0,"",P33/O33-1)</f>
        <v>-0.16653415137770566</v>
      </c>
      <c r="Q107" s="87">
        <f t="shared" ref="Q107:Q108" si="212">IF(P33=0,"",Q33/P33-1)</f>
        <v>-1.0688927536494086E-2</v>
      </c>
      <c r="R107" s="87">
        <f t="shared" ref="R107:R108" si="213">IF(Q33=0,"",R33/Q33-1)</f>
        <v>2.2285161495462891E-2</v>
      </c>
      <c r="S107" s="87">
        <f t="shared" ref="S107:S108" si="214">IF(R33=0,"",S33/R33-1)</f>
        <v>-0.14482952789699588</v>
      </c>
      <c r="T107" s="87">
        <f t="shared" ref="T107:T108" si="215">IF(S33=0,"",T33/S33-1)</f>
        <v>1.8554986325982181E-2</v>
      </c>
      <c r="U107" s="87">
        <f t="shared" ref="U107:U108" si="216">IF(T33=0,"",U33/T33-1)</f>
        <v>-4.6867389100682333E-2</v>
      </c>
      <c r="V107" s="87">
        <f t="shared" ref="V107:V108" si="217">IF(U33=0,"",V33/U33-1)</f>
        <v>0.13862516756442123</v>
      </c>
      <c r="W107" s="87">
        <f t="shared" ref="W107:W108" si="218">IF(V33=0,"",W33/V33-1)</f>
        <v>0.69090144641322215</v>
      </c>
      <c r="X107" s="87">
        <f t="shared" ref="X107:X108" si="219">IF(W33=0,"",X33/W33-1)</f>
        <v>-0.6322722910785834</v>
      </c>
      <c r="Y107" s="87">
        <f t="shared" ref="Y107:Y108" si="220">IF(X33=0,"",Y33/X33-1)</f>
        <v>-0.35755278984742178</v>
      </c>
      <c r="Z107" s="87">
        <f t="shared" si="198"/>
        <v>0.71839640116525905</v>
      </c>
      <c r="AA107" s="87">
        <f t="shared" si="199"/>
        <v>8.1268931399686162E-2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-2.5320783535645819E-2</v>
      </c>
      <c r="F108" s="89">
        <f t="shared" si="201"/>
        <v>0.38978441935806019</v>
      </c>
      <c r="G108" s="89">
        <f t="shared" si="202"/>
        <v>-7.1431779020751596E-2</v>
      </c>
      <c r="H108" s="89">
        <f t="shared" si="203"/>
        <v>-8.4828583709722349E-2</v>
      </c>
      <c r="I108" s="89">
        <f t="shared" si="204"/>
        <v>0.31811587272596786</v>
      </c>
      <c r="J108" s="89">
        <f t="shared" si="205"/>
        <v>0.19348571077056809</v>
      </c>
      <c r="K108" s="89">
        <f t="shared" si="206"/>
        <v>-0.16705370577879497</v>
      </c>
      <c r="L108" s="89">
        <f t="shared" si="207"/>
        <v>-0.26338762794475412</v>
      </c>
      <c r="M108" s="89">
        <f t="shared" si="208"/>
        <v>-0.37877361231481543</v>
      </c>
      <c r="N108" s="89">
        <f t="shared" si="209"/>
        <v>2.6411389072764995</v>
      </c>
      <c r="O108" s="89">
        <f t="shared" si="210"/>
        <v>-0.17133621057615933</v>
      </c>
      <c r="P108" s="89">
        <f t="shared" si="211"/>
        <v>-0.46782825382245419</v>
      </c>
      <c r="Q108" s="89">
        <f t="shared" si="212"/>
        <v>0.67555254427150868</v>
      </c>
      <c r="R108" s="89">
        <f t="shared" si="213"/>
        <v>0.46066467459117666</v>
      </c>
      <c r="S108" s="89">
        <f t="shared" si="214"/>
        <v>-0.26931598224311148</v>
      </c>
      <c r="T108" s="89">
        <f t="shared" si="215"/>
        <v>0.10536980814556296</v>
      </c>
      <c r="U108" s="89">
        <f t="shared" si="216"/>
        <v>-0.26149401279989049</v>
      </c>
      <c r="V108" s="89">
        <f t="shared" si="217"/>
        <v>-0.3911862607613561</v>
      </c>
      <c r="W108" s="89">
        <f t="shared" si="218"/>
        <v>1.850328845719841</v>
      </c>
      <c r="X108" s="89">
        <f t="shared" si="219"/>
        <v>-0.64474216503293513</v>
      </c>
      <c r="Y108" s="89">
        <f t="shared" si="220"/>
        <v>-0.46260760929850031</v>
      </c>
      <c r="Z108" s="89">
        <f t="shared" si="198"/>
        <v>1.3410842682951527</v>
      </c>
      <c r="AA108" s="89">
        <f t="shared" si="199"/>
        <v>-0.10122290592671335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-2.532078353564593E-2</v>
      </c>
      <c r="F109" s="89">
        <f t="shared" ref="F109" si="222">IF(E37=0,"",F37/E37-1)</f>
        <v>0.38978441935805996</v>
      </c>
      <c r="G109" s="89">
        <f t="shared" ref="G109" si="223">IF(F37=0,"",G37/F37-1)</f>
        <v>-0.23313482348546122</v>
      </c>
      <c r="H109" s="89">
        <f t="shared" ref="H109" si="224">IF(G37=0,"",H37/G37-1)</f>
        <v>-8.4828583709722127E-2</v>
      </c>
      <c r="I109" s="89">
        <f t="shared" ref="I109" si="225">IF(H37=0,"",I37/H37-1)</f>
        <v>0.31811587272596764</v>
      </c>
      <c r="J109" s="89">
        <f t="shared" ref="J109" si="226">IF(I37=0,"",J37/I37-1)</f>
        <v>0.19348571077056786</v>
      </c>
      <c r="K109" s="89">
        <f t="shared" ref="K109" si="227">IF(J37=0,"",K37/J37-1)</f>
        <v>-0.16705370577879475</v>
      </c>
      <c r="L109" s="89">
        <f t="shared" ref="L109" si="228">IF(K37=0,"",L37/K37-1)</f>
        <v>-0.26338762794475401</v>
      </c>
      <c r="M109" s="89">
        <f t="shared" ref="M109" si="229">IF(L37=0,"",M37/L37-1)</f>
        <v>-9.9840500115907949E-2</v>
      </c>
      <c r="N109" s="89">
        <f t="shared" ref="N109" si="230">IF(M37=0,"",N37/M37-1)</f>
        <v>-0.32629844449412349</v>
      </c>
      <c r="O109" s="89">
        <f t="shared" ref="O109" si="231">IF(N37=0,"",O37/N37-1)</f>
        <v>0.43452196996279024</v>
      </c>
      <c r="P109" s="89">
        <f t="shared" ref="P109" si="232">IF(O37=0,"",P37/O37-1)</f>
        <v>9.8218240458381123E-2</v>
      </c>
      <c r="Q109" s="89">
        <f t="shared" ref="Q109" si="233">IF(P37=0,"",Q37/P37-1)</f>
        <v>-0.3028950979857159</v>
      </c>
      <c r="R109" s="89">
        <f t="shared" ref="R109" si="234">IF(Q37=0,"",R37/Q37-1)</f>
        <v>-0.42638024679104813</v>
      </c>
      <c r="S109" s="89">
        <f t="shared" ref="S109" si="235">IF(R37=0,"",S37/R37-1)</f>
        <v>0.17960036447350136</v>
      </c>
      <c r="T109" s="89">
        <f t="shared" ref="T109" si="236">IF(S37=0,"",T37/S37-1)</f>
        <v>-0.12159315851780939</v>
      </c>
      <c r="U109" s="89">
        <f t="shared" ref="U109" si="237">IF(T37=0,"",U37/T37-1)</f>
        <v>0.38913508869699531</v>
      </c>
      <c r="V109" s="89">
        <f t="shared" ref="V109" si="238">IF(U37=0,"",V37/U37-1)</f>
        <v>0.71080984652294354</v>
      </c>
      <c r="W109" s="89">
        <f t="shared" ref="W109" si="239">IF(V37=0,"",W37/V37-1)</f>
        <v>0.24530556753774535</v>
      </c>
      <c r="X109" s="89">
        <f t="shared" ref="X109" si="240">IF(W37=0,"",X37/W37-1)</f>
        <v>-0.6213029962832195</v>
      </c>
      <c r="Y109" s="89">
        <f t="shared" ref="Y109" si="241">IF(X37=0,"",Y37/X37-1)</f>
        <v>-0.27085971217808447</v>
      </c>
      <c r="Z109" s="89">
        <f t="shared" ref="Z109" si="242">IF(Y37=0,"",Z37/Y37-1)</f>
        <v>0.33967551103275451</v>
      </c>
      <c r="AA109" s="89">
        <f t="shared" ref="AA109" si="243">IF(Z37=0,"",AA37/Z37-1)</f>
        <v>0.27522783890816593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1.7534749298603547E-2</v>
      </c>
      <c r="F110" s="89">
        <f t="shared" ref="F110:F111" si="245">IF(E43=0,"",F43/E43-1)</f>
        <v>-0.21592589579957566</v>
      </c>
      <c r="G110" s="89">
        <f t="shared" ref="G110:G111" si="246">IF(F43=0,"",G43/F43-1)</f>
        <v>-0.12309753749910202</v>
      </c>
      <c r="H110" s="89">
        <f t="shared" ref="H110:H111" si="247">IF(G43=0,"",H43/G43-1)</f>
        <v>-1.3916871823224541E-2</v>
      </c>
      <c r="I110" s="89">
        <f t="shared" ref="I110:I111" si="248">IF(H43=0,"",I43/H43-1)</f>
        <v>-3.8407980376330086E-2</v>
      </c>
      <c r="J110" s="89">
        <f t="shared" ref="J110:J111" si="249">IF(I43=0,"",J43/I43-1)</f>
        <v>-0.25172710860014214</v>
      </c>
      <c r="K110" s="89">
        <f t="shared" ref="K110:K111" si="250">IF(J43=0,"",K43/J43-1)</f>
        <v>0.12188802898289386</v>
      </c>
      <c r="L110" s="89">
        <f t="shared" ref="L110:L111" si="251">IF(K43=0,"",L43/K43-1)</f>
        <v>0.20808490827033066</v>
      </c>
      <c r="M110" s="89">
        <f t="shared" ref="M110:M111" si="252">IF(L43=0,"",M43/L43-1)</f>
        <v>-0.16843960904519917</v>
      </c>
      <c r="N110" s="89">
        <f t="shared" ref="N110:N111" si="253">IF(M43=0,"",N43/M43-1)</f>
        <v>0.17455471438403292</v>
      </c>
      <c r="O110" s="89">
        <f t="shared" ref="O110:O111" si="254">IF(N43=0,"",O43/N43-1)</f>
        <v>-3.4547337564257097E-2</v>
      </c>
      <c r="P110" s="89">
        <f t="shared" ref="P110:P111" si="255">IF(O43=0,"",P43/O43-1)</f>
        <v>7.050169711206089E-2</v>
      </c>
      <c r="Q110" s="89">
        <f t="shared" ref="Q110:Q111" si="256">IF(P43=0,"",Q43/P43-1)</f>
        <v>-6.1582285553738125E-2</v>
      </c>
      <c r="R110" s="89">
        <f t="shared" ref="R110:R111" si="257">IF(Q43=0,"",R43/Q43-1)</f>
        <v>4.0171459916038321E-2</v>
      </c>
      <c r="S110" s="89">
        <f t="shared" ref="S110:S111" si="258">IF(R43=0,"",S43/R43-1)</f>
        <v>1.2197099763765262E-2</v>
      </c>
      <c r="T110" s="89">
        <f t="shared" ref="T110:T111" si="259">IF(S43=0,"",T43/S43-1)</f>
        <v>-2.9050789690937662E-2</v>
      </c>
      <c r="U110" s="89">
        <f t="shared" ref="U110:U111" si="260">IF(T43=0,"",U43/T43-1)</f>
        <v>-5.6139214950996497E-2</v>
      </c>
      <c r="V110" s="89">
        <f t="shared" ref="V110:V111" si="261">IF(U43=0,"",V43/U43-1)</f>
        <v>-5.4211222914220425E-2</v>
      </c>
      <c r="W110" s="89">
        <f t="shared" ref="W110:W111" si="262">IF(V43=0,"",W43/V43-1)</f>
        <v>0.14380033694712746</v>
      </c>
      <c r="X110" s="89">
        <f t="shared" ref="X110:X111" si="263">IF(W43=0,"",X43/W43-1)</f>
        <v>0.14652349437823453</v>
      </c>
      <c r="Y110" s="89">
        <f t="shared" ref="Y110:Y111" si="264">IF(X43=0,"",Y43/X43-1)</f>
        <v>-0.16648515396356789</v>
      </c>
      <c r="Z110" s="89">
        <f t="shared" ref="Z110:Z111" si="265">IF(Y43=0,"",Z43/Y43-1)</f>
        <v>-9.8889000776379854E-2</v>
      </c>
      <c r="AA110" s="89">
        <f t="shared" ref="AA110:AA111" si="266">IF(Z43=0,"",AA43/Z43-1)</f>
        <v>-2.0152612968545758E-2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1.2257863050038509E-2</v>
      </c>
      <c r="F111" s="89">
        <f t="shared" si="245"/>
        <v>-0.2373056015021755</v>
      </c>
      <c r="G111" s="89">
        <f t="shared" si="246"/>
        <v>-0.15791025278834525</v>
      </c>
      <c r="H111" s="89">
        <f t="shared" si="247"/>
        <v>4.8137274182795675E-3</v>
      </c>
      <c r="I111" s="89">
        <f t="shared" si="248"/>
        <v>6.3181328545576898E-2</v>
      </c>
      <c r="J111" s="89">
        <f t="shared" si="249"/>
        <v>-0.20874923694074821</v>
      </c>
      <c r="K111" s="89">
        <f t="shared" si="250"/>
        <v>0.12371044561532907</v>
      </c>
      <c r="L111" s="89">
        <f t="shared" si="251"/>
        <v>4.9295734135978764E-2</v>
      </c>
      <c r="M111" s="89">
        <f t="shared" si="252"/>
        <v>-0.1095040419059895</v>
      </c>
      <c r="N111" s="89">
        <f t="shared" si="253"/>
        <v>0.11927381941585069</v>
      </c>
      <c r="O111" s="89">
        <f t="shared" si="254"/>
        <v>-1.6016986594464155E-2</v>
      </c>
      <c r="P111" s="89">
        <f t="shared" si="255"/>
        <v>-5.6276402426280736E-4</v>
      </c>
      <c r="Q111" s="89">
        <f t="shared" si="256"/>
        <v>-0.17088280230916364</v>
      </c>
      <c r="R111" s="89">
        <f t="shared" si="257"/>
        <v>-3.0845338660224542E-2</v>
      </c>
      <c r="S111" s="89">
        <f t="shared" si="258"/>
        <v>0.10532498777506105</v>
      </c>
      <c r="T111" s="89">
        <f t="shared" si="259"/>
        <v>-7.8192140555419898E-2</v>
      </c>
      <c r="U111" s="89">
        <f t="shared" si="260"/>
        <v>-5.3221802133872731E-2</v>
      </c>
      <c r="V111" s="89">
        <f t="shared" si="261"/>
        <v>-0.17282888447679956</v>
      </c>
      <c r="W111" s="89">
        <f t="shared" si="262"/>
        <v>0.54841735196630848</v>
      </c>
      <c r="X111" s="89">
        <f t="shared" si="263"/>
        <v>0.12324386399308707</v>
      </c>
      <c r="Y111" s="89">
        <f t="shared" si="264"/>
        <v>-0.18540855379140719</v>
      </c>
      <c r="Z111" s="89">
        <f t="shared" si="265"/>
        <v>-0.3090297919937004</v>
      </c>
      <c r="AA111" s="89">
        <f t="shared" si="266"/>
        <v>-1.2491468403854289E-2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2.0854282536673763E-2</v>
      </c>
      <c r="F112" s="89">
        <f t="shared" ref="F112:F113" si="268">IF(E47=0,"",F47/E47-1)</f>
        <v>-0.20258980892728873</v>
      </c>
      <c r="G112" s="89">
        <f t="shared" ref="G112:G113" si="269">IF(F47=0,"",G47/F47-1)</f>
        <v>-0.1023276871931581</v>
      </c>
      <c r="H112" s="89">
        <f t="shared" ref="H112:H113" si="270">IF(G47=0,"",H47/G47-1)</f>
        <v>-2.4399922599278367E-2</v>
      </c>
      <c r="I112" s="89">
        <f t="shared" ref="I112:I113" si="271">IF(H47=0,"",I47/H47-1)</f>
        <v>-9.6967533921833216E-2</v>
      </c>
      <c r="J112" s="89">
        <f t="shared" ref="J112:J113" si="272">IF(I47=0,"",J47/I47-1)</f>
        <v>-0.28089457002801854</v>
      </c>
      <c r="K112" s="89">
        <f t="shared" ref="K112:K113" si="273">IF(J47=0,"",K47/J47-1)</f>
        <v>0.12052713914326563</v>
      </c>
      <c r="L112" s="89">
        <f t="shared" ref="L112:L113" si="274">IF(K47=0,"",L47/K47-1)</f>
        <v>0.32699760535493949</v>
      </c>
      <c r="M112" s="89">
        <f t="shared" ref="M112:M113" si="275">IF(L47=0,"",M47/L47-1)</f>
        <v>-0.20333857626088925</v>
      </c>
      <c r="N112" s="89">
        <f t="shared" ref="N112:N113" si="276">IF(M47=0,"",N47/M47-1)</f>
        <v>0.21114521384117158</v>
      </c>
      <c r="O112" s="89">
        <f t="shared" ref="O112:O113" si="277">IF(N47=0,"",O47/N47-1)</f>
        <v>-4.588222066183556E-2</v>
      </c>
      <c r="P112" s="89">
        <f t="shared" ref="P112:P113" si="278">IF(O47=0,"",P47/O47-1)</f>
        <v>0.11533198007622691</v>
      </c>
      <c r="Q112" s="89">
        <f t="shared" ref="Q112:Q113" si="279">IF(P47=0,"",Q47/P47-1)</f>
        <v>2.0407280923873117E-4</v>
      </c>
      <c r="R112" s="89">
        <f t="shared" ref="R112:R113" si="280">IF(Q47=0,"",R47/Q47-1)</f>
        <v>7.3449579579460522E-2</v>
      </c>
      <c r="S112" s="89">
        <f t="shared" ref="S112:S113" si="281">IF(R47=0,"",S47/R47-1)</f>
        <v>-2.7202234290147453E-2</v>
      </c>
      <c r="T112" s="89">
        <f t="shared" ref="T112:T113" si="282">IF(S47=0,"",T47/S47-1)</f>
        <v>-5.4284102229432696E-3</v>
      </c>
      <c r="U112" s="89">
        <f t="shared" ref="U112:U113" si="283">IF(T47=0,"",U47/T47-1)</f>
        <v>-5.743902172162596E-2</v>
      </c>
      <c r="V112" s="89">
        <f t="shared" ref="V112:V113" si="284">IF(U47=0,"",V47/U47-1)</f>
        <v>-1.1265606380003179E-3</v>
      </c>
      <c r="W112" s="89">
        <f t="shared" ref="W112:W113" si="285">IF(V47=0,"",W47/V47-1)</f>
        <v>-6.1504460981427478E-3</v>
      </c>
      <c r="X112" s="89">
        <f t="shared" ref="X112:X113" si="286">IF(W47=0,"",X47/W47-1)</f>
        <v>0.15996500436923333</v>
      </c>
      <c r="Y112" s="89">
        <f t="shared" ref="Y112:Y113" si="287">IF(X47=0,"",Y47/X47-1)</f>
        <v>-0.15590479720340711</v>
      </c>
      <c r="Z112" s="89">
        <f t="shared" ref="Z112:Z113" si="288">IF(Y47=0,"",Z47/Y47-1)</f>
        <v>1.4497126677243788E-2</v>
      </c>
      <c r="AA112" s="89">
        <f t="shared" ref="AA112:AA113" si="289">IF(Z47=0,"",AA47/Z47-1)</f>
        <v>-2.2968088248210172E-2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4.6529040139072997E-2</v>
      </c>
      <c r="F113" s="89">
        <f t="shared" si="268"/>
        <v>0.14567959230430105</v>
      </c>
      <c r="G113" s="89">
        <f t="shared" si="269"/>
        <v>7.2223288598605828E-2</v>
      </c>
      <c r="H113" s="89">
        <f t="shared" si="270"/>
        <v>4.8697685686107661E-2</v>
      </c>
      <c r="I113" s="89">
        <f t="shared" si="271"/>
        <v>-1.9062317287991237E-2</v>
      </c>
      <c r="J113" s="89">
        <f t="shared" si="272"/>
        <v>5.2513242749537614E-2</v>
      </c>
      <c r="K113" s="89">
        <f t="shared" si="273"/>
        <v>8.1875663192939596E-2</v>
      </c>
      <c r="L113" s="89">
        <f t="shared" si="274"/>
        <v>-3.2682002069764238E-2</v>
      </c>
      <c r="M113" s="89">
        <f t="shared" si="275"/>
        <v>-0.1835178847031087</v>
      </c>
      <c r="N113" s="89">
        <f t="shared" si="276"/>
        <v>-0.27608260942605845</v>
      </c>
      <c r="O113" s="89">
        <f t="shared" si="277"/>
        <v>-8.1570655564652261E-3</v>
      </c>
      <c r="P113" s="89">
        <f t="shared" si="278"/>
        <v>-2.3370903319522962E-2</v>
      </c>
      <c r="Q113" s="89">
        <f t="shared" si="279"/>
        <v>-1.036384419905434E-2</v>
      </c>
      <c r="R113" s="89">
        <f t="shared" si="280"/>
        <v>3.7266883288604724E-2</v>
      </c>
      <c r="S113" s="89">
        <f t="shared" si="281"/>
        <v>3.6173594424162125E-2</v>
      </c>
      <c r="T113" s="89">
        <f t="shared" si="282"/>
        <v>9.6758241818974078E-2</v>
      </c>
      <c r="U113" s="89">
        <f t="shared" si="283"/>
        <v>9.2561597110205618E-3</v>
      </c>
      <c r="V113" s="89">
        <f t="shared" si="284"/>
        <v>3.4656175510710874E-2</v>
      </c>
      <c r="W113" s="89">
        <f t="shared" si="285"/>
        <v>-7.3747586591099923E-2</v>
      </c>
      <c r="X113" s="89">
        <f t="shared" si="286"/>
        <v>0.21401342473449692</v>
      </c>
      <c r="Y113" s="89">
        <f t="shared" si="287"/>
        <v>2.1457146406003824E-2</v>
      </c>
      <c r="Z113" s="89">
        <f t="shared" si="288"/>
        <v>4.7878189273333538E-2</v>
      </c>
      <c r="AA113" s="89">
        <f t="shared" si="289"/>
        <v>0.11329019158779596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1.6169729214290607E-2</v>
      </c>
      <c r="F114" s="89">
        <f t="shared" ref="F114:F115" si="291">IF(E52=0,"",F52/E52-1)</f>
        <v>1.1517668143118165E-2</v>
      </c>
      <c r="G114" s="89">
        <f t="shared" ref="G114:G115" si="292">IF(F52=0,"",G52/F52-1)</f>
        <v>3.8920548966464574E-2</v>
      </c>
      <c r="H114" s="89">
        <f t="shared" ref="H114:H115" si="293">IF(G52=0,"",H52/G52-1)</f>
        <v>-4.4324857987109056E-2</v>
      </c>
      <c r="I114" s="89">
        <f t="shared" ref="I114:I115" si="294">IF(H52=0,"",I52/H52-1)</f>
        <v>-4.076190834250637E-2</v>
      </c>
      <c r="J114" s="89">
        <f t="shared" ref="J114:J115" si="295">IF(I52=0,"",J52/I52-1)</f>
        <v>-3.7377360515641112E-2</v>
      </c>
      <c r="K114" s="89">
        <f t="shared" ref="K114:K115" si="296">IF(J52=0,"",K52/J52-1)</f>
        <v>0.1227702065901195</v>
      </c>
      <c r="L114" s="89">
        <f t="shared" ref="L114:L115" si="297">IF(K52=0,"",L52/K52-1)</f>
        <v>6.3096449836265389E-2</v>
      </c>
      <c r="M114" s="89">
        <f t="shared" ref="M114:M115" si="298">IF(L52=0,"",M52/L52-1)</f>
        <v>-0.17338857819889464</v>
      </c>
      <c r="N114" s="89">
        <f t="shared" ref="N114:N115" si="299">IF(M52=0,"",N52/M52-1)</f>
        <v>-4.6219196341728441E-2</v>
      </c>
      <c r="O114" s="89">
        <f t="shared" ref="O114:O115" si="300">IF(N52=0,"",O52/N52-1)</f>
        <v>2.9265209641693435E-2</v>
      </c>
      <c r="P114" s="89">
        <f t="shared" ref="P114:P115" si="301">IF(O52=0,"",P52/O52-1)</f>
        <v>-6.593278456414553E-2</v>
      </c>
      <c r="Q114" s="89">
        <f t="shared" ref="Q114:Q115" si="302">IF(P52=0,"",Q52/P52-1)</f>
        <v>-6.5093266159286234E-3</v>
      </c>
      <c r="R114" s="89">
        <f t="shared" ref="R114:R115" si="303">IF(Q52=0,"",R52/Q52-1)</f>
        <v>7.5913040667551446E-2</v>
      </c>
      <c r="S114" s="89">
        <f t="shared" ref="S114:S115" si="304">IF(R52=0,"",S52/R52-1)</f>
        <v>8.9820715109573346E-2</v>
      </c>
      <c r="T114" s="89">
        <f t="shared" ref="T114:T115" si="305">IF(S52=0,"",T52/S52-1)</f>
        <v>-1.069552183771727E-2</v>
      </c>
      <c r="U114" s="89">
        <f t="shared" ref="U114:U115" si="306">IF(T52=0,"",U52/T52-1)</f>
        <v>1.874840296843594E-3</v>
      </c>
      <c r="V114" s="89">
        <f t="shared" ref="V114:V115" si="307">IF(U52=0,"",V52/U52-1)</f>
        <v>5.2941401805479016E-2</v>
      </c>
      <c r="W114" s="89">
        <f t="shared" ref="W114:W115" si="308">IF(V52=0,"",W52/V52-1)</f>
        <v>0.13303924121257227</v>
      </c>
      <c r="X114" s="89">
        <f t="shared" ref="X114:X115" si="309">IF(W52=0,"",X52/W52-1)</f>
        <v>4.3989296626557373E-2</v>
      </c>
      <c r="Y114" s="89">
        <f t="shared" ref="Y114:Y115" si="310">IF(X52=0,"",Y52/X52-1)</f>
        <v>0.25769742158853592</v>
      </c>
      <c r="Z114" s="89">
        <f t="shared" ref="Z114:Z115" si="311">IF(Y52=0,"",Z52/Y52-1)</f>
        <v>-0.23846290267430448</v>
      </c>
      <c r="AA114" s="89">
        <f t="shared" ref="AA114:AA115" si="312">IF(Z52=0,"",AA52/Z52-1)</f>
        <v>-7.5792330614668169E-2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2.9251706282912071E-2</v>
      </c>
      <c r="F115" s="89">
        <f t="shared" si="291"/>
        <v>-1.7033657186387607E-2</v>
      </c>
      <c r="G115" s="89">
        <f t="shared" si="292"/>
        <v>-8.433952295626812E-2</v>
      </c>
      <c r="H115" s="89">
        <f t="shared" si="293"/>
        <v>-5.2269456529032698E-3</v>
      </c>
      <c r="I115" s="89">
        <f t="shared" si="294"/>
        <v>-1.4300038315608665E-2</v>
      </c>
      <c r="J115" s="89">
        <f t="shared" si="295"/>
        <v>-0.10050365846685427</v>
      </c>
      <c r="K115" s="89">
        <f t="shared" si="296"/>
        <v>0.12088315526887916</v>
      </c>
      <c r="L115" s="89">
        <f t="shared" si="297"/>
        <v>3.0251996119705193E-2</v>
      </c>
      <c r="M115" s="89">
        <f t="shared" si="298"/>
        <v>-0.26618161255724615</v>
      </c>
      <c r="N115" s="89">
        <f t="shared" si="299"/>
        <v>-7.6547854498663415E-2</v>
      </c>
      <c r="O115" s="89">
        <f t="shared" si="300"/>
        <v>-1.6609357585971596E-3</v>
      </c>
      <c r="P115" s="89">
        <f t="shared" si="301"/>
        <v>-3.2791574119497291E-2</v>
      </c>
      <c r="Q115" s="89">
        <f t="shared" si="302"/>
        <v>-2.2962579613697742E-2</v>
      </c>
      <c r="R115" s="89">
        <f t="shared" si="303"/>
        <v>9.0754125079944403E-2</v>
      </c>
      <c r="S115" s="89">
        <f t="shared" si="304"/>
        <v>7.9706437768240379E-2</v>
      </c>
      <c r="T115" s="89">
        <f t="shared" si="305"/>
        <v>5.4406695699311447E-2</v>
      </c>
      <c r="U115" s="89">
        <f t="shared" si="306"/>
        <v>-0.10426383840133946</v>
      </c>
      <c r="V115" s="89">
        <f t="shared" si="307"/>
        <v>0.14944707695240522</v>
      </c>
      <c r="W115" s="89">
        <f t="shared" si="308"/>
        <v>0.16678305021484063</v>
      </c>
      <c r="X115" s="89">
        <f t="shared" si="309"/>
        <v>0.16010345598354347</v>
      </c>
      <c r="Y115" s="89">
        <f t="shared" si="310"/>
        <v>0.53834650863183175</v>
      </c>
      <c r="Z115" s="89">
        <f t="shared" si="311"/>
        <v>-0.27259846134910271</v>
      </c>
      <c r="AA115" s="89">
        <f t="shared" si="312"/>
        <v>-0.19027487936081611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3.2799322914829343E-3</v>
      </c>
      <c r="F116" s="89">
        <f t="shared" ref="F116:F122" si="314">IF(E56=0,"",F56/E56-1)</f>
        <v>4.0377808200868559E-2</v>
      </c>
      <c r="G116" s="89">
        <f t="shared" ref="G116:G122" si="315">IF(F56=0,"",G56/F56-1)</f>
        <v>0.15663835146821081</v>
      </c>
      <c r="H116" s="89">
        <f t="shared" ref="H116:H122" si="316">IF(G56=0,"",H56/G56-1)</f>
        <v>-7.3885249282213072E-2</v>
      </c>
      <c r="I116" s="89">
        <f t="shared" ref="I116:I122" si="317">IF(H56=0,"",I56/H56-1)</f>
        <v>-6.2251905274288255E-2</v>
      </c>
      <c r="J116" s="89">
        <f t="shared" ref="J116:J122" si="318">IF(I56=0,"",J56/I56-1)</f>
        <v>1.6509724523408709E-2</v>
      </c>
      <c r="K116" s="89">
        <f t="shared" ref="K116:K122" si="319">IF(J56=0,"",K56/J56-1)</f>
        <v>0.12419563675790601</v>
      </c>
      <c r="L116" s="89">
        <f t="shared" ref="L116:L122" si="320">IF(K56=0,"",L56/K56-1)</f>
        <v>8.783320465050104E-2</v>
      </c>
      <c r="M116" s="89">
        <f t="shared" ref="M116:M122" si="321">IF(L56=0,"",M56/L56-1)</f>
        <v>-0.10720089008475731</v>
      </c>
      <c r="N116" s="89">
        <f t="shared" ref="N116:N122" si="322">IF(M56=0,"",N56/M56-1)</f>
        <v>-2.8438454664050816E-2</v>
      </c>
      <c r="O116" s="89">
        <f t="shared" ref="O116:O122" si="323">IF(N56=0,"",O56/N56-1)</f>
        <v>4.6498434213629869E-2</v>
      </c>
      <c r="P116" s="89">
        <f t="shared" ref="P116:P122" si="324">IF(O56=0,"",P56/O56-1)</f>
        <v>-8.3550459913561359E-2</v>
      </c>
      <c r="Q116" s="89">
        <f t="shared" ref="Q116:Q122" si="325">IF(P56=0,"",Q56/P56-1)</f>
        <v>2.7215623208336481E-3</v>
      </c>
      <c r="R116" s="89">
        <f t="shared" ref="R116:R122" si="326">IF(Q56=0,"",R56/Q56-1)</f>
        <v>6.7799914522109983E-2</v>
      </c>
      <c r="S116" s="89">
        <f t="shared" ref="S116:S122" si="327">IF(R56=0,"",S56/R56-1)</f>
        <v>9.5468711803475159E-2</v>
      </c>
      <c r="T116" s="89">
        <f t="shared" ref="T116:T122" si="328">IF(S56=0,"",T56/S56-1)</f>
        <v>-4.6526698521569543E-2</v>
      </c>
      <c r="U116" s="89">
        <f t="shared" ref="U116:U122" si="329">IF(T56=0,"",U56/T56-1)</f>
        <v>6.6475742576169949E-2</v>
      </c>
      <c r="V116" s="89">
        <f t="shared" ref="V116:V122" si="330">IF(U56=0,"",V56/U56-1)</f>
        <v>3.6073385855026618E-3</v>
      </c>
      <c r="W116" s="89">
        <f t="shared" ref="W116:W122" si="331">IF(V56=0,"",W56/V56-1)</f>
        <v>0.11328259200474999</v>
      </c>
      <c r="X116" s="89">
        <f t="shared" ref="X116:X122" si="332">IF(W56=0,"",X56/W56-1)</f>
        <v>-2.7261391029073989E-2</v>
      </c>
      <c r="Y116" s="89">
        <f t="shared" ref="Y116:Y122" si="333">IF(X56=0,"",Y56/X56-1)</f>
        <v>5.2312726114517094E-2</v>
      </c>
      <c r="Z116" s="89">
        <f t="shared" ref="Z116:Z122" si="334">IF(Y56=0,"",Z56/Y56-1)</f>
        <v>-0.20194374033342155</v>
      </c>
      <c r="AA116" s="89">
        <f t="shared" ref="AA116:AA122" si="335">IF(Z56=0,"",AA56/Z56-1)</f>
        <v>3.5840976002406988E-2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-1.6865878860419015E-2</v>
      </c>
      <c r="F117" s="89">
        <f t="shared" si="314"/>
        <v>5.8767116023256794E-2</v>
      </c>
      <c r="G117" s="89">
        <f t="shared" si="315"/>
        <v>2.2742889596106153E-2</v>
      </c>
      <c r="H117" s="89">
        <f t="shared" si="316"/>
        <v>6.7191147054286304E-2</v>
      </c>
      <c r="I117" s="89">
        <f t="shared" si="317"/>
        <v>1.3582999326602341E-2</v>
      </c>
      <c r="J117" s="89">
        <f t="shared" si="318"/>
        <v>3.6146891291219729E-2</v>
      </c>
      <c r="K117" s="89">
        <f t="shared" si="319"/>
        <v>-1.9425803860960156E-2</v>
      </c>
      <c r="L117" s="89">
        <f t="shared" si="320"/>
        <v>1.7389359931074599E-2</v>
      </c>
      <c r="M117" s="89">
        <f t="shared" si="321"/>
        <v>-3.3368905788580205E-2</v>
      </c>
      <c r="N117" s="89">
        <f t="shared" si="322"/>
        <v>-6.7854945513977638E-3</v>
      </c>
      <c r="O117" s="89">
        <f t="shared" si="323"/>
        <v>4.8657830969749405E-2</v>
      </c>
      <c r="P117" s="89">
        <f t="shared" si="324"/>
        <v>-2.8050330542390367E-2</v>
      </c>
      <c r="Q117" s="89">
        <f t="shared" si="325"/>
        <v>-1.9093117616055366E-2</v>
      </c>
      <c r="R117" s="89">
        <f t="shared" si="326"/>
        <v>-2.9075359001082268E-2</v>
      </c>
      <c r="S117" s="89">
        <f t="shared" si="327"/>
        <v>-1.7051000813669726E-2</v>
      </c>
      <c r="T117" s="89">
        <f t="shared" si="328"/>
        <v>6.1456121069136671E-4</v>
      </c>
      <c r="U117" s="89">
        <f t="shared" si="329"/>
        <v>1.3789711524803128E-3</v>
      </c>
      <c r="V117" s="89">
        <f t="shared" si="330"/>
        <v>2.0013052512653173E-2</v>
      </c>
      <c r="W117" s="89">
        <f t="shared" si="331"/>
        <v>4.2788862564975272E-3</v>
      </c>
      <c r="X117" s="89">
        <f t="shared" si="332"/>
        <v>-0.13948791654430759</v>
      </c>
      <c r="Y117" s="89">
        <f t="shared" si="333"/>
        <v>-6.6844702529622602E-3</v>
      </c>
      <c r="Z117" s="89">
        <f t="shared" si="334"/>
        <v>2.02861676049233E-2</v>
      </c>
      <c r="AA117" s="89">
        <f t="shared" si="335"/>
        <v>4.0783595754259716E-2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-2.0707662870757204E-2</v>
      </c>
      <c r="F118" s="89">
        <f t="shared" si="314"/>
        <v>0.15326240399011426</v>
      </c>
      <c r="G118" s="89">
        <f t="shared" si="315"/>
        <v>-2.8414402452014653E-2</v>
      </c>
      <c r="H118" s="89">
        <f t="shared" si="316"/>
        <v>0.11519773024402191</v>
      </c>
      <c r="I118" s="89">
        <f t="shared" si="317"/>
        <v>-0.12982648948278919</v>
      </c>
      <c r="J118" s="89">
        <f t="shared" si="318"/>
        <v>0.18204018384762644</v>
      </c>
      <c r="K118" s="89">
        <f t="shared" si="319"/>
        <v>-1.9487420232664365E-2</v>
      </c>
      <c r="L118" s="89">
        <f t="shared" si="320"/>
        <v>-1.1151973559249573E-2</v>
      </c>
      <c r="M118" s="89">
        <f t="shared" si="321"/>
        <v>-6.1641506857821549E-2</v>
      </c>
      <c r="N118" s="89">
        <f t="shared" si="322"/>
        <v>-4.8707561274433209E-2</v>
      </c>
      <c r="O118" s="89">
        <f t="shared" si="323"/>
        <v>-5.7419286899915822E-2</v>
      </c>
      <c r="P118" s="89">
        <f t="shared" si="324"/>
        <v>-0.11954688913178035</v>
      </c>
      <c r="Q118" s="89">
        <f t="shared" si="325"/>
        <v>-0.56743310114440848</v>
      </c>
      <c r="R118" s="89">
        <f t="shared" si="326"/>
        <v>0.28182560839891435</v>
      </c>
      <c r="S118" s="89">
        <f t="shared" si="327"/>
        <v>-1.869765363128495E-2</v>
      </c>
      <c r="T118" s="89">
        <f t="shared" si="328"/>
        <v>0.20810278570759899</v>
      </c>
      <c r="U118" s="89">
        <f t="shared" si="329"/>
        <v>-5.6913870924957588E-2</v>
      </c>
      <c r="V118" s="89">
        <f t="shared" si="330"/>
        <v>-0.12625961286860177</v>
      </c>
      <c r="W118" s="89">
        <f t="shared" si="331"/>
        <v>0.93817671181470796</v>
      </c>
      <c r="X118" s="89">
        <f t="shared" si="332"/>
        <v>-0.4114105394620069</v>
      </c>
      <c r="Y118" s="89">
        <f t="shared" si="333"/>
        <v>0.1368117258366206</v>
      </c>
      <c r="Z118" s="89">
        <f t="shared" si="334"/>
        <v>0.39250701439079827</v>
      </c>
      <c r="AA118" s="89">
        <f t="shared" si="335"/>
        <v>0.18149890767230636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0.1489813856152391</v>
      </c>
      <c r="F119" s="89">
        <f t="shared" si="314"/>
        <v>7.587283546425172E-2</v>
      </c>
      <c r="G119" s="89">
        <f t="shared" si="315"/>
        <v>7.2398725511974682E-2</v>
      </c>
      <c r="H119" s="89">
        <f t="shared" si="316"/>
        <v>4.0222309146122237E-2</v>
      </c>
      <c r="I119" s="89">
        <f t="shared" si="317"/>
        <v>-2.2417413380591E-3</v>
      </c>
      <c r="J119" s="89">
        <f t="shared" si="318"/>
        <v>0.1046038564825269</v>
      </c>
      <c r="K119" s="89">
        <f t="shared" si="319"/>
        <v>8.2493075320852371E-2</v>
      </c>
      <c r="L119" s="89">
        <f t="shared" si="320"/>
        <v>-2.6246623139767333E-3</v>
      </c>
      <c r="M119" s="89">
        <f t="shared" si="321"/>
        <v>-0.10433988737723454</v>
      </c>
      <c r="N119" s="89">
        <f t="shared" si="322"/>
        <v>-0.12462472743195496</v>
      </c>
      <c r="O119" s="89">
        <f t="shared" si="323"/>
        <v>-6.6805385041651677E-3</v>
      </c>
      <c r="P119" s="89">
        <f t="shared" si="324"/>
        <v>-7.4093028336481348E-2</v>
      </c>
      <c r="Q119" s="89">
        <f t="shared" si="325"/>
        <v>-1.3881636561104194E-2</v>
      </c>
      <c r="R119" s="89">
        <f t="shared" si="326"/>
        <v>6.1632353223117997E-2</v>
      </c>
      <c r="S119" s="89">
        <f t="shared" si="327"/>
        <v>9.5452241992882492E-2</v>
      </c>
      <c r="T119" s="89">
        <f t="shared" si="328"/>
        <v>0.16185576769747168</v>
      </c>
      <c r="U119" s="89">
        <f t="shared" si="329"/>
        <v>2.3438553476233137E-2</v>
      </c>
      <c r="V119" s="89">
        <f t="shared" si="330"/>
        <v>-1.7882510502703286E-2</v>
      </c>
      <c r="W119" s="89">
        <f t="shared" si="331"/>
        <v>-9.7675589127064089E-2</v>
      </c>
      <c r="X119" s="89">
        <f t="shared" si="332"/>
        <v>9.8125634788452043E-2</v>
      </c>
      <c r="Y119" s="89">
        <f t="shared" si="333"/>
        <v>8.9497628064975077E-2</v>
      </c>
      <c r="Z119" s="89">
        <f t="shared" si="334"/>
        <v>6.6854445850441868E-2</v>
      </c>
      <c r="AA119" s="89">
        <f t="shared" si="335"/>
        <v>8.0627904910381742E-2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-2.7425335005872853E-3</v>
      </c>
      <c r="F120" s="89">
        <f t="shared" si="314"/>
        <v>2.2551663451795267E-2</v>
      </c>
      <c r="G120" s="89">
        <f t="shared" si="315"/>
        <v>-4.7255736697973005E-2</v>
      </c>
      <c r="H120" s="89">
        <f t="shared" si="316"/>
        <v>-5.2144052251226203E-2</v>
      </c>
      <c r="I120" s="89">
        <f t="shared" si="317"/>
        <v>-4.1123342148208342E-2</v>
      </c>
      <c r="J120" s="89">
        <f t="shared" si="318"/>
        <v>-1.0213712927948926E-2</v>
      </c>
      <c r="K120" s="89">
        <f t="shared" si="319"/>
        <v>-2.2460291461584347E-2</v>
      </c>
      <c r="L120" s="89">
        <f t="shared" si="320"/>
        <v>-5.7651097379177618E-2</v>
      </c>
      <c r="M120" s="89">
        <f t="shared" si="321"/>
        <v>-0.13236258098426523</v>
      </c>
      <c r="N120" s="89">
        <f t="shared" si="322"/>
        <v>-3.8240948535337993E-2</v>
      </c>
      <c r="O120" s="89">
        <f t="shared" si="323"/>
        <v>2.7391358376115393E-2</v>
      </c>
      <c r="P120" s="89">
        <f t="shared" si="324"/>
        <v>-8.2982565272450071E-2</v>
      </c>
      <c r="Q120" s="89">
        <f t="shared" si="325"/>
        <v>-1.481505287821594E-2</v>
      </c>
      <c r="R120" s="89">
        <f t="shared" si="326"/>
        <v>4.058405931579423E-2</v>
      </c>
      <c r="S120" s="89">
        <f t="shared" si="327"/>
        <v>-9.9853240036507418E-2</v>
      </c>
      <c r="T120" s="89">
        <f t="shared" si="328"/>
        <v>5.6042404174541316E-2</v>
      </c>
      <c r="U120" s="89">
        <f t="shared" si="329"/>
        <v>5.07951106808191E-2</v>
      </c>
      <c r="V120" s="89">
        <f t="shared" si="330"/>
        <v>9.7102190339177774E-3</v>
      </c>
      <c r="W120" s="89">
        <f t="shared" si="331"/>
        <v>8.4366599622076155E-2</v>
      </c>
      <c r="X120" s="89">
        <f t="shared" si="332"/>
        <v>-0.16899016669080058</v>
      </c>
      <c r="Y120" s="89">
        <f t="shared" si="333"/>
        <v>5.1382397677871561E-2</v>
      </c>
      <c r="Z120" s="89">
        <f t="shared" si="334"/>
        <v>4.0192977638785932E-2</v>
      </c>
      <c r="AA120" s="89">
        <f t="shared" si="335"/>
        <v>-0.11920713565237873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-0.12574072202902065</v>
      </c>
      <c r="F121" s="89">
        <f t="shared" si="314"/>
        <v>0.13921778774660676</v>
      </c>
      <c r="G121" s="89">
        <f t="shared" si="315"/>
        <v>6.7407998341142417E-2</v>
      </c>
      <c r="H121" s="89">
        <f t="shared" si="316"/>
        <v>-1.2886725308459912E-2</v>
      </c>
      <c r="I121" s="89">
        <f t="shared" si="317"/>
        <v>-5.2991210284591972E-3</v>
      </c>
      <c r="J121" s="89">
        <f t="shared" si="318"/>
        <v>-4.3756365738473191E-3</v>
      </c>
      <c r="K121" s="89">
        <f t="shared" si="319"/>
        <v>0.18489725167810667</v>
      </c>
      <c r="L121" s="89">
        <f t="shared" si="320"/>
        <v>-4.6221895468675389E-2</v>
      </c>
      <c r="M121" s="89">
        <f t="shared" si="321"/>
        <v>-0.1340308790133492</v>
      </c>
      <c r="N121" s="89">
        <f t="shared" si="322"/>
        <v>-0.19619451510387154</v>
      </c>
      <c r="O121" s="89">
        <f t="shared" si="323"/>
        <v>3.6859655423496118E-2</v>
      </c>
      <c r="P121" s="89">
        <f t="shared" si="324"/>
        <v>-2.5577676959347651E-2</v>
      </c>
      <c r="Q121" s="89">
        <f t="shared" si="325"/>
        <v>6.8000059900031884E-2</v>
      </c>
      <c r="R121" s="89">
        <f t="shared" si="326"/>
        <v>0.1526259892915458</v>
      </c>
      <c r="S121" s="89">
        <f t="shared" si="327"/>
        <v>0.15702324435318271</v>
      </c>
      <c r="T121" s="89">
        <f t="shared" si="328"/>
        <v>0.10958359316375765</v>
      </c>
      <c r="U121" s="89">
        <f t="shared" si="329"/>
        <v>7.3461124997143079E-2</v>
      </c>
      <c r="V121" s="89">
        <f t="shared" si="330"/>
        <v>1.3097582380103612E-2</v>
      </c>
      <c r="W121" s="89">
        <f t="shared" si="331"/>
        <v>8.5900479417529096E-2</v>
      </c>
      <c r="X121" s="89">
        <f t="shared" si="332"/>
        <v>-0.45494748237438942</v>
      </c>
      <c r="Y121" s="89">
        <f t="shared" si="333"/>
        <v>0.43875310869749873</v>
      </c>
      <c r="Z121" s="89">
        <f t="shared" si="334"/>
        <v>0.75749153100188771</v>
      </c>
      <c r="AA121" s="89">
        <f t="shared" si="335"/>
        <v>-3.5151549323732101E-2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8.0240043856998344E-2</v>
      </c>
      <c r="F122" s="91">
        <f t="shared" si="314"/>
        <v>-4.2610696407770599E-2</v>
      </c>
      <c r="G122" s="91">
        <f t="shared" si="315"/>
        <v>5.7636423102573442E-2</v>
      </c>
      <c r="H122" s="91">
        <f t="shared" si="316"/>
        <v>-3.6629832390025929E-2</v>
      </c>
      <c r="I122" s="91">
        <f t="shared" si="317"/>
        <v>6.4241767138131234E-3</v>
      </c>
      <c r="J122" s="91">
        <f t="shared" si="318"/>
        <v>7.3411811366110191E-2</v>
      </c>
      <c r="K122" s="91">
        <f t="shared" si="319"/>
        <v>8.4554202053237715E-2</v>
      </c>
      <c r="L122" s="91">
        <f t="shared" si="320"/>
        <v>-2.198478040995866E-2</v>
      </c>
      <c r="M122" s="91">
        <f t="shared" si="321"/>
        <v>-8.2859321095633209E-2</v>
      </c>
      <c r="N122" s="91">
        <f t="shared" si="322"/>
        <v>-0.16280926487395853</v>
      </c>
      <c r="O122" s="91">
        <f t="shared" si="323"/>
        <v>9.69258720220465E-2</v>
      </c>
      <c r="P122" s="91">
        <f t="shared" si="324"/>
        <v>-4.123776009445379E-2</v>
      </c>
      <c r="Q122" s="91">
        <f t="shared" si="325"/>
        <v>8.2359682191190942E-3</v>
      </c>
      <c r="R122" s="91">
        <f t="shared" si="326"/>
        <v>9.6006873107184587E-2</v>
      </c>
      <c r="S122" s="91">
        <f t="shared" si="327"/>
        <v>0.11216086531032698</v>
      </c>
      <c r="T122" s="91">
        <f t="shared" si="328"/>
        <v>5.3958878271979094E-2</v>
      </c>
      <c r="U122" s="91">
        <f t="shared" si="329"/>
        <v>9.7263320508834017E-2</v>
      </c>
      <c r="V122" s="91">
        <f t="shared" si="330"/>
        <v>-3.1394364746717418E-4</v>
      </c>
      <c r="W122" s="91">
        <f t="shared" si="331"/>
        <v>2.9417209735224326E-2</v>
      </c>
      <c r="X122" s="91">
        <f t="shared" si="332"/>
        <v>2.1202828380362249E-2</v>
      </c>
      <c r="Y122" s="91">
        <f t="shared" si="333"/>
        <v>0.11776190014385479</v>
      </c>
      <c r="Z122" s="91">
        <f t="shared" si="334"/>
        <v>5.5496867743676237E-2</v>
      </c>
      <c r="AA122" s="91">
        <f t="shared" si="335"/>
        <v>-1.2213028193749143E-2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2025-11-06T10:24:40Z</dcterms:created>
  <dcterms:modified xsi:type="dcterms:W3CDTF">2025-11-06T10:24:40Z</dcterms:modified>
</cp:coreProperties>
</file>