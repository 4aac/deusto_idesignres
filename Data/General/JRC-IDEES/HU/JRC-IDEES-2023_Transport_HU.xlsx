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Y41" i="12"/>
  <c r="Y45" i="3"/>
  <c r="X45" i="3"/>
  <c r="X48" i="1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Y4" i="19"/>
  <c r="Y90" i="3"/>
  <c r="X90" i="3"/>
  <c r="Y85" i="3"/>
  <c r="X85" i="3"/>
  <c r="X84" i="3"/>
  <c r="X83" i="3"/>
  <c r="Y44" i="3"/>
  <c r="X44" i="3"/>
  <c r="Y42" i="3"/>
  <c r="Y31" i="3"/>
  <c r="Y30" i="3"/>
  <c r="Y25" i="3"/>
  <c r="Y10" i="3"/>
  <c r="X41" i="12" l="1"/>
  <c r="X46" i="3"/>
  <c r="X198" i="3" s="1"/>
  <c r="X25" i="9"/>
  <c r="Y29" i="9"/>
  <c r="X91" i="8"/>
  <c r="X55" i="3"/>
  <c r="X207" i="3" s="1"/>
  <c r="Y91" i="8"/>
  <c r="Y69" i="11"/>
  <c r="Y55" i="3"/>
  <c r="Y52" i="3" s="1"/>
  <c r="Y57" i="8"/>
  <c r="Y79" i="8" s="1"/>
  <c r="X31" i="9"/>
  <c r="X90" i="8"/>
  <c r="X75" i="3"/>
  <c r="X227" i="3" s="1"/>
  <c r="X29" i="9"/>
  <c r="Y75" i="3"/>
  <c r="Y53" i="9"/>
  <c r="Y44" i="11"/>
  <c r="X53" i="3"/>
  <c r="Y43" i="9"/>
  <c r="Y15" i="14"/>
  <c r="Y27" i="14" s="1"/>
  <c r="X10" i="19"/>
  <c r="X19" i="12"/>
  <c r="X69" i="12" s="1"/>
  <c r="Y44" i="12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3" i="15" s="1"/>
  <c r="X13" i="14"/>
  <c r="X19" i="14" s="1"/>
  <c r="Y15" i="3"/>
  <c r="X23" i="3"/>
  <c r="X22" i="3" s="1"/>
  <c r="X14" i="20"/>
  <c r="Y15" i="18"/>
  <c r="Y29" i="13"/>
  <c r="X18" i="11"/>
  <c r="X120" i="11" s="1"/>
  <c r="X243" i="3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60" i="3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11" i="20"/>
  <c r="Y3" i="20"/>
  <c r="Y23" i="20" s="1"/>
  <c r="Y15" i="20"/>
  <c r="Y28" i="11"/>
  <c r="Y80" i="11" s="1"/>
  <c r="Y101" i="11"/>
  <c r="X4" i="10"/>
  <c r="X23" i="10"/>
  <c r="Y18" i="15"/>
  <c r="X7" i="18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Y13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3" i="3" l="1"/>
  <c r="X21" i="20"/>
  <c r="X52" i="3"/>
  <c r="X204" i="3" s="1"/>
  <c r="X4" i="8"/>
  <c r="X108" i="8" s="1"/>
  <c r="X96" i="8"/>
  <c r="Y207" i="3"/>
  <c r="Y3" i="16"/>
  <c r="Y29" i="16" s="1"/>
  <c r="Y227" i="3"/>
  <c r="Y96" i="11"/>
  <c r="X36" i="8"/>
  <c r="Y73" i="3"/>
  <c r="Y3" i="19"/>
  <c r="Y28" i="19" s="1"/>
  <c r="X11" i="17"/>
  <c r="Y197" i="3"/>
  <c r="X235" i="3"/>
  <c r="Y3" i="12"/>
  <c r="Y48" i="12" s="1"/>
  <c r="Y36" i="8"/>
  <c r="X10" i="20"/>
  <c r="X3" i="19"/>
  <c r="X29" i="19" s="1"/>
  <c r="X20" i="19"/>
  <c r="X24" i="19"/>
  <c r="X86" i="3"/>
  <c r="X238" i="3" s="1"/>
  <c r="Y20" i="16"/>
  <c r="X3" i="16"/>
  <c r="X28" i="16" s="1"/>
  <c r="Y57" i="3"/>
  <c r="Y209" i="3" s="1"/>
  <c r="Y10" i="17"/>
  <c r="X21" i="15"/>
  <c r="Y13" i="15"/>
  <c r="Y17" i="15"/>
  <c r="Y26" i="14"/>
  <c r="X43" i="11"/>
  <c r="X80" i="11"/>
  <c r="X116" i="11"/>
  <c r="Y21" i="14"/>
  <c r="X22" i="10"/>
  <c r="X41" i="9"/>
  <c r="X192" i="3"/>
  <c r="X118" i="11"/>
  <c r="Y22" i="13"/>
  <c r="X9" i="20"/>
  <c r="X22" i="17"/>
  <c r="X122" i="11"/>
  <c r="X13" i="20"/>
  <c r="X61" i="8"/>
  <c r="Y22" i="18"/>
  <c r="X44" i="10"/>
  <c r="X61" i="3"/>
  <c r="X59" i="3" s="1"/>
  <c r="X153" i="3" s="1"/>
  <c r="X205" i="3"/>
  <c r="X21" i="19"/>
  <c r="Y13" i="3"/>
  <c r="Y43" i="11"/>
  <c r="X112" i="8"/>
  <c r="X100" i="8"/>
  <c r="X25" i="19"/>
  <c r="Y198" i="3"/>
  <c r="X111" i="8"/>
  <c r="X76" i="11"/>
  <c r="X41" i="3"/>
  <c r="X39" i="3" s="1"/>
  <c r="X233" i="3"/>
  <c r="X11" i="9"/>
  <c r="X46" i="9" s="1"/>
  <c r="X113" i="8"/>
  <c r="Y21" i="18"/>
  <c r="X13" i="11"/>
  <c r="X224" i="3"/>
  <c r="Y111" i="11"/>
  <c r="Y42" i="13"/>
  <c r="Y12" i="14"/>
  <c r="Y24" i="14" s="1"/>
  <c r="X183" i="3"/>
  <c r="X182" i="3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8" i="16"/>
  <c r="X85" i="8"/>
  <c r="X15" i="8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73" i="3"/>
  <c r="X226" i="3"/>
  <c r="Y204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12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9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Y86" i="3"/>
  <c r="Y22" i="17"/>
  <c r="Y53" i="12"/>
  <c r="Y49" i="12"/>
  <c r="X23" i="18"/>
  <c r="X28" i="19"/>
  <c r="Y19" i="16" l="1"/>
  <c r="Y23" i="16"/>
  <c r="X106" i="8"/>
  <c r="X94" i="8"/>
  <c r="X38" i="10"/>
  <c r="Y27" i="16"/>
  <c r="X105" i="8"/>
  <c r="X109" i="8"/>
  <c r="X107" i="8"/>
  <c r="Y9" i="17"/>
  <c r="Y17" i="12"/>
  <c r="Y67" i="12" s="1"/>
  <c r="X19" i="16"/>
  <c r="Y54" i="12"/>
  <c r="Y50" i="12"/>
  <c r="X9" i="17"/>
  <c r="Y51" i="12"/>
  <c r="X27" i="16"/>
  <c r="X23" i="16"/>
  <c r="Y55" i="12"/>
  <c r="Y23" i="19"/>
  <c r="Y47" i="12"/>
  <c r="Y52" i="12"/>
  <c r="X95" i="11"/>
  <c r="Y19" i="19"/>
  <c r="Y56" i="3"/>
  <c r="Y208" i="3" s="1"/>
  <c r="Y27" i="19"/>
  <c r="Y18" i="14"/>
  <c r="X29" i="16"/>
  <c r="Y195" i="3"/>
  <c r="X213" i="3"/>
  <c r="X23" i="19"/>
  <c r="X19" i="19"/>
  <c r="X27" i="19"/>
  <c r="X56" i="3"/>
  <c r="X208" i="3" s="1"/>
  <c r="X225" i="3"/>
  <c r="Y225" i="3"/>
  <c r="X62" i="10"/>
  <c r="X193" i="3"/>
  <c r="Y95" i="11"/>
  <c r="X10" i="9"/>
  <c r="X57" i="9" s="1"/>
  <c r="Y37" i="12"/>
  <c r="X35" i="9"/>
  <c r="X24" i="9"/>
  <c r="X49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64" i="9"/>
  <c r="X62" i="9"/>
  <c r="X58" i="9"/>
  <c r="X61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45" i="9" l="1"/>
  <c r="X56" i="9"/>
  <c r="X65" i="9"/>
  <c r="X59" i="9"/>
  <c r="X63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E13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10" i="20"/>
  <c r="Q25" i="19"/>
  <c r="Q21" i="19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F20" i="19" l="1"/>
  <c r="R25" i="19"/>
  <c r="F24" i="19"/>
  <c r="N29" i="3"/>
  <c r="N121" i="3" s="1"/>
  <c r="L20" i="19"/>
  <c r="R21" i="19"/>
  <c r="P10" i="20"/>
  <c r="W24" i="19"/>
  <c r="H20" i="19"/>
  <c r="K23" i="18"/>
  <c r="H25" i="19"/>
  <c r="U19" i="18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1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N19" i="19"/>
  <c r="J17" i="18"/>
  <c r="J13" i="18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41" i="3" l="1"/>
  <c r="N27" i="19"/>
  <c r="E23" i="19"/>
  <c r="M9" i="20"/>
  <c r="W9" i="20"/>
  <c r="M19" i="19"/>
  <c r="M23" i="19"/>
  <c r="Q23" i="19"/>
  <c r="H27" i="19"/>
  <c r="H19" i="19"/>
  <c r="W2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0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7" i="9" l="1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3" i="1"/>
  <c r="B21" i="1"/>
  <c r="B4" i="1"/>
  <c r="B20" i="1"/>
  <c r="B6" i="1"/>
  <c r="B18" i="1"/>
  <c r="B22" i="1"/>
  <c r="B8" i="1"/>
  <c r="B12" i="1"/>
  <c r="B15" i="1"/>
  <c r="B7" i="1"/>
  <c r="B11" i="1"/>
  <c r="B9" i="1"/>
  <c r="B16" i="1"/>
  <c r="B17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8" i="3"/>
  <c r="O180" i="4"/>
  <c r="P208" i="4"/>
  <c r="P206" i="4"/>
  <c r="P102" i="5"/>
  <c r="P209" i="4"/>
  <c r="P96" i="6"/>
  <c r="P150" i="4" l="1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J253" i="4" s="1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C226" i="4" l="1"/>
  <c r="U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 s="1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 s="1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<sst xmlns="http://schemas.openxmlformats.org/spreadsheetml/2006/main" count="2657" uniqueCount="1169">
  <si>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</si>
  <si>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</si>
  <si>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</si>
  <si>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</si>
  <si>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</si>
  <si>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</si>
  <si>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</si>
  <si>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</si>
  <si>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</si>
  <si>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</si>
  <si>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</si>
  <si>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</si>
  <si>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</si>
  <si>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</si>
  <si>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</si>
  <si>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</si>
  <si>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</si>
  <si>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</si>
  <si>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</si>
  <si>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</si>
  <si>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</si>
  <si>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</si>
  <si>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</si>
  <si>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</si>
  <si>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</si>
  <si>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</si>
  <si>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</si>
  <si>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</si>
  <si>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</si>
  <si>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</si>
  <si>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</si>
  <si>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</si>
  <si>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</si>
  <si>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</si>
  <si>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</si>
  <si>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</si>
  <si>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</si>
  <si>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</si>
  <si>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</si>
  <si>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</si>
  <si>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</si>
  <si>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</si>
  <si>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</si>
  <si>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</si>
  <si>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</si>
  <si>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</si>
  <si>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</si>
  <si>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</si>
  <si>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</si>
  <si>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</si>
  <si>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</si>
  <si>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</si>
  <si>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</si>
  <si>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</si>
  <si>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</si>
  <si>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</si>
  <si>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</si>
  <si>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</si>
  <si>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</si>
  <si>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</si>
  <si>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</si>
  <si>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</si>
  <si>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</si>
  <si>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</si>
  <si>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</si>
  <si>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</si>
  <si>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</si>
  <si>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</si>
  <si>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</si>
  <si>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</si>
  <si>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</si>
  <si>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</si>
  <si>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</si>
  <si>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</si>
  <si>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</si>
  <si>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</si>
  <si>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</si>
  <si>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</si>
  <si>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</si>
  <si>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</si>
  <si>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</si>
  <si>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</si>
  <si>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</si>
  <si>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</si>
  <si>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</si>
  <si>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</si>
  <si>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</si>
  <si>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</si>
  <si>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</si>
  <si>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</si>
  <si>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</si>
  <si>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</si>
  <si>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</si>
  <si>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</si>
  <si>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</si>
  <si>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</si>
  <si>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</si>
  <si>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</si>
  <si>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</si>
  <si>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</si>
  <si>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</si>
  <si>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</si>
  <si>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</si>
  <si>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</si>
  <si>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</si>
  <si>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</si>
  <si>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</si>
  <si>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</si>
  <si>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</si>
  <si>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</si>
  <si>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</si>
  <si>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</si>
  <si>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</si>
  <si>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</si>
  <si>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</si>
  <si>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</si>
  <si>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</si>
  <si>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</si>
  <si>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</si>
  <si>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</si>
  <si>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</si>
  <si>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</si>
  <si>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</si>
  <si>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</si>
  <si>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</si>
  <si>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</si>
  <si>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</si>
  <si>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</si>
  <si>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</si>
  <si>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</si>
  <si>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</si>
  <si>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</si>
  <si>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</si>
  <si>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</si>
  <si>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</si>
  <si>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</si>
  <si>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</si>
  <si>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</si>
  <si>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</si>
  <si>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</si>
  <si>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</si>
  <si>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</si>
  <si>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</si>
  <si>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</si>
  <si>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</si>
  <si>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</si>
  <si>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</si>
  <si>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</si>
  <si>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</si>
  <si>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</si>
  <si>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</si>
  <si>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</si>
  <si>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</si>
  <si>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</si>
  <si>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</si>
  <si>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</si>
  <si>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</si>
  <si>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</si>
  <si>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</si>
  <si>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</si>
  <si>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</si>
  <si>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</si>
  <si>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</si>
  <si>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</si>
  <si>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</si>
  <si>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</si>
  <si>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</si>
  <si>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</si>
  <si>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</si>
  <si>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</si>
  <si>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</si>
  <si>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</si>
  <si>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</si>
  <si>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</si>
  <si>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</si>
  <si>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</si>
  <si>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</si>
  <si>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</si>
  <si>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</si>
  <si>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</si>
  <si>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</si>
  <si>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</si>
  <si>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</si>
  <si>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</si>
  <si>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</si>
  <si>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</si>
  <si>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</si>
  <si>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HU</t>
  </si>
  <si>
    <t>Hungary</t>
  </si>
  <si>
    <t>Aviation - HU - Hungary</t>
  </si>
  <si>
    <t>Activity.Mpkm.HU.Tr.Avia.Passenger</t>
  </si>
  <si>
    <t>Activity.Mpkm.HU.Tr.Avia.Passenger.Domestic</t>
  </si>
  <si>
    <t>Activity.Mpkm.HU.Tr.Avia.Passenger.IntraEEAwCHUK</t>
  </si>
  <si>
    <t>Activity.Mpkm.HU.Tr.Avia.Passenger.ExtraEEAwCHUK</t>
  </si>
  <si>
    <t>Activity.Mtkm.HU.Tr.Avia.Freight</t>
  </si>
  <si>
    <t>Activity.Mtkm.HU.Tr.Avia.Freight.Domestic</t>
  </si>
  <si>
    <t>Activity.Mtkm.HU.Tr.Avia.Freight.IntraEEAwCHUK</t>
  </si>
  <si>
    <t>Activity.Mtkm.HU.Tr.Avia.Freight.ExtraEEAwCHUK</t>
  </si>
  <si>
    <t>VehicleKm.Mkm.HU.Tr.Avia</t>
  </si>
  <si>
    <t>VehicleKm.Mkm.HU.Tr.Avia.Passenger</t>
  </si>
  <si>
    <t>VehicleKm.Mkm.HU.Tr.Avia.Passenger.Domestic</t>
  </si>
  <si>
    <t>VehicleKm.Mkm.HU.Tr.Avia.Passenger.IntraEEAwCHUK</t>
  </si>
  <si>
    <t>VehicleKm.Mkm.HU.Tr.Avia.Passenger.ExtraEEAwCHUK</t>
  </si>
  <si>
    <t>VehicleKm.Mkm.HU.Tr.Avia.Freight</t>
  </si>
  <si>
    <t>VehicleKm.Mkm.HU.Tr.Avia.Freight.Domestic</t>
  </si>
  <si>
    <t>VehicleKm.Mkm.HU.Tr.Avia.Freight.IntraEEAwCHUK</t>
  </si>
  <si>
    <t>VehicleKm.Mkm.HU.Tr.Avia.Freight.ExtraEEAwCHUK</t>
  </si>
  <si>
    <t>Flights.number.HU.Tr.Avia</t>
  </si>
  <si>
    <t>Flights.number.HU.Tr.Avia.Passenger</t>
  </si>
  <si>
    <t>Flights.number.HU.Tr.Avia.Passenger.Domestic</t>
  </si>
  <si>
    <t>Flights.number.HU.Tr.Avia.Passenger.IntraEEAwCHUK</t>
  </si>
  <si>
    <t>Flights.number.HU.Tr.Avia.Passenger.ExtraEEAwCHUK</t>
  </si>
  <si>
    <t>Flights.number.HU.Tr.Avia.Freight</t>
  </si>
  <si>
    <t>Flights.number.HU.Tr.Avia.Freight.Domestic</t>
  </si>
  <si>
    <t>Flights.number.HU.Tr.Avia.Freight.IntraEEAwCHUK</t>
  </si>
  <si>
    <t>Flights.number.HU.Tr.Avia.Freight.ExtraEEAwCHUK</t>
  </si>
  <si>
    <t>VolCarried.passenger.HU.Tr.Avia.Passenger</t>
  </si>
  <si>
    <t>VolCarried.passenger.HU.Tr.Avia.Passenger.Domestic</t>
  </si>
  <si>
    <t>VolCarried.passenger.HU.Tr.Avia.Passenger.IntraEEAwCHUK</t>
  </si>
  <si>
    <t>VolCarried.passenger.HU.Tr.Avia.Passenger.ExtraEEAwCHUK</t>
  </si>
  <si>
    <t>VolCarried.t.HU.Tr.Avia.Freight</t>
  </si>
  <si>
    <t>VolCarried.t.HU.Tr.Avia.Freight.Domestic</t>
  </si>
  <si>
    <t>VolCarried.t.HU.Tr.Avia.Freight.IntraEEAwCHUK</t>
  </si>
  <si>
    <t>VolCarried.t.HU.Tr.Avia.Freight.ExtraEEAwCHUK</t>
  </si>
  <si>
    <t>Stock.number.HU.Tr.Avia</t>
  </si>
  <si>
    <t>Stock.number.HU.Tr.Avia.Passenger</t>
  </si>
  <si>
    <t>Stock.number.HU.Tr.Avia.Passenger.Domestic</t>
  </si>
  <si>
    <t>Stock.number.HU.Tr.Avia.Passenger.IntraEEAwCHUK</t>
  </si>
  <si>
    <t>Stock.number.HU.Tr.Avia.Passenger.ExtraEEAwCHUK</t>
  </si>
  <si>
    <t>Stock.number.HU.Tr.Avia.Freight</t>
  </si>
  <si>
    <t>Stock.number.HU.Tr.Avia.Freight.Domestic</t>
  </si>
  <si>
    <t>Stock.number.HU.Tr.Avia.Freight.IntraEEAwCHUK</t>
  </si>
  <si>
    <t>Stock.number.HU.Tr.Avia.Freight.ExtraEEAwCHUK</t>
  </si>
  <si>
    <t>StockNew.number.HU.Tr.Avia</t>
  </si>
  <si>
    <t>StockNew.number.HU.Tr.Avia.Passenger</t>
  </si>
  <si>
    <t>StockNew.number.HU.Tr.Avia.Passenger.Domestic</t>
  </si>
  <si>
    <t>StockNew.number.HU.Tr.Avia.Passenger.IntraEEAwCHUK</t>
  </si>
  <si>
    <t>StockNew.number.HU.Tr.Avia.Passenger.ExtraEEAwCHUK</t>
  </si>
  <si>
    <t>StockNew.number.HU.Tr.Avia.Freight</t>
  </si>
  <si>
    <t>StockNew.number.HU.Tr.Avia.Freight.Domestic</t>
  </si>
  <si>
    <t>StockNew.number.HU.Tr.Avia.Freight.IntraEEAwCHUK</t>
  </si>
  <si>
    <t>StockNew.number.HU.Tr.Avia.Freight.ExtraEEAwCHUK</t>
  </si>
  <si>
    <t>Load.passenger_per_movement.HU.Tr.Avia.Passenger</t>
  </si>
  <si>
    <t>Load.passenger_per_movement.HU.Tr.Avia.Passenger.Domestic</t>
  </si>
  <si>
    <t>Load.passenger_per_movement.HU.Tr.Avia.Passenger.IntraEEAwCHUK</t>
  </si>
  <si>
    <t>Load.passenger_per_movement.HU.Tr.Avia.Passenger.ExtraEEAwCHUK</t>
  </si>
  <si>
    <t>Load.t_per_movement.HU.Tr.Avia.Freight</t>
  </si>
  <si>
    <t>Load.t_per_movement.HU.Tr.Avia.Freight.Domestic</t>
  </si>
  <si>
    <t>Load.t_per_movement.HU.Tr.Avia.Freight.IntraEEAwCHUK</t>
  </si>
  <si>
    <t>Load.t_per_movement.HU.Tr.Avia.Freight.ExtraEEAwCHUK</t>
  </si>
  <si>
    <t>VehicleKm_per_flight.km.HU.Tr.Avia</t>
  </si>
  <si>
    <t>VehicleKm_per_flight.km.HU.Tr.Avia.Passenger</t>
  </si>
  <si>
    <t>VehicleKm_per_flight.km.HU.Tr.Avia.Passenger.Domestic</t>
  </si>
  <si>
    <t>VehicleKm_per_flight.km.HU.Tr.Avia.Passenger.IntraEEAwCHUK</t>
  </si>
  <si>
    <t>VehicleKm_per_flight.km.HU.Tr.Avia.Passenger.ExtraEEAwCHUK</t>
  </si>
  <si>
    <t>VehicleKm_per_flight.km.HU.Tr.Avia.Freight</t>
  </si>
  <si>
    <t>VehicleKm_per_flight.km.HU.Tr.Avia.Freight.Domestic</t>
  </si>
  <si>
    <t>VehicleKm_per_flight.km.HU.Tr.Avia.Freight.IntraEEAwCHUK</t>
  </si>
  <si>
    <t>VehicleKm_per_flight.km.HU.Tr.Avia.Freight.ExtraEEAwCHUK</t>
  </si>
  <si>
    <t>Activity_per_flight.pkm.HU.Tr.Avia.Passenger</t>
  </si>
  <si>
    <t>Activity_per_flight.pkm.HU.Tr.Avia.Passenger.Domestic</t>
  </si>
  <si>
    <t>Activity_per_flight.pkm.HU.Tr.Avia.Passenger.IntraEEAwCHUK</t>
  </si>
  <si>
    <t>Activity_per_flight.pkm.HU.Tr.Avia.Passenger.ExtraEEAwCHUK</t>
  </si>
  <si>
    <t>Activity_per_flight.tkm.HU.Tr.Avia.Freight</t>
  </si>
  <si>
    <t>Activity_per_flight.tkm.HU.Tr.Avia.Freight.Domestic</t>
  </si>
  <si>
    <t>Activity_per_flight.tkm.HU.Tr.Avia.Freight.IntraEEAwCHUK</t>
  </si>
  <si>
    <t>Activity_per_flight.tkm.HU.Tr.Avia.Freight.ExtraEEAwCHUK</t>
  </si>
  <si>
    <t>Flights_per_vehicle.number.HU.Tr.Avia</t>
  </si>
  <si>
    <t>Flights_per_vehicle.number.HU.Tr.Avia.Passenger</t>
  </si>
  <si>
    <t>Flights_per_vehicle.number.HU.Tr.Avia.Passenger.Domestic</t>
  </si>
  <si>
    <t>Flights_per_vehicle.number.HU.Tr.Avia.Passenger.IntraEEAwCHUK</t>
  </si>
  <si>
    <t>Flights_per_vehicle.number.HU.Tr.Avia.Passenger.ExtraEEAwCHUK</t>
  </si>
  <si>
    <t>Flights_per_vehicle.number.HU.Tr.Avia.Freight</t>
  </si>
  <si>
    <t>Flights_per_vehicle.number.HU.Tr.Avia.Freight.Domestic</t>
  </si>
  <si>
    <t>Flights_per_vehicle.number.HU.Tr.Avia.Freight.IntraEEAwCHUK</t>
  </si>
  <si>
    <t>Flights_per_vehicle.number.HU.Tr.Avia.Freight.ExtraEEAwCHUK</t>
  </si>
  <si>
    <t>Aviation / energy consumption - HU - Hungary</t>
  </si>
  <si>
    <t>FEC.ktoe.HU.Tr.Avia</t>
  </si>
  <si>
    <t>FEC.ktoe.HU.Tr.Avia.Domestic</t>
  </si>
  <si>
    <t>FEC.ktoe.HU.Tr.Avia.International</t>
  </si>
  <si>
    <t>FEC.ktoe.HU.Tr.Avia.Passenger</t>
  </si>
  <si>
    <t>FEC.ktoe.HU.Tr.Avia.Passenger.Domestic</t>
  </si>
  <si>
    <t>FEC.ktoe.HU.Tr.Avia.Passenger.IntraEEAwCHUK</t>
  </si>
  <si>
    <t>FEC.ktoe.HU.Tr.Avia.Passenger.ExtraEEAwCHUK</t>
  </si>
  <si>
    <t>FEC.ktoe.HU.Tr.Avia.Freight</t>
  </si>
  <si>
    <t>FEC.ktoe.HU.Tr.Avia.Freight.Domestic</t>
  </si>
  <si>
    <t>FEC.ktoe.HU.Tr.Avia.Freight.IntraEEAwCHUK</t>
  </si>
  <si>
    <t>FEC.ktoe.HU.Tr.Avia.Freight.ExtraEEAwCHUK</t>
  </si>
  <si>
    <t>Eff.kgoe_per_100km.HU.Tr.Avia</t>
  </si>
  <si>
    <t>Eff.kgoe_per_100km.HU.Tr.Avia.Passenger</t>
  </si>
  <si>
    <t>Eff.kgoe_per_100km.HU.Tr.Avia.Passenger.Domestic</t>
  </si>
  <si>
    <t>Eff.kgoe_per_100km.HU.Tr.Avia.Passenger.IntraEEAwCHUK</t>
  </si>
  <si>
    <t>Eff.kgoe_per_100km.HU.Tr.Avia.Passenger.ExtraEEAwCHUK</t>
  </si>
  <si>
    <t>Eff.kgoe_per_100km.HU.Tr.Avia.Freight</t>
  </si>
  <si>
    <t>Eff.kgoe_per_100km.HU.Tr.Avia.Freight.Domestic</t>
  </si>
  <si>
    <t>Eff.kgoe_per_100km.HU.Tr.Avia.Freight.IntraEEAwCHUK</t>
  </si>
  <si>
    <t>Eff.kgoe_per_100km.HU.Tr.Avia.Freight.ExtraEEAwCHUK</t>
  </si>
  <si>
    <t>Eff.kgoe_per_kpkm.HU.Tr.Avia.Passenger</t>
  </si>
  <si>
    <t>Eff.kgoe_per_kpkm.HU.Tr.Avia.Passenger.Domestic</t>
  </si>
  <si>
    <t>Eff.kgoe_per_kpkm.HU.Tr.Avia.Passenger.IntraEEAwCHUK</t>
  </si>
  <si>
    <t>Eff.kgoe_per_kpkm.HU.Tr.Avia.Passenger.ExtraEEAwCHUK</t>
  </si>
  <si>
    <t>Eff.kgoe_per_ktkm.HU.Tr.Avia.Freight</t>
  </si>
  <si>
    <t>Eff.kgoe_per_ktkm.HU.Tr.Avia.Freight.Domestic</t>
  </si>
  <si>
    <t>Eff.kgoe_per_ktkm.HU.Tr.Avia.Freight.IntraEEAwCHUK</t>
  </si>
  <si>
    <t>Eff.kgoe_per_ktkm.HU.Tr.Avia.Freight.ExtraEEAwCHUK</t>
  </si>
  <si>
    <t>FEC_per_flight.kgoe.HU.Tr.Avia</t>
  </si>
  <si>
    <t>FEC_per_flight.kgoe.HU.Tr.Avia.Passenger</t>
  </si>
  <si>
    <t>FEC_per_flight.kgoe.HU.Tr.Avia.Passenger.Domestic</t>
  </si>
  <si>
    <t>FEC_per_flight.kgoe.HU.Tr.Avia.Passenger.IntraEEAwCHUK</t>
  </si>
  <si>
    <t>FEC_per_flight.kgoe.HU.Tr.Avia.Passenger.ExtraEEAwCHUK</t>
  </si>
  <si>
    <t>FEC_per_flight.kgoe.HU.Tr.Avia.Freight</t>
  </si>
  <si>
    <t>FEC_per_flight.kgoe.HU.Tr.Avia.Freight.Domestic</t>
  </si>
  <si>
    <t>FEC_per_flight.kgoe.HU.Tr.Avia.Freight.IntraEEAwCHUK</t>
  </si>
  <si>
    <t>FEC_per_flight.kgoe.HU.Tr.Avia.Freight.ExtraEEAwCHUK</t>
  </si>
  <si>
    <t>Eff_theor.kgoe_per_100km.HU.Tr.Avia</t>
  </si>
  <si>
    <t>Eff_theor.kgoe_per_100km.HU.Tr.Avia.Passenger</t>
  </si>
  <si>
    <t>Eff_theor.kgoe_per_100km.HU.Tr.Avia.Passenger.Domestic</t>
  </si>
  <si>
    <t>Eff_theor.kgoe_per_100km.HU.Tr.Avia.Passenger.IntraEEAwCHUK</t>
  </si>
  <si>
    <t>Eff_theor.kgoe_per_100km.HU.Tr.Avia.Passenger.ExtraEEAwCHUK</t>
  </si>
  <si>
    <t>Eff_theor.kgoe_per_100km.HU.Tr.Avia.Freight</t>
  </si>
  <si>
    <t>Eff_theor.kgoe_per_100km.HU.Tr.Avia.Freight.Domestic</t>
  </si>
  <si>
    <t>Eff_theor.kgoe_per_100km.HU.Tr.Avia.Freight.IntraEEAwCHUK</t>
  </si>
  <si>
    <t>Eff_theor.kgoe_per_100km.HU.Tr.Avia.Freight.ExtraEEAwCHUK</t>
  </si>
  <si>
    <t>Aviation / CO2 emissions - HU - Hungary</t>
  </si>
  <si>
    <t>EMI.ktCO2.HU.Tr.Avia</t>
  </si>
  <si>
    <t>EMI.ktCO2.HU.Tr.Avia.Domestic</t>
  </si>
  <si>
    <t>EMI.ktCO2.HU.Tr.Avia.International</t>
  </si>
  <si>
    <t>EMI.ktCO2.HU.Tr.Avia.Passenger</t>
  </si>
  <si>
    <t>EMI.ktCO2.HU.Tr.Avia.Passenger.Domestic</t>
  </si>
  <si>
    <t>EMI.ktCO2.HU.Tr.Avia.Passenger.IntraEEAwCHUK</t>
  </si>
  <si>
    <t>EMI.ktCO2.HU.Tr.Avia.Passenger.ExtraEEAwCHUK</t>
  </si>
  <si>
    <t>EMI.ktCO2.HU.Tr.Avia.Freight</t>
  </si>
  <si>
    <t>EMI.ktCO2.HU.Tr.Avia.Freight.Domestic</t>
  </si>
  <si>
    <t>EMI.ktCO2.HU.Tr.Avia.Freight.IntraEEAwCHUK</t>
  </si>
  <si>
    <t>EMI.ktCO2.HU.Tr.Avia.Freight.ExtraEEAwCHUK</t>
  </si>
  <si>
    <t>EMIint.gCO2_per_km.HU.Tr.Avia</t>
  </si>
  <si>
    <t>EMIint.gCO2_per_km.HU.Tr.Avia.Passenger</t>
  </si>
  <si>
    <t>EMIint.gCO2_per_km.HU.Tr.Avia.Passenger.Domestic</t>
  </si>
  <si>
    <t>EMIint.gCO2_per_km.HU.Tr.Avia.Passenger.IntraEEAwCHUK</t>
  </si>
  <si>
    <t>EMIint.gCO2_per_km.HU.Tr.Avia.Passenger.ExtraEEAwCHUK</t>
  </si>
  <si>
    <t>EMIint.gCO2_per_km.HU.Tr.Avia.Freight</t>
  </si>
  <si>
    <t>EMIint.gCO2_per_km.HU.Tr.Avia.Freight.Domestic</t>
  </si>
  <si>
    <t>EMIint.gCO2_per_km.HU.Tr.Avia.Freight.IntraEEAwCHUK</t>
  </si>
  <si>
    <t>EMIint.gCO2_per_km.HU.Tr.Avia.Freight.ExtraEEAwCHUK</t>
  </si>
  <si>
    <t>EMIint.gCO2_per_pkm.HU.Tr.Avia.Passenger</t>
  </si>
  <si>
    <t>EMIint.gCO2_per_pkm.HU.Tr.Avia.Passenger.Domestic</t>
  </si>
  <si>
    <t>EMIint.gCO2_per_pkm.HU.Tr.Avia.Passenger.IntraEEAwCHUK</t>
  </si>
  <si>
    <t>EMIint.gCO2_per_pkm.HU.Tr.Avia.Passenger.ExtraEEAwCHUK</t>
  </si>
  <si>
    <t>EMIint.gCO2_per_tkm.HU.Tr.Avia.Freight</t>
  </si>
  <si>
    <t>EMIint.gCO2_per_tkm.HU.Tr.Avia.Freight.Domestic</t>
  </si>
  <si>
    <t>EMIint.gCO2_per_tkm.HU.Tr.Avia.Freight.IntraEEAwCHUK</t>
  </si>
  <si>
    <t>EMIint.gCO2_per_tkm.HU.Tr.Avia.Freight.ExtraEEAwCHUK</t>
  </si>
  <si>
    <t>EMI_per_flight.kgCO2.HU.Tr.Avia</t>
  </si>
  <si>
    <t>EMI_per_flight.kgCO2.HU.Tr.Avia.Passenger</t>
  </si>
  <si>
    <t>EMI_per_flight.kgCO2.HU.Tr.Avia.Passenger.Domestic</t>
  </si>
  <si>
    <t>EMI_per_flight.kgCO2.HU.Tr.Avia.Passenger.IntraEEAwCHUK</t>
  </si>
  <si>
    <t>EMI_per_flight.kgCO2.HU.Tr.Avia.Passenger.ExtraEEAwCHUK</t>
  </si>
  <si>
    <t>EMI_per_flight.kgCO2.HU.Tr.Avia.Freight</t>
  </si>
  <si>
    <t>EMI_per_flight.kgCO2.HU.Tr.Avia.Freight.Domestic</t>
  </si>
  <si>
    <t>EMI_per_flight.kgCO2.HU.Tr.Avia.Freight.IntraEEAwCHUK</t>
  </si>
  <si>
    <t>EMI_per_flight.kgCO2.HU.Tr.Avia.Freight.ExtraEEAwCHUK</t>
  </si>
  <si>
    <t>Aviation / passenger transport specific data - HU - Hungary</t>
  </si>
  <si>
    <t>TrCap.seats.HU.Tr.Avia.Passenger</t>
  </si>
  <si>
    <t>TrCap.seats.HU.Tr.Avia.Passenger.Domestic</t>
  </si>
  <si>
    <t>TrCap.seats.HU.Tr.Avia.Passenger.IntraEEAwCHUK</t>
  </si>
  <si>
    <t>TrCap.seats.HU.Tr.Avia.Passenger.ExtraEEAwCHUK</t>
  </si>
  <si>
    <t>TrCap_per_flight.seats.HU.Tr.Avia.Passenger</t>
  </si>
  <si>
    <t>TrCap_per_flight.seats.HU.Tr.Avia.Passenger.Domestic</t>
  </si>
  <si>
    <t>TrCap_per_flight.seats.HU.Tr.Avia.Passenger.IntraEEAwCHUK</t>
  </si>
  <si>
    <t>TrCap_per_flight.seats.HU.Tr.Avia.Passenger.ExtraEEAwCHUK</t>
  </si>
  <si>
    <t>Transport overview - HU - Hungary</t>
  </si>
  <si>
    <t>Activity.Mpkm.HU.Tr</t>
  </si>
  <si>
    <t>Activity.Mpkm.HU.Tr.Road.Passenger</t>
  </si>
  <si>
    <t>Activity.Mpkm.HU.Tr.Road.Passenger.P2W</t>
  </si>
  <si>
    <t>Activity.Mpkm.HU.Tr.Road.Passenger.Car</t>
  </si>
  <si>
    <t>Activity.Mpkm.HU.Tr.Road.Passenger.Bus</t>
  </si>
  <si>
    <t>Activity.Mpkm.HU.Tr.Rail.Passenger</t>
  </si>
  <si>
    <t>Activity.Mpkm.HU.Tr.Rail.Passenger.MTU</t>
  </si>
  <si>
    <t>Activity.Mpkm.HU.Tr.Rail.Passenger.CPT</t>
  </si>
  <si>
    <t>Activity.Mpkm.HU.Tr.Rail.Passenger.HST</t>
  </si>
  <si>
    <t>Activity.Mtkm.HU.Tr</t>
  </si>
  <si>
    <t>Activity.Mtkm.HU.Tr.Road.Freight</t>
  </si>
  <si>
    <t>Activity.Mtkm.HU.Tr.Road.Freight.LCV</t>
  </si>
  <si>
    <t>Activity.Mtkm.HU.Tr.Road.Freight.HGV_All</t>
  </si>
  <si>
    <t>Activity.Mtkm.HU.Tr.Rail.Freight</t>
  </si>
  <si>
    <t>Activity.Mtkm.HU.Tr.DNavi.Freight</t>
  </si>
  <si>
    <t>Activity.Mtkm.HU.Tr.DNavi.Freight.DCS</t>
  </si>
  <si>
    <t>Activity.Mtkm.HU.Tr.DNavi.Freight.IWW</t>
  </si>
  <si>
    <t>Activity.Mtkm.HU.MBunk.Freight</t>
  </si>
  <si>
    <t>Activity.Mtkm.HU.MBunk.Freight.IntraEEA</t>
  </si>
  <si>
    <t>Activity.Mtkm.HU.MBunk.Freight.ExtraEEA</t>
  </si>
  <si>
    <t>FEC.ktoe.HU.Tr.Road.Passenger</t>
  </si>
  <si>
    <t>FEC.ktoe.HU.Tr.Road.Passenger.P2W</t>
  </si>
  <si>
    <t>FEC.ktoe.HU.Tr.Road.Passenger.Car</t>
  </si>
  <si>
    <t>FEC.ktoe.HU.Tr.Road.Passenger.Bus</t>
  </si>
  <si>
    <t>FEC.ktoe.HU.Tr.Rail.Passenger</t>
  </si>
  <si>
    <t>FEC.ktoe.HU.Tr.Rail.Passenger.MTU</t>
  </si>
  <si>
    <t>FEC.ktoe.HU.Tr.Rail.Passenger.CPT</t>
  </si>
  <si>
    <t>FEC.ktoe.HU.Tr.Rail.Passenger.HST</t>
  </si>
  <si>
    <t>FEC.ktoe.HU.Tr.Road.Freight</t>
  </si>
  <si>
    <t>FEC.ktoe.HU.Tr.Road.Freight.LCV</t>
  </si>
  <si>
    <t>FEC.ktoe.HU.Tr.Road.Freight.HGV_All</t>
  </si>
  <si>
    <t>FEC.ktoe.HU.Tr.Rail.Freight</t>
  </si>
  <si>
    <t>EMI.ktCO2.HU.Tr.Road.Passenger</t>
  </si>
  <si>
    <t>EMI.ktCO2.HU.Tr.Road.Passenger.P2W</t>
  </si>
  <si>
    <t>EMI.ktCO2.HU.Tr.Road.Passenger.Car</t>
  </si>
  <si>
    <t>EMI.ktCO2.HU.Tr.Road.Passenger.Bus</t>
  </si>
  <si>
    <t>EMI.ktCO2.HU.Tr.Rail.Passenger</t>
  </si>
  <si>
    <t>EMI.ktCO2.HU.Tr.Rail.Passenger.MTU</t>
  </si>
  <si>
    <t>EMI.ktCO2.HU.Tr.Rail.Passenger.CPT</t>
  </si>
  <si>
    <t>EMI.ktCO2.HU.Tr.Rail.Passenger.HST</t>
  </si>
  <si>
    <t>EMI.ktCO2.HU.Tr.Road.Freight</t>
  </si>
  <si>
    <t>EMI.ktCO2.HU.Tr.Road.Freight.LCV</t>
  </si>
  <si>
    <t>EMI.ktCO2.HU.Tr.Road.Freight.HGV_All</t>
  </si>
  <si>
    <t>EMI.ktCO2.HU.Tr.Rail.Freight</t>
  </si>
  <si>
    <t>Eff.kgoe_per_kpkm.HU.Tr</t>
  </si>
  <si>
    <t>Eff.kgoe_per_kpkm.HU.Tr.Road.Passenger</t>
  </si>
  <si>
    <t>Eff.kgoe_per_kpkm.HU.Tr.Road.Passenger.P2W</t>
  </si>
  <si>
    <t>Eff.kgoe_per_kpkm.HU.Tr.Road.Passenger.Car</t>
  </si>
  <si>
    <t>Eff.kgoe_per_kpkm.HU.Tr.Road.Passenger.Bus</t>
  </si>
  <si>
    <t>Eff.kgoe_per_kpkm.HU.Tr.Rail.Passenger</t>
  </si>
  <si>
    <t>Eff.kgoe_per_kpkm.HU.Tr.Rail.Passenger.MTU</t>
  </si>
  <si>
    <t>Eff.kgoe_per_kpkm.HU.Tr.Rail.Passenger.CPT</t>
  </si>
  <si>
    <t>Eff.kgoe_per_kpkm.HU.Tr.Rail.Passenger.HST</t>
  </si>
  <si>
    <t>Eff.kgoe_per_ktkm.HU.Tr</t>
  </si>
  <si>
    <t>Eff.kgoe_per_ktkm.HU.Tr.Road.Freight</t>
  </si>
  <si>
    <t>Eff.kgoe_per_ktkm.HU.Tr.Road.Freight.LCV</t>
  </si>
  <si>
    <t>Eff.kgoe_per_ktkm.HU.Tr.Road.Freight.HGV_All</t>
  </si>
  <si>
    <t>Eff.kgoe_per_ktkm.HU.Tr.Rail.Freight</t>
  </si>
  <si>
    <t>Eff.kgoe_per_ktkm.HU.Tr.DNavi.Freight</t>
  </si>
  <si>
    <t>Eff.kgoe_per_ktkm.HU.Tr.DNavi.Freight.DCS</t>
  </si>
  <si>
    <t>Eff.kgoe_per_ktkm.HU.Tr.DNavi.Freight.IWW</t>
  </si>
  <si>
    <t>Eff.kgoe_per_ktkm.HU.MBunk.Freight</t>
  </si>
  <si>
    <t>Eff.kgoe_per_ktkm.HU.MBunk.Freight.IntraEEA</t>
  </si>
  <si>
    <t>Eff.kgoe_per_ktkm.HU.MBunk.Freight.ExtraEEA</t>
  </si>
  <si>
    <t>EMIint.gCO2_per_pkm.HU.Tr</t>
  </si>
  <si>
    <t>EMIint.gCO2_per_pkm.HU.Tr.Road.Passenger</t>
  </si>
  <si>
    <t>EMIint.gCO2_per_pkm.HU.Tr.Road.Passenger.P2W</t>
  </si>
  <si>
    <t>EMIint.gCO2_per_pkm.HU.Tr.Road.Passenger.Car</t>
  </si>
  <si>
    <t>EMIint.gCO2_per_pkm.HU.Tr.Road.Passenger.Bus</t>
  </si>
  <si>
    <t>EMIint.gCO2_per_pkm.HU.Tr.Rail.Passenger</t>
  </si>
  <si>
    <t>EMIint.gCO2_per_pkm.HU.Tr.Rail.Passenger.MTU</t>
  </si>
  <si>
    <t>EMIint.gCO2_per_pkm.HU.Tr.Rail.Passenger.CPT</t>
  </si>
  <si>
    <t>EMIint.gCO2_per_pkm.HU.Tr.Rail.Passenger.HST</t>
  </si>
  <si>
    <t>EMIint.gCO2_per_tkm.HU.Tr</t>
  </si>
  <si>
    <t>EMIint.gCO2_per_tkm.HU.Tr.Road.Freight</t>
  </si>
  <si>
    <t>EMIint.gCO2_per_tkm.HU.Tr.Road.Freight.LCV</t>
  </si>
  <si>
    <t>EMIint.gCO2_per_tkm.HU.Tr.Road.Freight.HGV_All</t>
  </si>
  <si>
    <t>EMIint.gCO2_per_tkm.HU.Tr.Rail.Freight</t>
  </si>
  <si>
    <t>EMIint.gCO2_per_tkm.HU.Tr.DNavi.Freight</t>
  </si>
  <si>
    <t>EMIint.gCO2_per_tkm.HU.Tr.DNavi.Freight.DCS</t>
  </si>
  <si>
    <t>EMIint.gCO2_per_tkm.HU.Tr.DNavi.Freight.IWW</t>
  </si>
  <si>
    <t>EMIint.gCO2_per_tkm.HU.MBunk.Freight</t>
  </si>
  <si>
    <t>EMIint.gCO2_per_tkm.HU.MBunk.Freight.IntraEEA</t>
  </si>
  <si>
    <t>EMIint.gCO2_per_tkm.HU.MBunk.Freight.ExtraEEA</t>
  </si>
  <si>
    <t>Road transport - HU - Hungary</t>
  </si>
  <si>
    <t>Activity.Mpkm.HU.Tr.Road.Passenger.Car.ICE.Gasoline</t>
  </si>
  <si>
    <t>Activity.Mpkm.HU.Tr.Road.Passenger.Car.ICE.Diesel</t>
  </si>
  <si>
    <t>Activity.Mpkm.HU.Tr.Road.Passenger.Car.ICE.LPG</t>
  </si>
  <si>
    <t>Activity.Mpkm.HU.Tr.Road.Passenger.Car.ICE.NGas</t>
  </si>
  <si>
    <t>Activity.Mpkm.HU.Tr.Road.Passenger.Car.PHEV.Gasoline</t>
  </si>
  <si>
    <t>Activity.Mpkm.HU.Tr.Road.Passenger.Car.BEV</t>
  </si>
  <si>
    <t>Activity.Mpkm.HU.Tr.Road.Passenger.Bus.ICE.Gasoline</t>
  </si>
  <si>
    <t>Activity.Mpkm.HU.Tr.Road.Passenger.Bus.ICE.Diesel</t>
  </si>
  <si>
    <t>Activity.Mpkm.HU.Tr.Road.Passenger.Bus.ICE.LPG</t>
  </si>
  <si>
    <t>Activity.Mpkm.HU.Tr.Road.Passenger.Bus.ICE.NGas</t>
  </si>
  <si>
    <t>Activity.Mpkm.HU.Tr.Road.Passenger.Bus.BEV</t>
  </si>
  <si>
    <t>Activity.Mtkm.HU.Tr.Road.Freight.LCV.ICE.Gasoline</t>
  </si>
  <si>
    <t>Activity.Mtkm.HU.Tr.Road.Freight.LCV.ICE.Diesel</t>
  </si>
  <si>
    <t>Activity.Mtkm.HU.Tr.Road.Freight.LCV.ICE.LPG</t>
  </si>
  <si>
    <t>Activity.Mtkm.HU.Tr.Road.Freight.LCV.ICE.NGas</t>
  </si>
  <si>
    <t>Activity.Mtkm.HU.Tr.Road.Freight.LCV.BEV</t>
  </si>
  <si>
    <t>Activity.Mtkm.HU.Tr.Road.Freight.HGV_Domestic</t>
  </si>
  <si>
    <t>Activity.Mtkm.HU.Tr.Road.Freight.HGV_International</t>
  </si>
  <si>
    <t>VehicleKm.Mkm.HU.Tr.Road</t>
  </si>
  <si>
    <t>VehicleKm.Mkm.HU.Tr.Road.Passenger</t>
  </si>
  <si>
    <t>VehicleKm.Mkm.HU.Tr.Road.Passenger.P2W</t>
  </si>
  <si>
    <t>VehicleKm.Mkm.HU.Tr.Road.Passenger.Car</t>
  </si>
  <si>
    <t>VehicleKm.Mkm.HU.Tr.Road.Passenger.Car.ICE.Gasoline</t>
  </si>
  <si>
    <t>VehicleKm.Mkm.HU.Tr.Road.Passenger.Car.ICE.Diesel</t>
  </si>
  <si>
    <t>VehicleKm.Mkm.HU.Tr.Road.Passenger.Car.ICE.LPG</t>
  </si>
  <si>
    <t>VehicleKm.Mkm.HU.Tr.Road.Passenger.Car.ICE.NGas</t>
  </si>
  <si>
    <t>VehicleKm.Mkm.HU.Tr.Road.Passenger.Car.PHEV.Gasoline</t>
  </si>
  <si>
    <t>VehicleKm.Mkm.HU.Tr.Road.Passenger.Car.BEV</t>
  </si>
  <si>
    <t>VehicleKm.Mkm.HU.Tr.Road.Passenger.Bus</t>
  </si>
  <si>
    <t>VehicleKm.Mkm.HU.Tr.Road.Passenger.Bus.ICE.Gasoline</t>
  </si>
  <si>
    <t>VehicleKm.Mkm.HU.Tr.Road.Passenger.Bus.ICE.Diesel</t>
  </si>
  <si>
    <t>VehicleKm.Mkm.HU.Tr.Road.Passenger.Bus.ICE.LPG</t>
  </si>
  <si>
    <t>VehicleKm.Mkm.HU.Tr.Road.Passenger.Bus.ICE.NGas</t>
  </si>
  <si>
    <t>VehicleKm.Mkm.HU.Tr.Road.Passenger.Bus.BEV</t>
  </si>
  <si>
    <t>VehicleKm.Mkm.HU.Tr.Road.Freight</t>
  </si>
  <si>
    <t>VehicleKm.Mkm.HU.Tr.Road.Freight.LCV</t>
  </si>
  <si>
    <t>VehicleKm.Mkm.HU.Tr.Road.Freight.LCV.ICE.Gasoline</t>
  </si>
  <si>
    <t>VehicleKm.Mkm.HU.Tr.Road.Freight.LCV.ICE.Diesel</t>
  </si>
  <si>
    <t>VehicleKm.Mkm.HU.Tr.Road.Freight.LCV.ICE.LPG</t>
  </si>
  <si>
    <t>VehicleKm.Mkm.HU.Tr.Road.Freight.LCV.ICE.NGas</t>
  </si>
  <si>
    <t>VehicleKm.Mkm.HU.Tr.Road.Freight.LCV.BEV</t>
  </si>
  <si>
    <t>VehicleKm.Mkm.HU.Tr.Road.Freight.HGV_All</t>
  </si>
  <si>
    <t>VehicleKm.Mkm.HU.Tr.Road.Freight.HGV_Domestic</t>
  </si>
  <si>
    <t>VehicleKm.Mkm.HU.Tr.Road.Freight.HGV_International</t>
  </si>
  <si>
    <t>Stock.number.HU.Tr.Road</t>
  </si>
  <si>
    <t>Stock.number.HU.Tr.Road.Passenger</t>
  </si>
  <si>
    <t>Stock.number.HU.Tr.Road.Passenger.P2W</t>
  </si>
  <si>
    <t>Stock.number.HU.Tr.Road.Passenger.Car</t>
  </si>
  <si>
    <t>Stock.number.HU.Tr.Road.Passenger.Car.ICE.Gasoline</t>
  </si>
  <si>
    <t>Stock.number.HU.Tr.Road.Passenger.Car.ICE.Diesel</t>
  </si>
  <si>
    <t>Stock.number.HU.Tr.Road.Passenger.Car.ICE.LPG</t>
  </si>
  <si>
    <t>Stock.number.HU.Tr.Road.Passenger.Car.ICE.NGas</t>
  </si>
  <si>
    <t>Stock.number.HU.Tr.Road.Passenger.Car.PHEV.Gasoline</t>
  </si>
  <si>
    <t>Stock.number.HU.Tr.Road.Passenger.Car.BEV</t>
  </si>
  <si>
    <t>Stock.number.HU.Tr.Road.Passenger.Bus</t>
  </si>
  <si>
    <t>Stock.number.HU.Tr.Road.Passenger.Bus.ICE.Gasoline</t>
  </si>
  <si>
    <t>Stock.number.HU.Tr.Road.Passenger.Bus.ICE.Diesel</t>
  </si>
  <si>
    <t>Stock.number.HU.Tr.Road.Passenger.Bus.ICE.LPG</t>
  </si>
  <si>
    <t>Stock.number.HU.Tr.Road.Passenger.Bus.ICE.NGas</t>
  </si>
  <si>
    <t>Stock.number.HU.Tr.Road.Passenger.Bus.BEV</t>
  </si>
  <si>
    <t>Stock.number.HU.Tr.Road.Freight</t>
  </si>
  <si>
    <t>Stock.number.HU.Tr.Road.Freight.LCV</t>
  </si>
  <si>
    <t>Stock.number.HU.Tr.Road.Freight.LCV.ICE.Gasoline</t>
  </si>
  <si>
    <t>Stock.number.HU.Tr.Road.Freight.LCV.ICE.Diesel</t>
  </si>
  <si>
    <t>Stock.number.HU.Tr.Road.Freight.LCV.ICE.LPG</t>
  </si>
  <si>
    <t>Stock.number.HU.Tr.Road.Freight.LCV.ICE.NGas</t>
  </si>
  <si>
    <t>Stock.number.HU.Tr.Road.Freight.LCV.BEV</t>
  </si>
  <si>
    <t>Stock.number.HU.Tr.Road.Freight.HGV_All</t>
  </si>
  <si>
    <t>Stock.number.HU.Tr.Road.Freight.HGV_Domestic</t>
  </si>
  <si>
    <t>Stock.number.HU.Tr.Road.Freight.HGV_International</t>
  </si>
  <si>
    <t>StockNew.number.HU.Tr.Road</t>
  </si>
  <si>
    <t>StockNew.number.HU.Tr.Road.Passenger</t>
  </si>
  <si>
    <t>StockNew.number.HU.Tr.Road.Passenger.P2W</t>
  </si>
  <si>
    <t>StockNew.number.HU.Tr.Road.Passenger.Car</t>
  </si>
  <si>
    <t>StockNew.number.HU.Tr.Road.Passenger.Car.ICE.Gasoline</t>
  </si>
  <si>
    <t>StockNew.number.HU.Tr.Road.Passenger.Car.ICE.Diesel</t>
  </si>
  <si>
    <t>StockNew.number.HU.Tr.Road.Passenger.Car.ICE.LPG</t>
  </si>
  <si>
    <t>StockNew.number.HU.Tr.Road.Passenger.Car.ICE.NGas</t>
  </si>
  <si>
    <t>StockNew.number.HU.Tr.Road.Passenger.Car.PHEV.Gasoline</t>
  </si>
  <si>
    <t>StockNew.number.HU.Tr.Road.Passenger.Car.BEV</t>
  </si>
  <si>
    <t>StockNew.number.HU.Tr.Road.Passenger.Bus</t>
  </si>
  <si>
    <t>StockNew.number.HU.Tr.Road.Passenger.Bus.ICE.Gasoline</t>
  </si>
  <si>
    <t>StockNew.number.HU.Tr.Road.Passenger.Bus.ICE.Diesel</t>
  </si>
  <si>
    <t>StockNew.number.HU.Tr.Road.Passenger.Bus.ICE.LPG</t>
  </si>
  <si>
    <t>StockNew.number.HU.Tr.Road.Passenger.Bus.ICE.NGas</t>
  </si>
  <si>
    <t>StockNew.number.HU.Tr.Road.Passenger.Bus.BEV</t>
  </si>
  <si>
    <t>StockNew.number.HU.Tr.Road.Freight</t>
  </si>
  <si>
    <t>StockNew.number.HU.Tr.Road.Freight.LCV</t>
  </si>
  <si>
    <t>StockNew.number.HU.Tr.Road.Freight.LCV.ICE.Gasoline</t>
  </si>
  <si>
    <t>StockNew.number.HU.Tr.Road.Freight.LCV.ICE.Diesel</t>
  </si>
  <si>
    <t>StockNew.number.HU.Tr.Road.Freight.LCV.ICE.LPG</t>
  </si>
  <si>
    <t>StockNew.number.HU.Tr.Road.Freight.LCV.ICE.NGas</t>
  </si>
  <si>
    <t>StockNew.number.HU.Tr.Road.Freight.LCV.BEV</t>
  </si>
  <si>
    <t>StockNew.number.HU.Tr.Road.Freight.HGV_All</t>
  </si>
  <si>
    <t>StockNew.number.HU.Tr.Road.Freight.HGV_Domestic</t>
  </si>
  <si>
    <t>StockNew.number.HU.Tr.Road.Freight.HGV_International</t>
  </si>
  <si>
    <t>Load.passenger_per_movement.HU.Tr.Road.Passenger</t>
  </si>
  <si>
    <t>Load.passenger_per_movement.HU.Tr.Road.Passenger.P2W</t>
  </si>
  <si>
    <t>Load.passenger_per_movement.HU.Tr.Road.Passenger.Car</t>
  </si>
  <si>
    <t>Load.passenger_per_movement.HU.Tr.Road.Passenger.Car.ICE.Gasoline</t>
  </si>
  <si>
    <t>Load.passenger_per_movement.HU.Tr.Road.Passenger.Car.ICE.Diesel</t>
  </si>
  <si>
    <t>Load.passenger_per_movement.HU.Tr.Road.Passenger.Car.ICE.LPG</t>
  </si>
  <si>
    <t>Load.passenger_per_movement.HU.Tr.Road.Passenger.Car.ICE.NGas</t>
  </si>
  <si>
    <t>Load.passenger_per_movement.HU.Tr.Road.Passenger.Car.PHEV.Gasoline</t>
  </si>
  <si>
    <t>Load.passenger_per_movement.HU.Tr.Road.Passenger.Car.BEV</t>
  </si>
  <si>
    <t>Load.passenger_per_movement.HU.Tr.Road.Passenger.Bus</t>
  </si>
  <si>
    <t>Load.passenger_per_movement.HU.Tr.Road.Passenger.Bus.ICE.Gasoline</t>
  </si>
  <si>
    <t>Load.passenger_per_movement.HU.Tr.Road.Passenger.Bus.ICE.Diesel</t>
  </si>
  <si>
    <t>Load.passenger_per_movement.HU.Tr.Road.Passenger.Bus.ICE.LPG</t>
  </si>
  <si>
    <t>Load.passenger_per_movement.HU.Tr.Road.Passenger.Bus.ICE.NGas</t>
  </si>
  <si>
    <t>Load.passenger_per_movement.HU.Tr.Road.Passenger.Bus.BEV</t>
  </si>
  <si>
    <t>Load.t_per_movement.HU.Tr.Road.Freight</t>
  </si>
  <si>
    <t>Load.t_per_movement.HU.Tr.Road.Freight.LCV</t>
  </si>
  <si>
    <t>Load.t_per_movement.HU.Tr.Road.Freight.LCV.ICE.Gasoline</t>
  </si>
  <si>
    <t>Load.t_per_movement.HU.Tr.Road.Freight.LCV.ICE.Diesel</t>
  </si>
  <si>
    <t>Load.t_per_movement.HU.Tr.Road.Freight.LCV.ICE.LPG</t>
  </si>
  <si>
    <t>Load.t_per_movement.HU.Tr.Road.Freight.LCV.ICE.NGas</t>
  </si>
  <si>
    <t>Load.t_per_movement.HU.Tr.Road.Freight.LCV.BEV</t>
  </si>
  <si>
    <t>Load.t_per_movement.HU.Tr.Road.Freight.HGV_All</t>
  </si>
  <si>
    <t>Load.t_per_movement.HU.Tr.Road.Freight.HGV_Domestic</t>
  </si>
  <si>
    <t>Load.t_per_movement.HU.Tr.Road.Freight.HGV_International</t>
  </si>
  <si>
    <t>VehicleKm_per_vehicle.km.HU.Tr.Road</t>
  </si>
  <si>
    <t>VehicleKm_per_vehicle.km.HU.Tr.Road.Passenger</t>
  </si>
  <si>
    <t>VehicleKm_per_vehicle.km.HU.Tr.Road.Passenger.P2W</t>
  </si>
  <si>
    <t>VehicleKm_per_vehicle.km.HU.Tr.Road.Passenger.Car</t>
  </si>
  <si>
    <t>VehicleKm_per_vehicle.km.HU.Tr.Road.Passenger.Car.ICE.Gasoline</t>
  </si>
  <si>
    <t>VehicleKm_per_vehicle.km.HU.Tr.Road.Passenger.Car.ICE.Diesel</t>
  </si>
  <si>
    <t>VehicleKm_per_vehicle.km.HU.Tr.Road.Passenger.Car.ICE.LPG</t>
  </si>
  <si>
    <t>VehicleKm_per_vehicle.km.HU.Tr.Road.Passenger.Car.ICE.NGas</t>
  </si>
  <si>
    <t>VehicleKm_per_vehicle.km.HU.Tr.Road.Passenger.Car.PHEV.Gasoline</t>
  </si>
  <si>
    <t>VehicleKm_per_vehicle.km.HU.Tr.Road.Passenger.Car.BEV</t>
  </si>
  <si>
    <t>VehicleKm_per_vehicle.km.HU.Tr.Road.Passenger.Bus</t>
  </si>
  <si>
    <t>VehicleKm_per_vehicle.km.HU.Tr.Road.Passenger.Bus.ICE.Gasoline</t>
  </si>
  <si>
    <t>VehicleKm_per_vehicle.km.HU.Tr.Road.Passenger.Bus.ICE.Diesel</t>
  </si>
  <si>
    <t>VehicleKm_per_vehicle.km.HU.Tr.Road.Passenger.Bus.ICE.LPG</t>
  </si>
  <si>
    <t>VehicleKm_per_vehicle.km.HU.Tr.Road.Passenger.Bus.ICE.NGas</t>
  </si>
  <si>
    <t>VehicleKm_per_vehicle.km.HU.Tr.Road.Passenger.Bus.BEV</t>
  </si>
  <si>
    <t>VehicleKm_per_vehicle.km.HU.Tr.Road.Freight</t>
  </si>
  <si>
    <t>VehicleKm_per_vehicle.km.HU.Tr.Road.Freight.LCV</t>
  </si>
  <si>
    <t>VehicleKm_per_vehicle.km.HU.Tr.Road.Freight.LCV.ICE.Gasoline</t>
  </si>
  <si>
    <t>VehicleKm_per_vehicle.km.HU.Tr.Road.Freight.LCV.ICE.Diesel</t>
  </si>
  <si>
    <t>VehicleKm_per_vehicle.km.HU.Tr.Road.Freight.LCV.ICE.LPG</t>
  </si>
  <si>
    <t>VehicleKm_per_vehicle.km.HU.Tr.Road.Freight.LCV.ICE.NGas</t>
  </si>
  <si>
    <t>VehicleKm_per_vehicle.km.HU.Tr.Road.Freight.LCV.BEV</t>
  </si>
  <si>
    <t>VehicleKm_per_vehicle.km.HU.Tr.Road.Freight.HGV_All</t>
  </si>
  <si>
    <t>VehicleKm_per_vehicle.km.HU.Tr.Road.Freight.HGV_Domestic</t>
  </si>
  <si>
    <t>VehicleKm_per_vehicle.km.HU.Tr.Road.Freight.HGV_International</t>
  </si>
  <si>
    <t>Activity_per_vehicle.pkm.HU.Tr.Road.Passenger</t>
  </si>
  <si>
    <t>Activity_per_vehicle.pkm.HU.Tr.Road.Passenger.P2W</t>
  </si>
  <si>
    <t>Activity_per_vehicle.pkm.HU.Tr.Road.Passenger.Car</t>
  </si>
  <si>
    <t>Activity_per_vehicle.pkm.HU.Tr.Road.Passenger.Car.ICE.Gasoline</t>
  </si>
  <si>
    <t>Activity_per_vehicle.pkm.HU.Tr.Road.Passenger.Car.ICE.Diesel</t>
  </si>
  <si>
    <t>Activity_per_vehicle.pkm.HU.Tr.Road.Passenger.Car.ICE.LPG</t>
  </si>
  <si>
    <t>Activity_per_vehicle.pkm.HU.Tr.Road.Passenger.Car.ICE.NGas</t>
  </si>
  <si>
    <t>Activity_per_vehicle.pkm.HU.Tr.Road.Passenger.Car.PHEV.Gasoline</t>
  </si>
  <si>
    <t>Activity_per_vehicle.pkm.HU.Tr.Road.Passenger.Car.BEV</t>
  </si>
  <si>
    <t>Activity_per_vehicle.pkm.HU.Tr.Road.Passenger.Bus</t>
  </si>
  <si>
    <t>Activity_per_vehicle.pkm.HU.Tr.Road.Passenger.Bus.ICE.Gasoline</t>
  </si>
  <si>
    <t>Activity_per_vehicle.pkm.HU.Tr.Road.Passenger.Bus.ICE.Diesel</t>
  </si>
  <si>
    <t>Activity_per_vehicle.pkm.HU.Tr.Road.Passenger.Bus.ICE.LPG</t>
  </si>
  <si>
    <t>Activity_per_vehicle.pkm.HU.Tr.Road.Passenger.Bus.ICE.NGas</t>
  </si>
  <si>
    <t>Activity_per_vehicle.pkm.HU.Tr.Road.Passenger.Bus.BEV</t>
  </si>
  <si>
    <t>Activity_per_vehicle.tkm.HU.Tr.Road.Freight</t>
  </si>
  <si>
    <t>Activity_per_vehicle.tkm.HU.Tr.Road.Freight.LCV</t>
  </si>
  <si>
    <t>Activity_per_vehicle.tkm.HU.Tr.Road.Freight.LCV.ICE.Gasoline</t>
  </si>
  <si>
    <t>Activity_per_vehicle.tkm.HU.Tr.Road.Freight.LCV.ICE.Diesel</t>
  </si>
  <si>
    <t>Activity_per_vehicle.tkm.HU.Tr.Road.Freight.LCV.ICE.LPG</t>
  </si>
  <si>
    <t>Activity_per_vehicle.tkm.HU.Tr.Road.Freight.LCV.ICE.NGas</t>
  </si>
  <si>
    <t>Activity_per_vehicle.tkm.HU.Tr.Road.Freight.LCV.BEV</t>
  </si>
  <si>
    <t>Activity_per_vehicle.tkm.HU.Tr.Road.Freight.HGV_All</t>
  </si>
  <si>
    <t>Activity_per_vehicle.tkm.HU.Tr.Road.Freight.HGV_Domestic</t>
  </si>
  <si>
    <t>Activity_per_vehicle.tkm.HU.Tr.Road.Freight.HGV_International</t>
  </si>
  <si>
    <t>Road transport / energy consumption - HU - Hungary</t>
  </si>
  <si>
    <t>FEC.ktoe.HU.ES.Tr.Road</t>
  </si>
  <si>
    <t>FEC.ktoe.HU.ES.Tr.Road.LPG</t>
  </si>
  <si>
    <t>FEC.ktoe.HU.ES.Tr.Road.Gasoline</t>
  </si>
  <si>
    <t>FEC.ktoe.HU.ES.Tr.Road.Diesel</t>
  </si>
  <si>
    <t>FEC.ktoe.HU.ES.Tr.Road.NG</t>
  </si>
  <si>
    <t>FEC.ktoe.HU.ES.Tr.Road.Biogas</t>
  </si>
  <si>
    <t>FEC.ktoe.HU.ES.Tr.Road.Biogasoline</t>
  </si>
  <si>
    <t>FEC.ktoe.HU.ES.Tr.Road.Biodiesel</t>
  </si>
  <si>
    <t>FEC.ktoe.HU.ES.Tr.Road.OthLiqBio</t>
  </si>
  <si>
    <t>FEC.ktoe.HU.ES.Tr.Road.Elec</t>
  </si>
  <si>
    <t>FEC.ktoe.HU.Tr.Road</t>
  </si>
  <si>
    <t>FEC.ktoe.HU.Tr.Road.Passenger.P2W.Total.Total.Biogasoline</t>
  </si>
  <si>
    <t>FEC.ktoe.HU.Tr.Road.Passenger.Car.ICE.Gasoline</t>
  </si>
  <si>
    <t>FEC.ktoe.HU.Tr.Road.Passenger.Car.ICE.Gasoline.Biogasoline</t>
  </si>
  <si>
    <t>FEC.ktoe.HU.Tr.Road.Passenger.Car.ICE.Diesel</t>
  </si>
  <si>
    <t>FEC.ktoe.HU.Tr.Road.Passenger.Car.ICE.Diesel.BioDiesel_OthLiqBio</t>
  </si>
  <si>
    <t>FEC.ktoe.HU.Tr.Road.Passenger.Car.ICE.LPG</t>
  </si>
  <si>
    <t>FEC.ktoe.HU.Tr.Road.Passenger.Car.ICE.NGas</t>
  </si>
  <si>
    <t>FEC.ktoe.HU.Tr.Road.Passenger.Car.ICE.NGas.Biogas</t>
  </si>
  <si>
    <t>FEC.ktoe.HU.Tr.Road.Passenger.Car.PHEV.Gasoline</t>
  </si>
  <si>
    <t>FEC.ktoe.HU.Tr.Road.Passenger.Car.PHEV.Gasoline.Biogasoline</t>
  </si>
  <si>
    <t>FEC.ktoe.HU.Tr.Road.Passenger.Car.PHEV.Gasoline.Elec</t>
  </si>
  <si>
    <t>FEC.ktoe.HU.Tr.Road.Passenger.Car.BEV</t>
  </si>
  <si>
    <t>FEC.ktoe.HU.Tr.Road.Passenger.Bus.ICE.Gasoline</t>
  </si>
  <si>
    <t>FEC.ktoe.HU.Tr.Road.Passenger.Bus.ICE.Gasoline.Biogasoline</t>
  </si>
  <si>
    <t>FEC.ktoe.HU.Tr.Road.Passenger.Bus.ICE.Diesel</t>
  </si>
  <si>
    <t>FEC.ktoe.HU.Tr.Road.Passenger.Bus.ICE.Diesel.BioDiesel_OthLiqBio</t>
  </si>
  <si>
    <t>FEC.ktoe.HU.Tr.Road.Passenger.Bus.ICE.LPG</t>
  </si>
  <si>
    <t>FEC.ktoe.HU.Tr.Road.Passenger.Bus.ICE.NGas</t>
  </si>
  <si>
    <t>FEC.ktoe.HU.Tr.Road.Passenger.Bus.ICE.NGas.Biogas</t>
  </si>
  <si>
    <t>FEC.ktoe.HU.Tr.Road.Passenger.Bus.BEV</t>
  </si>
  <si>
    <t>FEC.ktoe.HU.Tr.Road.Freight.LCV.ICE.Gasoline</t>
  </si>
  <si>
    <t>FEC.ktoe.HU.Tr.Road.Freight.LCV.ICE.Gasoline.Biogasoline</t>
  </si>
  <si>
    <t>FEC.ktoe.HU.Tr.Road.Freight.LCV.ICE.Diesel</t>
  </si>
  <si>
    <t>FEC.ktoe.HU.Tr.Road.Freight.LCV.ICE.Diesel.BioDiesel_OthLiqBio</t>
  </si>
  <si>
    <t>FEC.ktoe.HU.Tr.Road.Freight.LCV.ICE.LPG</t>
  </si>
  <si>
    <t>FEC.ktoe.HU.Tr.Road.Freight.LCV.ICE.NGas</t>
  </si>
  <si>
    <t>FEC.ktoe.HU.Tr.Road.Freight.LCV.ICE.NGas.Biogas</t>
  </si>
  <si>
    <t>FEC.ktoe.HU.Tr.Road.Freight.LCV.BEV</t>
  </si>
  <si>
    <t>FEC.ktoe.HU.Tr.Road.Freight.HGV_Domestic</t>
  </si>
  <si>
    <t>FEC.ktoe.HU.Tr.Road.Freight.HGV_Domestic.Total.Total.BioDiesel_OthLiqBio</t>
  </si>
  <si>
    <t>FEC.ktoe.HU.Tr.Road.Freight.HGV_International</t>
  </si>
  <si>
    <t>FEC.ktoe.HU.Tr.Road.Freight.HGV_International.Total.Total.BioDiesel_OthLiqBio</t>
  </si>
  <si>
    <t>Eff.kgoe_per_100km.HU.Tr.Road</t>
  </si>
  <si>
    <t>Eff.kgoe_per_100km.HU.Tr.Road.Passenger</t>
  </si>
  <si>
    <t>Eff.kgoe_per_100km.HU.Tr.Road.Passenger.P2W</t>
  </si>
  <si>
    <t>Eff.kgoe_per_100km.HU.Tr.Road.Passenger.Car</t>
  </si>
  <si>
    <t>Eff.kgoe_per_100km.HU.Tr.Road.Passenger.Car.ICE.Gasoline</t>
  </si>
  <si>
    <t>Eff.kgoe_per_100km.HU.Tr.Road.Passenger.Car.ICE.Diesel</t>
  </si>
  <si>
    <t>Eff.kgoe_per_100km.HU.Tr.Road.Passenger.Car.ICE.LPG</t>
  </si>
  <si>
    <t>Eff.kgoe_per_100km.HU.Tr.Road.Passenger.Car.ICE.NGas</t>
  </si>
  <si>
    <t>Eff.kgoe_per_100km.HU.Tr.Road.Passenger.Car.PHEV.Gasoline</t>
  </si>
  <si>
    <t>Eff.kgoe_per_100km.HU.Tr.Road.Passenger.Car.BEV</t>
  </si>
  <si>
    <t>Eff.kgoe_per_100km.HU.Tr.Road.Passenger.Bus</t>
  </si>
  <si>
    <t>Eff.kgoe_per_100km.HU.Tr.Road.Passenger.Bus.ICE.Gasoline</t>
  </si>
  <si>
    <t>Eff.kgoe_per_100km.HU.Tr.Road.Passenger.Bus.ICE.Diesel</t>
  </si>
  <si>
    <t>Eff.kgoe_per_100km.HU.Tr.Road.Passenger.Bus.ICE.LPG</t>
  </si>
  <si>
    <t>Eff.kgoe_per_100km.HU.Tr.Road.Passenger.Bus.ICE.NGas</t>
  </si>
  <si>
    <t>Eff.kgoe_per_100km.HU.Tr.Road.Passenger.Bus.BEV</t>
  </si>
  <si>
    <t>Eff.kgoe_per_100km.HU.Tr.Road.Freight</t>
  </si>
  <si>
    <t>Eff.kgoe_per_100km.HU.Tr.Road.Freight.LCV</t>
  </si>
  <si>
    <t>Eff.kgoe_per_100km.HU.Tr.Road.Freight.LCV.ICE.Gasoline</t>
  </si>
  <si>
    <t>Eff.kgoe_per_100km.HU.Tr.Road.Freight.LCV.ICE.Diesel</t>
  </si>
  <si>
    <t>Eff.kgoe_per_100km.HU.Tr.Road.Freight.LCV.ICE.LPG</t>
  </si>
  <si>
    <t>Eff.kgoe_per_100km.HU.Tr.Road.Freight.LCV.ICE.NGas</t>
  </si>
  <si>
    <t>Eff.kgoe_per_100km.HU.Tr.Road.Freight.LCV.BEV</t>
  </si>
  <si>
    <t>Eff.kgoe_per_100km.HU.Tr.Road.Freight.HGV_All</t>
  </si>
  <si>
    <t>Eff.kgoe_per_100km.HU.Tr.Road.Freight.HGV_Domestic</t>
  </si>
  <si>
    <t>Eff.kgoe_per_100km.HU.Tr.Road.Freight.HGV_International</t>
  </si>
  <si>
    <t>Eff.kgoe_per_kpkm.HU.Tr.Road.Passenger.Car.ICE.Gasoline</t>
  </si>
  <si>
    <t>Eff.kgoe_per_kpkm.HU.Tr.Road.Passenger.Car.ICE.Diesel</t>
  </si>
  <si>
    <t>Eff.kgoe_per_kpkm.HU.Tr.Road.Passenger.Car.ICE.LPG</t>
  </si>
  <si>
    <t>Eff.kgoe_per_kpkm.HU.Tr.Road.Passenger.Car.ICE.NGas</t>
  </si>
  <si>
    <t>Eff.kgoe_per_kpkm.HU.Tr.Road.Passenger.Car.PHEV.Gasoline</t>
  </si>
  <si>
    <t>Eff.kgoe_per_kpkm.HU.Tr.Road.Passenger.Car.BEV</t>
  </si>
  <si>
    <t>Eff.kgoe_per_kpkm.HU.Tr.Road.Passenger.Bus.ICE.Gasoline</t>
  </si>
  <si>
    <t>Eff.kgoe_per_kpkm.HU.Tr.Road.Passenger.Bus.ICE.Diesel</t>
  </si>
  <si>
    <t>Eff.kgoe_per_kpkm.HU.Tr.Road.Passenger.Bus.ICE.LPG</t>
  </si>
  <si>
    <t>Eff.kgoe_per_kpkm.HU.Tr.Road.Passenger.Bus.ICE.NGas</t>
  </si>
  <si>
    <t>Eff.kgoe_per_kpkm.HU.Tr.Road.Passenger.Bus.BEV</t>
  </si>
  <si>
    <t>Eff.kgoe_per_ktkm.HU.Tr.Road.Freight.LCV.ICE.Gasoline</t>
  </si>
  <si>
    <t>Eff.kgoe_per_ktkm.HU.Tr.Road.Freight.LCV.ICE.Diesel</t>
  </si>
  <si>
    <t>Eff.kgoe_per_ktkm.HU.Tr.Road.Freight.LCV.ICE.LPG</t>
  </si>
  <si>
    <t>Eff.kgoe_per_ktkm.HU.Tr.Road.Freight.LCV.ICE.NGas</t>
  </si>
  <si>
    <t>Eff.kgoe_per_ktkm.HU.Tr.Road.Freight.LCV.BEV</t>
  </si>
  <si>
    <t>Eff.kgoe_per_ktkm.HU.Tr.Road.Freight.HGV_Domestic</t>
  </si>
  <si>
    <t>Eff.kgoe_per_ktkm.HU.Tr.Road.Freight.HGV_International</t>
  </si>
  <si>
    <t>FEC_per_vehicle.kgoe.HU.Tr.Road.Passenger.P2W</t>
  </si>
  <si>
    <t>FEC_per_vehicle.kgoe.HU.Tr.Road.Passenger.Car</t>
  </si>
  <si>
    <t>FEC_per_vehicle.kgoe.HU.Tr.Road.Passenger.Car.ICE.Gasoline</t>
  </si>
  <si>
    <t>FEC_per_vehicle.kgoe.HU.Tr.Road.Passenger.Car.ICE.Diesel</t>
  </si>
  <si>
    <t>FEC_per_vehicle.kgoe.HU.Tr.Road.Passenger.Car.ICE.LPG</t>
  </si>
  <si>
    <t>FEC_per_vehicle.kgoe.HU.Tr.Road.Passenger.Car.ICE.NGas</t>
  </si>
  <si>
    <t>FEC_per_vehicle.kgoe.HU.Tr.Road.Passenger.Car.PHEV.Gasoline</t>
  </si>
  <si>
    <t>FEC_per_vehicle.kgoe.HU.Tr.Road.Passenger.Car.BEV</t>
  </si>
  <si>
    <t>FEC_per_vehicle.kgoe.HU.Tr.Road.Passenger.Bus</t>
  </si>
  <si>
    <t>FEC_per_vehicle.kgoe.HU.Tr.Road.Passenger.Bus.ICE.Gasoline</t>
  </si>
  <si>
    <t>FEC_per_vehicle.kgoe.HU.Tr.Road.Passenger.Bus.ICE.Diesel</t>
  </si>
  <si>
    <t>FEC_per_vehicle.kgoe.HU.Tr.Road.Passenger.Bus.ICE.LPG</t>
  </si>
  <si>
    <t>FEC_per_vehicle.kgoe.HU.Tr.Road.Passenger.Bus.ICE.NGas</t>
  </si>
  <si>
    <t>FEC_per_vehicle.kgoe.HU.Tr.Road.Passenger.Bus.BEV</t>
  </si>
  <si>
    <t>FEC_per_vehicle.kgoe.HU.Tr.Road.Freight.LCV</t>
  </si>
  <si>
    <t>FEC_per_vehicle.kgoe.HU.Tr.Road.Freight.LCV.ICE.Gasoline</t>
  </si>
  <si>
    <t>FEC_per_vehicle.kgoe.HU.Tr.Road.Freight.LCV.ICE.Diesel</t>
  </si>
  <si>
    <t>FEC_per_vehicle.kgoe.HU.Tr.Road.Freight.LCV.ICE.LPG</t>
  </si>
  <si>
    <t>FEC_per_vehicle.kgoe.HU.Tr.Road.Freight.LCV.ICE.NGas</t>
  </si>
  <si>
    <t>FEC_per_vehicle.kgoe.HU.Tr.Road.Freight.LCV.BEV</t>
  </si>
  <si>
    <t>FEC_per_vehicle.kgoe.HU.Tr.Road.Freight.HGV_All</t>
  </si>
  <si>
    <t>FEC_per_vehicle.kgoe.HU.Tr.Road.Freight.HGV_Domestic</t>
  </si>
  <si>
    <t>FEC_per_vehicle.kgoe.HU.Tr.Road.Freight.HGV_International</t>
  </si>
  <si>
    <t>Road transport / CO2 emissions - HU - Hungary</t>
  </si>
  <si>
    <t>EMI.ktCO2.HU.ES.Tr.Road</t>
  </si>
  <si>
    <t>EMI.ktCO2.HU.ES.Tr.Road.LPG</t>
  </si>
  <si>
    <t>EMI.ktCO2.HU.ES.Tr.Road.Gasoline</t>
  </si>
  <si>
    <t>EMI.ktCO2.HU.ES.Tr.Road.Diesel</t>
  </si>
  <si>
    <t>EMI.ktCO2.HU.ES.Tr.Road.NG</t>
  </si>
  <si>
    <t>EMI.ktCO2.HU.ES.Tr.Road.Biogas</t>
  </si>
  <si>
    <t>EMI.ktCO2.HU.ES.Tr.Road.Biogasoline</t>
  </si>
  <si>
    <t>EMI.ktCO2.HU.ES.Tr.Road.Biodiesel</t>
  </si>
  <si>
    <t>EMI.ktCO2.HU.ES.Tr.Road.OthLiqBio</t>
  </si>
  <si>
    <t>EMI.ktCO2.HU.ES.Tr.Road.Elec</t>
  </si>
  <si>
    <t>EMI.ktCO2.HU.Tr.Road</t>
  </si>
  <si>
    <t>EMI.ktCO2.HU.Tr.Road.Passenger.Car.ICE.Gasoline</t>
  </si>
  <si>
    <t>EMI.ktCO2.HU.Tr.Road.Passenger.Car.ICE.Diesel</t>
  </si>
  <si>
    <t>EMI.ktCO2.HU.Tr.Road.Passenger.Car.ICE.LPG</t>
  </si>
  <si>
    <t>EMI.ktCO2.HU.Tr.Road.Passenger.Car.ICE.NGas</t>
  </si>
  <si>
    <t>EMI.ktCO2.HU.Tr.Road.Passenger.Car.PHEV.Gasoline</t>
  </si>
  <si>
    <t>EMI.ktCO2.HU.Tr.Road.Passenger.Car.BEV</t>
  </si>
  <si>
    <t>EMI.ktCO2.HU.Tr.Road.Passenger.Bus.ICE.Gasoline</t>
  </si>
  <si>
    <t>EMI.ktCO2.HU.Tr.Road.Passenger.Bus.ICE.Diesel</t>
  </si>
  <si>
    <t>EMI.ktCO2.HU.Tr.Road.Passenger.Bus.ICE.LPG</t>
  </si>
  <si>
    <t>EMI.ktCO2.HU.Tr.Road.Passenger.Bus.ICE.NGas</t>
  </si>
  <si>
    <t>EMI.ktCO2.HU.Tr.Road.Passenger.Bus.BEV</t>
  </si>
  <si>
    <t>EMI.ktCO2.HU.Tr.Road.Freight.LCV.ICE.Gasoline</t>
  </si>
  <si>
    <t>EMI.ktCO2.HU.Tr.Road.Freight.LCV.ICE.Diesel</t>
  </si>
  <si>
    <t>EMI.ktCO2.HU.Tr.Road.Freight.LCV.ICE.LPG</t>
  </si>
  <si>
    <t>EMI.ktCO2.HU.Tr.Road.Freight.LCV.ICE.NGas</t>
  </si>
  <si>
    <t>EMI.ktCO2.HU.Tr.Road.Freight.LCV.BEV</t>
  </si>
  <si>
    <t>EMI.ktCO2.HU.Tr.Road.Freight.HGV_Domestic</t>
  </si>
  <si>
    <t>EMI.ktCO2.HU.Tr.Road.Freight.HGV_International</t>
  </si>
  <si>
    <t>EMIint.gCO2_per_km.HU.Tr.Road</t>
  </si>
  <si>
    <t>EMIint.gCO2_per_km.HU.Tr.Road.Passenger</t>
  </si>
  <si>
    <t>EMIint.gCO2_per_km.HU.Tr.Road.Passenger.P2W</t>
  </si>
  <si>
    <t>EMIint.gCO2_per_km.HU.Tr.Road.Passenger.Car</t>
  </si>
  <si>
    <t>EMIint.gCO2_per_km.HU.Tr.Road.Passenger.Car.ICE.Gasoline</t>
  </si>
  <si>
    <t>EMIint.gCO2_per_km.HU.Tr.Road.Passenger.Car.ICE.Diesel</t>
  </si>
  <si>
    <t>EMIint.gCO2_per_km.HU.Tr.Road.Passenger.Car.ICE.LPG</t>
  </si>
  <si>
    <t>EMIint.gCO2_per_km.HU.Tr.Road.Passenger.Car.ICE.NGas</t>
  </si>
  <si>
    <t>EMIint.gCO2_per_km.HU.Tr.Road.Passenger.Car.PHEV.Gasoline</t>
  </si>
  <si>
    <t>EMIint.gCO2_per_km.HU.Tr.Road.Passenger.Car.BEV</t>
  </si>
  <si>
    <t>EMIint.gCO2_per_km.HU.Tr.Road.Passenger.Bus</t>
  </si>
  <si>
    <t>EMIint.gCO2_per_km.HU.Tr.Road.Passenger.Bus.ICE.Gasoline</t>
  </si>
  <si>
    <t>EMIint.gCO2_per_km.HU.Tr.Road.Passenger.Bus.ICE.Diesel</t>
  </si>
  <si>
    <t>EMIint.gCO2_per_km.HU.Tr.Road.Passenger.Bus.ICE.LPG</t>
  </si>
  <si>
    <t>EMIint.gCO2_per_km.HU.Tr.Road.Passenger.Bus.ICE.NGas</t>
  </si>
  <si>
    <t>EMIint.gCO2_per_km.HU.Tr.Road.Passenger.Bus.BEV</t>
  </si>
  <si>
    <t>EMIint.gCO2_per_km.HU.Tr.Road.Freight</t>
  </si>
  <si>
    <t>EMIint.gCO2_per_km.HU.Tr.Road.Freight.LCV</t>
  </si>
  <si>
    <t>EMIint.gCO2_per_km.HU.Tr.Road.Freight.LCV.ICE.Gasoline</t>
  </si>
  <si>
    <t>EMIint.gCO2_per_km.HU.Tr.Road.Freight.LCV.ICE.Diesel</t>
  </si>
  <si>
    <t>EMIint.gCO2_per_km.HU.Tr.Road.Freight.LCV.ICE.LPG</t>
  </si>
  <si>
    <t>EMIint.gCO2_per_km.HU.Tr.Road.Freight.LCV.ICE.NGas</t>
  </si>
  <si>
    <t>EMIint.gCO2_per_km.HU.Tr.Road.Freight.LCV.BEV</t>
  </si>
  <si>
    <t>EMIint.gCO2_per_km.HU.Tr.Road.Freight.HGV_All</t>
  </si>
  <si>
    <t>EMIint.gCO2_per_km.HU.Tr.Road.Freight.HGV_Domestic</t>
  </si>
  <si>
    <t>EMIint.gCO2_per_km.HU.Tr.Road.Freight.HGV_International</t>
  </si>
  <si>
    <t>EMIint.gCO2_per_pkm.HU.Tr.Road.Passenger.Car.ICE.Gasoline</t>
  </si>
  <si>
    <t>EMIint.gCO2_per_pkm.HU.Tr.Road.Passenger.Car.ICE.Diesel</t>
  </si>
  <si>
    <t>EMIint.gCO2_per_pkm.HU.Tr.Road.Passenger.Car.ICE.LPG</t>
  </si>
  <si>
    <t>EMIint.gCO2_per_pkm.HU.Tr.Road.Passenger.Car.ICE.NGas</t>
  </si>
  <si>
    <t>EMIint.gCO2_per_pkm.HU.Tr.Road.Passenger.Car.PHEV.Gasoline</t>
  </si>
  <si>
    <t>EMIint.gCO2_per_pkm.HU.Tr.Road.Passenger.Car.BEV</t>
  </si>
  <si>
    <t>EMIint.gCO2_per_pkm.HU.Tr.Road.Passenger.Bus.ICE.Gasoline</t>
  </si>
  <si>
    <t>EMIint.gCO2_per_pkm.HU.Tr.Road.Passenger.Bus.ICE.Diesel</t>
  </si>
  <si>
    <t>EMIint.gCO2_per_pkm.HU.Tr.Road.Passenger.Bus.ICE.LPG</t>
  </si>
  <si>
    <t>EMIint.gCO2_per_pkm.HU.Tr.Road.Passenger.Bus.ICE.NGas</t>
  </si>
  <si>
    <t>EMIint.gCO2_per_pkm.HU.Tr.Road.Passenger.Bus.BEV</t>
  </si>
  <si>
    <t>EMIint.gCO2_per_tkm.HU.Tr.Road.Freight.LCV.ICE.Gasoline</t>
  </si>
  <si>
    <t>EMIint.gCO2_per_tkm.HU.Tr.Road.Freight.LCV.ICE.Diesel</t>
  </si>
  <si>
    <t>EMIint.gCO2_per_tkm.HU.Tr.Road.Freight.LCV.ICE.LPG</t>
  </si>
  <si>
    <t>EMIint.gCO2_per_tkm.HU.Tr.Road.Freight.LCV.ICE.NGas</t>
  </si>
  <si>
    <t>EMIint.gCO2_per_tkm.HU.Tr.Road.Freight.LCV.BEV</t>
  </si>
  <si>
    <t>EMIint.gCO2_per_tkm.HU.Tr.Road.Freight.HGV_Domestic</t>
  </si>
  <si>
    <t>EMIint.gCO2_per_tkm.HU.Tr.Road.Freight.HGV_International</t>
  </si>
  <si>
    <t>EMI_per_vehicle.kgCO2.HU.Tr.Road.Passenger.P2W</t>
  </si>
  <si>
    <t>EMI_per_vehicle.kgCO2.HU.Tr.Road.Passenger.Car</t>
  </si>
  <si>
    <t>EMI_per_vehicle.kgCO2.HU.Tr.Road.Passenger.Car.ICE.Gasoline</t>
  </si>
  <si>
    <t>EMI_per_vehicle.kgCO2.HU.Tr.Road.Passenger.Car.ICE.Diesel</t>
  </si>
  <si>
    <t>EMI_per_vehicle.kgCO2.HU.Tr.Road.Passenger.Car.ICE.LPG</t>
  </si>
  <si>
    <t>EMI_per_vehicle.kgCO2.HU.Tr.Road.Passenger.Car.ICE.NGas</t>
  </si>
  <si>
    <t>EMI_per_vehicle.kgCO2.HU.Tr.Road.Passenger.Car.PHEV.Gasoline</t>
  </si>
  <si>
    <t>EMI_per_vehicle.kgCO2.HU.Tr.Road.Passenger.Car.BEV</t>
  </si>
  <si>
    <t>EMI_per_vehicle.kgCO2.HU.Tr.Road.Passenger.Bus</t>
  </si>
  <si>
    <t>EMI_per_vehicle.kgCO2.HU.Tr.Road.Passenger.Bus.ICE.Gasoline</t>
  </si>
  <si>
    <t>EMI_per_vehicle.kgCO2.HU.Tr.Road.Passenger.Bus.ICE.Diesel</t>
  </si>
  <si>
    <t>EMI_per_vehicle.kgCO2.HU.Tr.Road.Passenger.Bus.ICE.LPG</t>
  </si>
  <si>
    <t>EMI_per_vehicle.kgCO2.HU.Tr.Road.Passenger.Bus.ICE.NGas</t>
  </si>
  <si>
    <t>EMI_per_vehicle.kgCO2.HU.Tr.Road.Passenger.Bus.BEV</t>
  </si>
  <si>
    <t>EMI_per_vehicle.kgCO2.HU.Tr.Road.Freight.LCV</t>
  </si>
  <si>
    <t>EMI_per_vehicle.kgCO2.HU.Tr.Road.Freight.LCV.ICE.Gasoline</t>
  </si>
  <si>
    <t>EMI_per_vehicle.kgCO2.HU.Tr.Road.Freight.LCV.ICE.Diesel</t>
  </si>
  <si>
    <t>EMI_per_vehicle.kgCO2.HU.Tr.Road.Freight.LCV.ICE.LPG</t>
  </si>
  <si>
    <t>EMI_per_vehicle.kgCO2.HU.Tr.Road.Freight.LCV.ICE.NGas</t>
  </si>
  <si>
    <t>EMI_per_vehicle.kgCO2.HU.Tr.Road.Freight.LCV.BEV</t>
  </si>
  <si>
    <t>EMI_per_vehicle.kgCO2.HU.Tr.Road.Freight.HGV_All</t>
  </si>
  <si>
    <t>EMI_per_vehicle.kgCO2.HU.Tr.Road.Freight.HGV_Domestic</t>
  </si>
  <si>
    <t>EMI_per_vehicle.kgCO2.HU.Tr.Road.Freight.HGV_International</t>
  </si>
  <si>
    <t>Road transport / technologies - HU - Hungary</t>
  </si>
  <si>
    <t>Stock.number.HU.Tr.Road.Freight.HGV_all</t>
  </si>
  <si>
    <t>StockVin.number.HU.Tr.Road</t>
  </si>
  <si>
    <t>StockVin.number.HU.Tr.Road.Passenger</t>
  </si>
  <si>
    <t>StockVin.number.HU.Tr.Road.Passenger.P2W</t>
  </si>
  <si>
    <t>StockVin.number.HU.Tr.Road.Passenger.Car</t>
  </si>
  <si>
    <t>StockVin.number.HU.Tr.Road.Passenger.Car.ICE.Gasoline</t>
  </si>
  <si>
    <t>StockVin.number.HU.Tr.Road.Passenger.Car.ICE.Diesel</t>
  </si>
  <si>
    <t>StockVin.number.HU.Tr.Road.Passenger.Car.ICE.LPG</t>
  </si>
  <si>
    <t>StockVin.number.HU.Tr.Road.Passenger.Car.ICE.NGas</t>
  </si>
  <si>
    <t>StockVin.number.HU.Tr.Road.Passenger.Car.PHEV.Gasoline</t>
  </si>
  <si>
    <t>StockVin.number.HU.Tr.Road.Passenger.Car.BEV</t>
  </si>
  <si>
    <t>StockVin.number.HU.Tr.Road.Passenger.Bus</t>
  </si>
  <si>
    <t>StockVin.number.HU.Tr.Road.Passenger.Bus.ICE.Gasoline</t>
  </si>
  <si>
    <t>StockVin.number.HU.Tr.Road.Passenger.Bus.ICE.Diesel</t>
  </si>
  <si>
    <t>StockVin.number.HU.Tr.Road.Passenger.Bus.ICE.LPG</t>
  </si>
  <si>
    <t>StockVin.number.HU.Tr.Road.Passenger.Bus.ICE.NGas</t>
  </si>
  <si>
    <t>StockVin.number.HU.Tr.Road.Passenger.Bus.BEV</t>
  </si>
  <si>
    <t>StockVin.number.HU.Tr.Road.Freight</t>
  </si>
  <si>
    <t>StockVin.number.HU.Tr.Road.Freight.LCV</t>
  </si>
  <si>
    <t>StockVin.number.HU.Tr.Road.Freight.LCV.ICE.Gasoline</t>
  </si>
  <si>
    <t>StockVin.number.HU.Tr.Road.Freight.LCV.ICE.Diesel</t>
  </si>
  <si>
    <t>StockVin.number.HU.Tr.Road.Freight.LCV.ICE.LPG</t>
  </si>
  <si>
    <t>StockVin.number.HU.Tr.Road.Freight.LCV.ICE.NGas</t>
  </si>
  <si>
    <t>StockVin.number.HU.Tr.Road.Freight.LCV.BEV</t>
  </si>
  <si>
    <t>StockVin.number.HU.Tr.Road.Freight.HGV_All</t>
  </si>
  <si>
    <t>StockVin.number.HU.Tr.Road.Freight.HGV_Domestic</t>
  </si>
  <si>
    <t>StockVin.number.HU.Tr.Road.Freight.HGV_International</t>
  </si>
  <si>
    <t>Eff_test_stock.kgoe_per_100km.HU.Tr.Road.Passenger.P2W</t>
  </si>
  <si>
    <t>Eff_test_stock.kgoe_per_100km.HU.Tr.Road.Passenger.Car</t>
  </si>
  <si>
    <t>Eff_test_stock.kgoe_per_100km.HU.Tr.Road.Passenger.Car.ICE.Gasoline</t>
  </si>
  <si>
    <t>Eff_test_stock.kgoe_per_100km.HU.Tr.Road.Passenger.Car.ICE.Diesel</t>
  </si>
  <si>
    <t>Eff_test_stock.kgoe_per_100km.HU.Tr.Road.Passenger.Car.ICE.LPG</t>
  </si>
  <si>
    <t>Eff_test_stock.kgoe_per_100km.HU.Tr.Road.Passenger.Car.ICE.NGas</t>
  </si>
  <si>
    <t>Eff_test_stock.kgoe_per_100km.HU.Tr.Road.Passenger.Car.PHEV.Gasoline</t>
  </si>
  <si>
    <t>Eff_test_stock.kgoe_per_100km.HU.Tr.Road.Passenger.Car.BEV</t>
  </si>
  <si>
    <t>Eff_test_stock.kgoe_per_100km.HU.Tr.Road.Passenger.Bus</t>
  </si>
  <si>
    <t>Eff_test_stock.kgoe_per_100km.HU.Tr.Road.Passenger.Bus.ICE.Gasoline</t>
  </si>
  <si>
    <t>Eff_test_stock.kgoe_per_100km.HU.Tr.Road.Passenger.Bus.ICE.Diesel</t>
  </si>
  <si>
    <t>Eff_test_stock.kgoe_per_100km.HU.Tr.Road.Passenger.Bus.ICE.LPG</t>
  </si>
  <si>
    <t>Eff_test_stock.kgoe_per_100km.HU.Tr.Road.Passenger.Bus.ICE.NGas</t>
  </si>
  <si>
    <t>Eff_test_stock.kgoe_per_100km.HU.Tr.Road.Passenger.Bus.BEV</t>
  </si>
  <si>
    <t>Eff_test_stock.kgoe_per_100km.HU.Tr.Road.Freight.LCV</t>
  </si>
  <si>
    <t>Eff_test_stock.kgoe_per_100km.HU.Tr.Road.Freight.LCV.ICE.Gasoline</t>
  </si>
  <si>
    <t>Eff_test_stock.kgoe_per_100km.HU.Tr.Road.Freight.LCV.ICE.Diesel</t>
  </si>
  <si>
    <t>Eff_test_stock.kgoe_per_100km.HU.Tr.Road.Freight.LCV.ICE.LPG</t>
  </si>
  <si>
    <t>Eff_test_stock.kgoe_per_100km.HU.Tr.Road.Freight.LCV.ICE.NGas</t>
  </si>
  <si>
    <t>Eff_test_stock.kgoe_per_100km.HU.Tr.Road.Freight.LCV.BEV</t>
  </si>
  <si>
    <t>Eff_test_stock.kgoe_per_100km.HU.Tr.Road.Freight.HGV_All</t>
  </si>
  <si>
    <t>Eff_test_stock.kgoe_per_100km.HU.Tr.Road.Freight.HGV_Domestic</t>
  </si>
  <si>
    <t>Eff_test_stock.kgoe_per_100km.HU.Tr.Road.Freight.HGV_International</t>
  </si>
  <si>
    <t>Eff_test_new.kgoe_per_100km.HU.Tr.Road.Passenger.P2W</t>
  </si>
  <si>
    <t>Eff_test_new.kgoe_per_100km.HU.Tr.Road.Passenger.Car</t>
  </si>
  <si>
    <t>Eff_test_new.kgoe_per_100km.HU.Tr.Road.Passenger.Car.ICE.Gasoline</t>
  </si>
  <si>
    <t>Eff_test_new.kgoe_per_100km.HU.Tr.Road.Passenger.Car.ICE.Diesel</t>
  </si>
  <si>
    <t>Eff_test_new.kgoe_per_100km.HU.Tr.Road.Passenger.Car.ICE.LPG</t>
  </si>
  <si>
    <t>Eff_test_new.kgoe_per_100km.HU.Tr.Road.Passenger.Car.ICE.NGas</t>
  </si>
  <si>
    <t>Eff_test_new.kgoe_per_100km.HU.Tr.Road.Passenger.Car.PHEV.Gasoline</t>
  </si>
  <si>
    <t>Eff_test_new.kgoe_per_100km.HU.Tr.Road.Passenger.Car.BEV</t>
  </si>
  <si>
    <t>Eff_test_new.kgoe_per_100km.HU.Tr.Road.Passenger.Bus</t>
  </si>
  <si>
    <t>Eff_test_new.kgoe_per_100km.HU.Tr.Road.Passenger.Bus.ICE.Gasoline</t>
  </si>
  <si>
    <t>Eff_test_new.kgoe_per_100km.HU.Tr.Road.Passenger.Bus.ICE.Diesel</t>
  </si>
  <si>
    <t>Eff_test_new.kgoe_per_100km.HU.Tr.Road.Passenger.Bus.ICE.LPG</t>
  </si>
  <si>
    <t>Eff_test_new.kgoe_per_100km.HU.Tr.Road.Passenger.Bus.ICE.NGas</t>
  </si>
  <si>
    <t>Eff_test_new.kgoe_per_100km.HU.Tr.Road.Passenger.Bus.BEV</t>
  </si>
  <si>
    <t>Eff_test_new.kgoe_per_100km.HU.Tr.Road.Freight.LCV</t>
  </si>
  <si>
    <t>Eff_test_new.kgoe_per_100km.HU.Tr.Road.Freight.LCV.ICE.Gasoline</t>
  </si>
  <si>
    <t>Eff_test_new.kgoe_per_100km.HU.Tr.Road.Freight.LCV.ICE.Diesel</t>
  </si>
  <si>
    <t>Eff_test_new.kgoe_per_100km.HU.Tr.Road.Freight.LCV.ICE.LPG</t>
  </si>
  <si>
    <t>Eff_test_new.kgoe_per_100km.HU.Tr.Road.Freight.LCV.ICE.NGas</t>
  </si>
  <si>
    <t>Eff_test_new.kgoe_per_100km.HU.Tr.Road.Freight.LCV.BEV</t>
  </si>
  <si>
    <t>Eff_test_new.kgoe_per_100km.HU.Tr.Road.Freight.HGV_All</t>
  </si>
  <si>
    <t>Eff_test_new.kgoe_per_100km.HU.Tr.Road.Freight.HGV_Domestic</t>
  </si>
  <si>
    <t>Eff_test_new.kgoe_per_100km.HU.Tr.Road.Freight.HGV_International</t>
  </si>
  <si>
    <t>EMIint_test_stock.gCO2_per_km.HU.Tr.Road.Passenger.P2W</t>
  </si>
  <si>
    <t>EMIint_test_stock.gCO2_per_km.HU.Tr.Road.Passenger.Car</t>
  </si>
  <si>
    <t>EMIint_test_stock.gCO2_per_km.HU.Tr.Road.Passenger.Car.ICE.Gasoline</t>
  </si>
  <si>
    <t>EMIint_test_stock.gCO2_per_km.HU.Tr.Road.Passenger.Car.ICE.Diesel</t>
  </si>
  <si>
    <t>EMIint_test_stock.gCO2_per_km.HU.Tr.Road.Passenger.Car.ICE.LPG</t>
  </si>
  <si>
    <t>EMIint_test_stock.gCO2_per_km.HU.Tr.Road.Passenger.Car.ICE.NGas</t>
  </si>
  <si>
    <t>EMIint_test_stock.gCO2_per_km.HU.Tr.Road.Passenger.Car.PHEV.Gasoline</t>
  </si>
  <si>
    <t>EMIint_test_stock.gCO2_per_km.HU.Tr.Road.Passenger.Car.BEV</t>
  </si>
  <si>
    <t>EMIint_test_stock.gCO2_per_km.HU.Tr.Road.Passenger.Bus</t>
  </si>
  <si>
    <t>EMIint_test_stock.gCO2_per_km.HU.Tr.Road.Passenger.Bus.ICE.Gasoline</t>
  </si>
  <si>
    <t>EMIint_test_stock.gCO2_per_km.HU.Tr.Road.Passenger.Bus.ICE.Diesel</t>
  </si>
  <si>
    <t>EMIint_test_stock.gCO2_per_km.HU.Tr.Road.Passenger.Bus.ICE.LPG</t>
  </si>
  <si>
    <t>EMIint_test_stock.gCO2_per_km.HU.Tr.Road.Passenger.Bus.ICE.NGas</t>
  </si>
  <si>
    <t>EMIint_test_stock.gCO2_per_km.HU.Tr.Road.Passenger.Bus.BEV</t>
  </si>
  <si>
    <t>EMIint_test_stock.gCO2_per_km.HU.Tr.Road.Freight.LCV</t>
  </si>
  <si>
    <t>EMIint_test_stock.gCO2_per_km.HU.Tr.Road.Freight.LCV.ICE.Gasoline</t>
  </si>
  <si>
    <t>EMIint_test_stock.gCO2_per_km.HU.Tr.Road.Freight.LCV.ICE.Diesel</t>
  </si>
  <si>
    <t>EMIint_test_stock.gCO2_per_km.HU.Tr.Road.Freight.LCV.ICE.LPG</t>
  </si>
  <si>
    <t>EMIint_test_stock.gCO2_per_km.HU.Tr.Road.Freight.LCV.ICE.NGas</t>
  </si>
  <si>
    <t>EMIint_test_stock.gCO2_per_km.HU.Tr.Road.Freight.LCV.BEV</t>
  </si>
  <si>
    <t>EMIint_test_stock.gCO2_per_km.HU.Tr.Road.Freight.HGV_All</t>
  </si>
  <si>
    <t>EMIint_test_stock.gCO2_per_km.HU.Tr.Road.Freight.HGV_Domestic</t>
  </si>
  <si>
    <t>EMIint_test_stock.gCO2_per_km.HU.Tr.Road.Freight.HGV_International</t>
  </si>
  <si>
    <t>EMIint_test_new.gCO2_per_km.HU.Tr.Road.Passenger.P2W</t>
  </si>
  <si>
    <t>EMIint_test_new.gCO2_per_km.HU.Tr.Road.Passenger.Car</t>
  </si>
  <si>
    <t>EMIint_test_new.gCO2_per_km.HU.Tr.Road.Passenger.Car.ICE.Gasoline</t>
  </si>
  <si>
    <t>EMIint_test_new.gCO2_per_km.HU.Tr.Road.Passenger.Car.ICE.Diesel</t>
  </si>
  <si>
    <t>EMIint_test_new.gCO2_per_km.HU.Tr.Road.Passenger.Car.ICE.LPG</t>
  </si>
  <si>
    <t>EMIint_test_new.gCO2_per_km.HU.Tr.Road.Passenger.Car.ICE.NGas</t>
  </si>
  <si>
    <t>EMIint_test_new.gCO2_per_km.HU.Tr.Road.Passenger.Car.PHEV.Gasoline</t>
  </si>
  <si>
    <t>EMIint_test_new.gCO2_per_km.HU.Tr.Road.Passenger.Car.BEV</t>
  </si>
  <si>
    <t>EMIint_test_new.gCO2_per_km.HU.Tr.Road.Passenger.Bus</t>
  </si>
  <si>
    <t>EMIint_test_new.gCO2_per_km.HU.Tr.Road.Passenger.Bus.ICE.Gasoline</t>
  </si>
  <si>
    <t>EMIint_test_new.gCO2_per_km.HU.Tr.Road.Passenger.Bus.ICE.Diesel</t>
  </si>
  <si>
    <t>EMIint_test_new.gCO2_per_km.HU.Tr.Road.Passenger.Bus.ICE.LPG</t>
  </si>
  <si>
    <t>EMIint_test_new.gCO2_per_km.HU.Tr.Road.Passenger.Bus.ICE.NGas</t>
  </si>
  <si>
    <t>EMIint_test_new.gCO2_per_km.HU.Tr.Road.Passenger.Bus.BEV</t>
  </si>
  <si>
    <t>EMIint_test_new.gCO2_per_km.HU.Tr.Road.Freight.LCV</t>
  </si>
  <si>
    <t>EMIint_test_new.gCO2_per_km.HU.Tr.Road.Freight.LCV.ICE.Gasoline</t>
  </si>
  <si>
    <t>EMIint_test_new.gCO2_per_km.HU.Tr.Road.Freight.LCV.ICE.Diesel</t>
  </si>
  <si>
    <t>EMIint_test_new.gCO2_per_km.HU.Tr.Road.Freight.LCV.ICE.LPG</t>
  </si>
  <si>
    <t>EMIint_test_new.gCO2_per_km.HU.Tr.Road.Freight.LCV.ICE.NGas</t>
  </si>
  <si>
    <t>EMIint_test_new.gCO2_per_km.HU.Tr.Road.Freight.LCV.BEV</t>
  </si>
  <si>
    <t>EMIint_test_new.gCO2_per_km.HU.Tr.Road.Freight.HGV_All</t>
  </si>
  <si>
    <t>EMIint_test_new.gCO2_per_km.HU.Tr.Road.Freight.HGV_Domestic</t>
  </si>
  <si>
    <t>EMIint_test_new.gCO2_per_km.HU.Tr.Road.Freight.HGV_International</t>
  </si>
  <si>
    <t>FEC.ktoe.HU.MBunk</t>
  </si>
  <si>
    <t>FEC.ktoe.HU.MBunk.IntraEEA</t>
  </si>
  <si>
    <t>FEC.ktoe.HU.MBunk.ExtraEEA</t>
  </si>
  <si>
    <t>EMI.ktCO2.HU.MBunk</t>
  </si>
  <si>
    <t>EMI.ktCO2.HU.MBunk.IntraEEA</t>
  </si>
  <si>
    <t>EMI.ktCO2.HU.MBunk.ExtraEEA</t>
  </si>
  <si>
    <t>International maritime bunkers - HU - Hungary</t>
  </si>
  <si>
    <t>VehicleKm.Mkm.HU.MBunk.Freight</t>
  </si>
  <si>
    <t>VehicleKm.Mkm.HU.MBunk.Freight.IntraEEA</t>
  </si>
  <si>
    <t>VehicleKm.Mkm.HU.MBunk.Freight.ExtraEEA</t>
  </si>
  <si>
    <t>Load.t_per_movement.HU.MBunk.Freight</t>
  </si>
  <si>
    <t>Load.t_per_movement.HU.MBunk.Freight.IntraEEA</t>
  </si>
  <si>
    <t>Load.t_per_movement.HU.MBunk.Freight.ExtraEEA</t>
  </si>
  <si>
    <t>International maritime bunkers / energy consumption - HU - Hungary</t>
  </si>
  <si>
    <t>FEC.ktoe.HU.ES.MBunk</t>
  </si>
  <si>
    <t>FEC.ktoe.HU.ES.MBunk.IntraEEA</t>
  </si>
  <si>
    <t>FEC.ktoe.HU.ES.MBunk.IntraEEA.Diesel</t>
  </si>
  <si>
    <t>FEC.ktoe.HU.ES.MBunk.IntraEEA.RFO_Other</t>
  </si>
  <si>
    <t>FEC.ktoe.HU.ES.MBunk.IntraEEA.LiqBio</t>
  </si>
  <si>
    <t>FEC.ktoe.HU.ES.MBunk.IntraEEA.NG</t>
  </si>
  <si>
    <t>FEC.ktoe.HU.ES.MBunk.IntraEEA.Biogas</t>
  </si>
  <si>
    <t>FEC.ktoe.HU.ES.MBunk.ExtraEEA</t>
  </si>
  <si>
    <t>FEC.ktoe.HU.ES.MBunk.ExtraEEA.Diesel</t>
  </si>
  <si>
    <t>FEC.ktoe.HU.ES.MBunk.ExtraEEA.RFO_Other</t>
  </si>
  <si>
    <t>FEC.ktoe.HU.ES.MBunk.ExtraEEA.LiqBio</t>
  </si>
  <si>
    <t>FEC.ktoe.HU.ES.MBunk.ExtraEEA.NG</t>
  </si>
  <si>
    <t>FEC.ktoe.HU.ES.MBunk.ExtraEEA.Biogas</t>
  </si>
  <si>
    <t>Eff.kgoe_per_100km.HU.MBunk.Freight</t>
  </si>
  <si>
    <t>Eff.kgoe_per_100km.HU.MBunk.Freight.IntraEEA</t>
  </si>
  <si>
    <t>Eff.kgoe_per_100km.HU.MBunk.Freight.ExtraEEA</t>
  </si>
  <si>
    <t>International maritime bunkers / CO2 emissions - HU - Hungary</t>
  </si>
  <si>
    <t>EMI.ktCO2.HU.ES.MBunk</t>
  </si>
  <si>
    <t>EMI.ktCO2.HU.ES.MBunk.IntraEEA</t>
  </si>
  <si>
    <t>EMI.ktCO2.HU.ES.MBunk.ExtraEEA</t>
  </si>
  <si>
    <t>EMIint.gCO2_per_km.HU.MBunk.Freight</t>
  </si>
  <si>
    <t>EMIint.gCO2_per_km.HU.MBunk.Freight.IntraEEA</t>
  </si>
  <si>
    <t>EMIint.gCO2_per_km.HU.MBunk.Freight.ExtraEEA</t>
  </si>
  <si>
    <t>FEC.ktoe.HU.Tr.DNavi</t>
  </si>
  <si>
    <t>FEC.ktoe.HU.Tr.Dnavi.DCS</t>
  </si>
  <si>
    <t>FEC.ktoe.HU.Tr.Dnavi.IWW</t>
  </si>
  <si>
    <t>EMI.ktCO2.HU.Tr.DNavi</t>
  </si>
  <si>
    <t>EMI.ktCO2.HU.Tr.Dnavi.DCS</t>
  </si>
  <si>
    <t>EMI.ktCO2.HU.Tr.Dnavi.IWW</t>
  </si>
  <si>
    <t>Domestic navigation - HU - Hungary</t>
  </si>
  <si>
    <t>VehicleKm.Mkm.HU.Tr.DNavi.Freight</t>
  </si>
  <si>
    <t>VehicleKm.Mkm.HU.Tr.DNavi.Freight.DCS</t>
  </si>
  <si>
    <t>VehicleKm.Mkm.HU.Tr.DNavi.Freight.IWW</t>
  </si>
  <si>
    <t>Load.t_per_movement.HU.Tr.DNavi.Freight</t>
  </si>
  <si>
    <t>Load.t_per_movement.HU.Tr.DNavi.Freight.DCS</t>
  </si>
  <si>
    <t>Load.t_per_movement.HU.Tr.DNavi.Freight.IWW</t>
  </si>
  <si>
    <t>Domestic navigation / energy consumption - HU - Hungary</t>
  </si>
  <si>
    <t>FEC.ktoe.HU.ES.Tr.DNavi</t>
  </si>
  <si>
    <t>FEC.ktoe.HU.ES.Tr.DNavi.DCS</t>
  </si>
  <si>
    <t>FEC.ktoe.HU.ES.Tr.DNavi.DCS.Diesel</t>
  </si>
  <si>
    <t>FEC.ktoe.HU.ES.Tr.DNavi.DCS.RFO_Other</t>
  </si>
  <si>
    <t>FEC.ktoe.HU.ES.Tr.DNavi.DCS.LiqBio</t>
  </si>
  <si>
    <t>FEC.ktoe.HU.ES.Tr.DNavi.DCS.NG</t>
  </si>
  <si>
    <t>FEC.ktoe.HU.ES.Tr.DNavi.DCS.Biogas</t>
  </si>
  <si>
    <t>FEC.ktoe.HU.ES.Tr.DNavi.IWW</t>
  </si>
  <si>
    <t>FEC.ktoe.HU.ES.Tr.DNavi.IWW.Diesel</t>
  </si>
  <si>
    <t>FEC.ktoe.HU.ES.Tr.DNavi.IWW.RFO_Other</t>
  </si>
  <si>
    <t>FEC.ktoe.HU.ES.Tr.DNavi.IWW.LiqBio</t>
  </si>
  <si>
    <t>FEC.ktoe.HU.ES.Tr.DNavi.IWW.NG</t>
  </si>
  <si>
    <t>FEC.ktoe.HU.ES.Tr.DNavi.IWW.Biogas</t>
  </si>
  <si>
    <t>Eff.kgoe_per_100km.HU.Tr.DNavi.Freight</t>
  </si>
  <si>
    <t>Eff.kgoe_per_100km.HU.Tr.DNavi.Freight.DCS</t>
  </si>
  <si>
    <t>Eff.kgoe_per_100km.HU.Tr.DNavi.Freight.IWW</t>
  </si>
  <si>
    <t>Domestic navigation / CO2 emissions - HU - Hungary</t>
  </si>
  <si>
    <t>EMI.ktCO2.HU.ES.Tr.DNavi</t>
  </si>
  <si>
    <t>EMI.ktCO2.HU.ES.Tr.DNavi.DCS</t>
  </si>
  <si>
    <t>EMI.ktCO2.HU.ES.Tr.DNavi.IWW</t>
  </si>
  <si>
    <t>EMIint.gCO2_per_km.HU.Tr.DNavi.Freight</t>
  </si>
  <si>
    <t>EMIint.gCO2_per_km.HU.Tr.DNavi.Freight.DCS</t>
  </si>
  <si>
    <t>EMIint.gCO2_per_km.HU.Tr.DNavi.Freight.IWW</t>
  </si>
  <si>
    <t>Rail, metro and tram - HU - Hungary</t>
  </si>
  <si>
    <t>Activity.Mpkm.HU.Tr.Rail.Passenger.CPT.Diesel</t>
  </si>
  <si>
    <t>Activity.Mpkm.HU.Tr.Rail.Passenger.CPT.Elc</t>
  </si>
  <si>
    <t>Activity.Mtkm.HU.Tr.Rail.Freight.Diesel</t>
  </si>
  <si>
    <t>Activity.Mtkm.HU.Tr.Rail.Freight.Elc</t>
  </si>
  <si>
    <t>VehicleKm.Mkm.HU.Tr.Rail</t>
  </si>
  <si>
    <t>VehicleKm.Mkm.HU.Tr.Rail.Passenger</t>
  </si>
  <si>
    <t>VehicleKm.Mkm.HU.Tr.Rail.Passenger.MTU</t>
  </si>
  <si>
    <t>VehicleKm.Mkm.HU.Tr.Rail.Passenger.CPT</t>
  </si>
  <si>
    <t>VehicleKm.Mkm.HU.Tr.Rail.Passenger.CPT.Diesel</t>
  </si>
  <si>
    <t>VehicleKm.Mkm.HU.Tr.Rail.Passenger.CPT.Elc</t>
  </si>
  <si>
    <t>VehicleKm.Mkm.HU.Tr.Rail.Passenger.HST</t>
  </si>
  <si>
    <t>VehicleKm.Mkm.HU.Tr.Rail.Freight</t>
  </si>
  <si>
    <t>VehicleKm.Mkm.HU.Tr.Rail.Freight.Diesel</t>
  </si>
  <si>
    <t>VehicleKm.Mkm.HU.Tr.Rail.Freight.Elc</t>
  </si>
  <si>
    <t>Stock.number.HU.Tr.Rail</t>
  </si>
  <si>
    <t>Stock.number.HU.Tr.Rail.Passenger</t>
  </si>
  <si>
    <t>Stock.number.HU.Tr.Rail.Passenger.MTU</t>
  </si>
  <si>
    <t>Stock.number.HU.Tr.Rail.Passenger.CPT</t>
  </si>
  <si>
    <t>Stock.number.HU.Tr.Rail.Passenger.CPT.Diesel</t>
  </si>
  <si>
    <t>Stock.number.HU.Tr.Rail.Passenger.CPT.Elc</t>
  </si>
  <si>
    <t>Stock.number.HU.Tr.Rail.Passenger.HST</t>
  </si>
  <si>
    <t>Stock.number.HU.Tr.Rail.Freight</t>
  </si>
  <si>
    <t>Stock.number.HU.Tr.Rail.Freight.Diesel</t>
  </si>
  <si>
    <t>Stock.number.HU.Tr.Rail.Freight.Elc</t>
  </si>
  <si>
    <t>StockNew.number.HU.Tr.Rail</t>
  </si>
  <si>
    <t>StockNew.number.HU.Tr.Rail.Passenger</t>
  </si>
  <si>
    <t>StockNew.number.HU.Tr.Rail.Passenger.MTU</t>
  </si>
  <si>
    <t>StockNew.number.HU.Tr.Rail.Passenger.CPT</t>
  </si>
  <si>
    <t>StockNew.number.HU.Tr.Rail.Passenger.CPT.Diesel</t>
  </si>
  <si>
    <t>StockNew.number.HU.Tr.Rail.Passenger.CPT.Elc</t>
  </si>
  <si>
    <t>StockNew.number.HU.Tr.Rail.Passenger.HST</t>
  </si>
  <si>
    <t>StockNew.number.HU.Tr.Rail.Freight</t>
  </si>
  <si>
    <t>StockNew.number.HU.Tr.Rail.Freight.Diesel</t>
  </si>
  <si>
    <t>StockNew.number.HU.Tr.Rail.Freight.Elc</t>
  </si>
  <si>
    <t>Load.passenger_per_movement.HU.Tr.Rail.Passenger</t>
  </si>
  <si>
    <t>Load.passenger_per_movement.HU.Tr.Rail.Passenger.MTU</t>
  </si>
  <si>
    <t>Load.passenger_per_movement.HU.Tr.Rail.Passenger.CPT</t>
  </si>
  <si>
    <t>Load.passenger_per_movement.HU.Tr.Rail.Passenger.CPT.Diesel</t>
  </si>
  <si>
    <t>Load.passenger_per_movement.HU.Tr.Rail.Passenger.CPT.Elc</t>
  </si>
  <si>
    <t>Load.passenger_per_movement.HU.Tr.Rail.Passenger.HST</t>
  </si>
  <si>
    <t>Load.t_per_movement.HU.Tr.Rail.Freight</t>
  </si>
  <si>
    <t>Load.t_per_movement.HU.Tr.Rail.Freight.Diesel</t>
  </si>
  <si>
    <t>Load.t_per_movement.HU.Tr.Rail.Freight.Elc</t>
  </si>
  <si>
    <t>TrCap.seats.HU.Tr.Rail.Passenger</t>
  </si>
  <si>
    <t>TrCap.seats.HU.Tr.Rail.Passenger.MTU</t>
  </si>
  <si>
    <t>TrCap.seats.HU.Tr.Rail.Passenger.CPT</t>
  </si>
  <si>
    <t>TrCap.seats.HU.Tr.Rail.Passenger.CPT.Diesel</t>
  </si>
  <si>
    <t>TrCap.seats.HU.Tr.Rail.Passenger.CPT.Elc</t>
  </si>
  <si>
    <t>TrCap.seats.HU.Tr.Rail.Passenger.HST</t>
  </si>
  <si>
    <t>TrCap.t.HU.Tr.Rail.Freight</t>
  </si>
  <si>
    <t>TrCap.t.HU.Tr.Rail.Freight.Diesel</t>
  </si>
  <si>
    <t>TrCap.t.HU.Tr.Rail.Freight.Elc</t>
  </si>
  <si>
    <t>VehicleKm_per_vehicle.km.HU.Tr.Rail</t>
  </si>
  <si>
    <t>VehicleKm_per_vehicle.km.HU.Tr.Rail.Passenger</t>
  </si>
  <si>
    <t>VehicleKm_per_vehicle.km.HU.Tr.Rail.Passenger.MTU</t>
  </si>
  <si>
    <t>VehicleKm_per_vehicle.km.HU.Tr.Rail.Passenger.CPT</t>
  </si>
  <si>
    <t>VehicleKm_per_vehicle.km.HU.Tr.Rail.Passenger.CPT.Diesel</t>
  </si>
  <si>
    <t>VehicleKm_per_vehicle.km.HU.Tr.Rail.Passenger.CPT.Elc</t>
  </si>
  <si>
    <t>VehicleKm_per_vehicle.km.HU.Tr.Rail.Passenger.HST</t>
  </si>
  <si>
    <t>VehicleKm_per_vehicle.km.HU.Tr.Rail.Freight</t>
  </si>
  <si>
    <t>VehicleKm_per_vehicle.km.HU.Tr.Rail.Freight.Diesel</t>
  </si>
  <si>
    <t>VehicleKm_per_vehicle.km.HU.Tr.Rail.Freight.Elc</t>
  </si>
  <si>
    <t>Activity_per_vehicle.pkm.HU.Tr.Rail.Passenger</t>
  </si>
  <si>
    <t>Activity_per_vehicle.pkm.HU.Tr.Rail.Passenger.MTU</t>
  </si>
  <si>
    <t>Activity_per_vehicle.pkm.HU.Tr.Rail.Passenger.CPT</t>
  </si>
  <si>
    <t>Activity_per_vehicle.pkm.HU.Tr.Rail.Passenger.CPT.Diesel</t>
  </si>
  <si>
    <t>Activity_per_vehicle.pkm.HU.Tr.Rail.Passenger.CPT.Elc</t>
  </si>
  <si>
    <t>Activity_per_vehicle.pkm.HU.Tr.Rail.Passenger.HST</t>
  </si>
  <si>
    <t>Activity_per_vehicle.tkm.HU.Tr.Rail.Freight</t>
  </si>
  <si>
    <t>Activity_per_vehicle.tkm.HU.Tr.Rail.Freight.Diesel</t>
  </si>
  <si>
    <t>Activity_per_vehicle.tkm.HU.Tr.Rail.Freight.Elc</t>
  </si>
  <si>
    <t>Rail, metro and tram / energy consumption - HU - Hungary</t>
  </si>
  <si>
    <t>FEC.ktoe.HU.ES.Tr.Rail</t>
  </si>
  <si>
    <t>FEC.ktoe.HU.ES.Tr.Rail.Diesel</t>
  </si>
  <si>
    <t>FEC.ktoe.HU.ES.Tr.Rail.LiqBio</t>
  </si>
  <si>
    <t>FEC.ktoe.HU.ES.Tr.Rail.Elec</t>
  </si>
  <si>
    <t>FEC.ktoe.HU.Tr.Rail</t>
  </si>
  <si>
    <t>FEC.ktoe.HU.Tr.Rail.Passenger.CPT.Diesel</t>
  </si>
  <si>
    <t>FEC.ktoe.HU.Tr.Rail.Passenger.CPT.Elc</t>
  </si>
  <si>
    <t>FEC.ktoe.HU.Tr.Rail.Freight.Diesel</t>
  </si>
  <si>
    <t>FEC.ktoe.HU.Tr.Rail.Freight.Elc</t>
  </si>
  <si>
    <t>Eff.kgoe_per_100km.HU.Tr.Rail</t>
  </si>
  <si>
    <t>Eff.kgoe_per_100km.HU.Tr.Rail.Passenger</t>
  </si>
  <si>
    <t>Eff.kgoe_per_100km.HU.Tr.Rail.Passenger.MTU</t>
  </si>
  <si>
    <t>Eff.kgoe_per_100km.HU.Tr.Rail.Passenger.CPT</t>
  </si>
  <si>
    <t>Eff.kgoe_per_100km.HU.Tr.Rail.Passenger.CPT.Diesel</t>
  </si>
  <si>
    <t>Eff.kgoe_per_100km.HU.Tr.Rail.Passenger.CPT.Elc</t>
  </si>
  <si>
    <t>Eff.kgoe_per_100km.HU.Tr.Rail.Passenger.HST</t>
  </si>
  <si>
    <t>Eff.kgoe_per_100km.HU.Tr.Rail.Freight</t>
  </si>
  <si>
    <t>Eff.kgoe_per_100km.HU.Tr.Rail.Freight.Diesel</t>
  </si>
  <si>
    <t>Eff.kgoe_per_100km.HU.Tr.Rail.Freight.Elc</t>
  </si>
  <si>
    <t>Eff.kgoe_per_kpkm.HU.Tr.Rail.Passenger.CPT.Diesel</t>
  </si>
  <si>
    <t>Eff.kgoe_per_kpkm.HU.Tr.Rail.Passenger.CPT.Elc</t>
  </si>
  <si>
    <t>Eff.kgoe_per_ktkm.HU.Tr.Rail.Freight.Diesel</t>
  </si>
  <si>
    <t>Eff.kgoe_per_ktkm.HU.Tr.Rail.Freight.Elc</t>
  </si>
  <si>
    <t>FEC_per_vehicle.kgoe.HU.Tr.Rail</t>
  </si>
  <si>
    <t>FEC_per_vehicle.kgoe.HU.Tr.Rail.Passenger</t>
  </si>
  <si>
    <t>FEC_per_vehicle.kgoe.HU.Tr.Rail.Passenger.MTU</t>
  </si>
  <si>
    <t>FEC_per_vehicle.kgoe.HU.Tr.Rail.Passenger.CPT</t>
  </si>
  <si>
    <t>FEC_per_vehicle.kgoe.HU.Tr.Rail.Passenger.CPT.Diesel</t>
  </si>
  <si>
    <t>FEC_per_vehicle.kgoe.HU.Tr.Rail.Passenger.CPT.Elc</t>
  </si>
  <si>
    <t>FEC_per_vehicle.kgoe.HU.Tr.Rail.Passenger.HST</t>
  </si>
  <si>
    <t>FEC_per_vehicle.kgoe.HU.Tr.Rail.Freight</t>
  </si>
  <si>
    <t>FEC_per_vehicle.kgoe.HU.Tr.Rail.Freight.Diesel</t>
  </si>
  <si>
    <t>FEC_per_vehicle.kgoe.HU.Tr.Rail.Freight.Elc</t>
  </si>
  <si>
    <t>Rail, metro and tram / CO2 emissions - HU - Hungary</t>
  </si>
  <si>
    <t>EMI.ktCO2.HU.ES.Tr.Rail</t>
  </si>
  <si>
    <t>EMI.ktCO2.HU.ES.Tr.Rail.Diesel</t>
  </si>
  <si>
    <t>EMI.ktCO2.HU.ES.Tr.Rail.Elec</t>
  </si>
  <si>
    <t>EMI.ktCO2.HU.Tr.Rail</t>
  </si>
  <si>
    <t>EMI.ktCO2.HU.Tr.Rail.Passenger.CPT.Diesel</t>
  </si>
  <si>
    <t>EMI.ktCO2.HU.Tr.Rail.Passenger.CPT.Elc</t>
  </si>
  <si>
    <t>EMI.ktCO2.HU.Tr.Rail.Freight.Diesel</t>
  </si>
  <si>
    <t>EMI.ktCO2.HU.Tr.Rail.Freight.Elc</t>
  </si>
  <si>
    <t>EMIint.gCO2_per_km.HU.Tr.Rail</t>
  </si>
  <si>
    <t>EMIint.gCO2_per_km.HU.Tr.Rail.Passenger</t>
  </si>
  <si>
    <t>EMIint.gCO2_per_km.HU.Tr.Rail.Passenger.MTU</t>
  </si>
  <si>
    <t>EMIint.gCO2_per_km.HU.Tr.Rail.Passenger.CPT</t>
  </si>
  <si>
    <t>EMIint.gCO2_per_km.HU.Tr.Rail.Passenger.CPT.Diesel</t>
  </si>
  <si>
    <t>EMIint.gCO2_per_km.HU.Tr.Rail.Passenger.CPT.Elc</t>
  </si>
  <si>
    <t>EMIint.gCO2_per_km.HU.Tr.Rail.Passenger.HST</t>
  </si>
  <si>
    <t>EMIint.gCO2_per_km.HU.Tr.Rail.Freight</t>
  </si>
  <si>
    <t>EMIint.gCO2_per_km.HU.Tr.Rail.Freight.Diesel</t>
  </si>
  <si>
    <t>EMIint.gCO2_per_km.HU.Tr.Rail.Freight.Elc</t>
  </si>
  <si>
    <t>EMIint.gCO2_per_pkm.HU.Tr.Rail.Passenger.CPT.Diesel</t>
  </si>
  <si>
    <t>EMIint.gCO2_per_pkm.HU.Tr.Rail.Passenger.CPT.Elc</t>
  </si>
  <si>
    <t>EMIint.gCO2_per_tkm.HU.Tr.Rail.Freight.Diesel</t>
  </si>
  <si>
    <t>EMIint.gCO2_per_tkm.HU.Tr.Rail.Freight.Elc</t>
  </si>
  <si>
    <t>EMI_per_vehicle.tCO2.HU.Tr.Rail</t>
  </si>
  <si>
    <t>EMI_per_vehicle.tCO2.HU.Tr.Rail.Passenger</t>
  </si>
  <si>
    <t>EMI_per_vehicle.tCO2.HU.Tr.Rail.Passenger.MTU</t>
  </si>
  <si>
    <t>EMI_per_vehicle.tCO2.HU.Tr.Rail.Passenger.CPT</t>
  </si>
  <si>
    <t>EMI_per_vehicle.tCO2.HU.Tr.Rail.Passenger.CPT.Diesel</t>
  </si>
  <si>
    <t>EMI_per_vehicle.tCO2.HU.Tr.Rail.Passenger.CPT.Elc</t>
  </si>
  <si>
    <t>EMI_per_vehicle.tCO2.HU.Tr.Rail.Passenger.HST</t>
  </si>
  <si>
    <t>EMI_per_vehicle.tCO2.HU.Tr.Rail.Freight</t>
  </si>
  <si>
    <t>EMI_per_vehicle.tCO2.HU.Tr.Rail.Freight.Diesel</t>
  </si>
  <si>
    <t>EMI_per_vehicle.tCO2.HU.Tr.Rail.Freight.Elc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</si>
</sst>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45967.476006944446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81289.591184684497</v>
      </c>
      <c r="C4" s="28">
        <f t="shared" si="0"/>
        <v>81307.898101810628</v>
      </c>
      <c r="D4" s="28">
        <f t="shared" si="0"/>
        <v>82061.500291762801</v>
      </c>
      <c r="E4" s="28">
        <f t="shared" si="0"/>
        <v>83271.508796251379</v>
      </c>
      <c r="F4" s="28">
        <f t="shared" si="0"/>
        <v>85165.365496237151</v>
      </c>
      <c r="G4" s="28">
        <f t="shared" si="0"/>
        <v>85842.835357999065</v>
      </c>
      <c r="H4" s="28">
        <f t="shared" si="0"/>
        <v>88808.176110574845</v>
      </c>
      <c r="I4" s="28">
        <f t="shared" si="0"/>
        <v>89045.422220651817</v>
      </c>
      <c r="J4" s="28">
        <f t="shared" si="0"/>
        <v>88832.818253765698</v>
      </c>
      <c r="K4" s="28">
        <f t="shared" si="0"/>
        <v>87246.406060971363</v>
      </c>
      <c r="L4" s="28">
        <f t="shared" si="0"/>
        <v>85208.160198599071</v>
      </c>
      <c r="M4" s="28">
        <f t="shared" si="0"/>
        <v>85378.991981062689</v>
      </c>
      <c r="N4" s="28">
        <f t="shared" si="0"/>
        <v>85017.15140704019</v>
      </c>
      <c r="O4" s="28">
        <f t="shared" si="0"/>
        <v>85163.023805692734</v>
      </c>
      <c r="P4" s="28">
        <f t="shared" si="0"/>
        <v>87332.972007641423</v>
      </c>
      <c r="Q4" s="28">
        <f t="shared" si="0"/>
        <v>90413.725741018206</v>
      </c>
      <c r="R4" s="28">
        <f t="shared" ref="R4:V4" si="1">R5+R9+R13</f>
        <v>93898.883467917462</v>
      </c>
      <c r="S4" s="28">
        <f t="shared" si="1"/>
        <v>99666.471347753803</v>
      </c>
      <c r="T4" s="28">
        <f t="shared" si="1"/>
        <v>105135.13158535615</v>
      </c>
      <c r="U4" s="28">
        <f t="shared" si="1"/>
        <v>109510.32071235229</v>
      </c>
      <c r="V4" s="28">
        <f t="shared" si="1"/>
        <v>86543.960300881838</v>
      </c>
      <c r="W4" s="28">
        <f t="shared" ref="W4:Y4" si="2">W5+W9+W13</f>
        <v>90800.725498983884</v>
      </c>
      <c r="X4" s="28">
        <f t="shared" si="2"/>
        <v>107471.46940110397</v>
      </c>
      <c r="Y4" s="28">
        <f t="shared" si="2"/>
        <v>119326.24995761046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65193.702118356399</v>
      </c>
      <c r="C5" s="137">
        <f t="shared" si="3"/>
        <v>65084.49126739068</v>
      </c>
      <c r="D5" s="137">
        <f t="shared" si="3"/>
        <v>65499.209666767027</v>
      </c>
      <c r="E5" s="137">
        <f t="shared" si="3"/>
        <v>66543.365973298351</v>
      </c>
      <c r="F5" s="137">
        <f t="shared" si="3"/>
        <v>67695.612275086969</v>
      </c>
      <c r="G5" s="137">
        <f t="shared" si="3"/>
        <v>67625.715777416248</v>
      </c>
      <c r="H5" s="137">
        <f t="shared" si="3"/>
        <v>70645.624829271823</v>
      </c>
      <c r="I5" s="137">
        <f t="shared" si="3"/>
        <v>71509.586913511564</v>
      </c>
      <c r="J5" s="137">
        <f t="shared" si="3"/>
        <v>72095.122032512372</v>
      </c>
      <c r="K5" s="137">
        <f t="shared" si="3"/>
        <v>71123.600901338519</v>
      </c>
      <c r="L5" s="137">
        <f t="shared" si="3"/>
        <v>69493.747839134478</v>
      </c>
      <c r="M5" s="137">
        <f t="shared" si="3"/>
        <v>69159.684183059086</v>
      </c>
      <c r="N5" s="137">
        <f t="shared" si="3"/>
        <v>69329.698160851331</v>
      </c>
      <c r="O5" s="137">
        <f t="shared" si="3"/>
        <v>69453.385856853987</v>
      </c>
      <c r="P5" s="137">
        <f t="shared" si="3"/>
        <v>70846.85877393352</v>
      </c>
      <c r="Q5" s="137">
        <f t="shared" si="3"/>
        <v>72914.728165758643</v>
      </c>
      <c r="R5" s="137">
        <f t="shared" ref="R5:V5" si="4">R6+R7+R8</f>
        <v>74994.98771879627</v>
      </c>
      <c r="S5" s="137">
        <f t="shared" si="4"/>
        <v>79480.498329813825</v>
      </c>
      <c r="T5" s="137">
        <f t="shared" si="4"/>
        <v>83367.775881056412</v>
      </c>
      <c r="U5" s="137">
        <f t="shared" si="4"/>
        <v>86379.523498495808</v>
      </c>
      <c r="V5" s="137">
        <f t="shared" si="4"/>
        <v>76828.066749793565</v>
      </c>
      <c r="W5" s="137">
        <f t="shared" ref="W5:Y5" si="5">W6+W7+W8</f>
        <v>80116.270958476831</v>
      </c>
      <c r="X5" s="137">
        <f t="shared" si="5"/>
        <v>88003.38205621182</v>
      </c>
      <c r="Y5" s="137">
        <f t="shared" si="5"/>
        <v>93947.391759141552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281.7021183563993</v>
      </c>
      <c r="C6" s="102">
        <f>TrRoad_act!C$5</f>
        <v>287.49126739068129</v>
      </c>
      <c r="D6" s="102">
        <f>TrRoad_act!D$5</f>
        <v>301.2096667670192</v>
      </c>
      <c r="E6" s="102">
        <f>TrRoad_act!E$5</f>
        <v>319.36597329835104</v>
      </c>
      <c r="F6" s="102">
        <f>TrRoad_act!F$5</f>
        <v>351.61227508697021</v>
      </c>
      <c r="G6" s="102">
        <f>TrRoad_act!G$5</f>
        <v>377.71577741625606</v>
      </c>
      <c r="H6" s="102">
        <f>TrRoad_act!H$5</f>
        <v>400.62482927181401</v>
      </c>
      <c r="I6" s="102">
        <f>TrRoad_act!I$5</f>
        <v>418.58691351157296</v>
      </c>
      <c r="J6" s="102">
        <f>TrRoad_act!J$5</f>
        <v>436.12203251236866</v>
      </c>
      <c r="K6" s="102">
        <f>TrRoad_act!K$5</f>
        <v>437.60090133852071</v>
      </c>
      <c r="L6" s="102">
        <f>TrRoad_act!L$5</f>
        <v>437.74783913448505</v>
      </c>
      <c r="M6" s="102">
        <f>TrRoad_act!M$5</f>
        <v>452.97958305907264</v>
      </c>
      <c r="N6" s="102">
        <f>TrRoad_act!N$5</f>
        <v>462.34776085132387</v>
      </c>
      <c r="O6" s="102">
        <f>TrRoad_act!O$5</f>
        <v>479.55045685397363</v>
      </c>
      <c r="P6" s="102">
        <f>TrRoad_act!P$5</f>
        <v>493.79387393351033</v>
      </c>
      <c r="Q6" s="102">
        <f>TrRoad_act!Q$5</f>
        <v>498.55166575863842</v>
      </c>
      <c r="R6" s="102">
        <f>TrRoad_act!R$5</f>
        <v>496.05421879628261</v>
      </c>
      <c r="S6" s="102">
        <f>TrRoad_act!S$5</f>
        <v>524.28352981383102</v>
      </c>
      <c r="T6" s="102">
        <f>TrRoad_act!T$5</f>
        <v>553.27588105642462</v>
      </c>
      <c r="U6" s="102">
        <f>TrRoad_act!U$5</f>
        <v>567.26949849582763</v>
      </c>
      <c r="V6" s="102">
        <f>TrRoad_act!V$5</f>
        <v>522.50574979356077</v>
      </c>
      <c r="W6" s="102">
        <f>TrRoad_act!W$5</f>
        <v>532.3179584768211</v>
      </c>
      <c r="X6" s="102">
        <f>TrRoad_act!X$5</f>
        <v>541.50505621181458</v>
      </c>
      <c r="Y6" s="102">
        <f>TrRoad_act!Y$5</f>
        <v>550.2617591415418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46180</v>
      </c>
      <c r="C7" s="102">
        <f>TrRoad_act!C$6</f>
        <v>46180</v>
      </c>
      <c r="D7" s="102">
        <f>TrRoad_act!D$6</f>
        <v>46300</v>
      </c>
      <c r="E7" s="102">
        <f>TrRoad_act!E$6</f>
        <v>47517</v>
      </c>
      <c r="F7" s="102">
        <f>TrRoad_act!F$6</f>
        <v>49121</v>
      </c>
      <c r="G7" s="102">
        <f>TrRoad_act!G$6</f>
        <v>49403</v>
      </c>
      <c r="H7" s="102">
        <f>TrRoad_act!H$6</f>
        <v>52315</v>
      </c>
      <c r="I7" s="102">
        <f>TrRoad_act!I$6</f>
        <v>53946</v>
      </c>
      <c r="J7" s="102">
        <f>TrRoad_act!J$6</f>
        <v>54005</v>
      </c>
      <c r="K7" s="102">
        <f>TrRoad_act!K$6</f>
        <v>54396</v>
      </c>
      <c r="L7" s="102">
        <f>TrRoad_act!L$6</f>
        <v>52595</v>
      </c>
      <c r="M7" s="102">
        <f>TrRoad_act!M$6</f>
        <v>52251.000000000007</v>
      </c>
      <c r="N7" s="102">
        <f>TrRoad_act!N$6</f>
        <v>51793.000000000007</v>
      </c>
      <c r="O7" s="102">
        <f>TrRoad_act!O$6</f>
        <v>51824.000000000007</v>
      </c>
      <c r="P7" s="102">
        <f>TrRoad_act!P$6</f>
        <v>52723</v>
      </c>
      <c r="Q7" s="102">
        <f>TrRoad_act!Q$6</f>
        <v>54603</v>
      </c>
      <c r="R7" s="102">
        <f>TrRoad_act!R$6</f>
        <v>56676.999999999993</v>
      </c>
      <c r="S7" s="102">
        <f>TrRoad_act!S$6</f>
        <v>60645</v>
      </c>
      <c r="T7" s="102">
        <f>TrRoad_act!T$6</f>
        <v>63946.999999999993</v>
      </c>
      <c r="U7" s="102">
        <f>TrRoad_act!U$6</f>
        <v>67033.999999999985</v>
      </c>
      <c r="V7" s="102">
        <f>TrRoad_act!V$6</f>
        <v>63921</v>
      </c>
      <c r="W7" s="102">
        <f>TrRoad_act!W$6</f>
        <v>67394.762000000002</v>
      </c>
      <c r="X7" s="102">
        <f>TrRoad_act!X$6</f>
        <v>72569.675000000003</v>
      </c>
      <c r="Y7" s="102">
        <f>TrRoad_act!Y$6</f>
        <v>78327.13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18732</v>
      </c>
      <c r="C8" s="102">
        <f>TrRoad_act!C$13</f>
        <v>18617</v>
      </c>
      <c r="D8" s="102">
        <f>TrRoad_act!D$13</f>
        <v>18898.000000000004</v>
      </c>
      <c r="E8" s="102">
        <f>TrRoad_act!E$13</f>
        <v>18706.999999999996</v>
      </c>
      <c r="F8" s="102">
        <f>TrRoad_act!F$13</f>
        <v>18223</v>
      </c>
      <c r="G8" s="102">
        <f>TrRoad_act!G$13</f>
        <v>17845</v>
      </c>
      <c r="H8" s="102">
        <f>TrRoad_act!H$13</f>
        <v>17930.000000000007</v>
      </c>
      <c r="I8" s="102">
        <f>TrRoad_act!I$13</f>
        <v>17145</v>
      </c>
      <c r="J8" s="102">
        <f>TrRoad_act!J$13</f>
        <v>17654</v>
      </c>
      <c r="K8" s="102">
        <f>TrRoad_act!K$13</f>
        <v>16290</v>
      </c>
      <c r="L8" s="102">
        <f>TrRoad_act!L$13</f>
        <v>16461</v>
      </c>
      <c r="M8" s="102">
        <f>TrRoad_act!M$13</f>
        <v>16455.704600000001</v>
      </c>
      <c r="N8" s="102">
        <f>TrRoad_act!N$13</f>
        <v>17074.350399999999</v>
      </c>
      <c r="O8" s="102">
        <f>TrRoad_act!O$13</f>
        <v>17149.8354</v>
      </c>
      <c r="P8" s="102">
        <f>TrRoad_act!P$13</f>
        <v>17630.064900000005</v>
      </c>
      <c r="Q8" s="102">
        <f>TrRoad_act!Q$13</f>
        <v>17813.176500000001</v>
      </c>
      <c r="R8" s="102">
        <f>TrRoad_act!R$13</f>
        <v>17821.933499999999</v>
      </c>
      <c r="S8" s="102">
        <f>TrRoad_act!S$13</f>
        <v>18311.214800000002</v>
      </c>
      <c r="T8" s="102">
        <f>TrRoad_act!T$13</f>
        <v>18867.5</v>
      </c>
      <c r="U8" s="102">
        <f>TrRoad_act!U$13</f>
        <v>18778.254000000001</v>
      </c>
      <c r="V8" s="102">
        <f>TrRoad_act!V$13</f>
        <v>12384.560999999998</v>
      </c>
      <c r="W8" s="102">
        <f>TrRoad_act!W$13</f>
        <v>12189.191000000001</v>
      </c>
      <c r="X8" s="102">
        <f>TrRoad_act!X$13</f>
        <v>14892.201999999999</v>
      </c>
      <c r="Y8" s="102">
        <f>TrRoad_act!Y$13</f>
        <v>15069.999999999998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12263</v>
      </c>
      <c r="C9" s="110">
        <f t="shared" si="6"/>
        <v>12576</v>
      </c>
      <c r="D9" s="110">
        <f t="shared" si="6"/>
        <v>13067</v>
      </c>
      <c r="E9" s="110">
        <f t="shared" si="6"/>
        <v>12802</v>
      </c>
      <c r="F9" s="110">
        <f t="shared" si="6"/>
        <v>12585</v>
      </c>
      <c r="G9" s="110">
        <f t="shared" si="6"/>
        <v>12204</v>
      </c>
      <c r="H9" s="110">
        <f t="shared" si="6"/>
        <v>11941</v>
      </c>
      <c r="I9" s="110">
        <f t="shared" si="6"/>
        <v>11032</v>
      </c>
      <c r="J9" s="110">
        <f t="shared" si="6"/>
        <v>10627</v>
      </c>
      <c r="K9" s="110">
        <f t="shared" si="6"/>
        <v>10596</v>
      </c>
      <c r="L9" s="110">
        <f t="shared" si="6"/>
        <v>10170</v>
      </c>
      <c r="M9" s="110">
        <f t="shared" si="6"/>
        <v>10266.913</v>
      </c>
      <c r="N9" s="110">
        <f t="shared" si="6"/>
        <v>10305.0787</v>
      </c>
      <c r="O9" s="110">
        <f t="shared" si="6"/>
        <v>10352.4894</v>
      </c>
      <c r="P9" s="110">
        <f t="shared" si="6"/>
        <v>10557.4692</v>
      </c>
      <c r="Q9" s="110">
        <f t="shared" si="6"/>
        <v>10555.669399999999</v>
      </c>
      <c r="R9" s="110">
        <f t="shared" ref="R9:V9" si="7">R10+R11+R12</f>
        <v>10715.704099999999</v>
      </c>
      <c r="S9" s="110">
        <f t="shared" si="7"/>
        <v>10776.6327</v>
      </c>
      <c r="T9" s="110">
        <f t="shared" si="7"/>
        <v>10477.700000000001</v>
      </c>
      <c r="U9" s="110">
        <f t="shared" si="7"/>
        <v>10559.330399999999</v>
      </c>
      <c r="V9" s="110">
        <f t="shared" si="7"/>
        <v>6699</v>
      </c>
      <c r="W9" s="110">
        <f t="shared" ref="W9:Y9" si="8">W10+W11+W12</f>
        <v>7201.7847000000002</v>
      </c>
      <c r="X9" s="110">
        <f t="shared" si="8"/>
        <v>10136.128199999999</v>
      </c>
      <c r="Y9" s="110">
        <f t="shared" si="8"/>
        <v>13205.638666666666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2570.0000000000005</v>
      </c>
      <c r="C10" s="102">
        <f>TrRail_act!C$5</f>
        <v>2570.9999999999995</v>
      </c>
      <c r="D10" s="102">
        <f>TrRail_act!D$5</f>
        <v>2536</v>
      </c>
      <c r="E10" s="102">
        <f>TrRail_act!E$5</f>
        <v>2516</v>
      </c>
      <c r="F10" s="102">
        <f>TrRail_act!F$5</f>
        <v>2420</v>
      </c>
      <c r="G10" s="102">
        <f>TrRail_act!G$5</f>
        <v>2352.9999999999995</v>
      </c>
      <c r="H10" s="102">
        <f>TrRail_act!H$5</f>
        <v>2283</v>
      </c>
      <c r="I10" s="102">
        <f>TrRail_act!I$5</f>
        <v>2280.0000000000005</v>
      </c>
      <c r="J10" s="102">
        <f>TrRail_act!J$5</f>
        <v>2335</v>
      </c>
      <c r="K10" s="102">
        <f>TrRail_act!K$5</f>
        <v>2524</v>
      </c>
      <c r="L10" s="102">
        <f>TrRail_act!L$5</f>
        <v>2489</v>
      </c>
      <c r="M10" s="102">
        <f>TrRail_act!M$5</f>
        <v>2503.913</v>
      </c>
      <c r="N10" s="102">
        <f>TrRail_act!N$5</f>
        <v>2499.0787</v>
      </c>
      <c r="O10" s="102">
        <f>TrRail_act!O$5</f>
        <v>2510.4893999999999</v>
      </c>
      <c r="P10" s="102">
        <f>TrRail_act!P$5</f>
        <v>2819.4692000000005</v>
      </c>
      <c r="Q10" s="102">
        <f>TrRail_act!Q$5</f>
        <v>2946.6693999999998</v>
      </c>
      <c r="R10" s="102">
        <f>TrRail_act!R$5</f>
        <v>3062.7040999999999</v>
      </c>
      <c r="S10" s="102">
        <f>TrRail_act!S$5</f>
        <v>3045.6327000000001</v>
      </c>
      <c r="T10" s="102">
        <f>TrRail_act!T$5</f>
        <v>2707.7</v>
      </c>
      <c r="U10" s="102">
        <f>TrRail_act!U$5</f>
        <v>2807.3303999999998</v>
      </c>
      <c r="V10" s="102">
        <f>TrRail_act!V$5</f>
        <v>1845</v>
      </c>
      <c r="W10" s="102">
        <f>TrRail_act!W$5</f>
        <v>1766.7846999999999</v>
      </c>
      <c r="X10" s="102">
        <f>TrRail_act!X$5</f>
        <v>2319.1282000000001</v>
      </c>
      <c r="Y10" s="102">
        <f>TrRail_act!Y$5</f>
        <v>2801.6386666666667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9693</v>
      </c>
      <c r="C11" s="102">
        <f>TrRail_act!C$6</f>
        <v>10005</v>
      </c>
      <c r="D11" s="102">
        <f>TrRail_act!D$6</f>
        <v>10531</v>
      </c>
      <c r="E11" s="102">
        <f>TrRail_act!E$6</f>
        <v>10286</v>
      </c>
      <c r="F11" s="102">
        <f>TrRail_act!F$6</f>
        <v>10165</v>
      </c>
      <c r="G11" s="102">
        <f>TrRail_act!G$6</f>
        <v>9851</v>
      </c>
      <c r="H11" s="102">
        <f>TrRail_act!H$6</f>
        <v>9658</v>
      </c>
      <c r="I11" s="102">
        <f>TrRail_act!I$6</f>
        <v>8752</v>
      </c>
      <c r="J11" s="102">
        <f>TrRail_act!J$6</f>
        <v>8292</v>
      </c>
      <c r="K11" s="102">
        <f>TrRail_act!K$6</f>
        <v>8071.9999999999991</v>
      </c>
      <c r="L11" s="102">
        <f>TrRail_act!L$6</f>
        <v>7681</v>
      </c>
      <c r="M11" s="102">
        <f>TrRail_act!M$6</f>
        <v>7763</v>
      </c>
      <c r="N11" s="102">
        <f>TrRail_act!N$6</f>
        <v>7806</v>
      </c>
      <c r="O11" s="102">
        <f>TrRail_act!O$6</f>
        <v>7842</v>
      </c>
      <c r="P11" s="102">
        <f>TrRail_act!P$6</f>
        <v>7738</v>
      </c>
      <c r="Q11" s="102">
        <f>TrRail_act!Q$6</f>
        <v>7609</v>
      </c>
      <c r="R11" s="102">
        <f>TrRail_act!R$6</f>
        <v>7653</v>
      </c>
      <c r="S11" s="102">
        <f>TrRail_act!S$6</f>
        <v>7731</v>
      </c>
      <c r="T11" s="102">
        <f>TrRail_act!T$6</f>
        <v>7770</v>
      </c>
      <c r="U11" s="102">
        <f>TrRail_act!U$6</f>
        <v>7752</v>
      </c>
      <c r="V11" s="102">
        <f>TrRail_act!V$6</f>
        <v>4854</v>
      </c>
      <c r="W11" s="102">
        <f>TrRail_act!W$6</f>
        <v>5435</v>
      </c>
      <c r="X11" s="102">
        <f>TrRail_act!X$6</f>
        <v>7817</v>
      </c>
      <c r="Y11" s="102">
        <f>TrRail_act!Y$6</f>
        <v>10404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3832.8890663281063</v>
      </c>
      <c r="C13" s="110">
        <f t="shared" ref="C13:V13" si="10">C14+C15+C16</f>
        <v>3647.4068344199522</v>
      </c>
      <c r="D13" s="110">
        <f t="shared" si="10"/>
        <v>3495.2906249957687</v>
      </c>
      <c r="E13" s="110">
        <f t="shared" si="10"/>
        <v>3926.142822953032</v>
      </c>
      <c r="F13" s="110">
        <f t="shared" si="10"/>
        <v>4884.7532211501848</v>
      </c>
      <c r="G13" s="110">
        <f t="shared" si="10"/>
        <v>6013.1195805828138</v>
      </c>
      <c r="H13" s="110">
        <f t="shared" si="10"/>
        <v>6221.5512813030255</v>
      </c>
      <c r="I13" s="110">
        <f t="shared" si="10"/>
        <v>6503.8353071402544</v>
      </c>
      <c r="J13" s="110">
        <f t="shared" si="10"/>
        <v>6110.6962212533226</v>
      </c>
      <c r="K13" s="110">
        <f t="shared" si="10"/>
        <v>5526.8051596328496</v>
      </c>
      <c r="L13" s="110">
        <f t="shared" si="10"/>
        <v>5544.4123594645944</v>
      </c>
      <c r="M13" s="110">
        <f t="shared" si="10"/>
        <v>5952.3947980035955</v>
      </c>
      <c r="N13" s="110">
        <f t="shared" si="10"/>
        <v>5382.3745461888566</v>
      </c>
      <c r="O13" s="110">
        <f t="shared" si="10"/>
        <v>5357.1485488387361</v>
      </c>
      <c r="P13" s="110">
        <f t="shared" si="10"/>
        <v>5928.6440337079057</v>
      </c>
      <c r="Q13" s="110">
        <f t="shared" si="10"/>
        <v>6943.3281752595622</v>
      </c>
      <c r="R13" s="110">
        <f t="shared" si="10"/>
        <v>8188.1916491211923</v>
      </c>
      <c r="S13" s="110">
        <f t="shared" si="10"/>
        <v>9409.3403179399829</v>
      </c>
      <c r="T13" s="110">
        <f t="shared" si="10"/>
        <v>11289.655704299739</v>
      </c>
      <c r="U13" s="110">
        <f t="shared" si="10"/>
        <v>12571.466813856467</v>
      </c>
      <c r="V13" s="110">
        <f t="shared" si="10"/>
        <v>3016.8935510882729</v>
      </c>
      <c r="W13" s="110">
        <f t="shared" ref="W13:Y13" si="11">W14+W15+W16</f>
        <v>3482.6698405070492</v>
      </c>
      <c r="X13" s="110">
        <f t="shared" si="11"/>
        <v>9331.9591448921456</v>
      </c>
      <c r="Y13" s="110">
        <f t="shared" si="11"/>
        <v>12173.219531802242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2392.9302444753621</v>
      </c>
      <c r="C15" s="102">
        <f>TrAvia_act!C$6</f>
        <v>2290.5632771172818</v>
      </c>
      <c r="D15" s="102">
        <f>TrAvia_act!D$6</f>
        <v>2279.919200770707</v>
      </c>
      <c r="E15" s="102">
        <f>TrAvia_act!E$6</f>
        <v>2399.3287041922522</v>
      </c>
      <c r="F15" s="102">
        <f>TrAvia_act!F$6</f>
        <v>3101.9915849558106</v>
      </c>
      <c r="G15" s="102">
        <f>TrAvia_act!G$6</f>
        <v>4197.3476845680325</v>
      </c>
      <c r="H15" s="102">
        <f>TrAvia_act!H$6</f>
        <v>4243.6946518253781</v>
      </c>
      <c r="I15" s="102">
        <f>TrAvia_act!I$6</f>
        <v>4229.0998600014336</v>
      </c>
      <c r="J15" s="102">
        <f>TrAvia_act!J$6</f>
        <v>4066.3249205731422</v>
      </c>
      <c r="K15" s="102">
        <f>TrAvia_act!K$6</f>
        <v>3943.659849732247</v>
      </c>
      <c r="L15" s="102">
        <f>TrAvia_act!L$6</f>
        <v>3921.1489924364032</v>
      </c>
      <c r="M15" s="102">
        <f>TrAvia_act!M$6</f>
        <v>4251.8299638411427</v>
      </c>
      <c r="N15" s="102">
        <f>TrAvia_act!N$6</f>
        <v>4461.63697977222</v>
      </c>
      <c r="O15" s="102">
        <f>TrAvia_act!O$6</f>
        <v>4345.1151564385855</v>
      </c>
      <c r="P15" s="102">
        <f>TrAvia_act!P$6</f>
        <v>4477.2405122644168</v>
      </c>
      <c r="Q15" s="102">
        <f>TrAvia_act!Q$6</f>
        <v>5067.6107203527945</v>
      </c>
      <c r="R15" s="102">
        <f>TrAvia_act!R$6</f>
        <v>6130.5044214349336</v>
      </c>
      <c r="S15" s="102">
        <f>TrAvia_act!S$6</f>
        <v>6817.8098971922118</v>
      </c>
      <c r="T15" s="102">
        <f>TrAvia_act!T$6</f>
        <v>7501.2036990868601</v>
      </c>
      <c r="U15" s="102">
        <f>TrAvia_act!U$6</f>
        <v>8213.0931524642474</v>
      </c>
      <c r="V15" s="102">
        <f>TrAvia_act!V$6</f>
        <v>2138.0068852551331</v>
      </c>
      <c r="W15" s="102">
        <f>TrAvia_act!W$6</f>
        <v>2332.3849009499804</v>
      </c>
      <c r="X15" s="102">
        <f>TrAvia_act!X$6</f>
        <v>6404.5839616145595</v>
      </c>
      <c r="Y15" s="102">
        <f>TrAvia_act!Y$6</f>
        <v>7449.1804716592023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1439.9588218527442</v>
      </c>
      <c r="C16" s="102">
        <f>TrAvia_act!C$7</f>
        <v>1356.8435573026702</v>
      </c>
      <c r="D16" s="102">
        <f>TrAvia_act!D$7</f>
        <v>1215.3714242250617</v>
      </c>
      <c r="E16" s="102">
        <f>TrAvia_act!E$7</f>
        <v>1526.81411876078</v>
      </c>
      <c r="F16" s="102">
        <f>TrAvia_act!F$7</f>
        <v>1782.7616361943742</v>
      </c>
      <c r="G16" s="102">
        <f>TrAvia_act!G$7</f>
        <v>1815.7718960147818</v>
      </c>
      <c r="H16" s="102">
        <f>TrAvia_act!H$7</f>
        <v>1977.8566294776474</v>
      </c>
      <c r="I16" s="102">
        <f>TrAvia_act!I$7</f>
        <v>2274.7354471388212</v>
      </c>
      <c r="J16" s="102">
        <f>TrAvia_act!J$7</f>
        <v>2044.3713006801806</v>
      </c>
      <c r="K16" s="102">
        <f>TrAvia_act!K$7</f>
        <v>1583.1453099006026</v>
      </c>
      <c r="L16" s="102">
        <f>TrAvia_act!L$7</f>
        <v>1623.2633670281909</v>
      </c>
      <c r="M16" s="102">
        <f>TrAvia_act!M$7</f>
        <v>1700.5648341624531</v>
      </c>
      <c r="N16" s="102">
        <f>TrAvia_act!N$7</f>
        <v>920.73756641663624</v>
      </c>
      <c r="O16" s="102">
        <f>TrAvia_act!O$7</f>
        <v>1012.0333924001504</v>
      </c>
      <c r="P16" s="102">
        <f>TrAvia_act!P$7</f>
        <v>1451.4035214434887</v>
      </c>
      <c r="Q16" s="102">
        <f>TrAvia_act!Q$7</f>
        <v>1875.7174549067674</v>
      </c>
      <c r="R16" s="102">
        <f>TrAvia_act!R$7</f>
        <v>2057.6872276862587</v>
      </c>
      <c r="S16" s="102">
        <f>TrAvia_act!S$7</f>
        <v>2591.5304207477716</v>
      </c>
      <c r="T16" s="102">
        <f>TrAvia_act!T$7</f>
        <v>3788.4520052128792</v>
      </c>
      <c r="U16" s="102">
        <f>TrAvia_act!U$7</f>
        <v>4358.3736613922183</v>
      </c>
      <c r="V16" s="102">
        <f>TrAvia_act!V$7</f>
        <v>878.88666583313977</v>
      </c>
      <c r="W16" s="102">
        <f>TrAvia_act!W$7</f>
        <v>1150.284939557069</v>
      </c>
      <c r="X16" s="102">
        <f>TrAvia_act!X$7</f>
        <v>2927.3751832775861</v>
      </c>
      <c r="Y16" s="102">
        <f>TrAvia_act!Y$7</f>
        <v>4724.0390601430399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30200.88411273167</v>
      </c>
      <c r="C17" s="28">
        <f t="shared" si="12"/>
        <v>29573.835504830226</v>
      </c>
      <c r="D17" s="28">
        <f t="shared" si="12"/>
        <v>29850.760536895163</v>
      </c>
      <c r="E17" s="28">
        <f t="shared" si="12"/>
        <v>29445.979479875932</v>
      </c>
      <c r="F17" s="28">
        <f t="shared" si="12"/>
        <v>32730.202652101398</v>
      </c>
      <c r="G17" s="28">
        <f t="shared" si="12"/>
        <v>34102.279883153176</v>
      </c>
      <c r="H17" s="28">
        <f t="shared" si="12"/>
        <v>37065.838990387507</v>
      </c>
      <c r="I17" s="28">
        <f t="shared" si="12"/>
        <v>39154.194752774209</v>
      </c>
      <c r="J17" s="28">
        <f t="shared" si="12"/>
        <v>40132.959322751798</v>
      </c>
      <c r="K17" s="28">
        <f t="shared" si="12"/>
        <v>32767.005886059775</v>
      </c>
      <c r="L17" s="28">
        <f t="shared" si="12"/>
        <v>33300.43437534252</v>
      </c>
      <c r="M17" s="28">
        <f t="shared" si="12"/>
        <v>32860.309725192557</v>
      </c>
      <c r="N17" s="28">
        <f t="shared" si="12"/>
        <v>31826.345720720234</v>
      </c>
      <c r="O17" s="28">
        <f t="shared" si="12"/>
        <v>32597.806994470971</v>
      </c>
      <c r="P17" s="28">
        <f t="shared" si="12"/>
        <v>33639.891702856912</v>
      </c>
      <c r="Q17" s="28">
        <f t="shared" si="12"/>
        <v>34908.75694562502</v>
      </c>
      <c r="R17" s="28">
        <f t="shared" ref="R17:V17" si="13">R18+R21+R22+R26</f>
        <v>37860.380195037935</v>
      </c>
      <c r="S17" s="28">
        <f t="shared" si="13"/>
        <v>42255.282754506028</v>
      </c>
      <c r="T17" s="28">
        <f t="shared" si="13"/>
        <v>40358.269112372494</v>
      </c>
      <c r="U17" s="28">
        <f t="shared" si="13"/>
        <v>41692.833685268663</v>
      </c>
      <c r="V17" s="28">
        <f t="shared" si="13"/>
        <v>41097.245034692525</v>
      </c>
      <c r="W17" s="28">
        <f t="shared" ref="W17:Y17" si="14">W18+W21+W22+W26</f>
        <v>44332.187880132355</v>
      </c>
      <c r="X17" s="28">
        <f t="shared" si="14"/>
        <v>44094.946167388611</v>
      </c>
      <c r="Y17" s="28">
        <f t="shared" si="14"/>
        <v>42956.527757674579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20474.156292410626</v>
      </c>
      <c r="C18" s="137">
        <f t="shared" si="15"/>
        <v>20749.331626876683</v>
      </c>
      <c r="D18" s="137">
        <f t="shared" si="15"/>
        <v>20613.290011574914</v>
      </c>
      <c r="E18" s="137">
        <f t="shared" si="15"/>
        <v>20284.857686431395</v>
      </c>
      <c r="F18" s="137">
        <f t="shared" si="15"/>
        <v>22051.011463515617</v>
      </c>
      <c r="G18" s="137">
        <f t="shared" si="15"/>
        <v>22869.073172007749</v>
      </c>
      <c r="H18" s="137">
        <f t="shared" si="15"/>
        <v>24918.040742067344</v>
      </c>
      <c r="I18" s="137">
        <f t="shared" si="15"/>
        <v>26855.865907063791</v>
      </c>
      <c r="J18" s="137">
        <f t="shared" si="15"/>
        <v>27974.607515529791</v>
      </c>
      <c r="K18" s="137">
        <f t="shared" si="15"/>
        <v>23232.718278993147</v>
      </c>
      <c r="L18" s="137">
        <f t="shared" si="15"/>
        <v>22064.177934023774</v>
      </c>
      <c r="M18" s="137">
        <f t="shared" si="15"/>
        <v>21875.85534238004</v>
      </c>
      <c r="N18" s="137">
        <f t="shared" si="15"/>
        <v>20590.595153604154</v>
      </c>
      <c r="O18" s="137">
        <f t="shared" si="15"/>
        <v>20926.890289292045</v>
      </c>
      <c r="P18" s="137">
        <f t="shared" si="15"/>
        <v>21647.439525334277</v>
      </c>
      <c r="Q18" s="137">
        <f t="shared" si="15"/>
        <v>23047.179324238856</v>
      </c>
      <c r="R18" s="137">
        <f t="shared" ref="R18:V18" si="16">R19+R20</f>
        <v>25320.319989745614</v>
      </c>
      <c r="S18" s="137">
        <f t="shared" si="16"/>
        <v>26868.760205056875</v>
      </c>
      <c r="T18" s="137">
        <f t="shared" si="16"/>
        <v>28118.027991524439</v>
      </c>
      <c r="U18" s="137">
        <f t="shared" si="16"/>
        <v>28892.238014235772</v>
      </c>
      <c r="V18" s="137">
        <f t="shared" si="16"/>
        <v>27465.083600754053</v>
      </c>
      <c r="W18" s="137">
        <f t="shared" ref="W18:Y18" si="17">W19+W20</f>
        <v>31041.897040845251</v>
      </c>
      <c r="X18" s="137">
        <f t="shared" si="17"/>
        <v>31103.271765347479</v>
      </c>
      <c r="Y18" s="137">
        <f t="shared" si="17"/>
        <v>31066.625887564282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523.78482513075301</v>
      </c>
      <c r="C19" s="102">
        <f>TrRoad_act!C$20</f>
        <v>553.33820668021826</v>
      </c>
      <c r="D19" s="102">
        <f>TrRoad_act!D$20</f>
        <v>593.51412656103673</v>
      </c>
      <c r="E19" s="102">
        <f>TrRoad_act!E$20</f>
        <v>618.64423588087016</v>
      </c>
      <c r="F19" s="102">
        <f>TrRoad_act!F$20</f>
        <v>632.03884282103184</v>
      </c>
      <c r="G19" s="102">
        <f>TrRoad_act!G$20</f>
        <v>660.2507964378575</v>
      </c>
      <c r="H19" s="102">
        <f>TrRoad_act!H$20</f>
        <v>663.38503261475398</v>
      </c>
      <c r="I19" s="102">
        <f>TrRoad_act!I$20</f>
        <v>698.35886315977439</v>
      </c>
      <c r="J19" s="102">
        <f>TrRoad_act!J$20</f>
        <v>768.81278679004038</v>
      </c>
      <c r="K19" s="102">
        <f>TrRoad_act!K$20</f>
        <v>889.38373229544391</v>
      </c>
      <c r="L19" s="102">
        <f>TrRoad_act!L$20</f>
        <v>760.28219346305104</v>
      </c>
      <c r="M19" s="102">
        <f>TrRoad_act!M$20</f>
        <v>802.39312667225772</v>
      </c>
      <c r="N19" s="102">
        <f>TrRoad_act!N$20</f>
        <v>831.58659950019353</v>
      </c>
      <c r="O19" s="102">
        <f>TrRoad_act!O$20</f>
        <v>877.83825397057274</v>
      </c>
      <c r="P19" s="102">
        <f>TrRoad_act!P$20</f>
        <v>902.73867454819833</v>
      </c>
      <c r="Q19" s="102">
        <f>TrRoad_act!Q$20</f>
        <v>937.13402726638856</v>
      </c>
      <c r="R19" s="102">
        <f>TrRoad_act!R$20</f>
        <v>993.90732114543232</v>
      </c>
      <c r="S19" s="102">
        <f>TrRoad_act!S$20</f>
        <v>1054.6559303379111</v>
      </c>
      <c r="T19" s="102">
        <f>TrRoad_act!T$20</f>
        <v>1122.0279915244387</v>
      </c>
      <c r="U19" s="102">
        <f>TrRoad_act!U$20</f>
        <v>1196.238014235774</v>
      </c>
      <c r="V19" s="102">
        <f>TrRoad_act!V$20</f>
        <v>1248.0836007540524</v>
      </c>
      <c r="W19" s="102">
        <f>TrRoad_act!W$20</f>
        <v>1302.8970408452499</v>
      </c>
      <c r="X19" s="102">
        <f>TrRoad_act!X$20</f>
        <v>1338.2717653474808</v>
      </c>
      <c r="Y19" s="102">
        <f>TrRoad_act!Y$20</f>
        <v>1379.6258875642802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19950.371467279874</v>
      </c>
      <c r="C20" s="102">
        <f>TrRoad_act!C$26</f>
        <v>20195.993420196464</v>
      </c>
      <c r="D20" s="102">
        <f>TrRoad_act!D$26</f>
        <v>20019.775885013878</v>
      </c>
      <c r="E20" s="102">
        <f>TrRoad_act!E$26</f>
        <v>19666.213450550524</v>
      </c>
      <c r="F20" s="102">
        <f>TrRoad_act!F$26</f>
        <v>21418.972620694585</v>
      </c>
      <c r="G20" s="102">
        <f>TrRoad_act!G$26</f>
        <v>22208.822375569893</v>
      </c>
      <c r="H20" s="102">
        <f>TrRoad_act!H$26</f>
        <v>24254.655709452589</v>
      </c>
      <c r="I20" s="102">
        <f>TrRoad_act!I$26</f>
        <v>26157.507043904017</v>
      </c>
      <c r="J20" s="102">
        <f>TrRoad_act!J$26</f>
        <v>27205.794728739751</v>
      </c>
      <c r="K20" s="102">
        <f>TrRoad_act!K$26</f>
        <v>22343.334546697704</v>
      </c>
      <c r="L20" s="102">
        <f>TrRoad_act!L$26</f>
        <v>21303.895740560722</v>
      </c>
      <c r="M20" s="102">
        <f>TrRoad_act!M$26</f>
        <v>21073.462215707783</v>
      </c>
      <c r="N20" s="102">
        <f>TrRoad_act!N$26</f>
        <v>19759.008554103959</v>
      </c>
      <c r="O20" s="102">
        <f>TrRoad_act!O$26</f>
        <v>20049.052035321471</v>
      </c>
      <c r="P20" s="102">
        <f>TrRoad_act!P$26</f>
        <v>20744.700850786077</v>
      </c>
      <c r="Q20" s="102">
        <f>TrRoad_act!Q$26</f>
        <v>22110.045296972468</v>
      </c>
      <c r="R20" s="102">
        <f>TrRoad_act!R$26</f>
        <v>24326.412668600184</v>
      </c>
      <c r="S20" s="102">
        <f>TrRoad_act!S$26</f>
        <v>25814.104274718964</v>
      </c>
      <c r="T20" s="102">
        <f>TrRoad_act!T$26</f>
        <v>26996</v>
      </c>
      <c r="U20" s="102">
        <f>TrRoad_act!U$26</f>
        <v>27696</v>
      </c>
      <c r="V20" s="102">
        <f>TrRoad_act!V$26</f>
        <v>26217</v>
      </c>
      <c r="W20" s="102">
        <f>TrRoad_act!W$26</f>
        <v>29739</v>
      </c>
      <c r="X20" s="102">
        <f>TrRoad_act!X$26</f>
        <v>29765</v>
      </c>
      <c r="Y20" s="102">
        <f>TrRoad_act!Y$26</f>
        <v>29687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8800</v>
      </c>
      <c r="C21" s="110">
        <f>TrRail_act!C$10</f>
        <v>7700</v>
      </c>
      <c r="D21" s="110">
        <f>TrRail_act!D$10</f>
        <v>7800</v>
      </c>
      <c r="E21" s="110">
        <f>TrRail_act!E$10</f>
        <v>7614</v>
      </c>
      <c r="F21" s="110">
        <f>TrRail_act!F$10</f>
        <v>8749</v>
      </c>
      <c r="G21" s="110">
        <f>TrRail_act!G$10</f>
        <v>9090</v>
      </c>
      <c r="H21" s="110">
        <f>TrRail_act!H$10</f>
        <v>10167</v>
      </c>
      <c r="I21" s="110">
        <f>TrRail_act!I$10</f>
        <v>10048</v>
      </c>
      <c r="J21" s="110">
        <f>TrRail_act!J$10</f>
        <v>9874</v>
      </c>
      <c r="K21" s="110">
        <f>TrRail_act!K$10</f>
        <v>7673</v>
      </c>
      <c r="L21" s="110">
        <f>TrRail_act!L$10</f>
        <v>8809</v>
      </c>
      <c r="M21" s="110">
        <f>TrRail_act!M$10</f>
        <v>9118</v>
      </c>
      <c r="N21" s="110">
        <f>TrRail_act!N$10</f>
        <v>9230</v>
      </c>
      <c r="O21" s="110">
        <f>TrRail_act!O$10</f>
        <v>9722</v>
      </c>
      <c r="P21" s="110">
        <f>TrRail_act!P$10</f>
        <v>10158</v>
      </c>
      <c r="Q21" s="110">
        <f>TrRail_act!Q$10</f>
        <v>10010</v>
      </c>
      <c r="R21" s="110">
        <f>TrRail_act!R$10</f>
        <v>10528</v>
      </c>
      <c r="S21" s="110">
        <f>TrRail_act!S$10</f>
        <v>13356</v>
      </c>
      <c r="T21" s="110">
        <f>TrRail_act!T$10</f>
        <v>10584</v>
      </c>
      <c r="U21" s="110">
        <f>TrRail_act!U$10</f>
        <v>10625</v>
      </c>
      <c r="V21" s="110">
        <f>TrRail_act!V$10</f>
        <v>11595</v>
      </c>
      <c r="W21" s="110">
        <f>TrRail_act!W$10</f>
        <v>11347</v>
      </c>
      <c r="X21" s="110">
        <f>TrRail_act!X$10</f>
        <v>11351</v>
      </c>
      <c r="Y21" s="110">
        <f>TrRail_act!Y$10</f>
        <v>10460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35.727820321042749</v>
      </c>
      <c r="C22" s="110">
        <f t="shared" ref="C22:V22" si="19">C23+C24+C25</f>
        <v>37.503877953541448</v>
      </c>
      <c r="D22" s="110">
        <f t="shared" si="19"/>
        <v>30.470525320248171</v>
      </c>
      <c r="E22" s="110">
        <f t="shared" si="19"/>
        <v>30.12179344453812</v>
      </c>
      <c r="F22" s="110">
        <f t="shared" si="19"/>
        <v>26.191188585780573</v>
      </c>
      <c r="G22" s="110">
        <f t="shared" si="19"/>
        <v>33.206711145428415</v>
      </c>
      <c r="H22" s="110">
        <f t="shared" si="19"/>
        <v>67.79824832016179</v>
      </c>
      <c r="I22" s="110">
        <f t="shared" si="19"/>
        <v>38.328845710410548</v>
      </c>
      <c r="J22" s="110">
        <f t="shared" si="19"/>
        <v>34.351807222013953</v>
      </c>
      <c r="K22" s="110">
        <f t="shared" si="19"/>
        <v>30.287607066627547</v>
      </c>
      <c r="L22" s="110">
        <f t="shared" si="19"/>
        <v>34.256441318744905</v>
      </c>
      <c r="M22" s="110">
        <f t="shared" si="19"/>
        <v>26.454382812518411</v>
      </c>
      <c r="N22" s="110">
        <f t="shared" si="19"/>
        <v>23.750567116080504</v>
      </c>
      <c r="O22" s="110">
        <f t="shared" si="19"/>
        <v>24.916705178926396</v>
      </c>
      <c r="P22" s="110">
        <f t="shared" si="19"/>
        <v>23.452177522630507</v>
      </c>
      <c r="Q22" s="110">
        <f t="shared" si="19"/>
        <v>27.577621386167959</v>
      </c>
      <c r="R22" s="110">
        <f t="shared" si="19"/>
        <v>37.060205292322365</v>
      </c>
      <c r="S22" s="110">
        <f t="shared" si="19"/>
        <v>38.522549449154127</v>
      </c>
      <c r="T22" s="110">
        <f t="shared" si="19"/>
        <v>48.241120848051651</v>
      </c>
      <c r="U22" s="110">
        <f t="shared" si="19"/>
        <v>55.595671032888362</v>
      </c>
      <c r="V22" s="110">
        <f t="shared" si="19"/>
        <v>39.161433938474616</v>
      </c>
      <c r="W22" s="110">
        <f t="shared" ref="W22:Y22" si="20">W23+W24+W25</f>
        <v>70.290839287104816</v>
      </c>
      <c r="X22" s="110">
        <f t="shared" si="20"/>
        <v>132.67440204112714</v>
      </c>
      <c r="Y22" s="110">
        <f t="shared" si="20"/>
        <v>113.90187011029785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13.924016543108433</v>
      </c>
      <c r="C24" s="102">
        <f>TrAvia_act!C$10</f>
        <v>16.265701267365149</v>
      </c>
      <c r="D24" s="102">
        <f>TrAvia_act!D$10</f>
        <v>20.301653267620278</v>
      </c>
      <c r="E24" s="102">
        <f>TrAvia_act!E$10</f>
        <v>19.241384555599574</v>
      </c>
      <c r="F24" s="102">
        <f>TrAvia_act!F$10</f>
        <v>18.145259419294621</v>
      </c>
      <c r="G24" s="102">
        <f>TrAvia_act!G$10</f>
        <v>24.126009000733585</v>
      </c>
      <c r="H24" s="102">
        <f>TrAvia_act!H$10</f>
        <v>15.417492843239486</v>
      </c>
      <c r="I24" s="102">
        <f>TrAvia_act!I$10</f>
        <v>16.686742640304359</v>
      </c>
      <c r="J24" s="102">
        <f>TrAvia_act!J$10</f>
        <v>12.014856609650888</v>
      </c>
      <c r="K24" s="102">
        <f>TrAvia_act!K$10</f>
        <v>11.441796738071556</v>
      </c>
      <c r="L24" s="102">
        <f>TrAvia_act!L$10</f>
        <v>11.822167177978692</v>
      </c>
      <c r="M24" s="102">
        <f>TrAvia_act!M$10</f>
        <v>16.410484689774758</v>
      </c>
      <c r="N24" s="102">
        <f>TrAvia_act!N$10</f>
        <v>16.986173800854928</v>
      </c>
      <c r="O24" s="102">
        <f>TrAvia_act!O$10</f>
        <v>17.143904164275824</v>
      </c>
      <c r="P24" s="102">
        <f>TrAvia_act!P$10</f>
        <v>17.951657090404414</v>
      </c>
      <c r="Q24" s="102">
        <f>TrAvia_act!Q$10</f>
        <v>19.888091636342651</v>
      </c>
      <c r="R24" s="102">
        <f>TrAvia_act!R$10</f>
        <v>21.492987093230905</v>
      </c>
      <c r="S24" s="102">
        <f>TrAvia_act!S$10</f>
        <v>21.617869582292045</v>
      </c>
      <c r="T24" s="102">
        <f>TrAvia_act!T$10</f>
        <v>24.0368498213235</v>
      </c>
      <c r="U24" s="102">
        <f>TrAvia_act!U$10</f>
        <v>22.323100817669093</v>
      </c>
      <c r="V24" s="102">
        <f>TrAvia_act!V$10</f>
        <v>17.773849992507611</v>
      </c>
      <c r="W24" s="102">
        <f>TrAvia_act!W$10</f>
        <v>20.831857823091742</v>
      </c>
      <c r="X24" s="102">
        <f>TrAvia_act!X$10</f>
        <v>25.067721146689653</v>
      </c>
      <c r="Y24" s="102">
        <f>TrAvia_act!Y$10</f>
        <v>22.659696264795958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21.803803777934316</v>
      </c>
      <c r="C25" s="102">
        <f>TrAvia_act!C$11</f>
        <v>21.238176686176303</v>
      </c>
      <c r="D25" s="102">
        <f>TrAvia_act!D$11</f>
        <v>10.168872052627894</v>
      </c>
      <c r="E25" s="102">
        <f>TrAvia_act!E$11</f>
        <v>10.880408888938547</v>
      </c>
      <c r="F25" s="102">
        <f>TrAvia_act!F$11</f>
        <v>8.0459291664859514</v>
      </c>
      <c r="G25" s="102">
        <f>TrAvia_act!G$11</f>
        <v>9.0807021446948255</v>
      </c>
      <c r="H25" s="102">
        <f>TrAvia_act!H$11</f>
        <v>52.380755476922303</v>
      </c>
      <c r="I25" s="102">
        <f>TrAvia_act!I$11</f>
        <v>21.642103070106192</v>
      </c>
      <c r="J25" s="102">
        <f>TrAvia_act!J$11</f>
        <v>22.336950612363065</v>
      </c>
      <c r="K25" s="102">
        <f>TrAvia_act!K$11</f>
        <v>18.845810328555991</v>
      </c>
      <c r="L25" s="102">
        <f>TrAvia_act!L$11</f>
        <v>22.434274140766217</v>
      </c>
      <c r="M25" s="102">
        <f>TrAvia_act!M$11</f>
        <v>10.043898122743654</v>
      </c>
      <c r="N25" s="102">
        <f>TrAvia_act!N$11</f>
        <v>6.7643933152255746</v>
      </c>
      <c r="O25" s="102">
        <f>TrAvia_act!O$11</f>
        <v>7.7728010146505708</v>
      </c>
      <c r="P25" s="102">
        <f>TrAvia_act!P$11</f>
        <v>5.5005204322260939</v>
      </c>
      <c r="Q25" s="102">
        <f>TrAvia_act!Q$11</f>
        <v>7.6895297498253079</v>
      </c>
      <c r="R25" s="102">
        <f>TrAvia_act!R$11</f>
        <v>15.567218199091458</v>
      </c>
      <c r="S25" s="102">
        <f>TrAvia_act!S$11</f>
        <v>16.904679866862079</v>
      </c>
      <c r="T25" s="102">
        <f>TrAvia_act!T$11</f>
        <v>24.204271026728151</v>
      </c>
      <c r="U25" s="102">
        <f>TrAvia_act!U$11</f>
        <v>33.272570215219268</v>
      </c>
      <c r="V25" s="102">
        <f>TrAvia_act!V$11</f>
        <v>21.387583945967005</v>
      </c>
      <c r="W25" s="102">
        <f>TrAvia_act!W$11</f>
        <v>49.458981464013071</v>
      </c>
      <c r="X25" s="102">
        <f>TrAvia_act!X$11</f>
        <v>107.60668089443747</v>
      </c>
      <c r="Y25" s="102">
        <f>TrAvia_act!Y$11</f>
        <v>91.242173845501895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891</v>
      </c>
      <c r="C26" s="110">
        <f t="shared" si="21"/>
        <v>1087</v>
      </c>
      <c r="D26" s="110">
        <f t="shared" si="21"/>
        <v>1407</v>
      </c>
      <c r="E26" s="110">
        <f t="shared" si="21"/>
        <v>1517</v>
      </c>
      <c r="F26" s="110">
        <f t="shared" si="21"/>
        <v>1904</v>
      </c>
      <c r="G26" s="110">
        <f t="shared" si="21"/>
        <v>2110</v>
      </c>
      <c r="H26" s="110">
        <f t="shared" si="21"/>
        <v>1913</v>
      </c>
      <c r="I26" s="110">
        <f t="shared" si="21"/>
        <v>2212</v>
      </c>
      <c r="J26" s="110">
        <f t="shared" si="21"/>
        <v>2250</v>
      </c>
      <c r="K26" s="110">
        <f t="shared" si="21"/>
        <v>1831</v>
      </c>
      <c r="L26" s="110">
        <f t="shared" si="21"/>
        <v>2393</v>
      </c>
      <c r="M26" s="110">
        <f t="shared" si="21"/>
        <v>1840</v>
      </c>
      <c r="N26" s="110">
        <f t="shared" si="21"/>
        <v>1982</v>
      </c>
      <c r="O26" s="110">
        <f t="shared" si="21"/>
        <v>1924</v>
      </c>
      <c r="P26" s="110">
        <f t="shared" si="21"/>
        <v>1811</v>
      </c>
      <c r="Q26" s="110">
        <f t="shared" si="21"/>
        <v>1824</v>
      </c>
      <c r="R26" s="110">
        <f t="shared" ref="R26:V26" si="22">R27+R28</f>
        <v>1975</v>
      </c>
      <c r="S26" s="110">
        <f t="shared" si="22"/>
        <v>1992</v>
      </c>
      <c r="T26" s="110">
        <f t="shared" si="22"/>
        <v>1608</v>
      </c>
      <c r="U26" s="110">
        <f t="shared" si="22"/>
        <v>2120</v>
      </c>
      <c r="V26" s="110">
        <f t="shared" si="22"/>
        <v>1998</v>
      </c>
      <c r="W26" s="110">
        <f t="shared" ref="W26:Y26" si="23">W27+W28</f>
        <v>1873</v>
      </c>
      <c r="X26" s="110">
        <f t="shared" si="23"/>
        <v>1508</v>
      </c>
      <c r="Y26" s="110">
        <f t="shared" si="23"/>
        <v>1316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891</v>
      </c>
      <c r="C28" s="169">
        <f>TrNavi_act!C5</f>
        <v>1087</v>
      </c>
      <c r="D28" s="169">
        <f>TrNavi_act!D5</f>
        <v>1407</v>
      </c>
      <c r="E28" s="169">
        <f>TrNavi_act!E5</f>
        <v>1517</v>
      </c>
      <c r="F28" s="169">
        <f>TrNavi_act!F5</f>
        <v>1904</v>
      </c>
      <c r="G28" s="169">
        <f>TrNavi_act!G5</f>
        <v>2110</v>
      </c>
      <c r="H28" s="169">
        <f>TrNavi_act!H5</f>
        <v>1913</v>
      </c>
      <c r="I28" s="169">
        <f>TrNavi_act!I5</f>
        <v>2212</v>
      </c>
      <c r="J28" s="169">
        <f>TrNavi_act!J5</f>
        <v>2250</v>
      </c>
      <c r="K28" s="169">
        <f>TrNavi_act!K5</f>
        <v>1831</v>
      </c>
      <c r="L28" s="169">
        <f>TrNavi_act!L5</f>
        <v>2393</v>
      </c>
      <c r="M28" s="169">
        <f>TrNavi_act!M5</f>
        <v>1840</v>
      </c>
      <c r="N28" s="169">
        <f>TrNavi_act!N5</f>
        <v>1982</v>
      </c>
      <c r="O28" s="169">
        <f>TrNavi_act!O5</f>
        <v>1924</v>
      </c>
      <c r="P28" s="169">
        <f>TrNavi_act!P5</f>
        <v>1811</v>
      </c>
      <c r="Q28" s="169">
        <f>TrNavi_act!Q5</f>
        <v>1824</v>
      </c>
      <c r="R28" s="169">
        <f>TrNavi_act!R5</f>
        <v>1975</v>
      </c>
      <c r="S28" s="169">
        <f>TrNavi_act!S5</f>
        <v>1992</v>
      </c>
      <c r="T28" s="169">
        <f>TrNavi_act!T5</f>
        <v>1608</v>
      </c>
      <c r="U28" s="169">
        <f>TrNavi_act!U5</f>
        <v>2120</v>
      </c>
      <c r="V28" s="169">
        <f>TrNavi_act!V5</f>
        <v>1998</v>
      </c>
      <c r="W28" s="169">
        <f>TrNavi_act!W5</f>
        <v>1873</v>
      </c>
      <c r="X28" s="169">
        <f>TrNavi_act!X5</f>
        <v>1508</v>
      </c>
      <c r="Y28" s="169">
        <f>TrNavi_act!Y5</f>
        <v>1316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2288.1130010791062</v>
      </c>
      <c r="C34" s="28">
        <f t="shared" si="26"/>
        <v>2370.1750758519702</v>
      </c>
      <c r="D34" s="28">
        <f t="shared" si="26"/>
        <v>2450.4989664021523</v>
      </c>
      <c r="E34" s="28">
        <f t="shared" si="26"/>
        <v>2547.0747748556687</v>
      </c>
      <c r="F34" s="28">
        <f t="shared" si="26"/>
        <v>2633.282329513946</v>
      </c>
      <c r="G34" s="28">
        <f t="shared" si="26"/>
        <v>2691.642473394726</v>
      </c>
      <c r="H34" s="28">
        <f t="shared" si="26"/>
        <v>2867.7671545394555</v>
      </c>
      <c r="I34" s="28">
        <f t="shared" si="26"/>
        <v>2945.049111030145</v>
      </c>
      <c r="J34" s="28">
        <f t="shared" si="26"/>
        <v>2979.0159356827212</v>
      </c>
      <c r="K34" s="28">
        <f t="shared" si="26"/>
        <v>2992.3526554133182</v>
      </c>
      <c r="L34" s="28">
        <f t="shared" si="26"/>
        <v>2769.8819126489989</v>
      </c>
      <c r="M34" s="28">
        <f t="shared" si="26"/>
        <v>2624.9672213190679</v>
      </c>
      <c r="N34" s="28">
        <f t="shared" si="26"/>
        <v>2554.9358284427294</v>
      </c>
      <c r="O34" s="28">
        <f t="shared" si="26"/>
        <v>2471.7044216669951</v>
      </c>
      <c r="P34" s="28">
        <f t="shared" si="26"/>
        <v>2628.6621408228661</v>
      </c>
      <c r="Q34" s="28">
        <f t="shared" si="26"/>
        <v>2765.5768184674325</v>
      </c>
      <c r="R34" s="28">
        <f t="shared" ref="R34:V34" si="27">R35+R39+R43</f>
        <v>2885.8179093320637</v>
      </c>
      <c r="S34" s="28">
        <f t="shared" si="27"/>
        <v>3039.4741856664532</v>
      </c>
      <c r="T34" s="28">
        <f t="shared" si="27"/>
        <v>3272.4449818467642</v>
      </c>
      <c r="U34" s="28">
        <f t="shared" si="27"/>
        <v>3533.3615694966456</v>
      </c>
      <c r="V34" s="28">
        <f t="shared" si="27"/>
        <v>3023.154910490422</v>
      </c>
      <c r="W34" s="28">
        <f t="shared" ref="W34:Y34" si="28">W35+W39+W43</f>
        <v>3238.5375029476563</v>
      </c>
      <c r="X34" s="28">
        <f t="shared" si="28"/>
        <v>3589.1644797238396</v>
      </c>
      <c r="Y34" s="28">
        <f t="shared" si="28"/>
        <v>3590.7870049338803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1917.4381785425333</v>
      </c>
      <c r="C35" s="137">
        <f t="shared" si="29"/>
        <v>2014.7393706324483</v>
      </c>
      <c r="D35" s="137">
        <f t="shared" si="29"/>
        <v>2112.504186994975</v>
      </c>
      <c r="E35" s="137">
        <f t="shared" si="29"/>
        <v>2211.02488473412</v>
      </c>
      <c r="F35" s="137">
        <f t="shared" si="29"/>
        <v>2281.972446531754</v>
      </c>
      <c r="G35" s="137">
        <f t="shared" si="29"/>
        <v>2312.5803909226202</v>
      </c>
      <c r="H35" s="137">
        <f t="shared" si="29"/>
        <v>2482.7025941109091</v>
      </c>
      <c r="I35" s="137">
        <f t="shared" si="29"/>
        <v>2581.8391695091336</v>
      </c>
      <c r="J35" s="137">
        <f t="shared" si="29"/>
        <v>2589.1811349032218</v>
      </c>
      <c r="K35" s="137">
        <f t="shared" si="29"/>
        <v>2629.1664641851598</v>
      </c>
      <c r="L35" s="137">
        <f t="shared" si="29"/>
        <v>2424.9325963231213</v>
      </c>
      <c r="M35" s="137">
        <f t="shared" si="29"/>
        <v>2281.9749856505859</v>
      </c>
      <c r="N35" s="137">
        <f t="shared" si="29"/>
        <v>2292.4395687135579</v>
      </c>
      <c r="O35" s="137">
        <f t="shared" si="29"/>
        <v>2192.639817767827</v>
      </c>
      <c r="P35" s="137">
        <f t="shared" si="29"/>
        <v>2344.6676274382694</v>
      </c>
      <c r="Q35" s="137">
        <f t="shared" si="29"/>
        <v>2483.1873330364738</v>
      </c>
      <c r="R35" s="137">
        <f t="shared" ref="R35:V35" si="30">R36+R37+R38</f>
        <v>2586.2624286744899</v>
      </c>
      <c r="S35" s="137">
        <f t="shared" si="30"/>
        <v>2711.2962662441346</v>
      </c>
      <c r="T35" s="137">
        <f t="shared" si="30"/>
        <v>2890.4103116763386</v>
      </c>
      <c r="U35" s="137">
        <f t="shared" si="30"/>
        <v>3152.2744183001014</v>
      </c>
      <c r="V35" s="137">
        <f t="shared" si="30"/>
        <v>2835.5982447326896</v>
      </c>
      <c r="W35" s="137">
        <f t="shared" ref="W35:Y35" si="31">W36+W37+W38</f>
        <v>3028.1839554111839</v>
      </c>
      <c r="X35" s="137">
        <f t="shared" si="31"/>
        <v>3244.5514190740605</v>
      </c>
      <c r="Y35" s="137">
        <f t="shared" si="31"/>
        <v>3197.954946464869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11.815843089607139</v>
      </c>
      <c r="C36" s="102">
        <f>TrRoad_ene!C$19</f>
        <v>12.012348534340456</v>
      </c>
      <c r="D36" s="102">
        <f>TrRoad_ene!D$19</f>
        <v>12.482863564717071</v>
      </c>
      <c r="E36" s="102">
        <f>TrRoad_ene!E$19</f>
        <v>13.104568103375778</v>
      </c>
      <c r="F36" s="102">
        <f>TrRoad_ene!F$19</f>
        <v>14.221312624462936</v>
      </c>
      <c r="G36" s="102">
        <f>TrRoad_ene!G$19</f>
        <v>15.141632866280794</v>
      </c>
      <c r="H36" s="102">
        <f>TrRoad_ene!H$19</f>
        <v>15.903120143927358</v>
      </c>
      <c r="I36" s="102">
        <f>TrRoad_ene!I$19</f>
        <v>16.417080611664112</v>
      </c>
      <c r="J36" s="102">
        <f>TrRoad_ene!J$19</f>
        <v>16.887582288942703</v>
      </c>
      <c r="K36" s="102">
        <f>TrRoad_ene!K$19</f>
        <v>16.753362303143341</v>
      </c>
      <c r="L36" s="102">
        <f>TrRoad_ene!L$19</f>
        <v>16.622373471350656</v>
      </c>
      <c r="M36" s="102">
        <f>TrRoad_ene!M$19</f>
        <v>17.109035770523249</v>
      </c>
      <c r="N36" s="102">
        <f>TrRoad_ene!N$19</f>
        <v>17.404286061069747</v>
      </c>
      <c r="O36" s="102">
        <f>TrRoad_ene!O$19</f>
        <v>17.921990532118194</v>
      </c>
      <c r="P36" s="102">
        <f>TrRoad_ene!P$19</f>
        <v>18.2237696348143</v>
      </c>
      <c r="Q36" s="102">
        <f>TrRoad_ene!Q$19</f>
        <v>18.116677623127813</v>
      </c>
      <c r="R36" s="102">
        <f>TrRoad_ene!R$19</f>
        <v>17.816159670401422</v>
      </c>
      <c r="S36" s="102">
        <f>TrRoad_ene!S$19</f>
        <v>18.651620784907461</v>
      </c>
      <c r="T36" s="102">
        <f>TrRoad_ene!T$19</f>
        <v>19.528685578248503</v>
      </c>
      <c r="U36" s="102">
        <f>TrRoad_ene!U$19</f>
        <v>19.874575251589444</v>
      </c>
      <c r="V36" s="102">
        <f>TrRoad_ene!V$19</f>
        <v>18.175684392503154</v>
      </c>
      <c r="W36" s="102">
        <f>TrRoad_ene!W$19</f>
        <v>18.431625696072139</v>
      </c>
      <c r="X36" s="102">
        <f>TrRoad_ene!X$19</f>
        <v>18.99871182036977</v>
      </c>
      <c r="Y36" s="102">
        <f>TrRoad_ene!Y$19</f>
        <v>18.98295166293779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1522.5252820607639</v>
      </c>
      <c r="C37" s="102">
        <f>TrRoad_ene!C$21</f>
        <v>1618.5641545963406</v>
      </c>
      <c r="D37" s="102">
        <f>TrRoad_ene!D$21</f>
        <v>1703.2228526004385</v>
      </c>
      <c r="E37" s="102">
        <f>TrRoad_ene!E$21</f>
        <v>1800.429628083597</v>
      </c>
      <c r="F37" s="102">
        <f>TrRoad_ene!F$21</f>
        <v>1884.5516762323482</v>
      </c>
      <c r="G37" s="102">
        <f>TrRoad_ene!G$21</f>
        <v>1902.8827761322568</v>
      </c>
      <c r="H37" s="102">
        <f>TrRoad_ene!H$21</f>
        <v>2039.9835902088953</v>
      </c>
      <c r="I37" s="102">
        <f>TrRoad_ene!I$21</f>
        <v>2144.3206688730606</v>
      </c>
      <c r="J37" s="102">
        <f>TrRoad_ene!J$21</f>
        <v>2179.9940894189017</v>
      </c>
      <c r="K37" s="102">
        <f>TrRoad_ene!K$21</f>
        <v>2234.9290078320669</v>
      </c>
      <c r="L37" s="102">
        <f>TrRoad_ene!L$21</f>
        <v>2027.2828511944981</v>
      </c>
      <c r="M37" s="102">
        <f>TrRoad_ene!M$21</f>
        <v>1907.8667600392914</v>
      </c>
      <c r="N37" s="102">
        <f>TrRoad_ene!N$21</f>
        <v>1925.6203658975037</v>
      </c>
      <c r="O37" s="102">
        <f>TrRoad_ene!O$21</f>
        <v>1839.0502669964658</v>
      </c>
      <c r="P37" s="102">
        <f>TrRoad_ene!P$21</f>
        <v>1955.3625709012722</v>
      </c>
      <c r="Q37" s="102">
        <f>TrRoad_ene!Q$21</f>
        <v>2076.210814816483</v>
      </c>
      <c r="R37" s="102">
        <f>TrRoad_ene!R$21</f>
        <v>2181.4696791758715</v>
      </c>
      <c r="S37" s="102">
        <f>TrRoad_ene!S$21</f>
        <v>2287.2853138571427</v>
      </c>
      <c r="T37" s="102">
        <f>TrRoad_ene!T$21</f>
        <v>2454.1083625271899</v>
      </c>
      <c r="U37" s="102">
        <f>TrRoad_ene!U$21</f>
        <v>2712.0158216311397</v>
      </c>
      <c r="V37" s="102">
        <f>TrRoad_ene!V$21</f>
        <v>2478.7948895413806</v>
      </c>
      <c r="W37" s="102">
        <f>TrRoad_ene!W$21</f>
        <v>2643.3021572496514</v>
      </c>
      <c r="X37" s="102">
        <f>TrRoad_ene!X$21</f>
        <v>2841.160772113737</v>
      </c>
      <c r="Y37" s="102">
        <f>TrRoad_ene!Y$21</f>
        <v>2819.1252240166277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383.09705339216225</v>
      </c>
      <c r="C38" s="102">
        <f>TrRoad_ene!C$33</f>
        <v>384.16286750176727</v>
      </c>
      <c r="D38" s="102">
        <f>TrRoad_ene!D$33</f>
        <v>396.79847082981962</v>
      </c>
      <c r="E38" s="102">
        <f>TrRoad_ene!E$33</f>
        <v>397.49068854714727</v>
      </c>
      <c r="F38" s="102">
        <f>TrRoad_ene!F$33</f>
        <v>383.19945767494301</v>
      </c>
      <c r="G38" s="102">
        <f>TrRoad_ene!G$33</f>
        <v>394.55598192408257</v>
      </c>
      <c r="H38" s="102">
        <f>TrRoad_ene!H$33</f>
        <v>426.81588375808616</v>
      </c>
      <c r="I38" s="102">
        <f>TrRoad_ene!I$33</f>
        <v>421.10142002440915</v>
      </c>
      <c r="J38" s="102">
        <f>TrRoad_ene!J$33</f>
        <v>392.29946319537737</v>
      </c>
      <c r="K38" s="102">
        <f>TrRoad_ene!K$33</f>
        <v>377.48409404994982</v>
      </c>
      <c r="L38" s="102">
        <f>TrRoad_ene!L$33</f>
        <v>381.02737165727251</v>
      </c>
      <c r="M38" s="102">
        <f>TrRoad_ene!M$33</f>
        <v>356.99918984077124</v>
      </c>
      <c r="N38" s="102">
        <f>TrRoad_ene!N$33</f>
        <v>349.41491675498457</v>
      </c>
      <c r="O38" s="102">
        <f>TrRoad_ene!O$33</f>
        <v>335.66756023924296</v>
      </c>
      <c r="P38" s="102">
        <f>TrRoad_ene!P$33</f>
        <v>371.08128690218274</v>
      </c>
      <c r="Q38" s="102">
        <f>TrRoad_ene!Q$33</f>
        <v>388.85984059686263</v>
      </c>
      <c r="R38" s="102">
        <f>TrRoad_ene!R$33</f>
        <v>386.97658982821707</v>
      </c>
      <c r="S38" s="102">
        <f>TrRoad_ene!S$33</f>
        <v>405.35933160208435</v>
      </c>
      <c r="T38" s="102">
        <f>TrRoad_ene!T$33</f>
        <v>416.77326357090038</v>
      </c>
      <c r="U38" s="102">
        <f>TrRoad_ene!U$33</f>
        <v>420.38402141737231</v>
      </c>
      <c r="V38" s="102">
        <f>TrRoad_ene!V$33</f>
        <v>338.62767079880609</v>
      </c>
      <c r="W38" s="102">
        <f>TrRoad_ene!W$33</f>
        <v>366.45017246546053</v>
      </c>
      <c r="X38" s="102">
        <f>TrRoad_ene!X$33</f>
        <v>384.39193513995343</v>
      </c>
      <c r="Y38" s="102">
        <f>TrRoad_ene!Y$33</f>
        <v>359.84677078530308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135.2610149985945</v>
      </c>
      <c r="C39" s="110">
        <f t="shared" si="32"/>
        <v>135.06895167188347</v>
      </c>
      <c r="D39" s="110">
        <f t="shared" si="32"/>
        <v>130.8633748352951</v>
      </c>
      <c r="E39" s="110">
        <f t="shared" si="32"/>
        <v>132.05494239660806</v>
      </c>
      <c r="F39" s="110">
        <f t="shared" si="32"/>
        <v>129.58368328724964</v>
      </c>
      <c r="G39" s="110">
        <f t="shared" si="32"/>
        <v>123.34902351063032</v>
      </c>
      <c r="H39" s="110">
        <f t="shared" si="32"/>
        <v>126.07626657991055</v>
      </c>
      <c r="I39" s="110">
        <f t="shared" si="32"/>
        <v>124.85329408609557</v>
      </c>
      <c r="J39" s="110">
        <f t="shared" si="32"/>
        <v>124.25730656222895</v>
      </c>
      <c r="K39" s="110">
        <f t="shared" si="32"/>
        <v>136.23258654936734</v>
      </c>
      <c r="L39" s="110">
        <f t="shared" si="32"/>
        <v>119.42891904960136</v>
      </c>
      <c r="M39" s="110">
        <f t="shared" si="32"/>
        <v>114.57621301427415</v>
      </c>
      <c r="N39" s="110">
        <f t="shared" si="32"/>
        <v>99.507696632459528</v>
      </c>
      <c r="O39" s="110">
        <f t="shared" si="32"/>
        <v>120.35784309149625</v>
      </c>
      <c r="P39" s="110">
        <f t="shared" si="32"/>
        <v>116.54768876583496</v>
      </c>
      <c r="Q39" s="110">
        <f t="shared" si="32"/>
        <v>110.9974945056056</v>
      </c>
      <c r="R39" s="110">
        <f t="shared" ref="R39:V39" si="33">R40+R41+R42</f>
        <v>110.71038034851989</v>
      </c>
      <c r="S39" s="110">
        <f t="shared" si="33"/>
        <v>108.70522461649641</v>
      </c>
      <c r="T39" s="110">
        <f t="shared" si="33"/>
        <v>110.48507080426009</v>
      </c>
      <c r="U39" s="110">
        <f t="shared" si="33"/>
        <v>105.90111147227491</v>
      </c>
      <c r="V39" s="110">
        <f t="shared" si="33"/>
        <v>91.444561379120543</v>
      </c>
      <c r="W39" s="110">
        <f t="shared" ref="W39:Y39" si="34">W40+W41+W42</f>
        <v>95.741955426750778</v>
      </c>
      <c r="X39" s="110">
        <f t="shared" si="34"/>
        <v>97.799529920794271</v>
      </c>
      <c r="Y39" s="110">
        <f t="shared" si="34"/>
        <v>102.56176704731917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14.070378891446671</v>
      </c>
      <c r="C40" s="102">
        <f>TrRail_ene!C$12</f>
        <v>14.02152958333307</v>
      </c>
      <c r="D40" s="102">
        <f>TrRail_ene!D$12</f>
        <v>13.322674033084578</v>
      </c>
      <c r="E40" s="102">
        <f>TrRail_ene!E$12</f>
        <v>13.546095335273041</v>
      </c>
      <c r="F40" s="102">
        <f>TrRail_ene!F$12</f>
        <v>13.002890903682754</v>
      </c>
      <c r="G40" s="102">
        <f>TrRail_ene!G$12</f>
        <v>12.446375659661355</v>
      </c>
      <c r="H40" s="102">
        <f>TrRail_ene!H$12</f>
        <v>12.093735038587241</v>
      </c>
      <c r="I40" s="102">
        <f>TrRail_ene!I$12</f>
        <v>12.587566590118209</v>
      </c>
      <c r="J40" s="102">
        <f>TrRail_ene!J$12</f>
        <v>12.887612999539291</v>
      </c>
      <c r="K40" s="102">
        <f>TrRail_ene!K$12</f>
        <v>13.977429690279092</v>
      </c>
      <c r="L40" s="102">
        <f>TrRail_ene!L$12</f>
        <v>13.585002560928077</v>
      </c>
      <c r="M40" s="102">
        <f>TrRail_ene!M$12</f>
        <v>13.714357272266286</v>
      </c>
      <c r="N40" s="102">
        <f>TrRail_ene!N$12</f>
        <v>13.447665884615954</v>
      </c>
      <c r="O40" s="102">
        <f>TrRail_ene!O$12</f>
        <v>13.207936180772981</v>
      </c>
      <c r="P40" s="102">
        <f>TrRail_ene!P$12</f>
        <v>14.925855623042981</v>
      </c>
      <c r="Q40" s="102">
        <f>TrRail_ene!Q$12</f>
        <v>16.793287950007194</v>
      </c>
      <c r="R40" s="102">
        <f>TrRail_ene!R$12</f>
        <v>17.225981422963322</v>
      </c>
      <c r="S40" s="102">
        <f>TrRail_ene!S$12</f>
        <v>16.623818017577651</v>
      </c>
      <c r="T40" s="102">
        <f>TrRail_ene!T$12</f>
        <v>13.87384766123205</v>
      </c>
      <c r="U40" s="102">
        <f>TrRail_ene!U$12</f>
        <v>14.322948889502111</v>
      </c>
      <c r="V40" s="102">
        <f>TrRail_ene!V$12</f>
        <v>13.695277074333461</v>
      </c>
      <c r="W40" s="102">
        <f>TrRail_ene!W$12</f>
        <v>13.426494388102403</v>
      </c>
      <c r="X40" s="102">
        <f>TrRail_ene!X$12</f>
        <v>14.80489667173234</v>
      </c>
      <c r="Y40" s="102">
        <f>TrRail_ene!Y$12</f>
        <v>10.459598777255259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121.19063610714782</v>
      </c>
      <c r="C41" s="102">
        <f>TrRail_ene!C$13</f>
        <v>121.04742208855041</v>
      </c>
      <c r="D41" s="102">
        <f>TrRail_ene!D$13</f>
        <v>117.54070080221052</v>
      </c>
      <c r="E41" s="102">
        <f>TrRail_ene!E$13</f>
        <v>118.50884706133502</v>
      </c>
      <c r="F41" s="102">
        <f>TrRail_ene!F$13</f>
        <v>116.58079238356689</v>
      </c>
      <c r="G41" s="102">
        <f>TrRail_ene!G$13</f>
        <v>110.90264785096896</v>
      </c>
      <c r="H41" s="102">
        <f>TrRail_ene!H$13</f>
        <v>113.98253154132331</v>
      </c>
      <c r="I41" s="102">
        <f>TrRail_ene!I$13</f>
        <v>112.26572749597736</v>
      </c>
      <c r="J41" s="102">
        <f>TrRail_ene!J$13</f>
        <v>111.36969356268966</v>
      </c>
      <c r="K41" s="102">
        <f>TrRail_ene!K$13</f>
        <v>122.25515685908825</v>
      </c>
      <c r="L41" s="102">
        <f>TrRail_ene!L$13</f>
        <v>105.84391648867329</v>
      </c>
      <c r="M41" s="102">
        <f>TrRail_ene!M$13</f>
        <v>100.86185574200786</v>
      </c>
      <c r="N41" s="102">
        <f>TrRail_ene!N$13</f>
        <v>86.06003074784357</v>
      </c>
      <c r="O41" s="102">
        <f>TrRail_ene!O$13</f>
        <v>107.14990691072327</v>
      </c>
      <c r="P41" s="102">
        <f>TrRail_ene!P$13</f>
        <v>101.62183314279198</v>
      </c>
      <c r="Q41" s="102">
        <f>TrRail_ene!Q$13</f>
        <v>94.204206555598404</v>
      </c>
      <c r="R41" s="102">
        <f>TrRail_ene!R$13</f>
        <v>93.484398925556576</v>
      </c>
      <c r="S41" s="102">
        <f>TrRail_ene!S$13</f>
        <v>92.081406598918761</v>
      </c>
      <c r="T41" s="102">
        <f>TrRail_ene!T$13</f>
        <v>96.611223143028042</v>
      </c>
      <c r="U41" s="102">
        <f>TrRail_ene!U$13</f>
        <v>91.578162582772791</v>
      </c>
      <c r="V41" s="102">
        <f>TrRail_ene!V$13</f>
        <v>77.749284304787082</v>
      </c>
      <c r="W41" s="102">
        <f>TrRail_ene!W$13</f>
        <v>82.31546103864838</v>
      </c>
      <c r="X41" s="102">
        <f>TrRail_ene!X$13</f>
        <v>82.994633249061934</v>
      </c>
      <c r="Y41" s="102">
        <f>TrRail_ene!Y$13</f>
        <v>92.102168270063913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235.41380753797844</v>
      </c>
      <c r="C43" s="110">
        <f t="shared" si="35"/>
        <v>220.36675354763833</v>
      </c>
      <c r="D43" s="110">
        <f t="shared" si="35"/>
        <v>207.1314045718824</v>
      </c>
      <c r="E43" s="110">
        <f t="shared" si="35"/>
        <v>203.99494772494054</v>
      </c>
      <c r="F43" s="110">
        <f t="shared" si="35"/>
        <v>221.72619969494224</v>
      </c>
      <c r="G43" s="110">
        <f t="shared" si="35"/>
        <v>255.71305896147601</v>
      </c>
      <c r="H43" s="110">
        <f t="shared" si="35"/>
        <v>258.98829384863558</v>
      </c>
      <c r="I43" s="110">
        <f t="shared" si="35"/>
        <v>238.35664743491586</v>
      </c>
      <c r="J43" s="110">
        <f t="shared" si="35"/>
        <v>265.57749421727027</v>
      </c>
      <c r="K43" s="110">
        <f t="shared" si="35"/>
        <v>226.95360467879132</v>
      </c>
      <c r="L43" s="110">
        <f t="shared" si="35"/>
        <v>225.52039727627587</v>
      </c>
      <c r="M43" s="110">
        <f t="shared" si="35"/>
        <v>228.41602265420738</v>
      </c>
      <c r="N43" s="110">
        <f t="shared" si="35"/>
        <v>162.98856309671197</v>
      </c>
      <c r="O43" s="110">
        <f t="shared" si="35"/>
        <v>158.70676080767174</v>
      </c>
      <c r="P43" s="110">
        <f t="shared" si="35"/>
        <v>167.44682461876181</v>
      </c>
      <c r="Q43" s="110">
        <f t="shared" si="35"/>
        <v>171.39199092535318</v>
      </c>
      <c r="R43" s="110">
        <f t="shared" ref="R43:V43" si="36">R44+R45+R46</f>
        <v>188.84510030905423</v>
      </c>
      <c r="S43" s="110">
        <f t="shared" si="36"/>
        <v>219.47269480582256</v>
      </c>
      <c r="T43" s="110">
        <f t="shared" si="36"/>
        <v>271.54959936616575</v>
      </c>
      <c r="U43" s="110">
        <f t="shared" si="36"/>
        <v>275.18603972426922</v>
      </c>
      <c r="V43" s="110">
        <f t="shared" si="36"/>
        <v>96.112104378611988</v>
      </c>
      <c r="W43" s="110">
        <f t="shared" ref="W43:Y43" si="37">W44+W45+W46</f>
        <v>114.61159210972181</v>
      </c>
      <c r="X43" s="110">
        <f t="shared" si="37"/>
        <v>246.81353072898492</v>
      </c>
      <c r="Y43" s="110">
        <f t="shared" si="37"/>
        <v>290.27029142169215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154.85520451931362</v>
      </c>
      <c r="C45" s="102">
        <f>TrAvia_ene!C$8</f>
        <v>144.95541384015615</v>
      </c>
      <c r="D45" s="102">
        <f>TrAvia_ene!D$8</f>
        <v>135.84524007063067</v>
      </c>
      <c r="E45" s="102">
        <f>TrAvia_ene!E$8</f>
        <v>129.63016746593922</v>
      </c>
      <c r="F45" s="102">
        <f>TrAvia_ene!F$8</f>
        <v>151.72394513571618</v>
      </c>
      <c r="G45" s="102">
        <f>TrAvia_ene!G$8</f>
        <v>179.45209526526381</v>
      </c>
      <c r="H45" s="102">
        <f>TrAvia_ene!H$8</f>
        <v>181.38408552799413</v>
      </c>
      <c r="I45" s="102">
        <f>TrAvia_ene!I$8</f>
        <v>166.8570894548196</v>
      </c>
      <c r="J45" s="102">
        <f>TrAvia_ene!J$8</f>
        <v>186.75385369363383</v>
      </c>
      <c r="K45" s="102">
        <f>TrAvia_ene!K$8</f>
        <v>156.18748013109746</v>
      </c>
      <c r="L45" s="102">
        <f>TrAvia_ene!L$8</f>
        <v>154.18641534110853</v>
      </c>
      <c r="M45" s="102">
        <f>TrAvia_ene!M$8</f>
        <v>155.90049903455031</v>
      </c>
      <c r="N45" s="102">
        <f>TrAvia_ene!N$8</f>
        <v>111.12523422030608</v>
      </c>
      <c r="O45" s="102">
        <f>TrAvia_ene!O$8</f>
        <v>108.6172102309183</v>
      </c>
      <c r="P45" s="102">
        <f>TrAvia_ene!P$8</f>
        <v>115.28554616787328</v>
      </c>
      <c r="Q45" s="102">
        <f>TrAvia_ene!Q$8</f>
        <v>119.02436079110697</v>
      </c>
      <c r="R45" s="102">
        <f>TrAvia_ene!R$8</f>
        <v>134.65664169633436</v>
      </c>
      <c r="S45" s="102">
        <f>TrAvia_ene!S$8</f>
        <v>158.20236390487344</v>
      </c>
      <c r="T45" s="102">
        <f>TrAvia_ene!T$8</f>
        <v>195.92122149421905</v>
      </c>
      <c r="U45" s="102">
        <f>TrAvia_ene!U$8</f>
        <v>198.63537549827441</v>
      </c>
      <c r="V45" s="102">
        <f>TrAvia_ene!V$8</f>
        <v>61.941285700830363</v>
      </c>
      <c r="W45" s="102">
        <f>TrAvia_ene!W$8</f>
        <v>76.472185762355039</v>
      </c>
      <c r="X45" s="102">
        <f>TrAvia_ene!X$8</f>
        <v>179.50533032275604</v>
      </c>
      <c r="Y45" s="102">
        <f>TrAvia_ene!Y$8</f>
        <v>208.51859336056285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80.558603018664826</v>
      </c>
      <c r="C46" s="102">
        <f>TrAvia_ene!C$9</f>
        <v>75.411339707482185</v>
      </c>
      <c r="D46" s="102">
        <f>TrAvia_ene!D$9</f>
        <v>71.286164501251733</v>
      </c>
      <c r="E46" s="102">
        <f>TrAvia_ene!E$9</f>
        <v>74.364780259001321</v>
      </c>
      <c r="F46" s="102">
        <f>TrAvia_ene!F$9</f>
        <v>70.00225455922606</v>
      </c>
      <c r="G46" s="102">
        <f>TrAvia_ene!G$9</f>
        <v>76.260963696212215</v>
      </c>
      <c r="H46" s="102">
        <f>TrAvia_ene!H$9</f>
        <v>77.604208320641447</v>
      </c>
      <c r="I46" s="102">
        <f>TrAvia_ene!I$9</f>
        <v>71.499557980096256</v>
      </c>
      <c r="J46" s="102">
        <f>TrAvia_ene!J$9</f>
        <v>78.823640523636456</v>
      </c>
      <c r="K46" s="102">
        <f>TrAvia_ene!K$9</f>
        <v>70.766124547693863</v>
      </c>
      <c r="L46" s="102">
        <f>TrAvia_ene!L$9</f>
        <v>71.333981935167344</v>
      </c>
      <c r="M46" s="102">
        <f>TrAvia_ene!M$9</f>
        <v>72.515523619657074</v>
      </c>
      <c r="N46" s="102">
        <f>TrAvia_ene!N$9</f>
        <v>51.863328876405873</v>
      </c>
      <c r="O46" s="102">
        <f>TrAvia_ene!O$9</f>
        <v>50.089550576753453</v>
      </c>
      <c r="P46" s="102">
        <f>TrAvia_ene!P$9</f>
        <v>52.161278450888545</v>
      </c>
      <c r="Q46" s="102">
        <f>TrAvia_ene!Q$9</f>
        <v>52.367630134246205</v>
      </c>
      <c r="R46" s="102">
        <f>TrAvia_ene!R$9</f>
        <v>54.188458612719863</v>
      </c>
      <c r="S46" s="102">
        <f>TrAvia_ene!S$9</f>
        <v>61.270330900949112</v>
      </c>
      <c r="T46" s="102">
        <f>TrAvia_ene!T$9</f>
        <v>75.628377871946697</v>
      </c>
      <c r="U46" s="102">
        <f>TrAvia_ene!U$9</f>
        <v>76.550664225994794</v>
      </c>
      <c r="V46" s="102">
        <f>TrAvia_ene!V$9</f>
        <v>34.170818677781625</v>
      </c>
      <c r="W46" s="102">
        <f>TrAvia_ene!W$9</f>
        <v>38.13940634736678</v>
      </c>
      <c r="X46" s="102">
        <f>TrAvia_ene!X$9</f>
        <v>67.308200406228892</v>
      </c>
      <c r="Y46" s="102">
        <f>TrAvia_ene!Y$9</f>
        <v>81.751698061129289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1017.038867504697</v>
      </c>
      <c r="C47" s="28">
        <f t="shared" si="38"/>
        <v>1076.8748929268595</v>
      </c>
      <c r="D47" s="28">
        <f t="shared" si="38"/>
        <v>1183.2716684701995</v>
      </c>
      <c r="E47" s="28">
        <f t="shared" si="38"/>
        <v>1239.8656530112028</v>
      </c>
      <c r="F47" s="28">
        <f t="shared" si="38"/>
        <v>1329.7236129924013</v>
      </c>
      <c r="G47" s="28">
        <f t="shared" si="38"/>
        <v>1604.1995930503315</v>
      </c>
      <c r="H47" s="28">
        <f t="shared" si="38"/>
        <v>1715.4828089991415</v>
      </c>
      <c r="I47" s="28">
        <f t="shared" si="38"/>
        <v>1697.7044956637735</v>
      </c>
      <c r="J47" s="28">
        <f t="shared" si="38"/>
        <v>1792.9911049306947</v>
      </c>
      <c r="K47" s="28">
        <f t="shared" si="38"/>
        <v>1719.783057811966</v>
      </c>
      <c r="L47" s="28">
        <f t="shared" si="38"/>
        <v>1522.4332039962219</v>
      </c>
      <c r="M47" s="28">
        <f t="shared" si="38"/>
        <v>1371.4403448013609</v>
      </c>
      <c r="N47" s="28">
        <f t="shared" si="38"/>
        <v>1247.5691858827549</v>
      </c>
      <c r="O47" s="28">
        <f t="shared" si="38"/>
        <v>1116.3595553861689</v>
      </c>
      <c r="P47" s="28">
        <f t="shared" si="38"/>
        <v>1374.9834836566615</v>
      </c>
      <c r="Q47" s="28">
        <f t="shared" si="38"/>
        <v>1559.4744257496793</v>
      </c>
      <c r="R47" s="28">
        <f t="shared" ref="R47:V47" si="39">R48+R51+R52+R56</f>
        <v>1524.6357499850301</v>
      </c>
      <c r="S47" s="28">
        <f t="shared" si="39"/>
        <v>1620.165915376178</v>
      </c>
      <c r="T47" s="28">
        <f t="shared" si="39"/>
        <v>1721.8661453409291</v>
      </c>
      <c r="U47" s="28">
        <f t="shared" si="39"/>
        <v>1737.5507011404391</v>
      </c>
      <c r="V47" s="28">
        <f t="shared" si="39"/>
        <v>1479.6910633040147</v>
      </c>
      <c r="W47" s="28">
        <f t="shared" ref="W47:Y47" si="40">W48+W51+W52+W56</f>
        <v>1751.3399546882458</v>
      </c>
      <c r="X47" s="28">
        <f t="shared" si="40"/>
        <v>1920.6942993909952</v>
      </c>
      <c r="Y47" s="28">
        <f t="shared" si="40"/>
        <v>1619.3350279856293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973.19159201891398</v>
      </c>
      <c r="C48" s="137">
        <f t="shared" si="41"/>
        <v>1036.0534184387286</v>
      </c>
      <c r="D48" s="137">
        <f t="shared" si="41"/>
        <v>1140.7097840768613</v>
      </c>
      <c r="E48" s="137">
        <f t="shared" si="41"/>
        <v>1192.9240556005072</v>
      </c>
      <c r="F48" s="137">
        <f t="shared" si="41"/>
        <v>1288.1396008757113</v>
      </c>
      <c r="G48" s="137">
        <f t="shared" si="41"/>
        <v>1562.927023759755</v>
      </c>
      <c r="H48" s="137">
        <f t="shared" si="41"/>
        <v>1668.9433281551167</v>
      </c>
      <c r="I48" s="137">
        <f t="shared" si="41"/>
        <v>1651.8860622922655</v>
      </c>
      <c r="J48" s="137">
        <f t="shared" si="41"/>
        <v>1749.1199727781218</v>
      </c>
      <c r="K48" s="137">
        <f t="shared" si="41"/>
        <v>1685.7781054459715</v>
      </c>
      <c r="L48" s="137">
        <f t="shared" si="41"/>
        <v>1486.3850138732598</v>
      </c>
      <c r="M48" s="137">
        <f t="shared" si="41"/>
        <v>1338.5177911319231</v>
      </c>
      <c r="N48" s="137">
        <f t="shared" si="41"/>
        <v>1211.8711205904306</v>
      </c>
      <c r="O48" s="137">
        <f t="shared" si="41"/>
        <v>1076.8228695174953</v>
      </c>
      <c r="P48" s="137">
        <f t="shared" si="41"/>
        <v>1333.9994931719548</v>
      </c>
      <c r="Q48" s="137">
        <f t="shared" si="41"/>
        <v>1521.0604717997267</v>
      </c>
      <c r="R48" s="137">
        <f t="shared" ref="R48:V48" si="42">R49+R50</f>
        <v>1487.6148763863703</v>
      </c>
      <c r="S48" s="137">
        <f t="shared" si="42"/>
        <v>1575.8242303273018</v>
      </c>
      <c r="T48" s="137">
        <f t="shared" si="42"/>
        <v>1679.2119934993173</v>
      </c>
      <c r="U48" s="137">
        <f t="shared" si="42"/>
        <v>1696.6631317866822</v>
      </c>
      <c r="V48" s="137">
        <f t="shared" si="42"/>
        <v>1429.7380128106724</v>
      </c>
      <c r="W48" s="137">
        <f t="shared" ref="W48:Y48" si="43">W49+W50</f>
        <v>1702.7052821043401</v>
      </c>
      <c r="X48" s="137">
        <f t="shared" si="43"/>
        <v>1866.6568011413763</v>
      </c>
      <c r="Y48" s="137">
        <f t="shared" si="43"/>
        <v>1578.7374217942795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340.09492197189951</v>
      </c>
      <c r="C49" s="102">
        <f>TrRoad_ene!C$43</f>
        <v>352.52365909201791</v>
      </c>
      <c r="D49" s="102">
        <f>TrRoad_ene!D$43</f>
        <v>382.96856334417606</v>
      </c>
      <c r="E49" s="102">
        <f>TrRoad_ene!E$43</f>
        <v>398.9957382727269</v>
      </c>
      <c r="F49" s="102">
        <f>TrRoad_ene!F$43</f>
        <v>404.68999324749416</v>
      </c>
      <c r="G49" s="102">
        <f>TrRoad_ene!G$43</f>
        <v>434.82024805260534</v>
      </c>
      <c r="H49" s="102">
        <f>TrRoad_ene!H$43</f>
        <v>431.91436922887743</v>
      </c>
      <c r="I49" s="102">
        <f>TrRoad_ene!I$43</f>
        <v>438.2769843824006</v>
      </c>
      <c r="J49" s="102">
        <f>TrRoad_ene!J$43</f>
        <v>484.54421724512929</v>
      </c>
      <c r="K49" s="102">
        <f>TrRoad_ene!K$43</f>
        <v>550.34491686333115</v>
      </c>
      <c r="L49" s="102">
        <f>TrRoad_ene!L$43</f>
        <v>468.39486010359684</v>
      </c>
      <c r="M49" s="102">
        <f>TrRoad_ene!M$43</f>
        <v>470.57555371618861</v>
      </c>
      <c r="N49" s="102">
        <f>TrRoad_ene!N$43</f>
        <v>475.44488981863321</v>
      </c>
      <c r="O49" s="102">
        <f>TrRoad_ene!O$43</f>
        <v>469.83427615069547</v>
      </c>
      <c r="P49" s="102">
        <f>TrRoad_ene!P$43</f>
        <v>519.06374896275088</v>
      </c>
      <c r="Q49" s="102">
        <f>TrRoad_ene!Q$43</f>
        <v>554.58150736844709</v>
      </c>
      <c r="R49" s="102">
        <f>TrRoad_ene!R$43</f>
        <v>565.7919158724136</v>
      </c>
      <c r="S49" s="102">
        <f>TrRoad_ene!S$43</f>
        <v>601.0436711479698</v>
      </c>
      <c r="T49" s="102">
        <f>TrRoad_ene!T$43</f>
        <v>639.50414137767712</v>
      </c>
      <c r="U49" s="102">
        <f>TrRoad_ene!U$43</f>
        <v>671.41315544092174</v>
      </c>
      <c r="V49" s="102">
        <f>TrRoad_ene!V$43</f>
        <v>663.37212430496174</v>
      </c>
      <c r="W49" s="102">
        <f>TrRoad_ene!W$43</f>
        <v>718.15342937060677</v>
      </c>
      <c r="X49" s="102">
        <f>TrRoad_ene!X$43</f>
        <v>758.62774334704386</v>
      </c>
      <c r="Y49" s="102">
        <f>TrRoad_ene!Y$43</f>
        <v>740.72473823228484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633.09667004701441</v>
      </c>
      <c r="C50" s="102">
        <f>TrRoad_ene!C$52</f>
        <v>683.52975934671065</v>
      </c>
      <c r="D50" s="102">
        <f>TrRoad_ene!D$52</f>
        <v>757.74122073268518</v>
      </c>
      <c r="E50" s="102">
        <f>TrRoad_ene!E$52</f>
        <v>793.92831732778041</v>
      </c>
      <c r="F50" s="102">
        <f>TrRoad_ene!F$52</f>
        <v>883.44960762821711</v>
      </c>
      <c r="G50" s="102">
        <f>TrRoad_ene!G$52</f>
        <v>1128.1067757071496</v>
      </c>
      <c r="H50" s="102">
        <f>TrRoad_ene!H$52</f>
        <v>1237.0289589262393</v>
      </c>
      <c r="I50" s="102">
        <f>TrRoad_ene!I$52</f>
        <v>1213.6090779098649</v>
      </c>
      <c r="J50" s="102">
        <f>TrRoad_ene!J$52</f>
        <v>1264.5757555329926</v>
      </c>
      <c r="K50" s="102">
        <f>TrRoad_ene!K$52</f>
        <v>1135.4331885826405</v>
      </c>
      <c r="L50" s="102">
        <f>TrRoad_ene!L$52</f>
        <v>1017.990153769663</v>
      </c>
      <c r="M50" s="102">
        <f>TrRoad_ene!M$52</f>
        <v>867.94223741573444</v>
      </c>
      <c r="N50" s="102">
        <f>TrRoad_ene!N$52</f>
        <v>736.42623077179735</v>
      </c>
      <c r="O50" s="102">
        <f>TrRoad_ene!O$52</f>
        <v>606.98859336679982</v>
      </c>
      <c r="P50" s="102">
        <f>TrRoad_ene!P$52</f>
        <v>814.9357442092039</v>
      </c>
      <c r="Q50" s="102">
        <f>TrRoad_ene!Q$52</f>
        <v>966.47896443127968</v>
      </c>
      <c r="R50" s="102">
        <f>TrRoad_ene!R$52</f>
        <v>921.82296051395667</v>
      </c>
      <c r="S50" s="102">
        <f>TrRoad_ene!S$52</f>
        <v>974.78055917933204</v>
      </c>
      <c r="T50" s="102">
        <f>TrRoad_ene!T$52</f>
        <v>1039.7078521216401</v>
      </c>
      <c r="U50" s="102">
        <f>TrRoad_ene!U$52</f>
        <v>1025.2499763457604</v>
      </c>
      <c r="V50" s="102">
        <f>TrRoad_ene!V$52</f>
        <v>766.3658885057107</v>
      </c>
      <c r="W50" s="102">
        <f>TrRoad_ene!W$52</f>
        <v>984.55185273373331</v>
      </c>
      <c r="X50" s="102">
        <f>TrRoad_ene!X$52</f>
        <v>1108.0290577943324</v>
      </c>
      <c r="Y50" s="102">
        <f>TrRoad_ene!Y$52</f>
        <v>838.01268356199466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38.060223178533604</v>
      </c>
      <c r="C51" s="110">
        <f>TrRail_ene!C$17</f>
        <v>34.743258130352125</v>
      </c>
      <c r="D51" s="110">
        <f>TrRail_ene!D$17</f>
        <v>34.860958784653292</v>
      </c>
      <c r="E51" s="110">
        <f>TrRail_ene!E$17</f>
        <v>33.128204636925915</v>
      </c>
      <c r="F51" s="110">
        <f>TrRail_ene!F$17</f>
        <v>35.618380341297183</v>
      </c>
      <c r="G51" s="110">
        <f>TrRail_ene!G$17</f>
        <v>35.382532809232096</v>
      </c>
      <c r="H51" s="110">
        <f>TrRail_ene!H$17</f>
        <v>39.668445371938077</v>
      </c>
      <c r="I51" s="110">
        <f>TrRail_ene!I$17</f>
        <v>40.408958708401379</v>
      </c>
      <c r="J51" s="110">
        <f>TrRail_ene!J$17</f>
        <v>38.597379594262797</v>
      </c>
      <c r="K51" s="110">
        <f>TrRail_ene!K$17</f>
        <v>29.230268136789118</v>
      </c>
      <c r="L51" s="110">
        <f>TrRail_ene!L$17</f>
        <v>30.843393934061574</v>
      </c>
      <c r="M51" s="110">
        <f>TrRail_ene!M$17</f>
        <v>27.613554827514328</v>
      </c>
      <c r="N51" s="110">
        <f>TrRail_ene!N$17</f>
        <v>26.144324003825933</v>
      </c>
      <c r="O51" s="110">
        <f>TrRail_ene!O$17</f>
        <v>30.716963443327408</v>
      </c>
      <c r="P51" s="110">
        <f>TrRail_ene!P$17</f>
        <v>31.689628517054114</v>
      </c>
      <c r="Q51" s="110">
        <f>TrRail_ene!Q$17</f>
        <v>29.071293112623103</v>
      </c>
      <c r="R51" s="110">
        <f>TrRail_ene!R$17</f>
        <v>28.46992919576212</v>
      </c>
      <c r="S51" s="110">
        <f>TrRail_ene!S$17</f>
        <v>35.189874265704809</v>
      </c>
      <c r="T51" s="110">
        <f>TrRail_ene!T$17</f>
        <v>32.80813641843983</v>
      </c>
      <c r="U51" s="110">
        <f>TrRail_ene!U$17</f>
        <v>31.573781047071613</v>
      </c>
      <c r="V51" s="110">
        <f>TrRail_ene!V$17</f>
        <v>40.563177227930183</v>
      </c>
      <c r="W51" s="110">
        <f>TrRail_ene!W$17</f>
        <v>37.039643885373017</v>
      </c>
      <c r="X51" s="110">
        <f>TrRail_ene!X$17</f>
        <v>38.070375496230682</v>
      </c>
      <c r="Y51" s="110">
        <f>TrRail_ene!Y$17</f>
        <v>28.930064423016148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4.7600531670946644</v>
      </c>
      <c r="C52" s="110">
        <f t="shared" si="44"/>
        <v>5.0512172176238934</v>
      </c>
      <c r="D52" s="110">
        <f t="shared" si="44"/>
        <v>5.6468413438527429</v>
      </c>
      <c r="E52" s="110">
        <f t="shared" si="44"/>
        <v>4.5700565742856254</v>
      </c>
      <c r="F52" s="110">
        <f t="shared" si="44"/>
        <v>3.9115475105607862</v>
      </c>
      <c r="G52" s="110">
        <f t="shared" si="44"/>
        <v>4.8630373411894867</v>
      </c>
      <c r="H52" s="110">
        <f t="shared" si="44"/>
        <v>5.8440363319319291</v>
      </c>
      <c r="I52" s="110">
        <f t="shared" si="44"/>
        <v>4.4062932357634406</v>
      </c>
      <c r="J52" s="110">
        <f t="shared" si="44"/>
        <v>4.2705711309669852</v>
      </c>
      <c r="K52" s="110">
        <f t="shared" si="44"/>
        <v>3.7715028018621788</v>
      </c>
      <c r="L52" s="110">
        <f t="shared" si="44"/>
        <v>4.2016147615573365</v>
      </c>
      <c r="M52" s="110">
        <f t="shared" si="44"/>
        <v>4.3058174145803143</v>
      </c>
      <c r="N52" s="110">
        <f t="shared" si="44"/>
        <v>3.5348246934857381</v>
      </c>
      <c r="O52" s="110">
        <f t="shared" si="44"/>
        <v>3.8039872576764457</v>
      </c>
      <c r="P52" s="110">
        <f t="shared" si="44"/>
        <v>3.2754453726397035</v>
      </c>
      <c r="Q52" s="110">
        <f t="shared" si="44"/>
        <v>3.3237442423165993</v>
      </c>
      <c r="R52" s="110">
        <f t="shared" si="44"/>
        <v>3.4277285817453893</v>
      </c>
      <c r="S52" s="110">
        <f t="shared" si="44"/>
        <v>4.02859496201929</v>
      </c>
      <c r="T52" s="110">
        <f t="shared" si="44"/>
        <v>4.7227996020199283</v>
      </c>
      <c r="U52" s="110">
        <f t="shared" si="44"/>
        <v>4.1905724855329929</v>
      </c>
      <c r="V52" s="110">
        <f t="shared" si="44"/>
        <v>5.291249017776618</v>
      </c>
      <c r="W52" s="110">
        <f t="shared" ref="W52:Y52" si="45">W53+W54+W55</f>
        <v>8.5210820089367907</v>
      </c>
      <c r="X52" s="110">
        <f t="shared" si="45"/>
        <v>11.868498505752735</v>
      </c>
      <c r="Y52" s="110">
        <f t="shared" si="45"/>
        <v>8.5935950787377919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3.5798704602027689</v>
      </c>
      <c r="C54" s="102">
        <f>TrAvia_ene!C$12</f>
        <v>3.958248717565775</v>
      </c>
      <c r="D54" s="102">
        <f>TrAvia_ene!D$12</f>
        <v>5.1102433219886354</v>
      </c>
      <c r="E54" s="102">
        <f>TrAvia_ene!E$12</f>
        <v>4.0334685074543879</v>
      </c>
      <c r="F54" s="102">
        <f>TrAvia_ene!F$12</f>
        <v>3.558875578013633</v>
      </c>
      <c r="G54" s="102">
        <f>TrAvia_ene!G$12</f>
        <v>4.3875936065933372</v>
      </c>
      <c r="H54" s="102">
        <f>TrAvia_ene!H$12</f>
        <v>3.2777921662103413</v>
      </c>
      <c r="I54" s="102">
        <f>TrAvia_ene!I$12</f>
        <v>3.5186384710288157</v>
      </c>
      <c r="J54" s="102">
        <f>TrAvia_ene!J$12</f>
        <v>3.0479455118244942</v>
      </c>
      <c r="K54" s="102">
        <f>TrAvia_ene!K$12</f>
        <v>2.6401394810989927</v>
      </c>
      <c r="L54" s="102">
        <f>TrAvia_ene!L$12</f>
        <v>2.8529987254283053</v>
      </c>
      <c r="M54" s="102">
        <f>TrAvia_ene!M$12</f>
        <v>3.6947774957388693</v>
      </c>
      <c r="N54" s="102">
        <f>TrAvia_ene!N$12</f>
        <v>2.8908051296592827</v>
      </c>
      <c r="O54" s="102">
        <f>TrAvia_ene!O$12</f>
        <v>3.0791964225265351</v>
      </c>
      <c r="P54" s="102">
        <f>TrAvia_ene!P$12</f>
        <v>2.931487550795921</v>
      </c>
      <c r="Q54" s="102">
        <f>TrAvia_ene!Q$12</f>
        <v>2.9782272437433304</v>
      </c>
      <c r="R54" s="102">
        <f>TrAvia_ene!R$12</f>
        <v>2.8700932072060454</v>
      </c>
      <c r="S54" s="102">
        <f>TrAvia_ene!S$12</f>
        <v>3.4318043406031014</v>
      </c>
      <c r="T54" s="102">
        <f>TrAvia_ene!T$12</f>
        <v>4.0809563172106271</v>
      </c>
      <c r="U54" s="102">
        <f>TrAvia_ene!U$12</f>
        <v>3.2737403064165558</v>
      </c>
      <c r="V54" s="102">
        <f>TrAvia_ene!V$12</f>
        <v>3.6873272892986697</v>
      </c>
      <c r="W54" s="102">
        <f>TrAvia_ene!W$12</f>
        <v>5.135554280223138</v>
      </c>
      <c r="X54" s="102">
        <f>TrAvia_ene!X$12</f>
        <v>5.5737724225876528</v>
      </c>
      <c r="Y54" s="102">
        <f>TrAvia_ene!Y$12</f>
        <v>5.310339951681768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1.180182706891896</v>
      </c>
      <c r="C55" s="102">
        <f>TrAvia_ene!C$13</f>
        <v>1.0929685000581182</v>
      </c>
      <c r="D55" s="102">
        <f>TrAvia_ene!D$13</f>
        <v>0.53659802186410721</v>
      </c>
      <c r="E55" s="102">
        <f>TrAvia_ene!E$13</f>
        <v>0.53658806683123716</v>
      </c>
      <c r="F55" s="102">
        <f>TrAvia_ene!F$13</f>
        <v>0.35267193254715329</v>
      </c>
      <c r="G55" s="102">
        <f>TrAvia_ene!G$13</f>
        <v>0.4754437345961493</v>
      </c>
      <c r="H55" s="102">
        <f>TrAvia_ene!H$13</f>
        <v>2.5662441657215878</v>
      </c>
      <c r="I55" s="102">
        <f>TrAvia_ene!I$13</f>
        <v>0.88765476473462479</v>
      </c>
      <c r="J55" s="102">
        <f>TrAvia_ene!J$13</f>
        <v>1.2226256191424905</v>
      </c>
      <c r="K55" s="102">
        <f>TrAvia_ene!K$13</f>
        <v>1.1313633207631861</v>
      </c>
      <c r="L55" s="102">
        <f>TrAvia_ene!L$13</f>
        <v>1.3486160361290314</v>
      </c>
      <c r="M55" s="102">
        <f>TrAvia_ene!M$13</f>
        <v>0.61103991884144504</v>
      </c>
      <c r="N55" s="102">
        <f>TrAvia_ene!N$13</f>
        <v>0.64401956382645542</v>
      </c>
      <c r="O55" s="102">
        <f>TrAvia_ene!O$13</f>
        <v>0.72479083514991072</v>
      </c>
      <c r="P55" s="102">
        <f>TrAvia_ene!P$13</f>
        <v>0.3439578218437826</v>
      </c>
      <c r="Q55" s="102">
        <f>TrAvia_ene!Q$13</f>
        <v>0.34551699857326895</v>
      </c>
      <c r="R55" s="102">
        <f>TrAvia_ene!R$13</f>
        <v>0.55763537453934398</v>
      </c>
      <c r="S55" s="102">
        <f>TrAvia_ene!S$13</f>
        <v>0.59679062141618866</v>
      </c>
      <c r="T55" s="102">
        <f>TrAvia_ene!T$13</f>
        <v>0.64184328480930097</v>
      </c>
      <c r="U55" s="102">
        <f>TrAvia_ene!U$13</f>
        <v>0.91683217911643689</v>
      </c>
      <c r="V55" s="102">
        <f>TrAvia_ene!V$13</f>
        <v>1.6039217284779486</v>
      </c>
      <c r="W55" s="102">
        <f>TrAvia_ene!W$13</f>
        <v>3.3855277287136536</v>
      </c>
      <c r="X55" s="102">
        <f>TrAvia_ene!X$13</f>
        <v>6.2947260831650818</v>
      </c>
      <c r="Y55" s="102">
        <f>TrAvia_ene!Y$13</f>
        <v>3.283255127056024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1.026999140154772</v>
      </c>
      <c r="C56" s="110">
        <f t="shared" si="46"/>
        <v>1.026999140154772</v>
      </c>
      <c r="D56" s="110">
        <f t="shared" si="46"/>
        <v>2.0540842648323299</v>
      </c>
      <c r="E56" s="110">
        <f t="shared" si="46"/>
        <v>9.2433361994840926</v>
      </c>
      <c r="F56" s="110">
        <f t="shared" si="46"/>
        <v>2.0540842648323299</v>
      </c>
      <c r="G56" s="110">
        <f t="shared" si="46"/>
        <v>1.026999140154772</v>
      </c>
      <c r="H56" s="110">
        <f t="shared" si="46"/>
        <v>1.026999140154772</v>
      </c>
      <c r="I56" s="110">
        <f t="shared" si="46"/>
        <v>1.0031814273430779</v>
      </c>
      <c r="J56" s="110">
        <f t="shared" si="46"/>
        <v>1.0031814273430779</v>
      </c>
      <c r="K56" s="110">
        <f t="shared" si="46"/>
        <v>1.0031814273430779</v>
      </c>
      <c r="L56" s="110">
        <f t="shared" si="46"/>
        <v>1.0031814273430779</v>
      </c>
      <c r="M56" s="110">
        <f t="shared" si="46"/>
        <v>1.0031814273430779</v>
      </c>
      <c r="N56" s="110">
        <f t="shared" si="46"/>
        <v>6.0189165950128984</v>
      </c>
      <c r="O56" s="110">
        <f t="shared" si="46"/>
        <v>5.0157351676698188</v>
      </c>
      <c r="P56" s="110">
        <f t="shared" si="46"/>
        <v>6.0189165950128984</v>
      </c>
      <c r="Q56" s="110">
        <f t="shared" si="46"/>
        <v>6.0189165950128984</v>
      </c>
      <c r="R56" s="110">
        <f t="shared" ref="R56:V56" si="47">R57+R58</f>
        <v>5.1232158211521934</v>
      </c>
      <c r="S56" s="110">
        <f t="shared" si="47"/>
        <v>5.1232158211521934</v>
      </c>
      <c r="T56" s="110">
        <f t="shared" si="47"/>
        <v>5.1232158211521934</v>
      </c>
      <c r="U56" s="110">
        <f t="shared" si="47"/>
        <v>5.1232158211521934</v>
      </c>
      <c r="V56" s="110">
        <f t="shared" si="47"/>
        <v>4.0986242476354251</v>
      </c>
      <c r="W56" s="110">
        <f t="shared" ref="W56:Y56" si="48">W57+W58</f>
        <v>3.0739466895958731</v>
      </c>
      <c r="X56" s="110">
        <f t="shared" si="48"/>
        <v>4.0986242476354251</v>
      </c>
      <c r="Y56" s="110">
        <f t="shared" si="48"/>
        <v>3.0739466895958731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1.026999140154772</v>
      </c>
      <c r="C58" s="169">
        <f>TrNavi_ene!C10</f>
        <v>1.026999140154772</v>
      </c>
      <c r="D58" s="169">
        <f>TrNavi_ene!D10</f>
        <v>2.0540842648323299</v>
      </c>
      <c r="E58" s="169">
        <f>TrNavi_ene!E10</f>
        <v>9.2433361994840926</v>
      </c>
      <c r="F58" s="169">
        <f>TrNavi_ene!F10</f>
        <v>2.0540842648323299</v>
      </c>
      <c r="G58" s="169">
        <f>TrNavi_ene!G10</f>
        <v>1.026999140154772</v>
      </c>
      <c r="H58" s="169">
        <f>TrNavi_ene!H10</f>
        <v>1.026999140154772</v>
      </c>
      <c r="I58" s="169">
        <f>TrNavi_ene!I10</f>
        <v>1.0031814273430779</v>
      </c>
      <c r="J58" s="169">
        <f>TrNavi_ene!J10</f>
        <v>1.0031814273430779</v>
      </c>
      <c r="K58" s="169">
        <f>TrNavi_ene!K10</f>
        <v>1.0031814273430779</v>
      </c>
      <c r="L58" s="169">
        <f>TrNavi_ene!L10</f>
        <v>1.0031814273430779</v>
      </c>
      <c r="M58" s="169">
        <f>TrNavi_ene!M10</f>
        <v>1.0031814273430779</v>
      </c>
      <c r="N58" s="169">
        <f>TrNavi_ene!N10</f>
        <v>6.0189165950128984</v>
      </c>
      <c r="O58" s="169">
        <f>TrNavi_ene!O10</f>
        <v>5.0157351676698188</v>
      </c>
      <c r="P58" s="169">
        <f>TrNavi_ene!P10</f>
        <v>6.0189165950128984</v>
      </c>
      <c r="Q58" s="169">
        <f>TrNavi_ene!Q10</f>
        <v>6.0189165950128984</v>
      </c>
      <c r="R58" s="169">
        <f>TrNavi_ene!R10</f>
        <v>5.1232158211521934</v>
      </c>
      <c r="S58" s="169">
        <f>TrNavi_ene!S10</f>
        <v>5.1232158211521934</v>
      </c>
      <c r="T58" s="169">
        <f>TrNavi_ene!T10</f>
        <v>5.1232158211521934</v>
      </c>
      <c r="U58" s="169">
        <f>TrNavi_ene!U10</f>
        <v>5.1232158211521934</v>
      </c>
      <c r="V58" s="169">
        <f>TrNavi_ene!V10</f>
        <v>4.0986242476354251</v>
      </c>
      <c r="W58" s="169">
        <f>TrNavi_ene!W10</f>
        <v>3.0739466895958731</v>
      </c>
      <c r="X58" s="169">
        <f>TrNavi_ene!X10</f>
        <v>4.0986242476354251</v>
      </c>
      <c r="Y58" s="169">
        <f>TrNavi_ene!Y10</f>
        <v>3.0739466895958731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0</v>
      </c>
      <c r="J59" s="28">
        <f t="shared" si="49"/>
        <v>0</v>
      </c>
      <c r="K59" s="28">
        <f t="shared" si="49"/>
        <v>0</v>
      </c>
      <c r="L59" s="28">
        <f t="shared" si="49"/>
        <v>0</v>
      </c>
      <c r="M59" s="28">
        <f t="shared" si="49"/>
        <v>0</v>
      </c>
      <c r="N59" s="28">
        <f t="shared" si="49"/>
        <v>0</v>
      </c>
      <c r="O59" s="28">
        <f t="shared" si="49"/>
        <v>0</v>
      </c>
      <c r="P59" s="28">
        <f t="shared" si="49"/>
        <v>0</v>
      </c>
      <c r="Q59" s="28">
        <f t="shared" si="49"/>
        <v>0</v>
      </c>
      <c r="R59" s="28">
        <f t="shared" si="49"/>
        <v>0</v>
      </c>
      <c r="S59" s="28">
        <f t="shared" si="49"/>
        <v>0</v>
      </c>
      <c r="T59" s="28">
        <f t="shared" si="49"/>
        <v>0</v>
      </c>
      <c r="U59" s="28">
        <f t="shared" si="49"/>
        <v>0</v>
      </c>
      <c r="V59" s="28">
        <f t="shared" si="49"/>
        <v>0</v>
      </c>
      <c r="W59" s="28">
        <f t="shared" si="49"/>
        <v>0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6604.9926672219226</v>
      </c>
      <c r="C64" s="28">
        <f t="shared" si="51"/>
        <v>6842.9881578946843</v>
      </c>
      <c r="D64" s="28">
        <f t="shared" si="51"/>
        <v>7090.0076264901554</v>
      </c>
      <c r="E64" s="28">
        <f t="shared" si="51"/>
        <v>7358.6714759085444</v>
      </c>
      <c r="F64" s="28">
        <f t="shared" si="51"/>
        <v>7615.5863282725286</v>
      </c>
      <c r="G64" s="28">
        <f t="shared" si="51"/>
        <v>7782.6330398300734</v>
      </c>
      <c r="H64" s="28">
        <f t="shared" si="51"/>
        <v>8273.1548003399694</v>
      </c>
      <c r="I64" s="28">
        <f t="shared" si="51"/>
        <v>8456.8499408006755</v>
      </c>
      <c r="J64" s="28">
        <f t="shared" si="51"/>
        <v>8384.1505071531483</v>
      </c>
      <c r="K64" s="28">
        <f t="shared" si="51"/>
        <v>8396.954121042987</v>
      </c>
      <c r="L64" s="28">
        <f t="shared" si="51"/>
        <v>7745.2161875790744</v>
      </c>
      <c r="M64" s="28">
        <f t="shared" si="51"/>
        <v>7333.6437853802272</v>
      </c>
      <c r="N64" s="28">
        <f t="shared" si="51"/>
        <v>7154.2200160793473</v>
      </c>
      <c r="O64" s="28">
        <f t="shared" si="51"/>
        <v>6907.5781560036949</v>
      </c>
      <c r="P64" s="28">
        <f t="shared" si="51"/>
        <v>7292.5903923594633</v>
      </c>
      <c r="Q64" s="28">
        <f t="shared" si="51"/>
        <v>7749.5528880135907</v>
      </c>
      <c r="R64" s="28">
        <f t="shared" ref="R64:V64" si="52">R65+R69+R73</f>
        <v>8085.8289037075438</v>
      </c>
      <c r="S64" s="28">
        <f t="shared" si="52"/>
        <v>8590.2938638366104</v>
      </c>
      <c r="T64" s="28">
        <f t="shared" si="52"/>
        <v>9235.6423134730685</v>
      </c>
      <c r="U64" s="28">
        <f t="shared" si="52"/>
        <v>10009.599460673167</v>
      </c>
      <c r="V64" s="28">
        <f t="shared" si="52"/>
        <v>8319.5726490135548</v>
      </c>
      <c r="W64" s="28">
        <f t="shared" ref="W64:Y64" si="53">W65+W69+W73</f>
        <v>8950.0339182969201</v>
      </c>
      <c r="X64" s="28">
        <f t="shared" si="53"/>
        <v>9960.1274847517561</v>
      </c>
      <c r="Y64" s="28">
        <f t="shared" si="53"/>
        <v>9915.4248528015833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5671.1768572694282</v>
      </c>
      <c r="C65" s="137">
        <f t="shared" si="54"/>
        <v>5958.9552071373228</v>
      </c>
      <c r="D65" s="137">
        <f t="shared" si="54"/>
        <v>6253.1058815798624</v>
      </c>
      <c r="E65" s="137">
        <f t="shared" si="54"/>
        <v>6537.955691997764</v>
      </c>
      <c r="F65" s="137">
        <f t="shared" si="54"/>
        <v>6755.2626633928194</v>
      </c>
      <c r="G65" s="137">
        <f t="shared" si="54"/>
        <v>6840.0468561658827</v>
      </c>
      <c r="H65" s="137">
        <f t="shared" si="54"/>
        <v>7335.9753565603087</v>
      </c>
      <c r="I65" s="137">
        <f t="shared" si="54"/>
        <v>7588.8257565485001</v>
      </c>
      <c r="J65" s="137">
        <f t="shared" si="54"/>
        <v>7430.932938224536</v>
      </c>
      <c r="K65" s="137">
        <f t="shared" si="54"/>
        <v>7544.5308611014643</v>
      </c>
      <c r="L65" s="137">
        <f t="shared" si="54"/>
        <v>6918.8315433257176</v>
      </c>
      <c r="M65" s="137">
        <f t="shared" si="54"/>
        <v>6512.7190534452129</v>
      </c>
      <c r="N65" s="137">
        <f t="shared" si="54"/>
        <v>6554.4603765476813</v>
      </c>
      <c r="O65" s="137">
        <f t="shared" si="54"/>
        <v>6302.3807074832321</v>
      </c>
      <c r="P65" s="137">
        <f t="shared" si="54"/>
        <v>6653.2625248738641</v>
      </c>
      <c r="Q65" s="137">
        <f t="shared" si="54"/>
        <v>7123.2178957233946</v>
      </c>
      <c r="R65" s="137">
        <f t="shared" ref="R65:V65" si="55">R66+R67+R68</f>
        <v>7408.3761112318407</v>
      </c>
      <c r="S65" s="137">
        <f t="shared" si="55"/>
        <v>7818.1168348868587</v>
      </c>
      <c r="T65" s="137">
        <f t="shared" si="55"/>
        <v>8309.0523701686725</v>
      </c>
      <c r="U65" s="137">
        <f t="shared" si="55"/>
        <v>9082.9875317216029</v>
      </c>
      <c r="V65" s="137">
        <f t="shared" si="55"/>
        <v>7954.4026340816072</v>
      </c>
      <c r="W65" s="137">
        <f t="shared" ref="W65:Y65" si="56">W66+W67+W68</f>
        <v>8530.9129147169715</v>
      </c>
      <c r="X65" s="137">
        <f t="shared" si="56"/>
        <v>9144.6929859219108</v>
      </c>
      <c r="Y65" s="137">
        <f t="shared" si="56"/>
        <v>8960.983514991065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34.283106290364053</v>
      </c>
      <c r="C66" s="102">
        <f>TrRoad_emi!C$19</f>
        <v>34.853257484598608</v>
      </c>
      <c r="D66" s="102">
        <f>TrRoad_emi!D$19</f>
        <v>36.218434448720906</v>
      </c>
      <c r="E66" s="102">
        <f>TrRoad_emi!E$19</f>
        <v>38.0222805745031</v>
      </c>
      <c r="F66" s="102">
        <f>TrRoad_emi!F$19</f>
        <v>41.26246164539829</v>
      </c>
      <c r="G66" s="102">
        <f>TrRoad_emi!G$19</f>
        <v>43.861108439572341</v>
      </c>
      <c r="H66" s="102">
        <f>TrRoad_emi!H$19</f>
        <v>45.830002501491776</v>
      </c>
      <c r="I66" s="102">
        <f>TrRoad_emi!I$19</f>
        <v>46.856753853242211</v>
      </c>
      <c r="J66" s="102">
        <f>TrRoad_emi!J$19</f>
        <v>47.60008916252216</v>
      </c>
      <c r="K66" s="102">
        <f>TrRoad_emi!K$19</f>
        <v>47.221770751862202</v>
      </c>
      <c r="L66" s="102">
        <f>TrRoad_emi!L$19</f>
        <v>46.287873724326907</v>
      </c>
      <c r="M66" s="102">
        <f>TrRoad_emi!M$19</f>
        <v>47.554633525805073</v>
      </c>
      <c r="N66" s="102">
        <f>TrRoad_emi!N$19</f>
        <v>48.499732300143478</v>
      </c>
      <c r="O66" s="102">
        <f>TrRoad_emi!O$19</f>
        <v>50.649331547068648</v>
      </c>
      <c r="P66" s="102">
        <f>TrRoad_emi!P$19</f>
        <v>50.427278073202011</v>
      </c>
      <c r="Q66" s="102">
        <f>TrRoad_emi!Q$19</f>
        <v>50.876923029649305</v>
      </c>
      <c r="R66" s="102">
        <f>TrRoad_emi!R$19</f>
        <v>50.014317886300191</v>
      </c>
      <c r="S66" s="102">
        <f>TrRoad_emi!S$19</f>
        <v>52.351610466557155</v>
      </c>
      <c r="T66" s="102">
        <f>TrRoad_emi!T$19</f>
        <v>54.671983914814945</v>
      </c>
      <c r="U66" s="102">
        <f>TrRoad_emi!U$19</f>
        <v>55.966345812090346</v>
      </c>
      <c r="V66" s="102">
        <f>TrRoad_emi!V$19</f>
        <v>49.559311519156495</v>
      </c>
      <c r="W66" s="102">
        <f>TrRoad_emi!W$19</f>
        <v>50.32336063482569</v>
      </c>
      <c r="X66" s="102">
        <f>TrRoad_emi!X$19</f>
        <v>51.941192469510177</v>
      </c>
      <c r="Y66" s="102">
        <f>TrRoad_emi!Y$19</f>
        <v>51.936065235620802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4462.190706118</v>
      </c>
      <c r="C67" s="102">
        <f>TrRoad_emi!C$20</f>
        <v>4745.8403519408484</v>
      </c>
      <c r="D67" s="102">
        <f>TrRoad_emi!D$20</f>
        <v>4999.3578403258007</v>
      </c>
      <c r="E67" s="102">
        <f>TrRoad_emi!E$20</f>
        <v>5280.2395566706</v>
      </c>
      <c r="F67" s="102">
        <f>TrRoad_emi!F$20</f>
        <v>5538.2663426245808</v>
      </c>
      <c r="G67" s="102">
        <f>TrRoad_emi!G$20</f>
        <v>5580.9383771809726</v>
      </c>
      <c r="H67" s="102">
        <f>TrRoad_emi!H$20</f>
        <v>5973.8935520792338</v>
      </c>
      <c r="I67" s="102">
        <f>TrRoad_emi!I$20</f>
        <v>6242.9308749325883</v>
      </c>
      <c r="J67" s="102">
        <f>TrRoad_emi!J$20</f>
        <v>6224.5049179625748</v>
      </c>
      <c r="K67" s="102">
        <f>TrRoad_emi!K$20</f>
        <v>6383.9197651520681</v>
      </c>
      <c r="L67" s="102">
        <f>TrRoad_emi!L$20</f>
        <v>5749.6943354104433</v>
      </c>
      <c r="M67" s="102">
        <f>TrRoad_emi!M$20</f>
        <v>5410.5909576134618</v>
      </c>
      <c r="N67" s="102">
        <f>TrRoad_emi!N$20</f>
        <v>5474.7748992908591</v>
      </c>
      <c r="O67" s="102">
        <f>TrRoad_emi!O$20</f>
        <v>5265.8391611993275</v>
      </c>
      <c r="P67" s="102">
        <f>TrRoad_emi!P$20</f>
        <v>5515.8736896271585</v>
      </c>
      <c r="Q67" s="102">
        <f>TrRoad_emi!Q$20</f>
        <v>5929.5792996169994</v>
      </c>
      <c r="R67" s="102">
        <f>TrRoad_emi!R$20</f>
        <v>6227.1672245317677</v>
      </c>
      <c r="S67" s="102">
        <f>TrRoad_emi!S$20</f>
        <v>6566.2967112434326</v>
      </c>
      <c r="T67" s="102">
        <f>TrRoad_emi!T$20</f>
        <v>7027.2623467758031</v>
      </c>
      <c r="U67" s="102">
        <f>TrRoad_emi!U$20</f>
        <v>7791.3088618911388</v>
      </c>
      <c r="V67" s="102">
        <f>TrRoad_emi!V$20</f>
        <v>6931.7965267337349</v>
      </c>
      <c r="W67" s="102">
        <f>TrRoad_emi!W$20</f>
        <v>7420.3138596077497</v>
      </c>
      <c r="X67" s="102">
        <f>TrRoad_emi!X$20</f>
        <v>7981.1752984821769</v>
      </c>
      <c r="Y67" s="102">
        <f>TrRoad_emi!Y$20</f>
        <v>7882.0071277198549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1174.703044861064</v>
      </c>
      <c r="C68" s="102">
        <f>TrRoad_emi!C$27</f>
        <v>1178.2615977118755</v>
      </c>
      <c r="D68" s="102">
        <f>TrRoad_emi!D$27</f>
        <v>1217.5296068053415</v>
      </c>
      <c r="E68" s="102">
        <f>TrRoad_emi!E$27</f>
        <v>1219.6938547526609</v>
      </c>
      <c r="F68" s="102">
        <f>TrRoad_emi!F$27</f>
        <v>1175.7338591228399</v>
      </c>
      <c r="G68" s="102">
        <f>TrRoad_emi!G$27</f>
        <v>1215.2473705453376</v>
      </c>
      <c r="H68" s="102">
        <f>TrRoad_emi!H$27</f>
        <v>1316.2518019795834</v>
      </c>
      <c r="I68" s="102">
        <f>TrRoad_emi!I$27</f>
        <v>1299.0381277626698</v>
      </c>
      <c r="J68" s="102">
        <f>TrRoad_emi!J$27</f>
        <v>1158.8279310994394</v>
      </c>
      <c r="K68" s="102">
        <f>TrRoad_emi!K$27</f>
        <v>1113.3893251975344</v>
      </c>
      <c r="L68" s="102">
        <f>TrRoad_emi!L$27</f>
        <v>1122.8493341909473</v>
      </c>
      <c r="M68" s="102">
        <f>TrRoad_emi!M$27</f>
        <v>1054.5734623059461</v>
      </c>
      <c r="N68" s="102">
        <f>TrRoad_emi!N$27</f>
        <v>1031.1857449566789</v>
      </c>
      <c r="O68" s="102">
        <f>TrRoad_emi!O$27</f>
        <v>985.89221473683574</v>
      </c>
      <c r="P68" s="102">
        <f>TrRoad_emi!P$27</f>
        <v>1086.9615571735044</v>
      </c>
      <c r="Q68" s="102">
        <f>TrRoad_emi!Q$27</f>
        <v>1142.7616730767461</v>
      </c>
      <c r="R68" s="102">
        <f>TrRoad_emi!R$27</f>
        <v>1131.1945688137732</v>
      </c>
      <c r="S68" s="102">
        <f>TrRoad_emi!S$27</f>
        <v>1199.4685131768695</v>
      </c>
      <c r="T68" s="102">
        <f>TrRoad_emi!T$27</f>
        <v>1227.118039478054</v>
      </c>
      <c r="U68" s="102">
        <f>TrRoad_emi!U$27</f>
        <v>1235.7123240183739</v>
      </c>
      <c r="V68" s="102">
        <f>TrRoad_emi!V$27</f>
        <v>973.04679582871529</v>
      </c>
      <c r="W68" s="102">
        <f>TrRoad_emi!W$27</f>
        <v>1060.275694474396</v>
      </c>
      <c r="X68" s="102">
        <f>TrRoad_emi!X$27</f>
        <v>1111.5764949702236</v>
      </c>
      <c r="Y68" s="102">
        <f>TrRoad_emi!Y$27</f>
        <v>1027.0403220355884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225.47746509661656</v>
      </c>
      <c r="C69" s="110">
        <f t="shared" si="57"/>
        <v>220.82545223475191</v>
      </c>
      <c r="D69" s="110">
        <f t="shared" si="57"/>
        <v>213.53604386724982</v>
      </c>
      <c r="E69" s="110">
        <f t="shared" si="57"/>
        <v>206.79256662742671</v>
      </c>
      <c r="F69" s="110">
        <f t="shared" si="57"/>
        <v>192.93766492302615</v>
      </c>
      <c r="G69" s="110">
        <f t="shared" si="57"/>
        <v>172.810809712317</v>
      </c>
      <c r="H69" s="110">
        <f t="shared" si="57"/>
        <v>157.54460011481055</v>
      </c>
      <c r="I69" s="110">
        <f t="shared" si="57"/>
        <v>150.49697559769089</v>
      </c>
      <c r="J69" s="110">
        <f t="shared" si="57"/>
        <v>153.74719477341597</v>
      </c>
      <c r="K69" s="110">
        <f t="shared" si="57"/>
        <v>169.22273580379394</v>
      </c>
      <c r="L69" s="110">
        <f t="shared" si="57"/>
        <v>147.49851754492806</v>
      </c>
      <c r="M69" s="110">
        <f t="shared" si="57"/>
        <v>133.32187751164611</v>
      </c>
      <c r="N69" s="110">
        <f t="shared" si="57"/>
        <v>109.11366854685333</v>
      </c>
      <c r="O69" s="110">
        <f t="shared" si="57"/>
        <v>127.44102635892885</v>
      </c>
      <c r="P69" s="110">
        <f t="shared" si="57"/>
        <v>135.26115082495372</v>
      </c>
      <c r="Q69" s="110">
        <f t="shared" si="57"/>
        <v>110.39210520128951</v>
      </c>
      <c r="R69" s="110">
        <f t="shared" ref="R69:V69" si="58">R70+R71+R72</f>
        <v>108.97064964043463</v>
      </c>
      <c r="S69" s="110">
        <f t="shared" si="58"/>
        <v>111.496356626992</v>
      </c>
      <c r="T69" s="110">
        <f t="shared" si="58"/>
        <v>109.14168607611208</v>
      </c>
      <c r="U69" s="110">
        <f t="shared" si="58"/>
        <v>98.216861858030143</v>
      </c>
      <c r="V69" s="110">
        <f t="shared" si="58"/>
        <v>75.842862889651698</v>
      </c>
      <c r="W69" s="110">
        <f t="shared" ref="W69:Y69" si="59">W70+W71+W72</f>
        <v>74.104673425404286</v>
      </c>
      <c r="X69" s="110">
        <f t="shared" si="59"/>
        <v>72.449456591900187</v>
      </c>
      <c r="Y69" s="110">
        <f t="shared" si="59"/>
        <v>80.638009057116619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225.47746509661656</v>
      </c>
      <c r="C71" s="102">
        <f>TrRail_emi!C$11</f>
        <v>220.82545223475191</v>
      </c>
      <c r="D71" s="102">
        <f>TrRail_emi!D$11</f>
        <v>213.53604386724982</v>
      </c>
      <c r="E71" s="102">
        <f>TrRail_emi!E$11</f>
        <v>206.79256662742671</v>
      </c>
      <c r="F71" s="102">
        <f>TrRail_emi!F$11</f>
        <v>192.93766492302615</v>
      </c>
      <c r="G71" s="102">
        <f>TrRail_emi!G$11</f>
        <v>172.810809712317</v>
      </c>
      <c r="H71" s="102">
        <f>TrRail_emi!H$11</f>
        <v>157.54460011481055</v>
      </c>
      <c r="I71" s="102">
        <f>TrRail_emi!I$11</f>
        <v>150.49697559769089</v>
      </c>
      <c r="J71" s="102">
        <f>TrRail_emi!J$11</f>
        <v>153.74719477341597</v>
      </c>
      <c r="K71" s="102">
        <f>TrRail_emi!K$11</f>
        <v>169.22273580379394</v>
      </c>
      <c r="L71" s="102">
        <f>TrRail_emi!L$11</f>
        <v>147.49851754492806</v>
      </c>
      <c r="M71" s="102">
        <f>TrRail_emi!M$11</f>
        <v>133.32187751164611</v>
      </c>
      <c r="N71" s="102">
        <f>TrRail_emi!N$11</f>
        <v>109.11366854685333</v>
      </c>
      <c r="O71" s="102">
        <f>TrRail_emi!O$11</f>
        <v>127.44102635892885</v>
      </c>
      <c r="P71" s="102">
        <f>TrRail_emi!P$11</f>
        <v>135.26115082495372</v>
      </c>
      <c r="Q71" s="102">
        <f>TrRail_emi!Q$11</f>
        <v>110.39210520128951</v>
      </c>
      <c r="R71" s="102">
        <f>TrRail_emi!R$11</f>
        <v>108.97064964043463</v>
      </c>
      <c r="S71" s="102">
        <f>TrRail_emi!S$11</f>
        <v>111.496356626992</v>
      </c>
      <c r="T71" s="102">
        <f>TrRail_emi!T$11</f>
        <v>109.14168607611208</v>
      </c>
      <c r="U71" s="102">
        <f>TrRail_emi!U$11</f>
        <v>98.216861858030143</v>
      </c>
      <c r="V71" s="102">
        <f>TrRail_emi!V$11</f>
        <v>75.842862889651698</v>
      </c>
      <c r="W71" s="102">
        <f>TrRail_emi!W$11</f>
        <v>74.104673425404286</v>
      </c>
      <c r="X71" s="102">
        <f>TrRail_emi!X$11</f>
        <v>72.449456591900187</v>
      </c>
      <c r="Y71" s="102">
        <f>TrRail_emi!Y$11</f>
        <v>80.638009057116619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708.33834485587761</v>
      </c>
      <c r="C73" s="110">
        <f t="shared" si="60"/>
        <v>663.20749852260997</v>
      </c>
      <c r="D73" s="110">
        <f t="shared" si="60"/>
        <v>623.36570104304326</v>
      </c>
      <c r="E73" s="110">
        <f t="shared" si="60"/>
        <v>613.92321728335332</v>
      </c>
      <c r="F73" s="110">
        <f t="shared" si="60"/>
        <v>667.38599995668278</v>
      </c>
      <c r="G73" s="110">
        <f t="shared" si="60"/>
        <v>769.77537395187392</v>
      </c>
      <c r="H73" s="110">
        <f t="shared" si="60"/>
        <v>779.63484366485136</v>
      </c>
      <c r="I73" s="110">
        <f t="shared" si="60"/>
        <v>717.52720865448373</v>
      </c>
      <c r="J73" s="110">
        <f t="shared" si="60"/>
        <v>799.47037415519583</v>
      </c>
      <c r="K73" s="110">
        <f t="shared" si="60"/>
        <v>683.20052413772851</v>
      </c>
      <c r="L73" s="110">
        <f t="shared" si="60"/>
        <v>678.88612670842826</v>
      </c>
      <c r="M73" s="110">
        <f t="shared" si="60"/>
        <v>687.60285442336863</v>
      </c>
      <c r="N73" s="110">
        <f t="shared" si="60"/>
        <v>490.64597098481249</v>
      </c>
      <c r="O73" s="110">
        <f t="shared" si="60"/>
        <v>477.75642216153369</v>
      </c>
      <c r="P73" s="110">
        <f t="shared" si="60"/>
        <v>504.06671666064523</v>
      </c>
      <c r="Q73" s="110">
        <f t="shared" si="60"/>
        <v>515.94288708890724</v>
      </c>
      <c r="R73" s="110">
        <f t="shared" ref="R73:V73" si="61">R74+R75+R76</f>
        <v>568.48214283526886</v>
      </c>
      <c r="S73" s="110">
        <f t="shared" si="61"/>
        <v>660.68067232275973</v>
      </c>
      <c r="T73" s="110">
        <f t="shared" si="61"/>
        <v>817.44825722828318</v>
      </c>
      <c r="U73" s="110">
        <f t="shared" si="61"/>
        <v>828.39506709353338</v>
      </c>
      <c r="V73" s="110">
        <f t="shared" si="61"/>
        <v>289.32715204229601</v>
      </c>
      <c r="W73" s="110">
        <f t="shared" ref="W73:Y73" si="62">W74+W75+W76</f>
        <v>345.01633015454297</v>
      </c>
      <c r="X73" s="110">
        <f t="shared" si="62"/>
        <v>742.98504223794623</v>
      </c>
      <c r="Y73" s="110">
        <f t="shared" si="62"/>
        <v>873.80332875340105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465.94496902580011</v>
      </c>
      <c r="C75" s="102">
        <f>TrAvia_emi!C$8</f>
        <v>436.25236503498854</v>
      </c>
      <c r="D75" s="102">
        <f>TrAvia_emi!D$8</f>
        <v>408.82870217104914</v>
      </c>
      <c r="E75" s="102">
        <f>TrAvia_emi!E$8</f>
        <v>390.12225721872341</v>
      </c>
      <c r="F75" s="102">
        <f>TrAvia_emi!F$8</f>
        <v>456.68232703707235</v>
      </c>
      <c r="G75" s="102">
        <f>TrAvia_emi!G$8</f>
        <v>540.20629333630018</v>
      </c>
      <c r="H75" s="102">
        <f>TrAvia_emi!H$8</f>
        <v>546.02218139850777</v>
      </c>
      <c r="I75" s="102">
        <f>TrAvia_emi!I$8</f>
        <v>502.29143147106652</v>
      </c>
      <c r="J75" s="102">
        <f>TrAvia_emi!J$8</f>
        <v>562.18684390940007</v>
      </c>
      <c r="K75" s="102">
        <f>TrAvia_emi!K$8</f>
        <v>470.17260836345986</v>
      </c>
      <c r="L75" s="102">
        <f>TrAvia_emi!L$8</f>
        <v>464.14878461636016</v>
      </c>
      <c r="M75" s="102">
        <f>TrAvia_emi!M$8</f>
        <v>469.30870652829771</v>
      </c>
      <c r="N75" s="102">
        <f>TrAvia_emi!N$8</f>
        <v>334.52131492554224</v>
      </c>
      <c r="O75" s="102">
        <f>TrAvia_emi!O$8</f>
        <v>326.97138723646748</v>
      </c>
      <c r="P75" s="102">
        <f>TrAvia_emi!P$8</f>
        <v>347.04514025617368</v>
      </c>
      <c r="Q75" s="102">
        <f>TrAvia_emi!Q$8</f>
        <v>358.30012831358863</v>
      </c>
      <c r="R75" s="102">
        <f>TrAvia_emi!R$8</f>
        <v>405.35812733957897</v>
      </c>
      <c r="S75" s="102">
        <f>TrAvia_emi!S$8</f>
        <v>476.23803152458834</v>
      </c>
      <c r="T75" s="102">
        <f>TrAvia_emi!T$8</f>
        <v>589.78345553928557</v>
      </c>
      <c r="U75" s="102">
        <f>TrAvia_emi!U$8</f>
        <v>597.95389830791032</v>
      </c>
      <c r="V75" s="102">
        <f>TrAvia_emi!V$8</f>
        <v>186.46242220503811</v>
      </c>
      <c r="W75" s="102">
        <f>TrAvia_emi!W$8</f>
        <v>230.20492434452635</v>
      </c>
      <c r="X75" s="102">
        <f>TrAvia_emi!X$8</f>
        <v>540.36654731963165</v>
      </c>
      <c r="Y75" s="102">
        <f>TrAvia_emi!Y$8</f>
        <v>627.70543996436129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242.3933758300775</v>
      </c>
      <c r="C76" s="102">
        <f>TrAvia_emi!C$9</f>
        <v>226.95513348762145</v>
      </c>
      <c r="D76" s="102">
        <f>TrAvia_emi!D$9</f>
        <v>214.53699887199409</v>
      </c>
      <c r="E76" s="102">
        <f>TrAvia_emi!E$9</f>
        <v>223.80096006462995</v>
      </c>
      <c r="F76" s="102">
        <f>TrAvia_emi!F$9</f>
        <v>210.70367291961048</v>
      </c>
      <c r="G76" s="102">
        <f>TrAvia_emi!G$9</f>
        <v>229.56908061557371</v>
      </c>
      <c r="H76" s="102">
        <f>TrAvia_emi!H$9</f>
        <v>233.61266226634356</v>
      </c>
      <c r="I76" s="102">
        <f>TrAvia_emi!I$9</f>
        <v>215.23577718341721</v>
      </c>
      <c r="J76" s="102">
        <f>TrAvia_emi!J$9</f>
        <v>237.28353024579576</v>
      </c>
      <c r="K76" s="102">
        <f>TrAvia_emi!K$9</f>
        <v>213.02791577426868</v>
      </c>
      <c r="L76" s="102">
        <f>TrAvia_emi!L$9</f>
        <v>214.73734209206813</v>
      </c>
      <c r="M76" s="102">
        <f>TrAvia_emi!M$9</f>
        <v>218.29414789507092</v>
      </c>
      <c r="N76" s="102">
        <f>TrAvia_emi!N$9</f>
        <v>156.12465605927028</v>
      </c>
      <c r="O76" s="102">
        <f>TrAvia_emi!O$9</f>
        <v>150.78503492506621</v>
      </c>
      <c r="P76" s="102">
        <f>TrAvia_emi!P$9</f>
        <v>157.02157640447155</v>
      </c>
      <c r="Q76" s="102">
        <f>TrAvia_emi!Q$9</f>
        <v>157.64275877531861</v>
      </c>
      <c r="R76" s="102">
        <f>TrAvia_emi!R$9</f>
        <v>163.12401549568986</v>
      </c>
      <c r="S76" s="102">
        <f>TrAvia_emi!S$9</f>
        <v>184.44264079817137</v>
      </c>
      <c r="T76" s="102">
        <f>TrAvia_emi!T$9</f>
        <v>227.66480168899764</v>
      </c>
      <c r="U76" s="102">
        <f>TrAvia_emi!U$9</f>
        <v>230.44116878562303</v>
      </c>
      <c r="V76" s="102">
        <f>TrAvia_emi!V$9</f>
        <v>102.86472983725787</v>
      </c>
      <c r="W76" s="102">
        <f>TrAvia_emi!W$9</f>
        <v>114.81140581001664</v>
      </c>
      <c r="X76" s="102">
        <f>TrAvia_emi!X$9</f>
        <v>202.61849491831461</v>
      </c>
      <c r="Y76" s="102">
        <f>TrAvia_emi!Y$9</f>
        <v>246.0978887890397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3061.0932045179088</v>
      </c>
      <c r="C77" s="28">
        <f t="shared" si="63"/>
        <v>3252.7577055321995</v>
      </c>
      <c r="D77" s="28">
        <f t="shared" si="63"/>
        <v>3582.7350933098442</v>
      </c>
      <c r="E77" s="28">
        <f t="shared" si="63"/>
        <v>3761.0689402924236</v>
      </c>
      <c r="F77" s="28">
        <f t="shared" si="63"/>
        <v>4034.1653759674723</v>
      </c>
      <c r="G77" s="28">
        <f t="shared" si="63"/>
        <v>4887.0675882099285</v>
      </c>
      <c r="H77" s="28">
        <f t="shared" si="63"/>
        <v>5224.2282549000302</v>
      </c>
      <c r="I77" s="28">
        <f t="shared" si="63"/>
        <v>5162.9097986793267</v>
      </c>
      <c r="J77" s="28">
        <f t="shared" si="63"/>
        <v>5230.7635621268519</v>
      </c>
      <c r="K77" s="28">
        <f t="shared" si="63"/>
        <v>5022.4181635970126</v>
      </c>
      <c r="L77" s="28">
        <f t="shared" si="63"/>
        <v>4425.6743067809257</v>
      </c>
      <c r="M77" s="28">
        <f t="shared" si="63"/>
        <v>3983.702728619769</v>
      </c>
      <c r="N77" s="28">
        <f t="shared" si="63"/>
        <v>3626.9432647206536</v>
      </c>
      <c r="O77" s="28">
        <f t="shared" si="63"/>
        <v>3213.8023586363047</v>
      </c>
      <c r="P77" s="28">
        <f t="shared" si="63"/>
        <v>3961.1297853605374</v>
      </c>
      <c r="Q77" s="28">
        <f t="shared" si="63"/>
        <v>4528.711332706408</v>
      </c>
      <c r="R77" s="28">
        <f t="shared" si="63"/>
        <v>4411.1628786124575</v>
      </c>
      <c r="S77" s="28">
        <f t="shared" si="63"/>
        <v>4732.9279917727581</v>
      </c>
      <c r="T77" s="28">
        <f t="shared" si="63"/>
        <v>5020.923634460517</v>
      </c>
      <c r="U77" s="28">
        <f t="shared" si="63"/>
        <v>5059.5111020396116</v>
      </c>
      <c r="V77" s="28">
        <f t="shared" si="63"/>
        <v>4186.221243430934</v>
      </c>
      <c r="W77" s="28">
        <f t="shared" si="63"/>
        <v>5021.1290162294281</v>
      </c>
      <c r="X77" s="28">
        <f t="shared" si="63"/>
        <v>5518.8938549394315</v>
      </c>
      <c r="Y77" s="28">
        <f t="shared" si="63"/>
        <v>4609.2586887226726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3000.2358769305756</v>
      </c>
      <c r="C78" s="137">
        <f t="shared" si="64"/>
        <v>3196.751388782679</v>
      </c>
      <c r="D78" s="137">
        <f t="shared" si="64"/>
        <v>3523.3124720601372</v>
      </c>
      <c r="E78" s="137">
        <f t="shared" si="64"/>
        <v>3686.9600745622365</v>
      </c>
      <c r="F78" s="137">
        <f t="shared" si="64"/>
        <v>3983.7828890071814</v>
      </c>
      <c r="G78" s="137">
        <f t="shared" si="64"/>
        <v>4837.2945865141191</v>
      </c>
      <c r="H78" s="137">
        <f t="shared" si="64"/>
        <v>5166.6300468796917</v>
      </c>
      <c r="I78" s="137">
        <f t="shared" si="64"/>
        <v>5110.2981802915019</v>
      </c>
      <c r="J78" s="137">
        <f t="shared" si="64"/>
        <v>5181.8107284154639</v>
      </c>
      <c r="K78" s="137">
        <f t="shared" si="64"/>
        <v>4984.2189098185354</v>
      </c>
      <c r="L78" s="137">
        <f t="shared" si="64"/>
        <v>4386.2412869142818</v>
      </c>
      <c r="M78" s="137">
        <f t="shared" si="64"/>
        <v>3957.7891865147835</v>
      </c>
      <c r="N78" s="137">
        <f t="shared" si="64"/>
        <v>3579.1427068923194</v>
      </c>
      <c r="O78" s="137">
        <f t="shared" si="64"/>
        <v>3164.8456960767671</v>
      </c>
      <c r="P78" s="137">
        <f t="shared" si="64"/>
        <v>3909.1354328461362</v>
      </c>
      <c r="Q78" s="137">
        <f t="shared" si="64"/>
        <v>4479.7123400366054</v>
      </c>
      <c r="R78" s="137">
        <f t="shared" ref="R78:V78" si="65">R79+R80</f>
        <v>4366.7649553681613</v>
      </c>
      <c r="S78" s="137">
        <f t="shared" si="65"/>
        <v>4682.8892908425105</v>
      </c>
      <c r="T78" s="137">
        <f t="shared" si="65"/>
        <v>4966.4404923649126</v>
      </c>
      <c r="U78" s="137">
        <f t="shared" si="65"/>
        <v>5008.4209528311749</v>
      </c>
      <c r="V78" s="137">
        <f t="shared" si="65"/>
        <v>4128.5167918028819</v>
      </c>
      <c r="W78" s="137">
        <f t="shared" ref="W78:Y78" si="66">W79+W80</f>
        <v>4955.1425580893747</v>
      </c>
      <c r="X78" s="137">
        <f t="shared" si="66"/>
        <v>5434.817463449278</v>
      </c>
      <c r="Y78" s="137">
        <f t="shared" si="66"/>
        <v>4549.5872794531897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1036.1048655593206</v>
      </c>
      <c r="C79" s="102">
        <f>TrRoad_emi!C$34</f>
        <v>1076.1558130259677</v>
      </c>
      <c r="D79" s="102">
        <f>TrRoad_emi!D$34</f>
        <v>1172.4818633241048</v>
      </c>
      <c r="E79" s="102">
        <f>TrRoad_emi!E$34</f>
        <v>1223.8619370321649</v>
      </c>
      <c r="F79" s="102">
        <f>TrRoad_emi!F$34</f>
        <v>1242.9522174487774</v>
      </c>
      <c r="G79" s="102">
        <f>TrRoad_emi!G$34</f>
        <v>1337.4349171528752</v>
      </c>
      <c r="H79" s="102">
        <f>TrRoad_emi!H$34</f>
        <v>1328.8481485624989</v>
      </c>
      <c r="I79" s="102">
        <f>TrRoad_emi!I$34</f>
        <v>1347.7855623768501</v>
      </c>
      <c r="J79" s="102">
        <f>TrRoad_emi!J$34</f>
        <v>1431.6236418800293</v>
      </c>
      <c r="K79" s="102">
        <f>TrRoad_emi!K$34</f>
        <v>1624.0865899720297</v>
      </c>
      <c r="L79" s="102">
        <f>TrRoad_emi!L$34</f>
        <v>1378.8367719183218</v>
      </c>
      <c r="M79" s="102">
        <f>TrRoad_emi!M$34</f>
        <v>1388.4179254148198</v>
      </c>
      <c r="N79" s="102">
        <f>TrRoad_emi!N$34</f>
        <v>1401.6725401650453</v>
      </c>
      <c r="O79" s="102">
        <f>TrRoad_emi!O$34</f>
        <v>1379.4304335038262</v>
      </c>
      <c r="P79" s="102">
        <f>TrRoad_emi!P$34</f>
        <v>1519.070012739639</v>
      </c>
      <c r="Q79" s="102">
        <f>TrRoad_emi!Q$34</f>
        <v>1631.6498743729373</v>
      </c>
      <c r="R79" s="102">
        <f>TrRoad_emi!R$34</f>
        <v>1659.3830235214684</v>
      </c>
      <c r="S79" s="102">
        <f>TrRoad_emi!S$34</f>
        <v>1784.3118485350931</v>
      </c>
      <c r="T79" s="102">
        <f>TrRoad_emi!T$34</f>
        <v>1889.5760432431225</v>
      </c>
      <c r="U79" s="102">
        <f>TrRoad_emi!U$34</f>
        <v>1980.3397829758774</v>
      </c>
      <c r="V79" s="102">
        <f>TrRoad_emi!V$34</f>
        <v>1913.9301385199722</v>
      </c>
      <c r="W79" s="102">
        <f>TrRoad_emi!W$34</f>
        <v>2087.9046573424462</v>
      </c>
      <c r="X79" s="102">
        <f>TrRoad_emi!X$34</f>
        <v>2206.3856528294573</v>
      </c>
      <c r="Y79" s="102">
        <f>TrRoad_emi!Y$34</f>
        <v>2132.2669604503621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1964.1310113712548</v>
      </c>
      <c r="C80" s="102">
        <f>TrRoad_emi!C$40</f>
        <v>2120.5955757567112</v>
      </c>
      <c r="D80" s="102">
        <f>TrRoad_emi!D$40</f>
        <v>2350.8306087360324</v>
      </c>
      <c r="E80" s="102">
        <f>TrRoad_emi!E$40</f>
        <v>2463.0981375300717</v>
      </c>
      <c r="F80" s="102">
        <f>TrRoad_emi!F$40</f>
        <v>2740.830671558404</v>
      </c>
      <c r="G80" s="102">
        <f>TrRoad_emi!G$40</f>
        <v>3499.8596693612444</v>
      </c>
      <c r="H80" s="102">
        <f>TrRoad_emi!H$40</f>
        <v>3837.7818983171928</v>
      </c>
      <c r="I80" s="102">
        <f>TrRoad_emi!I$40</f>
        <v>3762.5126179146514</v>
      </c>
      <c r="J80" s="102">
        <f>TrRoad_emi!J$40</f>
        <v>3750.1870865354349</v>
      </c>
      <c r="K80" s="102">
        <f>TrRoad_emi!K$40</f>
        <v>3360.1323198465057</v>
      </c>
      <c r="L80" s="102">
        <f>TrRoad_emi!L$40</f>
        <v>3007.4045149959597</v>
      </c>
      <c r="M80" s="102">
        <f>TrRoad_emi!M$40</f>
        <v>2569.3712610999637</v>
      </c>
      <c r="N80" s="102">
        <f>TrRoad_emi!N$40</f>
        <v>2177.4701667272739</v>
      </c>
      <c r="O80" s="102">
        <f>TrRoad_emi!O$40</f>
        <v>1785.4152625729407</v>
      </c>
      <c r="P80" s="102">
        <f>TrRoad_emi!P$40</f>
        <v>2390.0654201064972</v>
      </c>
      <c r="Q80" s="102">
        <f>TrRoad_emi!Q$40</f>
        <v>2848.0624656636683</v>
      </c>
      <c r="R80" s="102">
        <f>TrRoad_emi!R$40</f>
        <v>2707.3819318466926</v>
      </c>
      <c r="S80" s="102">
        <f>TrRoad_emi!S$40</f>
        <v>2898.5774423074176</v>
      </c>
      <c r="T80" s="102">
        <f>TrRoad_emi!T$40</f>
        <v>3076.8644491217906</v>
      </c>
      <c r="U80" s="102">
        <f>TrRoad_emi!U$40</f>
        <v>3028.0811698552975</v>
      </c>
      <c r="V80" s="102">
        <f>TrRoad_emi!V$40</f>
        <v>2214.5866532829095</v>
      </c>
      <c r="W80" s="102">
        <f>TrRoad_emi!W$40</f>
        <v>2867.2379007469285</v>
      </c>
      <c r="X80" s="102">
        <f>TrRoad_emi!X$40</f>
        <v>3228.4318106198207</v>
      </c>
      <c r="Y80" s="102">
        <f>TrRoad_emi!Y$40</f>
        <v>2417.3203190028271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43.348587003210262</v>
      </c>
      <c r="C81" s="110">
        <f>TrRail_emi!C$15</f>
        <v>37.618181832130787</v>
      </c>
      <c r="D81" s="110">
        <f>TrRail_emi!D$15</f>
        <v>36.055720652750153</v>
      </c>
      <c r="E81" s="110">
        <f>TrRail_emi!E$15</f>
        <v>31.678571013540321</v>
      </c>
      <c r="F81" s="110">
        <f>TrRail_emi!F$15</f>
        <v>32.236273276973854</v>
      </c>
      <c r="G81" s="110">
        <f>TrRail_emi!G$15</f>
        <v>31.947574207683004</v>
      </c>
      <c r="H81" s="110">
        <f>TrRail_emi!H$15</f>
        <v>36.819670245189442</v>
      </c>
      <c r="I81" s="110">
        <f>TrRail_emi!I$15</f>
        <v>36.23502440230908</v>
      </c>
      <c r="J81" s="110">
        <f>TrRail_emi!J$15</f>
        <v>32.984805226583994</v>
      </c>
      <c r="K81" s="110">
        <f>TrRail_emi!K$15</f>
        <v>23.733575276206064</v>
      </c>
      <c r="L81" s="110">
        <f>TrRail_emi!L$15</f>
        <v>23.672571375071943</v>
      </c>
      <c r="M81" s="110">
        <f>TrRail_emi!M$15</f>
        <v>9.8394114083539144</v>
      </c>
      <c r="N81" s="110">
        <f>TrRail_emi!N$15</f>
        <v>18.486442533146636</v>
      </c>
      <c r="O81" s="110">
        <f>TrRail_emi!O$15</f>
        <v>21.944573641071141</v>
      </c>
      <c r="P81" s="110">
        <f>TrRail_emi!P$15</f>
        <v>23.461049175046316</v>
      </c>
      <c r="Q81" s="110">
        <f>TrRail_emi!Q$15</f>
        <v>20.320294798710439</v>
      </c>
      <c r="R81" s="110">
        <f>TrRail_emi!R$15</f>
        <v>18.185039279565348</v>
      </c>
      <c r="S81" s="110">
        <f>TrRail_emi!S$15</f>
        <v>22.017023373007991</v>
      </c>
      <c r="T81" s="110">
        <f>TrRail_emi!T$15</f>
        <v>24.371693923887914</v>
      </c>
      <c r="U81" s="110">
        <f>TrRail_emi!U$15</f>
        <v>22.580869221969863</v>
      </c>
      <c r="V81" s="110">
        <f>TrRail_emi!V$15</f>
        <v>29.060507110348308</v>
      </c>
      <c r="W81" s="110">
        <f>TrRail_emi!W$15</f>
        <v>30.798696574595724</v>
      </c>
      <c r="X81" s="110">
        <f>TrRail_emi!X$15</f>
        <v>35.632892328099793</v>
      </c>
      <c r="Y81" s="110">
        <f>TrRail_emi!Y$15</f>
        <v>24.265360942883373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14.322559144122692</v>
      </c>
      <c r="C82" s="110">
        <f t="shared" si="67"/>
        <v>15.20195347739007</v>
      </c>
      <c r="D82" s="110">
        <f t="shared" si="67"/>
        <v>16.994270956956775</v>
      </c>
      <c r="E82" s="110">
        <f t="shared" si="67"/>
        <v>13.753594716646745</v>
      </c>
      <c r="F82" s="110">
        <f t="shared" si="67"/>
        <v>11.773584043316969</v>
      </c>
      <c r="G82" s="110">
        <f t="shared" si="67"/>
        <v>14.639246048126257</v>
      </c>
      <c r="H82" s="110">
        <f t="shared" si="67"/>
        <v>17.592356335148949</v>
      </c>
      <c r="I82" s="110">
        <f t="shared" si="67"/>
        <v>13.264305065516456</v>
      </c>
      <c r="J82" s="110">
        <f t="shared" si="67"/>
        <v>12.855739564804326</v>
      </c>
      <c r="K82" s="110">
        <f t="shared" si="67"/>
        <v>11.353389582271495</v>
      </c>
      <c r="L82" s="110">
        <f t="shared" si="67"/>
        <v>12.648159571571862</v>
      </c>
      <c r="M82" s="110">
        <f t="shared" si="67"/>
        <v>12.96184177663133</v>
      </c>
      <c r="N82" s="110">
        <f t="shared" si="67"/>
        <v>10.640915295187297</v>
      </c>
      <c r="O82" s="110">
        <f t="shared" si="67"/>
        <v>11.451177838466176</v>
      </c>
      <c r="P82" s="110">
        <f t="shared" si="67"/>
        <v>9.8601033393547262</v>
      </c>
      <c r="Q82" s="110">
        <f t="shared" si="67"/>
        <v>10.005497871092691</v>
      </c>
      <c r="R82" s="110">
        <f t="shared" si="67"/>
        <v>10.318522884731099</v>
      </c>
      <c r="S82" s="110">
        <f t="shared" si="67"/>
        <v>12.127316477240319</v>
      </c>
      <c r="T82" s="110">
        <f t="shared" si="67"/>
        <v>14.217087091716934</v>
      </c>
      <c r="U82" s="110">
        <f t="shared" si="67"/>
        <v>12.614918906466835</v>
      </c>
      <c r="V82" s="110">
        <f t="shared" si="67"/>
        <v>15.928295597703917</v>
      </c>
      <c r="W82" s="110">
        <f t="shared" ref="W82:Y82" si="68">W83+W84+W85</f>
        <v>25.651091565456909</v>
      </c>
      <c r="X82" s="110">
        <f t="shared" si="68"/>
        <v>35.727850242053719</v>
      </c>
      <c r="Y82" s="110">
        <f t="shared" si="68"/>
        <v>25.869378326599104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10.771498677576052</v>
      </c>
      <c r="C84" s="102">
        <f>TrAvia_emi!C$12</f>
        <v>11.912596561166978</v>
      </c>
      <c r="D84" s="102">
        <f>TrAvia_emi!D$12</f>
        <v>15.379369523883422</v>
      </c>
      <c r="E84" s="102">
        <f>TrAvia_emi!E$12</f>
        <v>12.138731819213268</v>
      </c>
      <c r="F84" s="102">
        <f>TrAvia_emi!F$12</f>
        <v>10.712057211199408</v>
      </c>
      <c r="G84" s="102">
        <f>TrAvia_emi!G$12</f>
        <v>13.20801339978911</v>
      </c>
      <c r="H84" s="102">
        <f>TrAvia_emi!H$12</f>
        <v>9.8671679136309258</v>
      </c>
      <c r="I84" s="102">
        <f>TrAvia_emi!I$12</f>
        <v>10.59218976081198</v>
      </c>
      <c r="J84" s="102">
        <f>TrAvia_emi!J$12</f>
        <v>9.1752584153439898</v>
      </c>
      <c r="K84" s="102">
        <f>TrAvia_emi!K$12</f>
        <v>7.9476361692355244</v>
      </c>
      <c r="L84" s="102">
        <f>TrAvia_emi!L$12</f>
        <v>8.5884083107451055</v>
      </c>
      <c r="M84" s="102">
        <f>TrAvia_emi!M$12</f>
        <v>11.122422687375675</v>
      </c>
      <c r="N84" s="102">
        <f>TrAvia_emi!N$12</f>
        <v>8.7022172772205302</v>
      </c>
      <c r="O84" s="102">
        <f>TrAvia_emi!O$12</f>
        <v>9.2693333193387168</v>
      </c>
      <c r="P84" s="102">
        <f>TrAvia_emi!P$12</f>
        <v>8.8246839438464271</v>
      </c>
      <c r="Q84" s="102">
        <f>TrAvia_emi!Q$12</f>
        <v>8.9653848715311923</v>
      </c>
      <c r="R84" s="102">
        <f>TrAvia_emi!R$12</f>
        <v>8.6398679865098664</v>
      </c>
      <c r="S84" s="102">
        <f>TrAvia_emi!S$12</f>
        <v>10.330792179117449</v>
      </c>
      <c r="T84" s="102">
        <f>TrAvia_emi!T$12</f>
        <v>12.284940346497274</v>
      </c>
      <c r="U84" s="102">
        <f>TrAvia_emi!U$12</f>
        <v>9.8549705628165771</v>
      </c>
      <c r="V84" s="102">
        <f>TrAvia_emi!V$12</f>
        <v>11.099995262386846</v>
      </c>
      <c r="W84" s="102">
        <f>TrAvia_emi!W$12</f>
        <v>15.459606296855092</v>
      </c>
      <c r="X84" s="102">
        <f>TrAvia_emi!X$12</f>
        <v>16.778778402421903</v>
      </c>
      <c r="Y84" s="102">
        <f>TrAvia_emi!Y$12</f>
        <v>15.985765211675188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3.5510604665466405</v>
      </c>
      <c r="C85" s="102">
        <f>TrAvia_emi!C$13</f>
        <v>3.2893569162230918</v>
      </c>
      <c r="D85" s="102">
        <f>TrAvia_emi!D$13</f>
        <v>1.6149014330733533</v>
      </c>
      <c r="E85" s="102">
        <f>TrAvia_emi!E$13</f>
        <v>1.6148628974334769</v>
      </c>
      <c r="F85" s="102">
        <f>TrAvia_emi!F$13</f>
        <v>1.0615268321175608</v>
      </c>
      <c r="G85" s="102">
        <f>TrAvia_emi!G$13</f>
        <v>1.4312326483371471</v>
      </c>
      <c r="H85" s="102">
        <f>TrAvia_emi!H$13</f>
        <v>7.7251884215180233</v>
      </c>
      <c r="I85" s="102">
        <f>TrAvia_emi!I$13</f>
        <v>2.672115304704477</v>
      </c>
      <c r="J85" s="102">
        <f>TrAvia_emi!J$13</f>
        <v>3.6804811494603364</v>
      </c>
      <c r="K85" s="102">
        <f>TrAvia_emi!K$13</f>
        <v>3.4057534130359701</v>
      </c>
      <c r="L85" s="102">
        <f>TrAvia_emi!L$13</f>
        <v>4.0597512608267561</v>
      </c>
      <c r="M85" s="102">
        <f>TrAvia_emi!M$13</f>
        <v>1.8394190892556546</v>
      </c>
      <c r="N85" s="102">
        <f>TrAvia_emi!N$13</f>
        <v>1.9386980179667659</v>
      </c>
      <c r="O85" s="102">
        <f>TrAvia_emi!O$13</f>
        <v>2.1818445191274596</v>
      </c>
      <c r="P85" s="102">
        <f>TrAvia_emi!P$13</f>
        <v>1.0354193955082998</v>
      </c>
      <c r="Q85" s="102">
        <f>TrAvia_emi!Q$13</f>
        <v>1.0401129995614986</v>
      </c>
      <c r="R85" s="102">
        <f>TrAvia_emi!R$13</f>
        <v>1.6786548982212333</v>
      </c>
      <c r="S85" s="102">
        <f>TrAvia_emi!S$13</f>
        <v>1.7965242981228695</v>
      </c>
      <c r="T85" s="102">
        <f>TrAvia_emi!T$13</f>
        <v>1.9321467452196595</v>
      </c>
      <c r="U85" s="102">
        <f>TrAvia_emi!U$13</f>
        <v>2.7599483436502581</v>
      </c>
      <c r="V85" s="102">
        <f>TrAvia_emi!V$13</f>
        <v>4.8283003353170706</v>
      </c>
      <c r="W85" s="102">
        <f>TrAvia_emi!W$13</f>
        <v>10.191485268601816</v>
      </c>
      <c r="X85" s="102">
        <f>TrAvia_emi!X$13</f>
        <v>18.949071839631813</v>
      </c>
      <c r="Y85" s="102">
        <f>TrAvia_emi!Y$13</f>
        <v>9.8836131149239179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3.1861814399999999</v>
      </c>
      <c r="C86" s="110">
        <f t="shared" si="69"/>
        <v>3.1861814399999999</v>
      </c>
      <c r="D86" s="110">
        <f t="shared" si="69"/>
        <v>6.3726296399999995</v>
      </c>
      <c r="E86" s="110">
        <f t="shared" si="69"/>
        <v>28.6767</v>
      </c>
      <c r="F86" s="110">
        <f t="shared" si="69"/>
        <v>6.3726296399999995</v>
      </c>
      <c r="G86" s="110">
        <f t="shared" si="69"/>
        <v>3.1861814399999999</v>
      </c>
      <c r="H86" s="110">
        <f t="shared" si="69"/>
        <v>3.1861814399999999</v>
      </c>
      <c r="I86" s="110">
        <f t="shared" si="69"/>
        <v>3.1122889199999992</v>
      </c>
      <c r="J86" s="110">
        <f t="shared" si="69"/>
        <v>3.1122889199999992</v>
      </c>
      <c r="K86" s="110">
        <f t="shared" si="69"/>
        <v>3.1122889199999992</v>
      </c>
      <c r="L86" s="110">
        <f t="shared" si="69"/>
        <v>3.1122889199999992</v>
      </c>
      <c r="M86" s="110">
        <f t="shared" si="69"/>
        <v>3.1122889199999992</v>
      </c>
      <c r="N86" s="110">
        <f t="shared" si="69"/>
        <v>18.673200000000005</v>
      </c>
      <c r="O86" s="110">
        <f t="shared" si="69"/>
        <v>15.560911079999999</v>
      </c>
      <c r="P86" s="110">
        <f t="shared" si="69"/>
        <v>18.673200000000005</v>
      </c>
      <c r="Q86" s="110">
        <f t="shared" si="69"/>
        <v>18.673200000000005</v>
      </c>
      <c r="R86" s="110">
        <f t="shared" ref="R86:V86" si="70">R87+R88</f>
        <v>15.894361080000003</v>
      </c>
      <c r="S86" s="110">
        <f t="shared" si="70"/>
        <v>15.894361080000003</v>
      </c>
      <c r="T86" s="110">
        <f t="shared" si="70"/>
        <v>15.894361080000003</v>
      </c>
      <c r="U86" s="110">
        <f t="shared" si="70"/>
        <v>15.894361080000003</v>
      </c>
      <c r="V86" s="110">
        <f t="shared" si="70"/>
        <v>12.71564892</v>
      </c>
      <c r="W86" s="110">
        <f t="shared" ref="W86:Y86" si="71">W87+W88</f>
        <v>9.5366700000000009</v>
      </c>
      <c r="X86" s="110">
        <f t="shared" si="71"/>
        <v>12.71564892</v>
      </c>
      <c r="Y86" s="110">
        <f t="shared" si="71"/>
        <v>9.5366700000000009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3.1861814399999999</v>
      </c>
      <c r="C88" s="169">
        <f>TrNavi_emi!C$5</f>
        <v>3.1861814399999999</v>
      </c>
      <c r="D88" s="169">
        <f>TrNavi_emi!D$5</f>
        <v>6.3726296399999995</v>
      </c>
      <c r="E88" s="169">
        <f>TrNavi_emi!E$5</f>
        <v>28.6767</v>
      </c>
      <c r="F88" s="169">
        <f>TrNavi_emi!F$5</f>
        <v>6.3726296399999995</v>
      </c>
      <c r="G88" s="169">
        <f>TrNavi_emi!G$5</f>
        <v>3.1861814399999999</v>
      </c>
      <c r="H88" s="169">
        <f>TrNavi_emi!H$5</f>
        <v>3.1861814399999999</v>
      </c>
      <c r="I88" s="169">
        <f>TrNavi_emi!I$5</f>
        <v>3.1122889199999992</v>
      </c>
      <c r="J88" s="169">
        <f>TrNavi_emi!J$5</f>
        <v>3.1122889199999992</v>
      </c>
      <c r="K88" s="169">
        <f>TrNavi_emi!K$5</f>
        <v>3.1122889199999992</v>
      </c>
      <c r="L88" s="169">
        <f>TrNavi_emi!L$5</f>
        <v>3.1122889199999992</v>
      </c>
      <c r="M88" s="169">
        <f>TrNavi_emi!M$5</f>
        <v>3.1122889199999992</v>
      </c>
      <c r="N88" s="169">
        <f>TrNavi_emi!N$5</f>
        <v>18.673200000000005</v>
      </c>
      <c r="O88" s="169">
        <f>TrNavi_emi!O$5</f>
        <v>15.560911079999999</v>
      </c>
      <c r="P88" s="169">
        <f>TrNavi_emi!P$5</f>
        <v>18.673200000000005</v>
      </c>
      <c r="Q88" s="169">
        <f>TrNavi_emi!Q$5</f>
        <v>18.673200000000005</v>
      </c>
      <c r="R88" s="169">
        <f>TrNavi_emi!R$5</f>
        <v>15.894361080000003</v>
      </c>
      <c r="S88" s="169">
        <f>TrNavi_emi!S$5</f>
        <v>15.894361080000003</v>
      </c>
      <c r="T88" s="169">
        <f>TrNavi_emi!T$5</f>
        <v>15.894361080000003</v>
      </c>
      <c r="U88" s="169">
        <f>TrNavi_emi!U$5</f>
        <v>15.894361080000003</v>
      </c>
      <c r="V88" s="169">
        <f>TrNavi_emi!V$5</f>
        <v>12.71564892</v>
      </c>
      <c r="W88" s="169">
        <f>TrNavi_emi!W$5</f>
        <v>9.5366700000000009</v>
      </c>
      <c r="X88" s="169">
        <f>TrNavi_emi!X$5</f>
        <v>12.71564892</v>
      </c>
      <c r="Y88" s="169">
        <f>TrNavi_emi!Y$5</f>
        <v>9.5366700000000009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0.80199323392143385</v>
      </c>
      <c r="C97" s="139">
        <f t="shared" si="75"/>
        <v>0.80046948435309917</v>
      </c>
      <c r="D97" s="139">
        <f t="shared" si="75"/>
        <v>0.7981722175915632</v>
      </c>
      <c r="E97" s="139">
        <f t="shared" si="75"/>
        <v>0.79911324936019323</v>
      </c>
      <c r="F97" s="139">
        <f t="shared" si="75"/>
        <v>0.79487256211068513</v>
      </c>
      <c r="G97" s="139">
        <f t="shared" si="75"/>
        <v>0.78778520648100547</v>
      </c>
      <c r="H97" s="139">
        <f t="shared" si="75"/>
        <v>0.79548559516987638</v>
      </c>
      <c r="I97" s="139">
        <f t="shared" si="75"/>
        <v>0.80306864890047924</v>
      </c>
      <c r="J97" s="139">
        <f t="shared" si="75"/>
        <v>0.81158206448613035</v>
      </c>
      <c r="K97" s="139">
        <f t="shared" si="75"/>
        <v>0.81520379018975786</v>
      </c>
      <c r="L97" s="139">
        <f t="shared" si="75"/>
        <v>0.81557620393588837</v>
      </c>
      <c r="M97" s="139">
        <f t="shared" si="75"/>
        <v>0.81003163165007741</v>
      </c>
      <c r="N97" s="139">
        <f t="shared" si="75"/>
        <v>0.81547895940336346</v>
      </c>
      <c r="O97" s="139">
        <f t="shared" si="75"/>
        <v>0.81553452135892068</v>
      </c>
      <c r="P97" s="139">
        <f t="shared" si="75"/>
        <v>0.81122693005036617</v>
      </c>
      <c r="Q97" s="139">
        <f t="shared" si="75"/>
        <v>0.80645640435851706</v>
      </c>
      <c r="R97" s="139">
        <f t="shared" si="75"/>
        <v>0.79867816260477575</v>
      </c>
      <c r="S97" s="139">
        <f t="shared" si="75"/>
        <v>0.7974647567534765</v>
      </c>
      <c r="T97" s="139">
        <f t="shared" si="75"/>
        <v>0.79295830636187048</v>
      </c>
      <c r="U97" s="139">
        <f t="shared" si="75"/>
        <v>0.78877975095504016</v>
      </c>
      <c r="V97" s="139">
        <f t="shared" si="75"/>
        <v>0.88773458578380693</v>
      </c>
      <c r="W97" s="139">
        <f t="shared" si="75"/>
        <v>0.88233073599586365</v>
      </c>
      <c r="X97" s="139">
        <f t="shared" si="75"/>
        <v>0.8188534366061978</v>
      </c>
      <c r="Y97" s="139">
        <f t="shared" si="75"/>
        <v>0.78731537941161722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3.4654143814844755E-3</v>
      </c>
      <c r="C98" s="140">
        <f t="shared" si="76"/>
        <v>3.5358344527698375E-3</v>
      </c>
      <c r="D98" s="140">
        <f t="shared" si="76"/>
        <v>3.670535704271716E-3</v>
      </c>
      <c r="E98" s="140">
        <f t="shared" si="76"/>
        <v>3.8352370206210062E-3</v>
      </c>
      <c r="F98" s="140">
        <f t="shared" si="76"/>
        <v>4.1285829402388395E-3</v>
      </c>
      <c r="G98" s="140">
        <f t="shared" si="76"/>
        <v>4.4000850605764559E-3</v>
      </c>
      <c r="H98" s="140">
        <f t="shared" si="76"/>
        <v>4.511125515887152E-3</v>
      </c>
      <c r="I98" s="140">
        <f t="shared" si="76"/>
        <v>4.7008246249237544E-3</v>
      </c>
      <c r="J98" s="140">
        <f t="shared" si="76"/>
        <v>4.9094697329821694E-3</v>
      </c>
      <c r="K98" s="140">
        <f t="shared" si="76"/>
        <v>5.0156897125677273E-3</v>
      </c>
      <c r="L98" s="140">
        <f t="shared" si="76"/>
        <v>5.1373933918324663E-3</v>
      </c>
      <c r="M98" s="140">
        <f t="shared" si="76"/>
        <v>5.3055157076525904E-3</v>
      </c>
      <c r="N98" s="140">
        <f t="shared" si="76"/>
        <v>5.4382880771636543E-3</v>
      </c>
      <c r="O98" s="140">
        <f t="shared" si="76"/>
        <v>5.6309702899712917E-3</v>
      </c>
      <c r="P98" s="140">
        <f t="shared" si="76"/>
        <v>5.6541517205014455E-3</v>
      </c>
      <c r="Q98" s="140">
        <f t="shared" si="76"/>
        <v>5.5141148279487318E-3</v>
      </c>
      <c r="R98" s="140">
        <f t="shared" si="76"/>
        <v>5.2828553490284046E-3</v>
      </c>
      <c r="S98" s="140">
        <f t="shared" si="76"/>
        <v>5.2603801732331208E-3</v>
      </c>
      <c r="T98" s="140">
        <f t="shared" si="76"/>
        <v>5.2625214113822269E-3</v>
      </c>
      <c r="U98" s="140">
        <f t="shared" si="76"/>
        <v>5.1800551291038459E-3</v>
      </c>
      <c r="V98" s="140">
        <f t="shared" si="76"/>
        <v>6.0374605920158787E-3</v>
      </c>
      <c r="W98" s="140">
        <f t="shared" si="76"/>
        <v>5.8624857406318637E-3</v>
      </c>
      <c r="X98" s="140">
        <f t="shared" si="76"/>
        <v>5.0385935842266628E-3</v>
      </c>
      <c r="Y98" s="140">
        <f t="shared" si="76"/>
        <v>4.6114057831953756E-3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0.568092412902928</v>
      </c>
      <c r="C99" s="140">
        <f t="shared" si="77"/>
        <v>0.56796450379488572</v>
      </c>
      <c r="D99" s="140">
        <f t="shared" si="77"/>
        <v>0.56421098609438314</v>
      </c>
      <c r="E99" s="140">
        <f t="shared" si="77"/>
        <v>0.57062734525760228</v>
      </c>
      <c r="F99" s="140">
        <f t="shared" si="77"/>
        <v>0.57677202127630511</v>
      </c>
      <c r="G99" s="140">
        <f t="shared" si="77"/>
        <v>0.57550522176917462</v>
      </c>
      <c r="H99" s="140">
        <f t="shared" si="77"/>
        <v>0.58907864445794633</v>
      </c>
      <c r="I99" s="140">
        <f t="shared" si="77"/>
        <v>0.60582564105680214</v>
      </c>
      <c r="J99" s="140">
        <f t="shared" si="77"/>
        <v>0.60793973512948507</v>
      </c>
      <c r="K99" s="140">
        <f t="shared" si="77"/>
        <v>0.6234755384879217</v>
      </c>
      <c r="L99" s="140">
        <f t="shared" si="77"/>
        <v>0.61725308793681388</v>
      </c>
      <c r="M99" s="140">
        <f t="shared" si="77"/>
        <v>0.61198895404608933</v>
      </c>
      <c r="N99" s="140">
        <f t="shared" si="77"/>
        <v>0.60920648531292798</v>
      </c>
      <c r="O99" s="140">
        <f t="shared" si="77"/>
        <v>0.60852700719318309</v>
      </c>
      <c r="P99" s="140">
        <f t="shared" si="77"/>
        <v>0.60370097098478304</v>
      </c>
      <c r="Q99" s="140">
        <f t="shared" si="77"/>
        <v>0.60392379091207082</v>
      </c>
      <c r="R99" s="140">
        <f t="shared" si="77"/>
        <v>0.60359610153793664</v>
      </c>
      <c r="S99" s="140">
        <f t="shared" si="77"/>
        <v>0.60847945331985276</v>
      </c>
      <c r="T99" s="140">
        <f t="shared" si="77"/>
        <v>0.6082362673231001</v>
      </c>
      <c r="U99" s="140">
        <f t="shared" si="77"/>
        <v>0.61212495373907572</v>
      </c>
      <c r="V99" s="140">
        <f t="shared" si="77"/>
        <v>0.73859573536697376</v>
      </c>
      <c r="W99" s="140">
        <f t="shared" si="77"/>
        <v>0.74222713122214201</v>
      </c>
      <c r="X99" s="140">
        <f t="shared" si="77"/>
        <v>0.67524595508372709</v>
      </c>
      <c r="Y99" s="140">
        <f t="shared" si="77"/>
        <v>0.65641156097526732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0.23043540663702136</v>
      </c>
      <c r="C100" s="140">
        <f t="shared" si="78"/>
        <v>0.22896914610544364</v>
      </c>
      <c r="D100" s="140">
        <f t="shared" si="78"/>
        <v>0.23029069579290831</v>
      </c>
      <c r="E100" s="140">
        <f t="shared" si="78"/>
        <v>0.2246506670819699</v>
      </c>
      <c r="F100" s="140">
        <f t="shared" si="78"/>
        <v>0.2139719578941412</v>
      </c>
      <c r="G100" s="140">
        <f t="shared" si="78"/>
        <v>0.20787989965125442</v>
      </c>
      <c r="H100" s="140">
        <f t="shared" si="78"/>
        <v>0.20189582519604285</v>
      </c>
      <c r="I100" s="140">
        <f t="shared" si="78"/>
        <v>0.19254218321875344</v>
      </c>
      <c r="J100" s="140">
        <f t="shared" si="78"/>
        <v>0.19873285962366316</v>
      </c>
      <c r="K100" s="140">
        <f t="shared" si="78"/>
        <v>0.18671256198926842</v>
      </c>
      <c r="L100" s="140">
        <f t="shared" si="78"/>
        <v>0.19318572260724201</v>
      </c>
      <c r="M100" s="140">
        <f t="shared" si="78"/>
        <v>0.19273716189633538</v>
      </c>
      <c r="N100" s="140">
        <f t="shared" si="78"/>
        <v>0.20083418601327177</v>
      </c>
      <c r="O100" s="140">
        <f t="shared" si="78"/>
        <v>0.20137654387576615</v>
      </c>
      <c r="P100" s="140">
        <f t="shared" si="78"/>
        <v>0.20187180734508173</v>
      </c>
      <c r="Q100" s="140">
        <f t="shared" si="78"/>
        <v>0.19701849861849743</v>
      </c>
      <c r="R100" s="140">
        <f t="shared" si="78"/>
        <v>0.1897992057178107</v>
      </c>
      <c r="S100" s="140">
        <f t="shared" si="78"/>
        <v>0.18372492326039075</v>
      </c>
      <c r="T100" s="140">
        <f t="shared" si="78"/>
        <v>0.17945951762738818</v>
      </c>
      <c r="U100" s="140">
        <f t="shared" si="78"/>
        <v>0.17147474208686064</v>
      </c>
      <c r="V100" s="140">
        <f t="shared" si="78"/>
        <v>0.14310138982481721</v>
      </c>
      <c r="W100" s="140">
        <f t="shared" si="78"/>
        <v>0.13424111903308972</v>
      </c>
      <c r="X100" s="140">
        <f t="shared" si="78"/>
        <v>0.13856888793824404</v>
      </c>
      <c r="Y100" s="140">
        <f t="shared" si="78"/>
        <v>0.1262924126531545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0.15085572237827211</v>
      </c>
      <c r="C101" s="124">
        <f t="shared" si="79"/>
        <v>0.15467132091218022</v>
      </c>
      <c r="D101" s="124">
        <f t="shared" si="79"/>
        <v>0.15923423229579492</v>
      </c>
      <c r="E101" s="124">
        <f t="shared" si="79"/>
        <v>0.15373805741077559</v>
      </c>
      <c r="F101" s="124">
        <f t="shared" si="79"/>
        <v>0.14777133787509009</v>
      </c>
      <c r="G101" s="124">
        <f t="shared" si="79"/>
        <v>0.14216678595370741</v>
      </c>
      <c r="H101" s="124">
        <f t="shared" si="79"/>
        <v>0.13445834069525636</v>
      </c>
      <c r="I101" s="124">
        <f t="shared" si="79"/>
        <v>0.12389182649572983</v>
      </c>
      <c r="J101" s="124">
        <f t="shared" si="79"/>
        <v>0.11962921146599458</v>
      </c>
      <c r="K101" s="124">
        <f t="shared" si="79"/>
        <v>0.1214491287193547</v>
      </c>
      <c r="L101" s="124">
        <f t="shared" si="79"/>
        <v>0.11935476574422278</v>
      </c>
      <c r="M101" s="124">
        <f t="shared" si="79"/>
        <v>0.12025104492071342</v>
      </c>
      <c r="N101" s="124">
        <f t="shared" si="79"/>
        <v>0.12121176173807496</v>
      </c>
      <c r="O101" s="124">
        <f t="shared" si="79"/>
        <v>0.12156084809318368</v>
      </c>
      <c r="P101" s="124">
        <f t="shared" si="79"/>
        <v>0.12088755205853119</v>
      </c>
      <c r="Q101" s="124">
        <f t="shared" si="79"/>
        <v>0.11674852809667131</v>
      </c>
      <c r="R101" s="124">
        <f t="shared" si="79"/>
        <v>0.11411961148250763</v>
      </c>
      <c r="S101" s="124">
        <f t="shared" si="79"/>
        <v>0.10812696139706239</v>
      </c>
      <c r="T101" s="124">
        <f t="shared" si="79"/>
        <v>9.965936069137328E-2</v>
      </c>
      <c r="U101" s="124">
        <f t="shared" si="79"/>
        <v>9.6423152916663424E-2</v>
      </c>
      <c r="V101" s="124">
        <f t="shared" si="79"/>
        <v>7.7405748208309588E-2</v>
      </c>
      <c r="W101" s="124">
        <f t="shared" si="79"/>
        <v>7.9314175745000992E-2</v>
      </c>
      <c r="X101" s="124">
        <f t="shared" si="79"/>
        <v>9.4314595831662448E-2</v>
      </c>
      <c r="Y101" s="124">
        <f t="shared" si="79"/>
        <v>0.11066834557658391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3.161536381898062E-2</v>
      </c>
      <c r="C102" s="140">
        <f t="shared" si="80"/>
        <v>3.16205443754147E-2</v>
      </c>
      <c r="D102" s="140">
        <f t="shared" si="80"/>
        <v>3.0903651419770101E-2</v>
      </c>
      <c r="E102" s="140">
        <f t="shared" si="80"/>
        <v>3.0214415907320061E-2</v>
      </c>
      <c r="F102" s="140">
        <f t="shared" si="80"/>
        <v>2.8415306925523881E-2</v>
      </c>
      <c r="G102" s="140">
        <f t="shared" si="80"/>
        <v>2.7410557796548139E-2</v>
      </c>
      <c r="H102" s="140">
        <f t="shared" si="80"/>
        <v>2.5707092522173208E-2</v>
      </c>
      <c r="I102" s="140">
        <f t="shared" si="80"/>
        <v>2.5604909754374915E-2</v>
      </c>
      <c r="J102" s="140">
        <f t="shared" si="80"/>
        <v>2.6285330645817007E-2</v>
      </c>
      <c r="K102" s="140">
        <f t="shared" si="80"/>
        <v>2.8929558407668109E-2</v>
      </c>
      <c r="L102" s="140">
        <f t="shared" si="80"/>
        <v>2.9210817299643119E-2</v>
      </c>
      <c r="M102" s="140">
        <f t="shared" si="80"/>
        <v>2.932703867662639E-2</v>
      </c>
      <c r="N102" s="140">
        <f t="shared" si="80"/>
        <v>2.9394994523341014E-2</v>
      </c>
      <c r="O102" s="140">
        <f t="shared" si="80"/>
        <v>2.9478631544693764E-2</v>
      </c>
      <c r="P102" s="140">
        <f t="shared" si="80"/>
        <v>3.2284132042973458E-2</v>
      </c>
      <c r="Q102" s="140">
        <f t="shared" si="80"/>
        <v>3.2590952046821553E-2</v>
      </c>
      <c r="R102" s="140">
        <f t="shared" si="80"/>
        <v>3.261704491988382E-2</v>
      </c>
      <c r="S102" s="140">
        <f t="shared" si="80"/>
        <v>3.0558247511073743E-2</v>
      </c>
      <c r="T102" s="140">
        <f t="shared" si="80"/>
        <v>2.5754473877285224E-2</v>
      </c>
      <c r="U102" s="140">
        <f t="shared" si="80"/>
        <v>2.5635304341532671E-2</v>
      </c>
      <c r="V102" s="140">
        <f t="shared" si="80"/>
        <v>2.1318645386525031E-2</v>
      </c>
      <c r="W102" s="140">
        <f t="shared" si="80"/>
        <v>1.9457825808008235E-2</v>
      </c>
      <c r="X102" s="140">
        <f t="shared" si="80"/>
        <v>2.1579012671210183E-2</v>
      </c>
      <c r="Y102" s="140">
        <f t="shared" si="80"/>
        <v>2.3478812647359008E-2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0.11924035855929149</v>
      </c>
      <c r="C103" s="140">
        <f t="shared" si="81"/>
        <v>0.12305077653676551</v>
      </c>
      <c r="D103" s="140">
        <f t="shared" si="81"/>
        <v>0.12833058087602481</v>
      </c>
      <c r="E103" s="140">
        <f t="shared" si="81"/>
        <v>0.12352364150345554</v>
      </c>
      <c r="F103" s="140">
        <f t="shared" si="81"/>
        <v>0.11935603094956622</v>
      </c>
      <c r="G103" s="140">
        <f t="shared" si="81"/>
        <v>0.11475622815715927</v>
      </c>
      <c r="H103" s="140">
        <f t="shared" si="81"/>
        <v>0.10875124817308315</v>
      </c>
      <c r="I103" s="140">
        <f t="shared" si="81"/>
        <v>9.828691674135491E-2</v>
      </c>
      <c r="J103" s="140">
        <f t="shared" si="81"/>
        <v>9.3343880820177569E-2</v>
      </c>
      <c r="K103" s="140">
        <f t="shared" si="81"/>
        <v>9.2519570311686589E-2</v>
      </c>
      <c r="L103" s="140">
        <f t="shared" si="81"/>
        <v>9.0143948444579666E-2</v>
      </c>
      <c r="M103" s="140">
        <f t="shared" si="81"/>
        <v>9.092400624408703E-2</v>
      </c>
      <c r="N103" s="140">
        <f t="shared" si="81"/>
        <v>9.1816767214733946E-2</v>
      </c>
      <c r="O103" s="140">
        <f t="shared" si="81"/>
        <v>9.2082216548489915E-2</v>
      </c>
      <c r="P103" s="140">
        <f t="shared" si="81"/>
        <v>8.8603420015557738E-2</v>
      </c>
      <c r="Q103" s="140">
        <f t="shared" si="81"/>
        <v>8.4157576049849775E-2</v>
      </c>
      <c r="R103" s="140">
        <f t="shared" si="81"/>
        <v>8.1502566562623821E-2</v>
      </c>
      <c r="S103" s="140">
        <f t="shared" si="81"/>
        <v>7.7568713885988641E-2</v>
      </c>
      <c r="T103" s="140">
        <f t="shared" si="81"/>
        <v>7.390488681408805E-2</v>
      </c>
      <c r="U103" s="140">
        <f t="shared" si="81"/>
        <v>7.0787848575130763E-2</v>
      </c>
      <c r="V103" s="140">
        <f t="shared" si="81"/>
        <v>5.608710282178455E-2</v>
      </c>
      <c r="W103" s="140">
        <f t="shared" si="81"/>
        <v>5.985634993699275E-2</v>
      </c>
      <c r="X103" s="140">
        <f t="shared" si="81"/>
        <v>7.2735583160452283E-2</v>
      </c>
      <c r="Y103" s="140">
        <f t="shared" si="81"/>
        <v>8.7189532929224905E-2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4.7151043700294167E-2</v>
      </c>
      <c r="C105" s="124">
        <f t="shared" si="83"/>
        <v>4.485919473472072E-2</v>
      </c>
      <c r="D105" s="124">
        <f t="shared" si="83"/>
        <v>4.25935501126418E-2</v>
      </c>
      <c r="E105" s="124">
        <f t="shared" si="83"/>
        <v>4.714869322903123E-2</v>
      </c>
      <c r="F105" s="124">
        <f t="shared" si="83"/>
        <v>5.735610001422476E-2</v>
      </c>
      <c r="G105" s="124">
        <f t="shared" si="83"/>
        <v>7.0048007565287104E-2</v>
      </c>
      <c r="H105" s="124">
        <f t="shared" si="83"/>
        <v>7.0056064134867341E-2</v>
      </c>
      <c r="I105" s="124">
        <f t="shared" si="83"/>
        <v>7.3039524603790984E-2</v>
      </c>
      <c r="J105" s="124">
        <f t="shared" si="83"/>
        <v>6.8788724047875005E-2</v>
      </c>
      <c r="K105" s="124">
        <f t="shared" si="83"/>
        <v>6.3347081090887478E-2</v>
      </c>
      <c r="L105" s="124">
        <f t="shared" si="83"/>
        <v>6.5069030319888907E-2</v>
      </c>
      <c r="M105" s="124">
        <f t="shared" si="83"/>
        <v>6.9717323429209069E-2</v>
      </c>
      <c r="N105" s="124">
        <f t="shared" si="83"/>
        <v>6.3309278858561566E-2</v>
      </c>
      <c r="O105" s="124">
        <f t="shared" si="83"/>
        <v>6.2904630547895565E-2</v>
      </c>
      <c r="P105" s="124">
        <f t="shared" si="83"/>
        <v>6.7885517891102615E-2</v>
      </c>
      <c r="Q105" s="124">
        <f t="shared" si="83"/>
        <v>7.6795067544811579E-2</v>
      </c>
      <c r="R105" s="124">
        <f t="shared" si="83"/>
        <v>8.7202225912716647E-2</v>
      </c>
      <c r="S105" s="124">
        <f t="shared" si="83"/>
        <v>9.4408281849461123E-2</v>
      </c>
      <c r="T105" s="124">
        <f t="shared" si="83"/>
        <v>0.10738233294675621</v>
      </c>
      <c r="U105" s="124">
        <f t="shared" si="83"/>
        <v>0.11479709612829633</v>
      </c>
      <c r="V105" s="124">
        <f t="shared" si="83"/>
        <v>3.4859666007883539E-2</v>
      </c>
      <c r="W105" s="124">
        <f t="shared" si="83"/>
        <v>3.8355088259135355E-2</v>
      </c>
      <c r="X105" s="124">
        <f t="shared" si="83"/>
        <v>8.6831967562139664E-2</v>
      </c>
      <c r="Y105" s="124">
        <f t="shared" si="83"/>
        <v>0.10201627501179887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2.9437105164408874E-2</v>
      </c>
      <c r="C107" s="140">
        <f t="shared" si="85"/>
        <v>2.8171473258958513E-2</v>
      </c>
      <c r="D107" s="140">
        <f t="shared" si="85"/>
        <v>2.7783055301994784E-2</v>
      </c>
      <c r="E107" s="140">
        <f t="shared" si="85"/>
        <v>2.8813320893019082E-2</v>
      </c>
      <c r="F107" s="140">
        <f t="shared" si="85"/>
        <v>3.6423158250789935E-2</v>
      </c>
      <c r="G107" s="140">
        <f t="shared" si="85"/>
        <v>4.8895725159396337E-2</v>
      </c>
      <c r="H107" s="140">
        <f t="shared" si="85"/>
        <v>4.778495446794858E-2</v>
      </c>
      <c r="I107" s="140">
        <f t="shared" si="85"/>
        <v>4.7493736955077311E-2</v>
      </c>
      <c r="J107" s="140">
        <f t="shared" si="85"/>
        <v>4.5775030000252945E-2</v>
      </c>
      <c r="K107" s="140">
        <f t="shared" si="85"/>
        <v>4.5201401728528004E-2</v>
      </c>
      <c r="L107" s="140">
        <f t="shared" si="85"/>
        <v>4.6018467988244063E-2</v>
      </c>
      <c r="M107" s="140">
        <f t="shared" si="85"/>
        <v>4.9799486562036373E-2</v>
      </c>
      <c r="N107" s="140">
        <f t="shared" si="85"/>
        <v>5.2479257490186337E-2</v>
      </c>
      <c r="O107" s="140">
        <f t="shared" si="85"/>
        <v>5.1021146998635997E-2</v>
      </c>
      <c r="P107" s="140">
        <f t="shared" si="85"/>
        <v>5.1266324840893641E-2</v>
      </c>
      <c r="Q107" s="140">
        <f t="shared" si="85"/>
        <v>5.6049130580775965E-2</v>
      </c>
      <c r="R107" s="140">
        <f t="shared" si="85"/>
        <v>6.5288363343846897E-2</v>
      </c>
      <c r="S107" s="140">
        <f t="shared" si="85"/>
        <v>6.8406253427029412E-2</v>
      </c>
      <c r="T107" s="140">
        <f t="shared" si="85"/>
        <v>7.1348212400313124E-2</v>
      </c>
      <c r="U107" s="140">
        <f t="shared" si="85"/>
        <v>7.4998348092115905E-2</v>
      </c>
      <c r="V107" s="140">
        <f t="shared" si="85"/>
        <v>2.4704287599297069E-2</v>
      </c>
      <c r="W107" s="140">
        <f t="shared" si="85"/>
        <v>2.5686853140574093E-2</v>
      </c>
      <c r="X107" s="140">
        <f t="shared" si="85"/>
        <v>5.9593341351939964E-2</v>
      </c>
      <c r="Y107" s="140">
        <f t="shared" si="85"/>
        <v>6.2427005577611418E-2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1.7713938535885293E-2</v>
      </c>
      <c r="C108" s="140">
        <f t="shared" si="86"/>
        <v>1.6687721475762203E-2</v>
      </c>
      <c r="D108" s="140">
        <f t="shared" si="86"/>
        <v>1.4810494810647017E-2</v>
      </c>
      <c r="E108" s="140">
        <f t="shared" si="86"/>
        <v>1.8335372336012151E-2</v>
      </c>
      <c r="F108" s="140">
        <f t="shared" si="86"/>
        <v>2.0932941763434829E-2</v>
      </c>
      <c r="G108" s="140">
        <f t="shared" si="86"/>
        <v>2.115228240589077E-2</v>
      </c>
      <c r="H108" s="140">
        <f t="shared" si="86"/>
        <v>2.2271109666918764E-2</v>
      </c>
      <c r="I108" s="140">
        <f t="shared" si="86"/>
        <v>2.5545787648713673E-2</v>
      </c>
      <c r="J108" s="140">
        <f t="shared" si="86"/>
        <v>2.3013694047622067E-2</v>
      </c>
      <c r="K108" s="140">
        <f t="shared" si="86"/>
        <v>1.8145679362359474E-2</v>
      </c>
      <c r="L108" s="140">
        <f t="shared" si="86"/>
        <v>1.9050562331644844E-2</v>
      </c>
      <c r="M108" s="140">
        <f t="shared" si="86"/>
        <v>1.9917836867172703E-2</v>
      </c>
      <c r="N108" s="140">
        <f t="shared" si="86"/>
        <v>1.0830021368375214E-2</v>
      </c>
      <c r="O108" s="140">
        <f t="shared" si="86"/>
        <v>1.1883483549259567E-2</v>
      </c>
      <c r="P108" s="140">
        <f t="shared" si="86"/>
        <v>1.6619193050208966E-2</v>
      </c>
      <c r="Q108" s="140">
        <f t="shared" si="86"/>
        <v>2.0745936964035608E-2</v>
      </c>
      <c r="R108" s="140">
        <f t="shared" si="86"/>
        <v>2.1913862568869746E-2</v>
      </c>
      <c r="S108" s="140">
        <f t="shared" si="86"/>
        <v>2.6002028422431725E-2</v>
      </c>
      <c r="T108" s="140">
        <f t="shared" si="86"/>
        <v>3.6034120546443081E-2</v>
      </c>
      <c r="U108" s="140">
        <f t="shared" si="86"/>
        <v>3.9798748036180415E-2</v>
      </c>
      <c r="V108" s="140">
        <f t="shared" si="86"/>
        <v>1.0155378408586466E-2</v>
      </c>
      <c r="W108" s="140">
        <f t="shared" si="86"/>
        <v>1.2668235118561265E-2</v>
      </c>
      <c r="X108" s="140">
        <f t="shared" si="86"/>
        <v>2.7238626210199703E-2</v>
      </c>
      <c r="Y108" s="140">
        <f t="shared" si="86"/>
        <v>3.9589269434187453E-2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0.67793234846987194</v>
      </c>
      <c r="C110" s="139">
        <f t="shared" si="88"/>
        <v>0.7016111124134623</v>
      </c>
      <c r="D110" s="139">
        <f t="shared" si="88"/>
        <v>0.69054488531698044</v>
      </c>
      <c r="E110" s="139">
        <f t="shared" si="88"/>
        <v>0.68888378124064575</v>
      </c>
      <c r="F110" s="139">
        <f t="shared" si="88"/>
        <v>0.67372059066978807</v>
      </c>
      <c r="G110" s="139">
        <f t="shared" si="88"/>
        <v>0.67060247145837515</v>
      </c>
      <c r="H110" s="139">
        <f t="shared" si="88"/>
        <v>0.67226431185139179</v>
      </c>
      <c r="I110" s="139">
        <f t="shared" si="88"/>
        <v>0.68590009516569006</v>
      </c>
      <c r="J110" s="139">
        <f t="shared" si="88"/>
        <v>0.69704821143530005</v>
      </c>
      <c r="K110" s="139">
        <f t="shared" si="88"/>
        <v>0.70902780558528711</v>
      </c>
      <c r="L110" s="139">
        <f t="shared" si="88"/>
        <v>0.66257928306068314</v>
      </c>
      <c r="M110" s="139">
        <f t="shared" si="88"/>
        <v>0.66572273740952548</v>
      </c>
      <c r="N110" s="139">
        <f t="shared" si="88"/>
        <v>0.64696699188430062</v>
      </c>
      <c r="O110" s="139">
        <f t="shared" si="88"/>
        <v>0.64197233552678956</v>
      </c>
      <c r="P110" s="139">
        <f t="shared" si="88"/>
        <v>0.6435050301751073</v>
      </c>
      <c r="Q110" s="139">
        <f t="shared" si="88"/>
        <v>0.66021197375025031</v>
      </c>
      <c r="R110" s="139">
        <f t="shared" si="88"/>
        <v>0.66878145066974659</v>
      </c>
      <c r="S110" s="139">
        <f t="shared" si="88"/>
        <v>0.63586748102381674</v>
      </c>
      <c r="T110" s="139">
        <f t="shared" si="88"/>
        <v>0.6967104538907094</v>
      </c>
      <c r="U110" s="139">
        <f t="shared" si="88"/>
        <v>0.69297851598041593</v>
      </c>
      <c r="V110" s="139">
        <f t="shared" si="88"/>
        <v>0.66829500560364108</v>
      </c>
      <c r="W110" s="139">
        <f t="shared" si="88"/>
        <v>0.70021125789636018</v>
      </c>
      <c r="X110" s="139">
        <f t="shared" si="88"/>
        <v>0.70537044420638362</v>
      </c>
      <c r="Y110" s="139">
        <f t="shared" si="88"/>
        <v>0.72321082520488267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1.73433606504898E-2</v>
      </c>
      <c r="C111" s="140">
        <f t="shared" si="89"/>
        <v>1.8710397120787488E-2</v>
      </c>
      <c r="D111" s="140">
        <f t="shared" si="89"/>
        <v>1.9882713736136162E-2</v>
      </c>
      <c r="E111" s="140">
        <f t="shared" si="89"/>
        <v>2.1009463662217995E-2</v>
      </c>
      <c r="F111" s="140">
        <f t="shared" si="89"/>
        <v>1.9310569187094621E-2</v>
      </c>
      <c r="G111" s="140">
        <f t="shared" si="89"/>
        <v>1.9360898998545466E-2</v>
      </c>
      <c r="H111" s="140">
        <f t="shared" si="89"/>
        <v>1.7897477857894795E-2</v>
      </c>
      <c r="I111" s="140">
        <f t="shared" si="89"/>
        <v>1.7836118647550355E-2</v>
      </c>
      <c r="J111" s="140">
        <f t="shared" si="89"/>
        <v>1.9156643311727881E-2</v>
      </c>
      <c r="K111" s="140">
        <f t="shared" si="89"/>
        <v>2.7142660986117707E-2</v>
      </c>
      <c r="L111" s="140">
        <f t="shared" si="89"/>
        <v>2.2830999286483963E-2</v>
      </c>
      <c r="M111" s="140">
        <f t="shared" si="89"/>
        <v>2.4418306868760221E-2</v>
      </c>
      <c r="N111" s="140">
        <f t="shared" si="89"/>
        <v>2.6128874700144952E-2</v>
      </c>
      <c r="O111" s="140">
        <f t="shared" si="89"/>
        <v>2.6929365344100172E-2</v>
      </c>
      <c r="P111" s="140">
        <f t="shared" si="89"/>
        <v>2.6835362091000195E-2</v>
      </c>
      <c r="Q111" s="140">
        <f t="shared" si="89"/>
        <v>2.684524197541889E-2</v>
      </c>
      <c r="R111" s="140">
        <f t="shared" si="89"/>
        <v>2.625191073162271E-2</v>
      </c>
      <c r="S111" s="140">
        <f t="shared" si="89"/>
        <v>2.4959149758036928E-2</v>
      </c>
      <c r="T111" s="140">
        <f t="shared" si="89"/>
        <v>2.7801687639286355E-2</v>
      </c>
      <c r="U111" s="140">
        <f t="shared" si="89"/>
        <v>2.8691693715662245E-2</v>
      </c>
      <c r="V111" s="140">
        <f t="shared" si="89"/>
        <v>3.0369033245427376E-2</v>
      </c>
      <c r="W111" s="140">
        <f t="shared" si="89"/>
        <v>2.9389414399489819E-2</v>
      </c>
      <c r="X111" s="140">
        <f t="shared" si="89"/>
        <v>3.0349776599505846E-2</v>
      </c>
      <c r="Y111" s="140">
        <f t="shared" si="89"/>
        <v>3.2116792477897546E-2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0.66058898781938213</v>
      </c>
      <c r="C112" s="140">
        <f t="shared" si="90"/>
        <v>0.68290071529267482</v>
      </c>
      <c r="D112" s="140">
        <f t="shared" si="90"/>
        <v>0.67066217158084429</v>
      </c>
      <c r="E112" s="140">
        <f t="shared" si="90"/>
        <v>0.66787431757842775</v>
      </c>
      <c r="F112" s="140">
        <f t="shared" si="90"/>
        <v>0.65441002148269345</v>
      </c>
      <c r="G112" s="140">
        <f t="shared" si="90"/>
        <v>0.65124157245982972</v>
      </c>
      <c r="H112" s="140">
        <f t="shared" si="90"/>
        <v>0.65436683399349693</v>
      </c>
      <c r="I112" s="140">
        <f t="shared" si="90"/>
        <v>0.66806397651813965</v>
      </c>
      <c r="J112" s="140">
        <f t="shared" si="90"/>
        <v>0.67789156812357221</v>
      </c>
      <c r="K112" s="140">
        <f t="shared" si="90"/>
        <v>0.68188514459916938</v>
      </c>
      <c r="L112" s="140">
        <f t="shared" si="90"/>
        <v>0.63974828377419912</v>
      </c>
      <c r="M112" s="140">
        <f t="shared" si="90"/>
        <v>0.64130443054076525</v>
      </c>
      <c r="N112" s="140">
        <f t="shared" si="90"/>
        <v>0.6208381171841556</v>
      </c>
      <c r="O112" s="140">
        <f t="shared" si="90"/>
        <v>0.61504297018268927</v>
      </c>
      <c r="P112" s="140">
        <f t="shared" si="90"/>
        <v>0.61666966808410706</v>
      </c>
      <c r="Q112" s="140">
        <f t="shared" si="90"/>
        <v>0.63336673177483149</v>
      </c>
      <c r="R112" s="140">
        <f t="shared" si="90"/>
        <v>0.64252953993812389</v>
      </c>
      <c r="S112" s="140">
        <f t="shared" si="90"/>
        <v>0.61090833126577992</v>
      </c>
      <c r="T112" s="140">
        <f t="shared" si="90"/>
        <v>0.66890876625142304</v>
      </c>
      <c r="U112" s="140">
        <f t="shared" si="90"/>
        <v>0.66428682226475366</v>
      </c>
      <c r="V112" s="140">
        <f t="shared" si="90"/>
        <v>0.63792597235821369</v>
      </c>
      <c r="W112" s="140">
        <f t="shared" si="90"/>
        <v>0.67082184349687035</v>
      </c>
      <c r="X112" s="140">
        <f t="shared" si="90"/>
        <v>0.67502066760687784</v>
      </c>
      <c r="Y112" s="140">
        <f t="shared" si="90"/>
        <v>0.69109403272698511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0.29138219818837086</v>
      </c>
      <c r="C113" s="124">
        <f t="shared" si="91"/>
        <v>0.26036528128867076</v>
      </c>
      <c r="D113" s="124">
        <f t="shared" si="91"/>
        <v>0.26129987510232106</v>
      </c>
      <c r="E113" s="124">
        <f t="shared" si="91"/>
        <v>0.25857519887234809</v>
      </c>
      <c r="F113" s="124">
        <f t="shared" si="91"/>
        <v>0.26730662480142886</v>
      </c>
      <c r="G113" s="124">
        <f t="shared" si="91"/>
        <v>0.26655109368481078</v>
      </c>
      <c r="H113" s="124">
        <f t="shared" si="91"/>
        <v>0.27429569320248398</v>
      </c>
      <c r="I113" s="124">
        <f t="shared" si="91"/>
        <v>0.2566263988684907</v>
      </c>
      <c r="J113" s="124">
        <f t="shared" si="91"/>
        <v>0.2460321931555724</v>
      </c>
      <c r="K113" s="124">
        <f t="shared" si="91"/>
        <v>0.23416848114475913</v>
      </c>
      <c r="L113" s="124">
        <f t="shared" si="91"/>
        <v>0.26453108391050506</v>
      </c>
      <c r="M113" s="124">
        <f t="shared" si="91"/>
        <v>0.27747760371867797</v>
      </c>
      <c r="N113" s="124">
        <f t="shared" si="91"/>
        <v>0.29001130324525126</v>
      </c>
      <c r="O113" s="124">
        <f t="shared" si="91"/>
        <v>0.29824092159478649</v>
      </c>
      <c r="P113" s="124">
        <f t="shared" si="91"/>
        <v>0.30196292216771076</v>
      </c>
      <c r="Q113" s="124">
        <f t="shared" si="91"/>
        <v>0.28674753488335009</v>
      </c>
      <c r="R113" s="124">
        <f t="shared" si="91"/>
        <v>0.27807433379604102</v>
      </c>
      <c r="S113" s="124">
        <f t="shared" si="91"/>
        <v>0.31607882208706178</v>
      </c>
      <c r="T113" s="124">
        <f t="shared" si="91"/>
        <v>0.26225108838365169</v>
      </c>
      <c r="U113" s="124">
        <f t="shared" si="91"/>
        <v>0.25483995835366147</v>
      </c>
      <c r="V113" s="124">
        <f t="shared" si="91"/>
        <v>0.28213570009892391</v>
      </c>
      <c r="W113" s="124">
        <f t="shared" si="91"/>
        <v>0.25595398157836469</v>
      </c>
      <c r="X113" s="124">
        <f t="shared" si="91"/>
        <v>0.25742179062676535</v>
      </c>
      <c r="Y113" s="124">
        <f t="shared" si="91"/>
        <v>0.24350199017496763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1.1830057751846116E-3</v>
      </c>
      <c r="C114" s="124">
        <f t="shared" si="92"/>
        <v>1.2681438614012724E-3</v>
      </c>
      <c r="D114" s="124">
        <f t="shared" si="92"/>
        <v>1.020762110318328E-3</v>
      </c>
      <c r="E114" s="124">
        <f t="shared" si="92"/>
        <v>1.0229509758751293E-3</v>
      </c>
      <c r="F114" s="124">
        <f t="shared" si="92"/>
        <v>8.0021467829497243E-4</v>
      </c>
      <c r="G114" s="124">
        <f t="shared" si="92"/>
        <v>9.7373874295814513E-4</v>
      </c>
      <c r="H114" s="124">
        <f t="shared" si="92"/>
        <v>1.8291302764722064E-3</v>
      </c>
      <c r="I114" s="124">
        <f t="shared" si="92"/>
        <v>9.7892054612347293E-4</v>
      </c>
      <c r="J114" s="124">
        <f t="shared" si="92"/>
        <v>8.5595001718548954E-4</v>
      </c>
      <c r="K114" s="124">
        <f t="shared" si="92"/>
        <v>9.243324572268274E-4</v>
      </c>
      <c r="L114" s="124">
        <f t="shared" si="92"/>
        <v>1.0287085427363152E-3</v>
      </c>
      <c r="M114" s="124">
        <f t="shared" si="92"/>
        <v>8.0505579630118325E-4</v>
      </c>
      <c r="N114" s="124">
        <f t="shared" si="92"/>
        <v>7.4625492114282935E-4</v>
      </c>
      <c r="O114" s="124">
        <f t="shared" si="92"/>
        <v>7.6436752886942998E-4</v>
      </c>
      <c r="P114" s="124">
        <f t="shared" si="92"/>
        <v>6.9715377593319655E-4</v>
      </c>
      <c r="Q114" s="124">
        <f t="shared" si="92"/>
        <v>7.8999150353946238E-4</v>
      </c>
      <c r="R114" s="124">
        <f t="shared" si="92"/>
        <v>9.7886511179778261E-4</v>
      </c>
      <c r="S114" s="124">
        <f t="shared" si="92"/>
        <v>9.1166232806822595E-4</v>
      </c>
      <c r="T114" s="124">
        <f t="shared" si="92"/>
        <v>1.1953218487574468E-3</v>
      </c>
      <c r="U114" s="124">
        <f t="shared" si="92"/>
        <v>1.3334586814743655E-3</v>
      </c>
      <c r="V114" s="124">
        <f t="shared" si="92"/>
        <v>9.5289681596457917E-4</v>
      </c>
      <c r="W114" s="124">
        <f t="shared" si="92"/>
        <v>1.5855486193724704E-3</v>
      </c>
      <c r="X114" s="124">
        <f t="shared" si="92"/>
        <v>3.0088346527849812E-3</v>
      </c>
      <c r="Y114" s="124">
        <f t="shared" si="92"/>
        <v>2.6515613820753525E-3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4.6104665317524724E-4</v>
      </c>
      <c r="C116" s="140">
        <f t="shared" si="96"/>
        <v>5.500031020564955E-4</v>
      </c>
      <c r="D116" s="140">
        <f t="shared" si="96"/>
        <v>6.8010505938459064E-4</v>
      </c>
      <c r="E116" s="140">
        <f t="shared" si="96"/>
        <v>6.5344691857676469E-4</v>
      </c>
      <c r="F116" s="140">
        <f t="shared" si="96"/>
        <v>5.543888503278066E-4</v>
      </c>
      <c r="G116" s="140">
        <f t="shared" si="96"/>
        <v>7.0746029542300619E-4</v>
      </c>
      <c r="H116" s="140">
        <f t="shared" si="96"/>
        <v>4.1594884300980727E-4</v>
      </c>
      <c r="I116" s="140">
        <f t="shared" si="96"/>
        <v>4.2618020229165989E-4</v>
      </c>
      <c r="J116" s="140">
        <f t="shared" si="96"/>
        <v>2.9937629351044491E-4</v>
      </c>
      <c r="K116" s="140">
        <f t="shared" si="96"/>
        <v>3.4918651944757927E-4</v>
      </c>
      <c r="L116" s="140">
        <f t="shared" si="96"/>
        <v>3.5501540444566926E-4</v>
      </c>
      <c r="M116" s="140">
        <f t="shared" si="96"/>
        <v>4.9940140026110465E-4</v>
      </c>
      <c r="N116" s="140">
        <f t="shared" si="96"/>
        <v>5.3371423630945618E-4</v>
      </c>
      <c r="O116" s="140">
        <f t="shared" si="96"/>
        <v>5.2592200963652743E-4</v>
      </c>
      <c r="P116" s="140">
        <f t="shared" si="96"/>
        <v>5.3364194061539878E-4</v>
      </c>
      <c r="Q116" s="140">
        <f t="shared" si="96"/>
        <v>5.6971640861692584E-4</v>
      </c>
      <c r="R116" s="140">
        <f t="shared" si="94"/>
        <v>5.6769073586978463E-4</v>
      </c>
      <c r="S116" s="140">
        <f t="shared" si="94"/>
        <v>5.1160158382768724E-4</v>
      </c>
      <c r="T116" s="140">
        <f t="shared" si="94"/>
        <v>5.9558673724078529E-4</v>
      </c>
      <c r="U116" s="140">
        <f t="shared" si="94"/>
        <v>5.3541817248935327E-4</v>
      </c>
      <c r="V116" s="140">
        <f t="shared" si="94"/>
        <v>4.3248276076665701E-4</v>
      </c>
      <c r="W116" s="140">
        <f t="shared" si="95"/>
        <v>4.6990367088170764E-4</v>
      </c>
      <c r="X116" s="140">
        <f t="shared" si="95"/>
        <v>5.6849420002759953E-4</v>
      </c>
      <c r="Y116" s="140">
        <f t="shared" si="95"/>
        <v>5.2750297679140504E-4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7.219591220093643E-4</v>
      </c>
      <c r="C117" s="140">
        <f t="shared" si="97"/>
        <v>7.1814075934477698E-4</v>
      </c>
      <c r="D117" s="140">
        <f t="shared" si="97"/>
        <v>3.4065705093373739E-4</v>
      </c>
      <c r="E117" s="140">
        <f t="shared" si="97"/>
        <v>3.6950405729836467E-4</v>
      </c>
      <c r="F117" s="140">
        <f t="shared" si="97"/>
        <v>2.4582582796716577E-4</v>
      </c>
      <c r="G117" s="140">
        <f t="shared" si="97"/>
        <v>2.6627844753513889E-4</v>
      </c>
      <c r="H117" s="140">
        <f t="shared" si="97"/>
        <v>1.4131814334623991E-3</v>
      </c>
      <c r="I117" s="140">
        <f t="shared" si="97"/>
        <v>5.527403438318132E-4</v>
      </c>
      <c r="J117" s="140">
        <f t="shared" si="97"/>
        <v>5.5657372367504457E-4</v>
      </c>
      <c r="K117" s="140">
        <f t="shared" si="97"/>
        <v>5.7514593777924813E-4</v>
      </c>
      <c r="L117" s="140">
        <f t="shared" si="97"/>
        <v>6.7369313829064624E-4</v>
      </c>
      <c r="M117" s="140">
        <f t="shared" si="97"/>
        <v>3.0565439604007865E-4</v>
      </c>
      <c r="N117" s="140">
        <f t="shared" si="97"/>
        <v>2.1254068483337319E-4</v>
      </c>
      <c r="O117" s="140">
        <f t="shared" si="97"/>
        <v>2.3844551923290247E-4</v>
      </c>
      <c r="P117" s="140">
        <f t="shared" si="97"/>
        <v>1.6351183531779784E-4</v>
      </c>
      <c r="Q117" s="140">
        <f t="shared" si="97"/>
        <v>2.2027509492253655E-4</v>
      </c>
      <c r="R117" s="140">
        <f t="shared" ref="R117:V120" si="98">IF(R25=0,0,R25/R$17)</f>
        <v>4.1117437592799803E-4</v>
      </c>
      <c r="S117" s="140">
        <f t="shared" si="98"/>
        <v>4.0006074424053865E-4</v>
      </c>
      <c r="T117" s="140">
        <f t="shared" si="98"/>
        <v>5.9973511151666147E-4</v>
      </c>
      <c r="U117" s="140">
        <f t="shared" si="98"/>
        <v>7.9804050898501231E-4</v>
      </c>
      <c r="V117" s="140">
        <f t="shared" si="98"/>
        <v>5.2041405519792205E-4</v>
      </c>
      <c r="W117" s="140">
        <f t="shared" si="95"/>
        <v>1.1156449484907625E-3</v>
      </c>
      <c r="X117" s="140">
        <f t="shared" si="95"/>
        <v>2.4403404527573811E-3</v>
      </c>
      <c r="Y117" s="140">
        <f t="shared" si="95"/>
        <v>2.1240584052839477E-3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2.9502447566572547E-2</v>
      </c>
      <c r="C118" s="124">
        <f t="shared" si="99"/>
        <v>3.6755462436465602E-2</v>
      </c>
      <c r="D118" s="124">
        <f t="shared" si="99"/>
        <v>4.7134477470380222E-2</v>
      </c>
      <c r="E118" s="124">
        <f t="shared" si="99"/>
        <v>5.1518068911131081E-2</v>
      </c>
      <c r="F118" s="124">
        <f t="shared" si="99"/>
        <v>5.8172569850488118E-2</v>
      </c>
      <c r="G118" s="124">
        <f t="shared" si="99"/>
        <v>6.1872696113855964E-2</v>
      </c>
      <c r="H118" s="124">
        <f t="shared" si="99"/>
        <v>5.1610864669652E-2</v>
      </c>
      <c r="I118" s="124">
        <f t="shared" si="99"/>
        <v>5.6494585419695605E-2</v>
      </c>
      <c r="J118" s="124">
        <f t="shared" si="99"/>
        <v>5.6063645391942259E-2</v>
      </c>
      <c r="K118" s="124">
        <f t="shared" si="99"/>
        <v>5.5879380812726961E-2</v>
      </c>
      <c r="L118" s="124">
        <f t="shared" si="99"/>
        <v>7.186092448607545E-2</v>
      </c>
      <c r="M118" s="124">
        <f t="shared" si="99"/>
        <v>5.599460307549544E-2</v>
      </c>
      <c r="N118" s="124">
        <f t="shared" si="99"/>
        <v>6.2275449949305305E-2</v>
      </c>
      <c r="O118" s="124">
        <f t="shared" si="99"/>
        <v>5.902237534955454E-2</v>
      </c>
      <c r="P118" s="124">
        <f t="shared" si="99"/>
        <v>5.3834893881248687E-2</v>
      </c>
      <c r="Q118" s="124">
        <f t="shared" si="99"/>
        <v>5.2250499862860192E-2</v>
      </c>
      <c r="R118" s="124">
        <f t="shared" si="98"/>
        <v>5.2165350422414616E-2</v>
      </c>
      <c r="S118" s="124">
        <f t="shared" si="98"/>
        <v>4.7142034561053238E-2</v>
      </c>
      <c r="T118" s="124">
        <f t="shared" si="98"/>
        <v>3.9843135876881326E-2</v>
      </c>
      <c r="U118" s="124">
        <f t="shared" si="98"/>
        <v>5.0848066984448215E-2</v>
      </c>
      <c r="V118" s="124">
        <f t="shared" si="98"/>
        <v>4.8616397481470459E-2</v>
      </c>
      <c r="W118" s="124">
        <f t="shared" si="95"/>
        <v>4.2249211905902626E-2</v>
      </c>
      <c r="X118" s="124">
        <f t="shared" si="95"/>
        <v>3.419893051406591E-2</v>
      </c>
      <c r="Y118" s="124">
        <f t="shared" si="95"/>
        <v>3.0635623238074321E-2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2.9502447566572547E-2</v>
      </c>
      <c r="C120" s="127">
        <f t="shared" si="101"/>
        <v>3.6755462436465602E-2</v>
      </c>
      <c r="D120" s="127">
        <f t="shared" si="101"/>
        <v>4.7134477470380222E-2</v>
      </c>
      <c r="E120" s="127">
        <f t="shared" si="101"/>
        <v>5.1518068911131081E-2</v>
      </c>
      <c r="F120" s="127">
        <f t="shared" si="101"/>
        <v>5.8172569850488118E-2</v>
      </c>
      <c r="G120" s="127">
        <f t="shared" si="101"/>
        <v>6.1872696113855964E-2</v>
      </c>
      <c r="H120" s="127">
        <f t="shared" si="101"/>
        <v>5.1610864669652E-2</v>
      </c>
      <c r="I120" s="127">
        <f t="shared" si="101"/>
        <v>5.6494585419695605E-2</v>
      </c>
      <c r="J120" s="127">
        <f t="shared" si="101"/>
        <v>5.6063645391942259E-2</v>
      </c>
      <c r="K120" s="127">
        <f t="shared" si="101"/>
        <v>5.5879380812726961E-2</v>
      </c>
      <c r="L120" s="127">
        <f t="shared" si="101"/>
        <v>7.186092448607545E-2</v>
      </c>
      <c r="M120" s="127">
        <f t="shared" si="101"/>
        <v>5.599460307549544E-2</v>
      </c>
      <c r="N120" s="127">
        <f t="shared" si="101"/>
        <v>6.2275449949305305E-2</v>
      </c>
      <c r="O120" s="127">
        <f t="shared" si="101"/>
        <v>5.902237534955454E-2</v>
      </c>
      <c r="P120" s="127">
        <f t="shared" si="101"/>
        <v>5.3834893881248687E-2</v>
      </c>
      <c r="Q120" s="127">
        <f t="shared" si="101"/>
        <v>5.2250499862860192E-2</v>
      </c>
      <c r="R120" s="127">
        <f t="shared" si="98"/>
        <v>5.2165350422414616E-2</v>
      </c>
      <c r="S120" s="127">
        <f t="shared" si="98"/>
        <v>4.7142034561053238E-2</v>
      </c>
      <c r="T120" s="127">
        <f t="shared" si="98"/>
        <v>3.9843135876881326E-2</v>
      </c>
      <c r="U120" s="127">
        <f t="shared" si="98"/>
        <v>5.0848066984448215E-2</v>
      </c>
      <c r="V120" s="127">
        <f t="shared" si="98"/>
        <v>4.8616397481470459E-2</v>
      </c>
      <c r="W120" s="127">
        <f t="shared" si="95"/>
        <v>4.2249211905902626E-2</v>
      </c>
      <c r="X120" s="127">
        <f t="shared" si="95"/>
        <v>3.419893051406591E-2</v>
      </c>
      <c r="Y120" s="127">
        <f t="shared" si="95"/>
        <v>3.0635623238074321E-2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0</v>
      </c>
      <c r="J121" s="31">
        <f t="shared" si="102"/>
        <v>0</v>
      </c>
      <c r="K121" s="31">
        <f t="shared" si="102"/>
        <v>0</v>
      </c>
      <c r="L121" s="31">
        <f t="shared" si="102"/>
        <v>0</v>
      </c>
      <c r="M121" s="31">
        <f t="shared" si="102"/>
        <v>0</v>
      </c>
      <c r="N121" s="31">
        <f t="shared" si="102"/>
        <v>0</v>
      </c>
      <c r="O121" s="31">
        <f t="shared" si="102"/>
        <v>0</v>
      </c>
      <c r="P121" s="31">
        <f t="shared" si="102"/>
        <v>0</v>
      </c>
      <c r="Q121" s="31">
        <f t="shared" si="102"/>
        <v>0</v>
      </c>
      <c r="R121" s="31">
        <f t="shared" si="102"/>
        <v>0</v>
      </c>
      <c r="S121" s="31">
        <f t="shared" si="102"/>
        <v>0</v>
      </c>
      <c r="T121" s="31">
        <f t="shared" si="102"/>
        <v>0</v>
      </c>
      <c r="U121" s="31">
        <f t="shared" si="102"/>
        <v>0</v>
      </c>
      <c r="V121" s="31">
        <f t="shared" si="102"/>
        <v>0</v>
      </c>
      <c r="W121" s="31">
        <f t="shared" si="102"/>
        <v>0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</v>
      </c>
      <c r="J122" s="140">
        <f t="shared" si="103"/>
        <v>0</v>
      </c>
      <c r="K122" s="140">
        <f t="shared" si="103"/>
        <v>0</v>
      </c>
      <c r="L122" s="140">
        <f t="shared" si="103"/>
        <v>0</v>
      </c>
      <c r="M122" s="140">
        <f t="shared" si="103"/>
        <v>0</v>
      </c>
      <c r="N122" s="140">
        <f t="shared" si="103"/>
        <v>0</v>
      </c>
      <c r="O122" s="140">
        <f t="shared" si="103"/>
        <v>0</v>
      </c>
      <c r="P122" s="140">
        <f t="shared" si="103"/>
        <v>0</v>
      </c>
      <c r="Q122" s="140">
        <f t="shared" si="103"/>
        <v>0</v>
      </c>
      <c r="R122" s="140">
        <f t="shared" si="103"/>
        <v>0</v>
      </c>
      <c r="S122" s="140">
        <f t="shared" si="103"/>
        <v>0</v>
      </c>
      <c r="T122" s="140">
        <f t="shared" si="103"/>
        <v>0</v>
      </c>
      <c r="U122" s="140">
        <f t="shared" si="103"/>
        <v>0</v>
      </c>
      <c r="V122" s="140">
        <f t="shared" si="103"/>
        <v>0</v>
      </c>
      <c r="W122" s="140">
        <f t="shared" si="103"/>
        <v>0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</v>
      </c>
      <c r="J123" s="127">
        <f t="shared" si="104"/>
        <v>0</v>
      </c>
      <c r="K123" s="127">
        <f t="shared" si="104"/>
        <v>0</v>
      </c>
      <c r="L123" s="127">
        <f t="shared" si="104"/>
        <v>0</v>
      </c>
      <c r="M123" s="127">
        <f t="shared" si="104"/>
        <v>0</v>
      </c>
      <c r="N123" s="127">
        <f t="shared" si="104"/>
        <v>0</v>
      </c>
      <c r="O123" s="127">
        <f t="shared" si="104"/>
        <v>0</v>
      </c>
      <c r="P123" s="127">
        <f t="shared" si="104"/>
        <v>0</v>
      </c>
      <c r="Q123" s="127">
        <f t="shared" si="104"/>
        <v>0</v>
      </c>
      <c r="R123" s="127">
        <f t="shared" si="104"/>
        <v>0</v>
      </c>
      <c r="S123" s="127">
        <f t="shared" si="104"/>
        <v>0</v>
      </c>
      <c r="T123" s="127">
        <f t="shared" si="104"/>
        <v>0</v>
      </c>
      <c r="U123" s="127">
        <f t="shared" si="104"/>
        <v>0</v>
      </c>
      <c r="V123" s="127">
        <f t="shared" si="104"/>
        <v>0</v>
      </c>
      <c r="W123" s="127">
        <f t="shared" si="104"/>
        <v>0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0.83799977432855921</v>
      </c>
      <c r="C127" s="139">
        <f t="shared" ref="C127:Y127" si="107">IF(C35=0,0,C35/C$34)</f>
        <v>0.85003820652710271</v>
      </c>
      <c r="D127" s="139">
        <f t="shared" si="107"/>
        <v>0.86207103775953653</v>
      </c>
      <c r="E127" s="139">
        <f t="shared" si="107"/>
        <v>0.86806437979796214</v>
      </c>
      <c r="F127" s="139">
        <f t="shared" si="107"/>
        <v>0.86658859969373769</v>
      </c>
      <c r="G127" s="139">
        <f t="shared" si="107"/>
        <v>0.85917071594057992</v>
      </c>
      <c r="H127" s="139">
        <f t="shared" si="107"/>
        <v>0.86572669966631743</v>
      </c>
      <c r="I127" s="139">
        <f t="shared" si="107"/>
        <v>0.87667100689062372</v>
      </c>
      <c r="J127" s="139">
        <f t="shared" si="107"/>
        <v>0.86913973970060077</v>
      </c>
      <c r="K127" s="139">
        <f t="shared" si="107"/>
        <v>0.87862854648126587</v>
      </c>
      <c r="L127" s="139">
        <f t="shared" si="107"/>
        <v>0.87546425183303844</v>
      </c>
      <c r="M127" s="139">
        <f t="shared" si="107"/>
        <v>0.86933465954057687</v>
      </c>
      <c r="N127" s="139">
        <f t="shared" si="107"/>
        <v>0.89725915742894935</v>
      </c>
      <c r="O127" s="139">
        <f t="shared" si="107"/>
        <v>0.88709628811079355</v>
      </c>
      <c r="P127" s="139">
        <f t="shared" si="107"/>
        <v>0.89196233742853837</v>
      </c>
      <c r="Q127" s="139">
        <f t="shared" si="107"/>
        <v>0.89789128852061784</v>
      </c>
      <c r="R127" s="139">
        <f t="shared" si="107"/>
        <v>0.89619737278333433</v>
      </c>
      <c r="S127" s="139">
        <f t="shared" si="107"/>
        <v>0.89202806163976012</v>
      </c>
      <c r="T127" s="139">
        <f t="shared" si="107"/>
        <v>0.88325711439315657</v>
      </c>
      <c r="U127" s="139">
        <f t="shared" si="107"/>
        <v>0.89214600778860198</v>
      </c>
      <c r="V127" s="139">
        <f t="shared" si="107"/>
        <v>0.93795995530797771</v>
      </c>
      <c r="W127" s="139">
        <f t="shared" si="107"/>
        <v>0.93504674645730901</v>
      </c>
      <c r="X127" s="139">
        <f t="shared" si="107"/>
        <v>0.90398515793951728</v>
      </c>
      <c r="Y127" s="139">
        <f t="shared" si="107"/>
        <v>0.89060001110362574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5.1640120413784726E-3</v>
      </c>
      <c r="C128" s="140">
        <f t="shared" ref="C128:Y128" si="108">IF(C36=0,0,C36/C$34)</f>
        <v>5.068127100282903E-3</v>
      </c>
      <c r="D128" s="140">
        <f t="shared" si="108"/>
        <v>5.0940089083345097E-3</v>
      </c>
      <c r="E128" s="140">
        <f t="shared" si="108"/>
        <v>5.1449483276824314E-3</v>
      </c>
      <c r="F128" s="140">
        <f t="shared" si="108"/>
        <v>5.4006030667770894E-3</v>
      </c>
      <c r="G128" s="140">
        <f t="shared" si="108"/>
        <v>5.625425002000365E-3</v>
      </c>
      <c r="H128" s="140">
        <f t="shared" si="108"/>
        <v>5.5454711930687742E-3</v>
      </c>
      <c r="I128" s="140">
        <f t="shared" si="108"/>
        <v>5.5744675191245286E-3</v>
      </c>
      <c r="J128" s="140">
        <f t="shared" si="108"/>
        <v>5.6688459053417118E-3</v>
      </c>
      <c r="K128" s="140">
        <f t="shared" si="108"/>
        <v>5.5987258964399315E-3</v>
      </c>
      <c r="L128" s="140">
        <f t="shared" si="108"/>
        <v>6.0011126811733697E-3</v>
      </c>
      <c r="M128" s="140">
        <f t="shared" si="108"/>
        <v>6.5178093012246514E-3</v>
      </c>
      <c r="N128" s="140">
        <f t="shared" si="108"/>
        <v>6.8120247355401928E-3</v>
      </c>
      <c r="O128" s="140">
        <f t="shared" si="108"/>
        <v>7.250863159451339E-3</v>
      </c>
      <c r="P128" s="140">
        <f t="shared" si="108"/>
        <v>6.9327165906188318E-3</v>
      </c>
      <c r="Q128" s="140">
        <f t="shared" si="108"/>
        <v>6.5507772201993369E-3</v>
      </c>
      <c r="R128" s="140">
        <f t="shared" si="108"/>
        <v>6.1736950251740095E-3</v>
      </c>
      <c r="S128" s="140">
        <f t="shared" si="108"/>
        <v>6.1364629687808304E-3</v>
      </c>
      <c r="T128" s="140">
        <f t="shared" si="108"/>
        <v>5.9676131108635866E-3</v>
      </c>
      <c r="U128" s="140">
        <f t="shared" si="108"/>
        <v>5.624834838066326E-3</v>
      </c>
      <c r="V128" s="140">
        <f t="shared" si="108"/>
        <v>6.0121578055537545E-3</v>
      </c>
      <c r="W128" s="140">
        <f t="shared" si="108"/>
        <v>5.6913423665145204E-3</v>
      </c>
      <c r="X128" s="140">
        <f t="shared" si="108"/>
        <v>5.2933522349556924E-3</v>
      </c>
      <c r="Y128" s="140">
        <f t="shared" si="108"/>
        <v>5.286571338498908E-3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0.66540650804515322</v>
      </c>
      <c r="C129" s="140">
        <f t="shared" ref="C129:Y129" si="109">IF(C37=0,0,C37/C$34)</f>
        <v>0.68288801577855607</v>
      </c>
      <c r="D129" s="140">
        <f t="shared" si="109"/>
        <v>0.69505144705330268</v>
      </c>
      <c r="E129" s="140">
        <f t="shared" si="109"/>
        <v>0.70686170891297029</v>
      </c>
      <c r="F129" s="140">
        <f t="shared" si="109"/>
        <v>0.71566639669062782</v>
      </c>
      <c r="G129" s="140">
        <f t="shared" si="109"/>
        <v>0.70695970766590044</v>
      </c>
      <c r="H129" s="140">
        <f t="shared" si="109"/>
        <v>0.71134910202864887</v>
      </c>
      <c r="I129" s="140">
        <f t="shared" si="109"/>
        <v>0.72811032618841509</v>
      </c>
      <c r="J129" s="140">
        <f t="shared" si="109"/>
        <v>0.7317832923640597</v>
      </c>
      <c r="K129" s="140">
        <f t="shared" si="109"/>
        <v>0.74688021941162808</v>
      </c>
      <c r="L129" s="140">
        <f t="shared" si="109"/>
        <v>0.73190226700158845</v>
      </c>
      <c r="M129" s="140">
        <f t="shared" si="109"/>
        <v>0.72681546060623659</v>
      </c>
      <c r="N129" s="140">
        <f t="shared" si="109"/>
        <v>0.75368639183051311</v>
      </c>
      <c r="O129" s="140">
        <f t="shared" si="109"/>
        <v>0.74404133879250522</v>
      </c>
      <c r="P129" s="140">
        <f t="shared" si="109"/>
        <v>0.74386226382412657</v>
      </c>
      <c r="Q129" s="140">
        <f t="shared" si="109"/>
        <v>0.75073337357775238</v>
      </c>
      <c r="R129" s="140">
        <f t="shared" si="109"/>
        <v>0.7559276945788943</v>
      </c>
      <c r="S129" s="140">
        <f t="shared" si="109"/>
        <v>0.75252664577429829</v>
      </c>
      <c r="T129" s="140">
        <f t="shared" si="109"/>
        <v>0.74993112982521215</v>
      </c>
      <c r="U129" s="140">
        <f t="shared" si="109"/>
        <v>0.76754551389358294</v>
      </c>
      <c r="V129" s="140">
        <f t="shared" si="109"/>
        <v>0.81993644485100692</v>
      </c>
      <c r="W129" s="140">
        <f t="shared" si="109"/>
        <v>0.81620242311344771</v>
      </c>
      <c r="X129" s="140">
        <f t="shared" si="109"/>
        <v>0.79159391779457933</v>
      </c>
      <c r="Y129" s="140">
        <f t="shared" si="109"/>
        <v>0.78509953950012645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0.16742925424202751</v>
      </c>
      <c r="C130" s="140">
        <f t="shared" ref="C130:Y130" si="110">IF(C38=0,0,C38/C$34)</f>
        <v>0.16208206364826369</v>
      </c>
      <c r="D130" s="140">
        <f t="shared" si="110"/>
        <v>0.1619255817978994</v>
      </c>
      <c r="E130" s="140">
        <f t="shared" si="110"/>
        <v>0.1560577225573094</v>
      </c>
      <c r="F130" s="140">
        <f t="shared" si="110"/>
        <v>0.14552159993633282</v>
      </c>
      <c r="G130" s="140">
        <f t="shared" si="110"/>
        <v>0.14658558327267912</v>
      </c>
      <c r="H130" s="140">
        <f t="shared" si="110"/>
        <v>0.1488321264445997</v>
      </c>
      <c r="I130" s="140">
        <f t="shared" si="110"/>
        <v>0.14298621318308427</v>
      </c>
      <c r="J130" s="140">
        <f t="shared" si="110"/>
        <v>0.13168760143119929</v>
      </c>
      <c r="K130" s="140">
        <f t="shared" si="110"/>
        <v>0.1261496011731979</v>
      </c>
      <c r="L130" s="140">
        <f t="shared" si="110"/>
        <v>0.1375608721502766</v>
      </c>
      <c r="M130" s="140">
        <f t="shared" si="110"/>
        <v>0.13600138963311556</v>
      </c>
      <c r="N130" s="140">
        <f t="shared" si="110"/>
        <v>0.13676074086289597</v>
      </c>
      <c r="O130" s="140">
        <f t="shared" si="110"/>
        <v>0.13580408615883699</v>
      </c>
      <c r="P130" s="140">
        <f t="shared" si="110"/>
        <v>0.1411673570137929</v>
      </c>
      <c r="Q130" s="140">
        <f t="shared" si="110"/>
        <v>0.14060713772266595</v>
      </c>
      <c r="R130" s="140">
        <f t="shared" si="110"/>
        <v>0.13409598317926602</v>
      </c>
      <c r="S130" s="140">
        <f t="shared" si="110"/>
        <v>0.13336495289668099</v>
      </c>
      <c r="T130" s="140">
        <f t="shared" si="110"/>
        <v>0.12735837145708084</v>
      </c>
      <c r="U130" s="140">
        <f t="shared" si="110"/>
        <v>0.11897565905695273</v>
      </c>
      <c r="V130" s="140">
        <f t="shared" si="110"/>
        <v>0.11201135265141715</v>
      </c>
      <c r="W130" s="140">
        <f t="shared" si="110"/>
        <v>0.11315298097734686</v>
      </c>
      <c r="X130" s="140">
        <f t="shared" si="110"/>
        <v>0.10709788790998222</v>
      </c>
      <c r="Y130" s="140">
        <f t="shared" si="110"/>
        <v>0.10021390026500032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5.9114656896230001E-2</v>
      </c>
      <c r="C131" s="124">
        <f t="shared" ref="C131:Y131" si="111">IF(C39=0,0,C39/C$34)</f>
        <v>5.6986909130892924E-2</v>
      </c>
      <c r="D131" s="124">
        <f t="shared" si="111"/>
        <v>5.3402746391454328E-2</v>
      </c>
      <c r="E131" s="124">
        <f t="shared" si="111"/>
        <v>5.1845726595950062E-2</v>
      </c>
      <c r="F131" s="124">
        <f t="shared" si="111"/>
        <v>4.9209946778159687E-2</v>
      </c>
      <c r="G131" s="124">
        <f t="shared" si="111"/>
        <v>4.5826674504456495E-2</v>
      </c>
      <c r="H131" s="124">
        <f t="shared" si="111"/>
        <v>4.3963215904869228E-2</v>
      </c>
      <c r="I131" s="124">
        <f t="shared" si="111"/>
        <v>4.2394299510483645E-2</v>
      </c>
      <c r="J131" s="124">
        <f t="shared" si="111"/>
        <v>4.1710856620091247E-2</v>
      </c>
      <c r="K131" s="124">
        <f t="shared" si="111"/>
        <v>4.5526915520106112E-2</v>
      </c>
      <c r="L131" s="124">
        <f t="shared" si="111"/>
        <v>4.3116971342429741E-2</v>
      </c>
      <c r="M131" s="124">
        <f t="shared" si="111"/>
        <v>4.3648626193777247E-2</v>
      </c>
      <c r="N131" s="124">
        <f t="shared" si="111"/>
        <v>3.8947239114459839E-2</v>
      </c>
      <c r="O131" s="124">
        <f t="shared" si="111"/>
        <v>4.869427025191108E-2</v>
      </c>
      <c r="P131" s="124">
        <f t="shared" si="111"/>
        <v>4.433726455593541E-2</v>
      </c>
      <c r="Q131" s="124">
        <f t="shared" si="111"/>
        <v>4.0135386500352498E-2</v>
      </c>
      <c r="R131" s="124">
        <f t="shared" si="111"/>
        <v>3.8363605683680968E-2</v>
      </c>
      <c r="S131" s="124">
        <f t="shared" si="111"/>
        <v>3.5764483583748896E-2</v>
      </c>
      <c r="T131" s="124">
        <f t="shared" si="111"/>
        <v>3.3762239370609431E-2</v>
      </c>
      <c r="U131" s="124">
        <f t="shared" si="111"/>
        <v>2.9971773165394257E-2</v>
      </c>
      <c r="V131" s="124">
        <f t="shared" si="111"/>
        <v>3.0248056777310902E-2</v>
      </c>
      <c r="W131" s="124">
        <f t="shared" si="111"/>
        <v>2.9563330774958832E-2</v>
      </c>
      <c r="X131" s="124">
        <f t="shared" si="111"/>
        <v>2.7248550595351719E-2</v>
      </c>
      <c r="Y131" s="124">
        <f t="shared" si="111"/>
        <v>2.8562475832288388E-2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6.149337416819398E-3</v>
      </c>
      <c r="C132" s="140">
        <f t="shared" ref="C132:Y132" si="112">IF(C40=0,0,C40/C$34)</f>
        <v>5.9158201966548682E-3</v>
      </c>
      <c r="D132" s="140">
        <f t="shared" si="112"/>
        <v>5.4367188951093765E-3</v>
      </c>
      <c r="E132" s="140">
        <f t="shared" si="112"/>
        <v>5.3182951160280082E-3</v>
      </c>
      <c r="F132" s="140">
        <f t="shared" si="112"/>
        <v>4.9379023122381417E-3</v>
      </c>
      <c r="G132" s="140">
        <f t="shared" si="112"/>
        <v>4.6240820549855056E-3</v>
      </c>
      <c r="H132" s="140">
        <f t="shared" si="112"/>
        <v>4.2171258637381994E-3</v>
      </c>
      <c r="I132" s="140">
        <f t="shared" si="112"/>
        <v>4.2741448836876002E-3</v>
      </c>
      <c r="J132" s="140">
        <f t="shared" si="112"/>
        <v>4.3261309364515874E-3</v>
      </c>
      <c r="K132" s="140">
        <f t="shared" si="112"/>
        <v>4.6710502737681032E-3</v>
      </c>
      <c r="L132" s="140">
        <f t="shared" si="112"/>
        <v>4.9045421391036665E-3</v>
      </c>
      <c r="M132" s="140">
        <f t="shared" si="112"/>
        <v>5.2245822960694747E-3</v>
      </c>
      <c r="N132" s="140">
        <f t="shared" si="112"/>
        <v>5.2634065149152892E-3</v>
      </c>
      <c r="O132" s="140">
        <f t="shared" si="112"/>
        <v>5.3436551980050812E-3</v>
      </c>
      <c r="P132" s="140">
        <f t="shared" si="112"/>
        <v>5.6781186867821097E-3</v>
      </c>
      <c r="Q132" s="140">
        <f t="shared" si="112"/>
        <v>6.0722551034808484E-3</v>
      </c>
      <c r="R132" s="140">
        <f t="shared" si="112"/>
        <v>5.9691851544958902E-3</v>
      </c>
      <c r="S132" s="140">
        <f t="shared" si="112"/>
        <v>5.4693071900305066E-3</v>
      </c>
      <c r="T132" s="140">
        <f t="shared" si="112"/>
        <v>4.2395969185714203E-3</v>
      </c>
      <c r="U132" s="140">
        <f t="shared" si="112"/>
        <v>4.0536323859837881E-3</v>
      </c>
      <c r="V132" s="140">
        <f t="shared" si="112"/>
        <v>4.5301274594995158E-3</v>
      </c>
      <c r="W132" s="140">
        <f t="shared" si="112"/>
        <v>4.1458511367806795E-3</v>
      </c>
      <c r="X132" s="140">
        <f t="shared" si="112"/>
        <v>4.1248866568721508E-3</v>
      </c>
      <c r="Y132" s="140">
        <f t="shared" si="112"/>
        <v>2.9128986940421043E-3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5.2965319479410598E-2</v>
      </c>
      <c r="C133" s="140">
        <f t="shared" ref="C133:Y133" si="113">IF(C41=0,0,C41/C$34)</f>
        <v>5.1071088934238056E-2</v>
      </c>
      <c r="D133" s="140">
        <f t="shared" si="113"/>
        <v>4.7966027496344953E-2</v>
      </c>
      <c r="E133" s="140">
        <f t="shared" si="113"/>
        <v>4.6527431479922055E-2</v>
      </c>
      <c r="F133" s="140">
        <f t="shared" si="113"/>
        <v>4.4272044465921548E-2</v>
      </c>
      <c r="G133" s="140">
        <f t="shared" si="113"/>
        <v>4.1202592449470991E-2</v>
      </c>
      <c r="H133" s="140">
        <f t="shared" si="113"/>
        <v>3.9746090041131027E-2</v>
      </c>
      <c r="I133" s="140">
        <f t="shared" si="113"/>
        <v>3.8120154626796042E-2</v>
      </c>
      <c r="J133" s="140">
        <f t="shared" si="113"/>
        <v>3.7384725683639659E-2</v>
      </c>
      <c r="K133" s="140">
        <f t="shared" si="113"/>
        <v>4.0855865246338011E-2</v>
      </c>
      <c r="L133" s="140">
        <f t="shared" si="113"/>
        <v>3.8212429203326077E-2</v>
      </c>
      <c r="M133" s="140">
        <f t="shared" si="113"/>
        <v>3.8424043897707774E-2</v>
      </c>
      <c r="N133" s="140">
        <f t="shared" si="113"/>
        <v>3.368383259954455E-2</v>
      </c>
      <c r="O133" s="140">
        <f t="shared" si="113"/>
        <v>4.3350615053906007E-2</v>
      </c>
      <c r="P133" s="140">
        <f t="shared" si="113"/>
        <v>3.8659145869153304E-2</v>
      </c>
      <c r="Q133" s="140">
        <f t="shared" si="113"/>
        <v>3.406313139687165E-2</v>
      </c>
      <c r="R133" s="140">
        <f t="shared" si="113"/>
        <v>3.2394420529185085E-2</v>
      </c>
      <c r="S133" s="140">
        <f t="shared" si="113"/>
        <v>3.0295176393718391E-2</v>
      </c>
      <c r="T133" s="140">
        <f t="shared" si="113"/>
        <v>2.9522642452038013E-2</v>
      </c>
      <c r="U133" s="140">
        <f t="shared" si="113"/>
        <v>2.5918140779410469E-2</v>
      </c>
      <c r="V133" s="140">
        <f t="shared" si="113"/>
        <v>2.5717929317811385E-2</v>
      </c>
      <c r="W133" s="140">
        <f t="shared" si="113"/>
        <v>2.5417479638178156E-2</v>
      </c>
      <c r="X133" s="140">
        <f t="shared" si="113"/>
        <v>2.3123663938479568E-2</v>
      </c>
      <c r="Y133" s="140">
        <f t="shared" si="113"/>
        <v>2.5649577138246286E-2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0.10288556877521084</v>
      </c>
      <c r="C135" s="124">
        <f t="shared" ref="C135:Y135" si="115">IF(C43=0,0,C43/C$34)</f>
        <v>9.2974884342004349E-2</v>
      </c>
      <c r="D135" s="124">
        <f t="shared" si="115"/>
        <v>8.4526215849009254E-2</v>
      </c>
      <c r="E135" s="124">
        <f t="shared" si="115"/>
        <v>8.00898936060878E-2</v>
      </c>
      <c r="F135" s="124">
        <f t="shared" si="115"/>
        <v>8.4201453528102585E-2</v>
      </c>
      <c r="G135" s="124">
        <f t="shared" si="115"/>
        <v>9.5002609554963729E-2</v>
      </c>
      <c r="H135" s="124">
        <f t="shared" si="115"/>
        <v>9.0310084428813192E-2</v>
      </c>
      <c r="I135" s="124">
        <f t="shared" si="115"/>
        <v>8.0934693598892618E-2</v>
      </c>
      <c r="J135" s="124">
        <f t="shared" si="115"/>
        <v>8.9149403679307973E-2</v>
      </c>
      <c r="K135" s="124">
        <f t="shared" si="115"/>
        <v>7.584453799862817E-2</v>
      </c>
      <c r="L135" s="124">
        <f t="shared" si="115"/>
        <v>8.1418776824531705E-2</v>
      </c>
      <c r="M135" s="124">
        <f t="shared" si="115"/>
        <v>8.7016714265645737E-2</v>
      </c>
      <c r="N135" s="124">
        <f t="shared" si="115"/>
        <v>6.379360345659088E-2</v>
      </c>
      <c r="O135" s="124">
        <f t="shared" si="115"/>
        <v>6.4209441637295334E-2</v>
      </c>
      <c r="P135" s="124">
        <f t="shared" si="115"/>
        <v>6.3700398015526224E-2</v>
      </c>
      <c r="Q135" s="124">
        <f t="shared" si="115"/>
        <v>6.1973324979029687E-2</v>
      </c>
      <c r="R135" s="124">
        <f t="shared" si="115"/>
        <v>6.5439021532984851E-2</v>
      </c>
      <c r="S135" s="124">
        <f t="shared" si="115"/>
        <v>7.2207454776491112E-2</v>
      </c>
      <c r="T135" s="124">
        <f t="shared" si="115"/>
        <v>8.2980646236234065E-2</v>
      </c>
      <c r="U135" s="124">
        <f t="shared" si="115"/>
        <v>7.7882219046003717E-2</v>
      </c>
      <c r="V135" s="124">
        <f t="shared" si="115"/>
        <v>3.1791987914711425E-2</v>
      </c>
      <c r="W135" s="124">
        <f t="shared" si="115"/>
        <v>3.5389922767732188E-2</v>
      </c>
      <c r="X135" s="124">
        <f t="shared" si="115"/>
        <v>6.8766291465131024E-2</v>
      </c>
      <c r="Y135" s="124">
        <f t="shared" si="115"/>
        <v>8.083751306408582E-2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6.7678127979816441E-2</v>
      </c>
      <c r="C137" s="140">
        <f t="shared" ref="C137:Y137" si="117">IF(C45=0,0,C45/C$34)</f>
        <v>6.1158104022358467E-2</v>
      </c>
      <c r="D137" s="140">
        <f t="shared" si="117"/>
        <v>5.5435746732870508E-2</v>
      </c>
      <c r="E137" s="140">
        <f t="shared" si="117"/>
        <v>5.0893742400352097E-2</v>
      </c>
      <c r="F137" s="140">
        <f t="shared" si="117"/>
        <v>5.7617803998905634E-2</v>
      </c>
      <c r="G137" s="140">
        <f t="shared" si="117"/>
        <v>6.6670108321978241E-2</v>
      </c>
      <c r="H137" s="140">
        <f t="shared" si="117"/>
        <v>6.324923738696045E-2</v>
      </c>
      <c r="I137" s="140">
        <f t="shared" si="117"/>
        <v>5.6656810519691084E-2</v>
      </c>
      <c r="J137" s="140">
        <f t="shared" si="117"/>
        <v>6.2689780023225755E-2</v>
      </c>
      <c r="K137" s="140">
        <f t="shared" si="117"/>
        <v>5.2195545818620799E-2</v>
      </c>
      <c r="L137" s="140">
        <f t="shared" si="117"/>
        <v>5.5665338885747338E-2</v>
      </c>
      <c r="M137" s="140">
        <f t="shared" si="117"/>
        <v>5.9391407926308891E-2</v>
      </c>
      <c r="N137" s="140">
        <f t="shared" si="117"/>
        <v>4.3494334763013807E-2</v>
      </c>
      <c r="O137" s="140">
        <f t="shared" si="117"/>
        <v>4.3944255340071549E-2</v>
      </c>
      <c r="P137" s="140">
        <f t="shared" si="117"/>
        <v>4.3857118180956015E-2</v>
      </c>
      <c r="Q137" s="140">
        <f t="shared" si="117"/>
        <v>4.30378067954248E-2</v>
      </c>
      <c r="R137" s="140">
        <f t="shared" si="117"/>
        <v>4.6661517090487971E-2</v>
      </c>
      <c r="S137" s="140">
        <f t="shared" si="117"/>
        <v>5.2049253996274705E-2</v>
      </c>
      <c r="T137" s="140">
        <f t="shared" si="117"/>
        <v>5.9869981796807262E-2</v>
      </c>
      <c r="U137" s="140">
        <f t="shared" si="117"/>
        <v>5.6217109851730104E-2</v>
      </c>
      <c r="V137" s="140">
        <f t="shared" si="117"/>
        <v>2.0488955258591804E-2</v>
      </c>
      <c r="W137" s="140">
        <f t="shared" si="117"/>
        <v>2.3613185177800623E-2</v>
      </c>
      <c r="X137" s="140">
        <f t="shared" si="117"/>
        <v>5.0013124596777377E-2</v>
      </c>
      <c r="Y137" s="140">
        <f t="shared" si="117"/>
        <v>5.8070443352404424E-2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3.5207440795394396E-2</v>
      </c>
      <c r="C138" s="140">
        <f t="shared" ref="C138:Y138" si="118">IF(C46=0,0,C46/C$34)</f>
        <v>3.1816780319645896E-2</v>
      </c>
      <c r="D138" s="140">
        <f t="shared" si="118"/>
        <v>2.9090469116138749E-2</v>
      </c>
      <c r="E138" s="140">
        <f t="shared" si="118"/>
        <v>2.9196151205735703E-2</v>
      </c>
      <c r="F138" s="140">
        <f t="shared" si="118"/>
        <v>2.6583649529196951E-2</v>
      </c>
      <c r="G138" s="140">
        <f t="shared" si="118"/>
        <v>2.8332501232985498E-2</v>
      </c>
      <c r="H138" s="140">
        <f t="shared" si="118"/>
        <v>2.7060847041852732E-2</v>
      </c>
      <c r="I138" s="140">
        <f t="shared" si="118"/>
        <v>2.4277883079201527E-2</v>
      </c>
      <c r="J138" s="140">
        <f t="shared" si="118"/>
        <v>2.6459623656082225E-2</v>
      </c>
      <c r="K138" s="140">
        <f t="shared" si="118"/>
        <v>2.3648992180007374E-2</v>
      </c>
      <c r="L138" s="140">
        <f t="shared" si="118"/>
        <v>2.575343793878437E-2</v>
      </c>
      <c r="M138" s="140">
        <f t="shared" si="118"/>
        <v>2.7625306339336846E-2</v>
      </c>
      <c r="N138" s="140">
        <f t="shared" si="118"/>
        <v>2.0299268693577063E-2</v>
      </c>
      <c r="O138" s="140">
        <f t="shared" si="118"/>
        <v>2.0265186297223795E-2</v>
      </c>
      <c r="P138" s="140">
        <f t="shared" si="118"/>
        <v>1.9843279834570213E-2</v>
      </c>
      <c r="Q138" s="140">
        <f t="shared" si="118"/>
        <v>1.8935518183604883E-2</v>
      </c>
      <c r="R138" s="140">
        <f t="shared" si="118"/>
        <v>1.8777504442496873E-2</v>
      </c>
      <c r="S138" s="140">
        <f t="shared" si="118"/>
        <v>2.0158200780216403E-2</v>
      </c>
      <c r="T138" s="140">
        <f t="shared" si="118"/>
        <v>2.31106644394268E-2</v>
      </c>
      <c r="U138" s="140">
        <f t="shared" si="118"/>
        <v>2.1665109194273606E-2</v>
      </c>
      <c r="V138" s="140">
        <f t="shared" si="118"/>
        <v>1.130303265611962E-2</v>
      </c>
      <c r="W138" s="140">
        <f t="shared" si="118"/>
        <v>1.1776737589931568E-2</v>
      </c>
      <c r="X138" s="140">
        <f t="shared" si="118"/>
        <v>1.8753166868353655E-2</v>
      </c>
      <c r="Y138" s="140">
        <f t="shared" si="118"/>
        <v>2.2767069711681392E-2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0.95688731582760234</v>
      </c>
      <c r="C140" s="139">
        <f t="shared" ref="C140:Y140" si="121">IF(C48=0,0,C48/C$47)</f>
        <v>0.96209264905677072</v>
      </c>
      <c r="D140" s="139">
        <f t="shared" si="121"/>
        <v>0.96403033595119825</v>
      </c>
      <c r="E140" s="139">
        <f t="shared" si="121"/>
        <v>0.96213977111416005</v>
      </c>
      <c r="F140" s="139">
        <f t="shared" si="121"/>
        <v>0.96872732670881156</v>
      </c>
      <c r="G140" s="139">
        <f t="shared" si="121"/>
        <v>0.97427217319504611</v>
      </c>
      <c r="H140" s="139">
        <f t="shared" si="121"/>
        <v>0.9728709138908963</v>
      </c>
      <c r="I140" s="139">
        <f t="shared" si="121"/>
        <v>0.97301153793929618</v>
      </c>
      <c r="J140" s="139">
        <f t="shared" si="121"/>
        <v>0.9755318740667881</v>
      </c>
      <c r="K140" s="139">
        <f t="shared" si="121"/>
        <v>0.98022718492804661</v>
      </c>
      <c r="L140" s="139">
        <f t="shared" si="121"/>
        <v>0.9763219890184085</v>
      </c>
      <c r="M140" s="139">
        <f t="shared" si="121"/>
        <v>0.97599417736671135</v>
      </c>
      <c r="N140" s="139">
        <f t="shared" si="121"/>
        <v>0.97138590332602259</v>
      </c>
      <c r="O140" s="139">
        <f t="shared" si="121"/>
        <v>0.96458427244348066</v>
      </c>
      <c r="P140" s="139">
        <f t="shared" si="121"/>
        <v>0.97019310342862231</v>
      </c>
      <c r="Q140" s="139">
        <f t="shared" si="121"/>
        <v>0.9753673716505572</v>
      </c>
      <c r="R140" s="139">
        <f t="shared" si="121"/>
        <v>0.97571821754866805</v>
      </c>
      <c r="S140" s="139">
        <f t="shared" si="121"/>
        <v>0.97263139248391073</v>
      </c>
      <c r="T140" s="139">
        <f t="shared" si="121"/>
        <v>0.97522795139620666</v>
      </c>
      <c r="U140" s="139">
        <f t="shared" si="121"/>
        <v>0.97646827265131297</v>
      </c>
      <c r="V140" s="139">
        <f t="shared" si="121"/>
        <v>0.96624089194551077</v>
      </c>
      <c r="W140" s="139">
        <f t="shared" si="121"/>
        <v>0.97223002167356876</v>
      </c>
      <c r="X140" s="139">
        <f t="shared" si="121"/>
        <v>0.9718656434463554</v>
      </c>
      <c r="Y140" s="139">
        <f t="shared" si="121"/>
        <v>0.97492945839512213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0.33439717284976705</v>
      </c>
      <c r="C141" s="140">
        <f t="shared" ref="C141:Y141" si="122">IF(C49=0,0,C49/C$47)</f>
        <v>0.32735804447430927</v>
      </c>
      <c r="D141" s="140">
        <f t="shared" si="122"/>
        <v>0.32365227153566473</v>
      </c>
      <c r="E141" s="140">
        <f t="shared" si="122"/>
        <v>0.32180562249119887</v>
      </c>
      <c r="F141" s="140">
        <f t="shared" si="122"/>
        <v>0.30434143553845933</v>
      </c>
      <c r="G141" s="140">
        <f t="shared" si="122"/>
        <v>0.27105121453485054</v>
      </c>
      <c r="H141" s="140">
        <f t="shared" si="122"/>
        <v>0.25177423344793981</v>
      </c>
      <c r="I141" s="140">
        <f t="shared" si="122"/>
        <v>0.25815858148566767</v>
      </c>
      <c r="J141" s="140">
        <f t="shared" si="122"/>
        <v>0.27024351426654658</v>
      </c>
      <c r="K141" s="140">
        <f t="shared" si="122"/>
        <v>0.32000833730942801</v>
      </c>
      <c r="L141" s="140">
        <f t="shared" si="122"/>
        <v>0.30766201030962226</v>
      </c>
      <c r="M141" s="140">
        <f t="shared" si="122"/>
        <v>0.34312506227483536</v>
      </c>
      <c r="N141" s="140">
        <f t="shared" si="122"/>
        <v>0.38109701265362528</v>
      </c>
      <c r="O141" s="140">
        <f t="shared" si="122"/>
        <v>0.42086286079055535</v>
      </c>
      <c r="P141" s="140">
        <f t="shared" si="122"/>
        <v>0.37750544288891474</v>
      </c>
      <c r="Q141" s="140">
        <f t="shared" si="122"/>
        <v>0.35562077723836066</v>
      </c>
      <c r="R141" s="140">
        <f t="shared" si="122"/>
        <v>0.37109973046215722</v>
      </c>
      <c r="S141" s="140">
        <f t="shared" si="122"/>
        <v>0.37097661754501027</v>
      </c>
      <c r="T141" s="140">
        <f t="shared" si="122"/>
        <v>0.37140177423667009</v>
      </c>
      <c r="U141" s="140">
        <f t="shared" si="122"/>
        <v>0.38641356191807275</v>
      </c>
      <c r="V141" s="140">
        <f t="shared" si="122"/>
        <v>0.44831799066469491</v>
      </c>
      <c r="W141" s="140">
        <f t="shared" si="122"/>
        <v>0.41005941048061367</v>
      </c>
      <c r="X141" s="140">
        <f t="shared" si="122"/>
        <v>0.3949757874470633</v>
      </c>
      <c r="Y141" s="140">
        <f t="shared" si="122"/>
        <v>0.45742525507751713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0.62249014297783523</v>
      </c>
      <c r="C142" s="140">
        <f t="shared" ref="C142:Y142" si="123">IF(C50=0,0,C50/C$47)</f>
        <v>0.63473460458246145</v>
      </c>
      <c r="D142" s="140">
        <f t="shared" si="123"/>
        <v>0.64037806441553347</v>
      </c>
      <c r="E142" s="140">
        <f t="shared" si="123"/>
        <v>0.64033414862296123</v>
      </c>
      <c r="F142" s="140">
        <f t="shared" si="123"/>
        <v>0.66438589117035229</v>
      </c>
      <c r="G142" s="140">
        <f t="shared" si="123"/>
        <v>0.70322095866019552</v>
      </c>
      <c r="H142" s="140">
        <f t="shared" si="123"/>
        <v>0.72109668044295649</v>
      </c>
      <c r="I142" s="140">
        <f t="shared" si="123"/>
        <v>0.71485295645362856</v>
      </c>
      <c r="J142" s="140">
        <f t="shared" si="123"/>
        <v>0.70528835980024163</v>
      </c>
      <c r="K142" s="140">
        <f t="shared" si="123"/>
        <v>0.66021884761861871</v>
      </c>
      <c r="L142" s="140">
        <f t="shared" si="123"/>
        <v>0.66865997870878635</v>
      </c>
      <c r="M142" s="140">
        <f t="shared" si="123"/>
        <v>0.63286911509187593</v>
      </c>
      <c r="N142" s="140">
        <f t="shared" si="123"/>
        <v>0.59028889067239743</v>
      </c>
      <c r="O142" s="140">
        <f t="shared" si="123"/>
        <v>0.54372141165292531</v>
      </c>
      <c r="P142" s="140">
        <f t="shared" si="123"/>
        <v>0.59268766053970756</v>
      </c>
      <c r="Q142" s="140">
        <f t="shared" si="123"/>
        <v>0.61974659441219659</v>
      </c>
      <c r="R142" s="140">
        <f t="shared" si="123"/>
        <v>0.60461848708651078</v>
      </c>
      <c r="S142" s="140">
        <f t="shared" si="123"/>
        <v>0.60165477493890052</v>
      </c>
      <c r="T142" s="140">
        <f t="shared" si="123"/>
        <v>0.60382617715953657</v>
      </c>
      <c r="U142" s="140">
        <f t="shared" si="123"/>
        <v>0.59005471073324012</v>
      </c>
      <c r="V142" s="140">
        <f t="shared" si="123"/>
        <v>0.51792290128081586</v>
      </c>
      <c r="W142" s="140">
        <f t="shared" si="123"/>
        <v>0.56217061119295497</v>
      </c>
      <c r="X142" s="140">
        <f t="shared" si="123"/>
        <v>0.5768898559992921</v>
      </c>
      <c r="Y142" s="140">
        <f t="shared" si="123"/>
        <v>0.51750420331760505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3.7422584715876485E-2</v>
      </c>
      <c r="C143" s="124">
        <f t="shared" ref="C143:Y143" si="124">IF(C51=0,0,C51/C$47)</f>
        <v>3.2263040357383331E-2</v>
      </c>
      <c r="D143" s="124">
        <f t="shared" si="124"/>
        <v>2.9461500442855618E-2</v>
      </c>
      <c r="E143" s="124">
        <f t="shared" si="124"/>
        <v>2.671918893508262E-2</v>
      </c>
      <c r="F143" s="124">
        <f t="shared" si="124"/>
        <v>2.6786303554572378E-2</v>
      </c>
      <c r="G143" s="124">
        <f t="shared" si="124"/>
        <v>2.2056191113945741E-2</v>
      </c>
      <c r="H143" s="124">
        <f t="shared" si="124"/>
        <v>2.3123779010692451E-2</v>
      </c>
      <c r="I143" s="124">
        <f t="shared" si="124"/>
        <v>2.3802115628257299E-2</v>
      </c>
      <c r="J143" s="124">
        <f t="shared" si="124"/>
        <v>2.1526810416471486E-2</v>
      </c>
      <c r="K143" s="124">
        <f t="shared" si="124"/>
        <v>1.6996485692781511E-2</v>
      </c>
      <c r="L143" s="124">
        <f t="shared" si="124"/>
        <v>2.0259275647102948E-2</v>
      </c>
      <c r="M143" s="124">
        <f t="shared" si="124"/>
        <v>2.0134710876916685E-2</v>
      </c>
      <c r="N143" s="124">
        <f t="shared" si="124"/>
        <v>2.0956211727309323E-2</v>
      </c>
      <c r="O143" s="124">
        <f t="shared" si="124"/>
        <v>2.7515295851704209E-2</v>
      </c>
      <c r="P143" s="124">
        <f t="shared" si="124"/>
        <v>2.3047279399151775E-2</v>
      </c>
      <c r="Q143" s="124">
        <f t="shared" si="124"/>
        <v>1.8641724822545766E-2</v>
      </c>
      <c r="R143" s="124">
        <f t="shared" si="124"/>
        <v>1.8673266185737582E-2</v>
      </c>
      <c r="S143" s="124">
        <f t="shared" si="124"/>
        <v>2.1719920121597087E-2</v>
      </c>
      <c r="T143" s="124">
        <f t="shared" si="124"/>
        <v>1.905382512294173E-2</v>
      </c>
      <c r="U143" s="124">
        <f t="shared" si="124"/>
        <v>1.8171430063219567E-2</v>
      </c>
      <c r="V143" s="124">
        <f t="shared" si="124"/>
        <v>2.7413274455653142E-2</v>
      </c>
      <c r="W143" s="124">
        <f t="shared" si="124"/>
        <v>2.1149317005085062E-2</v>
      </c>
      <c r="X143" s="124">
        <f t="shared" si="124"/>
        <v>1.9821152959271997E-2</v>
      </c>
      <c r="Y143" s="124">
        <f t="shared" si="124"/>
        <v>1.7865397785536502E-2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4.6803060523866171E-3</v>
      </c>
      <c r="C144" s="124">
        <f t="shared" ref="C144:Y144" si="125">IF(C52=0,0,C52/C$47)</f>
        <v>4.690625857099417E-3</v>
      </c>
      <c r="D144" s="124">
        <f t="shared" si="125"/>
        <v>4.7722272867001866E-3</v>
      </c>
      <c r="E144" s="124">
        <f t="shared" si="125"/>
        <v>3.6859288449410193E-3</v>
      </c>
      <c r="F144" s="124">
        <f t="shared" si="125"/>
        <v>2.9416244641683586E-3</v>
      </c>
      <c r="G144" s="124">
        <f t="shared" si="125"/>
        <v>3.0314415751362864E-3</v>
      </c>
      <c r="H144" s="124">
        <f t="shared" si="125"/>
        <v>3.4066423174135426E-3</v>
      </c>
      <c r="I144" s="124">
        <f t="shared" si="125"/>
        <v>2.5954418139422166E-3</v>
      </c>
      <c r="J144" s="124">
        <f t="shared" si="125"/>
        <v>2.3818138970254721E-3</v>
      </c>
      <c r="K144" s="124">
        <f t="shared" si="125"/>
        <v>2.1930107897798231E-3</v>
      </c>
      <c r="L144" s="124">
        <f t="shared" si="125"/>
        <v>2.7598023680306984E-3</v>
      </c>
      <c r="M144" s="124">
        <f t="shared" si="125"/>
        <v>3.1396315785095033E-3</v>
      </c>
      <c r="N144" s="124">
        <f t="shared" si="125"/>
        <v>2.8333696707846844E-3</v>
      </c>
      <c r="O144" s="124">
        <f t="shared" si="125"/>
        <v>3.4074928989706885E-3</v>
      </c>
      <c r="P144" s="124">
        <f t="shared" si="125"/>
        <v>2.3821707035555886E-3</v>
      </c>
      <c r="Q144" s="124">
        <f t="shared" si="125"/>
        <v>2.1313233403739791E-3</v>
      </c>
      <c r="R144" s="124">
        <f t="shared" si="125"/>
        <v>2.2482278680524478E-3</v>
      </c>
      <c r="S144" s="124">
        <f t="shared" si="125"/>
        <v>2.4865323506598467E-3</v>
      </c>
      <c r="T144" s="124">
        <f t="shared" si="125"/>
        <v>2.7428378302221715E-3</v>
      </c>
      <c r="U144" s="124">
        <f t="shared" si="125"/>
        <v>2.4117699027616955E-3</v>
      </c>
      <c r="V144" s="124">
        <f t="shared" si="125"/>
        <v>3.5759146953025069E-3</v>
      </c>
      <c r="W144" s="124">
        <f t="shared" si="125"/>
        <v>4.8654642898577731E-3</v>
      </c>
      <c r="X144" s="124">
        <f t="shared" si="125"/>
        <v>6.1792751243734843E-3</v>
      </c>
      <c r="Y144" s="124">
        <f t="shared" si="125"/>
        <v>5.3068666645393258E-3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3.5198954283684109E-3</v>
      </c>
      <c r="C146" s="140">
        <f t="shared" ref="C146:Y146" si="127">IF(C54=0,0,C54/C$47)</f>
        <v>3.675681124673241E-3</v>
      </c>
      <c r="D146" s="140">
        <f t="shared" si="127"/>
        <v>4.318740537915056E-3</v>
      </c>
      <c r="E146" s="140">
        <f t="shared" si="127"/>
        <v>3.2531496438009187E-3</v>
      </c>
      <c r="F146" s="140">
        <f t="shared" si="127"/>
        <v>2.6764024818697195E-3</v>
      </c>
      <c r="G146" s="140">
        <f t="shared" si="127"/>
        <v>2.7350671485026844E-3</v>
      </c>
      <c r="H146" s="140">
        <f t="shared" si="127"/>
        <v>1.9107111706486251E-3</v>
      </c>
      <c r="I146" s="140">
        <f t="shared" si="127"/>
        <v>2.0725859417914118E-3</v>
      </c>
      <c r="J146" s="140">
        <f t="shared" si="127"/>
        <v>1.6999222714729016E-3</v>
      </c>
      <c r="K146" s="140">
        <f t="shared" si="127"/>
        <v>1.5351584428666086E-3</v>
      </c>
      <c r="L146" s="140">
        <f t="shared" si="127"/>
        <v>1.8739730044901107E-3</v>
      </c>
      <c r="M146" s="140">
        <f t="shared" si="127"/>
        <v>2.6940854625900771E-3</v>
      </c>
      <c r="N146" s="140">
        <f t="shared" si="127"/>
        <v>2.31715015276993E-3</v>
      </c>
      <c r="O146" s="140">
        <f t="shared" si="127"/>
        <v>2.7582479208156062E-3</v>
      </c>
      <c r="P146" s="140">
        <f t="shared" si="127"/>
        <v>2.1320165555733499E-3</v>
      </c>
      <c r="Q146" s="140">
        <f t="shared" si="127"/>
        <v>1.9097634398920137E-3</v>
      </c>
      <c r="R146" s="140">
        <f t="shared" si="127"/>
        <v>1.8824779671040941E-3</v>
      </c>
      <c r="S146" s="140">
        <f t="shared" si="127"/>
        <v>2.1181808036038635E-3</v>
      </c>
      <c r="T146" s="140">
        <f t="shared" si="127"/>
        <v>2.3700775627960319E-3</v>
      </c>
      <c r="U146" s="140">
        <f t="shared" si="127"/>
        <v>1.8841121034729178E-3</v>
      </c>
      <c r="V146" s="140">
        <f t="shared" si="127"/>
        <v>2.4919575313682068E-3</v>
      </c>
      <c r="W146" s="140">
        <f t="shared" si="127"/>
        <v>2.9323571739887089E-3</v>
      </c>
      <c r="X146" s="140">
        <f t="shared" si="127"/>
        <v>2.9019570810175045E-3</v>
      </c>
      <c r="Y146" s="140">
        <f t="shared" si="127"/>
        <v>3.2793337140910005E-3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1.1604106240182071E-3</v>
      </c>
      <c r="C147" s="140">
        <f t="shared" ref="C147:Y147" si="128">IF(C55=0,0,C55/C$47)</f>
        <v>1.0149447324261757E-3</v>
      </c>
      <c r="D147" s="140">
        <f t="shared" si="128"/>
        <v>4.5348674878513016E-4</v>
      </c>
      <c r="E147" s="140">
        <f t="shared" si="128"/>
        <v>4.3277920114010034E-4</v>
      </c>
      <c r="F147" s="140">
        <f t="shared" si="128"/>
        <v>2.6522198229863924E-4</v>
      </c>
      <c r="G147" s="140">
        <f t="shared" si="128"/>
        <v>2.9637442663360178E-4</v>
      </c>
      <c r="H147" s="140">
        <f t="shared" si="128"/>
        <v>1.4959311467649175E-3</v>
      </c>
      <c r="I147" s="140">
        <f t="shared" si="128"/>
        <v>5.2285587215080494E-4</v>
      </c>
      <c r="J147" s="140">
        <f t="shared" si="128"/>
        <v>6.8189162555257025E-4</v>
      </c>
      <c r="K147" s="140">
        <f t="shared" si="128"/>
        <v>6.5785234691321441E-4</v>
      </c>
      <c r="L147" s="140">
        <f t="shared" si="128"/>
        <v>8.8582936354058791E-4</v>
      </c>
      <c r="M147" s="140">
        <f t="shared" si="128"/>
        <v>4.4554611591942625E-4</v>
      </c>
      <c r="N147" s="140">
        <f t="shared" si="128"/>
        <v>5.1621951801475452E-4</v>
      </c>
      <c r="O147" s="140">
        <f t="shared" si="128"/>
        <v>6.4924497815508232E-4</v>
      </c>
      <c r="P147" s="140">
        <f t="shared" si="128"/>
        <v>2.501541479822387E-4</v>
      </c>
      <c r="Q147" s="140">
        <f t="shared" si="128"/>
        <v>2.215599004819653E-4</v>
      </c>
      <c r="R147" s="140">
        <f t="shared" si="128"/>
        <v>3.6574990094835386E-4</v>
      </c>
      <c r="S147" s="140">
        <f t="shared" si="128"/>
        <v>3.6835154705598341E-4</v>
      </c>
      <c r="T147" s="140">
        <f t="shared" si="128"/>
        <v>3.7276026742613964E-4</v>
      </c>
      <c r="U147" s="140">
        <f t="shared" si="128"/>
        <v>5.276577992887778E-4</v>
      </c>
      <c r="V147" s="140">
        <f t="shared" si="128"/>
        <v>1.0839571639342999E-3</v>
      </c>
      <c r="W147" s="140">
        <f t="shared" si="128"/>
        <v>1.9331071158690649E-3</v>
      </c>
      <c r="X147" s="140">
        <f t="shared" si="128"/>
        <v>3.2773180433559802E-3</v>
      </c>
      <c r="Y147" s="140">
        <f t="shared" si="128"/>
        <v>2.0275329504483249E-3</v>
      </c>
      <c r="DA147" s="175"/>
    </row>
    <row r="148" spans="1:105" ht="11.45" customHeight="1" x14ac:dyDescent="0.25">
      <c r="A148" s="109" t="s">
        <v>141</v>
      </c>
      <c r="B148" s="124">
        <f t="shared" si="119"/>
        <v>1.0097934041346055E-3</v>
      </c>
      <c r="C148" s="124">
        <f t="shared" ref="C148:Y148" si="129">IF(C56=0,0,C56/C$47)</f>
        <v>9.5368472874641065E-4</v>
      </c>
      <c r="D148" s="124">
        <f t="shared" si="129"/>
        <v>1.7359363192460833E-3</v>
      </c>
      <c r="E148" s="124">
        <f t="shared" si="129"/>
        <v>7.4551111058163769E-3</v>
      </c>
      <c r="F148" s="124">
        <f t="shared" si="129"/>
        <v>1.5447452724478828E-3</v>
      </c>
      <c r="G148" s="124">
        <f t="shared" si="129"/>
        <v>6.4019411587180853E-4</v>
      </c>
      <c r="H148" s="124">
        <f t="shared" si="129"/>
        <v>5.9866478099768932E-4</v>
      </c>
      <c r="I148" s="124">
        <f t="shared" si="129"/>
        <v>5.9090461850420624E-4</v>
      </c>
      <c r="J148" s="124">
        <f t="shared" si="129"/>
        <v>5.5950161971486992E-4</v>
      </c>
      <c r="K148" s="124">
        <f t="shared" si="129"/>
        <v>5.8331858939196599E-4</v>
      </c>
      <c r="L148" s="124">
        <f t="shared" si="129"/>
        <v>6.5893296645779637E-4</v>
      </c>
      <c r="M148" s="124">
        <f t="shared" si="129"/>
        <v>7.3148017786247817E-4</v>
      </c>
      <c r="N148" s="124">
        <f t="shared" si="129"/>
        <v>4.8245152758835041E-3</v>
      </c>
      <c r="O148" s="124">
        <f t="shared" si="129"/>
        <v>4.4929388058444894E-3</v>
      </c>
      <c r="P148" s="124">
        <f t="shared" si="129"/>
        <v>4.3774464686703422E-3</v>
      </c>
      <c r="Q148" s="124">
        <f t="shared" si="129"/>
        <v>3.8595801865230661E-3</v>
      </c>
      <c r="R148" s="124">
        <f t="shared" si="129"/>
        <v>3.360288397541837E-3</v>
      </c>
      <c r="S148" s="124">
        <f t="shared" si="129"/>
        <v>3.1621550438324462E-3</v>
      </c>
      <c r="T148" s="124">
        <f t="shared" si="129"/>
        <v>2.9753856506295373E-3</v>
      </c>
      <c r="U148" s="124">
        <f t="shared" si="129"/>
        <v>2.9485273827057693E-3</v>
      </c>
      <c r="V148" s="124">
        <f t="shared" si="129"/>
        <v>2.7699189035335337E-3</v>
      </c>
      <c r="W148" s="124">
        <f t="shared" si="129"/>
        <v>1.75519703148842E-3</v>
      </c>
      <c r="X148" s="124">
        <f t="shared" si="129"/>
        <v>2.1339284699991028E-3</v>
      </c>
      <c r="Y148" s="124">
        <f t="shared" si="129"/>
        <v>1.8982771548020591E-3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1.0097934041346055E-3</v>
      </c>
      <c r="C150" s="127">
        <f t="shared" ref="C150:Y150" si="131">IF(C58=0,0,C58/C$47)</f>
        <v>9.5368472874641065E-4</v>
      </c>
      <c r="D150" s="127">
        <f t="shared" si="131"/>
        <v>1.7359363192460833E-3</v>
      </c>
      <c r="E150" s="127">
        <f t="shared" si="131"/>
        <v>7.4551111058163769E-3</v>
      </c>
      <c r="F150" s="127">
        <f t="shared" si="131"/>
        <v>1.5447452724478828E-3</v>
      </c>
      <c r="G150" s="127">
        <f t="shared" si="131"/>
        <v>6.4019411587180853E-4</v>
      </c>
      <c r="H150" s="127">
        <f t="shared" si="131"/>
        <v>5.9866478099768932E-4</v>
      </c>
      <c r="I150" s="127">
        <f t="shared" si="131"/>
        <v>5.9090461850420624E-4</v>
      </c>
      <c r="J150" s="127">
        <f t="shared" si="131"/>
        <v>5.5950161971486992E-4</v>
      </c>
      <c r="K150" s="127">
        <f t="shared" si="131"/>
        <v>5.8331858939196599E-4</v>
      </c>
      <c r="L150" s="127">
        <f t="shared" si="131"/>
        <v>6.5893296645779637E-4</v>
      </c>
      <c r="M150" s="127">
        <f t="shared" si="131"/>
        <v>7.3148017786247817E-4</v>
      </c>
      <c r="N150" s="127">
        <f t="shared" si="131"/>
        <v>4.8245152758835041E-3</v>
      </c>
      <c r="O150" s="127">
        <f t="shared" si="131"/>
        <v>4.4929388058444894E-3</v>
      </c>
      <c r="P150" s="127">
        <f t="shared" si="131"/>
        <v>4.3774464686703422E-3</v>
      </c>
      <c r="Q150" s="127">
        <f t="shared" si="131"/>
        <v>3.8595801865230661E-3</v>
      </c>
      <c r="R150" s="127">
        <f t="shared" si="131"/>
        <v>3.360288397541837E-3</v>
      </c>
      <c r="S150" s="127">
        <f t="shared" si="131"/>
        <v>3.1621550438324462E-3</v>
      </c>
      <c r="T150" s="127">
        <f t="shared" si="131"/>
        <v>2.9753856506295373E-3</v>
      </c>
      <c r="U150" s="127">
        <f t="shared" si="131"/>
        <v>2.9485273827057693E-3</v>
      </c>
      <c r="V150" s="127">
        <f t="shared" si="131"/>
        <v>2.7699189035335337E-3</v>
      </c>
      <c r="W150" s="127">
        <f t="shared" si="131"/>
        <v>1.75519703148842E-3</v>
      </c>
      <c r="X150" s="127">
        <f t="shared" si="131"/>
        <v>2.1339284699991028E-3</v>
      </c>
      <c r="Y150" s="127">
        <f t="shared" si="131"/>
        <v>1.8982771548020591E-3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0</v>
      </c>
      <c r="J151" s="31">
        <f t="shared" si="132"/>
        <v>0</v>
      </c>
      <c r="K151" s="31">
        <f t="shared" si="132"/>
        <v>0</v>
      </c>
      <c r="L151" s="31">
        <f t="shared" si="132"/>
        <v>0</v>
      </c>
      <c r="M151" s="31">
        <f t="shared" si="132"/>
        <v>0</v>
      </c>
      <c r="N151" s="31">
        <f t="shared" si="132"/>
        <v>0</v>
      </c>
      <c r="O151" s="31">
        <f t="shared" si="132"/>
        <v>0</v>
      </c>
      <c r="P151" s="31">
        <f t="shared" si="132"/>
        <v>0</v>
      </c>
      <c r="Q151" s="31">
        <f t="shared" si="132"/>
        <v>0</v>
      </c>
      <c r="R151" s="31">
        <f t="shared" si="132"/>
        <v>0</v>
      </c>
      <c r="S151" s="31">
        <f t="shared" si="132"/>
        <v>0</v>
      </c>
      <c r="T151" s="31">
        <f t="shared" si="132"/>
        <v>0</v>
      </c>
      <c r="U151" s="31">
        <f t="shared" si="132"/>
        <v>0</v>
      </c>
      <c r="V151" s="31">
        <f t="shared" si="132"/>
        <v>0</v>
      </c>
      <c r="W151" s="31">
        <f t="shared" si="132"/>
        <v>0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</v>
      </c>
      <c r="J152" s="140">
        <f t="shared" si="133"/>
        <v>0</v>
      </c>
      <c r="K152" s="140">
        <f t="shared" si="133"/>
        <v>0</v>
      </c>
      <c r="L152" s="140">
        <f t="shared" si="133"/>
        <v>0</v>
      </c>
      <c r="M152" s="140">
        <f t="shared" si="133"/>
        <v>0</v>
      </c>
      <c r="N152" s="140">
        <f t="shared" si="133"/>
        <v>0</v>
      </c>
      <c r="O152" s="140">
        <f t="shared" si="133"/>
        <v>0</v>
      </c>
      <c r="P152" s="140">
        <f t="shared" si="133"/>
        <v>0</v>
      </c>
      <c r="Q152" s="140">
        <f t="shared" si="133"/>
        <v>0</v>
      </c>
      <c r="R152" s="140">
        <f t="shared" si="133"/>
        <v>0</v>
      </c>
      <c r="S152" s="140">
        <f t="shared" si="133"/>
        <v>0</v>
      </c>
      <c r="T152" s="140">
        <f t="shared" si="133"/>
        <v>0</v>
      </c>
      <c r="U152" s="140">
        <f t="shared" si="133"/>
        <v>0</v>
      </c>
      <c r="V152" s="140">
        <f t="shared" si="133"/>
        <v>0</v>
      </c>
      <c r="W152" s="140">
        <f t="shared" si="133"/>
        <v>0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</v>
      </c>
      <c r="J153" s="127">
        <f t="shared" si="134"/>
        <v>0</v>
      </c>
      <c r="K153" s="127">
        <f t="shared" si="134"/>
        <v>0</v>
      </c>
      <c r="L153" s="127">
        <f t="shared" si="134"/>
        <v>0</v>
      </c>
      <c r="M153" s="127">
        <f t="shared" si="134"/>
        <v>0</v>
      </c>
      <c r="N153" s="127">
        <f t="shared" si="134"/>
        <v>0</v>
      </c>
      <c r="O153" s="127">
        <f t="shared" si="134"/>
        <v>0</v>
      </c>
      <c r="P153" s="127">
        <f t="shared" si="134"/>
        <v>0</v>
      </c>
      <c r="Q153" s="127">
        <f t="shared" si="134"/>
        <v>0</v>
      </c>
      <c r="R153" s="127">
        <f t="shared" si="134"/>
        <v>0</v>
      </c>
      <c r="S153" s="127">
        <f t="shared" si="134"/>
        <v>0</v>
      </c>
      <c r="T153" s="127">
        <f t="shared" si="134"/>
        <v>0</v>
      </c>
      <c r="U153" s="127">
        <f t="shared" si="134"/>
        <v>0</v>
      </c>
      <c r="V153" s="127">
        <f t="shared" si="134"/>
        <v>0</v>
      </c>
      <c r="W153" s="127">
        <f t="shared" si="134"/>
        <v>0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0.85861970527436482</v>
      </c>
      <c r="C157" s="139">
        <f t="shared" ref="C157:W157" si="138">IF(C65=0,0,C65/C$64)</f>
        <v>0.87081185435963937</v>
      </c>
      <c r="D157" s="139">
        <f t="shared" si="138"/>
        <v>0.88196038862025972</v>
      </c>
      <c r="E157" s="139">
        <f t="shared" si="138"/>
        <v>0.88846957136247884</v>
      </c>
      <c r="F157" s="139">
        <f t="shared" si="138"/>
        <v>0.88703119788875673</v>
      </c>
      <c r="G157" s="139">
        <f t="shared" si="138"/>
        <v>0.87888595301356121</v>
      </c>
      <c r="H157" s="139">
        <f t="shared" si="138"/>
        <v>0.88672042692333652</v>
      </c>
      <c r="I157" s="139">
        <f t="shared" si="138"/>
        <v>0.89735845021154614</v>
      </c>
      <c r="J157" s="139">
        <f t="shared" si="138"/>
        <v>0.88630719735823549</v>
      </c>
      <c r="K157" s="139">
        <f t="shared" si="138"/>
        <v>0.89848423039428937</v>
      </c>
      <c r="L157" s="139">
        <f t="shared" si="138"/>
        <v>0.89330386341202184</v>
      </c>
      <c r="M157" s="139">
        <f t="shared" si="138"/>
        <v>0.88806045726252136</v>
      </c>
      <c r="N157" s="139">
        <f t="shared" si="138"/>
        <v>0.91616701217132179</v>
      </c>
      <c r="O157" s="139">
        <f t="shared" si="138"/>
        <v>0.91238644936728541</v>
      </c>
      <c r="P157" s="139">
        <f t="shared" si="138"/>
        <v>0.91233185561121999</v>
      </c>
      <c r="Q157" s="139">
        <f t="shared" si="138"/>
        <v>0.91917791886304012</v>
      </c>
      <c r="R157" s="139">
        <f t="shared" si="138"/>
        <v>0.91621727338738579</v>
      </c>
      <c r="S157" s="139">
        <f t="shared" si="138"/>
        <v>0.91011052227206568</v>
      </c>
      <c r="T157" s="139">
        <f t="shared" si="138"/>
        <v>0.89967238749029121</v>
      </c>
      <c r="U157" s="139">
        <f t="shared" si="138"/>
        <v>0.90742767154748394</v>
      </c>
      <c r="V157" s="139">
        <f t="shared" si="138"/>
        <v>0.9561071186781156</v>
      </c>
      <c r="W157" s="139">
        <f t="shared" si="138"/>
        <v>0.95317101505915836</v>
      </c>
      <c r="X157" s="139">
        <f t="shared" ref="X157:Y157" si="139">IF(X65=0,0,X65/X$64)</f>
        <v>0.9181301142903826</v>
      </c>
      <c r="Y157" s="139">
        <f t="shared" si="139"/>
        <v>0.90374176074353052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5.1904836261966085E-3</v>
      </c>
      <c r="C158" s="140">
        <f t="shared" ref="C158:W158" si="140">IF(C66=0,0,C66/C$64)</f>
        <v>5.0932804032970255E-3</v>
      </c>
      <c r="D158" s="140">
        <f t="shared" si="140"/>
        <v>5.1083773610340272E-3</v>
      </c>
      <c r="E158" s="140">
        <f t="shared" si="140"/>
        <v>5.1670034052999558E-3</v>
      </c>
      <c r="F158" s="140">
        <f t="shared" si="140"/>
        <v>5.4181595305686728E-3</v>
      </c>
      <c r="G158" s="140">
        <f t="shared" si="140"/>
        <v>5.6357672544882073E-3</v>
      </c>
      <c r="H158" s="140">
        <f t="shared" si="140"/>
        <v>5.5396041301691203E-3</v>
      </c>
      <c r="I158" s="140">
        <f t="shared" si="140"/>
        <v>5.5406864472288273E-3</v>
      </c>
      <c r="J158" s="140">
        <f t="shared" si="140"/>
        <v>5.6773896320099397E-3</v>
      </c>
      <c r="K158" s="140">
        <f t="shared" si="140"/>
        <v>5.6236785471440419E-3</v>
      </c>
      <c r="L158" s="140">
        <f t="shared" si="140"/>
        <v>5.9763178461768839E-3</v>
      </c>
      <c r="M158" s="140">
        <f t="shared" si="140"/>
        <v>6.4844482384876986E-3</v>
      </c>
      <c r="N158" s="140">
        <f t="shared" si="140"/>
        <v>6.7791781900946183E-3</v>
      </c>
      <c r="O158" s="140">
        <f t="shared" si="140"/>
        <v>7.3324297464585292E-3</v>
      </c>
      <c r="P158" s="140">
        <f t="shared" si="140"/>
        <v>6.9148650013355047E-3</v>
      </c>
      <c r="Q158" s="140">
        <f t="shared" si="140"/>
        <v>6.5651430172625567E-3</v>
      </c>
      <c r="R158" s="140">
        <f t="shared" si="140"/>
        <v>6.1854286656210893E-3</v>
      </c>
      <c r="S158" s="140">
        <f t="shared" si="140"/>
        <v>6.0942746891287135E-3</v>
      </c>
      <c r="T158" s="140">
        <f t="shared" si="140"/>
        <v>5.9196731596089193E-3</v>
      </c>
      <c r="U158" s="140">
        <f t="shared" si="140"/>
        <v>5.5912672661855428E-3</v>
      </c>
      <c r="V158" s="140">
        <f t="shared" si="140"/>
        <v>5.9569539939088945E-3</v>
      </c>
      <c r="W158" s="140">
        <f t="shared" si="140"/>
        <v>5.6227005499887087E-3</v>
      </c>
      <c r="X158" s="140">
        <f t="shared" ref="X158:Y158" si="141">IF(X66=0,0,X66/X$64)</f>
        <v>5.2149124144272689E-3</v>
      </c>
      <c r="Y158" s="140">
        <f t="shared" si="141"/>
        <v>5.2379061922844762E-3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0.67557844965705449</v>
      </c>
      <c r="C159" s="140">
        <f t="shared" ref="C159:W159" si="142">IF(C67=0,0,C67/C$64)</f>
        <v>0.69353332819458735</v>
      </c>
      <c r="D159" s="140">
        <f t="shared" si="142"/>
        <v>0.70512728669668412</v>
      </c>
      <c r="E159" s="140">
        <f t="shared" si="142"/>
        <v>0.71755337549141929</v>
      </c>
      <c r="F159" s="140">
        <f t="shared" si="142"/>
        <v>0.72722783301188654</v>
      </c>
      <c r="G159" s="140">
        <f t="shared" si="142"/>
        <v>0.7171015707176176</v>
      </c>
      <c r="H159" s="140">
        <f t="shared" si="142"/>
        <v>0.72208168422446883</v>
      </c>
      <c r="I159" s="140">
        <f t="shared" si="142"/>
        <v>0.73820996217671109</v>
      </c>
      <c r="J159" s="140">
        <f t="shared" si="142"/>
        <v>0.74241330861748989</v>
      </c>
      <c r="K159" s="140">
        <f t="shared" si="142"/>
        <v>0.76026612425496021</v>
      </c>
      <c r="L159" s="140">
        <f t="shared" si="142"/>
        <v>0.742354273419917</v>
      </c>
      <c r="M159" s="140">
        <f t="shared" si="142"/>
        <v>0.73777662454775739</v>
      </c>
      <c r="N159" s="140">
        <f t="shared" si="142"/>
        <v>0.76525112269207829</v>
      </c>
      <c r="O159" s="140">
        <f t="shared" si="142"/>
        <v>0.76232784374977269</v>
      </c>
      <c r="P159" s="140">
        <f t="shared" si="142"/>
        <v>0.75636685908017087</v>
      </c>
      <c r="Q159" s="140">
        <f t="shared" si="142"/>
        <v>0.76515114940223383</v>
      </c>
      <c r="R159" s="140">
        <f t="shared" si="142"/>
        <v>0.77013343946425383</v>
      </c>
      <c r="S159" s="140">
        <f t="shared" si="142"/>
        <v>0.76438557461767476</v>
      </c>
      <c r="T159" s="140">
        <f t="shared" si="142"/>
        <v>0.76088506984775128</v>
      </c>
      <c r="U159" s="140">
        <f t="shared" si="142"/>
        <v>0.77838367983679102</v>
      </c>
      <c r="V159" s="140">
        <f t="shared" si="142"/>
        <v>0.83319141729661228</v>
      </c>
      <c r="W159" s="140">
        <f t="shared" si="142"/>
        <v>0.82908220542473021</v>
      </c>
      <c r="X159" s="140">
        <f t="shared" ref="X159:Y159" si="143">IF(X67=0,0,X67/X$64)</f>
        <v>0.80131256459325306</v>
      </c>
      <c r="Y159" s="140">
        <f t="shared" si="143"/>
        <v>0.79492379244776479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0.17785077199111368</v>
      </c>
      <c r="C160" s="140">
        <f t="shared" ref="C160:W160" si="144">IF(C68=0,0,C68/C$64)</f>
        <v>0.17218524576175503</v>
      </c>
      <c r="D160" s="140">
        <f t="shared" si="144"/>
        <v>0.17172472456254162</v>
      </c>
      <c r="E160" s="140">
        <f t="shared" si="144"/>
        <v>0.16574919246575964</v>
      </c>
      <c r="F160" s="140">
        <f t="shared" si="144"/>
        <v>0.1543852053463014</v>
      </c>
      <c r="G160" s="140">
        <f t="shared" si="144"/>
        <v>0.15614861504145536</v>
      </c>
      <c r="H160" s="140">
        <f t="shared" si="144"/>
        <v>0.15909913856869867</v>
      </c>
      <c r="I160" s="140">
        <f t="shared" si="144"/>
        <v>0.15360780158760623</v>
      </c>
      <c r="J160" s="140">
        <f t="shared" si="144"/>
        <v>0.13821649910873574</v>
      </c>
      <c r="K160" s="140">
        <f t="shared" si="144"/>
        <v>0.13259442759218507</v>
      </c>
      <c r="L160" s="140">
        <f t="shared" si="144"/>
        <v>0.1449732721459279</v>
      </c>
      <c r="M160" s="140">
        <f t="shared" si="144"/>
        <v>0.14379938447627638</v>
      </c>
      <c r="N160" s="140">
        <f t="shared" si="144"/>
        <v>0.14413671128914887</v>
      </c>
      <c r="O160" s="140">
        <f t="shared" si="144"/>
        <v>0.14272617587105421</v>
      </c>
      <c r="P160" s="140">
        <f t="shared" si="144"/>
        <v>0.14905013152971369</v>
      </c>
      <c r="Q160" s="140">
        <f t="shared" si="144"/>
        <v>0.1474616264435438</v>
      </c>
      <c r="R160" s="140">
        <f t="shared" si="144"/>
        <v>0.13989840525751093</v>
      </c>
      <c r="S160" s="140">
        <f t="shared" si="144"/>
        <v>0.13963067296526233</v>
      </c>
      <c r="T160" s="140">
        <f t="shared" si="144"/>
        <v>0.13286764448293101</v>
      </c>
      <c r="U160" s="140">
        <f t="shared" si="144"/>
        <v>0.12345272444450735</v>
      </c>
      <c r="V160" s="140">
        <f t="shared" si="144"/>
        <v>0.11695874738759432</v>
      </c>
      <c r="W160" s="140">
        <f t="shared" si="144"/>
        <v>0.11846610908443946</v>
      </c>
      <c r="X160" s="140">
        <f t="shared" ref="X160:Y160" si="145">IF(X68=0,0,X68/X$64)</f>
        <v>0.11160263728270224</v>
      </c>
      <c r="Y160" s="140">
        <f t="shared" si="145"/>
        <v>0.10358006210348114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3.413742852669252E-2</v>
      </c>
      <c r="C161" s="124">
        <f t="shared" ref="C161:W161" si="146">IF(C69=0,0,C69/C$64)</f>
        <v>3.2270325059672637E-2</v>
      </c>
      <c r="D161" s="124">
        <f t="shared" si="146"/>
        <v>3.0117886343227943E-2</v>
      </c>
      <c r="E161" s="124">
        <f t="shared" si="146"/>
        <v>2.8101888677112725E-2</v>
      </c>
      <c r="F161" s="124">
        <f t="shared" si="146"/>
        <v>2.5334577878364215E-2</v>
      </c>
      <c r="G161" s="124">
        <f t="shared" si="146"/>
        <v>2.2204671456035933E-2</v>
      </c>
      <c r="H161" s="124">
        <f t="shared" si="146"/>
        <v>1.9042868641637959E-2</v>
      </c>
      <c r="I161" s="124">
        <f t="shared" si="146"/>
        <v>1.7795866859551038E-2</v>
      </c>
      <c r="J161" s="124">
        <f t="shared" si="146"/>
        <v>1.8337838119943422E-2</v>
      </c>
      <c r="K161" s="124">
        <f t="shared" si="146"/>
        <v>2.0152871310766998E-2</v>
      </c>
      <c r="L161" s="124">
        <f t="shared" si="146"/>
        <v>1.9043821886013969E-2</v>
      </c>
      <c r="M161" s="124">
        <f t="shared" si="146"/>
        <v>1.8179486407210843E-2</v>
      </c>
      <c r="N161" s="124">
        <f t="shared" si="146"/>
        <v>1.5251651235441003E-2</v>
      </c>
      <c r="O161" s="124">
        <f t="shared" si="146"/>
        <v>1.8449451237575066E-2</v>
      </c>
      <c r="P161" s="124">
        <f t="shared" si="146"/>
        <v>1.8547751011309847E-2</v>
      </c>
      <c r="Q161" s="124">
        <f t="shared" si="146"/>
        <v>1.4244964425242581E-2</v>
      </c>
      <c r="R161" s="124">
        <f t="shared" si="146"/>
        <v>1.3476744430057011E-2</v>
      </c>
      <c r="S161" s="124">
        <f t="shared" si="146"/>
        <v>1.2979341381599176E-2</v>
      </c>
      <c r="T161" s="124">
        <f t="shared" si="146"/>
        <v>1.1817444025186516E-2</v>
      </c>
      <c r="U161" s="124">
        <f t="shared" si="146"/>
        <v>9.8122669387437043E-3</v>
      </c>
      <c r="V161" s="124">
        <f t="shared" si="146"/>
        <v>9.1161969597854681E-3</v>
      </c>
      <c r="W161" s="124">
        <f t="shared" si="146"/>
        <v>8.2798204008935738E-3</v>
      </c>
      <c r="X161" s="124">
        <f t="shared" ref="X161:Y161" si="147">IF(X69=0,0,X69/X$64)</f>
        <v>7.2739487223246017E-3</v>
      </c>
      <c r="Y161" s="124">
        <f t="shared" si="147"/>
        <v>8.1325823405673341E-3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3.413742852669252E-2</v>
      </c>
      <c r="C163" s="140">
        <f t="shared" ref="C163:W163" si="150">IF(C71=0,0,C71/C$64)</f>
        <v>3.2270325059672637E-2</v>
      </c>
      <c r="D163" s="140">
        <f t="shared" si="150"/>
        <v>3.0117886343227943E-2</v>
      </c>
      <c r="E163" s="140">
        <f t="shared" si="150"/>
        <v>2.8101888677112725E-2</v>
      </c>
      <c r="F163" s="140">
        <f t="shared" si="150"/>
        <v>2.5334577878364215E-2</v>
      </c>
      <c r="G163" s="140">
        <f t="shared" si="150"/>
        <v>2.2204671456035933E-2</v>
      </c>
      <c r="H163" s="140">
        <f t="shared" si="150"/>
        <v>1.9042868641637959E-2</v>
      </c>
      <c r="I163" s="140">
        <f t="shared" si="150"/>
        <v>1.7795866859551038E-2</v>
      </c>
      <c r="J163" s="140">
        <f t="shared" si="150"/>
        <v>1.8337838119943422E-2</v>
      </c>
      <c r="K163" s="140">
        <f t="shared" si="150"/>
        <v>2.0152871310766998E-2</v>
      </c>
      <c r="L163" s="140">
        <f t="shared" si="150"/>
        <v>1.9043821886013969E-2</v>
      </c>
      <c r="M163" s="140">
        <f t="shared" si="150"/>
        <v>1.8179486407210843E-2</v>
      </c>
      <c r="N163" s="140">
        <f t="shared" si="150"/>
        <v>1.5251651235441003E-2</v>
      </c>
      <c r="O163" s="140">
        <f t="shared" si="150"/>
        <v>1.8449451237575066E-2</v>
      </c>
      <c r="P163" s="140">
        <f t="shared" si="150"/>
        <v>1.8547751011309847E-2</v>
      </c>
      <c r="Q163" s="140">
        <f t="shared" si="150"/>
        <v>1.4244964425242581E-2</v>
      </c>
      <c r="R163" s="140">
        <f t="shared" si="150"/>
        <v>1.3476744430057011E-2</v>
      </c>
      <c r="S163" s="140">
        <f t="shared" si="150"/>
        <v>1.2979341381599176E-2</v>
      </c>
      <c r="T163" s="140">
        <f t="shared" si="150"/>
        <v>1.1817444025186516E-2</v>
      </c>
      <c r="U163" s="140">
        <f t="shared" si="150"/>
        <v>9.8122669387437043E-3</v>
      </c>
      <c r="V163" s="140">
        <f t="shared" si="150"/>
        <v>9.1161969597854681E-3</v>
      </c>
      <c r="W163" s="140">
        <f t="shared" si="150"/>
        <v>8.2798204008935738E-3</v>
      </c>
      <c r="X163" s="140">
        <f t="shared" ref="X163:Y163" si="151">IF(X71=0,0,X71/X$64)</f>
        <v>7.2739487223246017E-3</v>
      </c>
      <c r="Y163" s="140">
        <f t="shared" si="151"/>
        <v>8.1325823405673341E-3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0.10724286619894259</v>
      </c>
      <c r="C165" s="124">
        <f t="shared" ref="C165:W165" si="154">IF(C73=0,0,C73/C$64)</f>
        <v>9.6917820580688041E-2</v>
      </c>
      <c r="D165" s="124">
        <f t="shared" si="154"/>
        <v>8.7921725036512383E-2</v>
      </c>
      <c r="E165" s="124">
        <f t="shared" si="154"/>
        <v>8.3428539960408388E-2</v>
      </c>
      <c r="F165" s="124">
        <f t="shared" si="154"/>
        <v>8.7634224232879046E-2</v>
      </c>
      <c r="G165" s="124">
        <f t="shared" si="154"/>
        <v>9.890937553040291E-2</v>
      </c>
      <c r="H165" s="124">
        <f t="shared" si="154"/>
        <v>9.4236704435025659E-2</v>
      </c>
      <c r="I165" s="124">
        <f t="shared" si="154"/>
        <v>8.484568292890271E-2</v>
      </c>
      <c r="J165" s="124">
        <f t="shared" si="154"/>
        <v>9.5354964521820976E-2</v>
      </c>
      <c r="K165" s="124">
        <f t="shared" si="154"/>
        <v>8.1362898294943656E-2</v>
      </c>
      <c r="L165" s="124">
        <f t="shared" si="154"/>
        <v>8.7652314701964176E-2</v>
      </c>
      <c r="M165" s="124">
        <f t="shared" si="154"/>
        <v>9.3760056330267821E-2</v>
      </c>
      <c r="N165" s="124">
        <f t="shared" si="154"/>
        <v>6.8581336593237188E-2</v>
      </c>
      <c r="O165" s="124">
        <f t="shared" si="154"/>
        <v>6.9164099395139456E-2</v>
      </c>
      <c r="P165" s="124">
        <f t="shared" si="154"/>
        <v>6.9120393377470113E-2</v>
      </c>
      <c r="Q165" s="124">
        <f t="shared" si="154"/>
        <v>6.6577116711717371E-2</v>
      </c>
      <c r="R165" s="124">
        <f t="shared" si="154"/>
        <v>7.0305982182557236E-2</v>
      </c>
      <c r="S165" s="124">
        <f t="shared" si="154"/>
        <v>7.6910136346335131E-2</v>
      </c>
      <c r="T165" s="124">
        <f t="shared" si="154"/>
        <v>8.8510168484522145E-2</v>
      </c>
      <c r="U165" s="124">
        <f t="shared" si="154"/>
        <v>8.2760061513772298E-2</v>
      </c>
      <c r="V165" s="124">
        <f t="shared" si="154"/>
        <v>3.4776684362098971E-2</v>
      </c>
      <c r="W165" s="124">
        <f t="shared" si="154"/>
        <v>3.8549164539947944E-2</v>
      </c>
      <c r="X165" s="124">
        <f t="shared" ref="X165:Y165" si="155">IF(X73=0,0,X73/X$64)</f>
        <v>7.4595936987292916E-2</v>
      </c>
      <c r="Y165" s="124">
        <f t="shared" si="155"/>
        <v>8.8125656915902059E-2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7.0544358260700046E-2</v>
      </c>
      <c r="C167" s="140">
        <f t="shared" ref="C167:W167" si="158">IF(C75=0,0,C75/C$64)</f>
        <v>6.3751734617820244E-2</v>
      </c>
      <c r="D167" s="140">
        <f t="shared" si="158"/>
        <v>5.7662660424166019E-2</v>
      </c>
      <c r="E167" s="140">
        <f t="shared" si="158"/>
        <v>5.3015311051178113E-2</v>
      </c>
      <c r="F167" s="140">
        <f t="shared" si="158"/>
        <v>5.9966798004988706E-2</v>
      </c>
      <c r="G167" s="140">
        <f t="shared" si="158"/>
        <v>6.9411764703748005E-2</v>
      </c>
      <c r="H167" s="140">
        <f t="shared" si="158"/>
        <v>6.5999270480962116E-2</v>
      </c>
      <c r="I167" s="140">
        <f t="shared" si="158"/>
        <v>5.9394625065738213E-2</v>
      </c>
      <c r="J167" s="140">
        <f t="shared" si="158"/>
        <v>6.7053524794164446E-2</v>
      </c>
      <c r="K167" s="140">
        <f t="shared" si="158"/>
        <v>5.5993232973036614E-2</v>
      </c>
      <c r="L167" s="140">
        <f t="shared" si="158"/>
        <v>5.9927156760415663E-2</v>
      </c>
      <c r="M167" s="140">
        <f t="shared" si="158"/>
        <v>6.3993932656488506E-2</v>
      </c>
      <c r="N167" s="140">
        <f t="shared" si="158"/>
        <v>4.675860040279646E-2</v>
      </c>
      <c r="O167" s="140">
        <f t="shared" si="158"/>
        <v>4.7335170135177053E-2</v>
      </c>
      <c r="P167" s="140">
        <f t="shared" si="158"/>
        <v>4.7588733438227539E-2</v>
      </c>
      <c r="Q167" s="140">
        <f t="shared" si="158"/>
        <v>4.6234942001335273E-2</v>
      </c>
      <c r="R167" s="140">
        <f t="shared" si="158"/>
        <v>5.0131919951176891E-2</v>
      </c>
      <c r="S167" s="140">
        <f t="shared" si="158"/>
        <v>5.5439084980486358E-2</v>
      </c>
      <c r="T167" s="140">
        <f t="shared" si="158"/>
        <v>6.3859495151615195E-2</v>
      </c>
      <c r="U167" s="140">
        <f t="shared" si="158"/>
        <v>5.9738044529875384E-2</v>
      </c>
      <c r="V167" s="140">
        <f t="shared" si="158"/>
        <v>2.2412500025124106E-2</v>
      </c>
      <c r="W167" s="140">
        <f t="shared" si="158"/>
        <v>2.5721123120428516E-2</v>
      </c>
      <c r="X167" s="140">
        <f t="shared" ref="X167:Y167" si="159">IF(X75=0,0,X75/X$64)</f>
        <v>5.4252974989215171E-2</v>
      </c>
      <c r="Y167" s="140">
        <f t="shared" si="159"/>
        <v>6.3305955043066506E-2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3.6698507938242544E-2</v>
      </c>
      <c r="C168" s="140">
        <f t="shared" ref="C168:W168" si="160">IF(C76=0,0,C76/C$64)</f>
        <v>3.3166085962867797E-2</v>
      </c>
      <c r="D168" s="140">
        <f t="shared" si="160"/>
        <v>3.0259064612346363E-2</v>
      </c>
      <c r="E168" s="140">
        <f t="shared" si="160"/>
        <v>3.0413228909230275E-2</v>
      </c>
      <c r="F168" s="140">
        <f t="shared" si="160"/>
        <v>2.7667426227890344E-2</v>
      </c>
      <c r="G168" s="140">
        <f t="shared" si="160"/>
        <v>2.9497610826654901E-2</v>
      </c>
      <c r="H168" s="140">
        <f t="shared" si="160"/>
        <v>2.8237433954063532E-2</v>
      </c>
      <c r="I168" s="140">
        <f t="shared" si="160"/>
        <v>2.5451057863164494E-2</v>
      </c>
      <c r="J168" s="140">
        <f t="shared" si="160"/>
        <v>2.830143972765653E-2</v>
      </c>
      <c r="K168" s="140">
        <f t="shared" si="160"/>
        <v>2.5369665321907039E-2</v>
      </c>
      <c r="L168" s="140">
        <f t="shared" si="160"/>
        <v>2.772515794154852E-2</v>
      </c>
      <c r="M168" s="140">
        <f t="shared" si="160"/>
        <v>2.9766123673779312E-2</v>
      </c>
      <c r="N168" s="140">
        <f t="shared" si="160"/>
        <v>2.1822736190440735E-2</v>
      </c>
      <c r="O168" s="140">
        <f t="shared" si="160"/>
        <v>2.1828929259962406E-2</v>
      </c>
      <c r="P168" s="140">
        <f t="shared" si="160"/>
        <v>2.1531659939242574E-2</v>
      </c>
      <c r="Q168" s="140">
        <f t="shared" si="160"/>
        <v>2.0342174710382098E-2</v>
      </c>
      <c r="R168" s="140">
        <f t="shared" si="160"/>
        <v>2.0174062231380342E-2</v>
      </c>
      <c r="S168" s="140">
        <f t="shared" si="160"/>
        <v>2.1471051365848769E-2</v>
      </c>
      <c r="T168" s="140">
        <f t="shared" si="160"/>
        <v>2.4650673332906953E-2</v>
      </c>
      <c r="U168" s="140">
        <f t="shared" si="160"/>
        <v>2.3022016983896911E-2</v>
      </c>
      <c r="V168" s="140">
        <f t="shared" si="160"/>
        <v>1.2364184336974863E-2</v>
      </c>
      <c r="W168" s="140">
        <f t="shared" si="160"/>
        <v>1.2828041419519426E-2</v>
      </c>
      <c r="X168" s="140">
        <f t="shared" ref="X168:Y168" si="161">IF(X76=0,0,X76/X$64)</f>
        <v>2.0342961998077742E-2</v>
      </c>
      <c r="Y168" s="140">
        <f t="shared" si="161"/>
        <v>2.481970187283556E-2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0.98011908703155037</v>
      </c>
      <c r="C170" s="139">
        <f t="shared" ref="C170:W170" si="165">IF(C78=0,0,C78/C$77)</f>
        <v>0.98278189714091935</v>
      </c>
      <c r="D170" s="139">
        <f t="shared" si="165"/>
        <v>0.98341417389170949</v>
      </c>
      <c r="E170" s="139">
        <f t="shared" si="165"/>
        <v>0.98029579704422409</v>
      </c>
      <c r="F170" s="139">
        <f t="shared" si="165"/>
        <v>0.98751105067223277</v>
      </c>
      <c r="G170" s="139">
        <f t="shared" si="165"/>
        <v>0.98981536457243047</v>
      </c>
      <c r="H170" s="139">
        <f t="shared" si="165"/>
        <v>0.98897479106769226</v>
      </c>
      <c r="I170" s="139">
        <f t="shared" si="165"/>
        <v>0.98980969638453054</v>
      </c>
      <c r="J170" s="139">
        <f t="shared" si="165"/>
        <v>0.99064135988370239</v>
      </c>
      <c r="K170" s="139">
        <f t="shared" si="165"/>
        <v>0.99239425063103082</v>
      </c>
      <c r="L170" s="139">
        <f t="shared" si="165"/>
        <v>0.99108994084670321</v>
      </c>
      <c r="M170" s="139">
        <f t="shared" si="165"/>
        <v>0.99349511149041891</v>
      </c>
      <c r="N170" s="139">
        <f t="shared" si="165"/>
        <v>0.98682070428470958</v>
      </c>
      <c r="O170" s="139">
        <f t="shared" si="165"/>
        <v>0.98476674757924099</v>
      </c>
      <c r="P170" s="139">
        <f t="shared" si="165"/>
        <v>0.98687385788101134</v>
      </c>
      <c r="Q170" s="139">
        <f t="shared" si="165"/>
        <v>0.98918036742242077</v>
      </c>
      <c r="R170" s="139">
        <f t="shared" si="165"/>
        <v>0.98993509773589183</v>
      </c>
      <c r="S170" s="139">
        <f t="shared" si="165"/>
        <v>0.98942753808694539</v>
      </c>
      <c r="T170" s="139">
        <f t="shared" si="165"/>
        <v>0.98914878096897041</v>
      </c>
      <c r="U170" s="139">
        <f t="shared" si="165"/>
        <v>0.98990215691238603</v>
      </c>
      <c r="V170" s="139">
        <f t="shared" si="165"/>
        <v>0.98621562304701349</v>
      </c>
      <c r="W170" s="139">
        <f t="shared" si="165"/>
        <v>0.98685824285200197</v>
      </c>
      <c r="X170" s="139">
        <f t="shared" ref="X170:Y170" si="166">IF(X78=0,0,X78/X$77)</f>
        <v>0.98476571688094616</v>
      </c>
      <c r="Y170" s="139">
        <f t="shared" si="166"/>
        <v>0.98705401165365725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0.33847543878445763</v>
      </c>
      <c r="C171" s="140">
        <f t="shared" ref="C171:W171" si="167">IF(C79=0,0,C79/C$77)</f>
        <v>0.33084413609893909</v>
      </c>
      <c r="D171" s="140">
        <f t="shared" si="167"/>
        <v>0.32725887702764228</v>
      </c>
      <c r="E171" s="140">
        <f t="shared" si="167"/>
        <v>0.32540268643334397</v>
      </c>
      <c r="F171" s="140">
        <f t="shared" si="167"/>
        <v>0.30810641151534174</v>
      </c>
      <c r="G171" s="140">
        <f t="shared" si="167"/>
        <v>0.27366818506448382</v>
      </c>
      <c r="H171" s="140">
        <f t="shared" si="167"/>
        <v>0.25436257447520877</v>
      </c>
      <c r="I171" s="140">
        <f t="shared" si="167"/>
        <v>0.26105154165614397</v>
      </c>
      <c r="J171" s="140">
        <f t="shared" si="167"/>
        <v>0.27369305166948221</v>
      </c>
      <c r="K171" s="140">
        <f t="shared" si="167"/>
        <v>0.32336745708343667</v>
      </c>
      <c r="L171" s="140">
        <f t="shared" si="167"/>
        <v>0.31155405399030311</v>
      </c>
      <c r="M171" s="140">
        <f t="shared" si="167"/>
        <v>0.34852448086553489</v>
      </c>
      <c r="N171" s="140">
        <f t="shared" si="167"/>
        <v>0.38646111556228102</v>
      </c>
      <c r="O171" s="140">
        <f t="shared" si="167"/>
        <v>0.42922067992045176</v>
      </c>
      <c r="P171" s="140">
        <f t="shared" si="167"/>
        <v>0.38349412795152205</v>
      </c>
      <c r="Q171" s="140">
        <f t="shared" si="167"/>
        <v>0.36029010340958195</v>
      </c>
      <c r="R171" s="140">
        <f t="shared" si="167"/>
        <v>0.37617813469708733</v>
      </c>
      <c r="S171" s="140">
        <f t="shared" si="167"/>
        <v>0.37699957650671206</v>
      </c>
      <c r="T171" s="140">
        <f t="shared" si="167"/>
        <v>0.37634032716097099</v>
      </c>
      <c r="U171" s="140">
        <f t="shared" si="167"/>
        <v>0.39140931663882589</v>
      </c>
      <c r="V171" s="140">
        <f t="shared" si="167"/>
        <v>0.45719756009631196</v>
      </c>
      <c r="W171" s="140">
        <f t="shared" si="167"/>
        <v>0.41582374214919887</v>
      </c>
      <c r="X171" s="140">
        <f t="shared" ref="X171:Y171" si="168">IF(X79=0,0,X79/X$77)</f>
        <v>0.39978765869083233</v>
      </c>
      <c r="Y171" s="140">
        <f t="shared" si="168"/>
        <v>0.4626051832732479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0.64164364824709264</v>
      </c>
      <c r="C172" s="140">
        <f t="shared" ref="C172:W172" si="169">IF(C80=0,0,C80/C$77)</f>
        <v>0.65193776104198031</v>
      </c>
      <c r="D172" s="140">
        <f t="shared" si="169"/>
        <v>0.65615529686406726</v>
      </c>
      <c r="E172" s="140">
        <f t="shared" si="169"/>
        <v>0.65489311061088007</v>
      </c>
      <c r="F172" s="140">
        <f t="shared" si="169"/>
        <v>0.67940463915689098</v>
      </c>
      <c r="G172" s="140">
        <f t="shared" si="169"/>
        <v>0.71614717950794682</v>
      </c>
      <c r="H172" s="140">
        <f t="shared" si="169"/>
        <v>0.73461221659248344</v>
      </c>
      <c r="I172" s="140">
        <f t="shared" si="169"/>
        <v>0.72875815472838645</v>
      </c>
      <c r="J172" s="140">
        <f t="shared" si="169"/>
        <v>0.71694830821422029</v>
      </c>
      <c r="K172" s="140">
        <f t="shared" si="169"/>
        <v>0.6690267935475942</v>
      </c>
      <c r="L172" s="140">
        <f t="shared" si="169"/>
        <v>0.67953588685639998</v>
      </c>
      <c r="M172" s="140">
        <f t="shared" si="169"/>
        <v>0.64497063062488402</v>
      </c>
      <c r="N172" s="140">
        <f t="shared" si="169"/>
        <v>0.60035958872242856</v>
      </c>
      <c r="O172" s="140">
        <f t="shared" si="169"/>
        <v>0.55554606765878911</v>
      </c>
      <c r="P172" s="140">
        <f t="shared" si="169"/>
        <v>0.60337972992948929</v>
      </c>
      <c r="Q172" s="140">
        <f t="shared" si="169"/>
        <v>0.62889026401283887</v>
      </c>
      <c r="R172" s="140">
        <f t="shared" si="169"/>
        <v>0.61375696303880456</v>
      </c>
      <c r="S172" s="140">
        <f t="shared" si="169"/>
        <v>0.61242796158023338</v>
      </c>
      <c r="T172" s="140">
        <f t="shared" si="169"/>
        <v>0.61280845380799953</v>
      </c>
      <c r="U172" s="140">
        <f t="shared" si="169"/>
        <v>0.59849284027356009</v>
      </c>
      <c r="V172" s="140">
        <f t="shared" si="169"/>
        <v>0.52901806295070142</v>
      </c>
      <c r="W172" s="140">
        <f t="shared" si="169"/>
        <v>0.57103450070280315</v>
      </c>
      <c r="X172" s="140">
        <f t="shared" ref="X172:Y172" si="170">IF(X80=0,0,X80/X$77)</f>
        <v>0.58497805819011384</v>
      </c>
      <c r="Y172" s="140">
        <f t="shared" si="170"/>
        <v>0.52444882838040929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1.4161145743367597E-2</v>
      </c>
      <c r="C173" s="124">
        <f t="shared" ref="C173:W173" si="171">IF(C81=0,0,C81/C$77)</f>
        <v>1.1565011979881206E-2</v>
      </c>
      <c r="D173" s="124">
        <f t="shared" si="171"/>
        <v>1.0063741726280058E-2</v>
      </c>
      <c r="E173" s="124">
        <f t="shared" si="171"/>
        <v>8.4227573374598408E-3</v>
      </c>
      <c r="F173" s="124">
        <f t="shared" si="171"/>
        <v>7.9908160109184809E-3</v>
      </c>
      <c r="G173" s="124">
        <f t="shared" si="171"/>
        <v>6.5371664359127474E-3</v>
      </c>
      <c r="H173" s="124">
        <f t="shared" si="171"/>
        <v>7.0478678282585904E-3</v>
      </c>
      <c r="I173" s="124">
        <f t="shared" si="171"/>
        <v>7.0183338108246642E-3</v>
      </c>
      <c r="J173" s="124">
        <f t="shared" si="171"/>
        <v>6.305925480059784E-3</v>
      </c>
      <c r="K173" s="124">
        <f t="shared" si="171"/>
        <v>4.7255275254118392E-3</v>
      </c>
      <c r="L173" s="124">
        <f t="shared" si="171"/>
        <v>5.3489185453166593E-3</v>
      </c>
      <c r="M173" s="124">
        <f t="shared" si="171"/>
        <v>2.4699160752295816E-3</v>
      </c>
      <c r="N173" s="124">
        <f t="shared" si="171"/>
        <v>5.0969759336917716E-3</v>
      </c>
      <c r="O173" s="124">
        <f t="shared" si="171"/>
        <v>6.8282274988380942E-3</v>
      </c>
      <c r="P173" s="124">
        <f t="shared" si="171"/>
        <v>5.9228175915248173E-3</v>
      </c>
      <c r="Q173" s="124">
        <f t="shared" si="171"/>
        <v>4.4869927239471023E-3</v>
      </c>
      <c r="R173" s="124">
        <f t="shared" si="171"/>
        <v>4.1225046047915371E-3</v>
      </c>
      <c r="S173" s="124">
        <f t="shared" si="171"/>
        <v>4.6518821776456668E-3</v>
      </c>
      <c r="T173" s="124">
        <f t="shared" si="171"/>
        <v>4.8540260115919045E-3</v>
      </c>
      <c r="U173" s="124">
        <f t="shared" si="171"/>
        <v>4.463053596792577E-3</v>
      </c>
      <c r="V173" s="124">
        <f t="shared" si="171"/>
        <v>6.9419424871416877E-3</v>
      </c>
      <c r="W173" s="124">
        <f t="shared" si="171"/>
        <v>6.1338190026679956E-3</v>
      </c>
      <c r="X173" s="124">
        <f t="shared" ref="X173:Y173" si="172">IF(X81=0,0,X81/X$77)</f>
        <v>6.4565279319891639E-3</v>
      </c>
      <c r="Y173" s="124">
        <f t="shared" si="172"/>
        <v>5.2644823347087599E-3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4.6789033156467872E-3</v>
      </c>
      <c r="C174" s="124">
        <f t="shared" ref="C174:W174" si="173">IF(C82=0,0,C82/C$77)</f>
        <v>4.6735585166810959E-3</v>
      </c>
      <c r="D174" s="124">
        <f t="shared" si="173"/>
        <v>4.7433791542921275E-3</v>
      </c>
      <c r="E174" s="124">
        <f t="shared" si="173"/>
        <v>3.6568313250799921E-3</v>
      </c>
      <c r="F174" s="124">
        <f t="shared" si="173"/>
        <v>2.9184683685639515E-3</v>
      </c>
      <c r="G174" s="124">
        <f t="shared" si="173"/>
        <v>2.9955071796926853E-3</v>
      </c>
      <c r="H174" s="124">
        <f t="shared" si="173"/>
        <v>3.3674555315702974E-3</v>
      </c>
      <c r="I174" s="124">
        <f t="shared" si="173"/>
        <v>2.5691529743381279E-3</v>
      </c>
      <c r="J174" s="124">
        <f t="shared" si="173"/>
        <v>2.4577175802565094E-3</v>
      </c>
      <c r="K174" s="124">
        <f t="shared" si="173"/>
        <v>2.2605424742531384E-3</v>
      </c>
      <c r="L174" s="124">
        <f t="shared" si="173"/>
        <v>2.8579056421283908E-3</v>
      </c>
      <c r="M174" s="124">
        <f t="shared" si="173"/>
        <v>3.25371712189032E-3</v>
      </c>
      <c r="N174" s="124">
        <f t="shared" si="173"/>
        <v>2.9338521500161534E-3</v>
      </c>
      <c r="O174" s="124">
        <f t="shared" si="173"/>
        <v>3.5631244739409524E-3</v>
      </c>
      <c r="P174" s="124">
        <f t="shared" si="173"/>
        <v>2.4892149143397155E-3</v>
      </c>
      <c r="Q174" s="124">
        <f t="shared" si="173"/>
        <v>2.2093476788491388E-3</v>
      </c>
      <c r="R174" s="124">
        <f t="shared" si="173"/>
        <v>2.3391842851145902E-3</v>
      </c>
      <c r="S174" s="124">
        <f t="shared" si="173"/>
        <v>2.5623285413006948E-3</v>
      </c>
      <c r="T174" s="124">
        <f t="shared" si="173"/>
        <v>2.8315680792553055E-3</v>
      </c>
      <c r="U174" s="124">
        <f t="shared" si="173"/>
        <v>2.4933078813447916E-3</v>
      </c>
      <c r="V174" s="124">
        <f t="shared" si="173"/>
        <v>3.8049340136283478E-3</v>
      </c>
      <c r="W174" s="124">
        <f t="shared" si="173"/>
        <v>5.1086302468123729E-3</v>
      </c>
      <c r="X174" s="124">
        <f t="shared" ref="X174:Y174" si="174">IF(X82=0,0,X82/X$77)</f>
        <v>6.4737339005129001E-3</v>
      </c>
      <c r="Y174" s="124">
        <f t="shared" si="174"/>
        <v>5.6124813280480209E-3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3.5188404788453519E-3</v>
      </c>
      <c r="C176" s="140">
        <f t="shared" ref="C176:W176" si="177">IF(C84=0,0,C84/C$77)</f>
        <v>3.662306768471063E-3</v>
      </c>
      <c r="D176" s="140">
        <f t="shared" si="177"/>
        <v>4.2926337346575836E-3</v>
      </c>
      <c r="E176" s="140">
        <f t="shared" si="177"/>
        <v>3.2274685765981944E-3</v>
      </c>
      <c r="F176" s="140">
        <f t="shared" si="177"/>
        <v>2.6553341801537934E-3</v>
      </c>
      <c r="G176" s="140">
        <f t="shared" si="177"/>
        <v>2.702645944912548E-3</v>
      </c>
      <c r="H176" s="140">
        <f t="shared" si="177"/>
        <v>1.8887321595062545E-3</v>
      </c>
      <c r="I176" s="140">
        <f t="shared" si="177"/>
        <v>2.0515930306435849E-3</v>
      </c>
      <c r="J176" s="140">
        <f t="shared" si="177"/>
        <v>1.7540954215130473E-3</v>
      </c>
      <c r="K176" s="140">
        <f t="shared" si="177"/>
        <v>1.5824321891077854E-3</v>
      </c>
      <c r="L176" s="140">
        <f t="shared" si="177"/>
        <v>1.9405875162539922E-3</v>
      </c>
      <c r="M176" s="140">
        <f t="shared" si="177"/>
        <v>2.7919810902228776E-3</v>
      </c>
      <c r="N176" s="140">
        <f t="shared" si="177"/>
        <v>2.3993254490267779E-3</v>
      </c>
      <c r="O176" s="140">
        <f t="shared" si="177"/>
        <v>2.8842263104417918E-3</v>
      </c>
      <c r="P176" s="140">
        <f t="shared" si="177"/>
        <v>2.227819945829726E-3</v>
      </c>
      <c r="Q176" s="140">
        <f t="shared" si="177"/>
        <v>1.9796768247918729E-3</v>
      </c>
      <c r="R176" s="140">
        <f t="shared" si="177"/>
        <v>1.9586372628406681E-3</v>
      </c>
      <c r="S176" s="140">
        <f t="shared" si="177"/>
        <v>2.1827486488438974E-3</v>
      </c>
      <c r="T176" s="140">
        <f t="shared" si="177"/>
        <v>2.4467490925735328E-3</v>
      </c>
      <c r="U176" s="140">
        <f t="shared" si="177"/>
        <v>1.9478108386487777E-3</v>
      </c>
      <c r="V176" s="140">
        <f t="shared" si="177"/>
        <v>2.6515548550629245E-3</v>
      </c>
      <c r="W176" s="140">
        <f t="shared" si="177"/>
        <v>3.0789103898517917E-3</v>
      </c>
      <c r="X176" s="140">
        <f t="shared" ref="X176:Y176" si="178">IF(X84=0,0,X84/X$77)</f>
        <v>3.0402429985865432E-3</v>
      </c>
      <c r="Y176" s="140">
        <f t="shared" si="178"/>
        <v>3.4681857303403376E-3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1.1600628368014349E-3</v>
      </c>
      <c r="C177" s="140">
        <f t="shared" ref="C177:W177" si="179">IF(C85=0,0,C85/C$77)</f>
        <v>1.0112517482100329E-3</v>
      </c>
      <c r="D177" s="140">
        <f t="shared" si="179"/>
        <v>4.5074541963454414E-4</v>
      </c>
      <c r="E177" s="140">
        <f t="shared" si="179"/>
        <v>4.2936274848179762E-4</v>
      </c>
      <c r="F177" s="140">
        <f t="shared" si="179"/>
        <v>2.6313418841015802E-4</v>
      </c>
      <c r="G177" s="140">
        <f t="shared" si="179"/>
        <v>2.9286123478013728E-4</v>
      </c>
      <c r="H177" s="140">
        <f t="shared" si="179"/>
        <v>1.4787233720640429E-3</v>
      </c>
      <c r="I177" s="140">
        <f t="shared" si="179"/>
        <v>5.1755994369454309E-4</v>
      </c>
      <c r="J177" s="140">
        <f t="shared" si="179"/>
        <v>7.0362215874346194E-4</v>
      </c>
      <c r="K177" s="140">
        <f t="shared" si="179"/>
        <v>6.7811028514535297E-4</v>
      </c>
      <c r="L177" s="140">
        <f t="shared" si="179"/>
        <v>9.1731812587439844E-4</v>
      </c>
      <c r="M177" s="140">
        <f t="shared" si="179"/>
        <v>4.6173603166744246E-4</v>
      </c>
      <c r="N177" s="140">
        <f t="shared" si="179"/>
        <v>5.3452670098937539E-4</v>
      </c>
      <c r="O177" s="140">
        <f t="shared" si="179"/>
        <v>6.7889816349916109E-4</v>
      </c>
      <c r="P177" s="140">
        <f t="shared" si="179"/>
        <v>2.6139496850998968E-4</v>
      </c>
      <c r="Q177" s="140">
        <f t="shared" si="179"/>
        <v>2.2967085405726568E-4</v>
      </c>
      <c r="R177" s="140">
        <f t="shared" si="179"/>
        <v>3.8054702227392214E-4</v>
      </c>
      <c r="S177" s="140">
        <f t="shared" si="179"/>
        <v>3.7957989245679738E-4</v>
      </c>
      <c r="T177" s="140">
        <f t="shared" si="179"/>
        <v>3.8481898668177268E-4</v>
      </c>
      <c r="U177" s="140">
        <f t="shared" si="179"/>
        <v>5.4549704269601386E-4</v>
      </c>
      <c r="V177" s="140">
        <f t="shared" si="179"/>
        <v>1.1533791585654233E-3</v>
      </c>
      <c r="W177" s="140">
        <f t="shared" si="179"/>
        <v>2.0297198569605808E-3</v>
      </c>
      <c r="X177" s="140">
        <f t="shared" ref="X177:Y177" si="180">IF(X85=0,0,X85/X$77)</f>
        <v>3.4334909019263561E-3</v>
      </c>
      <c r="Y177" s="140">
        <f t="shared" si="180"/>
        <v>2.1442955977076837E-3</v>
      </c>
      <c r="DA177" s="175"/>
    </row>
    <row r="178" spans="1:105" ht="11.45" customHeight="1" x14ac:dyDescent="0.25">
      <c r="A178" s="109" t="s">
        <v>141</v>
      </c>
      <c r="B178" s="124">
        <f t="shared" si="162"/>
        <v>1.0408639094351886E-3</v>
      </c>
      <c r="C178" s="124">
        <f t="shared" ref="C178:W178" si="181">IF(C86=0,0,C86/C$77)</f>
        <v>9.7953236251843516E-4</v>
      </c>
      <c r="D178" s="124">
        <f t="shared" si="181"/>
        <v>1.7787052277182913E-3</v>
      </c>
      <c r="E178" s="124">
        <f t="shared" si="181"/>
        <v>7.624614293236109E-3</v>
      </c>
      <c r="F178" s="124">
        <f t="shared" si="181"/>
        <v>1.5796649482848028E-3</v>
      </c>
      <c r="G178" s="124">
        <f t="shared" si="181"/>
        <v>6.519618119640245E-4</v>
      </c>
      <c r="H178" s="124">
        <f t="shared" si="181"/>
        <v>6.0988557247887139E-4</v>
      </c>
      <c r="I178" s="124">
        <f t="shared" si="181"/>
        <v>6.0281683030684037E-4</v>
      </c>
      <c r="J178" s="124">
        <f t="shared" si="181"/>
        <v>5.9499705598135063E-4</v>
      </c>
      <c r="K178" s="124">
        <f t="shared" si="181"/>
        <v>6.1967936930424857E-4</v>
      </c>
      <c r="L178" s="124">
        <f t="shared" si="181"/>
        <v>7.0323496585173817E-4</v>
      </c>
      <c r="M178" s="124">
        <f t="shared" si="181"/>
        <v>7.8125531246110626E-4</v>
      </c>
      <c r="N178" s="124">
        <f t="shared" si="181"/>
        <v>5.1484676315823787E-3</v>
      </c>
      <c r="O178" s="124">
        <f t="shared" si="181"/>
        <v>4.8419004479799046E-3</v>
      </c>
      <c r="P178" s="124">
        <f t="shared" si="181"/>
        <v>4.7141096131240222E-3</v>
      </c>
      <c r="Q178" s="124">
        <f t="shared" si="181"/>
        <v>4.1232921747831287E-3</v>
      </c>
      <c r="R178" s="124">
        <f t="shared" si="181"/>
        <v>3.6032133742020462E-3</v>
      </c>
      <c r="S178" s="124">
        <f t="shared" si="181"/>
        <v>3.3582511941084143E-3</v>
      </c>
      <c r="T178" s="124">
        <f t="shared" si="181"/>
        <v>3.1656249401825058E-3</v>
      </c>
      <c r="U178" s="124">
        <f t="shared" si="181"/>
        <v>3.1414816094765758E-3</v>
      </c>
      <c r="V178" s="124">
        <f t="shared" si="181"/>
        <v>3.0375004522165522E-3</v>
      </c>
      <c r="W178" s="124">
        <f t="shared" si="181"/>
        <v>1.8993078985175087E-3</v>
      </c>
      <c r="X178" s="124">
        <f t="shared" ref="X178:Y178" si="182">IF(X86=0,0,X86/X$77)</f>
        <v>2.3040212865517323E-3</v>
      </c>
      <c r="Y178" s="124">
        <f t="shared" si="182"/>
        <v>2.0690246835859028E-3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1.0408639094351886E-3</v>
      </c>
      <c r="C180" s="127">
        <f t="shared" ref="C180:W180" si="185">IF(C88=0,0,C88/C$77)</f>
        <v>9.7953236251843516E-4</v>
      </c>
      <c r="D180" s="127">
        <f t="shared" si="185"/>
        <v>1.7787052277182913E-3</v>
      </c>
      <c r="E180" s="127">
        <f t="shared" si="185"/>
        <v>7.624614293236109E-3</v>
      </c>
      <c r="F180" s="127">
        <f t="shared" si="185"/>
        <v>1.5796649482848028E-3</v>
      </c>
      <c r="G180" s="127">
        <f t="shared" si="185"/>
        <v>6.519618119640245E-4</v>
      </c>
      <c r="H180" s="127">
        <f t="shared" si="185"/>
        <v>6.0988557247887139E-4</v>
      </c>
      <c r="I180" s="127">
        <f t="shared" si="185"/>
        <v>6.0281683030684037E-4</v>
      </c>
      <c r="J180" s="127">
        <f t="shared" si="185"/>
        <v>5.9499705598135063E-4</v>
      </c>
      <c r="K180" s="127">
        <f t="shared" si="185"/>
        <v>6.1967936930424857E-4</v>
      </c>
      <c r="L180" s="127">
        <f t="shared" si="185"/>
        <v>7.0323496585173817E-4</v>
      </c>
      <c r="M180" s="127">
        <f t="shared" si="185"/>
        <v>7.8125531246110626E-4</v>
      </c>
      <c r="N180" s="127">
        <f t="shared" si="185"/>
        <v>5.1484676315823787E-3</v>
      </c>
      <c r="O180" s="127">
        <f t="shared" si="185"/>
        <v>4.8419004479799046E-3</v>
      </c>
      <c r="P180" s="127">
        <f t="shared" si="185"/>
        <v>4.7141096131240222E-3</v>
      </c>
      <c r="Q180" s="127">
        <f t="shared" si="185"/>
        <v>4.1232921747831287E-3</v>
      </c>
      <c r="R180" s="127">
        <f t="shared" si="185"/>
        <v>3.6032133742020462E-3</v>
      </c>
      <c r="S180" s="127">
        <f t="shared" si="185"/>
        <v>3.3582511941084143E-3</v>
      </c>
      <c r="T180" s="127">
        <f t="shared" si="185"/>
        <v>3.1656249401825058E-3</v>
      </c>
      <c r="U180" s="127">
        <f t="shared" si="185"/>
        <v>3.1414816094765758E-3</v>
      </c>
      <c r="V180" s="127">
        <f t="shared" si="185"/>
        <v>3.0375004522165522E-3</v>
      </c>
      <c r="W180" s="127">
        <f t="shared" si="185"/>
        <v>1.8993078985175087E-3</v>
      </c>
      <c r="X180" s="127">
        <f t="shared" ref="X180:Y180" si="186">IF(X88=0,0,X88/X$77)</f>
        <v>2.3040212865517323E-3</v>
      </c>
      <c r="Y180" s="127">
        <f t="shared" si="186"/>
        <v>2.0690246835859028E-3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0</v>
      </c>
      <c r="J181" s="31">
        <f t="shared" si="187"/>
        <v>0</v>
      </c>
      <c r="K181" s="31">
        <f t="shared" si="187"/>
        <v>0</v>
      </c>
      <c r="L181" s="31">
        <f t="shared" si="187"/>
        <v>0</v>
      </c>
      <c r="M181" s="31">
        <f t="shared" si="187"/>
        <v>0</v>
      </c>
      <c r="N181" s="31">
        <f t="shared" si="187"/>
        <v>0</v>
      </c>
      <c r="O181" s="31">
        <f t="shared" si="187"/>
        <v>0</v>
      </c>
      <c r="P181" s="31">
        <f t="shared" si="187"/>
        <v>0</v>
      </c>
      <c r="Q181" s="31">
        <f t="shared" si="187"/>
        <v>0</v>
      </c>
      <c r="R181" s="31">
        <f t="shared" si="187"/>
        <v>0</v>
      </c>
      <c r="S181" s="31">
        <f t="shared" si="187"/>
        <v>0</v>
      </c>
      <c r="T181" s="31">
        <f t="shared" si="187"/>
        <v>0</v>
      </c>
      <c r="U181" s="31">
        <f t="shared" si="187"/>
        <v>0</v>
      </c>
      <c r="V181" s="31">
        <f t="shared" si="187"/>
        <v>0</v>
      </c>
      <c r="W181" s="31">
        <f t="shared" si="187"/>
        <v>0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</v>
      </c>
      <c r="J182" s="140">
        <f t="shared" si="189"/>
        <v>0</v>
      </c>
      <c r="K182" s="140">
        <f t="shared" si="189"/>
        <v>0</v>
      </c>
      <c r="L182" s="140">
        <f t="shared" si="189"/>
        <v>0</v>
      </c>
      <c r="M182" s="140">
        <f t="shared" si="189"/>
        <v>0</v>
      </c>
      <c r="N182" s="140">
        <f t="shared" si="189"/>
        <v>0</v>
      </c>
      <c r="O182" s="140">
        <f t="shared" si="189"/>
        <v>0</v>
      </c>
      <c r="P182" s="140">
        <f t="shared" si="189"/>
        <v>0</v>
      </c>
      <c r="Q182" s="140">
        <f t="shared" si="189"/>
        <v>0</v>
      </c>
      <c r="R182" s="140">
        <f t="shared" si="189"/>
        <v>0</v>
      </c>
      <c r="S182" s="140">
        <f t="shared" si="189"/>
        <v>0</v>
      </c>
      <c r="T182" s="140">
        <f t="shared" si="189"/>
        <v>0</v>
      </c>
      <c r="U182" s="140">
        <f t="shared" si="189"/>
        <v>0</v>
      </c>
      <c r="V182" s="140">
        <f t="shared" si="189"/>
        <v>0</v>
      </c>
      <c r="W182" s="140">
        <f t="shared" si="189"/>
        <v>0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</v>
      </c>
      <c r="J183" s="127">
        <f t="shared" si="191"/>
        <v>0</v>
      </c>
      <c r="K183" s="127">
        <f t="shared" si="191"/>
        <v>0</v>
      </c>
      <c r="L183" s="127">
        <f t="shared" si="191"/>
        <v>0</v>
      </c>
      <c r="M183" s="127">
        <f t="shared" si="191"/>
        <v>0</v>
      </c>
      <c r="N183" s="127">
        <f t="shared" si="191"/>
        <v>0</v>
      </c>
      <c r="O183" s="127">
        <f t="shared" si="191"/>
        <v>0</v>
      </c>
      <c r="P183" s="127">
        <f t="shared" si="191"/>
        <v>0</v>
      </c>
      <c r="Q183" s="127">
        <f t="shared" si="191"/>
        <v>0</v>
      </c>
      <c r="R183" s="127">
        <f t="shared" si="191"/>
        <v>0</v>
      </c>
      <c r="S183" s="127">
        <f t="shared" si="191"/>
        <v>0</v>
      </c>
      <c r="T183" s="127">
        <f t="shared" si="191"/>
        <v>0</v>
      </c>
      <c r="U183" s="127">
        <f t="shared" si="191"/>
        <v>0</v>
      </c>
      <c r="V183" s="127">
        <f t="shared" si="191"/>
        <v>0</v>
      </c>
      <c r="W183" s="127">
        <f t="shared" si="191"/>
        <v>0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28.14767509262861</v>
      </c>
      <c r="C186" s="32">
        <f t="shared" si="193"/>
        <v>29.15061305463988</v>
      </c>
      <c r="D186" s="32">
        <f t="shared" si="193"/>
        <v>29.86173732736555</v>
      </c>
      <c r="E186" s="32">
        <f t="shared" si="193"/>
        <v>30.587590061420023</v>
      </c>
      <c r="F186" s="32">
        <f t="shared" si="193"/>
        <v>30.919638683759207</v>
      </c>
      <c r="G186" s="32">
        <f t="shared" si="193"/>
        <v>31.355470286710556</v>
      </c>
      <c r="H186" s="32">
        <f t="shared" si="193"/>
        <v>32.291701959612432</v>
      </c>
      <c r="I186" s="32">
        <f t="shared" si="193"/>
        <v>33.073559960582855</v>
      </c>
      <c r="J186" s="32">
        <f t="shared" si="193"/>
        <v>33.535083027228382</v>
      </c>
      <c r="K186" s="32">
        <f t="shared" si="193"/>
        <v>34.29771827302708</v>
      </c>
      <c r="L186" s="32">
        <f t="shared" si="193"/>
        <v>32.507237642417017</v>
      </c>
      <c r="M186" s="32">
        <f t="shared" si="193"/>
        <v>30.744884197055093</v>
      </c>
      <c r="N186" s="32">
        <f t="shared" si="193"/>
        <v>30.052004638574115</v>
      </c>
      <c r="O186" s="32">
        <f t="shared" si="193"/>
        <v>29.023211145090571</v>
      </c>
      <c r="P186" s="32">
        <f t="shared" si="193"/>
        <v>30.099309348969193</v>
      </c>
      <c r="Q186" s="32">
        <f t="shared" si="193"/>
        <v>30.588019637518013</v>
      </c>
      <c r="R186" s="32">
        <f t="shared" si="193"/>
        <v>30.733250521749437</v>
      </c>
      <c r="S186" s="32">
        <f t="shared" si="193"/>
        <v>30.496456276265612</v>
      </c>
      <c r="T186" s="32">
        <f t="shared" si="193"/>
        <v>31.126084425832115</v>
      </c>
      <c r="U186" s="32">
        <f t="shared" si="193"/>
        <v>32.26510110200141</v>
      </c>
      <c r="V186" s="32">
        <f t="shared" si="193"/>
        <v>34.932014897169175</v>
      </c>
      <c r="W186" s="32">
        <f t="shared" si="193"/>
        <v>35.666427610029366</v>
      </c>
      <c r="X186" s="32">
        <f t="shared" si="193"/>
        <v>33.396440001470481</v>
      </c>
      <c r="Y186" s="32">
        <f t="shared" si="193"/>
        <v>30.092180104624706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29.411401964280316</v>
      </c>
      <c r="C187" s="141">
        <f t="shared" si="194"/>
        <v>30.955751998662301</v>
      </c>
      <c r="D187" s="141">
        <f t="shared" si="194"/>
        <v>32.252361482566364</v>
      </c>
      <c r="E187" s="141">
        <f t="shared" si="194"/>
        <v>33.22682663244494</v>
      </c>
      <c r="F187" s="141">
        <f t="shared" si="194"/>
        <v>33.709310985455922</v>
      </c>
      <c r="G187" s="141">
        <f t="shared" si="194"/>
        <v>34.196760275843339</v>
      </c>
      <c r="H187" s="141">
        <f t="shared" si="194"/>
        <v>35.143048137953592</v>
      </c>
      <c r="I187" s="141">
        <f t="shared" si="194"/>
        <v>36.104797705401111</v>
      </c>
      <c r="J187" s="141">
        <f t="shared" si="194"/>
        <v>35.913402487003104</v>
      </c>
      <c r="K187" s="141">
        <f t="shared" si="194"/>
        <v>36.966160752072945</v>
      </c>
      <c r="L187" s="141">
        <f t="shared" si="194"/>
        <v>34.894255551397286</v>
      </c>
      <c r="M187" s="141">
        <f t="shared" si="194"/>
        <v>32.995740402897383</v>
      </c>
      <c r="N187" s="141">
        <f t="shared" si="194"/>
        <v>33.065765891478215</v>
      </c>
      <c r="O187" s="141">
        <f t="shared" si="194"/>
        <v>31.569948544869206</v>
      </c>
      <c r="P187" s="141">
        <f t="shared" si="194"/>
        <v>33.094870655026639</v>
      </c>
      <c r="Q187" s="141">
        <f t="shared" si="194"/>
        <v>34.056045952628253</v>
      </c>
      <c r="R187" s="141">
        <f t="shared" si="194"/>
        <v>34.485803749605594</v>
      </c>
      <c r="S187" s="141">
        <f t="shared" si="194"/>
        <v>34.112723538713695</v>
      </c>
      <c r="T187" s="141">
        <f t="shared" si="194"/>
        <v>34.670594017047826</v>
      </c>
      <c r="U187" s="141">
        <f t="shared" si="194"/>
        <v>36.493306406755003</v>
      </c>
      <c r="V187" s="141">
        <f t="shared" si="194"/>
        <v>36.908363892161965</v>
      </c>
      <c r="W187" s="141">
        <f t="shared" si="194"/>
        <v>37.797365244079451</v>
      </c>
      <c r="X187" s="141">
        <f t="shared" si="194"/>
        <v>36.868485542994428</v>
      </c>
      <c r="Y187" s="141">
        <f t="shared" si="194"/>
        <v>34.039848116950964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41.944459482758177</v>
      </c>
      <c r="C188" s="97">
        <f t="shared" si="195"/>
        <v>41.783350998333042</v>
      </c>
      <c r="D188" s="97">
        <f t="shared" si="195"/>
        <v>41.442440074051028</v>
      </c>
      <c r="E188" s="97">
        <f t="shared" si="195"/>
        <v>41.033075527847537</v>
      </c>
      <c r="F188" s="97">
        <f t="shared" si="195"/>
        <v>40.446007241770324</v>
      </c>
      <c r="G188" s="97">
        <f t="shared" si="195"/>
        <v>40.087371964857539</v>
      </c>
      <c r="H188" s="97">
        <f t="shared" si="195"/>
        <v>39.69579262681566</v>
      </c>
      <c r="I188" s="97">
        <f t="shared" si="195"/>
        <v>39.220243351468795</v>
      </c>
      <c r="J188" s="97">
        <f t="shared" si="195"/>
        <v>38.722148917032214</v>
      </c>
      <c r="K188" s="97">
        <f t="shared" si="195"/>
        <v>38.284569917243431</v>
      </c>
      <c r="L188" s="97">
        <f t="shared" si="195"/>
        <v>37.972485493512451</v>
      </c>
      <c r="M188" s="97">
        <f t="shared" si="195"/>
        <v>37.769993197004808</v>
      </c>
      <c r="N188" s="97">
        <f t="shared" si="195"/>
        <v>37.643279658201713</v>
      </c>
      <c r="O188" s="97">
        <f t="shared" si="195"/>
        <v>37.37248140621741</v>
      </c>
      <c r="P188" s="97">
        <f t="shared" si="195"/>
        <v>36.905621144397067</v>
      </c>
      <c r="Q188" s="97">
        <f t="shared" si="195"/>
        <v>36.338616170422263</v>
      </c>
      <c r="R188" s="97">
        <f t="shared" si="195"/>
        <v>35.915750729091336</v>
      </c>
      <c r="S188" s="97">
        <f t="shared" si="195"/>
        <v>35.575446727328064</v>
      </c>
      <c r="T188" s="97">
        <f t="shared" si="195"/>
        <v>35.296470073773037</v>
      </c>
      <c r="U188" s="97">
        <f t="shared" si="195"/>
        <v>35.035508350596828</v>
      </c>
      <c r="V188" s="97">
        <f t="shared" si="195"/>
        <v>34.785616042855544</v>
      </c>
      <c r="W188" s="97">
        <f t="shared" si="195"/>
        <v>34.625218635892999</v>
      </c>
      <c r="X188" s="97">
        <f t="shared" si="195"/>
        <v>35.085012785066688</v>
      </c>
      <c r="Y188" s="97">
        <f t="shared" si="195"/>
        <v>34.498039065176755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32.9693651377385</v>
      </c>
      <c r="C189" s="97">
        <f t="shared" si="196"/>
        <v>35.049028899877449</v>
      </c>
      <c r="D189" s="97">
        <f t="shared" si="196"/>
        <v>36.786670682514874</v>
      </c>
      <c r="E189" s="97">
        <f t="shared" si="196"/>
        <v>37.890220933215417</v>
      </c>
      <c r="F189" s="97">
        <f t="shared" si="196"/>
        <v>38.365498997014477</v>
      </c>
      <c r="G189" s="97">
        <f t="shared" si="196"/>
        <v>38.517555130908185</v>
      </c>
      <c r="H189" s="97">
        <f t="shared" si="196"/>
        <v>38.994238558900804</v>
      </c>
      <c r="I189" s="97">
        <f t="shared" si="196"/>
        <v>39.749391407575366</v>
      </c>
      <c r="J189" s="97">
        <f t="shared" si="196"/>
        <v>40.366523274120951</v>
      </c>
      <c r="K189" s="97">
        <f t="shared" si="196"/>
        <v>41.086274870065203</v>
      </c>
      <c r="L189" s="97">
        <f t="shared" si="196"/>
        <v>38.545163061022876</v>
      </c>
      <c r="M189" s="97">
        <f t="shared" si="196"/>
        <v>36.513497541468894</v>
      </c>
      <c r="N189" s="97">
        <f t="shared" si="196"/>
        <v>37.179162548944902</v>
      </c>
      <c r="O189" s="97">
        <f t="shared" si="196"/>
        <v>35.486459304501111</v>
      </c>
      <c r="P189" s="97">
        <f t="shared" si="196"/>
        <v>37.087467915355198</v>
      </c>
      <c r="Q189" s="97">
        <f t="shared" si="196"/>
        <v>38.023749882176496</v>
      </c>
      <c r="R189" s="97">
        <f t="shared" si="196"/>
        <v>38.489505075707463</v>
      </c>
      <c r="S189" s="97">
        <f t="shared" si="196"/>
        <v>37.715975164599598</v>
      </c>
      <c r="T189" s="97">
        <f t="shared" si="196"/>
        <v>38.377224303363569</v>
      </c>
      <c r="U189" s="97">
        <f t="shared" si="196"/>
        <v>40.457317505014473</v>
      </c>
      <c r="V189" s="97">
        <f t="shared" si="196"/>
        <v>38.779038024145123</v>
      </c>
      <c r="W189" s="97">
        <f t="shared" si="196"/>
        <v>39.221180976195917</v>
      </c>
      <c r="X189" s="97">
        <f t="shared" si="196"/>
        <v>39.150799174913445</v>
      </c>
      <c r="Y189" s="97">
        <f t="shared" si="196"/>
        <v>35.991682881992837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20.451476264796192</v>
      </c>
      <c r="C190" s="97">
        <f t="shared" si="197"/>
        <v>20.635057608732193</v>
      </c>
      <c r="D190" s="97">
        <f t="shared" si="197"/>
        <v>20.996849975120092</v>
      </c>
      <c r="E190" s="97">
        <f t="shared" si="197"/>
        <v>21.248232669436433</v>
      </c>
      <c r="F190" s="97">
        <f t="shared" si="197"/>
        <v>21.028340979802614</v>
      </c>
      <c r="G190" s="97">
        <f t="shared" si="197"/>
        <v>22.110169903282856</v>
      </c>
      <c r="H190" s="97">
        <f t="shared" si="197"/>
        <v>23.804566857673507</v>
      </c>
      <c r="I190" s="97">
        <f t="shared" si="197"/>
        <v>24.561179354004615</v>
      </c>
      <c r="J190" s="97">
        <f t="shared" si="197"/>
        <v>22.221562433180999</v>
      </c>
      <c r="K190" s="97">
        <f t="shared" si="197"/>
        <v>23.172749788210549</v>
      </c>
      <c r="L190" s="97">
        <f t="shared" si="197"/>
        <v>23.14727973132085</v>
      </c>
      <c r="M190" s="97">
        <f t="shared" si="197"/>
        <v>21.694555080963912</v>
      </c>
      <c r="N190" s="97">
        <f t="shared" si="197"/>
        <v>20.464316859456311</v>
      </c>
      <c r="O190" s="97">
        <f t="shared" si="197"/>
        <v>19.572640343780964</v>
      </c>
      <c r="P190" s="97">
        <f t="shared" si="197"/>
        <v>21.048208784653006</v>
      </c>
      <c r="Q190" s="97">
        <f t="shared" si="197"/>
        <v>21.829898816578986</v>
      </c>
      <c r="R190" s="97">
        <f t="shared" si="197"/>
        <v>21.713502063522856</v>
      </c>
      <c r="S190" s="97">
        <f t="shared" si="197"/>
        <v>22.137216783786748</v>
      </c>
      <c r="T190" s="97">
        <f t="shared" si="197"/>
        <v>22.089479982557329</v>
      </c>
      <c r="U190" s="97">
        <f t="shared" si="197"/>
        <v>22.386747000939081</v>
      </c>
      <c r="V190" s="97">
        <f t="shared" si="197"/>
        <v>27.342727029145898</v>
      </c>
      <c r="W190" s="97">
        <f t="shared" si="197"/>
        <v>30.063535181740978</v>
      </c>
      <c r="X190" s="97">
        <f t="shared" si="197"/>
        <v>25.811625113596595</v>
      </c>
      <c r="Y190" s="97">
        <f t="shared" si="197"/>
        <v>23.878352407783886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11.030010193149678</v>
      </c>
      <c r="C191" s="130">
        <f t="shared" si="198"/>
        <v>10.74021562276427</v>
      </c>
      <c r="D191" s="130">
        <f t="shared" si="198"/>
        <v>10.0147987170196</v>
      </c>
      <c r="E191" s="130">
        <f t="shared" si="198"/>
        <v>10.315180627761917</v>
      </c>
      <c r="F191" s="130">
        <f t="shared" si="198"/>
        <v>10.296677257628099</v>
      </c>
      <c r="G191" s="130">
        <f t="shared" si="198"/>
        <v>10.107261841251255</v>
      </c>
      <c r="H191" s="130">
        <f t="shared" si="198"/>
        <v>10.558267027879619</v>
      </c>
      <c r="I191" s="130">
        <f t="shared" si="198"/>
        <v>11.317376186194306</v>
      </c>
      <c r="J191" s="130">
        <f t="shared" si="198"/>
        <v>11.69260436268269</v>
      </c>
      <c r="K191" s="130">
        <f t="shared" si="198"/>
        <v>12.856982498052787</v>
      </c>
      <c r="L191" s="130">
        <f t="shared" si="198"/>
        <v>11.743256543716949</v>
      </c>
      <c r="M191" s="130">
        <f t="shared" si="198"/>
        <v>11.159752986537836</v>
      </c>
      <c r="N191" s="130">
        <f t="shared" si="198"/>
        <v>9.6561801738068755</v>
      </c>
      <c r="O191" s="130">
        <f t="shared" si="198"/>
        <v>11.625980809166174</v>
      </c>
      <c r="P191" s="130">
        <f t="shared" si="198"/>
        <v>11.039358633964566</v>
      </c>
      <c r="Q191" s="130">
        <f t="shared" si="198"/>
        <v>10.515438699283782</v>
      </c>
      <c r="R191" s="130">
        <f t="shared" si="198"/>
        <v>10.33160110762296</v>
      </c>
      <c r="S191" s="130">
        <f t="shared" si="198"/>
        <v>10.087123468214372</v>
      </c>
      <c r="T191" s="130">
        <f t="shared" si="198"/>
        <v>10.544782805793265</v>
      </c>
      <c r="U191" s="130">
        <f t="shared" si="198"/>
        <v>10.02915028326748</v>
      </c>
      <c r="V191" s="130">
        <f t="shared" si="198"/>
        <v>13.650479381866031</v>
      </c>
      <c r="W191" s="130">
        <f t="shared" si="198"/>
        <v>13.29419850981532</v>
      </c>
      <c r="X191" s="130">
        <f t="shared" si="198"/>
        <v>9.6486082250611513</v>
      </c>
      <c r="Y191" s="130">
        <f t="shared" si="198"/>
        <v>7.7665132021371255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5.4748555997846955</v>
      </c>
      <c r="C192" s="97">
        <f t="shared" si="199"/>
        <v>5.4537260145208375</v>
      </c>
      <c r="D192" s="97">
        <f t="shared" si="199"/>
        <v>5.253420360049124</v>
      </c>
      <c r="E192" s="97">
        <f t="shared" si="199"/>
        <v>5.3839806578986646</v>
      </c>
      <c r="F192" s="97">
        <f t="shared" si="199"/>
        <v>5.373095414744939</v>
      </c>
      <c r="G192" s="97">
        <f t="shared" si="199"/>
        <v>5.2895774159206788</v>
      </c>
      <c r="H192" s="97">
        <f t="shared" si="199"/>
        <v>5.2972996226838553</v>
      </c>
      <c r="I192" s="97">
        <f t="shared" si="199"/>
        <v>5.5208625395255293</v>
      </c>
      <c r="J192" s="97">
        <f t="shared" si="199"/>
        <v>5.5193203424151136</v>
      </c>
      <c r="K192" s="97">
        <f t="shared" si="199"/>
        <v>5.5378089105701624</v>
      </c>
      <c r="L192" s="97">
        <f t="shared" si="199"/>
        <v>5.4580162960739553</v>
      </c>
      <c r="M192" s="97">
        <f t="shared" si="199"/>
        <v>5.4771700423562182</v>
      </c>
      <c r="N192" s="97">
        <f t="shared" si="199"/>
        <v>5.3810493781632225</v>
      </c>
      <c r="O192" s="97">
        <f t="shared" si="199"/>
        <v>5.2611001587072952</v>
      </c>
      <c r="P192" s="97">
        <f t="shared" si="199"/>
        <v>5.2938530497311262</v>
      </c>
      <c r="Q192" s="97">
        <f t="shared" si="199"/>
        <v>5.699074334571498</v>
      </c>
      <c r="R192" s="97">
        <f t="shared" si="199"/>
        <v>5.6244354206347662</v>
      </c>
      <c r="S192" s="97">
        <f t="shared" si="199"/>
        <v>5.4582478108990786</v>
      </c>
      <c r="T192" s="97">
        <f t="shared" si="199"/>
        <v>5.123849636677642</v>
      </c>
      <c r="U192" s="97">
        <f t="shared" si="199"/>
        <v>5.1019819004924081</v>
      </c>
      <c r="V192" s="97">
        <f t="shared" si="199"/>
        <v>7.4229144034327703</v>
      </c>
      <c r="W192" s="97">
        <f t="shared" si="199"/>
        <v>7.5993947582308152</v>
      </c>
      <c r="X192" s="97">
        <f t="shared" si="199"/>
        <v>6.3838198646078901</v>
      </c>
      <c r="Y192" s="97">
        <f t="shared" si="199"/>
        <v>3.7333860721232401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12.502902724352401</v>
      </c>
      <c r="C193" s="97">
        <f t="shared" si="200"/>
        <v>12.098692862423828</v>
      </c>
      <c r="D193" s="97">
        <f t="shared" si="200"/>
        <v>11.161399753319772</v>
      </c>
      <c r="E193" s="97">
        <f t="shared" si="200"/>
        <v>11.521373426145733</v>
      </c>
      <c r="F193" s="97">
        <f t="shared" si="200"/>
        <v>11.468843323518632</v>
      </c>
      <c r="G193" s="97">
        <f t="shared" si="200"/>
        <v>11.258009120999793</v>
      </c>
      <c r="H193" s="97">
        <f t="shared" si="200"/>
        <v>11.801877359838819</v>
      </c>
      <c r="I193" s="97">
        <f t="shared" si="200"/>
        <v>12.827436871112585</v>
      </c>
      <c r="J193" s="97">
        <f t="shared" si="200"/>
        <v>13.430980892750805</v>
      </c>
      <c r="K193" s="97">
        <f t="shared" si="200"/>
        <v>15.145584348251766</v>
      </c>
      <c r="L193" s="97">
        <f t="shared" si="200"/>
        <v>13.779965693096379</v>
      </c>
      <c r="M193" s="97">
        <f t="shared" si="200"/>
        <v>12.992638895015826</v>
      </c>
      <c r="N193" s="97">
        <f t="shared" si="200"/>
        <v>11.024856616428846</v>
      </c>
      <c r="O193" s="97">
        <f t="shared" si="200"/>
        <v>13.663594352298301</v>
      </c>
      <c r="P193" s="97">
        <f t="shared" si="200"/>
        <v>13.132829302506073</v>
      </c>
      <c r="Q193" s="97">
        <f t="shared" si="200"/>
        <v>12.380629065001761</v>
      </c>
      <c r="R193" s="97">
        <f t="shared" si="200"/>
        <v>12.215392516079522</v>
      </c>
      <c r="S193" s="97">
        <f t="shared" si="200"/>
        <v>11.910672176810085</v>
      </c>
      <c r="T193" s="97">
        <f t="shared" si="200"/>
        <v>12.433876852384563</v>
      </c>
      <c r="U193" s="97">
        <f t="shared" si="200"/>
        <v>11.813488465269968</v>
      </c>
      <c r="V193" s="97">
        <f t="shared" si="200"/>
        <v>16.017569902098696</v>
      </c>
      <c r="W193" s="97">
        <f t="shared" si="200"/>
        <v>15.14543901355076</v>
      </c>
      <c r="X193" s="97">
        <f t="shared" si="200"/>
        <v>10.617197550091076</v>
      </c>
      <c r="Y193" s="97">
        <f t="shared" si="200"/>
        <v>8.8525728825513177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61.419415867285721</v>
      </c>
      <c r="C195" s="130">
        <f t="shared" si="202"/>
        <v>60.417376934230397</v>
      </c>
      <c r="D195" s="130">
        <f t="shared" si="202"/>
        <v>59.26013793835331</v>
      </c>
      <c r="E195" s="130">
        <f t="shared" si="202"/>
        <v>51.958106702676346</v>
      </c>
      <c r="F195" s="130">
        <f t="shared" si="202"/>
        <v>45.391484412130374</v>
      </c>
      <c r="G195" s="130">
        <f t="shared" si="202"/>
        <v>42.525856260568723</v>
      </c>
      <c r="H195" s="130">
        <f t="shared" si="202"/>
        <v>41.627607350428164</v>
      </c>
      <c r="I195" s="130">
        <f t="shared" si="202"/>
        <v>36.648629028664878</v>
      </c>
      <c r="J195" s="130">
        <f t="shared" si="202"/>
        <v>43.461086036903254</v>
      </c>
      <c r="K195" s="130">
        <f t="shared" si="202"/>
        <v>41.064158790404697</v>
      </c>
      <c r="L195" s="130">
        <f t="shared" si="202"/>
        <v>40.675256935264031</v>
      </c>
      <c r="M195" s="130">
        <f t="shared" si="202"/>
        <v>38.373802545963017</v>
      </c>
      <c r="N195" s="130">
        <f t="shared" si="202"/>
        <v>30.281906563362568</v>
      </c>
      <c r="O195" s="130">
        <f t="shared" si="202"/>
        <v>29.625230542108909</v>
      </c>
      <c r="P195" s="130">
        <f t="shared" si="202"/>
        <v>28.243696816122867</v>
      </c>
      <c r="Q195" s="130">
        <f t="shared" si="202"/>
        <v>24.684414534236822</v>
      </c>
      <c r="R195" s="130">
        <f t="shared" si="202"/>
        <v>23.063102135539566</v>
      </c>
      <c r="S195" s="130">
        <f t="shared" si="202"/>
        <v>23.324982133696746</v>
      </c>
      <c r="T195" s="130">
        <f t="shared" si="202"/>
        <v>24.052956660382861</v>
      </c>
      <c r="U195" s="130">
        <f t="shared" si="202"/>
        <v>21.889732025618112</v>
      </c>
      <c r="V195" s="130">
        <f t="shared" si="202"/>
        <v>31.857970044697737</v>
      </c>
      <c r="W195" s="130">
        <f t="shared" si="202"/>
        <v>32.909117820090366</v>
      </c>
      <c r="X195" s="130">
        <f t="shared" si="202"/>
        <v>26.448200950823757</v>
      </c>
      <c r="Y195" s="130">
        <f t="shared" si="202"/>
        <v>23.844989459310089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64.713630861924628</v>
      </c>
      <c r="C197" s="97">
        <f t="shared" si="204"/>
        <v>63.283741291175048</v>
      </c>
      <c r="D197" s="97">
        <f t="shared" si="204"/>
        <v>59.583357175425057</v>
      </c>
      <c r="E197" s="97">
        <f t="shared" si="204"/>
        <v>54.027681675896076</v>
      </c>
      <c r="F197" s="97">
        <f t="shared" si="204"/>
        <v>48.911784890569763</v>
      </c>
      <c r="G197" s="97">
        <f t="shared" si="204"/>
        <v>42.753688460223906</v>
      </c>
      <c r="H197" s="97">
        <f t="shared" si="204"/>
        <v>42.742020906234096</v>
      </c>
      <c r="I197" s="97">
        <f t="shared" si="204"/>
        <v>39.454516322242398</v>
      </c>
      <c r="J197" s="97">
        <f t="shared" si="204"/>
        <v>45.926938289848017</v>
      </c>
      <c r="K197" s="97">
        <f t="shared" si="204"/>
        <v>39.604703773248026</v>
      </c>
      <c r="L197" s="97">
        <f t="shared" si="204"/>
        <v>39.32174361099829</v>
      </c>
      <c r="M197" s="97">
        <f t="shared" si="204"/>
        <v>36.666682430947532</v>
      </c>
      <c r="N197" s="97">
        <f t="shared" si="204"/>
        <v>24.906830099381899</v>
      </c>
      <c r="O197" s="97">
        <f t="shared" si="204"/>
        <v>24.997544672658325</v>
      </c>
      <c r="P197" s="97">
        <f t="shared" si="204"/>
        <v>25.749241268605932</v>
      </c>
      <c r="Q197" s="97">
        <f t="shared" si="204"/>
        <v>23.487273857298337</v>
      </c>
      <c r="R197" s="97">
        <f t="shared" si="204"/>
        <v>21.96501828226657</v>
      </c>
      <c r="S197" s="97">
        <f t="shared" si="204"/>
        <v>23.204279129288444</v>
      </c>
      <c r="T197" s="97">
        <f t="shared" si="204"/>
        <v>26.118637668520989</v>
      </c>
      <c r="U197" s="97">
        <f t="shared" si="204"/>
        <v>24.18520913021376</v>
      </c>
      <c r="V197" s="97">
        <f t="shared" si="204"/>
        <v>28.971508991861256</v>
      </c>
      <c r="W197" s="97">
        <f t="shared" si="204"/>
        <v>32.787120912679512</v>
      </c>
      <c r="X197" s="97">
        <f t="shared" si="204"/>
        <v>28.027633238725432</v>
      </c>
      <c r="Y197" s="97">
        <f t="shared" si="204"/>
        <v>27.99215217752916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55.945074120253601</v>
      </c>
      <c r="C198" s="97">
        <f t="shared" si="205"/>
        <v>55.578507412745317</v>
      </c>
      <c r="D198" s="97">
        <f t="shared" si="205"/>
        <v>58.653809922102475</v>
      </c>
      <c r="E198" s="97">
        <f t="shared" si="205"/>
        <v>48.705850532321897</v>
      </c>
      <c r="F198" s="97">
        <f t="shared" si="205"/>
        <v>39.266188557130093</v>
      </c>
      <c r="G198" s="97">
        <f t="shared" si="205"/>
        <v>41.999198172186816</v>
      </c>
      <c r="H198" s="97">
        <f t="shared" si="205"/>
        <v>39.236518544388495</v>
      </c>
      <c r="I198" s="97">
        <f t="shared" si="205"/>
        <v>31.432032269963052</v>
      </c>
      <c r="J198" s="97">
        <f t="shared" si="205"/>
        <v>38.556420987425881</v>
      </c>
      <c r="K198" s="97">
        <f t="shared" si="205"/>
        <v>44.699702614245119</v>
      </c>
      <c r="L198" s="97">
        <f t="shared" si="205"/>
        <v>43.944798720963497</v>
      </c>
      <c r="M198" s="97">
        <f t="shared" si="205"/>
        <v>42.642022322760646</v>
      </c>
      <c r="N198" s="97">
        <f t="shared" si="205"/>
        <v>56.328025235518169</v>
      </c>
      <c r="O198" s="97">
        <f t="shared" si="205"/>
        <v>49.493970211754061</v>
      </c>
      <c r="P198" s="97">
        <f t="shared" si="205"/>
        <v>35.938508953741348</v>
      </c>
      <c r="Q198" s="97">
        <f t="shared" si="205"/>
        <v>27.91871984624099</v>
      </c>
      <c r="R198" s="97">
        <f t="shared" si="205"/>
        <v>26.334643032046916</v>
      </c>
      <c r="S198" s="97">
        <f t="shared" si="205"/>
        <v>23.642528141062648</v>
      </c>
      <c r="T198" s="97">
        <f t="shared" si="205"/>
        <v>19.962870789410204</v>
      </c>
      <c r="U198" s="97">
        <f t="shared" si="205"/>
        <v>17.56404341924685</v>
      </c>
      <c r="V198" s="97">
        <f t="shared" si="205"/>
        <v>38.879664473449978</v>
      </c>
      <c r="W198" s="97">
        <f t="shared" si="205"/>
        <v>33.15648587214644</v>
      </c>
      <c r="X198" s="97">
        <f t="shared" si="205"/>
        <v>22.992679855565491</v>
      </c>
      <c r="Y198" s="97">
        <f t="shared" si="205"/>
        <v>17.305466153079166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33.675797824605667</v>
      </c>
      <c r="C199" s="32">
        <f t="shared" si="206"/>
        <v>36.413095377871294</v>
      </c>
      <c r="D199" s="32">
        <f t="shared" si="206"/>
        <v>39.639581946586951</v>
      </c>
      <c r="E199" s="32">
        <f t="shared" si="206"/>
        <v>42.106449671968143</v>
      </c>
      <c r="F199" s="32">
        <f t="shared" si="206"/>
        <v>40.626806595926411</v>
      </c>
      <c r="G199" s="32">
        <f t="shared" si="206"/>
        <v>47.040831244916859</v>
      </c>
      <c r="H199" s="32">
        <f t="shared" si="206"/>
        <v>46.282044484249425</v>
      </c>
      <c r="I199" s="32">
        <f t="shared" si="206"/>
        <v>43.35945372860683</v>
      </c>
      <c r="J199" s="32">
        <f t="shared" si="206"/>
        <v>44.676274443440533</v>
      </c>
      <c r="K199" s="32">
        <f t="shared" si="206"/>
        <v>52.485206118378414</v>
      </c>
      <c r="L199" s="32">
        <f t="shared" si="206"/>
        <v>45.718118473659175</v>
      </c>
      <c r="M199" s="32">
        <f t="shared" si="206"/>
        <v>41.73546616786566</v>
      </c>
      <c r="N199" s="32">
        <f t="shared" si="206"/>
        <v>39.199259532662495</v>
      </c>
      <c r="O199" s="32">
        <f t="shared" si="206"/>
        <v>34.24646190387957</v>
      </c>
      <c r="P199" s="32">
        <f t="shared" si="206"/>
        <v>40.873600182841528</v>
      </c>
      <c r="Q199" s="32">
        <f t="shared" si="206"/>
        <v>44.672871857876977</v>
      </c>
      <c r="R199" s="32">
        <f t="shared" si="206"/>
        <v>40.269953501017724</v>
      </c>
      <c r="S199" s="32">
        <f t="shared" si="206"/>
        <v>38.342328101056346</v>
      </c>
      <c r="T199" s="32">
        <f t="shared" si="206"/>
        <v>42.664519148395847</v>
      </c>
      <c r="U199" s="32">
        <f t="shared" si="206"/>
        <v>41.675044547388687</v>
      </c>
      <c r="V199" s="32">
        <f t="shared" si="206"/>
        <v>36.004629070754582</v>
      </c>
      <c r="W199" s="32">
        <f t="shared" si="206"/>
        <v>39.504929452694931</v>
      </c>
      <c r="X199" s="32">
        <f t="shared" si="206"/>
        <v>43.558150453338961</v>
      </c>
      <c r="Y199" s="32">
        <f t="shared" si="206"/>
        <v>37.697065207890788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47.53268355090448</v>
      </c>
      <c r="C200" s="141">
        <f t="shared" si="207"/>
        <v>49.931893569849976</v>
      </c>
      <c r="D200" s="141">
        <f t="shared" si="207"/>
        <v>55.33855990171012</v>
      </c>
      <c r="E200" s="141">
        <f t="shared" si="207"/>
        <v>58.808598711464363</v>
      </c>
      <c r="F200" s="141">
        <f t="shared" si="207"/>
        <v>58.416349880684422</v>
      </c>
      <c r="G200" s="141">
        <f t="shared" si="207"/>
        <v>68.342385894012196</v>
      </c>
      <c r="H200" s="141">
        <f t="shared" si="207"/>
        <v>66.97730954976565</v>
      </c>
      <c r="I200" s="141">
        <f t="shared" si="207"/>
        <v>61.509320459400136</v>
      </c>
      <c r="J200" s="141">
        <f t="shared" si="207"/>
        <v>62.525273028660635</v>
      </c>
      <c r="K200" s="141">
        <f t="shared" si="207"/>
        <v>72.560519402081312</v>
      </c>
      <c r="L200" s="141">
        <f t="shared" si="207"/>
        <v>67.366435238051608</v>
      </c>
      <c r="M200" s="141">
        <f t="shared" si="207"/>
        <v>61.186992242484614</v>
      </c>
      <c r="N200" s="141">
        <f t="shared" si="207"/>
        <v>58.85556544383352</v>
      </c>
      <c r="O200" s="141">
        <f t="shared" si="207"/>
        <v>51.456420644996086</v>
      </c>
      <c r="P200" s="141">
        <f t="shared" si="207"/>
        <v>61.62389282163177</v>
      </c>
      <c r="Q200" s="141">
        <f t="shared" si="207"/>
        <v>65.997684593013005</v>
      </c>
      <c r="R200" s="141">
        <f t="shared" si="207"/>
        <v>58.751819763290278</v>
      </c>
      <c r="S200" s="141">
        <f t="shared" si="207"/>
        <v>58.648937215596632</v>
      </c>
      <c r="T200" s="141">
        <f t="shared" si="207"/>
        <v>59.720119561922296</v>
      </c>
      <c r="U200" s="141">
        <f t="shared" si="207"/>
        <v>58.723838940780666</v>
      </c>
      <c r="V200" s="141">
        <f t="shared" si="207"/>
        <v>52.056568754497398</v>
      </c>
      <c r="W200" s="141">
        <f t="shared" si="207"/>
        <v>54.851843618445827</v>
      </c>
      <c r="X200" s="141">
        <f t="shared" si="207"/>
        <v>60.014805362728445</v>
      </c>
      <c r="Y200" s="141">
        <f t="shared" si="207"/>
        <v>50.817794874410076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649.3027397023219</v>
      </c>
      <c r="C201" s="97">
        <f t="shared" si="208"/>
        <v>637.08533919427362</v>
      </c>
      <c r="D201" s="97">
        <f t="shared" si="208"/>
        <v>645.25602038015143</v>
      </c>
      <c r="E201" s="97">
        <f t="shared" si="208"/>
        <v>644.95184005813621</v>
      </c>
      <c r="F201" s="97">
        <f t="shared" si="208"/>
        <v>640.29291529173656</v>
      </c>
      <c r="G201" s="97">
        <f t="shared" si="208"/>
        <v>658.56830525388159</v>
      </c>
      <c r="H201" s="97">
        <f t="shared" si="208"/>
        <v>651.07644579569831</v>
      </c>
      <c r="I201" s="97">
        <f t="shared" si="208"/>
        <v>627.5813303197516</v>
      </c>
      <c r="J201" s="97">
        <f t="shared" si="208"/>
        <v>630.24994585249567</v>
      </c>
      <c r="K201" s="97">
        <f t="shared" si="208"/>
        <v>618.79354982457937</v>
      </c>
      <c r="L201" s="97">
        <f t="shared" si="208"/>
        <v>616.08027141879961</v>
      </c>
      <c r="M201" s="97">
        <f t="shared" si="208"/>
        <v>586.46508559687345</v>
      </c>
      <c r="N201" s="97">
        <f t="shared" si="208"/>
        <v>571.73226469063923</v>
      </c>
      <c r="O201" s="97">
        <f t="shared" si="208"/>
        <v>535.21736382024369</v>
      </c>
      <c r="P201" s="97">
        <f t="shared" si="208"/>
        <v>574.98782715001255</v>
      </c>
      <c r="Q201" s="97">
        <f t="shared" si="208"/>
        <v>591.78462336508721</v>
      </c>
      <c r="R201" s="97">
        <f t="shared" si="208"/>
        <v>569.26023567304492</v>
      </c>
      <c r="S201" s="97">
        <f t="shared" si="208"/>
        <v>569.89550227570032</v>
      </c>
      <c r="T201" s="97">
        <f t="shared" si="208"/>
        <v>569.95382130245923</v>
      </c>
      <c r="U201" s="97">
        <f t="shared" si="208"/>
        <v>561.27053934986282</v>
      </c>
      <c r="V201" s="97">
        <f t="shared" si="208"/>
        <v>531.51257167722849</v>
      </c>
      <c r="W201" s="97">
        <f t="shared" si="208"/>
        <v>551.19737543091446</v>
      </c>
      <c r="X201" s="97">
        <f t="shared" si="208"/>
        <v>566.87121628846955</v>
      </c>
      <c r="Y201" s="97">
        <f t="shared" si="208"/>
        <v>536.90260882247526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31.733578048175247</v>
      </c>
      <c r="C202" s="97">
        <f t="shared" si="209"/>
        <v>33.844819867249754</v>
      </c>
      <c r="D202" s="97">
        <f t="shared" si="209"/>
        <v>37.849635534626756</v>
      </c>
      <c r="E202" s="97">
        <f t="shared" si="209"/>
        <v>40.370166800236554</v>
      </c>
      <c r="F202" s="97">
        <f t="shared" si="209"/>
        <v>41.246124325059625</v>
      </c>
      <c r="G202" s="97">
        <f t="shared" si="209"/>
        <v>50.795434203124948</v>
      </c>
      <c r="H202" s="97">
        <f t="shared" si="209"/>
        <v>51.00171174328981</v>
      </c>
      <c r="I202" s="97">
        <f t="shared" si="209"/>
        <v>46.396205719179783</v>
      </c>
      <c r="J202" s="97">
        <f t="shared" si="209"/>
        <v>46.481853154508876</v>
      </c>
      <c r="K202" s="97">
        <f t="shared" si="209"/>
        <v>50.817535144970336</v>
      </c>
      <c r="L202" s="97">
        <f t="shared" si="209"/>
        <v>47.784225296948875</v>
      </c>
      <c r="M202" s="97">
        <f t="shared" si="209"/>
        <v>41.186504074721327</v>
      </c>
      <c r="N202" s="97">
        <f t="shared" si="209"/>
        <v>37.270403965630209</v>
      </c>
      <c r="O202" s="97">
        <f t="shared" si="209"/>
        <v>30.275176716457018</v>
      </c>
      <c r="P202" s="97">
        <f t="shared" si="209"/>
        <v>39.284044155224521</v>
      </c>
      <c r="Q202" s="97">
        <f t="shared" si="209"/>
        <v>43.712210963385942</v>
      </c>
      <c r="R202" s="97">
        <f t="shared" si="209"/>
        <v>37.893912804653624</v>
      </c>
      <c r="S202" s="97">
        <f t="shared" si="209"/>
        <v>37.761548834138054</v>
      </c>
      <c r="T202" s="97">
        <f t="shared" si="209"/>
        <v>38.513403916196481</v>
      </c>
      <c r="U202" s="97">
        <f t="shared" si="209"/>
        <v>37.017980081808219</v>
      </c>
      <c r="V202" s="97">
        <f t="shared" si="209"/>
        <v>29.231639337289192</v>
      </c>
      <c r="W202" s="97">
        <f t="shared" si="209"/>
        <v>33.106420953419189</v>
      </c>
      <c r="X202" s="97">
        <f t="shared" si="209"/>
        <v>37.225904847785401</v>
      </c>
      <c r="Y202" s="97">
        <f t="shared" si="209"/>
        <v>28.228271080338018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4.3250253611970004</v>
      </c>
      <c r="C203" s="130">
        <f t="shared" si="210"/>
        <v>4.5121114455002758</v>
      </c>
      <c r="D203" s="130">
        <f t="shared" si="210"/>
        <v>4.4693536903401654</v>
      </c>
      <c r="E203" s="130">
        <f t="shared" si="210"/>
        <v>4.3509593691786073</v>
      </c>
      <c r="F203" s="130">
        <f t="shared" si="210"/>
        <v>4.0711373118410314</v>
      </c>
      <c r="G203" s="130">
        <f t="shared" si="210"/>
        <v>3.8924678558011108</v>
      </c>
      <c r="H203" s="130">
        <f t="shared" si="210"/>
        <v>3.9016863747357213</v>
      </c>
      <c r="I203" s="130">
        <f t="shared" si="210"/>
        <v>4.0215922281450416</v>
      </c>
      <c r="J203" s="130">
        <f t="shared" si="210"/>
        <v>3.9089912491657683</v>
      </c>
      <c r="K203" s="130">
        <f t="shared" si="210"/>
        <v>3.8094966944857442</v>
      </c>
      <c r="L203" s="130">
        <f t="shared" si="210"/>
        <v>3.5013502025271399</v>
      </c>
      <c r="M203" s="130">
        <f t="shared" si="210"/>
        <v>3.028466201745375</v>
      </c>
      <c r="N203" s="130">
        <f t="shared" si="210"/>
        <v>2.8325378118988009</v>
      </c>
      <c r="O203" s="130">
        <f t="shared" si="210"/>
        <v>3.1595313148865878</v>
      </c>
      <c r="P203" s="130">
        <f t="shared" si="210"/>
        <v>3.1196720335749277</v>
      </c>
      <c r="Q203" s="130">
        <f t="shared" si="210"/>
        <v>2.9042250861761341</v>
      </c>
      <c r="R203" s="130">
        <f t="shared" si="210"/>
        <v>2.7042105999014172</v>
      </c>
      <c r="S203" s="130">
        <f t="shared" si="210"/>
        <v>2.6347614754196473</v>
      </c>
      <c r="T203" s="130">
        <f t="shared" si="210"/>
        <v>3.099786131749795</v>
      </c>
      <c r="U203" s="130">
        <f t="shared" si="210"/>
        <v>2.9716499809008576</v>
      </c>
      <c r="V203" s="130">
        <f t="shared" si="210"/>
        <v>3.4983335254791013</v>
      </c>
      <c r="W203" s="130">
        <f t="shared" si="210"/>
        <v>3.2642675496054481</v>
      </c>
      <c r="X203" s="130">
        <f t="shared" si="210"/>
        <v>3.3539226056057334</v>
      </c>
      <c r="Y203" s="130">
        <f t="shared" si="210"/>
        <v>2.7657805375732458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133.2309982619096</v>
      </c>
      <c r="C204" s="130">
        <f t="shared" si="211"/>
        <v>134.6851977249172</v>
      </c>
      <c r="D204" s="130">
        <f t="shared" si="211"/>
        <v>185.32143061217008</v>
      </c>
      <c r="E204" s="130">
        <f t="shared" si="211"/>
        <v>151.71927205132263</v>
      </c>
      <c r="F204" s="130">
        <f t="shared" si="211"/>
        <v>149.34593356654304</v>
      </c>
      <c r="G204" s="130">
        <f t="shared" si="211"/>
        <v>146.4474250368207</v>
      </c>
      <c r="H204" s="130">
        <f t="shared" si="211"/>
        <v>86.19745313086554</v>
      </c>
      <c r="I204" s="130">
        <f t="shared" si="211"/>
        <v>114.96023827732024</v>
      </c>
      <c r="J204" s="130">
        <f t="shared" si="211"/>
        <v>124.31867422189769</v>
      </c>
      <c r="K204" s="130">
        <f t="shared" si="211"/>
        <v>124.52297051944443</v>
      </c>
      <c r="L204" s="130">
        <f t="shared" si="211"/>
        <v>122.65181670397969</v>
      </c>
      <c r="M204" s="130">
        <f t="shared" si="211"/>
        <v>162.76385826483047</v>
      </c>
      <c r="N204" s="130">
        <f t="shared" si="211"/>
        <v>148.83117006045964</v>
      </c>
      <c r="O204" s="130">
        <f t="shared" si="211"/>
        <v>152.66814895308525</v>
      </c>
      <c r="P204" s="130">
        <f t="shared" si="211"/>
        <v>139.66487203497485</v>
      </c>
      <c r="Q204" s="130">
        <f t="shared" si="211"/>
        <v>120.52323859894899</v>
      </c>
      <c r="R204" s="130">
        <f t="shared" si="211"/>
        <v>92.490814735327447</v>
      </c>
      <c r="S204" s="130">
        <f t="shared" si="211"/>
        <v>104.57757909654003</v>
      </c>
      <c r="T204" s="130">
        <f t="shared" si="211"/>
        <v>97.899872950623447</v>
      </c>
      <c r="U204" s="130">
        <f t="shared" si="211"/>
        <v>75.375877432147618</v>
      </c>
      <c r="V204" s="130">
        <f t="shared" si="211"/>
        <v>135.11377101485979</v>
      </c>
      <c r="W204" s="130">
        <f t="shared" si="211"/>
        <v>121.22606722808078</v>
      </c>
      <c r="X204" s="130">
        <f t="shared" si="211"/>
        <v>89.455828126315382</v>
      </c>
      <c r="Y204" s="130">
        <f t="shared" si="211"/>
        <v>75.447357189272751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257.10041704701894</v>
      </c>
      <c r="C206" s="97">
        <f t="shared" si="213"/>
        <v>243.34940452321268</v>
      </c>
      <c r="D206" s="97">
        <f t="shared" si="213"/>
        <v>251.71562407378505</v>
      </c>
      <c r="E206" s="97">
        <f t="shared" si="213"/>
        <v>209.62465023238568</v>
      </c>
      <c r="F206" s="97">
        <f t="shared" si="213"/>
        <v>196.13252672647548</v>
      </c>
      <c r="G206" s="97">
        <f t="shared" si="213"/>
        <v>181.86155888692267</v>
      </c>
      <c r="H206" s="97">
        <f t="shared" si="213"/>
        <v>212.60215260275868</v>
      </c>
      <c r="I206" s="97">
        <f t="shared" si="213"/>
        <v>210.86430988214948</v>
      </c>
      <c r="J206" s="97">
        <f t="shared" si="213"/>
        <v>253.68138887119497</v>
      </c>
      <c r="K206" s="97">
        <f t="shared" si="213"/>
        <v>230.74518290594733</v>
      </c>
      <c r="L206" s="97">
        <f t="shared" si="213"/>
        <v>241.32620377274176</v>
      </c>
      <c r="M206" s="97">
        <f t="shared" si="213"/>
        <v>225.14737167032339</v>
      </c>
      <c r="N206" s="97">
        <f t="shared" si="213"/>
        <v>170.18577365043717</v>
      </c>
      <c r="O206" s="97">
        <f t="shared" si="213"/>
        <v>179.60882148086853</v>
      </c>
      <c r="P206" s="97">
        <f t="shared" si="213"/>
        <v>163.29899440664286</v>
      </c>
      <c r="Q206" s="97">
        <f t="shared" si="213"/>
        <v>149.74927198651099</v>
      </c>
      <c r="R206" s="97">
        <f t="shared" si="213"/>
        <v>133.53626439900322</v>
      </c>
      <c r="S206" s="97">
        <f t="shared" si="213"/>
        <v>158.74849866862979</v>
      </c>
      <c r="T206" s="97">
        <f t="shared" si="213"/>
        <v>169.77916605321306</v>
      </c>
      <c r="U206" s="97">
        <f t="shared" si="213"/>
        <v>146.6525790102304</v>
      </c>
      <c r="V206" s="97">
        <f t="shared" si="213"/>
        <v>207.45799536133285</v>
      </c>
      <c r="W206" s="97">
        <f t="shared" si="213"/>
        <v>246.5240653923083</v>
      </c>
      <c r="X206" s="97">
        <f t="shared" si="213"/>
        <v>222.3485888474431</v>
      </c>
      <c r="Y206" s="97">
        <f t="shared" si="213"/>
        <v>234.3517710752327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54.127376989433998</v>
      </c>
      <c r="C207" s="97">
        <f t="shared" si="214"/>
        <v>51.462445020975807</v>
      </c>
      <c r="D207" s="97">
        <f t="shared" si="214"/>
        <v>52.768686545272907</v>
      </c>
      <c r="E207" s="97">
        <f t="shared" si="214"/>
        <v>49.316902729340782</v>
      </c>
      <c r="F207" s="97">
        <f t="shared" si="214"/>
        <v>43.832343692031564</v>
      </c>
      <c r="G207" s="97">
        <f t="shared" si="214"/>
        <v>52.357596033905317</v>
      </c>
      <c r="H207" s="97">
        <f t="shared" si="214"/>
        <v>48.99211823800848</v>
      </c>
      <c r="I207" s="97">
        <f t="shared" si="214"/>
        <v>41.015180542260921</v>
      </c>
      <c r="J207" s="97">
        <f t="shared" si="214"/>
        <v>54.735565313279203</v>
      </c>
      <c r="K207" s="97">
        <f t="shared" si="214"/>
        <v>60.032617384931186</v>
      </c>
      <c r="L207" s="97">
        <f t="shared" si="214"/>
        <v>60.114092734491791</v>
      </c>
      <c r="M207" s="97">
        <f t="shared" si="214"/>
        <v>60.836929185670549</v>
      </c>
      <c r="N207" s="97">
        <f t="shared" si="214"/>
        <v>95.207291151575959</v>
      </c>
      <c r="O207" s="97">
        <f t="shared" si="214"/>
        <v>93.247059043939004</v>
      </c>
      <c r="P207" s="97">
        <f t="shared" si="214"/>
        <v>62.53186877165745</v>
      </c>
      <c r="Q207" s="97">
        <f t="shared" si="214"/>
        <v>44.933436739888869</v>
      </c>
      <c r="R207" s="97">
        <f t="shared" si="214"/>
        <v>35.821131778822817</v>
      </c>
      <c r="S207" s="97">
        <f t="shared" si="214"/>
        <v>35.303278507276907</v>
      </c>
      <c r="T207" s="97">
        <f t="shared" si="214"/>
        <v>26.517769698601128</v>
      </c>
      <c r="U207" s="97">
        <f t="shared" si="214"/>
        <v>27.55519556157002</v>
      </c>
      <c r="V207" s="97">
        <f t="shared" si="214"/>
        <v>74.993123698780167</v>
      </c>
      <c r="W207" s="97">
        <f t="shared" si="214"/>
        <v>68.451222174419485</v>
      </c>
      <c r="X207" s="97">
        <f t="shared" si="214"/>
        <v>58.497539658715333</v>
      </c>
      <c r="Y207" s="97">
        <f t="shared" si="214"/>
        <v>35.983964308166072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1.1526365209368934</v>
      </c>
      <c r="C208" s="130">
        <f t="shared" si="215"/>
        <v>0.94480141688571484</v>
      </c>
      <c r="D208" s="130">
        <f t="shared" si="215"/>
        <v>1.4599035286654798</v>
      </c>
      <c r="E208" s="130">
        <f t="shared" si="215"/>
        <v>6.0931682264232654</v>
      </c>
      <c r="F208" s="130">
        <f t="shared" si="215"/>
        <v>1.078825769344711</v>
      </c>
      <c r="G208" s="130">
        <f t="shared" si="215"/>
        <v>0.4867294503103185</v>
      </c>
      <c r="H208" s="130">
        <f t="shared" si="215"/>
        <v>0.53685266082319494</v>
      </c>
      <c r="I208" s="130">
        <f t="shared" si="215"/>
        <v>0.45351782429614734</v>
      </c>
      <c r="J208" s="130">
        <f t="shared" si="215"/>
        <v>0.44585841215247907</v>
      </c>
      <c r="K208" s="130">
        <f t="shared" si="215"/>
        <v>0.54788718041675477</v>
      </c>
      <c r="L208" s="130">
        <f t="shared" si="215"/>
        <v>0.41921497172715333</v>
      </c>
      <c r="M208" s="130">
        <f t="shared" si="215"/>
        <v>0.54520729746906405</v>
      </c>
      <c r="N208" s="130">
        <f t="shared" si="215"/>
        <v>3.0367894021255797</v>
      </c>
      <c r="O208" s="130">
        <f t="shared" si="215"/>
        <v>2.6069309603273489</v>
      </c>
      <c r="P208" s="130">
        <f t="shared" si="215"/>
        <v>3.3235320789690217</v>
      </c>
      <c r="Q208" s="130">
        <f t="shared" si="215"/>
        <v>3.2998446244588258</v>
      </c>
      <c r="R208" s="130">
        <f t="shared" si="215"/>
        <v>2.5940333271656679</v>
      </c>
      <c r="S208" s="130">
        <f t="shared" si="215"/>
        <v>2.5718954925462816</v>
      </c>
      <c r="T208" s="130">
        <f t="shared" si="215"/>
        <v>3.1860794907662893</v>
      </c>
      <c r="U208" s="130">
        <f t="shared" si="215"/>
        <v>2.4166112363925438</v>
      </c>
      <c r="V208" s="130">
        <f t="shared" si="215"/>
        <v>2.0513634873050175</v>
      </c>
      <c r="W208" s="130">
        <f t="shared" si="215"/>
        <v>1.6411888358760667</v>
      </c>
      <c r="X208" s="130">
        <f t="shared" si="215"/>
        <v>2.7179205886176558</v>
      </c>
      <c r="Y208" s="130">
        <f t="shared" si="215"/>
        <v>2.335825751972548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1.1526365209368934</v>
      </c>
      <c r="C210" s="98">
        <f t="shared" si="217"/>
        <v>0.94480141688571484</v>
      </c>
      <c r="D210" s="98">
        <f t="shared" si="217"/>
        <v>1.4599035286654798</v>
      </c>
      <c r="E210" s="98">
        <f t="shared" si="217"/>
        <v>6.0931682264232654</v>
      </c>
      <c r="F210" s="98">
        <f t="shared" si="217"/>
        <v>1.078825769344711</v>
      </c>
      <c r="G210" s="98">
        <f t="shared" si="217"/>
        <v>0.4867294503103185</v>
      </c>
      <c r="H210" s="98">
        <f t="shared" si="217"/>
        <v>0.53685266082319494</v>
      </c>
      <c r="I210" s="98">
        <f t="shared" si="217"/>
        <v>0.45351782429614734</v>
      </c>
      <c r="J210" s="98">
        <f t="shared" si="217"/>
        <v>0.44585841215247907</v>
      </c>
      <c r="K210" s="98">
        <f t="shared" si="217"/>
        <v>0.54788718041675477</v>
      </c>
      <c r="L210" s="98">
        <f t="shared" si="217"/>
        <v>0.41921497172715333</v>
      </c>
      <c r="M210" s="98">
        <f t="shared" si="217"/>
        <v>0.54520729746906405</v>
      </c>
      <c r="N210" s="98">
        <f t="shared" si="217"/>
        <v>3.0367894021255797</v>
      </c>
      <c r="O210" s="98">
        <f t="shared" si="217"/>
        <v>2.6069309603273489</v>
      </c>
      <c r="P210" s="98">
        <f t="shared" si="217"/>
        <v>3.3235320789690217</v>
      </c>
      <c r="Q210" s="98">
        <f t="shared" si="217"/>
        <v>3.2998446244588258</v>
      </c>
      <c r="R210" s="98">
        <f t="shared" si="217"/>
        <v>2.5940333271656679</v>
      </c>
      <c r="S210" s="98">
        <f t="shared" si="217"/>
        <v>2.5718954925462816</v>
      </c>
      <c r="T210" s="98">
        <f t="shared" si="217"/>
        <v>3.1860794907662893</v>
      </c>
      <c r="U210" s="98">
        <f t="shared" si="217"/>
        <v>2.4166112363925438</v>
      </c>
      <c r="V210" s="98">
        <f t="shared" si="217"/>
        <v>2.0513634873050175</v>
      </c>
      <c r="W210" s="98">
        <f t="shared" si="217"/>
        <v>1.6411888358760667</v>
      </c>
      <c r="X210" s="98">
        <f t="shared" si="217"/>
        <v>2.7179205886176558</v>
      </c>
      <c r="Y210" s="98">
        <f t="shared" si="217"/>
        <v>2.335825751972548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</v>
      </c>
      <c r="J211" s="32">
        <f t="shared" si="218"/>
        <v>0</v>
      </c>
      <c r="K211" s="32">
        <f t="shared" si="218"/>
        <v>0</v>
      </c>
      <c r="L211" s="32">
        <f t="shared" si="218"/>
        <v>0</v>
      </c>
      <c r="M211" s="32">
        <f t="shared" si="218"/>
        <v>0</v>
      </c>
      <c r="N211" s="32">
        <f t="shared" si="218"/>
        <v>0</v>
      </c>
      <c r="O211" s="32">
        <f t="shared" si="218"/>
        <v>0</v>
      </c>
      <c r="P211" s="32">
        <f t="shared" si="218"/>
        <v>0</v>
      </c>
      <c r="Q211" s="32">
        <f t="shared" si="218"/>
        <v>0</v>
      </c>
      <c r="R211" s="32">
        <f t="shared" si="218"/>
        <v>0</v>
      </c>
      <c r="S211" s="32">
        <f t="shared" si="218"/>
        <v>0</v>
      </c>
      <c r="T211" s="32">
        <f t="shared" si="218"/>
        <v>0</v>
      </c>
      <c r="U211" s="32">
        <f t="shared" si="218"/>
        <v>0</v>
      </c>
      <c r="V211" s="32">
        <f t="shared" si="218"/>
        <v>0</v>
      </c>
      <c r="W211" s="32">
        <f t="shared" si="218"/>
        <v>0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0</v>
      </c>
      <c r="J212" s="97">
        <f t="shared" si="219"/>
        <v>0</v>
      </c>
      <c r="K212" s="97">
        <f t="shared" si="219"/>
        <v>0</v>
      </c>
      <c r="L212" s="97">
        <f t="shared" si="219"/>
        <v>0</v>
      </c>
      <c r="M212" s="97">
        <f t="shared" si="219"/>
        <v>0</v>
      </c>
      <c r="N212" s="97">
        <f t="shared" si="219"/>
        <v>0</v>
      </c>
      <c r="O212" s="97">
        <f t="shared" si="219"/>
        <v>0</v>
      </c>
      <c r="P212" s="97">
        <f t="shared" si="219"/>
        <v>0</v>
      </c>
      <c r="Q212" s="97">
        <f t="shared" si="219"/>
        <v>0</v>
      </c>
      <c r="R212" s="97">
        <f t="shared" si="219"/>
        <v>0</v>
      </c>
      <c r="S212" s="97">
        <f t="shared" si="219"/>
        <v>0</v>
      </c>
      <c r="T212" s="97">
        <f t="shared" si="219"/>
        <v>0</v>
      </c>
      <c r="U212" s="97">
        <f t="shared" si="219"/>
        <v>0</v>
      </c>
      <c r="V212" s="97">
        <f t="shared" si="219"/>
        <v>0</v>
      </c>
      <c r="W212" s="97">
        <f t="shared" si="219"/>
        <v>0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</v>
      </c>
      <c r="J213" s="98">
        <f t="shared" si="220"/>
        <v>0</v>
      </c>
      <c r="K213" s="98">
        <f t="shared" si="220"/>
        <v>0</v>
      </c>
      <c r="L213" s="98">
        <f t="shared" si="220"/>
        <v>0</v>
      </c>
      <c r="M213" s="98">
        <f t="shared" si="220"/>
        <v>0</v>
      </c>
      <c r="N213" s="98">
        <f t="shared" si="220"/>
        <v>0</v>
      </c>
      <c r="O213" s="98">
        <f t="shared" si="220"/>
        <v>0</v>
      </c>
      <c r="P213" s="98">
        <f t="shared" si="220"/>
        <v>0</v>
      </c>
      <c r="Q213" s="98">
        <f t="shared" si="220"/>
        <v>0</v>
      </c>
      <c r="R213" s="98">
        <f t="shared" si="220"/>
        <v>0</v>
      </c>
      <c r="S213" s="98">
        <f t="shared" si="220"/>
        <v>0</v>
      </c>
      <c r="T213" s="98">
        <f t="shared" si="220"/>
        <v>0</v>
      </c>
      <c r="U213" s="98">
        <f t="shared" si="220"/>
        <v>0</v>
      </c>
      <c r="V213" s="98">
        <f t="shared" si="220"/>
        <v>0</v>
      </c>
      <c r="W213" s="98">
        <f t="shared" si="220"/>
        <v>0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81.2526249789573</v>
      </c>
      <c r="C216" s="32">
        <f t="shared" si="221"/>
        <v>84.161419956105078</v>
      </c>
      <c r="D216" s="32">
        <f t="shared" si="221"/>
        <v>86.398708301483964</v>
      </c>
      <c r="E216" s="32">
        <f t="shared" si="221"/>
        <v>88.369618640076908</v>
      </c>
      <c r="F216" s="32">
        <f t="shared" si="221"/>
        <v>89.421166502350147</v>
      </c>
      <c r="G216" s="32">
        <f t="shared" si="221"/>
        <v>90.661416382315096</v>
      </c>
      <c r="H216" s="32">
        <f t="shared" si="221"/>
        <v>93.157580334034606</v>
      </c>
      <c r="I216" s="32">
        <f t="shared" si="221"/>
        <v>94.972315587935128</v>
      </c>
      <c r="J216" s="32">
        <f t="shared" si="221"/>
        <v>94.381228378935702</v>
      </c>
      <c r="K216" s="32">
        <f t="shared" si="221"/>
        <v>96.244126264351237</v>
      </c>
      <c r="L216" s="32">
        <f t="shared" si="221"/>
        <v>90.897587385138905</v>
      </c>
      <c r="M216" s="32">
        <f t="shared" si="221"/>
        <v>85.895178839858531</v>
      </c>
      <c r="N216" s="32">
        <f t="shared" si="221"/>
        <v>84.150314350416039</v>
      </c>
      <c r="O216" s="32">
        <f t="shared" si="221"/>
        <v>81.110062176326309</v>
      </c>
      <c r="P216" s="32">
        <f t="shared" si="221"/>
        <v>83.503288903546988</v>
      </c>
      <c r="Q216" s="32">
        <f t="shared" si="221"/>
        <v>85.712128601043077</v>
      </c>
      <c r="R216" s="32">
        <f t="shared" si="221"/>
        <v>86.112087865988713</v>
      </c>
      <c r="S216" s="32">
        <f t="shared" si="221"/>
        <v>86.190408345686961</v>
      </c>
      <c r="T216" s="32">
        <f t="shared" si="221"/>
        <v>87.845443993903402</v>
      </c>
      <c r="U216" s="32">
        <f t="shared" si="221"/>
        <v>91.403252182642248</v>
      </c>
      <c r="V216" s="32">
        <f t="shared" si="221"/>
        <v>96.131175648646433</v>
      </c>
      <c r="W216" s="32">
        <f t="shared" si="221"/>
        <v>98.567867923005494</v>
      </c>
      <c r="X216" s="32">
        <f t="shared" si="221"/>
        <v>92.676945241891744</v>
      </c>
      <c r="Y216" s="32">
        <f t="shared" si="221"/>
        <v>83.095084747270164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86.989642756805665</v>
      </c>
      <c r="C217" s="141">
        <f t="shared" si="222"/>
        <v>91.557221868044948</v>
      </c>
      <c r="D217" s="141">
        <f t="shared" si="222"/>
        <v>95.468417304469568</v>
      </c>
      <c r="E217" s="141">
        <f t="shared" si="222"/>
        <v>98.251051721988773</v>
      </c>
      <c r="F217" s="141">
        <f t="shared" si="222"/>
        <v>99.788781523124797</v>
      </c>
      <c r="G217" s="141">
        <f t="shared" si="222"/>
        <v>101.14564818329259</v>
      </c>
      <c r="H217" s="141">
        <f t="shared" si="222"/>
        <v>103.84189218071248</v>
      </c>
      <c r="I217" s="141">
        <f t="shared" si="222"/>
        <v>106.12319388345689</v>
      </c>
      <c r="J217" s="141">
        <f t="shared" si="222"/>
        <v>103.07123046235286</v>
      </c>
      <c r="K217" s="141">
        <f t="shared" si="222"/>
        <v>106.07633423351432</v>
      </c>
      <c r="L217" s="141">
        <f t="shared" si="222"/>
        <v>99.560489374404838</v>
      </c>
      <c r="M217" s="141">
        <f t="shared" si="222"/>
        <v>94.169300082497003</v>
      </c>
      <c r="N217" s="141">
        <f t="shared" si="222"/>
        <v>94.540442990833824</v>
      </c>
      <c r="O217" s="141">
        <f t="shared" si="222"/>
        <v>90.742598503011408</v>
      </c>
      <c r="P217" s="141">
        <f t="shared" si="222"/>
        <v>93.910480154157227</v>
      </c>
      <c r="Q217" s="141">
        <f t="shared" si="222"/>
        <v>97.692442595822726</v>
      </c>
      <c r="R217" s="141">
        <f t="shared" si="222"/>
        <v>98.784949989065097</v>
      </c>
      <c r="S217" s="141">
        <f t="shared" si="222"/>
        <v>98.365221647763818</v>
      </c>
      <c r="T217" s="141">
        <f t="shared" si="222"/>
        <v>99.667434837454167</v>
      </c>
      <c r="U217" s="141">
        <f t="shared" si="222"/>
        <v>105.15209118836795</v>
      </c>
      <c r="V217" s="141">
        <f t="shared" si="222"/>
        <v>103.53511380140228</v>
      </c>
      <c r="W217" s="141">
        <f t="shared" si="222"/>
        <v>106.48165238667221</v>
      </c>
      <c r="X217" s="141">
        <f t="shared" si="222"/>
        <v>103.91297211828487</v>
      </c>
      <c r="Y217" s="141">
        <f t="shared" si="222"/>
        <v>95.382994111905361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121.69985263295149</v>
      </c>
      <c r="C218" s="97">
        <f t="shared" si="223"/>
        <v>121.23240403415585</v>
      </c>
      <c r="D218" s="97">
        <f t="shared" si="223"/>
        <v>120.24326721471152</v>
      </c>
      <c r="E218" s="97">
        <f t="shared" si="223"/>
        <v>119.05551546965451</v>
      </c>
      <c r="F218" s="97">
        <f t="shared" si="223"/>
        <v>117.35216478205189</v>
      </c>
      <c r="G218" s="97">
        <f t="shared" si="223"/>
        <v>116.12199188395526</v>
      </c>
      <c r="H218" s="97">
        <f t="shared" si="223"/>
        <v>114.39631084472116</v>
      </c>
      <c r="I218" s="97">
        <f t="shared" si="223"/>
        <v>111.94032192778222</v>
      </c>
      <c r="J218" s="97">
        <f t="shared" si="223"/>
        <v>109.14396800435024</v>
      </c>
      <c r="K218" s="97">
        <f t="shared" si="223"/>
        <v>107.91058840925977</v>
      </c>
      <c r="L218" s="97">
        <f t="shared" si="223"/>
        <v>105.74095309264641</v>
      </c>
      <c r="M218" s="97">
        <f t="shared" si="223"/>
        <v>104.98184753638999</v>
      </c>
      <c r="N218" s="97">
        <f t="shared" si="223"/>
        <v>104.89881514910034</v>
      </c>
      <c r="O218" s="97">
        <f t="shared" si="223"/>
        <v>105.61835740778308</v>
      </c>
      <c r="P218" s="97">
        <f t="shared" si="223"/>
        <v>102.12212166891337</v>
      </c>
      <c r="Q218" s="97">
        <f t="shared" si="223"/>
        <v>102.04944948329613</v>
      </c>
      <c r="R218" s="97">
        <f t="shared" si="223"/>
        <v>100.8242970045979</v>
      </c>
      <c r="S218" s="97">
        <f t="shared" si="223"/>
        <v>99.853624021236755</v>
      </c>
      <c r="T218" s="97">
        <f t="shared" si="223"/>
        <v>98.815050116452383</v>
      </c>
      <c r="U218" s="97">
        <f t="shared" si="223"/>
        <v>98.659183968979065</v>
      </c>
      <c r="V218" s="97">
        <f t="shared" si="223"/>
        <v>94.849313215667223</v>
      </c>
      <c r="W218" s="97">
        <f t="shared" si="223"/>
        <v>94.536281997363673</v>
      </c>
      <c r="X218" s="97">
        <f t="shared" si="223"/>
        <v>95.920050743151165</v>
      </c>
      <c r="Y218" s="97">
        <f t="shared" si="223"/>
        <v>94.384289609086721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96.626043874361187</v>
      </c>
      <c r="C219" s="97">
        <f t="shared" si="224"/>
        <v>102.76830558555324</v>
      </c>
      <c r="D219" s="97">
        <f t="shared" si="224"/>
        <v>107.97749115174516</v>
      </c>
      <c r="E219" s="97">
        <f t="shared" si="224"/>
        <v>111.12316763833155</v>
      </c>
      <c r="F219" s="97">
        <f t="shared" si="224"/>
        <v>112.7474266123365</v>
      </c>
      <c r="G219" s="97">
        <f t="shared" si="224"/>
        <v>112.96760069592884</v>
      </c>
      <c r="H219" s="97">
        <f t="shared" si="224"/>
        <v>114.19083536422123</v>
      </c>
      <c r="I219" s="97">
        <f t="shared" si="224"/>
        <v>115.72555657384399</v>
      </c>
      <c r="J219" s="97">
        <f t="shared" si="224"/>
        <v>115.25793756064392</v>
      </c>
      <c r="K219" s="97">
        <f t="shared" si="224"/>
        <v>117.36009568997846</v>
      </c>
      <c r="L219" s="97">
        <f t="shared" si="224"/>
        <v>109.32016989087258</v>
      </c>
      <c r="M219" s="97">
        <f t="shared" si="224"/>
        <v>103.54999823187042</v>
      </c>
      <c r="N219" s="97">
        <f t="shared" si="224"/>
        <v>105.7049195700357</v>
      </c>
      <c r="O219" s="97">
        <f t="shared" si="224"/>
        <v>101.61004864926147</v>
      </c>
      <c r="P219" s="97">
        <f t="shared" si="224"/>
        <v>104.61987537938202</v>
      </c>
      <c r="Q219" s="97">
        <f t="shared" si="224"/>
        <v>108.59438674829221</v>
      </c>
      <c r="R219" s="97">
        <f t="shared" si="224"/>
        <v>109.87115098773346</v>
      </c>
      <c r="S219" s="97">
        <f t="shared" si="224"/>
        <v>108.2743294788265</v>
      </c>
      <c r="T219" s="97">
        <f t="shared" si="224"/>
        <v>109.89197846303664</v>
      </c>
      <c r="U219" s="97">
        <f t="shared" si="224"/>
        <v>116.22920998136976</v>
      </c>
      <c r="V219" s="97">
        <f t="shared" si="224"/>
        <v>108.4431802808738</v>
      </c>
      <c r="W219" s="97">
        <f t="shared" si="224"/>
        <v>110.1022340520729</v>
      </c>
      <c r="X219" s="97">
        <f t="shared" si="224"/>
        <v>109.97948245575272</v>
      </c>
      <c r="Y219" s="97">
        <f t="shared" si="224"/>
        <v>100.62933657494987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62.711031649640397</v>
      </c>
      <c r="C220" s="97">
        <f t="shared" si="225"/>
        <v>63.289552436583534</v>
      </c>
      <c r="D220" s="97">
        <f t="shared" si="225"/>
        <v>64.426373521290145</v>
      </c>
      <c r="E220" s="97">
        <f t="shared" si="225"/>
        <v>65.199863941447646</v>
      </c>
      <c r="F220" s="97">
        <f t="shared" si="225"/>
        <v>64.519226204403225</v>
      </c>
      <c r="G220" s="97">
        <f t="shared" si="225"/>
        <v>68.100160859923648</v>
      </c>
      <c r="H220" s="97">
        <f t="shared" si="225"/>
        <v>73.410585721114501</v>
      </c>
      <c r="I220" s="97">
        <f t="shared" si="225"/>
        <v>75.767753150345271</v>
      </c>
      <c r="J220" s="97">
        <f t="shared" si="225"/>
        <v>65.641097264044376</v>
      </c>
      <c r="K220" s="97">
        <f t="shared" si="225"/>
        <v>68.348024874004565</v>
      </c>
      <c r="L220" s="97">
        <f t="shared" si="225"/>
        <v>68.212704829047269</v>
      </c>
      <c r="M220" s="97">
        <f t="shared" si="225"/>
        <v>64.085585390609538</v>
      </c>
      <c r="N220" s="97">
        <f t="shared" si="225"/>
        <v>60.393849300215777</v>
      </c>
      <c r="O220" s="97">
        <f t="shared" si="225"/>
        <v>57.486978256178233</v>
      </c>
      <c r="P220" s="97">
        <f t="shared" si="225"/>
        <v>61.653860229039999</v>
      </c>
      <c r="Q220" s="97">
        <f t="shared" si="225"/>
        <v>64.152604847133588</v>
      </c>
      <c r="R220" s="97">
        <f t="shared" si="225"/>
        <v>63.472045208437869</v>
      </c>
      <c r="S220" s="97">
        <f t="shared" si="225"/>
        <v>65.504584282243755</v>
      </c>
      <c r="T220" s="97">
        <f t="shared" si="225"/>
        <v>65.038719463524799</v>
      </c>
      <c r="U220" s="97">
        <f t="shared" si="225"/>
        <v>65.805496294723355</v>
      </c>
      <c r="V220" s="97">
        <f t="shared" si="225"/>
        <v>78.569340958368684</v>
      </c>
      <c r="W220" s="97">
        <f t="shared" si="225"/>
        <v>86.984911014553461</v>
      </c>
      <c r="X220" s="97">
        <f t="shared" si="225"/>
        <v>74.641513388699906</v>
      </c>
      <c r="Y220" s="97">
        <f t="shared" si="225"/>
        <v>68.151315330828709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18.386811147077921</v>
      </c>
      <c r="C221" s="130">
        <f t="shared" si="226"/>
        <v>17.559275782025438</v>
      </c>
      <c r="D221" s="130">
        <f t="shared" si="226"/>
        <v>16.341627295266687</v>
      </c>
      <c r="E221" s="130">
        <f t="shared" si="226"/>
        <v>16.153145338808525</v>
      </c>
      <c r="F221" s="130">
        <f t="shared" si="226"/>
        <v>15.330763998651262</v>
      </c>
      <c r="G221" s="130">
        <f t="shared" si="226"/>
        <v>14.160177786981071</v>
      </c>
      <c r="H221" s="130">
        <f t="shared" si="226"/>
        <v>13.193585136488615</v>
      </c>
      <c r="I221" s="130">
        <f t="shared" si="226"/>
        <v>13.641857831552835</v>
      </c>
      <c r="J221" s="130">
        <f t="shared" si="226"/>
        <v>14.467600900857812</v>
      </c>
      <c r="K221" s="130">
        <f t="shared" si="226"/>
        <v>15.970435617572095</v>
      </c>
      <c r="L221" s="130">
        <f t="shared" si="226"/>
        <v>14.503295727131569</v>
      </c>
      <c r="M221" s="130">
        <f t="shared" si="226"/>
        <v>12.985585590493082</v>
      </c>
      <c r="N221" s="130">
        <f t="shared" si="226"/>
        <v>10.588339179481796</v>
      </c>
      <c r="O221" s="130">
        <f t="shared" si="226"/>
        <v>12.310181777044741</v>
      </c>
      <c r="P221" s="130">
        <f t="shared" si="226"/>
        <v>12.81189158713849</v>
      </c>
      <c r="Q221" s="130">
        <f t="shared" si="226"/>
        <v>10.458086646905549</v>
      </c>
      <c r="R221" s="130">
        <f t="shared" si="226"/>
        <v>10.169247734307504</v>
      </c>
      <c r="S221" s="130">
        <f t="shared" si="226"/>
        <v>10.346121996622562</v>
      </c>
      <c r="T221" s="130">
        <f t="shared" si="226"/>
        <v>10.416569101626509</v>
      </c>
      <c r="U221" s="130">
        <f t="shared" si="226"/>
        <v>9.3014289862575144</v>
      </c>
      <c r="V221" s="130">
        <f t="shared" si="226"/>
        <v>11.321520061151171</v>
      </c>
      <c r="W221" s="130">
        <f t="shared" si="226"/>
        <v>10.289765177984879</v>
      </c>
      <c r="X221" s="130">
        <f t="shared" si="226"/>
        <v>7.1476460402207813</v>
      </c>
      <c r="Y221" s="130">
        <f t="shared" si="226"/>
        <v>6.1063316279174753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23.261886422842935</v>
      </c>
      <c r="C223" s="97">
        <f t="shared" si="228"/>
        <v>22.071509468740821</v>
      </c>
      <c r="D223" s="97">
        <f t="shared" si="228"/>
        <v>20.276900946467553</v>
      </c>
      <c r="E223" s="97">
        <f t="shared" si="228"/>
        <v>20.104274414488305</v>
      </c>
      <c r="F223" s="97">
        <f t="shared" si="228"/>
        <v>18.980586809938629</v>
      </c>
      <c r="G223" s="97">
        <f t="shared" si="228"/>
        <v>17.54246368006466</v>
      </c>
      <c r="H223" s="97">
        <f t="shared" si="228"/>
        <v>16.312342111701234</v>
      </c>
      <c r="I223" s="97">
        <f t="shared" si="228"/>
        <v>17.195723902844026</v>
      </c>
      <c r="J223" s="97">
        <f t="shared" si="228"/>
        <v>18.541629856900141</v>
      </c>
      <c r="K223" s="97">
        <f t="shared" si="228"/>
        <v>20.96416449501907</v>
      </c>
      <c r="L223" s="97">
        <f t="shared" si="228"/>
        <v>19.20303574338342</v>
      </c>
      <c r="M223" s="97">
        <f t="shared" si="228"/>
        <v>17.174014879768919</v>
      </c>
      <c r="N223" s="97">
        <f t="shared" si="228"/>
        <v>13.978179419274062</v>
      </c>
      <c r="O223" s="97">
        <f t="shared" si="228"/>
        <v>16.251087268417347</v>
      </c>
      <c r="P223" s="97">
        <f t="shared" si="228"/>
        <v>17.48011770805812</v>
      </c>
      <c r="Q223" s="97">
        <f t="shared" si="228"/>
        <v>14.508096359743661</v>
      </c>
      <c r="R223" s="97">
        <f t="shared" si="228"/>
        <v>14.238945464580508</v>
      </c>
      <c r="S223" s="97">
        <f t="shared" si="228"/>
        <v>14.421983783080067</v>
      </c>
      <c r="T223" s="97">
        <f t="shared" si="228"/>
        <v>14.046549044544669</v>
      </c>
      <c r="U223" s="97">
        <f t="shared" si="228"/>
        <v>12.669873820695322</v>
      </c>
      <c r="V223" s="97">
        <f t="shared" si="228"/>
        <v>15.624817241378596</v>
      </c>
      <c r="W223" s="97">
        <f t="shared" si="228"/>
        <v>13.634714521693521</v>
      </c>
      <c r="X223" s="97">
        <f t="shared" si="228"/>
        <v>9.2681919651912743</v>
      </c>
      <c r="Y223" s="97">
        <f t="shared" si="228"/>
        <v>7.7506736886886403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184.8053342004138</v>
      </c>
      <c r="C225" s="130">
        <f t="shared" si="230"/>
        <v>181.82986670530818</v>
      </c>
      <c r="D225" s="130">
        <f t="shared" si="230"/>
        <v>178.34445484595375</v>
      </c>
      <c r="E225" s="130">
        <f t="shared" si="230"/>
        <v>156.36802963311291</v>
      </c>
      <c r="F225" s="130">
        <f t="shared" si="230"/>
        <v>136.62634932446747</v>
      </c>
      <c r="G225" s="130">
        <f t="shared" si="230"/>
        <v>128.01597633906766</v>
      </c>
      <c r="H225" s="130">
        <f t="shared" si="230"/>
        <v>125.31196938098158</v>
      </c>
      <c r="I225" s="130">
        <f t="shared" si="230"/>
        <v>110.32370513237696</v>
      </c>
      <c r="J225" s="130">
        <f t="shared" si="230"/>
        <v>130.83130713888147</v>
      </c>
      <c r="K225" s="130">
        <f t="shared" si="230"/>
        <v>123.61581499701613</v>
      </c>
      <c r="L225" s="130">
        <f t="shared" si="230"/>
        <v>122.44510016458914</v>
      </c>
      <c r="M225" s="130">
        <f t="shared" si="230"/>
        <v>115.51701084309585</v>
      </c>
      <c r="N225" s="130">
        <f t="shared" si="230"/>
        <v>91.157901921230717</v>
      </c>
      <c r="O225" s="130">
        <f t="shared" si="230"/>
        <v>89.181104053031433</v>
      </c>
      <c r="P225" s="130">
        <f t="shared" si="230"/>
        <v>85.022260367585375</v>
      </c>
      <c r="Q225" s="130">
        <f t="shared" si="230"/>
        <v>74.307720169026823</v>
      </c>
      <c r="R225" s="130">
        <f t="shared" si="230"/>
        <v>69.427068539154419</v>
      </c>
      <c r="S225" s="130">
        <f t="shared" si="230"/>
        <v>70.21540830690293</v>
      </c>
      <c r="T225" s="130">
        <f t="shared" si="230"/>
        <v>72.406836721951819</v>
      </c>
      <c r="U225" s="130">
        <f t="shared" si="230"/>
        <v>65.894861702252868</v>
      </c>
      <c r="V225" s="130">
        <f t="shared" si="230"/>
        <v>95.902340318878032</v>
      </c>
      <c r="W225" s="130">
        <f t="shared" si="230"/>
        <v>99.066620137701975</v>
      </c>
      <c r="X225" s="130">
        <f t="shared" si="230"/>
        <v>79.617262645713538</v>
      </c>
      <c r="Y225" s="130">
        <f t="shared" si="230"/>
        <v>71.780791143264196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194.71732203708939</v>
      </c>
      <c r="C227" s="97">
        <f t="shared" si="232"/>
        <v>190.45636913555191</v>
      </c>
      <c r="D227" s="97">
        <f t="shared" si="232"/>
        <v>179.31718897443741</v>
      </c>
      <c r="E227" s="97">
        <f t="shared" si="232"/>
        <v>162.59641979737009</v>
      </c>
      <c r="F227" s="97">
        <f t="shared" si="232"/>
        <v>147.22229720155028</v>
      </c>
      <c r="G227" s="97">
        <f t="shared" si="232"/>
        <v>128.70182170574589</v>
      </c>
      <c r="H227" s="97">
        <f t="shared" si="232"/>
        <v>128.66669876062889</v>
      </c>
      <c r="I227" s="97">
        <f t="shared" si="232"/>
        <v>118.77029346639648</v>
      </c>
      <c r="J227" s="97">
        <f t="shared" si="232"/>
        <v>138.25428486176179</v>
      </c>
      <c r="K227" s="97">
        <f t="shared" si="232"/>
        <v>119.22240413188322</v>
      </c>
      <c r="L227" s="97">
        <f t="shared" si="232"/>
        <v>118.37060655222939</v>
      </c>
      <c r="M227" s="97">
        <f t="shared" si="232"/>
        <v>110.37805145535967</v>
      </c>
      <c r="N227" s="97">
        <f t="shared" si="232"/>
        <v>74.977259791006247</v>
      </c>
      <c r="O227" s="97">
        <f t="shared" si="232"/>
        <v>75.250338705514338</v>
      </c>
      <c r="P227" s="97">
        <f t="shared" si="232"/>
        <v>77.513177883904106</v>
      </c>
      <c r="Q227" s="97">
        <f t="shared" si="232"/>
        <v>70.703956575544666</v>
      </c>
      <c r="R227" s="97">
        <f t="shared" si="232"/>
        <v>66.121496613275269</v>
      </c>
      <c r="S227" s="97">
        <f t="shared" si="232"/>
        <v>69.852054942264985</v>
      </c>
      <c r="T227" s="97">
        <f t="shared" si="232"/>
        <v>78.625175265015315</v>
      </c>
      <c r="U227" s="97">
        <f t="shared" si="232"/>
        <v>72.804957548606509</v>
      </c>
      <c r="V227" s="97">
        <f t="shared" si="232"/>
        <v>87.21320005608267</v>
      </c>
      <c r="W227" s="97">
        <f t="shared" si="232"/>
        <v>98.699371724951519</v>
      </c>
      <c r="X227" s="97">
        <f t="shared" si="232"/>
        <v>84.371842192760994</v>
      </c>
      <c r="Y227" s="97">
        <f t="shared" si="232"/>
        <v>84.265033227816076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168.33354687059625</v>
      </c>
      <c r="C228" s="97">
        <f t="shared" si="233"/>
        <v>167.26698687267651</v>
      </c>
      <c r="D228" s="97">
        <f t="shared" si="233"/>
        <v>176.51969973605887</v>
      </c>
      <c r="E228" s="97">
        <f t="shared" si="233"/>
        <v>146.58035795888188</v>
      </c>
      <c r="F228" s="97">
        <f t="shared" si="233"/>
        <v>118.18948121937122</v>
      </c>
      <c r="G228" s="97">
        <f t="shared" si="233"/>
        <v>126.43057265035721</v>
      </c>
      <c r="H228" s="97">
        <f t="shared" si="233"/>
        <v>118.11405275014334</v>
      </c>
      <c r="I228" s="97">
        <f t="shared" si="233"/>
        <v>94.62013591696666</v>
      </c>
      <c r="J228" s="97">
        <f t="shared" si="233"/>
        <v>116.06674881752126</v>
      </c>
      <c r="K228" s="97">
        <f t="shared" si="233"/>
        <v>134.55992601692611</v>
      </c>
      <c r="L228" s="97">
        <f t="shared" si="233"/>
        <v>132.28743188186471</v>
      </c>
      <c r="M228" s="97">
        <f t="shared" si="233"/>
        <v>128.36567210481169</v>
      </c>
      <c r="N228" s="97">
        <f t="shared" si="233"/>
        <v>169.56477258431252</v>
      </c>
      <c r="O228" s="97">
        <f t="shared" si="233"/>
        <v>148.9921538729692</v>
      </c>
      <c r="P228" s="97">
        <f t="shared" si="233"/>
        <v>108.18602413772997</v>
      </c>
      <c r="Q228" s="97">
        <f t="shared" si="233"/>
        <v>84.04397920536185</v>
      </c>
      <c r="R228" s="97">
        <f t="shared" si="233"/>
        <v>79.275418198086726</v>
      </c>
      <c r="S228" s="97">
        <f t="shared" si="233"/>
        <v>71.171319974299777</v>
      </c>
      <c r="T228" s="97">
        <f t="shared" si="233"/>
        <v>60.094413595772821</v>
      </c>
      <c r="U228" s="97">
        <f t="shared" si="233"/>
        <v>52.873201494158259</v>
      </c>
      <c r="V228" s="97">
        <f t="shared" si="233"/>
        <v>117.03981165733963</v>
      </c>
      <c r="W228" s="97">
        <f t="shared" si="233"/>
        <v>99.811274460592472</v>
      </c>
      <c r="X228" s="97">
        <f t="shared" si="233"/>
        <v>69.215075701863483</v>
      </c>
      <c r="Y228" s="97">
        <f t="shared" si="233"/>
        <v>52.094803970902824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101.35773486271734</v>
      </c>
      <c r="C229" s="32">
        <f t="shared" si="234"/>
        <v>109.98768506036136</v>
      </c>
      <c r="D229" s="32">
        <f t="shared" si="234"/>
        <v>120.0215682572519</v>
      </c>
      <c r="E229" s="32">
        <f t="shared" si="234"/>
        <v>127.72775797330246</v>
      </c>
      <c r="F229" s="32">
        <f t="shared" si="234"/>
        <v>123.25512979090779</v>
      </c>
      <c r="G229" s="32">
        <f t="shared" si="234"/>
        <v>143.30618377876203</v>
      </c>
      <c r="H229" s="32">
        <f t="shared" si="234"/>
        <v>140.94455696132655</v>
      </c>
      <c r="I229" s="32">
        <f t="shared" si="234"/>
        <v>131.86096231269107</v>
      </c>
      <c r="J229" s="32">
        <f t="shared" si="234"/>
        <v>130.3358548782989</v>
      </c>
      <c r="K229" s="32">
        <f t="shared" si="234"/>
        <v>153.27668878448623</v>
      </c>
      <c r="L229" s="32">
        <f t="shared" si="234"/>
        <v>132.90139872943936</v>
      </c>
      <c r="M229" s="32">
        <f t="shared" si="234"/>
        <v>121.23144188034352</v>
      </c>
      <c r="N229" s="32">
        <f t="shared" si="234"/>
        <v>113.96040552526794</v>
      </c>
      <c r="O229" s="32">
        <f t="shared" si="234"/>
        <v>98.589526564821028</v>
      </c>
      <c r="P229" s="32">
        <f t="shared" si="234"/>
        <v>117.75096722514517</v>
      </c>
      <c r="Q229" s="32">
        <f t="shared" si="234"/>
        <v>129.7299511340513</v>
      </c>
      <c r="R229" s="32">
        <f t="shared" si="234"/>
        <v>116.51132016869165</v>
      </c>
      <c r="S229" s="32">
        <f t="shared" si="234"/>
        <v>112.00795931883918</v>
      </c>
      <c r="T229" s="32">
        <f t="shared" si="234"/>
        <v>124.40879514630299</v>
      </c>
      <c r="U229" s="32">
        <f t="shared" si="234"/>
        <v>121.35205633257999</v>
      </c>
      <c r="V229" s="32">
        <f t="shared" si="234"/>
        <v>101.86135931732422</v>
      </c>
      <c r="W229" s="32">
        <f t="shared" si="234"/>
        <v>113.26147560787693</v>
      </c>
      <c r="X229" s="32">
        <f t="shared" si="234"/>
        <v>125.15932855409744</v>
      </c>
      <c r="Y229" s="32">
        <f t="shared" si="234"/>
        <v>107.30054148520387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146.53770509912076</v>
      </c>
      <c r="C230" s="141">
        <f t="shared" si="235"/>
        <v>154.0652704515029</v>
      </c>
      <c r="D230" s="141">
        <f t="shared" si="235"/>
        <v>170.92431485132664</v>
      </c>
      <c r="E230" s="141">
        <f t="shared" si="235"/>
        <v>181.75922806835644</v>
      </c>
      <c r="F230" s="141">
        <f t="shared" si="235"/>
        <v>180.66213858709057</v>
      </c>
      <c r="G230" s="141">
        <f t="shared" si="235"/>
        <v>211.52123438194579</v>
      </c>
      <c r="H230" s="141">
        <f t="shared" si="235"/>
        <v>207.34495542248794</v>
      </c>
      <c r="I230" s="141">
        <f t="shared" si="235"/>
        <v>190.28610725031064</v>
      </c>
      <c r="J230" s="141">
        <f t="shared" si="235"/>
        <v>185.23265163019138</v>
      </c>
      <c r="K230" s="141">
        <f t="shared" si="235"/>
        <v>214.53447030885013</v>
      </c>
      <c r="L230" s="141">
        <f t="shared" si="235"/>
        <v>198.79468430820333</v>
      </c>
      <c r="M230" s="141">
        <f t="shared" si="235"/>
        <v>180.92043143325091</v>
      </c>
      <c r="N230" s="141">
        <f t="shared" si="235"/>
        <v>173.82415030707989</v>
      </c>
      <c r="O230" s="141">
        <f t="shared" si="235"/>
        <v>151.23344425885236</v>
      </c>
      <c r="P230" s="141">
        <f t="shared" si="235"/>
        <v>180.58188490473549</v>
      </c>
      <c r="Q230" s="141">
        <f t="shared" si="235"/>
        <v>194.37139256886266</v>
      </c>
      <c r="R230" s="141">
        <f t="shared" si="235"/>
        <v>172.46089137643767</v>
      </c>
      <c r="S230" s="141">
        <f t="shared" si="235"/>
        <v>174.28750917808111</v>
      </c>
      <c r="T230" s="141">
        <f t="shared" si="235"/>
        <v>176.62833587981123</v>
      </c>
      <c r="U230" s="141">
        <f t="shared" si="235"/>
        <v>173.34832110836922</v>
      </c>
      <c r="V230" s="141">
        <f t="shared" si="235"/>
        <v>150.31874112662572</v>
      </c>
      <c r="W230" s="141">
        <f t="shared" si="235"/>
        <v>159.62756888115911</v>
      </c>
      <c r="X230" s="141">
        <f t="shared" si="235"/>
        <v>174.73459076753051</v>
      </c>
      <c r="Y230" s="141">
        <f t="shared" si="235"/>
        <v>146.44613470155934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1978.1116516704672</v>
      </c>
      <c r="C231" s="97">
        <f t="shared" si="236"/>
        <v>1944.8427743358286</v>
      </c>
      <c r="D231" s="97">
        <f t="shared" si="236"/>
        <v>1975.4910807561498</v>
      </c>
      <c r="E231" s="97">
        <f t="shared" si="236"/>
        <v>1978.2968401694427</v>
      </c>
      <c r="F231" s="97">
        <f t="shared" si="236"/>
        <v>1966.5756805404631</v>
      </c>
      <c r="G231" s="97">
        <f t="shared" si="236"/>
        <v>2025.6468062871224</v>
      </c>
      <c r="H231" s="97">
        <f t="shared" si="236"/>
        <v>2003.1325447980039</v>
      </c>
      <c r="I231" s="97">
        <f t="shared" si="236"/>
        <v>1929.9326370380672</v>
      </c>
      <c r="J231" s="97">
        <f t="shared" si="236"/>
        <v>1862.1225693414485</v>
      </c>
      <c r="K231" s="97">
        <f t="shared" si="236"/>
        <v>1826.0808366489498</v>
      </c>
      <c r="L231" s="97">
        <f t="shared" si="236"/>
        <v>1813.5855130813766</v>
      </c>
      <c r="M231" s="97">
        <f t="shared" si="236"/>
        <v>1730.3462346106655</v>
      </c>
      <c r="N231" s="97">
        <f t="shared" si="236"/>
        <v>1685.5400760515972</v>
      </c>
      <c r="O231" s="97">
        <f t="shared" si="236"/>
        <v>1571.3947612381769</v>
      </c>
      <c r="P231" s="97">
        <f t="shared" si="236"/>
        <v>1682.7350545271604</v>
      </c>
      <c r="Q231" s="97">
        <f t="shared" si="236"/>
        <v>1741.1062098902173</v>
      </c>
      <c r="R231" s="97">
        <f t="shared" si="236"/>
        <v>1669.5550864934833</v>
      </c>
      <c r="S231" s="97">
        <f t="shared" si="236"/>
        <v>1691.8426163529948</v>
      </c>
      <c r="T231" s="97">
        <f t="shared" si="236"/>
        <v>1684.0721065040968</v>
      </c>
      <c r="U231" s="97">
        <f t="shared" si="236"/>
        <v>1655.4730408237635</v>
      </c>
      <c r="V231" s="97">
        <f t="shared" si="236"/>
        <v>1533.4951419629554</v>
      </c>
      <c r="W231" s="97">
        <f t="shared" si="236"/>
        <v>1602.509324902546</v>
      </c>
      <c r="X231" s="97">
        <f t="shared" si="236"/>
        <v>1648.6828086495357</v>
      </c>
      <c r="Y231" s="97">
        <f t="shared" si="236"/>
        <v>1545.5399754891989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98.450849127926219</v>
      </c>
      <c r="C232" s="97">
        <f t="shared" si="237"/>
        <v>105.00080543876916</v>
      </c>
      <c r="D232" s="97">
        <f t="shared" si="237"/>
        <v>117.42542085577412</v>
      </c>
      <c r="E232" s="97">
        <f t="shared" si="237"/>
        <v>125.24516444018974</v>
      </c>
      <c r="F232" s="97">
        <f t="shared" si="237"/>
        <v>127.96275153320231</v>
      </c>
      <c r="G232" s="97">
        <f t="shared" si="237"/>
        <v>157.58871002593784</v>
      </c>
      <c r="H232" s="97">
        <f t="shared" si="237"/>
        <v>158.22866934456309</v>
      </c>
      <c r="I232" s="97">
        <f t="shared" si="237"/>
        <v>143.84064244346638</v>
      </c>
      <c r="J232" s="97">
        <f t="shared" si="237"/>
        <v>137.84515850124382</v>
      </c>
      <c r="K232" s="97">
        <f t="shared" si="237"/>
        <v>150.3863406253802</v>
      </c>
      <c r="L232" s="97">
        <f t="shared" si="237"/>
        <v>141.16688100712628</v>
      </c>
      <c r="M232" s="97">
        <f t="shared" si="237"/>
        <v>121.92449606998133</v>
      </c>
      <c r="N232" s="97">
        <f t="shared" si="237"/>
        <v>110.20138792717978</v>
      </c>
      <c r="O232" s="97">
        <f t="shared" si="237"/>
        <v>89.052353169989317</v>
      </c>
      <c r="P232" s="97">
        <f t="shared" si="237"/>
        <v>115.21329891898299</v>
      </c>
      <c r="Q232" s="97">
        <f t="shared" si="237"/>
        <v>128.81305431127515</v>
      </c>
      <c r="R232" s="97">
        <f t="shared" si="237"/>
        <v>111.29392437469014</v>
      </c>
      <c r="S232" s="97">
        <f t="shared" si="237"/>
        <v>112.28657835500179</v>
      </c>
      <c r="T232" s="97">
        <f t="shared" si="237"/>
        <v>113.97482771972849</v>
      </c>
      <c r="U232" s="97">
        <f t="shared" si="237"/>
        <v>109.33279787172506</v>
      </c>
      <c r="V232" s="97">
        <f t="shared" si="237"/>
        <v>84.471398454548947</v>
      </c>
      <c r="W232" s="97">
        <f t="shared" si="237"/>
        <v>96.413393212513142</v>
      </c>
      <c r="X232" s="97">
        <f t="shared" si="237"/>
        <v>108.46402857785388</v>
      </c>
      <c r="Y232" s="97">
        <f t="shared" si="237"/>
        <v>81.426897935218349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4.9259757958193475</v>
      </c>
      <c r="C233" s="130">
        <f t="shared" si="238"/>
        <v>4.8854781600169854</v>
      </c>
      <c r="D233" s="130">
        <f t="shared" si="238"/>
        <v>4.6225282888141228</v>
      </c>
      <c r="E233" s="130">
        <f t="shared" si="238"/>
        <v>4.1605688223719879</v>
      </c>
      <c r="F233" s="130">
        <f t="shared" si="238"/>
        <v>3.6845666106953772</v>
      </c>
      <c r="G233" s="130">
        <f t="shared" si="238"/>
        <v>3.5145846213072613</v>
      </c>
      <c r="H233" s="130">
        <f t="shared" si="238"/>
        <v>3.6214881720457801</v>
      </c>
      <c r="I233" s="130">
        <f t="shared" si="238"/>
        <v>3.6061927151979578</v>
      </c>
      <c r="J233" s="130">
        <f t="shared" si="238"/>
        <v>3.3405717264111803</v>
      </c>
      <c r="K233" s="130">
        <f t="shared" si="238"/>
        <v>3.0931285385385197</v>
      </c>
      <c r="L233" s="130">
        <f t="shared" si="238"/>
        <v>2.6873165370725332</v>
      </c>
      <c r="M233" s="130">
        <f t="shared" si="238"/>
        <v>1.0791194788718923</v>
      </c>
      <c r="N233" s="130">
        <f t="shared" si="238"/>
        <v>2.0028648464947603</v>
      </c>
      <c r="O233" s="130">
        <f t="shared" si="238"/>
        <v>2.2572077392585004</v>
      </c>
      <c r="P233" s="130">
        <f t="shared" si="238"/>
        <v>2.3096130316052683</v>
      </c>
      <c r="Q233" s="130">
        <f t="shared" si="238"/>
        <v>2.0299994803906531</v>
      </c>
      <c r="R233" s="130">
        <f t="shared" si="238"/>
        <v>1.727302363180599</v>
      </c>
      <c r="S233" s="130">
        <f t="shared" si="238"/>
        <v>1.6484743465864025</v>
      </c>
      <c r="T233" s="130">
        <f t="shared" si="238"/>
        <v>2.3026921696795082</v>
      </c>
      <c r="U233" s="130">
        <f t="shared" si="238"/>
        <v>2.1252582797148105</v>
      </c>
      <c r="V233" s="130">
        <f t="shared" si="238"/>
        <v>2.5062964303879527</v>
      </c>
      <c r="W233" s="130">
        <f t="shared" si="238"/>
        <v>2.7142589737019231</v>
      </c>
      <c r="X233" s="130">
        <f t="shared" si="238"/>
        <v>3.1391852989251867</v>
      </c>
      <c r="Y233" s="130">
        <f t="shared" si="238"/>
        <v>2.3198241819200165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400.87973504745491</v>
      </c>
      <c r="C234" s="130">
        <f t="shared" si="239"/>
        <v>405.34350864253935</v>
      </c>
      <c r="D234" s="130">
        <f t="shared" si="239"/>
        <v>557.72819071365984</v>
      </c>
      <c r="E234" s="130">
        <f t="shared" si="239"/>
        <v>456.5994631750799</v>
      </c>
      <c r="F234" s="130">
        <f t="shared" si="239"/>
        <v>449.52461797434239</v>
      </c>
      <c r="G234" s="130">
        <f t="shared" si="239"/>
        <v>440.85203090465194</v>
      </c>
      <c r="H234" s="130">
        <f t="shared" si="239"/>
        <v>259.48098617641347</v>
      </c>
      <c r="I234" s="130">
        <f t="shared" si="239"/>
        <v>346.06586292040936</v>
      </c>
      <c r="J234" s="130">
        <f t="shared" si="239"/>
        <v>374.23764874198162</v>
      </c>
      <c r="K234" s="130">
        <f t="shared" si="239"/>
        <v>374.85264376601236</v>
      </c>
      <c r="L234" s="130">
        <f t="shared" si="239"/>
        <v>369.21989222070391</v>
      </c>
      <c r="M234" s="130">
        <f t="shared" si="239"/>
        <v>489.96953996211505</v>
      </c>
      <c r="N234" s="130">
        <f t="shared" si="239"/>
        <v>448.02784047976616</v>
      </c>
      <c r="O234" s="130">
        <f t="shared" si="239"/>
        <v>459.57833334044295</v>
      </c>
      <c r="P234" s="130">
        <f t="shared" si="239"/>
        <v>420.43444920370746</v>
      </c>
      <c r="Q234" s="130">
        <f t="shared" si="239"/>
        <v>362.81221396821138</v>
      </c>
      <c r="R234" s="130">
        <f t="shared" si="239"/>
        <v>278.42595051325179</v>
      </c>
      <c r="S234" s="130">
        <f t="shared" si="239"/>
        <v>314.81084846804208</v>
      </c>
      <c r="T234" s="130">
        <f t="shared" si="239"/>
        <v>294.70888822209304</v>
      </c>
      <c r="U234" s="130">
        <f t="shared" si="239"/>
        <v>226.90469729206637</v>
      </c>
      <c r="V234" s="130">
        <f t="shared" si="239"/>
        <v>406.73422793272579</v>
      </c>
      <c r="W234" s="130">
        <f t="shared" si="239"/>
        <v>364.9279454565102</v>
      </c>
      <c r="X234" s="130">
        <f t="shared" si="239"/>
        <v>269.28970240226602</v>
      </c>
      <c r="Y234" s="130">
        <f t="shared" si="239"/>
        <v>227.11987346255395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773.59134443913797</v>
      </c>
      <c r="C236" s="97">
        <f t="shared" si="241"/>
        <v>732.37522104675156</v>
      </c>
      <c r="D236" s="97">
        <f t="shared" si="241"/>
        <v>757.54271443559935</v>
      </c>
      <c r="E236" s="97">
        <f t="shared" si="241"/>
        <v>630.86581862845674</v>
      </c>
      <c r="F236" s="97">
        <f t="shared" si="241"/>
        <v>590.35018258316131</v>
      </c>
      <c r="G236" s="97">
        <f t="shared" si="241"/>
        <v>547.45952384364523</v>
      </c>
      <c r="H236" s="97">
        <f t="shared" si="241"/>
        <v>639.99821591988882</v>
      </c>
      <c r="I236" s="97">
        <f t="shared" si="241"/>
        <v>634.76677198988557</v>
      </c>
      <c r="J236" s="97">
        <f t="shared" si="241"/>
        <v>763.6594187877364</v>
      </c>
      <c r="K236" s="97">
        <f t="shared" si="241"/>
        <v>694.61434695745606</v>
      </c>
      <c r="L236" s="97">
        <f t="shared" si="241"/>
        <v>726.46649141815965</v>
      </c>
      <c r="M236" s="97">
        <f t="shared" si="241"/>
        <v>677.76320429499356</v>
      </c>
      <c r="N236" s="97">
        <f t="shared" si="241"/>
        <v>512.31180012902848</v>
      </c>
      <c r="O236" s="97">
        <f t="shared" si="241"/>
        <v>540.6780877050162</v>
      </c>
      <c r="P236" s="97">
        <f t="shared" si="241"/>
        <v>491.58046521306545</v>
      </c>
      <c r="Q236" s="97">
        <f t="shared" si="241"/>
        <v>450.7916111542965</v>
      </c>
      <c r="R236" s="97">
        <f t="shared" si="241"/>
        <v>401.98544525395192</v>
      </c>
      <c r="S236" s="97">
        <f t="shared" si="241"/>
        <v>477.88206602836402</v>
      </c>
      <c r="T236" s="97">
        <f t="shared" si="241"/>
        <v>511.08778553831513</v>
      </c>
      <c r="U236" s="97">
        <f t="shared" si="241"/>
        <v>441.46960779822354</v>
      </c>
      <c r="V236" s="97">
        <f t="shared" si="241"/>
        <v>624.51271204977752</v>
      </c>
      <c r="W236" s="97">
        <f t="shared" si="241"/>
        <v>742.11366207186745</v>
      </c>
      <c r="X236" s="97">
        <f t="shared" si="241"/>
        <v>669.3380026144755</v>
      </c>
      <c r="Y236" s="97">
        <f t="shared" si="241"/>
        <v>705.47129250406715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162.86426454361839</v>
      </c>
      <c r="C237" s="97">
        <f t="shared" si="242"/>
        <v>154.87944020938946</v>
      </c>
      <c r="D237" s="97">
        <f t="shared" si="242"/>
        <v>158.8083146995661</v>
      </c>
      <c r="E237" s="97">
        <f t="shared" si="242"/>
        <v>148.41932081019584</v>
      </c>
      <c r="F237" s="97">
        <f t="shared" si="242"/>
        <v>131.93340509871544</v>
      </c>
      <c r="G237" s="97">
        <f t="shared" si="242"/>
        <v>157.61255303074876</v>
      </c>
      <c r="H237" s="97">
        <f t="shared" si="242"/>
        <v>147.48142425936479</v>
      </c>
      <c r="I237" s="97">
        <f t="shared" si="242"/>
        <v>123.46837532602906</v>
      </c>
      <c r="J237" s="97">
        <f t="shared" si="242"/>
        <v>164.77097582976532</v>
      </c>
      <c r="K237" s="97">
        <f t="shared" si="242"/>
        <v>180.71674041393828</v>
      </c>
      <c r="L237" s="97">
        <f t="shared" si="242"/>
        <v>180.9620064082938</v>
      </c>
      <c r="M237" s="97">
        <f t="shared" si="242"/>
        <v>183.13796762737246</v>
      </c>
      <c r="N237" s="97">
        <f t="shared" si="242"/>
        <v>286.60338446066771</v>
      </c>
      <c r="O237" s="97">
        <f t="shared" si="242"/>
        <v>280.70247971291275</v>
      </c>
      <c r="P237" s="97">
        <f t="shared" si="242"/>
        <v>188.24025985651309</v>
      </c>
      <c r="Q237" s="97">
        <f t="shared" si="242"/>
        <v>135.2635380057055</v>
      </c>
      <c r="R237" s="97">
        <f t="shared" si="242"/>
        <v>107.83268254820271</v>
      </c>
      <c r="S237" s="97">
        <f t="shared" si="242"/>
        <v>106.27378408061793</v>
      </c>
      <c r="T237" s="97">
        <f t="shared" si="242"/>
        <v>79.826686087180235</v>
      </c>
      <c r="U237" s="97">
        <f t="shared" si="242"/>
        <v>82.949658706793414</v>
      </c>
      <c r="V237" s="97">
        <f t="shared" si="242"/>
        <v>225.75249020717598</v>
      </c>
      <c r="W237" s="97">
        <f t="shared" si="242"/>
        <v>206.05934386289897</v>
      </c>
      <c r="X237" s="97">
        <f t="shared" si="242"/>
        <v>176.09568181199563</v>
      </c>
      <c r="Y237" s="97">
        <f t="shared" si="242"/>
        <v>108.32285880934396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3.5759612121212121</v>
      </c>
      <c r="C238" s="130">
        <f t="shared" si="243"/>
        <v>2.9311696780128793</v>
      </c>
      <c r="D238" s="130">
        <f t="shared" si="243"/>
        <v>4.529232153518123</v>
      </c>
      <c r="E238" s="130">
        <f t="shared" si="243"/>
        <v>18.903559657218192</v>
      </c>
      <c r="F238" s="130">
        <f t="shared" si="243"/>
        <v>3.3469693487394956</v>
      </c>
      <c r="G238" s="130">
        <f t="shared" si="243"/>
        <v>1.5100385971563981</v>
      </c>
      <c r="H238" s="130">
        <f t="shared" si="243"/>
        <v>1.6655417877679037</v>
      </c>
      <c r="I238" s="130">
        <f t="shared" si="243"/>
        <v>1.4070022242314644</v>
      </c>
      <c r="J238" s="130">
        <f t="shared" si="243"/>
        <v>1.3832395199999998</v>
      </c>
      <c r="K238" s="130">
        <f t="shared" si="243"/>
        <v>1.699775488803932</v>
      </c>
      <c r="L238" s="130">
        <f t="shared" si="243"/>
        <v>1.3005804095277891</v>
      </c>
      <c r="M238" s="130">
        <f t="shared" si="243"/>
        <v>1.691461369565217</v>
      </c>
      <c r="N238" s="130">
        <f t="shared" si="243"/>
        <v>9.42139253279516</v>
      </c>
      <c r="O238" s="130">
        <f t="shared" si="243"/>
        <v>8.087791621621621</v>
      </c>
      <c r="P238" s="130">
        <f t="shared" si="243"/>
        <v>10.310988404196578</v>
      </c>
      <c r="Q238" s="130">
        <f t="shared" si="243"/>
        <v>10.237500000000004</v>
      </c>
      <c r="R238" s="130">
        <f t="shared" si="243"/>
        <v>8.0477777620253192</v>
      </c>
      <c r="S238" s="130">
        <f t="shared" si="243"/>
        <v>7.9790969277108452</v>
      </c>
      <c r="T238" s="130">
        <f t="shared" si="243"/>
        <v>9.8845529104477627</v>
      </c>
      <c r="U238" s="130">
        <f t="shared" si="243"/>
        <v>7.4973401320754727</v>
      </c>
      <c r="V238" s="130">
        <f t="shared" si="243"/>
        <v>6.3641886486486481</v>
      </c>
      <c r="W238" s="130">
        <f t="shared" si="243"/>
        <v>5.0916550987720237</v>
      </c>
      <c r="X238" s="130">
        <f t="shared" si="243"/>
        <v>8.4321279310344828</v>
      </c>
      <c r="Y238" s="130">
        <f t="shared" si="243"/>
        <v>7.2467097264437692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3.5759612121212121</v>
      </c>
      <c r="C240" s="98">
        <f t="shared" si="245"/>
        <v>2.9311696780128793</v>
      </c>
      <c r="D240" s="98">
        <f t="shared" si="245"/>
        <v>4.529232153518123</v>
      </c>
      <c r="E240" s="98">
        <f t="shared" si="245"/>
        <v>18.903559657218192</v>
      </c>
      <c r="F240" s="98">
        <f t="shared" si="245"/>
        <v>3.3469693487394956</v>
      </c>
      <c r="G240" s="98">
        <f t="shared" si="245"/>
        <v>1.5100385971563981</v>
      </c>
      <c r="H240" s="98">
        <f t="shared" si="245"/>
        <v>1.6655417877679037</v>
      </c>
      <c r="I240" s="98">
        <f t="shared" si="245"/>
        <v>1.4070022242314644</v>
      </c>
      <c r="J240" s="98">
        <f t="shared" si="245"/>
        <v>1.3832395199999998</v>
      </c>
      <c r="K240" s="98">
        <f t="shared" si="245"/>
        <v>1.699775488803932</v>
      </c>
      <c r="L240" s="98">
        <f t="shared" si="245"/>
        <v>1.3005804095277891</v>
      </c>
      <c r="M240" s="98">
        <f t="shared" si="245"/>
        <v>1.691461369565217</v>
      </c>
      <c r="N240" s="98">
        <f t="shared" si="245"/>
        <v>9.42139253279516</v>
      </c>
      <c r="O240" s="98">
        <f t="shared" si="245"/>
        <v>8.087791621621621</v>
      </c>
      <c r="P240" s="98">
        <f t="shared" si="245"/>
        <v>10.310988404196578</v>
      </c>
      <c r="Q240" s="98">
        <f t="shared" si="245"/>
        <v>10.237500000000004</v>
      </c>
      <c r="R240" s="98">
        <f t="shared" si="245"/>
        <v>8.0477777620253192</v>
      </c>
      <c r="S240" s="98">
        <f t="shared" si="245"/>
        <v>7.9790969277108452</v>
      </c>
      <c r="T240" s="98">
        <f t="shared" si="245"/>
        <v>9.8845529104477627</v>
      </c>
      <c r="U240" s="98">
        <f t="shared" si="245"/>
        <v>7.4973401320754727</v>
      </c>
      <c r="V240" s="98">
        <f t="shared" si="245"/>
        <v>6.3641886486486481</v>
      </c>
      <c r="W240" s="98">
        <f t="shared" si="245"/>
        <v>5.0916550987720237</v>
      </c>
      <c r="X240" s="98">
        <f t="shared" si="245"/>
        <v>8.4321279310344828</v>
      </c>
      <c r="Y240" s="98">
        <f t="shared" si="245"/>
        <v>7.2467097264437692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0</v>
      </c>
      <c r="J241" s="32">
        <f t="shared" si="246"/>
        <v>0</v>
      </c>
      <c r="K241" s="32">
        <f t="shared" si="246"/>
        <v>0</v>
      </c>
      <c r="L241" s="32">
        <f t="shared" si="246"/>
        <v>0</v>
      </c>
      <c r="M241" s="32">
        <f t="shared" si="246"/>
        <v>0</v>
      </c>
      <c r="N241" s="32">
        <f t="shared" si="246"/>
        <v>0</v>
      </c>
      <c r="O241" s="32">
        <f t="shared" si="246"/>
        <v>0</v>
      </c>
      <c r="P241" s="32">
        <f t="shared" si="246"/>
        <v>0</v>
      </c>
      <c r="Q241" s="32">
        <f t="shared" si="246"/>
        <v>0</v>
      </c>
      <c r="R241" s="32">
        <f t="shared" si="246"/>
        <v>0</v>
      </c>
      <c r="S241" s="32">
        <f t="shared" si="246"/>
        <v>0</v>
      </c>
      <c r="T241" s="32">
        <f t="shared" si="246"/>
        <v>0</v>
      </c>
      <c r="U241" s="32">
        <f t="shared" si="246"/>
        <v>0</v>
      </c>
      <c r="V241" s="32">
        <f t="shared" si="246"/>
        <v>0</v>
      </c>
      <c r="W241" s="32">
        <f t="shared" si="246"/>
        <v>0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0</v>
      </c>
      <c r="J242" s="97">
        <f t="shared" si="247"/>
        <v>0</v>
      </c>
      <c r="K242" s="97">
        <f t="shared" si="247"/>
        <v>0</v>
      </c>
      <c r="L242" s="97">
        <f t="shared" si="247"/>
        <v>0</v>
      </c>
      <c r="M242" s="97">
        <f t="shared" si="247"/>
        <v>0</v>
      </c>
      <c r="N242" s="97">
        <f t="shared" si="247"/>
        <v>0</v>
      </c>
      <c r="O242" s="97">
        <f t="shared" si="247"/>
        <v>0</v>
      </c>
      <c r="P242" s="97">
        <f t="shared" si="247"/>
        <v>0</v>
      </c>
      <c r="Q242" s="97">
        <f t="shared" si="247"/>
        <v>0</v>
      </c>
      <c r="R242" s="97">
        <f t="shared" si="247"/>
        <v>0</v>
      </c>
      <c r="S242" s="97">
        <f t="shared" si="247"/>
        <v>0</v>
      </c>
      <c r="T242" s="97">
        <f t="shared" si="247"/>
        <v>0</v>
      </c>
      <c r="U242" s="97">
        <f t="shared" si="247"/>
        <v>0</v>
      </c>
      <c r="V242" s="97">
        <f t="shared" si="247"/>
        <v>0</v>
      </c>
      <c r="W242" s="97">
        <f t="shared" si="247"/>
        <v>0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</v>
      </c>
      <c r="J243" s="98">
        <f t="shared" si="248"/>
        <v>0</v>
      </c>
      <c r="K243" s="98">
        <f t="shared" si="248"/>
        <v>0</v>
      </c>
      <c r="L243" s="98">
        <f t="shared" si="248"/>
        <v>0</v>
      </c>
      <c r="M243" s="98">
        <f t="shared" si="248"/>
        <v>0</v>
      </c>
      <c r="N243" s="98">
        <f t="shared" si="248"/>
        <v>0</v>
      </c>
      <c r="O243" s="98">
        <f t="shared" si="248"/>
        <v>0</v>
      </c>
      <c r="P243" s="98">
        <f t="shared" si="248"/>
        <v>0</v>
      </c>
      <c r="Q243" s="98">
        <f t="shared" si="248"/>
        <v>0</v>
      </c>
      <c r="R243" s="98">
        <f t="shared" si="248"/>
        <v>0</v>
      </c>
      <c r="S243" s="98">
        <f t="shared" si="248"/>
        <v>0</v>
      </c>
      <c r="T243" s="98">
        <f t="shared" si="248"/>
        <v>0</v>
      </c>
      <c r="U243" s="98">
        <f t="shared" si="248"/>
        <v>0</v>
      </c>
      <c r="V243" s="98">
        <f t="shared" si="248"/>
        <v>0</v>
      </c>
      <c r="W243" s="98">
        <f t="shared" si="248"/>
        <v>0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65193.702118356399</v>
      </c>
      <c r="C4" s="29">
        <f t="shared" si="0"/>
        <v>65084.49126739068</v>
      </c>
      <c r="D4" s="29">
        <f t="shared" si="0"/>
        <v>65499.209666767027</v>
      </c>
      <c r="E4" s="29">
        <f t="shared" si="0"/>
        <v>66543.365973298351</v>
      </c>
      <c r="F4" s="29">
        <f t="shared" si="0"/>
        <v>67695.612275086969</v>
      </c>
      <c r="G4" s="29">
        <f t="shared" si="0"/>
        <v>67625.715777416248</v>
      </c>
      <c r="H4" s="29">
        <f t="shared" si="0"/>
        <v>70645.624829271823</v>
      </c>
      <c r="I4" s="29">
        <f t="shared" si="0"/>
        <v>71509.586913511564</v>
      </c>
      <c r="J4" s="29">
        <f t="shared" si="0"/>
        <v>72095.122032512372</v>
      </c>
      <c r="K4" s="29">
        <f t="shared" si="0"/>
        <v>71123.600901338519</v>
      </c>
      <c r="L4" s="29">
        <f t="shared" ref="L4" si="1">L5+L6+L13</f>
        <v>69493.747839134478</v>
      </c>
      <c r="M4" s="29">
        <f t="shared" ref="M4:V4" si="2">M5+M6+M13</f>
        <v>69159.684183059086</v>
      </c>
      <c r="N4" s="29">
        <f t="shared" si="2"/>
        <v>69329.698160851331</v>
      </c>
      <c r="O4" s="29">
        <f t="shared" si="2"/>
        <v>69453.385856853987</v>
      </c>
      <c r="P4" s="29">
        <f t="shared" si="2"/>
        <v>70846.85877393352</v>
      </c>
      <c r="Q4" s="29">
        <f t="shared" si="2"/>
        <v>72914.728165758643</v>
      </c>
      <c r="R4" s="29">
        <f t="shared" si="2"/>
        <v>74994.98771879627</v>
      </c>
      <c r="S4" s="29">
        <f t="shared" si="2"/>
        <v>79480.498329813825</v>
      </c>
      <c r="T4" s="29">
        <f t="shared" si="2"/>
        <v>83367.775881056412</v>
      </c>
      <c r="U4" s="29">
        <f t="shared" si="2"/>
        <v>86379.523498495808</v>
      </c>
      <c r="V4" s="29">
        <f t="shared" si="2"/>
        <v>76828.066749793565</v>
      </c>
      <c r="W4" s="29">
        <f t="shared" ref="W4:Y4" si="3">W5+W6+W13</f>
        <v>80116.270958476831</v>
      </c>
      <c r="X4" s="29">
        <f t="shared" si="3"/>
        <v>88003.38205621182</v>
      </c>
      <c r="Y4" s="29">
        <f t="shared" si="3"/>
        <v>93947.391759141552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281.7021183563993</v>
      </c>
      <c r="C5" s="152">
        <f t="shared" si="4"/>
        <v>287.49126739068129</v>
      </c>
      <c r="D5" s="152">
        <f t="shared" si="4"/>
        <v>301.2096667670192</v>
      </c>
      <c r="E5" s="152">
        <f t="shared" si="4"/>
        <v>319.36597329835104</v>
      </c>
      <c r="F5" s="152">
        <f t="shared" si="4"/>
        <v>351.61227508697021</v>
      </c>
      <c r="G5" s="152">
        <f t="shared" si="4"/>
        <v>377.71577741625606</v>
      </c>
      <c r="H5" s="152">
        <f t="shared" si="4"/>
        <v>400.62482927181401</v>
      </c>
      <c r="I5" s="152">
        <f t="shared" si="4"/>
        <v>418.58691351157296</v>
      </c>
      <c r="J5" s="152">
        <f t="shared" si="4"/>
        <v>436.12203251236866</v>
      </c>
      <c r="K5" s="152">
        <f t="shared" si="4"/>
        <v>437.60090133852071</v>
      </c>
      <c r="L5" s="152">
        <f t="shared" ref="L5:L7" si="5">IF(L32=0,0,L32*L142)</f>
        <v>437.74783913448505</v>
      </c>
      <c r="M5" s="152">
        <f t="shared" ref="M5:V5" si="6">IF(M32=0,0,M32*M142)</f>
        <v>452.97958305907264</v>
      </c>
      <c r="N5" s="152">
        <f t="shared" si="6"/>
        <v>462.34776085132387</v>
      </c>
      <c r="O5" s="152">
        <f t="shared" si="6"/>
        <v>479.55045685397363</v>
      </c>
      <c r="P5" s="152">
        <f t="shared" si="6"/>
        <v>493.79387393351033</v>
      </c>
      <c r="Q5" s="152">
        <f t="shared" si="6"/>
        <v>498.55166575863842</v>
      </c>
      <c r="R5" s="152">
        <f t="shared" si="6"/>
        <v>496.05421879628261</v>
      </c>
      <c r="S5" s="152">
        <f t="shared" si="6"/>
        <v>524.28352981383102</v>
      </c>
      <c r="T5" s="152">
        <f t="shared" si="6"/>
        <v>553.27588105642462</v>
      </c>
      <c r="U5" s="152">
        <f t="shared" si="6"/>
        <v>567.26949849582763</v>
      </c>
      <c r="V5" s="152">
        <f t="shared" si="6"/>
        <v>522.50574979356077</v>
      </c>
      <c r="W5" s="152">
        <f t="shared" ref="W5:Y5" si="7">IF(W32=0,0,W32*W142)</f>
        <v>532.3179584768211</v>
      </c>
      <c r="X5" s="152">
        <f t="shared" si="7"/>
        <v>541.50505621181458</v>
      </c>
      <c r="Y5" s="152">
        <f t="shared" si="7"/>
        <v>550.2617591415418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46180</v>
      </c>
      <c r="C6" s="116">
        <f t="shared" si="8"/>
        <v>46180</v>
      </c>
      <c r="D6" s="116">
        <f t="shared" si="8"/>
        <v>46300</v>
      </c>
      <c r="E6" s="116">
        <f t="shared" si="8"/>
        <v>47517</v>
      </c>
      <c r="F6" s="116">
        <f t="shared" si="8"/>
        <v>49121</v>
      </c>
      <c r="G6" s="116">
        <f t="shared" si="8"/>
        <v>49403</v>
      </c>
      <c r="H6" s="116">
        <f t="shared" si="8"/>
        <v>52315</v>
      </c>
      <c r="I6" s="116">
        <f t="shared" si="8"/>
        <v>53946</v>
      </c>
      <c r="J6" s="116">
        <f t="shared" si="8"/>
        <v>54005</v>
      </c>
      <c r="K6" s="116">
        <f t="shared" si="8"/>
        <v>54396</v>
      </c>
      <c r="L6" s="116">
        <f t="shared" ref="L6" si="9">SUM(L7:L12)</f>
        <v>52595</v>
      </c>
      <c r="M6" s="116">
        <f t="shared" ref="M6:V6" si="10">SUM(M7:M12)</f>
        <v>52251.000000000007</v>
      </c>
      <c r="N6" s="116">
        <f t="shared" si="10"/>
        <v>51793.000000000007</v>
      </c>
      <c r="O6" s="116">
        <f t="shared" si="10"/>
        <v>51824.000000000007</v>
      </c>
      <c r="P6" s="116">
        <f t="shared" si="10"/>
        <v>52723</v>
      </c>
      <c r="Q6" s="116">
        <f t="shared" si="10"/>
        <v>54603</v>
      </c>
      <c r="R6" s="116">
        <f t="shared" si="10"/>
        <v>56676.999999999993</v>
      </c>
      <c r="S6" s="116">
        <f t="shared" si="10"/>
        <v>60645</v>
      </c>
      <c r="T6" s="116">
        <f t="shared" si="10"/>
        <v>63946.999999999993</v>
      </c>
      <c r="U6" s="116">
        <f t="shared" si="10"/>
        <v>67033.999999999985</v>
      </c>
      <c r="V6" s="116">
        <f t="shared" si="10"/>
        <v>63921</v>
      </c>
      <c r="W6" s="116">
        <f t="shared" ref="W6:Y6" si="11">SUM(W7:W12)</f>
        <v>67394.762000000002</v>
      </c>
      <c r="X6" s="116">
        <f t="shared" si="11"/>
        <v>72569.675000000003</v>
      </c>
      <c r="Y6" s="116">
        <f t="shared" si="11"/>
        <v>78327.13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39432.927813446811</v>
      </c>
      <c r="C7" s="87">
        <f t="shared" si="12"/>
        <v>38977.089859940716</v>
      </c>
      <c r="D7" s="87">
        <f t="shared" si="12"/>
        <v>38340.968280583729</v>
      </c>
      <c r="E7" s="87">
        <f t="shared" si="12"/>
        <v>37641.132217689177</v>
      </c>
      <c r="F7" s="87">
        <f t="shared" si="12"/>
        <v>37589.908649457007</v>
      </c>
      <c r="G7" s="87">
        <f t="shared" si="12"/>
        <v>39775.977053404597</v>
      </c>
      <c r="H7" s="87">
        <f t="shared" si="12"/>
        <v>39370.519814534004</v>
      </c>
      <c r="I7" s="87">
        <f t="shared" si="12"/>
        <v>39670.485168118314</v>
      </c>
      <c r="J7" s="87">
        <f t="shared" si="12"/>
        <v>38752.018117536027</v>
      </c>
      <c r="K7" s="87">
        <f t="shared" si="12"/>
        <v>38836.278108875034</v>
      </c>
      <c r="L7" s="87">
        <f t="shared" si="5"/>
        <v>35611.332106185175</v>
      </c>
      <c r="M7" s="87">
        <f t="shared" ref="M7:V7" si="13">IF(M34=0,0,M34*M144)</f>
        <v>33486.651526840731</v>
      </c>
      <c r="N7" s="87">
        <f t="shared" si="13"/>
        <v>32450.834168130514</v>
      </c>
      <c r="O7" s="87">
        <f t="shared" si="13"/>
        <v>31270.970584239669</v>
      </c>
      <c r="P7" s="87">
        <f t="shared" si="13"/>
        <v>33175.460571780452</v>
      </c>
      <c r="Q7" s="87">
        <f t="shared" si="13"/>
        <v>33039.363195754195</v>
      </c>
      <c r="R7" s="87">
        <f t="shared" si="13"/>
        <v>32607.474216898074</v>
      </c>
      <c r="S7" s="87">
        <f t="shared" si="13"/>
        <v>33829.832579694186</v>
      </c>
      <c r="T7" s="87">
        <f t="shared" si="13"/>
        <v>34881.65992691421</v>
      </c>
      <c r="U7" s="87">
        <f t="shared" si="13"/>
        <v>35740.448857682735</v>
      </c>
      <c r="V7" s="87">
        <f t="shared" si="13"/>
        <v>34111.370807891231</v>
      </c>
      <c r="W7" s="87">
        <f t="shared" ref="W7:Y7" si="14">IF(W34=0,0,W34*W144)</f>
        <v>35302.943467435718</v>
      </c>
      <c r="X7" s="87">
        <f t="shared" si="14"/>
        <v>37827.020171529308</v>
      </c>
      <c r="Y7" s="87">
        <f t="shared" si="14"/>
        <v>40293.060947433652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6747.0721865531887</v>
      </c>
      <c r="C8" s="87">
        <f t="shared" si="15"/>
        <v>7148.4374261972989</v>
      </c>
      <c r="D8" s="87">
        <f t="shared" si="15"/>
        <v>7906.9468893960284</v>
      </c>
      <c r="E8" s="87">
        <f t="shared" si="15"/>
        <v>9004.7999724726687</v>
      </c>
      <c r="F8" s="87">
        <f t="shared" si="15"/>
        <v>10726.915792242944</v>
      </c>
      <c r="G8" s="87">
        <f t="shared" si="15"/>
        <v>8838.0849256374931</v>
      </c>
      <c r="H8" s="87">
        <f t="shared" si="15"/>
        <v>12174.671264432232</v>
      </c>
      <c r="I8" s="87">
        <f t="shared" si="15"/>
        <v>13468.200133598257</v>
      </c>
      <c r="J8" s="87">
        <f t="shared" si="15"/>
        <v>14504.906403556459</v>
      </c>
      <c r="K8" s="87">
        <f t="shared" si="15"/>
        <v>14935.609884039259</v>
      </c>
      <c r="L8" s="87">
        <f t="shared" ref="L8" si="16">IF(L35=0,0,L35*L145)</f>
        <v>16380.965259358549</v>
      </c>
      <c r="M8" s="87">
        <f t="shared" ref="M8:V8" si="17">IF(M35=0,0,M35*M145)</f>
        <v>18130.205156790125</v>
      </c>
      <c r="N8" s="87">
        <f t="shared" si="17"/>
        <v>18691.220791904925</v>
      </c>
      <c r="O8" s="87">
        <f t="shared" si="17"/>
        <v>19830.527850878694</v>
      </c>
      <c r="P8" s="87">
        <f t="shared" si="17"/>
        <v>18764.908607661782</v>
      </c>
      <c r="Q8" s="87">
        <f t="shared" si="17"/>
        <v>20723.038602730303</v>
      </c>
      <c r="R8" s="87">
        <f t="shared" si="17"/>
        <v>23206.973645055863</v>
      </c>
      <c r="S8" s="87">
        <f t="shared" si="17"/>
        <v>25940.453030575583</v>
      </c>
      <c r="T8" s="87">
        <f t="shared" si="17"/>
        <v>28225.79343590029</v>
      </c>
      <c r="U8" s="87">
        <f t="shared" si="17"/>
        <v>30514.274103202781</v>
      </c>
      <c r="V8" s="87">
        <f t="shared" si="17"/>
        <v>29140.713455398698</v>
      </c>
      <c r="W8" s="87">
        <f t="shared" ref="W8:Y8" si="18">IF(W35=0,0,W35*W145)</f>
        <v>31396.969624802681</v>
      </c>
      <c r="X8" s="87">
        <f t="shared" si="18"/>
        <v>33854.036658871672</v>
      </c>
      <c r="Y8" s="87">
        <f t="shared" si="18"/>
        <v>36899.756963025808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54.472713861986804</v>
      </c>
      <c r="D9" s="87">
        <f t="shared" si="19"/>
        <v>52.084830020237987</v>
      </c>
      <c r="E9" s="87">
        <f t="shared" si="19"/>
        <v>871.06780983815224</v>
      </c>
      <c r="F9" s="87">
        <f t="shared" si="19"/>
        <v>804.17555830004551</v>
      </c>
      <c r="G9" s="87">
        <f t="shared" si="19"/>
        <v>788.93802095790682</v>
      </c>
      <c r="H9" s="87">
        <f t="shared" si="19"/>
        <v>769.80892103376743</v>
      </c>
      <c r="I9" s="87">
        <f t="shared" si="19"/>
        <v>807.31469828343086</v>
      </c>
      <c r="J9" s="87">
        <f t="shared" si="19"/>
        <v>748.07547890751425</v>
      </c>
      <c r="K9" s="87">
        <f t="shared" si="19"/>
        <v>624.11200708570766</v>
      </c>
      <c r="L9" s="87">
        <f t="shared" ref="L9" si="20">IF(L36=0,0,L36*L146)</f>
        <v>600.67674370346811</v>
      </c>
      <c r="M9" s="87">
        <f t="shared" ref="M9:V9" si="21">IF(M36=0,0,M36*M146)</f>
        <v>627.94461133299842</v>
      </c>
      <c r="N9" s="87">
        <f t="shared" si="21"/>
        <v>644.81736362163633</v>
      </c>
      <c r="O9" s="87">
        <f t="shared" si="21"/>
        <v>710.22051397309815</v>
      </c>
      <c r="P9" s="87">
        <f t="shared" si="21"/>
        <v>766.14679050112068</v>
      </c>
      <c r="Q9" s="87">
        <f t="shared" si="21"/>
        <v>806.47291356662436</v>
      </c>
      <c r="R9" s="87">
        <f t="shared" si="21"/>
        <v>821.12610979117119</v>
      </c>
      <c r="S9" s="87">
        <f t="shared" si="21"/>
        <v>812.30156339130474</v>
      </c>
      <c r="T9" s="87">
        <f t="shared" si="21"/>
        <v>745.34089072177085</v>
      </c>
      <c r="U9" s="87">
        <f t="shared" si="21"/>
        <v>647.96797739503336</v>
      </c>
      <c r="V9" s="87">
        <f t="shared" si="21"/>
        <v>469.92125813657753</v>
      </c>
      <c r="W9" s="87">
        <f t="shared" ref="W9:Y9" si="22">IF(W36=0,0,W36*W146)</f>
        <v>341.63540332035205</v>
      </c>
      <c r="X9" s="87">
        <f t="shared" si="22"/>
        <v>346.79758083370655</v>
      </c>
      <c r="Y9" s="87">
        <f t="shared" si="22"/>
        <v>357.18199441762931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3.0817103665633252E-2</v>
      </c>
      <c r="M10" s="87">
        <f t="shared" ref="M10:V10" si="25">IF(M37=0,0,M37*M147)</f>
        <v>5.3773501191674775E-2</v>
      </c>
      <c r="N10" s="87">
        <f t="shared" si="25"/>
        <v>4.0277390586330501E-2</v>
      </c>
      <c r="O10" s="87">
        <f t="shared" si="25"/>
        <v>5.9315403433357954</v>
      </c>
      <c r="P10" s="87">
        <f t="shared" si="25"/>
        <v>9.6594021927362874</v>
      </c>
      <c r="Q10" s="87">
        <f t="shared" si="25"/>
        <v>25.186667247318887</v>
      </c>
      <c r="R10" s="87">
        <f t="shared" si="25"/>
        <v>27.572987552739349</v>
      </c>
      <c r="S10" s="87">
        <f t="shared" si="25"/>
        <v>31.222915673457798</v>
      </c>
      <c r="T10" s="87">
        <f t="shared" si="25"/>
        <v>32.724216668931106</v>
      </c>
      <c r="U10" s="87">
        <f t="shared" si="25"/>
        <v>32.778583005379929</v>
      </c>
      <c r="V10" s="87">
        <f t="shared" si="25"/>
        <v>29.528544254451674</v>
      </c>
      <c r="W10" s="87">
        <f t="shared" ref="W10:Y10" si="26">IF(W37=0,0,W37*W147)</f>
        <v>30.286529052663109</v>
      </c>
      <c r="X10" s="87">
        <f t="shared" si="26"/>
        <v>31.386989881166528</v>
      </c>
      <c r="Y10" s="87">
        <f t="shared" si="26"/>
        <v>32.569319821014389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0.22944414669120369</v>
      </c>
      <c r="O11" s="87">
        <f t="shared" si="29"/>
        <v>0.23476854938701955</v>
      </c>
      <c r="P11" s="87">
        <f t="shared" si="29"/>
        <v>0.59254175115018759</v>
      </c>
      <c r="Q11" s="87">
        <f t="shared" si="29"/>
        <v>1.5760796967375577</v>
      </c>
      <c r="R11" s="87">
        <f t="shared" si="29"/>
        <v>4.4014437464889946</v>
      </c>
      <c r="S11" s="87">
        <f t="shared" si="29"/>
        <v>7.8914157106374008</v>
      </c>
      <c r="T11" s="87">
        <f t="shared" si="29"/>
        <v>18.424058200469418</v>
      </c>
      <c r="U11" s="87">
        <f t="shared" si="29"/>
        <v>29.870835671062107</v>
      </c>
      <c r="V11" s="87">
        <f t="shared" si="29"/>
        <v>60.816107847667141</v>
      </c>
      <c r="W11" s="87">
        <f t="shared" ref="W11:Y11" si="30">IF(W38=0,0,W38*W148)</f>
        <v>126.75383936154284</v>
      </c>
      <c r="X11" s="87">
        <f t="shared" si="30"/>
        <v>205.58996960954752</v>
      </c>
      <c r="Y11" s="87">
        <f t="shared" si="30"/>
        <v>291.52765016662329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1.9950736491431811</v>
      </c>
      <c r="M12" s="87">
        <f t="shared" ref="M12:V12" si="33">IF(M39=0,0,M39*M149)</f>
        <v>6.144931534960409</v>
      </c>
      <c r="N12" s="87">
        <f t="shared" si="33"/>
        <v>5.8579548056444546</v>
      </c>
      <c r="O12" s="87">
        <f t="shared" si="33"/>
        <v>6.11474201581877</v>
      </c>
      <c r="P12" s="87">
        <f t="shared" si="33"/>
        <v>6.2320861127516149</v>
      </c>
      <c r="Q12" s="87">
        <f t="shared" si="33"/>
        <v>7.3625410048189339</v>
      </c>
      <c r="R12" s="87">
        <f t="shared" si="33"/>
        <v>9.4515969556593085</v>
      </c>
      <c r="S12" s="87">
        <f t="shared" si="33"/>
        <v>23.298494954823166</v>
      </c>
      <c r="T12" s="87">
        <f t="shared" si="33"/>
        <v>43.057471594324049</v>
      </c>
      <c r="U12" s="87">
        <f t="shared" si="33"/>
        <v>68.659643043008444</v>
      </c>
      <c r="V12" s="87">
        <f t="shared" si="33"/>
        <v>108.64982647137136</v>
      </c>
      <c r="W12" s="87">
        <f t="shared" ref="W12:Y12" si="34">IF(W39=0,0,W39*W149)</f>
        <v>196.1731360270517</v>
      </c>
      <c r="X12" s="87">
        <f t="shared" si="34"/>
        <v>304.84362927460563</v>
      </c>
      <c r="Y12" s="87">
        <f t="shared" si="34"/>
        <v>453.03312513527533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18732</v>
      </c>
      <c r="C13" s="116">
        <f t="shared" si="35"/>
        <v>18617</v>
      </c>
      <c r="D13" s="116">
        <f t="shared" si="35"/>
        <v>18898.000000000004</v>
      </c>
      <c r="E13" s="116">
        <f t="shared" si="35"/>
        <v>18706.999999999996</v>
      </c>
      <c r="F13" s="116">
        <f t="shared" si="35"/>
        <v>18223</v>
      </c>
      <c r="G13" s="116">
        <f t="shared" si="35"/>
        <v>17845</v>
      </c>
      <c r="H13" s="116">
        <f t="shared" si="35"/>
        <v>17930.000000000007</v>
      </c>
      <c r="I13" s="116">
        <f t="shared" si="35"/>
        <v>17145</v>
      </c>
      <c r="J13" s="116">
        <f t="shared" si="35"/>
        <v>17654</v>
      </c>
      <c r="K13" s="116">
        <f t="shared" si="35"/>
        <v>16290</v>
      </c>
      <c r="L13" s="116">
        <f t="shared" ref="L13" si="36">SUM(L14:L18)</f>
        <v>16461</v>
      </c>
      <c r="M13" s="116">
        <f t="shared" ref="M13:V13" si="37">SUM(M14:M18)</f>
        <v>16455.704600000001</v>
      </c>
      <c r="N13" s="116">
        <f t="shared" si="37"/>
        <v>17074.350399999999</v>
      </c>
      <c r="O13" s="116">
        <f t="shared" si="37"/>
        <v>17149.8354</v>
      </c>
      <c r="P13" s="116">
        <f t="shared" si="37"/>
        <v>17630.064900000005</v>
      </c>
      <c r="Q13" s="116">
        <f t="shared" si="37"/>
        <v>17813.176500000001</v>
      </c>
      <c r="R13" s="116">
        <f t="shared" si="37"/>
        <v>17821.933499999999</v>
      </c>
      <c r="S13" s="116">
        <f t="shared" si="37"/>
        <v>18311.214800000002</v>
      </c>
      <c r="T13" s="116">
        <f t="shared" si="37"/>
        <v>18867.5</v>
      </c>
      <c r="U13" s="116">
        <f t="shared" si="37"/>
        <v>18778.254000000001</v>
      </c>
      <c r="V13" s="116">
        <f t="shared" si="37"/>
        <v>12384.560999999998</v>
      </c>
      <c r="W13" s="116">
        <f t="shared" ref="W13:Y13" si="38">SUM(W14:W18)</f>
        <v>12189.191000000001</v>
      </c>
      <c r="X13" s="116">
        <f t="shared" si="38"/>
        <v>14892.201999999999</v>
      </c>
      <c r="Y13" s="116">
        <f t="shared" si="38"/>
        <v>15069.999999999998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353.15076031307842</v>
      </c>
      <c r="C14" s="101">
        <f t="shared" si="39"/>
        <v>320.85562044791538</v>
      </c>
      <c r="D14" s="101">
        <f t="shared" si="39"/>
        <v>294.60684232583571</v>
      </c>
      <c r="E14" s="101">
        <f t="shared" si="39"/>
        <v>261.98059158466708</v>
      </c>
      <c r="F14" s="101">
        <f t="shared" si="39"/>
        <v>232.55589302006626</v>
      </c>
      <c r="G14" s="101">
        <f t="shared" si="39"/>
        <v>199.94242337356602</v>
      </c>
      <c r="H14" s="101">
        <f t="shared" si="39"/>
        <v>158.0779453019268</v>
      </c>
      <c r="I14" s="101">
        <f t="shared" si="39"/>
        <v>126.24968829433938</v>
      </c>
      <c r="J14" s="101">
        <f t="shared" si="39"/>
        <v>118.50215908803195</v>
      </c>
      <c r="K14" s="101">
        <f t="shared" si="39"/>
        <v>90.953705606685602</v>
      </c>
      <c r="L14" s="101">
        <f t="shared" ref="L14" si="40">IF(L41=0,0,L41*L151)</f>
        <v>74.592140456041463</v>
      </c>
      <c r="M14" s="101">
        <f t="shared" ref="M14:V14" si="41">IF(M41=0,0,M41*M151)</f>
        <v>59.251610251697393</v>
      </c>
      <c r="N14" s="101">
        <f t="shared" si="41"/>
        <v>51.495182788869911</v>
      </c>
      <c r="O14" s="101">
        <f t="shared" si="41"/>
        <v>50.73896437495106</v>
      </c>
      <c r="P14" s="101">
        <f t="shared" si="41"/>
        <v>45.072198365689594</v>
      </c>
      <c r="Q14" s="101">
        <f t="shared" si="41"/>
        <v>35.08744686455006</v>
      </c>
      <c r="R14" s="101">
        <f t="shared" si="41"/>
        <v>22.820868638594625</v>
      </c>
      <c r="S14" s="101">
        <f t="shared" si="41"/>
        <v>19.500889958569363</v>
      </c>
      <c r="T14" s="101">
        <f t="shared" si="41"/>
        <v>19.059940432179634</v>
      </c>
      <c r="U14" s="101">
        <f t="shared" si="41"/>
        <v>18.095681104731625</v>
      </c>
      <c r="V14" s="101">
        <f t="shared" si="41"/>
        <v>13.921088737942826</v>
      </c>
      <c r="W14" s="101">
        <f t="shared" ref="W14:Y14" si="42">IF(W41=0,0,W41*W151)</f>
        <v>12.596611629842249</v>
      </c>
      <c r="X14" s="101">
        <f t="shared" si="42"/>
        <v>10.809603374208145</v>
      </c>
      <c r="Y14" s="101">
        <f t="shared" si="42"/>
        <v>7.9927881175178355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17960.813069012547</v>
      </c>
      <c r="C15" s="101">
        <f t="shared" si="43"/>
        <v>17882.038037428687</v>
      </c>
      <c r="D15" s="101">
        <f t="shared" si="43"/>
        <v>18177.744390616925</v>
      </c>
      <c r="E15" s="101">
        <f t="shared" si="43"/>
        <v>18013.636620286939</v>
      </c>
      <c r="F15" s="101">
        <f t="shared" si="43"/>
        <v>17561.732582189881</v>
      </c>
      <c r="G15" s="101">
        <f t="shared" si="43"/>
        <v>17331.441884698965</v>
      </c>
      <c r="H15" s="101">
        <f t="shared" si="43"/>
        <v>17508.232259550212</v>
      </c>
      <c r="I15" s="101">
        <f t="shared" si="43"/>
        <v>16812.826120193709</v>
      </c>
      <c r="J15" s="101">
        <f t="shared" si="43"/>
        <v>17356.244692081065</v>
      </c>
      <c r="K15" s="101">
        <f t="shared" si="43"/>
        <v>16049.504624313817</v>
      </c>
      <c r="L15" s="101">
        <f t="shared" ref="L15" si="44">IF(L42=0,0,L42*L152)</f>
        <v>16279.004101942075</v>
      </c>
      <c r="M15" s="101">
        <f t="shared" ref="M15:V15" si="45">IF(M42=0,0,M42*M152)</f>
        <v>16313.067935398883</v>
      </c>
      <c r="N15" s="101">
        <f t="shared" si="45"/>
        <v>16925.886025797445</v>
      </c>
      <c r="O15" s="101">
        <f t="shared" si="45"/>
        <v>16998.773490467967</v>
      </c>
      <c r="P15" s="101">
        <f t="shared" si="45"/>
        <v>17388.023052933106</v>
      </c>
      <c r="Q15" s="101">
        <f t="shared" si="45"/>
        <v>17450.948918984868</v>
      </c>
      <c r="R15" s="101">
        <f t="shared" si="45"/>
        <v>17219.850023020565</v>
      </c>
      <c r="S15" s="101">
        <f t="shared" si="45"/>
        <v>17610.090073568659</v>
      </c>
      <c r="T15" s="101">
        <f t="shared" si="45"/>
        <v>18172.761306126078</v>
      </c>
      <c r="U15" s="101">
        <f t="shared" si="45"/>
        <v>18416.894773960175</v>
      </c>
      <c r="V15" s="101">
        <f t="shared" si="45"/>
        <v>12115.917885755656</v>
      </c>
      <c r="W15" s="101">
        <f t="shared" ref="W15:Y15" si="46">IF(W42=0,0,W42*W152)</f>
        <v>11920.752820831509</v>
      </c>
      <c r="X15" s="101">
        <f t="shared" si="46"/>
        <v>14426.350897038281</v>
      </c>
      <c r="Y15" s="101">
        <f t="shared" si="46"/>
        <v>14520.150914615777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0.59577100419097395</v>
      </c>
      <c r="Q16" s="101">
        <f t="shared" si="49"/>
        <v>0.60611485520366271</v>
      </c>
      <c r="R16" s="101">
        <f t="shared" si="49"/>
        <v>1.1655885827525021</v>
      </c>
      <c r="S16" s="101">
        <f t="shared" si="49"/>
        <v>1.1609562179988915</v>
      </c>
      <c r="T16" s="101">
        <f t="shared" si="49"/>
        <v>1.1457287245972541</v>
      </c>
      <c r="U16" s="101">
        <f t="shared" si="49"/>
        <v>1.0984531383882967</v>
      </c>
      <c r="V16" s="101">
        <f t="shared" si="49"/>
        <v>0.81306219055204942</v>
      </c>
      <c r="W16" s="101">
        <f t="shared" ref="W16:Y16" si="50">IF(W43=0,0,W43*W153)</f>
        <v>0.7498823767707109</v>
      </c>
      <c r="X16" s="101">
        <f t="shared" si="50"/>
        <v>0.90750522145106693</v>
      </c>
      <c r="Y16" s="101">
        <f t="shared" si="50"/>
        <v>0.90683992726980311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103.75252020225255</v>
      </c>
      <c r="C17" s="101">
        <f t="shared" si="51"/>
        <v>111.10355977384903</v>
      </c>
      <c r="D17" s="101">
        <f t="shared" si="51"/>
        <v>118.92491908305963</v>
      </c>
      <c r="E17" s="101">
        <f t="shared" si="51"/>
        <v>125.12786579347436</v>
      </c>
      <c r="F17" s="101">
        <f t="shared" si="51"/>
        <v>126.33714898169806</v>
      </c>
      <c r="G17" s="101">
        <f t="shared" si="51"/>
        <v>145.47761062980609</v>
      </c>
      <c r="H17" s="101">
        <f t="shared" si="51"/>
        <v>133.22967110507935</v>
      </c>
      <c r="I17" s="101">
        <f t="shared" si="51"/>
        <v>104.77408140295657</v>
      </c>
      <c r="J17" s="101">
        <f t="shared" si="51"/>
        <v>88.207266123185491</v>
      </c>
      <c r="K17" s="101">
        <f t="shared" si="51"/>
        <v>80.779485174211061</v>
      </c>
      <c r="L17" s="101">
        <f t="shared" ref="L17" si="52">IF(L44=0,0,L44*L154)</f>
        <v>54.104707582442664</v>
      </c>
      <c r="M17" s="101">
        <f t="shared" ref="M17:V17" si="53">IF(M44=0,0,M44*M154)</f>
        <v>42.445659465929715</v>
      </c>
      <c r="N17" s="101">
        <f t="shared" si="53"/>
        <v>65.537132102567838</v>
      </c>
      <c r="O17" s="101">
        <f t="shared" si="53"/>
        <v>76.651867254056711</v>
      </c>
      <c r="P17" s="101">
        <f t="shared" si="53"/>
        <v>178.32666873203047</v>
      </c>
      <c r="Q17" s="101">
        <f t="shared" si="53"/>
        <v>288.96284603855264</v>
      </c>
      <c r="R17" s="101">
        <f t="shared" si="53"/>
        <v>539.31831810114124</v>
      </c>
      <c r="S17" s="101">
        <f t="shared" si="53"/>
        <v>643.46596572765907</v>
      </c>
      <c r="T17" s="101">
        <f t="shared" si="53"/>
        <v>635.98602795928718</v>
      </c>
      <c r="U17" s="101">
        <f t="shared" si="53"/>
        <v>304.05008282969624</v>
      </c>
      <c r="V17" s="101">
        <f t="shared" si="53"/>
        <v>206.59387377574313</v>
      </c>
      <c r="W17" s="101">
        <f t="shared" ref="W17:Y17" si="54">IF(W44=0,0,W44*W154)</f>
        <v>172.2350993082822</v>
      </c>
      <c r="X17" s="101">
        <f t="shared" si="54"/>
        <v>317.009591551055</v>
      </c>
      <c r="Y17" s="101">
        <f t="shared" si="54"/>
        <v>348.07036783165108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314.2836504721223</v>
      </c>
      <c r="C18" s="101">
        <f t="shared" si="55"/>
        <v>303.00278234954959</v>
      </c>
      <c r="D18" s="101">
        <f t="shared" si="55"/>
        <v>306.72384797418101</v>
      </c>
      <c r="E18" s="101">
        <f t="shared" si="55"/>
        <v>306.25492233491724</v>
      </c>
      <c r="F18" s="101">
        <f t="shared" si="55"/>
        <v>302.37437580835302</v>
      </c>
      <c r="G18" s="101">
        <f t="shared" si="55"/>
        <v>168.13808129766403</v>
      </c>
      <c r="H18" s="101">
        <f t="shared" si="55"/>
        <v>130.46012404278588</v>
      </c>
      <c r="I18" s="101">
        <f t="shared" si="55"/>
        <v>101.15011010899519</v>
      </c>
      <c r="J18" s="101">
        <f t="shared" si="55"/>
        <v>91.045882707716729</v>
      </c>
      <c r="K18" s="101">
        <f t="shared" si="55"/>
        <v>68.762184905286219</v>
      </c>
      <c r="L18" s="101">
        <f t="shared" ref="L18" si="56">IF(L45=0,0,L45*L155)</f>
        <v>53.299050019440699</v>
      </c>
      <c r="M18" s="101">
        <f t="shared" ref="M18:V18" si="57">IF(M45=0,0,M45*M155)</f>
        <v>40.93939488348957</v>
      </c>
      <c r="N18" s="101">
        <f t="shared" si="57"/>
        <v>31.432059311117111</v>
      </c>
      <c r="O18" s="101">
        <f t="shared" si="57"/>
        <v>23.671077903026301</v>
      </c>
      <c r="P18" s="101">
        <f t="shared" si="57"/>
        <v>18.04720896498462</v>
      </c>
      <c r="Q18" s="101">
        <f t="shared" si="57"/>
        <v>37.571173256826235</v>
      </c>
      <c r="R18" s="101">
        <f t="shared" si="57"/>
        <v>38.778701656945032</v>
      </c>
      <c r="S18" s="101">
        <f t="shared" si="57"/>
        <v>36.996914527113411</v>
      </c>
      <c r="T18" s="101">
        <f t="shared" si="57"/>
        <v>38.546996757857542</v>
      </c>
      <c r="U18" s="101">
        <f t="shared" si="57"/>
        <v>38.115008967009786</v>
      </c>
      <c r="V18" s="101">
        <f t="shared" si="57"/>
        <v>47.315089540103344</v>
      </c>
      <c r="W18" s="101">
        <f t="shared" ref="W18:Y18" si="58">IF(W45=0,0,W45*W155)</f>
        <v>82.856585853596016</v>
      </c>
      <c r="X18" s="101">
        <f t="shared" si="58"/>
        <v>137.12440281500562</v>
      </c>
      <c r="Y18" s="101">
        <f t="shared" si="58"/>
        <v>192.87908950778356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20474.156292410626</v>
      </c>
      <c r="C19" s="29">
        <f t="shared" si="59"/>
        <v>20749.331626876683</v>
      </c>
      <c r="D19" s="29">
        <f t="shared" si="59"/>
        <v>20613.290011574914</v>
      </c>
      <c r="E19" s="29">
        <f t="shared" si="59"/>
        <v>20284.857686431395</v>
      </c>
      <c r="F19" s="29">
        <f t="shared" si="59"/>
        <v>22051.011463515617</v>
      </c>
      <c r="G19" s="29">
        <f t="shared" si="59"/>
        <v>22869.073172007749</v>
      </c>
      <c r="H19" s="29">
        <f t="shared" si="59"/>
        <v>24918.040742067344</v>
      </c>
      <c r="I19" s="29">
        <f t="shared" si="59"/>
        <v>26855.865907063791</v>
      </c>
      <c r="J19" s="29">
        <f t="shared" si="59"/>
        <v>27974.607515529791</v>
      </c>
      <c r="K19" s="29">
        <f t="shared" si="59"/>
        <v>23232.718278993147</v>
      </c>
      <c r="L19" s="29">
        <f t="shared" ref="L19" si="60">L20+L26</f>
        <v>22064.177934023774</v>
      </c>
      <c r="M19" s="29">
        <f t="shared" ref="M19:V19" si="61">M20+M26</f>
        <v>21875.85534238004</v>
      </c>
      <c r="N19" s="29">
        <f t="shared" si="61"/>
        <v>20590.595153604154</v>
      </c>
      <c r="O19" s="29">
        <f t="shared" si="61"/>
        <v>20926.890289292045</v>
      </c>
      <c r="P19" s="29">
        <f t="shared" si="61"/>
        <v>21647.439525334277</v>
      </c>
      <c r="Q19" s="29">
        <f t="shared" si="61"/>
        <v>23047.179324238856</v>
      </c>
      <c r="R19" s="29">
        <f t="shared" si="61"/>
        <v>25320.319989745614</v>
      </c>
      <c r="S19" s="29">
        <f t="shared" si="61"/>
        <v>26868.760205056875</v>
      </c>
      <c r="T19" s="29">
        <f t="shared" si="61"/>
        <v>28118.027991524439</v>
      </c>
      <c r="U19" s="29">
        <f t="shared" si="61"/>
        <v>28892.238014235772</v>
      </c>
      <c r="V19" s="29">
        <f t="shared" si="61"/>
        <v>27465.083600754053</v>
      </c>
      <c r="W19" s="29">
        <f t="shared" ref="W19:Y19" si="62">W20+W26</f>
        <v>31041.897040845251</v>
      </c>
      <c r="X19" s="29">
        <f t="shared" si="62"/>
        <v>31103.271765347479</v>
      </c>
      <c r="Y19" s="29">
        <f t="shared" si="62"/>
        <v>31066.625887564282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523.78482513075301</v>
      </c>
      <c r="C20" s="152">
        <f t="shared" si="63"/>
        <v>553.33820668021826</v>
      </c>
      <c r="D20" s="152">
        <f t="shared" si="63"/>
        <v>593.51412656103673</v>
      </c>
      <c r="E20" s="152">
        <f t="shared" si="63"/>
        <v>618.64423588087016</v>
      </c>
      <c r="F20" s="152">
        <f t="shared" si="63"/>
        <v>632.03884282103184</v>
      </c>
      <c r="G20" s="152">
        <f t="shared" si="63"/>
        <v>660.2507964378575</v>
      </c>
      <c r="H20" s="152">
        <f t="shared" si="63"/>
        <v>663.38503261475398</v>
      </c>
      <c r="I20" s="152">
        <f t="shared" si="63"/>
        <v>698.35886315977439</v>
      </c>
      <c r="J20" s="152">
        <f t="shared" si="63"/>
        <v>768.81278679004038</v>
      </c>
      <c r="K20" s="152">
        <f t="shared" si="63"/>
        <v>889.38373229544391</v>
      </c>
      <c r="L20" s="152">
        <f t="shared" ref="L20" si="64">SUM(L21:L25)</f>
        <v>760.28219346305104</v>
      </c>
      <c r="M20" s="152">
        <f t="shared" ref="M20:V20" si="65">SUM(M21:M25)</f>
        <v>802.39312667225772</v>
      </c>
      <c r="N20" s="152">
        <f t="shared" si="65"/>
        <v>831.58659950019353</v>
      </c>
      <c r="O20" s="152">
        <f t="shared" si="65"/>
        <v>877.83825397057274</v>
      </c>
      <c r="P20" s="152">
        <f t="shared" si="65"/>
        <v>902.73867454819833</v>
      </c>
      <c r="Q20" s="152">
        <f t="shared" si="65"/>
        <v>937.13402726638856</v>
      </c>
      <c r="R20" s="152">
        <f t="shared" si="65"/>
        <v>993.90732114543232</v>
      </c>
      <c r="S20" s="152">
        <f t="shared" si="65"/>
        <v>1054.6559303379111</v>
      </c>
      <c r="T20" s="152">
        <f t="shared" si="65"/>
        <v>1122.0279915244387</v>
      </c>
      <c r="U20" s="152">
        <f t="shared" si="65"/>
        <v>1196.238014235774</v>
      </c>
      <c r="V20" s="152">
        <f t="shared" si="65"/>
        <v>1248.0836007540524</v>
      </c>
      <c r="W20" s="152">
        <f t="shared" ref="W20:Y20" si="66">SUM(W21:W25)</f>
        <v>1302.8970408452499</v>
      </c>
      <c r="X20" s="152">
        <f t="shared" si="66"/>
        <v>1338.2717653474808</v>
      </c>
      <c r="Y20" s="152">
        <f t="shared" si="66"/>
        <v>1379.6258875642802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135.50170602988476</v>
      </c>
      <c r="C21" s="87">
        <f t="shared" si="67"/>
        <v>125.33472590788796</v>
      </c>
      <c r="D21" s="87">
        <f t="shared" si="67"/>
        <v>112.41413189348859</v>
      </c>
      <c r="E21" s="87">
        <f t="shared" si="67"/>
        <v>100.90477508549301</v>
      </c>
      <c r="F21" s="87">
        <f t="shared" si="67"/>
        <v>91.052293323422916</v>
      </c>
      <c r="G21" s="87">
        <f t="shared" si="67"/>
        <v>82.21012132235488</v>
      </c>
      <c r="H21" s="87">
        <f t="shared" si="67"/>
        <v>74.184153713541491</v>
      </c>
      <c r="I21" s="87">
        <f t="shared" si="67"/>
        <v>66.228014469565721</v>
      </c>
      <c r="J21" s="87">
        <f t="shared" si="67"/>
        <v>54.239045363798667</v>
      </c>
      <c r="K21" s="87">
        <f t="shared" si="67"/>
        <v>49.09369723793629</v>
      </c>
      <c r="L21" s="87">
        <f t="shared" ref="L21" si="68">IF(L48=0,0,L48*L158)</f>
        <v>44.341976331976149</v>
      </c>
      <c r="M21" s="87">
        <f t="shared" ref="M21:V21" si="69">IF(M48=0,0,M48*M158)</f>
        <v>39.353205071616358</v>
      </c>
      <c r="N21" s="87">
        <f t="shared" si="69"/>
        <v>37.559720354099696</v>
      </c>
      <c r="O21" s="87">
        <f t="shared" si="69"/>
        <v>35.849614284256958</v>
      </c>
      <c r="P21" s="87">
        <f t="shared" si="69"/>
        <v>33.017700114415632</v>
      </c>
      <c r="Q21" s="87">
        <f t="shared" si="69"/>
        <v>29.834835925340069</v>
      </c>
      <c r="R21" s="87">
        <f t="shared" si="69"/>
        <v>28.066822737152897</v>
      </c>
      <c r="S21" s="87">
        <f t="shared" si="69"/>
        <v>27.304447194057108</v>
      </c>
      <c r="T21" s="87">
        <f t="shared" si="69"/>
        <v>26.981110606203515</v>
      </c>
      <c r="U21" s="87">
        <f t="shared" si="69"/>
        <v>26.844375265273836</v>
      </c>
      <c r="V21" s="87">
        <f t="shared" si="69"/>
        <v>25.571268102240985</v>
      </c>
      <c r="W21" s="87">
        <f t="shared" ref="W21:Y21" si="70">IF(W48=0,0,W48*W158)</f>
        <v>24.837570153103108</v>
      </c>
      <c r="X21" s="87">
        <f t="shared" si="70"/>
        <v>24.285840990040089</v>
      </c>
      <c r="Y21" s="87">
        <f t="shared" si="70"/>
        <v>24.483040383200713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388.2740467385097</v>
      </c>
      <c r="C22" s="87">
        <f t="shared" si="71"/>
        <v>427.75958496770272</v>
      </c>
      <c r="D22" s="87">
        <f t="shared" si="71"/>
        <v>480.86852459892822</v>
      </c>
      <c r="E22" s="87">
        <f t="shared" si="71"/>
        <v>517.51031000612124</v>
      </c>
      <c r="F22" s="87">
        <f t="shared" si="71"/>
        <v>540.7619685214471</v>
      </c>
      <c r="G22" s="87">
        <f t="shared" si="71"/>
        <v>577.82337727676895</v>
      </c>
      <c r="H22" s="87">
        <f t="shared" si="71"/>
        <v>588.98877236134751</v>
      </c>
      <c r="I22" s="87">
        <f t="shared" si="71"/>
        <v>631.9274516127914</v>
      </c>
      <c r="J22" s="87">
        <f t="shared" si="71"/>
        <v>714.38048975429024</v>
      </c>
      <c r="K22" s="87">
        <f t="shared" si="71"/>
        <v>840.10929385696954</v>
      </c>
      <c r="L22" s="87">
        <f t="shared" ref="L22" si="72">IF(L49=0,0,L49*L159)</f>
        <v>715.7734824382361</v>
      </c>
      <c r="M22" s="87">
        <f t="shared" ref="M22:V22" si="73">IF(M49=0,0,M49*M159)</f>
        <v>762.88846728720739</v>
      </c>
      <c r="N22" s="87">
        <f t="shared" si="73"/>
        <v>793.88469815766155</v>
      </c>
      <c r="O22" s="87">
        <f t="shared" si="73"/>
        <v>841.7449146141463</v>
      </c>
      <c r="P22" s="87">
        <f t="shared" si="73"/>
        <v>869.45979609929589</v>
      </c>
      <c r="Q22" s="87">
        <f t="shared" si="73"/>
        <v>906.60213458440285</v>
      </c>
      <c r="R22" s="87">
        <f t="shared" si="73"/>
        <v>965.07019914379316</v>
      </c>
      <c r="S22" s="87">
        <f t="shared" si="73"/>
        <v>1026.3752310245882</v>
      </c>
      <c r="T22" s="87">
        <f t="shared" si="73"/>
        <v>1093.7478297580412</v>
      </c>
      <c r="U22" s="87">
        <f t="shared" si="73"/>
        <v>1167.9344469710747</v>
      </c>
      <c r="V22" s="87">
        <f t="shared" si="73"/>
        <v>1220.7871527447974</v>
      </c>
      <c r="W22" s="87">
        <f t="shared" ref="W22:Y22" si="74">IF(W49=0,0,W49*W159)</f>
        <v>1275.8723043530285</v>
      </c>
      <c r="X22" s="87">
        <f t="shared" si="74"/>
        <v>1310.8255374316871</v>
      </c>
      <c r="Y22" s="87">
        <f t="shared" si="74"/>
        <v>1350.277333737414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0.23482627498700873</v>
      </c>
      <c r="D23" s="87">
        <f t="shared" si="75"/>
        <v>0.22240314222406202</v>
      </c>
      <c r="E23" s="87">
        <f t="shared" si="75"/>
        <v>0.22008674178687943</v>
      </c>
      <c r="F23" s="87">
        <f t="shared" si="75"/>
        <v>0.2155200856249809</v>
      </c>
      <c r="G23" s="87">
        <f t="shared" si="75"/>
        <v>0.20953374010674652</v>
      </c>
      <c r="H23" s="87">
        <f t="shared" si="75"/>
        <v>0.20434496906829641</v>
      </c>
      <c r="I23" s="87">
        <f t="shared" si="75"/>
        <v>0.19563777053422579</v>
      </c>
      <c r="J23" s="87">
        <f t="shared" si="75"/>
        <v>0.18678731098588003</v>
      </c>
      <c r="K23" s="87">
        <f t="shared" si="75"/>
        <v>0.17427936200522387</v>
      </c>
      <c r="L23" s="87">
        <f t="shared" ref="L23" si="76">IF(L50=0,0,L50*L160)</f>
        <v>0.16156727182091057</v>
      </c>
      <c r="M23" s="87">
        <f t="shared" ref="M23:V23" si="77">IF(M50=0,0,M50*M160)</f>
        <v>0.14628898846763669</v>
      </c>
      <c r="N23" s="87">
        <f t="shared" si="77"/>
        <v>0.13314529078908607</v>
      </c>
      <c r="O23" s="87">
        <f t="shared" si="77"/>
        <v>0.11740002013304017</v>
      </c>
      <c r="P23" s="87">
        <f t="shared" si="77"/>
        <v>0.10140715950941179</v>
      </c>
      <c r="Q23" s="87">
        <f t="shared" si="77"/>
        <v>9.1244231115964566E-2</v>
      </c>
      <c r="R23" s="87">
        <f t="shared" si="77"/>
        <v>7.6068497736800467E-2</v>
      </c>
      <c r="S23" s="87">
        <f t="shared" si="77"/>
        <v>6.1116161310690698E-2</v>
      </c>
      <c r="T23" s="87">
        <f t="shared" si="77"/>
        <v>4.9952754190310283E-2</v>
      </c>
      <c r="U23" s="87">
        <f t="shared" si="77"/>
        <v>3.77734125237454E-2</v>
      </c>
      <c r="V23" s="87">
        <f t="shared" si="77"/>
        <v>3.2802202976951071E-2</v>
      </c>
      <c r="W23" s="87">
        <f t="shared" ref="W23:Y23" si="78">IF(W50=0,0,W50*W160)</f>
        <v>2.6741293867739279E-2</v>
      </c>
      <c r="X23" s="87">
        <f t="shared" si="78"/>
        <v>8.1923732014443959E-2</v>
      </c>
      <c r="Y23" s="87">
        <f t="shared" si="78"/>
        <v>0.23589527340120994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9.0723623585391017E-3</v>
      </c>
      <c r="C24" s="87">
        <f t="shared" si="79"/>
        <v>9.0695296405461645E-3</v>
      </c>
      <c r="D24" s="87">
        <f t="shared" si="79"/>
        <v>9.0669263959313445E-3</v>
      </c>
      <c r="E24" s="87">
        <f t="shared" si="79"/>
        <v>9.0640474690494577E-3</v>
      </c>
      <c r="F24" s="87">
        <f t="shared" si="79"/>
        <v>9.0608905368523302E-3</v>
      </c>
      <c r="G24" s="87">
        <f t="shared" si="79"/>
        <v>7.7640986269089107E-3</v>
      </c>
      <c r="H24" s="87">
        <f t="shared" si="79"/>
        <v>7.7615707966856391E-3</v>
      </c>
      <c r="I24" s="87">
        <f t="shared" si="79"/>
        <v>7.7593068829798937E-3</v>
      </c>
      <c r="J24" s="87">
        <f t="shared" si="79"/>
        <v>6.4643609654849339E-3</v>
      </c>
      <c r="K24" s="87">
        <f t="shared" si="79"/>
        <v>6.4618385327518584E-3</v>
      </c>
      <c r="L24" s="87">
        <f t="shared" ref="L24" si="80">IF(L51=0,0,L51*L161)</f>
        <v>5.1674210178604841E-3</v>
      </c>
      <c r="M24" s="87">
        <f t="shared" ref="M24:V24" si="81">IF(M51=0,0,M51*M161)</f>
        <v>5.1653249663821468E-3</v>
      </c>
      <c r="N24" s="87">
        <f t="shared" si="81"/>
        <v>9.035697643235769E-3</v>
      </c>
      <c r="O24" s="87">
        <f t="shared" si="81"/>
        <v>0.1006469726091183</v>
      </c>
      <c r="P24" s="87">
        <f t="shared" si="81"/>
        <v>0.13286137113063393</v>
      </c>
      <c r="Q24" s="87">
        <f t="shared" si="81"/>
        <v>0.5531994934808353</v>
      </c>
      <c r="R24" s="87">
        <f t="shared" si="81"/>
        <v>0.57927235720394077</v>
      </c>
      <c r="S24" s="87">
        <f t="shared" si="81"/>
        <v>0.68410974951408576</v>
      </c>
      <c r="T24" s="87">
        <f t="shared" si="81"/>
        <v>0.77872357424838079</v>
      </c>
      <c r="U24" s="87">
        <f t="shared" si="81"/>
        <v>0.80107953894131989</v>
      </c>
      <c r="V24" s="87">
        <f t="shared" si="81"/>
        <v>0.8143762140516474</v>
      </c>
      <c r="W24" s="87">
        <f t="shared" ref="W24:Y24" si="82">IF(W51=0,0,W51*W161)</f>
        <v>0.81475404465670243</v>
      </c>
      <c r="X24" s="87">
        <f t="shared" si="82"/>
        <v>0.81510802393162429</v>
      </c>
      <c r="Y24" s="87">
        <f t="shared" si="82"/>
        <v>1.3396996755459951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2.5678079427364664E-2</v>
      </c>
      <c r="P25" s="87">
        <f t="shared" si="85"/>
        <v>2.6909803846762011E-2</v>
      </c>
      <c r="Q25" s="87">
        <f t="shared" si="85"/>
        <v>5.2613032048887336E-2</v>
      </c>
      <c r="R25" s="87">
        <f t="shared" si="85"/>
        <v>0.11495840954548887</v>
      </c>
      <c r="S25" s="87">
        <f t="shared" si="85"/>
        <v>0.23102620844097599</v>
      </c>
      <c r="T25" s="87">
        <f t="shared" si="85"/>
        <v>0.47037483175489742</v>
      </c>
      <c r="U25" s="87">
        <f t="shared" si="85"/>
        <v>0.62033904796021422</v>
      </c>
      <c r="V25" s="87">
        <f t="shared" si="85"/>
        <v>0.8780014899855858</v>
      </c>
      <c r="W25" s="87">
        <f t="shared" ref="W25:Y25" si="86">IF(W52=0,0,W52*W162)</f>
        <v>1.345671000594024</v>
      </c>
      <c r="X25" s="87">
        <f t="shared" si="86"/>
        <v>2.263355169807634</v>
      </c>
      <c r="Y25" s="87">
        <f t="shared" si="86"/>
        <v>3.2899184947185374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19950.371467279874</v>
      </c>
      <c r="C26" s="116">
        <f t="shared" si="87"/>
        <v>20195.993420196464</v>
      </c>
      <c r="D26" s="116">
        <f t="shared" si="87"/>
        <v>20019.775885013878</v>
      </c>
      <c r="E26" s="116">
        <f t="shared" si="87"/>
        <v>19666.213450550524</v>
      </c>
      <c r="F26" s="116">
        <f t="shared" si="87"/>
        <v>21418.972620694585</v>
      </c>
      <c r="G26" s="116">
        <f t="shared" si="87"/>
        <v>22208.822375569893</v>
      </c>
      <c r="H26" s="116">
        <f t="shared" si="87"/>
        <v>24254.655709452589</v>
      </c>
      <c r="I26" s="116">
        <f t="shared" si="87"/>
        <v>26157.507043904017</v>
      </c>
      <c r="J26" s="116">
        <f t="shared" si="87"/>
        <v>27205.794728739751</v>
      </c>
      <c r="K26" s="116">
        <f t="shared" si="87"/>
        <v>22343.334546697704</v>
      </c>
      <c r="L26" s="116">
        <f t="shared" ref="L26" si="88">SUM(L27:L28)</f>
        <v>21303.895740560722</v>
      </c>
      <c r="M26" s="116">
        <f t="shared" ref="M26:V26" si="89">SUM(M27:M28)</f>
        <v>21073.462215707783</v>
      </c>
      <c r="N26" s="116">
        <f t="shared" si="89"/>
        <v>19759.008554103959</v>
      </c>
      <c r="O26" s="116">
        <f t="shared" si="89"/>
        <v>20049.052035321471</v>
      </c>
      <c r="P26" s="116">
        <f t="shared" si="89"/>
        <v>20744.700850786077</v>
      </c>
      <c r="Q26" s="116">
        <f t="shared" si="89"/>
        <v>22110.045296972468</v>
      </c>
      <c r="R26" s="116">
        <f t="shared" si="89"/>
        <v>24326.412668600184</v>
      </c>
      <c r="S26" s="116">
        <f t="shared" si="89"/>
        <v>25814.104274718964</v>
      </c>
      <c r="T26" s="116">
        <f t="shared" si="89"/>
        <v>26996</v>
      </c>
      <c r="U26" s="116">
        <f t="shared" si="89"/>
        <v>27696</v>
      </c>
      <c r="V26" s="116">
        <f t="shared" si="89"/>
        <v>26217</v>
      </c>
      <c r="W26" s="116">
        <f t="shared" ref="W26:Y26" si="90">SUM(W27:W28)</f>
        <v>29739</v>
      </c>
      <c r="X26" s="116">
        <f t="shared" si="90"/>
        <v>29765</v>
      </c>
      <c r="Y26" s="116">
        <f t="shared" si="90"/>
        <v>29687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12145</v>
      </c>
      <c r="C27" s="101">
        <f t="shared" si="91"/>
        <v>11835</v>
      </c>
      <c r="D27" s="101">
        <f t="shared" si="91"/>
        <v>11166</v>
      </c>
      <c r="E27" s="101">
        <f t="shared" si="91"/>
        <v>10670.000000000002</v>
      </c>
      <c r="F27" s="101">
        <f t="shared" si="91"/>
        <v>10977</v>
      </c>
      <c r="G27" s="101">
        <f t="shared" si="91"/>
        <v>11394</v>
      </c>
      <c r="H27" s="101">
        <f t="shared" si="91"/>
        <v>12425</v>
      </c>
      <c r="I27" s="101">
        <f t="shared" si="91"/>
        <v>13186</v>
      </c>
      <c r="J27" s="101">
        <f t="shared" si="91"/>
        <v>13043</v>
      </c>
      <c r="K27" s="101">
        <f t="shared" si="91"/>
        <v>12171</v>
      </c>
      <c r="L27" s="101">
        <f t="shared" ref="L27:V27" si="92">IF(L54=0,0,L54*L164)</f>
        <v>11329</v>
      </c>
      <c r="M27" s="101">
        <f t="shared" si="92"/>
        <v>10534</v>
      </c>
      <c r="N27" s="101">
        <f t="shared" si="92"/>
        <v>9181</v>
      </c>
      <c r="O27" s="101">
        <f t="shared" si="92"/>
        <v>9246</v>
      </c>
      <c r="P27" s="101">
        <f t="shared" si="92"/>
        <v>9630</v>
      </c>
      <c r="Q27" s="101">
        <f t="shared" si="92"/>
        <v>10356</v>
      </c>
      <c r="R27" s="101">
        <f t="shared" si="92"/>
        <v>11720.000000000002</v>
      </c>
      <c r="S27" s="101">
        <f t="shared" si="92"/>
        <v>11940.000000000002</v>
      </c>
      <c r="T27" s="101">
        <f t="shared" si="92"/>
        <v>12979</v>
      </c>
      <c r="U27" s="101">
        <f t="shared" si="92"/>
        <v>13382</v>
      </c>
      <c r="V27" s="101">
        <f t="shared" si="92"/>
        <v>12860</v>
      </c>
      <c r="W27" s="101">
        <f t="shared" ref="W27:Y27" si="93">IF(W54=0,0,W54*W164)</f>
        <v>14777.999999999998</v>
      </c>
      <c r="X27" s="101">
        <f t="shared" si="93"/>
        <v>13926</v>
      </c>
      <c r="Y27" s="101">
        <f t="shared" si="93"/>
        <v>14049.999999999998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7805.3714672798742</v>
      </c>
      <c r="C28" s="88">
        <f t="shared" si="94"/>
        <v>8360.9934201964643</v>
      </c>
      <c r="D28" s="88">
        <f t="shared" si="94"/>
        <v>8853.775885013878</v>
      </c>
      <c r="E28" s="88">
        <f t="shared" si="94"/>
        <v>8996.2134505505237</v>
      </c>
      <c r="F28" s="88">
        <f t="shared" si="94"/>
        <v>10441.972620694585</v>
      </c>
      <c r="G28" s="88">
        <f t="shared" si="94"/>
        <v>10814.822375569893</v>
      </c>
      <c r="H28" s="88">
        <f t="shared" si="94"/>
        <v>11829.655709452589</v>
      </c>
      <c r="I28" s="88">
        <f t="shared" si="94"/>
        <v>12971.507043904017</v>
      </c>
      <c r="J28" s="88">
        <f t="shared" si="94"/>
        <v>14162.794728739751</v>
      </c>
      <c r="K28" s="88">
        <f t="shared" si="94"/>
        <v>10172.334546697704</v>
      </c>
      <c r="L28" s="88">
        <f t="shared" ref="L28:V28" si="95">IF(L55=0,0,L55*L165)</f>
        <v>9974.8957405607216</v>
      </c>
      <c r="M28" s="88">
        <f t="shared" si="95"/>
        <v>10539.462215707783</v>
      </c>
      <c r="N28" s="88">
        <f t="shared" si="95"/>
        <v>10578.008554103959</v>
      </c>
      <c r="O28" s="88">
        <f t="shared" si="95"/>
        <v>10803.052035321471</v>
      </c>
      <c r="P28" s="88">
        <f t="shared" si="95"/>
        <v>11114.700850786077</v>
      </c>
      <c r="Q28" s="88">
        <f t="shared" si="95"/>
        <v>11754.045296972468</v>
      </c>
      <c r="R28" s="88">
        <f t="shared" si="95"/>
        <v>12606.412668600184</v>
      </c>
      <c r="S28" s="88">
        <f t="shared" si="95"/>
        <v>13874.10427471896</v>
      </c>
      <c r="T28" s="88">
        <f t="shared" si="95"/>
        <v>14017</v>
      </c>
      <c r="U28" s="88">
        <f t="shared" si="95"/>
        <v>14314</v>
      </c>
      <c r="V28" s="88">
        <f t="shared" si="95"/>
        <v>13357</v>
      </c>
      <c r="W28" s="88">
        <f t="shared" ref="W28:Y28" si="96">IF(W55=0,0,W55*W165)</f>
        <v>14961</v>
      </c>
      <c r="X28" s="88">
        <f t="shared" si="96"/>
        <v>15839</v>
      </c>
      <c r="Y28" s="88">
        <f t="shared" si="96"/>
        <v>15637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25745.629238082201</v>
      </c>
      <c r="C30" s="62">
        <f t="shared" ref="C30:V30" si="98">C31+C46</f>
        <v>27429.722273247717</v>
      </c>
      <c r="D30" s="62">
        <f t="shared" si="98"/>
        <v>28854.059696557691</v>
      </c>
      <c r="E30" s="62">
        <f t="shared" si="98"/>
        <v>30282.479424160061</v>
      </c>
      <c r="F30" s="62">
        <f t="shared" si="98"/>
        <v>31633.536709528271</v>
      </c>
      <c r="G30" s="62">
        <f t="shared" si="98"/>
        <v>34082.71839697253</v>
      </c>
      <c r="H30" s="62">
        <f t="shared" si="98"/>
        <v>34993.984238084508</v>
      </c>
      <c r="I30" s="62">
        <f t="shared" si="98"/>
        <v>36953.648425257219</v>
      </c>
      <c r="J30" s="62">
        <f t="shared" si="98"/>
        <v>38101.998346565611</v>
      </c>
      <c r="K30" s="62">
        <f t="shared" si="98"/>
        <v>41199.283391570541</v>
      </c>
      <c r="L30" s="62">
        <f t="shared" si="98"/>
        <v>36924.467964719566</v>
      </c>
      <c r="M30" s="62">
        <f t="shared" si="98"/>
        <v>34368.23211170132</v>
      </c>
      <c r="N30" s="62">
        <f t="shared" si="98"/>
        <v>34811.501497970938</v>
      </c>
      <c r="O30" s="62">
        <f t="shared" si="98"/>
        <v>34526.808624002762</v>
      </c>
      <c r="P30" s="62">
        <f t="shared" si="98"/>
        <v>36081.152493832611</v>
      </c>
      <c r="Q30" s="62">
        <f t="shared" si="98"/>
        <v>38383.09781018873</v>
      </c>
      <c r="R30" s="62">
        <f t="shared" si="98"/>
        <v>40407.773135308569</v>
      </c>
      <c r="S30" s="62">
        <f t="shared" si="98"/>
        <v>42776.96394840203</v>
      </c>
      <c r="T30" s="62">
        <f t="shared" si="98"/>
        <v>46523.179092739811</v>
      </c>
      <c r="U30" s="62">
        <f t="shared" si="98"/>
        <v>51637.744741729461</v>
      </c>
      <c r="V30" s="62">
        <f t="shared" si="98"/>
        <v>49923.121459273119</v>
      </c>
      <c r="W30" s="62">
        <f t="shared" ref="W30:Y30" si="99">W31+W46</f>
        <v>52470.991821594027</v>
      </c>
      <c r="X30" s="62">
        <f t="shared" si="99"/>
        <v>56834.178529380304</v>
      </c>
      <c r="Y30" s="62">
        <f t="shared" si="99"/>
        <v>57269.67974197647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20579.395705163603</v>
      </c>
      <c r="C31" s="29">
        <f t="shared" ref="C31:V31" si="101">C32+C33+C40</f>
        <v>22068.200240807968</v>
      </c>
      <c r="D31" s="29">
        <f t="shared" si="101"/>
        <v>23292.375552933536</v>
      </c>
      <c r="E31" s="29">
        <f t="shared" si="101"/>
        <v>24589.994576158068</v>
      </c>
      <c r="F31" s="29">
        <f t="shared" si="101"/>
        <v>25708.33805643786</v>
      </c>
      <c r="G31" s="29">
        <f t="shared" si="101"/>
        <v>27579.108093639548</v>
      </c>
      <c r="H31" s="29">
        <f t="shared" si="101"/>
        <v>28309.346562805171</v>
      </c>
      <c r="I31" s="29">
        <f t="shared" si="101"/>
        <v>29907.94211232544</v>
      </c>
      <c r="J31" s="29">
        <f t="shared" si="101"/>
        <v>30663.807623392047</v>
      </c>
      <c r="K31" s="29">
        <f t="shared" si="101"/>
        <v>33244.254630354968</v>
      </c>
      <c r="L31" s="29">
        <f t="shared" si="101"/>
        <v>30129.523473739813</v>
      </c>
      <c r="M31" s="29">
        <f t="shared" si="101"/>
        <v>27386.181422934984</v>
      </c>
      <c r="N31" s="29">
        <f t="shared" si="101"/>
        <v>27844.26591283876</v>
      </c>
      <c r="O31" s="29">
        <f t="shared" si="101"/>
        <v>27270.87330642137</v>
      </c>
      <c r="P31" s="29">
        <f t="shared" si="101"/>
        <v>28651.697636520628</v>
      </c>
      <c r="Q31" s="29">
        <f t="shared" si="101"/>
        <v>30663.429324896031</v>
      </c>
      <c r="R31" s="29">
        <f t="shared" si="101"/>
        <v>32195.736807243346</v>
      </c>
      <c r="S31" s="29">
        <f t="shared" si="101"/>
        <v>34122.347677924648</v>
      </c>
      <c r="T31" s="29">
        <f t="shared" si="101"/>
        <v>37315.076636946331</v>
      </c>
      <c r="U31" s="29">
        <f t="shared" si="101"/>
        <v>41887.061194854759</v>
      </c>
      <c r="V31" s="29">
        <f t="shared" si="101"/>
        <v>39921.708217998559</v>
      </c>
      <c r="W31" s="29">
        <f t="shared" ref="W31:Y31" si="102">W32+W33+W40</f>
        <v>41833.467111180216</v>
      </c>
      <c r="X31" s="29">
        <f t="shared" si="102"/>
        <v>45981.617819507468</v>
      </c>
      <c r="Y31" s="29">
        <f t="shared" si="102"/>
        <v>46151.859328046739</v>
      </c>
      <c r="DA31" s="173" t="s">
        <v>475</v>
      </c>
    </row>
    <row r="32" spans="1:105" ht="11.45" customHeight="1" x14ac:dyDescent="0.25">
      <c r="A32" s="136" t="s">
        <v>173</v>
      </c>
      <c r="B32" s="152">
        <v>243.9090736181559</v>
      </c>
      <c r="C32" s="152">
        <v>248.92632717226695</v>
      </c>
      <c r="D32" s="152">
        <v>260.8498254280226</v>
      </c>
      <c r="E32" s="152">
        <v>276.45721914192956</v>
      </c>
      <c r="F32" s="152">
        <v>304.33027947966576</v>
      </c>
      <c r="G32" s="152">
        <v>327.21989872751698</v>
      </c>
      <c r="H32" s="152">
        <v>346.96951130675075</v>
      </c>
      <c r="I32" s="152">
        <v>361.94500362826534</v>
      </c>
      <c r="J32" s="152">
        <v>376.90896547719308</v>
      </c>
      <c r="K32" s="152">
        <v>378.00564422151047</v>
      </c>
      <c r="L32" s="152">
        <v>378.78331759999713</v>
      </c>
      <c r="M32" s="152">
        <v>392.30701133565492</v>
      </c>
      <c r="N32" s="152">
        <v>402.90706615823018</v>
      </c>
      <c r="O32" s="152">
        <v>418.11322968926157</v>
      </c>
      <c r="P32" s="152">
        <v>429.5990837950493</v>
      </c>
      <c r="Q32" s="152">
        <v>432.99</v>
      </c>
      <c r="R32" s="152">
        <v>432.92</v>
      </c>
      <c r="S32" s="152">
        <v>456.16</v>
      </c>
      <c r="T32" s="152">
        <v>481.61</v>
      </c>
      <c r="U32" s="152">
        <v>494.02</v>
      </c>
      <c r="V32" s="152">
        <v>455.64</v>
      </c>
      <c r="W32" s="152">
        <v>464.34</v>
      </c>
      <c r="X32" s="152">
        <v>480.89</v>
      </c>
      <c r="Y32" s="152">
        <v>483.03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19653.044755130461</v>
      </c>
      <c r="C33" s="116">
        <f t="shared" ref="C33:V33" si="104">SUM(C34:C39)</f>
        <v>21134.437057064661</v>
      </c>
      <c r="D33" s="116">
        <f t="shared" si="104"/>
        <v>22346.37907231351</v>
      </c>
      <c r="E33" s="116">
        <f t="shared" si="104"/>
        <v>23632.948639457423</v>
      </c>
      <c r="F33" s="116">
        <f t="shared" si="104"/>
        <v>24747.397617022107</v>
      </c>
      <c r="G33" s="116">
        <f t="shared" si="104"/>
        <v>26604.333946980809</v>
      </c>
      <c r="H33" s="116">
        <f t="shared" si="104"/>
        <v>27258.829155596508</v>
      </c>
      <c r="I33" s="116">
        <f t="shared" si="104"/>
        <v>28826.849283366264</v>
      </c>
      <c r="J33" s="116">
        <f t="shared" si="104"/>
        <v>29623.968657914855</v>
      </c>
      <c r="K33" s="116">
        <f t="shared" si="104"/>
        <v>32219.446253607624</v>
      </c>
      <c r="L33" s="116">
        <f t="shared" si="104"/>
        <v>29105.078052128269</v>
      </c>
      <c r="M33" s="116">
        <f t="shared" si="104"/>
        <v>26355.177619611255</v>
      </c>
      <c r="N33" s="116">
        <f t="shared" si="104"/>
        <v>26800.450500812996</v>
      </c>
      <c r="O33" s="116">
        <f t="shared" si="104"/>
        <v>26194.924057536355</v>
      </c>
      <c r="P33" s="116">
        <f t="shared" si="104"/>
        <v>27556.989099602255</v>
      </c>
      <c r="Q33" s="116">
        <f t="shared" si="104"/>
        <v>29563.634846914832</v>
      </c>
      <c r="R33" s="116">
        <f t="shared" si="104"/>
        <v>31075.890837464609</v>
      </c>
      <c r="S33" s="116">
        <f t="shared" si="104"/>
        <v>32950.135962421184</v>
      </c>
      <c r="T33" s="116">
        <f t="shared" si="104"/>
        <v>36103.385292891187</v>
      </c>
      <c r="U33" s="116">
        <f t="shared" si="104"/>
        <v>40658.624449210518</v>
      </c>
      <c r="V33" s="116">
        <f t="shared" si="104"/>
        <v>38834.403110727646</v>
      </c>
      <c r="W33" s="116">
        <f t="shared" ref="W33:Y33" si="105">SUM(W34:W39)</f>
        <v>40704.823396910586</v>
      </c>
      <c r="X33" s="116">
        <f t="shared" si="105"/>
        <v>44815.247819507465</v>
      </c>
      <c r="Y33" s="116">
        <f t="shared" si="105"/>
        <v>44979.099328046737</v>
      </c>
      <c r="DA33" s="176" t="s">
        <v>477</v>
      </c>
    </row>
    <row r="34" spans="1:105" ht="11.45" customHeight="1" x14ac:dyDescent="0.25">
      <c r="A34" s="111" t="s">
        <v>110</v>
      </c>
      <c r="B34" s="87">
        <v>16863.649357031194</v>
      </c>
      <c r="C34" s="87">
        <v>17929.815557436606</v>
      </c>
      <c r="D34" s="87">
        <v>18610.240961718249</v>
      </c>
      <c r="E34" s="87">
        <v>18831.267532847745</v>
      </c>
      <c r="F34" s="87">
        <v>19069.108823113955</v>
      </c>
      <c r="G34" s="87">
        <v>21539.580385261663</v>
      </c>
      <c r="H34" s="87">
        <v>20667.046099768933</v>
      </c>
      <c r="I34" s="87">
        <v>21368.781063797131</v>
      </c>
      <c r="J34" s="87">
        <v>21442.17833305593</v>
      </c>
      <c r="K34" s="87">
        <v>23209.489467990501</v>
      </c>
      <c r="L34" s="87">
        <v>19908.131566566113</v>
      </c>
      <c r="M34" s="87">
        <v>17083.342506994144</v>
      </c>
      <c r="N34" s="87">
        <v>16991.403494399467</v>
      </c>
      <c r="O34" s="87">
        <v>16005.566120584535</v>
      </c>
      <c r="P34" s="87">
        <v>17542.340216660024</v>
      </c>
      <c r="Q34" s="87">
        <v>18111.579323672009</v>
      </c>
      <c r="R34" s="87">
        <v>18120.091808172037</v>
      </c>
      <c r="S34" s="87">
        <v>18639.972022309325</v>
      </c>
      <c r="T34" s="87">
        <v>19979.80929785407</v>
      </c>
      <c r="U34" s="87">
        <v>22002.134648644522</v>
      </c>
      <c r="V34" s="87">
        <v>21031.40548787445</v>
      </c>
      <c r="W34" s="87">
        <v>21639.692137123398</v>
      </c>
      <c r="X34" s="87">
        <v>23700.428918922884</v>
      </c>
      <c r="Y34" s="87">
        <v>23469.505187275463</v>
      </c>
      <c r="DA34" s="171" t="s">
        <v>478</v>
      </c>
    </row>
    <row r="35" spans="1:105" ht="11.45" customHeight="1" x14ac:dyDescent="0.25">
      <c r="A35" s="111" t="s">
        <v>111</v>
      </c>
      <c r="B35" s="87">
        <v>2789.3953980992678</v>
      </c>
      <c r="C35" s="87">
        <v>3178.9208539599676</v>
      </c>
      <c r="D35" s="87">
        <v>3710.2222468748087</v>
      </c>
      <c r="E35" s="87">
        <v>4355.0498345160695</v>
      </c>
      <c r="F35" s="87">
        <v>5260.6109179804389</v>
      </c>
      <c r="G35" s="87">
        <v>4626.7574849953462</v>
      </c>
      <c r="H35" s="87">
        <v>6178.2671936305223</v>
      </c>
      <c r="I35" s="87">
        <v>7013.325287793089</v>
      </c>
      <c r="J35" s="87">
        <v>7758.7488435735759</v>
      </c>
      <c r="K35" s="87">
        <v>8628.8541865682</v>
      </c>
      <c r="L35" s="87">
        <v>8852.8673251245746</v>
      </c>
      <c r="M35" s="87">
        <v>8941.4103742786156</v>
      </c>
      <c r="N35" s="87">
        <v>9461.1350014503842</v>
      </c>
      <c r="O35" s="87">
        <v>9812.1942441161118</v>
      </c>
      <c r="P35" s="87">
        <v>9592.221657958713</v>
      </c>
      <c r="Q35" s="87">
        <v>10981.970529540025</v>
      </c>
      <c r="R35" s="87">
        <v>12467.05648017573</v>
      </c>
      <c r="S35" s="87">
        <v>13817.362382673216</v>
      </c>
      <c r="T35" s="87">
        <v>15629.408331668874</v>
      </c>
      <c r="U35" s="87">
        <v>18159.757405825556</v>
      </c>
      <c r="V35" s="87">
        <v>17368.866953491797</v>
      </c>
      <c r="W35" s="87">
        <v>18605.017256933312</v>
      </c>
      <c r="X35" s="87">
        <v>20505.327904765061</v>
      </c>
      <c r="Y35" s="87">
        <v>20777.790455358358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25.700645668086192</v>
      </c>
      <c r="D36" s="87">
        <v>25.91586372045273</v>
      </c>
      <c r="E36" s="87">
        <v>446.63127209360601</v>
      </c>
      <c r="F36" s="87">
        <v>417.67787592771577</v>
      </c>
      <c r="G36" s="87">
        <v>437.99607672379966</v>
      </c>
      <c r="H36" s="87">
        <v>413.51586219705081</v>
      </c>
      <c r="I36" s="87">
        <v>444.74293177604426</v>
      </c>
      <c r="J36" s="87">
        <v>423.04148128534962</v>
      </c>
      <c r="K36" s="87">
        <v>381.10259904892075</v>
      </c>
      <c r="L36" s="87">
        <v>342.683656566227</v>
      </c>
      <c r="M36" s="87">
        <v>326.52838818965887</v>
      </c>
      <c r="N36" s="87">
        <v>343.98223689835885</v>
      </c>
      <c r="O36" s="87">
        <v>370.0902902852348</v>
      </c>
      <c r="P36" s="87">
        <v>412.83062077476376</v>
      </c>
      <c r="Q36" s="87">
        <v>450.15219945830529</v>
      </c>
      <c r="R36" s="87">
        <v>464.14626547473881</v>
      </c>
      <c r="S36" s="87">
        <v>454.99619564307039</v>
      </c>
      <c r="T36" s="87">
        <v>433.82139352635295</v>
      </c>
      <c r="U36" s="87">
        <v>405.17193533761736</v>
      </c>
      <c r="V36" s="87">
        <v>294.32451121247362</v>
      </c>
      <c r="W36" s="87">
        <v>212.72124514596439</v>
      </c>
      <c r="X36" s="87">
        <v>220.78773756447737</v>
      </c>
      <c r="Y36" s="87">
        <v>211.45422383642719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1.7581033192343831E-2</v>
      </c>
      <c r="M37" s="87">
        <v>2.7961980013108144E-2</v>
      </c>
      <c r="N37" s="87">
        <v>2.1486249738219648E-2</v>
      </c>
      <c r="O37" s="87">
        <v>3.0908787402145865</v>
      </c>
      <c r="P37" s="87">
        <v>5.2048733388704349</v>
      </c>
      <c r="Q37" s="87">
        <v>14.058542410635365</v>
      </c>
      <c r="R37" s="87">
        <v>15.585790109439083</v>
      </c>
      <c r="S37" s="87">
        <v>17.488957904989505</v>
      </c>
      <c r="T37" s="87">
        <v>19.046942753437921</v>
      </c>
      <c r="U37" s="87">
        <v>20.496324474716729</v>
      </c>
      <c r="V37" s="87">
        <v>18.494533294727962</v>
      </c>
      <c r="W37" s="87">
        <v>18.858081184257994</v>
      </c>
      <c r="X37" s="87">
        <v>19.982441827196169</v>
      </c>
      <c r="Y37" s="87">
        <v>19.281263757042971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0.12508704397464473</v>
      </c>
      <c r="O38" s="87">
        <v>0.12502315350658447</v>
      </c>
      <c r="P38" s="87">
        <v>0.32629838664153055</v>
      </c>
      <c r="Q38" s="87">
        <v>0.89904994555266071</v>
      </c>
      <c r="R38" s="87">
        <v>2.5425892593185133</v>
      </c>
      <c r="S38" s="87">
        <v>4.5173261974752927</v>
      </c>
      <c r="T38" s="87">
        <v>10.959162527348232</v>
      </c>
      <c r="U38" s="87">
        <v>19.088387326620111</v>
      </c>
      <c r="V38" s="87">
        <v>38.927455394729705</v>
      </c>
      <c r="W38" s="87">
        <v>80.657577359798609</v>
      </c>
      <c r="X38" s="87">
        <v>133.76326661927132</v>
      </c>
      <c r="Y38" s="87">
        <v>176.37726852292539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1.3779228381606323</v>
      </c>
      <c r="M39" s="87">
        <v>3.8683881688213675</v>
      </c>
      <c r="N39" s="87">
        <v>3.7831947710719427</v>
      </c>
      <c r="O39" s="87">
        <v>3.8575006567506032</v>
      </c>
      <c r="P39" s="87">
        <v>4.0654324832444058</v>
      </c>
      <c r="Q39" s="87">
        <v>4.9752018883050111</v>
      </c>
      <c r="R39" s="87">
        <v>6.4679042733485916</v>
      </c>
      <c r="S39" s="87">
        <v>15.799077693100299</v>
      </c>
      <c r="T39" s="87">
        <v>30.340164561099559</v>
      </c>
      <c r="U39" s="87">
        <v>51.975747601481856</v>
      </c>
      <c r="V39" s="87">
        <v>82.384169459464701</v>
      </c>
      <c r="W39" s="87">
        <v>147.87709916385325</v>
      </c>
      <c r="X39" s="87">
        <v>234.9575498085776</v>
      </c>
      <c r="Y39" s="87">
        <v>324.69092929651623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682.44187641498434</v>
      </c>
      <c r="C40" s="116">
        <f t="shared" ref="C40:V40" si="107">SUM(C41:C45)</f>
        <v>684.83685657103956</v>
      </c>
      <c r="D40" s="116">
        <f t="shared" si="107"/>
        <v>685.14665519200037</v>
      </c>
      <c r="E40" s="116">
        <f t="shared" si="107"/>
        <v>680.58871755871735</v>
      </c>
      <c r="F40" s="116">
        <f t="shared" si="107"/>
        <v>656.61015993608976</v>
      </c>
      <c r="G40" s="116">
        <f t="shared" si="107"/>
        <v>647.55424793122165</v>
      </c>
      <c r="H40" s="116">
        <f t="shared" si="107"/>
        <v>703.54789590191456</v>
      </c>
      <c r="I40" s="116">
        <f t="shared" si="107"/>
        <v>719.14782533091045</v>
      </c>
      <c r="J40" s="116">
        <f t="shared" si="107"/>
        <v>662.93</v>
      </c>
      <c r="K40" s="116">
        <f t="shared" si="107"/>
        <v>646.80273252583424</v>
      </c>
      <c r="L40" s="116">
        <f t="shared" si="107"/>
        <v>645.66210401154638</v>
      </c>
      <c r="M40" s="116">
        <f t="shared" si="107"/>
        <v>638.69679198807535</v>
      </c>
      <c r="N40" s="116">
        <f t="shared" si="107"/>
        <v>640.90834586753397</v>
      </c>
      <c r="O40" s="116">
        <f t="shared" si="107"/>
        <v>657.83601919575506</v>
      </c>
      <c r="P40" s="116">
        <f t="shared" si="107"/>
        <v>665.10945312332547</v>
      </c>
      <c r="Q40" s="116">
        <f t="shared" si="107"/>
        <v>666.80447798119746</v>
      </c>
      <c r="R40" s="116">
        <f t="shared" si="107"/>
        <v>686.92596977873723</v>
      </c>
      <c r="S40" s="116">
        <f t="shared" si="107"/>
        <v>716.05171550346302</v>
      </c>
      <c r="T40" s="116">
        <f t="shared" si="107"/>
        <v>730.08134405514045</v>
      </c>
      <c r="U40" s="116">
        <f t="shared" si="107"/>
        <v>734.41674564424125</v>
      </c>
      <c r="V40" s="116">
        <f t="shared" si="107"/>
        <v>631.66510727091077</v>
      </c>
      <c r="W40" s="116">
        <f t="shared" ref="W40:Y40" si="108">SUM(W41:W45)</f>
        <v>664.30371426963757</v>
      </c>
      <c r="X40" s="116">
        <f t="shared" si="108"/>
        <v>685.48000000000025</v>
      </c>
      <c r="Y40" s="116">
        <f t="shared" si="108"/>
        <v>689.73000000000013</v>
      </c>
      <c r="DA40" s="176" t="s">
        <v>484</v>
      </c>
    </row>
    <row r="41" spans="1:105" ht="11.45" customHeight="1" x14ac:dyDescent="0.25">
      <c r="A41" s="111" t="s">
        <v>110</v>
      </c>
      <c r="B41" s="101">
        <v>33.451455027019676</v>
      </c>
      <c r="C41" s="101">
        <v>30.687423416974937</v>
      </c>
      <c r="D41" s="101">
        <v>27.770511207650582</v>
      </c>
      <c r="E41" s="101">
        <v>24.781241814021218</v>
      </c>
      <c r="F41" s="101">
        <v>21.78654785084581</v>
      </c>
      <c r="G41" s="101">
        <v>18.86417879253349</v>
      </c>
      <c r="H41" s="101">
        <v>16.127164255144347</v>
      </c>
      <c r="I41" s="101">
        <v>13.768427579032172</v>
      </c>
      <c r="J41" s="101">
        <v>11.569754981477027</v>
      </c>
      <c r="K41" s="101">
        <v>9.3895441271554194</v>
      </c>
      <c r="L41" s="101">
        <v>7.6070364928551442</v>
      </c>
      <c r="M41" s="101">
        <v>5.9793194639934111</v>
      </c>
      <c r="N41" s="101">
        <v>5.0256436283244135</v>
      </c>
      <c r="O41" s="101">
        <v>5.0602577614585087</v>
      </c>
      <c r="P41" s="101">
        <v>4.4210079757438443</v>
      </c>
      <c r="Q41" s="101">
        <v>3.4149335125346219</v>
      </c>
      <c r="R41" s="101">
        <v>2.286970885284441</v>
      </c>
      <c r="S41" s="101">
        <v>1.9826908940286359</v>
      </c>
      <c r="T41" s="101">
        <v>1.9175724401046887</v>
      </c>
      <c r="U41" s="101">
        <v>1.8400755038566297</v>
      </c>
      <c r="V41" s="101">
        <v>1.8460897910349308</v>
      </c>
      <c r="W41" s="101">
        <v>1.7849205350529358</v>
      </c>
      <c r="X41" s="101">
        <v>1.2936565052284223</v>
      </c>
      <c r="Y41" s="101">
        <v>0.95112481390633719</v>
      </c>
      <c r="DA41" s="175" t="s">
        <v>485</v>
      </c>
    </row>
    <row r="42" spans="1:105" ht="11.45" customHeight="1" x14ac:dyDescent="0.25">
      <c r="A42" s="111" t="s">
        <v>111</v>
      </c>
      <c r="B42" s="101">
        <v>634.22880780578612</v>
      </c>
      <c r="C42" s="101">
        <v>639.34372199733207</v>
      </c>
      <c r="D42" s="101">
        <v>642.33526715031076</v>
      </c>
      <c r="E42" s="101">
        <v>640.46978207801897</v>
      </c>
      <c r="F42" s="101">
        <v>619.69579216643479</v>
      </c>
      <c r="G42" s="101">
        <v>617.51600126247808</v>
      </c>
      <c r="H42" s="101">
        <v>677.22116902487517</v>
      </c>
      <c r="I42" s="101">
        <v>696.84441841844648</v>
      </c>
      <c r="J42" s="101">
        <v>644.70184409930698</v>
      </c>
      <c r="K42" s="101">
        <v>631.52890169490991</v>
      </c>
      <c r="L42" s="101">
        <v>633.87297267546307</v>
      </c>
      <c r="M42" s="101">
        <v>629.49975337060198</v>
      </c>
      <c r="N42" s="101">
        <v>632.26045258230477</v>
      </c>
      <c r="O42" s="101">
        <v>648.94582883167061</v>
      </c>
      <c r="P42" s="101">
        <v>653.28806840875188</v>
      </c>
      <c r="Q42" s="101">
        <v>651.18230757593858</v>
      </c>
      <c r="R42" s="101">
        <v>662.35778856097181</v>
      </c>
      <c r="S42" s="101">
        <v>687.45990145922701</v>
      </c>
      <c r="T42" s="101">
        <v>702.0605615906851</v>
      </c>
      <c r="U42" s="101">
        <v>719.17236616519597</v>
      </c>
      <c r="V42" s="101">
        <v>616.85050679766994</v>
      </c>
      <c r="W42" s="101">
        <v>648.59865799656916</v>
      </c>
      <c r="X42" s="101">
        <v>663.26537242947347</v>
      </c>
      <c r="Y42" s="101">
        <v>664.00002827056267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2.2383803343083895E-2</v>
      </c>
      <c r="Q43" s="101">
        <v>2.2617180985395741E-2</v>
      </c>
      <c r="R43" s="101">
        <v>4.4834111505719157E-2</v>
      </c>
      <c r="S43" s="101">
        <v>4.5321224587141405E-2</v>
      </c>
      <c r="T43" s="101">
        <v>4.4262450723444681E-2</v>
      </c>
      <c r="U43" s="101">
        <v>4.2894155195655086E-2</v>
      </c>
      <c r="V43" s="101">
        <v>4.1394950760577469E-2</v>
      </c>
      <c r="W43" s="101">
        <v>4.0800502328915397E-2</v>
      </c>
      <c r="X43" s="101">
        <v>4.1723426317808947E-2</v>
      </c>
      <c r="Y43" s="101">
        <v>4.1469385606586015E-2</v>
      </c>
      <c r="DA43" s="175" t="s">
        <v>487</v>
      </c>
    </row>
    <row r="44" spans="1:105" ht="11.45" customHeight="1" x14ac:dyDescent="0.25">
      <c r="A44" s="111" t="s">
        <v>113</v>
      </c>
      <c r="B44" s="101">
        <v>3.6636892184045267</v>
      </c>
      <c r="C44" s="101">
        <v>3.9723304068745731</v>
      </c>
      <c r="D44" s="101">
        <v>4.2023734094026208</v>
      </c>
      <c r="E44" s="101">
        <v>4.4488860648149098</v>
      </c>
      <c r="F44" s="101">
        <v>4.4580225357525469</v>
      </c>
      <c r="G44" s="101">
        <v>5.1833397929025233</v>
      </c>
      <c r="H44" s="101">
        <v>5.1533445682596506</v>
      </c>
      <c r="I44" s="101">
        <v>4.3425913822350912</v>
      </c>
      <c r="J44" s="101">
        <v>3.2764799149508557</v>
      </c>
      <c r="K44" s="101">
        <v>3.1785765820003213</v>
      </c>
      <c r="L44" s="101">
        <v>2.1067327961990112</v>
      </c>
      <c r="M44" s="101">
        <v>1.6379219574924166</v>
      </c>
      <c r="N44" s="101">
        <v>2.4481162605585727</v>
      </c>
      <c r="O44" s="101">
        <v>2.9262646245961377</v>
      </c>
      <c r="P44" s="101">
        <v>6.6999384925512828</v>
      </c>
      <c r="Q44" s="101">
        <v>10.782651061592881</v>
      </c>
      <c r="R44" s="101">
        <v>20.744761889931592</v>
      </c>
      <c r="S44" s="101">
        <v>25.119522247955189</v>
      </c>
      <c r="T44" s="101">
        <v>24.569777835711186</v>
      </c>
      <c r="U44" s="101">
        <v>11.873033982391441</v>
      </c>
      <c r="V44" s="101">
        <v>10.518190775268105</v>
      </c>
      <c r="W44" s="101">
        <v>9.3711744509996002</v>
      </c>
      <c r="X44" s="101">
        <v>14.574821193833037</v>
      </c>
      <c r="Y44" s="101">
        <v>15.917102751853678</v>
      </c>
      <c r="DA44" s="175" t="s">
        <v>488</v>
      </c>
    </row>
    <row r="45" spans="1:105" ht="11.45" customHeight="1" x14ac:dyDescent="0.25">
      <c r="A45" s="111" t="s">
        <v>115</v>
      </c>
      <c r="B45" s="101">
        <v>11.097924363773984</v>
      </c>
      <c r="C45" s="101">
        <v>10.833380749858003</v>
      </c>
      <c r="D45" s="101">
        <v>10.838503424636414</v>
      </c>
      <c r="E45" s="101">
        <v>10.888807601862272</v>
      </c>
      <c r="F45" s="101">
        <v>10.669797383056551</v>
      </c>
      <c r="G45" s="101">
        <v>5.9907280833075571</v>
      </c>
      <c r="H45" s="101">
        <v>5.0462180536354966</v>
      </c>
      <c r="I45" s="101">
        <v>4.1923879511966593</v>
      </c>
      <c r="J45" s="101">
        <v>3.3819210042651329</v>
      </c>
      <c r="K45" s="101">
        <v>2.7057101217685919</v>
      </c>
      <c r="L45" s="101">
        <v>2.0753620470290666</v>
      </c>
      <c r="M45" s="101">
        <v>1.5797971959875992</v>
      </c>
      <c r="N45" s="101">
        <v>1.1741333963463485</v>
      </c>
      <c r="O45" s="101">
        <v>0.90366797802984078</v>
      </c>
      <c r="P45" s="101">
        <v>0.67805444293536921</v>
      </c>
      <c r="Q45" s="101">
        <v>1.4019686501459703</v>
      </c>
      <c r="R45" s="101">
        <v>1.4916143310436505</v>
      </c>
      <c r="S45" s="101">
        <v>1.4442796776649696</v>
      </c>
      <c r="T45" s="101">
        <v>1.4891697379161095</v>
      </c>
      <c r="U45" s="101">
        <v>1.4883758376015233</v>
      </c>
      <c r="V45" s="101">
        <v>2.4089249561771484</v>
      </c>
      <c r="W45" s="101">
        <v>4.5081607846870293</v>
      </c>
      <c r="X45" s="101">
        <v>6.3044264451473859</v>
      </c>
      <c r="Y45" s="101">
        <v>8.8202747780709014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5166.2335329185998</v>
      </c>
      <c r="C46" s="29">
        <f t="shared" ref="C46:V46" si="110">C47+C53</f>
        <v>5361.5220324397469</v>
      </c>
      <c r="D46" s="29">
        <f t="shared" si="110"/>
        <v>5561.6841436241548</v>
      </c>
      <c r="E46" s="29">
        <f t="shared" si="110"/>
        <v>5692.4848480019955</v>
      </c>
      <c r="F46" s="29">
        <f t="shared" si="110"/>
        <v>5925.1986530904123</v>
      </c>
      <c r="G46" s="29">
        <f t="shared" si="110"/>
        <v>6503.6103033329855</v>
      </c>
      <c r="H46" s="29">
        <f t="shared" si="110"/>
        <v>6684.6376752793385</v>
      </c>
      <c r="I46" s="29">
        <f t="shared" si="110"/>
        <v>7045.7063129317776</v>
      </c>
      <c r="J46" s="29">
        <f t="shared" si="110"/>
        <v>7438.1907231735659</v>
      </c>
      <c r="K46" s="29">
        <f t="shared" si="110"/>
        <v>7955.0287612155753</v>
      </c>
      <c r="L46" s="29">
        <f t="shared" si="110"/>
        <v>6794.9444909797548</v>
      </c>
      <c r="M46" s="29">
        <f t="shared" si="110"/>
        <v>6982.0506887663378</v>
      </c>
      <c r="N46" s="29">
        <f t="shared" si="110"/>
        <v>6967.2355851321736</v>
      </c>
      <c r="O46" s="29">
        <f t="shared" si="110"/>
        <v>7255.9353175813958</v>
      </c>
      <c r="P46" s="29">
        <f t="shared" si="110"/>
        <v>7429.4548573119855</v>
      </c>
      <c r="Q46" s="29">
        <f t="shared" si="110"/>
        <v>7719.6684852926974</v>
      </c>
      <c r="R46" s="29">
        <f t="shared" si="110"/>
        <v>8212.03632806522</v>
      </c>
      <c r="S46" s="29">
        <f t="shared" si="110"/>
        <v>8654.6162704773851</v>
      </c>
      <c r="T46" s="29">
        <f t="shared" si="110"/>
        <v>9208.1024557934816</v>
      </c>
      <c r="U46" s="29">
        <f t="shared" si="110"/>
        <v>9750.6835468746995</v>
      </c>
      <c r="V46" s="29">
        <f t="shared" si="110"/>
        <v>10001.41324127456</v>
      </c>
      <c r="W46" s="29">
        <f t="shared" ref="W46:Y46" si="111">W47+W53</f>
        <v>10637.524710413814</v>
      </c>
      <c r="X46" s="29">
        <f t="shared" si="111"/>
        <v>10852.560709872836</v>
      </c>
      <c r="Y46" s="29">
        <f t="shared" si="111"/>
        <v>11117.820413929732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3452.5354522339294</v>
      </c>
      <c r="C47" s="152">
        <f t="shared" ref="C47:V47" si="113">SUM(C48:C52)</f>
        <v>3609.5821131653593</v>
      </c>
      <c r="D47" s="152">
        <f t="shared" si="113"/>
        <v>3826.2058956266696</v>
      </c>
      <c r="E47" s="152">
        <f t="shared" si="113"/>
        <v>3952.3555364411131</v>
      </c>
      <c r="F47" s="152">
        <f t="shared" si="113"/>
        <v>4008.9777059641037</v>
      </c>
      <c r="G47" s="152">
        <f t="shared" si="113"/>
        <v>4158.0900877401773</v>
      </c>
      <c r="H47" s="152">
        <f t="shared" si="113"/>
        <v>4154.9909688657572</v>
      </c>
      <c r="I47" s="152">
        <f t="shared" si="113"/>
        <v>4344.735983604588</v>
      </c>
      <c r="J47" s="152">
        <f t="shared" si="113"/>
        <v>4742.4157499590365</v>
      </c>
      <c r="K47" s="152">
        <f t="shared" si="113"/>
        <v>5450.2421641075534</v>
      </c>
      <c r="L47" s="152">
        <f t="shared" si="113"/>
        <v>4652.4317844543812</v>
      </c>
      <c r="M47" s="152">
        <f t="shared" si="113"/>
        <v>4886.3271810991528</v>
      </c>
      <c r="N47" s="152">
        <f t="shared" si="113"/>
        <v>5047.2992994921897</v>
      </c>
      <c r="O47" s="152">
        <f t="shared" si="113"/>
        <v>5311.0420392602946</v>
      </c>
      <c r="P47" s="152">
        <f t="shared" si="113"/>
        <v>5445.3086892149486</v>
      </c>
      <c r="Q47" s="152">
        <f t="shared" si="113"/>
        <v>5636.4268992883544</v>
      </c>
      <c r="R47" s="152">
        <f t="shared" si="113"/>
        <v>5988.2665123160286</v>
      </c>
      <c r="S47" s="152">
        <f t="shared" si="113"/>
        <v>6367.460223088181</v>
      </c>
      <c r="T47" s="152">
        <f t="shared" si="113"/>
        <v>6789.2534586758393</v>
      </c>
      <c r="U47" s="152">
        <f t="shared" si="113"/>
        <v>7254.7656355557265</v>
      </c>
      <c r="V47" s="152">
        <f t="shared" si="113"/>
        <v>7582.8375829315864</v>
      </c>
      <c r="W47" s="152">
        <f t="shared" ref="W47:Y47" si="114">SUM(W48:W52)</f>
        <v>7931.4045955223628</v>
      </c>
      <c r="X47" s="152">
        <f t="shared" si="114"/>
        <v>8162.6726583829131</v>
      </c>
      <c r="Y47" s="152">
        <f t="shared" si="114"/>
        <v>8433.7592177350598</v>
      </c>
      <c r="DA47" s="174" t="s">
        <v>491</v>
      </c>
    </row>
    <row r="48" spans="1:105" ht="11.45" customHeight="1" x14ac:dyDescent="0.25">
      <c r="A48" s="111" t="s">
        <v>110</v>
      </c>
      <c r="B48" s="87">
        <v>1074.3146196837934</v>
      </c>
      <c r="C48" s="87">
        <v>992.07867540169093</v>
      </c>
      <c r="D48" s="87">
        <v>888.46652638770183</v>
      </c>
      <c r="E48" s="87">
        <v>796.17365610357558</v>
      </c>
      <c r="F48" s="87">
        <v>717.12145204173066</v>
      </c>
      <c r="G48" s="87">
        <v>646.44056165479026</v>
      </c>
      <c r="H48" s="87">
        <v>581.66282422898053</v>
      </c>
      <c r="I48" s="87">
        <v>516.94405026540085</v>
      </c>
      <c r="J48" s="87">
        <v>421.51321660900544</v>
      </c>
      <c r="K48" s="87">
        <v>379.61365817705268</v>
      </c>
      <c r="L48" s="87">
        <v>341.1407968148003</v>
      </c>
      <c r="M48" s="87">
        <v>301.21769125005261</v>
      </c>
      <c r="N48" s="87">
        <v>286.03288400203826</v>
      </c>
      <c r="O48" s="87">
        <v>271.68009935256106</v>
      </c>
      <c r="P48" s="87">
        <v>249.03922589593489</v>
      </c>
      <c r="Q48" s="87">
        <v>223.99174325948147</v>
      </c>
      <c r="R48" s="87">
        <v>211.88866327787639</v>
      </c>
      <c r="S48" s="87">
        <v>207.28203371991862</v>
      </c>
      <c r="T48" s="87">
        <v>205.97562451141278</v>
      </c>
      <c r="U48" s="87">
        <v>206.08514991360852</v>
      </c>
      <c r="V48" s="87">
        <v>196.19410811080616</v>
      </c>
      <c r="W48" s="87">
        <v>190.45291860109222</v>
      </c>
      <c r="X48" s="87">
        <v>186.08411272952691</v>
      </c>
      <c r="Y48" s="87">
        <v>187.46460547993058</v>
      </c>
      <c r="DA48" s="171" t="s">
        <v>492</v>
      </c>
    </row>
    <row r="49" spans="1:105" ht="11.45" customHeight="1" x14ac:dyDescent="0.25">
      <c r="A49" s="111" t="s">
        <v>111</v>
      </c>
      <c r="B49" s="87">
        <v>2378.152633518117</v>
      </c>
      <c r="C49" s="87">
        <v>2615.7069654374709</v>
      </c>
      <c r="D49" s="87">
        <v>2936.0344719635095</v>
      </c>
      <c r="E49" s="87">
        <v>3154.4941859678997</v>
      </c>
      <c r="F49" s="87">
        <v>3290.2023324134175</v>
      </c>
      <c r="G49" s="87">
        <v>3510.0480224368948</v>
      </c>
      <c r="H49" s="87">
        <v>3571.7619733613597</v>
      </c>
      <c r="I49" s="87">
        <v>3826.287234232695</v>
      </c>
      <c r="J49" s="87">
        <v>4319.4703142226235</v>
      </c>
      <c r="K49" s="87">
        <v>5069.286493591233</v>
      </c>
      <c r="L49" s="87">
        <v>4310.0507560120859</v>
      </c>
      <c r="M49" s="87">
        <v>4583.9808093937027</v>
      </c>
      <c r="N49" s="87">
        <v>4760.2047011178311</v>
      </c>
      <c r="O49" s="87">
        <v>5037.5762483492226</v>
      </c>
      <c r="P49" s="87">
        <v>5194.3528028478477</v>
      </c>
      <c r="Q49" s="87">
        <v>5407.2855106883708</v>
      </c>
      <c r="R49" s="87">
        <v>5770.7780900527532</v>
      </c>
      <c r="S49" s="87">
        <v>6153.2169399092581</v>
      </c>
      <c r="T49" s="87">
        <v>6574.2738892911393</v>
      </c>
      <c r="U49" s="87">
        <v>7038.7127059699469</v>
      </c>
      <c r="V49" s="87">
        <v>7375.0976319812517</v>
      </c>
      <c r="W49" s="87">
        <v>7726.6745152228095</v>
      </c>
      <c r="X49" s="87">
        <v>7956.4745628822375</v>
      </c>
      <c r="Y49" s="87">
        <v>8215.0327816850277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1.7282999108791119</v>
      </c>
      <c r="D50" s="87">
        <v>1.6367493188378712</v>
      </c>
      <c r="E50" s="87">
        <v>1.6195734598341096</v>
      </c>
      <c r="F50" s="87">
        <v>1.5858302552920351</v>
      </c>
      <c r="G50" s="87">
        <v>1.5431620629927152</v>
      </c>
      <c r="H50" s="87">
        <v>1.5078534324706028</v>
      </c>
      <c r="I50" s="87">
        <v>1.4464025256315429</v>
      </c>
      <c r="J50" s="87">
        <v>1.3836548721206288</v>
      </c>
      <c r="K50" s="87">
        <v>1.2934717704086713</v>
      </c>
      <c r="L50" s="87">
        <v>1.2014184188507688</v>
      </c>
      <c r="M50" s="87">
        <v>1.0898869254190995</v>
      </c>
      <c r="N50" s="87">
        <v>0.99385968744306363</v>
      </c>
      <c r="O50" s="87">
        <v>0.87801313533233505</v>
      </c>
      <c r="P50" s="87">
        <v>0.7598681979356311</v>
      </c>
      <c r="Q50" s="87">
        <v>0.68503659417402896</v>
      </c>
      <c r="R50" s="87">
        <v>0.57002411615650661</v>
      </c>
      <c r="S50" s="87">
        <v>0.4571143545196415</v>
      </c>
      <c r="T50" s="87">
        <v>0.37291451970119149</v>
      </c>
      <c r="U50" s="87">
        <v>0.28146059424031278</v>
      </c>
      <c r="V50" s="87">
        <v>0.24395603969783941</v>
      </c>
      <c r="W50" s="87">
        <v>0.19850359642368962</v>
      </c>
      <c r="X50" s="87">
        <v>0.60697372421741291</v>
      </c>
      <c r="Y50" s="87">
        <v>1.7444340756800347</v>
      </c>
      <c r="DA50" s="171" t="s">
        <v>494</v>
      </c>
    </row>
    <row r="51" spans="1:105" ht="11.45" customHeight="1" x14ac:dyDescent="0.25">
      <c r="A51" s="111" t="s">
        <v>113</v>
      </c>
      <c r="B51" s="87">
        <v>6.8199032019019473E-2</v>
      </c>
      <c r="C51" s="87">
        <v>6.8172415318095411E-2</v>
      </c>
      <c r="D51" s="87">
        <v>6.8147956620648195E-2</v>
      </c>
      <c r="E51" s="87">
        <v>6.8120909803983734E-2</v>
      </c>
      <c r="F51" s="87">
        <v>6.8091253663787155E-2</v>
      </c>
      <c r="G51" s="87">
        <v>5.8341585500083851E-2</v>
      </c>
      <c r="H51" s="87">
        <v>5.8317842946739931E-2</v>
      </c>
      <c r="I51" s="87">
        <v>5.8296580860540577E-2</v>
      </c>
      <c r="J51" s="87">
        <v>4.8564255286266997E-2</v>
      </c>
      <c r="K51" s="87">
        <v>4.8540568859211555E-2</v>
      </c>
      <c r="L51" s="87">
        <v>3.8813208643372163E-2</v>
      </c>
      <c r="M51" s="87">
        <v>3.879352997830459E-2</v>
      </c>
      <c r="N51" s="87">
        <v>6.7854684877405216E-2</v>
      </c>
      <c r="O51" s="87">
        <v>0.75575230433778073</v>
      </c>
      <c r="P51" s="87">
        <v>0.99756531835098894</v>
      </c>
      <c r="Q51" s="87">
        <v>4.1532696618515779</v>
      </c>
      <c r="R51" s="87">
        <v>4.3495482805937842</v>
      </c>
      <c r="S51" s="87">
        <v>5.1373658307475472</v>
      </c>
      <c r="T51" s="87">
        <v>5.848601890862053</v>
      </c>
      <c r="U51" s="87">
        <v>6.017261175008775</v>
      </c>
      <c r="V51" s="87">
        <v>6.1178447064544867</v>
      </c>
      <c r="W51" s="87">
        <v>6.1213928868976648</v>
      </c>
      <c r="X51" s="87">
        <v>6.1247174544365723</v>
      </c>
      <c r="Y51" s="87">
        <v>10.067611851369424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0.15192611884075785</v>
      </c>
      <c r="P52" s="87">
        <v>0.15922695487986882</v>
      </c>
      <c r="Q52" s="87">
        <v>0.31133908447771919</v>
      </c>
      <c r="R52" s="87">
        <v>0.68018658864838843</v>
      </c>
      <c r="S52" s="87">
        <v>1.3667692737373931</v>
      </c>
      <c r="T52" s="87">
        <v>2.782428462723165</v>
      </c>
      <c r="U52" s="87">
        <v>3.6690579029221455</v>
      </c>
      <c r="V52" s="87">
        <v>5.1840420933756475</v>
      </c>
      <c r="W52" s="87">
        <v>7.9572652151403105</v>
      </c>
      <c r="X52" s="87">
        <v>13.382291592494283</v>
      </c>
      <c r="Y52" s="87">
        <v>19.449784643052801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1713.6980806846702</v>
      </c>
      <c r="C53" s="116">
        <f t="shared" ref="C53:V53" si="116">SUM(C54:C55)</f>
        <v>1751.9399192743872</v>
      </c>
      <c r="D53" s="116">
        <f t="shared" si="116"/>
        <v>1735.4782479974849</v>
      </c>
      <c r="E53" s="116">
        <f t="shared" si="116"/>
        <v>1740.1293115608828</v>
      </c>
      <c r="F53" s="116">
        <f t="shared" si="116"/>
        <v>1916.2209471263086</v>
      </c>
      <c r="G53" s="116">
        <f t="shared" si="116"/>
        <v>2345.5202155928082</v>
      </c>
      <c r="H53" s="116">
        <f t="shared" si="116"/>
        <v>2529.6467064135818</v>
      </c>
      <c r="I53" s="116">
        <f t="shared" si="116"/>
        <v>2700.9703293271896</v>
      </c>
      <c r="J53" s="116">
        <f t="shared" si="116"/>
        <v>2695.7749732145298</v>
      </c>
      <c r="K53" s="116">
        <f t="shared" si="116"/>
        <v>2504.7865971080223</v>
      </c>
      <c r="L53" s="116">
        <f t="shared" si="116"/>
        <v>2142.5127065253732</v>
      </c>
      <c r="M53" s="116">
        <f t="shared" si="116"/>
        <v>2095.7235076671845</v>
      </c>
      <c r="N53" s="116">
        <f t="shared" si="116"/>
        <v>1919.9362856399835</v>
      </c>
      <c r="O53" s="116">
        <f t="shared" si="116"/>
        <v>1944.893278321101</v>
      </c>
      <c r="P53" s="116">
        <f t="shared" si="116"/>
        <v>1984.1461680970372</v>
      </c>
      <c r="Q53" s="116">
        <f t="shared" si="116"/>
        <v>2083.2415860043425</v>
      </c>
      <c r="R53" s="116">
        <f t="shared" si="116"/>
        <v>2223.7698157491923</v>
      </c>
      <c r="S53" s="116">
        <f t="shared" si="116"/>
        <v>2287.1560473892032</v>
      </c>
      <c r="T53" s="116">
        <f t="shared" si="116"/>
        <v>2418.8489971176418</v>
      </c>
      <c r="U53" s="116">
        <f t="shared" si="116"/>
        <v>2495.9179113189734</v>
      </c>
      <c r="V53" s="116">
        <f t="shared" si="116"/>
        <v>2418.5756583429734</v>
      </c>
      <c r="W53" s="116">
        <f t="shared" ref="W53:Y53" si="117">SUM(W54:W55)</f>
        <v>2706.1201148914506</v>
      </c>
      <c r="X53" s="116">
        <f t="shared" si="117"/>
        <v>2689.8880514899229</v>
      </c>
      <c r="Y53" s="116">
        <f t="shared" si="117"/>
        <v>2684.061196194672</v>
      </c>
      <c r="DA53" s="176" t="s">
        <v>497</v>
      </c>
    </row>
    <row r="54" spans="1:105" ht="11.45" customHeight="1" x14ac:dyDescent="0.25">
      <c r="A54" s="128" t="s">
        <v>27</v>
      </c>
      <c r="B54" s="101">
        <v>1166.2378538234052</v>
      </c>
      <c r="C54" s="101">
        <v>1165</v>
      </c>
      <c r="D54" s="101">
        <v>1118</v>
      </c>
      <c r="E54" s="101">
        <v>1109</v>
      </c>
      <c r="F54" s="101">
        <v>1170</v>
      </c>
      <c r="G54" s="101">
        <v>1573</v>
      </c>
      <c r="H54" s="101">
        <v>1690</v>
      </c>
      <c r="I54" s="101">
        <v>1782</v>
      </c>
      <c r="J54" s="101">
        <v>1678</v>
      </c>
      <c r="K54" s="101">
        <v>1764</v>
      </c>
      <c r="L54" s="101">
        <v>1439</v>
      </c>
      <c r="M54" s="101">
        <v>1350</v>
      </c>
      <c r="N54" s="101">
        <v>1169</v>
      </c>
      <c r="O54" s="101">
        <v>1179</v>
      </c>
      <c r="P54" s="101">
        <v>1198</v>
      </c>
      <c r="Q54" s="101">
        <v>1244</v>
      </c>
      <c r="R54" s="101">
        <v>1319</v>
      </c>
      <c r="S54" s="101">
        <v>1297</v>
      </c>
      <c r="T54" s="101">
        <v>1428</v>
      </c>
      <c r="U54" s="101">
        <v>1478</v>
      </c>
      <c r="V54" s="101">
        <v>1455</v>
      </c>
      <c r="W54" s="101">
        <v>1641</v>
      </c>
      <c r="X54" s="101">
        <v>1558</v>
      </c>
      <c r="Y54" s="101">
        <v>1554</v>
      </c>
      <c r="DA54" s="175" t="s">
        <v>498</v>
      </c>
    </row>
    <row r="55" spans="1:105" ht="11.45" customHeight="1" x14ac:dyDescent="0.25">
      <c r="A55" s="138" t="s">
        <v>116</v>
      </c>
      <c r="B55" s="88">
        <v>547.46022686126503</v>
      </c>
      <c r="C55" s="88">
        <v>586.93991927438719</v>
      </c>
      <c r="D55" s="88">
        <v>617.47824799748491</v>
      </c>
      <c r="E55" s="88">
        <v>631.12931156088291</v>
      </c>
      <c r="F55" s="88">
        <v>746.2209471263086</v>
      </c>
      <c r="G55" s="88">
        <v>772.52021559280831</v>
      </c>
      <c r="H55" s="88">
        <v>839.6467064135818</v>
      </c>
      <c r="I55" s="88">
        <v>918.97032932718946</v>
      </c>
      <c r="J55" s="88">
        <v>1017.7749732145298</v>
      </c>
      <c r="K55" s="88">
        <v>740.78659710802231</v>
      </c>
      <c r="L55" s="88">
        <v>703.51270652537335</v>
      </c>
      <c r="M55" s="88">
        <v>745.72350766718466</v>
      </c>
      <c r="N55" s="88">
        <v>750.93628563998334</v>
      </c>
      <c r="O55" s="88">
        <v>765.89327832110098</v>
      </c>
      <c r="P55" s="88">
        <v>786.14616809703716</v>
      </c>
      <c r="Q55" s="88">
        <v>839.24158600434259</v>
      </c>
      <c r="R55" s="88">
        <v>904.76981574919228</v>
      </c>
      <c r="S55" s="88">
        <v>990.1560473892032</v>
      </c>
      <c r="T55" s="88">
        <v>990.84899711764183</v>
      </c>
      <c r="U55" s="88">
        <v>1017.9179113189736</v>
      </c>
      <c r="V55" s="88">
        <v>963.57565834297327</v>
      </c>
      <c r="W55" s="88">
        <v>1065.1201148914508</v>
      </c>
      <c r="X55" s="88">
        <v>1131.8880514899229</v>
      </c>
      <c r="Y55" s="88">
        <v>1130.061196194672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2822267</v>
      </c>
      <c r="C57" s="54">
        <f t="shared" si="118"/>
        <v>2958915</v>
      </c>
      <c r="D57" s="54">
        <f t="shared" si="118"/>
        <v>3127811</v>
      </c>
      <c r="E57" s="54">
        <f t="shared" si="118"/>
        <v>3293686</v>
      </c>
      <c r="F57" s="54">
        <f t="shared" si="118"/>
        <v>3358522</v>
      </c>
      <c r="G57" s="54">
        <f t="shared" si="118"/>
        <v>3465013</v>
      </c>
      <c r="H57" s="54">
        <f t="shared" si="118"/>
        <v>3789084</v>
      </c>
      <c r="I57" s="54">
        <f t="shared" si="118"/>
        <v>3854910</v>
      </c>
      <c r="J57" s="54">
        <f t="shared" si="118"/>
        <v>3664711</v>
      </c>
      <c r="K57" s="54">
        <f t="shared" si="118"/>
        <v>3615569</v>
      </c>
      <c r="L57" s="54">
        <f t="shared" ref="L57" si="119">L58+L73</f>
        <v>3585118</v>
      </c>
      <c r="M57" s="54">
        <f t="shared" ref="M57:V57" si="120">M58+M73</f>
        <v>3574046</v>
      </c>
      <c r="N57" s="54">
        <f t="shared" si="120"/>
        <v>3597092</v>
      </c>
      <c r="O57" s="54">
        <f t="shared" si="120"/>
        <v>3674835</v>
      </c>
      <c r="P57" s="54">
        <f t="shared" si="120"/>
        <v>3763430</v>
      </c>
      <c r="Q57" s="54">
        <f t="shared" si="120"/>
        <v>3860482</v>
      </c>
      <c r="R57" s="54">
        <f t="shared" si="120"/>
        <v>3996864</v>
      </c>
      <c r="S57" s="54">
        <f t="shared" si="120"/>
        <v>4187819</v>
      </c>
      <c r="T57" s="54">
        <f t="shared" si="120"/>
        <v>4397171</v>
      </c>
      <c r="U57" s="54">
        <f t="shared" si="120"/>
        <v>4606784</v>
      </c>
      <c r="V57" s="54">
        <f t="shared" si="120"/>
        <v>4741940</v>
      </c>
      <c r="W57" s="54">
        <f t="shared" ref="W57:Y57" si="121">W58+W73</f>
        <v>4870983</v>
      </c>
      <c r="X57" s="54">
        <f t="shared" si="121"/>
        <v>4967210</v>
      </c>
      <c r="Y57" s="54">
        <f t="shared" si="121"/>
        <v>5071722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2472339</v>
      </c>
      <c r="C58" s="28">
        <f t="shared" si="122"/>
        <v>2594268</v>
      </c>
      <c r="D58" s="28">
        <f t="shared" si="122"/>
        <v>2745656</v>
      </c>
      <c r="E58" s="28">
        <f t="shared" si="122"/>
        <v>2900114</v>
      </c>
      <c r="F58" s="28">
        <f t="shared" si="122"/>
        <v>2961205</v>
      </c>
      <c r="G58" s="28">
        <f t="shared" si="122"/>
        <v>3053804</v>
      </c>
      <c r="H58" s="28">
        <f t="shared" si="122"/>
        <v>3363961</v>
      </c>
      <c r="I58" s="28">
        <f t="shared" si="122"/>
        <v>3417863</v>
      </c>
      <c r="J58" s="28">
        <f t="shared" si="122"/>
        <v>3215870</v>
      </c>
      <c r="K58" s="28">
        <f t="shared" si="122"/>
        <v>3173649</v>
      </c>
      <c r="L58" s="28">
        <f t="shared" ref="L58" si="123">L59+L60+L67</f>
        <v>3144073</v>
      </c>
      <c r="M58" s="28">
        <f t="shared" ref="M58:V58" si="124">M59+M60+M67</f>
        <v>3132604</v>
      </c>
      <c r="N58" s="28">
        <f t="shared" si="124"/>
        <v>3154738</v>
      </c>
      <c r="O58" s="28">
        <f t="shared" si="124"/>
        <v>3225469</v>
      </c>
      <c r="P58" s="28">
        <f t="shared" si="124"/>
        <v>3299146</v>
      </c>
      <c r="Q58" s="28">
        <f t="shared" si="124"/>
        <v>3377819</v>
      </c>
      <c r="R58" s="28">
        <f t="shared" si="124"/>
        <v>3493836</v>
      </c>
      <c r="S58" s="28">
        <f t="shared" si="124"/>
        <v>3658102</v>
      </c>
      <c r="T58" s="28">
        <f t="shared" si="124"/>
        <v>3837027</v>
      </c>
      <c r="U58" s="28">
        <f t="shared" si="124"/>
        <v>4017410</v>
      </c>
      <c r="V58" s="28">
        <f t="shared" si="124"/>
        <v>4132372</v>
      </c>
      <c r="W58" s="28">
        <f t="shared" ref="W58:Y58" si="125">W59+W60+W67</f>
        <v>4240439</v>
      </c>
      <c r="X58" s="28">
        <f t="shared" si="125"/>
        <v>4322472</v>
      </c>
      <c r="Y58" s="28">
        <f t="shared" si="125"/>
        <v>4407512</v>
      </c>
      <c r="DA58" s="173" t="s">
        <v>501</v>
      </c>
    </row>
    <row r="59" spans="1:105" ht="11.45" customHeight="1" x14ac:dyDescent="0.25">
      <c r="A59" s="136" t="s">
        <v>173</v>
      </c>
      <c r="B59" s="137">
        <v>91193</v>
      </c>
      <c r="C59" s="137">
        <v>93088</v>
      </c>
      <c r="D59" s="137">
        <v>97593</v>
      </c>
      <c r="E59" s="137">
        <v>103493</v>
      </c>
      <c r="F59" s="137">
        <v>114038</v>
      </c>
      <c r="G59" s="137">
        <v>122705</v>
      </c>
      <c r="H59" s="137">
        <v>130187.99999999999</v>
      </c>
      <c r="I59" s="137">
        <v>135865</v>
      </c>
      <c r="J59" s="137">
        <v>141540</v>
      </c>
      <c r="K59" s="137">
        <v>141956</v>
      </c>
      <c r="L59" s="137">
        <v>142251</v>
      </c>
      <c r="M59" s="137">
        <v>147382</v>
      </c>
      <c r="N59" s="137">
        <v>151405</v>
      </c>
      <c r="O59" s="137">
        <v>157178</v>
      </c>
      <c r="P59" s="137">
        <v>161540</v>
      </c>
      <c r="Q59" s="137">
        <v>162828</v>
      </c>
      <c r="R59" s="137">
        <v>162148</v>
      </c>
      <c r="S59" s="137">
        <v>167400</v>
      </c>
      <c r="T59" s="137">
        <v>176070</v>
      </c>
      <c r="U59" s="137">
        <v>185943</v>
      </c>
      <c r="V59" s="137">
        <v>194594</v>
      </c>
      <c r="W59" s="137">
        <v>202521</v>
      </c>
      <c r="X59" s="137">
        <v>210746</v>
      </c>
      <c r="Y59" s="137">
        <v>221391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2363000</v>
      </c>
      <c r="C60" s="110">
        <f t="shared" si="126"/>
        <v>2482800</v>
      </c>
      <c r="D60" s="110">
        <f t="shared" si="126"/>
        <v>2629500</v>
      </c>
      <c r="E60" s="110">
        <f t="shared" si="126"/>
        <v>2778000</v>
      </c>
      <c r="F60" s="110">
        <f t="shared" si="126"/>
        <v>2829000</v>
      </c>
      <c r="G60" s="110">
        <f t="shared" si="126"/>
        <v>2913000</v>
      </c>
      <c r="H60" s="110">
        <f t="shared" si="126"/>
        <v>3214000</v>
      </c>
      <c r="I60" s="110">
        <f t="shared" si="126"/>
        <v>3262000</v>
      </c>
      <c r="J60" s="110">
        <f t="shared" si="126"/>
        <v>3056000</v>
      </c>
      <c r="K60" s="110">
        <f t="shared" si="126"/>
        <v>3013730</v>
      </c>
      <c r="L60" s="110">
        <f t="shared" ref="L60" si="127">SUM(L61:L66)</f>
        <v>2984060</v>
      </c>
      <c r="M60" s="110">
        <f t="shared" ref="M60:V60" si="128">SUM(M61:M66)</f>
        <v>2967810</v>
      </c>
      <c r="N60" s="110">
        <f t="shared" si="128"/>
        <v>2986030</v>
      </c>
      <c r="O60" s="110">
        <f t="shared" si="128"/>
        <v>3050722</v>
      </c>
      <c r="P60" s="110">
        <f t="shared" si="128"/>
        <v>3119683</v>
      </c>
      <c r="Q60" s="110">
        <f t="shared" si="128"/>
        <v>3196856</v>
      </c>
      <c r="R60" s="110">
        <f t="shared" si="128"/>
        <v>3313206</v>
      </c>
      <c r="S60" s="110">
        <f t="shared" si="128"/>
        <v>3471997</v>
      </c>
      <c r="T60" s="110">
        <f t="shared" si="128"/>
        <v>3641823</v>
      </c>
      <c r="U60" s="110">
        <f t="shared" si="128"/>
        <v>3812013</v>
      </c>
      <c r="V60" s="110">
        <f t="shared" si="128"/>
        <v>3920799</v>
      </c>
      <c r="W60" s="110">
        <f t="shared" ref="W60:Y60" si="129">SUM(W61:W66)</f>
        <v>4020159</v>
      </c>
      <c r="X60" s="110">
        <f t="shared" si="129"/>
        <v>4094129</v>
      </c>
      <c r="Y60" s="110">
        <f t="shared" si="129"/>
        <v>4168651</v>
      </c>
      <c r="DA60" s="176" t="s">
        <v>503</v>
      </c>
    </row>
    <row r="61" spans="1:105" ht="11.45" customHeight="1" x14ac:dyDescent="0.25">
      <c r="A61" s="111" t="s">
        <v>110</v>
      </c>
      <c r="B61" s="84">
        <v>2131608</v>
      </c>
      <c r="C61" s="84">
        <v>2222827</v>
      </c>
      <c r="D61" s="84">
        <v>2331164</v>
      </c>
      <c r="E61" s="84">
        <v>2385421</v>
      </c>
      <c r="F61" s="84">
        <v>2390611</v>
      </c>
      <c r="G61" s="84">
        <v>2503916</v>
      </c>
      <c r="H61" s="84">
        <v>2672623</v>
      </c>
      <c r="I61" s="84">
        <v>2669958</v>
      </c>
      <c r="J61" s="84">
        <v>2428796</v>
      </c>
      <c r="K61" s="84">
        <v>2378835</v>
      </c>
      <c r="L61" s="84">
        <v>2331639</v>
      </c>
      <c r="M61" s="84">
        <v>2285941</v>
      </c>
      <c r="N61" s="84">
        <v>2260220</v>
      </c>
      <c r="O61" s="84">
        <v>2260257</v>
      </c>
      <c r="P61" s="84">
        <v>2255798</v>
      </c>
      <c r="Q61" s="84">
        <v>2254345</v>
      </c>
      <c r="R61" s="84">
        <v>2287785</v>
      </c>
      <c r="S61" s="84">
        <v>2361058</v>
      </c>
      <c r="T61" s="84">
        <v>2453721</v>
      </c>
      <c r="U61" s="84">
        <v>2555178</v>
      </c>
      <c r="V61" s="84">
        <v>2617997</v>
      </c>
      <c r="W61" s="84">
        <v>2677224</v>
      </c>
      <c r="X61" s="84">
        <v>2710003</v>
      </c>
      <c r="Y61" s="84">
        <v>2743152</v>
      </c>
      <c r="DA61" s="171" t="s">
        <v>504</v>
      </c>
    </row>
    <row r="62" spans="1:105" ht="11.45" customHeight="1" x14ac:dyDescent="0.25">
      <c r="A62" s="111" t="s">
        <v>111</v>
      </c>
      <c r="B62" s="84">
        <v>231392</v>
      </c>
      <c r="C62" s="84">
        <v>256573</v>
      </c>
      <c r="D62" s="84">
        <v>294959</v>
      </c>
      <c r="E62" s="84">
        <v>339365</v>
      </c>
      <c r="F62" s="84">
        <v>387907</v>
      </c>
      <c r="G62" s="84">
        <v>358835</v>
      </c>
      <c r="H62" s="84">
        <v>491494</v>
      </c>
      <c r="I62" s="84">
        <v>542674</v>
      </c>
      <c r="J62" s="84">
        <v>583503</v>
      </c>
      <c r="K62" s="84">
        <v>598013</v>
      </c>
      <c r="L62" s="84">
        <v>613328</v>
      </c>
      <c r="M62" s="84">
        <v>635659</v>
      </c>
      <c r="N62" s="84">
        <v>677346</v>
      </c>
      <c r="O62" s="84">
        <v>735833</v>
      </c>
      <c r="P62" s="84">
        <v>805234</v>
      </c>
      <c r="Q62" s="84">
        <v>880860</v>
      </c>
      <c r="R62" s="84">
        <v>963618</v>
      </c>
      <c r="S62" s="84">
        <v>1049631</v>
      </c>
      <c r="T62" s="84">
        <v>1129355</v>
      </c>
      <c r="U62" s="84">
        <v>1201892</v>
      </c>
      <c r="V62" s="84">
        <v>1250140</v>
      </c>
      <c r="W62" s="84">
        <v>1288163</v>
      </c>
      <c r="X62" s="84">
        <v>1314207</v>
      </c>
      <c r="Y62" s="84">
        <v>1340032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3400</v>
      </c>
      <c r="D63" s="84">
        <v>3377</v>
      </c>
      <c r="E63" s="84">
        <v>53214</v>
      </c>
      <c r="F63" s="84">
        <v>50482</v>
      </c>
      <c r="G63" s="84">
        <v>50249</v>
      </c>
      <c r="H63" s="84">
        <v>49883</v>
      </c>
      <c r="I63" s="84">
        <v>49368</v>
      </c>
      <c r="J63" s="84">
        <v>43701</v>
      </c>
      <c r="K63" s="84">
        <v>36882</v>
      </c>
      <c r="L63" s="84">
        <v>38914</v>
      </c>
      <c r="M63" s="84">
        <v>45713</v>
      </c>
      <c r="N63" s="84">
        <v>47962</v>
      </c>
      <c r="O63" s="84">
        <v>53685</v>
      </c>
      <c r="P63" s="84">
        <v>57401</v>
      </c>
      <c r="Q63" s="84">
        <v>59182</v>
      </c>
      <c r="R63" s="84">
        <v>58803</v>
      </c>
      <c r="S63" s="84">
        <v>56653</v>
      </c>
      <c r="T63" s="84">
        <v>51381</v>
      </c>
      <c r="U63" s="84">
        <v>43954</v>
      </c>
      <c r="V63" s="84">
        <v>34723</v>
      </c>
      <c r="W63" s="84">
        <v>24141</v>
      </c>
      <c r="X63" s="84">
        <v>23194</v>
      </c>
      <c r="Y63" s="84">
        <v>22353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4</v>
      </c>
      <c r="N64" s="84">
        <v>3</v>
      </c>
      <c r="O64" s="84">
        <v>440</v>
      </c>
      <c r="P64" s="84">
        <v>696</v>
      </c>
      <c r="Q64" s="84">
        <v>1742</v>
      </c>
      <c r="R64" s="84">
        <v>1899</v>
      </c>
      <c r="S64" s="84">
        <v>2137</v>
      </c>
      <c r="T64" s="84">
        <v>2259</v>
      </c>
      <c r="U64" s="84">
        <v>2272</v>
      </c>
      <c r="V64" s="84">
        <v>2275</v>
      </c>
      <c r="W64" s="84">
        <v>2277</v>
      </c>
      <c r="X64" s="84">
        <v>2279</v>
      </c>
      <c r="Y64" s="84">
        <v>2258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17</v>
      </c>
      <c r="O65" s="84">
        <v>17</v>
      </c>
      <c r="P65" s="84">
        <v>40</v>
      </c>
      <c r="Q65" s="84">
        <v>99</v>
      </c>
      <c r="R65" s="84">
        <v>284</v>
      </c>
      <c r="S65" s="84">
        <v>522</v>
      </c>
      <c r="T65" s="84">
        <v>1268</v>
      </c>
      <c r="U65" s="84">
        <v>2122</v>
      </c>
      <c r="V65" s="84">
        <v>4652</v>
      </c>
      <c r="W65" s="84">
        <v>9531</v>
      </c>
      <c r="X65" s="84">
        <v>14610</v>
      </c>
      <c r="Y65" s="84">
        <v>19644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177</v>
      </c>
      <c r="M66" s="84">
        <v>493</v>
      </c>
      <c r="N66" s="84">
        <v>482</v>
      </c>
      <c r="O66" s="84">
        <v>490</v>
      </c>
      <c r="P66" s="84">
        <v>514</v>
      </c>
      <c r="Q66" s="84">
        <v>628</v>
      </c>
      <c r="R66" s="84">
        <v>817</v>
      </c>
      <c r="S66" s="84">
        <v>1996</v>
      </c>
      <c r="T66" s="84">
        <v>3839</v>
      </c>
      <c r="U66" s="84">
        <v>6595</v>
      </c>
      <c r="V66" s="84">
        <v>11012</v>
      </c>
      <c r="W66" s="84">
        <v>18823</v>
      </c>
      <c r="X66" s="84">
        <v>29836</v>
      </c>
      <c r="Y66" s="84">
        <v>41212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18146</v>
      </c>
      <c r="C67" s="110">
        <f t="shared" si="130"/>
        <v>18380</v>
      </c>
      <c r="D67" s="110">
        <f t="shared" si="130"/>
        <v>18563</v>
      </c>
      <c r="E67" s="110">
        <f t="shared" si="130"/>
        <v>18621</v>
      </c>
      <c r="F67" s="110">
        <f t="shared" si="130"/>
        <v>18167</v>
      </c>
      <c r="G67" s="110">
        <f t="shared" si="130"/>
        <v>18099</v>
      </c>
      <c r="H67" s="110">
        <f t="shared" si="130"/>
        <v>19773</v>
      </c>
      <c r="I67" s="110">
        <f t="shared" si="130"/>
        <v>19998</v>
      </c>
      <c r="J67" s="110">
        <f t="shared" si="130"/>
        <v>18330</v>
      </c>
      <c r="K67" s="110">
        <f t="shared" si="130"/>
        <v>17963</v>
      </c>
      <c r="L67" s="110">
        <f t="shared" ref="L67" si="131">SUM(L68:L72)</f>
        <v>17762</v>
      </c>
      <c r="M67" s="110">
        <f t="shared" ref="M67:V67" si="132">SUM(M68:M72)</f>
        <v>17412</v>
      </c>
      <c r="N67" s="110">
        <f t="shared" si="132"/>
        <v>17303</v>
      </c>
      <c r="O67" s="110">
        <f t="shared" si="132"/>
        <v>17569</v>
      </c>
      <c r="P67" s="110">
        <f t="shared" si="132"/>
        <v>17923</v>
      </c>
      <c r="Q67" s="110">
        <f t="shared" si="132"/>
        <v>18135</v>
      </c>
      <c r="R67" s="110">
        <f t="shared" si="132"/>
        <v>18482</v>
      </c>
      <c r="S67" s="110">
        <f t="shared" si="132"/>
        <v>18705</v>
      </c>
      <c r="T67" s="110">
        <f t="shared" si="132"/>
        <v>19134</v>
      </c>
      <c r="U67" s="110">
        <f t="shared" si="132"/>
        <v>19454</v>
      </c>
      <c r="V67" s="110">
        <f t="shared" si="132"/>
        <v>16979</v>
      </c>
      <c r="W67" s="110">
        <f t="shared" ref="W67:Y67" si="133">SUM(W68:W72)</f>
        <v>17759</v>
      </c>
      <c r="X67" s="110">
        <f t="shared" si="133"/>
        <v>17597</v>
      </c>
      <c r="Y67" s="110">
        <f t="shared" si="133"/>
        <v>17470</v>
      </c>
      <c r="DA67" s="176" t="s">
        <v>510</v>
      </c>
    </row>
    <row r="68" spans="1:105" ht="11.45" customHeight="1" x14ac:dyDescent="0.25">
      <c r="A68" s="111" t="s">
        <v>110</v>
      </c>
      <c r="B68" s="102">
        <v>2355</v>
      </c>
      <c r="C68" s="102">
        <v>2138</v>
      </c>
      <c r="D68" s="102">
        <v>1915</v>
      </c>
      <c r="E68" s="102">
        <v>1692</v>
      </c>
      <c r="F68" s="102">
        <v>1475</v>
      </c>
      <c r="G68" s="102">
        <v>1265</v>
      </c>
      <c r="H68" s="102">
        <v>1066</v>
      </c>
      <c r="I68" s="102">
        <v>882</v>
      </c>
      <c r="J68" s="102">
        <v>722</v>
      </c>
      <c r="K68" s="102">
        <v>575</v>
      </c>
      <c r="L68" s="102">
        <v>452</v>
      </c>
      <c r="M68" s="102">
        <v>352</v>
      </c>
      <c r="N68" s="102">
        <v>287</v>
      </c>
      <c r="O68" s="102">
        <v>280</v>
      </c>
      <c r="P68" s="102">
        <v>242</v>
      </c>
      <c r="Q68" s="102">
        <v>185</v>
      </c>
      <c r="R68" s="102">
        <v>125</v>
      </c>
      <c r="S68" s="102">
        <v>103</v>
      </c>
      <c r="T68" s="102">
        <v>102</v>
      </c>
      <c r="U68" s="102">
        <v>101</v>
      </c>
      <c r="V68" s="102">
        <v>105</v>
      </c>
      <c r="W68" s="102">
        <v>103</v>
      </c>
      <c r="X68" s="102">
        <v>73</v>
      </c>
      <c r="Y68" s="102">
        <v>54</v>
      </c>
      <c r="DA68" s="175" t="s">
        <v>511</v>
      </c>
    </row>
    <row r="69" spans="1:105" ht="11.45" customHeight="1" x14ac:dyDescent="0.25">
      <c r="A69" s="111" t="s">
        <v>111</v>
      </c>
      <c r="B69" s="102">
        <v>15449</v>
      </c>
      <c r="C69" s="102">
        <v>15896</v>
      </c>
      <c r="D69" s="102">
        <v>16302</v>
      </c>
      <c r="E69" s="102">
        <v>16572</v>
      </c>
      <c r="F69" s="102">
        <v>16340</v>
      </c>
      <c r="G69" s="102">
        <v>16581</v>
      </c>
      <c r="H69" s="102">
        <v>18475</v>
      </c>
      <c r="I69" s="102">
        <v>18923</v>
      </c>
      <c r="J69" s="102">
        <v>17458</v>
      </c>
      <c r="K69" s="102">
        <v>17253</v>
      </c>
      <c r="L69" s="102">
        <v>17209</v>
      </c>
      <c r="M69" s="102">
        <v>16980</v>
      </c>
      <c r="N69" s="102">
        <v>16935</v>
      </c>
      <c r="O69" s="102">
        <v>17191</v>
      </c>
      <c r="P69" s="102">
        <v>17489</v>
      </c>
      <c r="Q69" s="102">
        <v>17652</v>
      </c>
      <c r="R69" s="102">
        <v>17862</v>
      </c>
      <c r="S69" s="102">
        <v>18028</v>
      </c>
      <c r="T69" s="102">
        <v>18467</v>
      </c>
      <c r="U69" s="102">
        <v>19059</v>
      </c>
      <c r="V69" s="102">
        <v>16585</v>
      </c>
      <c r="W69" s="102">
        <v>17328</v>
      </c>
      <c r="X69" s="102">
        <v>17006</v>
      </c>
      <c r="Y69" s="102">
        <v>16837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1</v>
      </c>
      <c r="R70" s="102">
        <v>2</v>
      </c>
      <c r="S70" s="102">
        <v>2</v>
      </c>
      <c r="T70" s="102">
        <v>2</v>
      </c>
      <c r="U70" s="102">
        <v>2</v>
      </c>
      <c r="V70" s="102">
        <v>2</v>
      </c>
      <c r="W70" s="102">
        <v>2</v>
      </c>
      <c r="X70" s="102">
        <v>2</v>
      </c>
      <c r="Y70" s="102">
        <v>2</v>
      </c>
      <c r="DA70" s="175" t="s">
        <v>513</v>
      </c>
    </row>
    <row r="71" spans="1:105" ht="11.45" customHeight="1" x14ac:dyDescent="0.25">
      <c r="A71" s="111" t="s">
        <v>113</v>
      </c>
      <c r="B71" s="102">
        <v>95</v>
      </c>
      <c r="C71" s="102">
        <v>105</v>
      </c>
      <c r="D71" s="102">
        <v>105</v>
      </c>
      <c r="E71" s="102">
        <v>115</v>
      </c>
      <c r="F71" s="102">
        <v>115</v>
      </c>
      <c r="G71" s="102">
        <v>120</v>
      </c>
      <c r="H71" s="102">
        <v>120</v>
      </c>
      <c r="I71" s="102">
        <v>100</v>
      </c>
      <c r="J71" s="102">
        <v>75</v>
      </c>
      <c r="K71" s="102">
        <v>75</v>
      </c>
      <c r="L71" s="102">
        <v>55</v>
      </c>
      <c r="M71" s="102">
        <v>45</v>
      </c>
      <c r="N71" s="102">
        <v>55</v>
      </c>
      <c r="O71" s="102">
        <v>78</v>
      </c>
      <c r="P71" s="102">
        <v>176</v>
      </c>
      <c r="Q71" s="102">
        <v>266</v>
      </c>
      <c r="R71" s="102">
        <v>460</v>
      </c>
      <c r="S71" s="102">
        <v>540</v>
      </c>
      <c r="T71" s="102">
        <v>530</v>
      </c>
      <c r="U71" s="102">
        <v>259</v>
      </c>
      <c r="V71" s="102">
        <v>233</v>
      </c>
      <c r="W71" s="102">
        <v>226</v>
      </c>
      <c r="X71" s="102">
        <v>376</v>
      </c>
      <c r="Y71" s="102">
        <v>381</v>
      </c>
      <c r="DA71" s="175" t="s">
        <v>514</v>
      </c>
    </row>
    <row r="72" spans="1:105" ht="11.45" customHeight="1" x14ac:dyDescent="0.25">
      <c r="A72" s="111" t="s">
        <v>115</v>
      </c>
      <c r="B72" s="102">
        <v>247</v>
      </c>
      <c r="C72" s="102">
        <v>241</v>
      </c>
      <c r="D72" s="102">
        <v>241</v>
      </c>
      <c r="E72" s="102">
        <v>242</v>
      </c>
      <c r="F72" s="102">
        <v>237</v>
      </c>
      <c r="G72" s="102">
        <v>133</v>
      </c>
      <c r="H72" s="102">
        <v>112</v>
      </c>
      <c r="I72" s="102">
        <v>93</v>
      </c>
      <c r="J72" s="102">
        <v>75</v>
      </c>
      <c r="K72" s="102">
        <v>60</v>
      </c>
      <c r="L72" s="102">
        <v>46</v>
      </c>
      <c r="M72" s="102">
        <v>35</v>
      </c>
      <c r="N72" s="102">
        <v>26</v>
      </c>
      <c r="O72" s="102">
        <v>20</v>
      </c>
      <c r="P72" s="102">
        <v>15</v>
      </c>
      <c r="Q72" s="102">
        <v>31</v>
      </c>
      <c r="R72" s="102">
        <v>33</v>
      </c>
      <c r="S72" s="102">
        <v>32</v>
      </c>
      <c r="T72" s="102">
        <v>33</v>
      </c>
      <c r="U72" s="102">
        <v>33</v>
      </c>
      <c r="V72" s="102">
        <v>54</v>
      </c>
      <c r="W72" s="102">
        <v>100</v>
      </c>
      <c r="X72" s="102">
        <v>140</v>
      </c>
      <c r="Y72" s="102">
        <v>196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349928</v>
      </c>
      <c r="C73" s="28">
        <f t="shared" si="134"/>
        <v>364647</v>
      </c>
      <c r="D73" s="28">
        <f t="shared" si="134"/>
        <v>382155</v>
      </c>
      <c r="E73" s="28">
        <f t="shared" si="134"/>
        <v>393572</v>
      </c>
      <c r="F73" s="28">
        <f t="shared" si="134"/>
        <v>397317</v>
      </c>
      <c r="G73" s="28">
        <f t="shared" si="134"/>
        <v>411209</v>
      </c>
      <c r="H73" s="28">
        <f t="shared" si="134"/>
        <v>425123</v>
      </c>
      <c r="I73" s="28">
        <f t="shared" si="134"/>
        <v>437047</v>
      </c>
      <c r="J73" s="28">
        <f t="shared" si="134"/>
        <v>448841</v>
      </c>
      <c r="K73" s="28">
        <f t="shared" si="134"/>
        <v>441920</v>
      </c>
      <c r="L73" s="28">
        <f t="shared" ref="L73" si="135">L74+L80</f>
        <v>441045</v>
      </c>
      <c r="M73" s="28">
        <f t="shared" ref="M73:V73" si="136">M74+M80</f>
        <v>441442</v>
      </c>
      <c r="N73" s="28">
        <f t="shared" si="136"/>
        <v>442354</v>
      </c>
      <c r="O73" s="28">
        <f t="shared" si="136"/>
        <v>449366</v>
      </c>
      <c r="P73" s="28">
        <f t="shared" si="136"/>
        <v>464284</v>
      </c>
      <c r="Q73" s="28">
        <f t="shared" si="136"/>
        <v>482663</v>
      </c>
      <c r="R73" s="28">
        <f t="shared" si="136"/>
        <v>503028</v>
      </c>
      <c r="S73" s="28">
        <f t="shared" si="136"/>
        <v>529717</v>
      </c>
      <c r="T73" s="28">
        <f t="shared" si="136"/>
        <v>560144</v>
      </c>
      <c r="U73" s="28">
        <f t="shared" si="136"/>
        <v>589374</v>
      </c>
      <c r="V73" s="28">
        <f t="shared" si="136"/>
        <v>609568</v>
      </c>
      <c r="W73" s="28">
        <f t="shared" ref="W73:Y73" si="137">W74+W80</f>
        <v>630544</v>
      </c>
      <c r="X73" s="28">
        <f t="shared" si="137"/>
        <v>644738</v>
      </c>
      <c r="Y73" s="28">
        <f t="shared" si="137"/>
        <v>664210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220504</v>
      </c>
      <c r="C74" s="137">
        <f t="shared" si="138"/>
        <v>230397</v>
      </c>
      <c r="D74" s="137">
        <f t="shared" si="138"/>
        <v>243373</v>
      </c>
      <c r="E74" s="137">
        <f t="shared" si="138"/>
        <v>251478</v>
      </c>
      <c r="F74" s="137">
        <f t="shared" si="138"/>
        <v>255904</v>
      </c>
      <c r="G74" s="137">
        <f t="shared" si="138"/>
        <v>265913</v>
      </c>
      <c r="H74" s="137">
        <f t="shared" si="138"/>
        <v>267161</v>
      </c>
      <c r="I74" s="137">
        <f t="shared" si="138"/>
        <v>280510</v>
      </c>
      <c r="J74" s="137">
        <f t="shared" si="138"/>
        <v>306139</v>
      </c>
      <c r="K74" s="137">
        <f t="shared" si="138"/>
        <v>353776</v>
      </c>
      <c r="L74" s="137">
        <f t="shared" ref="L74" si="139">SUM(L75:L79)</f>
        <v>305966</v>
      </c>
      <c r="M74" s="137">
        <f t="shared" ref="M74:V74" si="140">SUM(M75:M79)</f>
        <v>323840</v>
      </c>
      <c r="N74" s="137">
        <f t="shared" si="140"/>
        <v>337798</v>
      </c>
      <c r="O74" s="137">
        <f t="shared" si="140"/>
        <v>358475</v>
      </c>
      <c r="P74" s="137">
        <f t="shared" si="140"/>
        <v>370285</v>
      </c>
      <c r="Q74" s="137">
        <f t="shared" si="140"/>
        <v>385901</v>
      </c>
      <c r="R74" s="137">
        <f t="shared" si="140"/>
        <v>403682</v>
      </c>
      <c r="S74" s="137">
        <f t="shared" si="140"/>
        <v>422995</v>
      </c>
      <c r="T74" s="137">
        <f t="shared" si="140"/>
        <v>444588</v>
      </c>
      <c r="U74" s="137">
        <f t="shared" si="140"/>
        <v>468274</v>
      </c>
      <c r="V74" s="137">
        <f t="shared" si="140"/>
        <v>483463</v>
      </c>
      <c r="W74" s="137">
        <f t="shared" ref="W74:Y74" si="141">SUM(W75:W79)</f>
        <v>499641</v>
      </c>
      <c r="X74" s="137">
        <f t="shared" si="141"/>
        <v>508806</v>
      </c>
      <c r="Y74" s="137">
        <f t="shared" si="141"/>
        <v>520435</v>
      </c>
      <c r="DA74" s="174" t="s">
        <v>517</v>
      </c>
    </row>
    <row r="75" spans="1:105" ht="11.45" customHeight="1" x14ac:dyDescent="0.25">
      <c r="A75" s="111" t="s">
        <v>110</v>
      </c>
      <c r="B75" s="84">
        <v>80599</v>
      </c>
      <c r="C75" s="84">
        <v>75042</v>
      </c>
      <c r="D75" s="84">
        <v>67713</v>
      </c>
      <c r="E75" s="84">
        <v>61187</v>
      </c>
      <c r="F75" s="84">
        <v>55618</v>
      </c>
      <c r="G75" s="84">
        <v>50541</v>
      </c>
      <c r="H75" s="84">
        <v>46132</v>
      </c>
      <c r="I75" s="84">
        <v>41934</v>
      </c>
      <c r="J75" s="84">
        <v>34950</v>
      </c>
      <c r="K75" s="84">
        <v>32277</v>
      </c>
      <c r="L75" s="84">
        <v>29749</v>
      </c>
      <c r="M75" s="84">
        <v>26947</v>
      </c>
      <c r="N75" s="84">
        <v>26247</v>
      </c>
      <c r="O75" s="84">
        <v>25546</v>
      </c>
      <c r="P75" s="84">
        <v>23977</v>
      </c>
      <c r="Q75" s="84">
        <v>22071</v>
      </c>
      <c r="R75" s="84">
        <v>20308</v>
      </c>
      <c r="S75" s="84">
        <v>19322</v>
      </c>
      <c r="T75" s="84">
        <v>18671</v>
      </c>
      <c r="U75" s="84">
        <v>18164</v>
      </c>
      <c r="V75" s="84">
        <v>17344</v>
      </c>
      <c r="W75" s="84">
        <v>16886</v>
      </c>
      <c r="X75" s="84">
        <v>16560</v>
      </c>
      <c r="Y75" s="84">
        <v>16741</v>
      </c>
      <c r="DA75" s="171" t="s">
        <v>518</v>
      </c>
    </row>
    <row r="76" spans="1:105" ht="11.45" customHeight="1" x14ac:dyDescent="0.25">
      <c r="A76" s="111" t="s">
        <v>111</v>
      </c>
      <c r="B76" s="84">
        <v>139898</v>
      </c>
      <c r="C76" s="84">
        <v>155139</v>
      </c>
      <c r="D76" s="84">
        <v>175455</v>
      </c>
      <c r="E76" s="84">
        <v>190088</v>
      </c>
      <c r="F76" s="84">
        <v>200087</v>
      </c>
      <c r="G76" s="84">
        <v>215180</v>
      </c>
      <c r="H76" s="84">
        <v>220843</v>
      </c>
      <c r="I76" s="84">
        <v>238399</v>
      </c>
      <c r="J76" s="84">
        <v>271022</v>
      </c>
      <c r="K76" s="84">
        <v>321344</v>
      </c>
      <c r="L76" s="84">
        <v>276075</v>
      </c>
      <c r="M76" s="84">
        <v>296765</v>
      </c>
      <c r="N76" s="84">
        <v>311432</v>
      </c>
      <c r="O76" s="84">
        <v>332732</v>
      </c>
      <c r="P76" s="84">
        <v>346099</v>
      </c>
      <c r="Q76" s="84">
        <v>363283</v>
      </c>
      <c r="R76" s="84">
        <v>382768</v>
      </c>
      <c r="S76" s="84">
        <v>402903</v>
      </c>
      <c r="T76" s="84">
        <v>424887</v>
      </c>
      <c r="U76" s="84">
        <v>448950</v>
      </c>
      <c r="V76" s="84">
        <v>464737</v>
      </c>
      <c r="W76" s="84">
        <v>480999</v>
      </c>
      <c r="X76" s="84">
        <v>489689</v>
      </c>
      <c r="Y76" s="84">
        <v>499754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209</v>
      </c>
      <c r="D77" s="84">
        <v>198</v>
      </c>
      <c r="E77" s="84">
        <v>196</v>
      </c>
      <c r="F77" s="84">
        <v>192</v>
      </c>
      <c r="G77" s="84">
        <v>186</v>
      </c>
      <c r="H77" s="84">
        <v>180</v>
      </c>
      <c r="I77" s="84">
        <v>171</v>
      </c>
      <c r="J77" s="84">
        <v>162</v>
      </c>
      <c r="K77" s="84">
        <v>150</v>
      </c>
      <c r="L77" s="84">
        <v>138</v>
      </c>
      <c r="M77" s="84">
        <v>124</v>
      </c>
      <c r="N77" s="84">
        <v>112</v>
      </c>
      <c r="O77" s="84">
        <v>98</v>
      </c>
      <c r="P77" s="84">
        <v>84</v>
      </c>
      <c r="Q77" s="84">
        <v>75</v>
      </c>
      <c r="R77" s="84">
        <v>63</v>
      </c>
      <c r="S77" s="84">
        <v>51</v>
      </c>
      <c r="T77" s="84">
        <v>42</v>
      </c>
      <c r="U77" s="84">
        <v>32</v>
      </c>
      <c r="V77" s="84">
        <v>28</v>
      </c>
      <c r="W77" s="84">
        <v>23</v>
      </c>
      <c r="X77" s="84">
        <v>71</v>
      </c>
      <c r="Y77" s="84">
        <v>206</v>
      </c>
      <c r="DA77" s="171" t="s">
        <v>520</v>
      </c>
    </row>
    <row r="78" spans="1:105" ht="11.45" customHeight="1" x14ac:dyDescent="0.25">
      <c r="A78" s="111" t="s">
        <v>113</v>
      </c>
      <c r="B78" s="84">
        <v>7</v>
      </c>
      <c r="C78" s="84">
        <v>7</v>
      </c>
      <c r="D78" s="84">
        <v>7</v>
      </c>
      <c r="E78" s="84">
        <v>7</v>
      </c>
      <c r="F78" s="84">
        <v>7</v>
      </c>
      <c r="G78" s="84">
        <v>6</v>
      </c>
      <c r="H78" s="84">
        <v>6</v>
      </c>
      <c r="I78" s="84">
        <v>6</v>
      </c>
      <c r="J78" s="84">
        <v>5</v>
      </c>
      <c r="K78" s="84">
        <v>5</v>
      </c>
      <c r="L78" s="84">
        <v>4</v>
      </c>
      <c r="M78" s="84">
        <v>4</v>
      </c>
      <c r="N78" s="84">
        <v>7</v>
      </c>
      <c r="O78" s="84">
        <v>78</v>
      </c>
      <c r="P78" s="84">
        <v>103</v>
      </c>
      <c r="Q78" s="84">
        <v>429</v>
      </c>
      <c r="R78" s="84">
        <v>449</v>
      </c>
      <c r="S78" s="84">
        <v>530</v>
      </c>
      <c r="T78" s="84">
        <v>603</v>
      </c>
      <c r="U78" s="84">
        <v>620</v>
      </c>
      <c r="V78" s="84">
        <v>630</v>
      </c>
      <c r="W78" s="84">
        <v>630</v>
      </c>
      <c r="X78" s="84">
        <v>630</v>
      </c>
      <c r="Y78" s="84">
        <v>1035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21</v>
      </c>
      <c r="P79" s="84">
        <v>22</v>
      </c>
      <c r="Q79" s="84">
        <v>43</v>
      </c>
      <c r="R79" s="84">
        <v>94</v>
      </c>
      <c r="S79" s="84">
        <v>189</v>
      </c>
      <c r="T79" s="84">
        <v>385</v>
      </c>
      <c r="U79" s="84">
        <v>508</v>
      </c>
      <c r="V79" s="84">
        <v>724</v>
      </c>
      <c r="W79" s="84">
        <v>1103</v>
      </c>
      <c r="X79" s="84">
        <v>1856</v>
      </c>
      <c r="Y79" s="84">
        <v>2699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129424</v>
      </c>
      <c r="C80" s="110">
        <f t="shared" si="142"/>
        <v>134250</v>
      </c>
      <c r="D80" s="110">
        <f t="shared" si="142"/>
        <v>138782</v>
      </c>
      <c r="E80" s="110">
        <f t="shared" si="142"/>
        <v>142094</v>
      </c>
      <c r="F80" s="110">
        <f t="shared" si="142"/>
        <v>141413</v>
      </c>
      <c r="G80" s="110">
        <f t="shared" si="142"/>
        <v>145296</v>
      </c>
      <c r="H80" s="110">
        <f t="shared" si="142"/>
        <v>157962</v>
      </c>
      <c r="I80" s="110">
        <f t="shared" si="142"/>
        <v>156537</v>
      </c>
      <c r="J80" s="110">
        <f t="shared" si="142"/>
        <v>142702</v>
      </c>
      <c r="K80" s="110">
        <f t="shared" si="142"/>
        <v>88144</v>
      </c>
      <c r="L80" s="110">
        <f t="shared" ref="L80" si="143">SUM(L81:L82)</f>
        <v>135079</v>
      </c>
      <c r="M80" s="110">
        <f t="shared" ref="M80:V80" si="144">SUM(M81:M82)</f>
        <v>117602</v>
      </c>
      <c r="N80" s="110">
        <f t="shared" si="144"/>
        <v>104556</v>
      </c>
      <c r="O80" s="110">
        <f t="shared" si="144"/>
        <v>90891</v>
      </c>
      <c r="P80" s="110">
        <f t="shared" si="144"/>
        <v>93999</v>
      </c>
      <c r="Q80" s="110">
        <f t="shared" si="144"/>
        <v>96762</v>
      </c>
      <c r="R80" s="110">
        <f t="shared" si="144"/>
        <v>99346</v>
      </c>
      <c r="S80" s="110">
        <f t="shared" si="144"/>
        <v>106722</v>
      </c>
      <c r="T80" s="110">
        <f t="shared" si="144"/>
        <v>115556</v>
      </c>
      <c r="U80" s="110">
        <f t="shared" si="144"/>
        <v>121100</v>
      </c>
      <c r="V80" s="110">
        <f t="shared" si="144"/>
        <v>126105</v>
      </c>
      <c r="W80" s="110">
        <f t="shared" ref="W80:Y80" si="145">SUM(W81:W82)</f>
        <v>130903</v>
      </c>
      <c r="X80" s="110">
        <f t="shared" si="145"/>
        <v>135932</v>
      </c>
      <c r="Y80" s="110">
        <f t="shared" si="145"/>
        <v>143775</v>
      </c>
      <c r="DA80" s="176" t="s">
        <v>523</v>
      </c>
    </row>
    <row r="81" spans="1:105" ht="11.45" customHeight="1" x14ac:dyDescent="0.25">
      <c r="A81" s="128" t="s">
        <v>27</v>
      </c>
      <c r="B81" s="102">
        <v>122983</v>
      </c>
      <c r="C81" s="102">
        <v>127345</v>
      </c>
      <c r="D81" s="102">
        <v>131518</v>
      </c>
      <c r="E81" s="102">
        <v>134669</v>
      </c>
      <c r="F81" s="102">
        <v>132634</v>
      </c>
      <c r="G81" s="102">
        <v>136208</v>
      </c>
      <c r="H81" s="102">
        <v>148084</v>
      </c>
      <c r="I81" s="102">
        <v>145726</v>
      </c>
      <c r="J81" s="102">
        <v>130728</v>
      </c>
      <c r="K81" s="102">
        <v>79429</v>
      </c>
      <c r="L81" s="102">
        <v>126802</v>
      </c>
      <c r="M81" s="102">
        <v>108829</v>
      </c>
      <c r="N81" s="102">
        <v>95721</v>
      </c>
      <c r="O81" s="102">
        <v>81880</v>
      </c>
      <c r="P81" s="102">
        <v>84750</v>
      </c>
      <c r="Q81" s="102">
        <v>86889</v>
      </c>
      <c r="R81" s="102">
        <v>88702</v>
      </c>
      <c r="S81" s="102">
        <v>95073</v>
      </c>
      <c r="T81" s="102">
        <v>103899</v>
      </c>
      <c r="U81" s="102">
        <v>109124</v>
      </c>
      <c r="V81" s="102">
        <v>114769</v>
      </c>
      <c r="W81" s="102">
        <v>118372</v>
      </c>
      <c r="X81" s="102">
        <v>122616</v>
      </c>
      <c r="Y81" s="102">
        <v>130480</v>
      </c>
      <c r="DA81" s="175" t="s">
        <v>524</v>
      </c>
    </row>
    <row r="82" spans="1:105" ht="11.45" customHeight="1" x14ac:dyDescent="0.25">
      <c r="A82" s="138" t="s">
        <v>116</v>
      </c>
      <c r="B82" s="86">
        <v>6441</v>
      </c>
      <c r="C82" s="86">
        <v>6905</v>
      </c>
      <c r="D82" s="86">
        <v>7264</v>
      </c>
      <c r="E82" s="86">
        <v>7425</v>
      </c>
      <c r="F82" s="86">
        <v>8779</v>
      </c>
      <c r="G82" s="86">
        <v>9088</v>
      </c>
      <c r="H82" s="86">
        <v>9878</v>
      </c>
      <c r="I82" s="86">
        <v>10811</v>
      </c>
      <c r="J82" s="86">
        <v>11974</v>
      </c>
      <c r="K82" s="86">
        <v>8715</v>
      </c>
      <c r="L82" s="86">
        <v>8277</v>
      </c>
      <c r="M82" s="86">
        <v>8773</v>
      </c>
      <c r="N82" s="86">
        <v>8835</v>
      </c>
      <c r="O82" s="86">
        <v>9011</v>
      </c>
      <c r="P82" s="86">
        <v>9249</v>
      </c>
      <c r="Q82" s="86">
        <v>9873</v>
      </c>
      <c r="R82" s="86">
        <v>10644</v>
      </c>
      <c r="S82" s="86">
        <v>11649</v>
      </c>
      <c r="T82" s="86">
        <v>11657</v>
      </c>
      <c r="U82" s="86">
        <v>11976</v>
      </c>
      <c r="V82" s="86">
        <v>11336</v>
      </c>
      <c r="W82" s="86">
        <v>12531</v>
      </c>
      <c r="X82" s="86">
        <v>13316</v>
      </c>
      <c r="Y82" s="86">
        <v>13295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2822267</v>
      </c>
      <c r="C84" s="54">
        <f t="shared" si="146"/>
        <v>2958915</v>
      </c>
      <c r="D84" s="54">
        <f t="shared" ref="D84:V84" si="147">D85+D100</f>
        <v>3127811</v>
      </c>
      <c r="E84" s="54">
        <f t="shared" si="147"/>
        <v>3293686</v>
      </c>
      <c r="F84" s="54">
        <f t="shared" si="147"/>
        <v>3358522</v>
      </c>
      <c r="G84" s="54">
        <f t="shared" si="147"/>
        <v>3465013</v>
      </c>
      <c r="H84" s="54">
        <f t="shared" si="147"/>
        <v>3789084</v>
      </c>
      <c r="I84" s="54">
        <f t="shared" si="147"/>
        <v>3854910</v>
      </c>
      <c r="J84" s="54">
        <f t="shared" si="147"/>
        <v>3664711</v>
      </c>
      <c r="K84" s="54">
        <f t="shared" si="147"/>
        <v>3615569</v>
      </c>
      <c r="L84" s="54">
        <f t="shared" si="147"/>
        <v>3585118</v>
      </c>
      <c r="M84" s="54">
        <f t="shared" si="147"/>
        <v>3574046</v>
      </c>
      <c r="N84" s="54">
        <f t="shared" si="147"/>
        <v>3597092</v>
      </c>
      <c r="O84" s="54">
        <f t="shared" si="147"/>
        <v>3674835</v>
      </c>
      <c r="P84" s="54">
        <f t="shared" si="147"/>
        <v>3763430</v>
      </c>
      <c r="Q84" s="54">
        <f t="shared" si="147"/>
        <v>3860482</v>
      </c>
      <c r="R84" s="54">
        <f t="shared" si="147"/>
        <v>3996864</v>
      </c>
      <c r="S84" s="54">
        <f t="shared" si="147"/>
        <v>4187819</v>
      </c>
      <c r="T84" s="54">
        <f t="shared" si="147"/>
        <v>4397171</v>
      </c>
      <c r="U84" s="54">
        <f t="shared" si="147"/>
        <v>4606784</v>
      </c>
      <c r="V84" s="54">
        <f t="shared" si="147"/>
        <v>4741940</v>
      </c>
      <c r="W84" s="54">
        <f t="shared" ref="W84:Y84" si="148">W85+W100</f>
        <v>4870983</v>
      </c>
      <c r="X84" s="54">
        <f t="shared" si="148"/>
        <v>4967210</v>
      </c>
      <c r="Y84" s="54">
        <f t="shared" si="148"/>
        <v>5071722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2472339</v>
      </c>
      <c r="C85" s="28">
        <f t="shared" si="149"/>
        <v>2594268</v>
      </c>
      <c r="D85" s="28">
        <f t="shared" ref="D85:V85" si="150">D86+D87+D94</f>
        <v>2745656</v>
      </c>
      <c r="E85" s="28">
        <f t="shared" si="150"/>
        <v>2900114</v>
      </c>
      <c r="F85" s="28">
        <f t="shared" si="150"/>
        <v>2961205</v>
      </c>
      <c r="G85" s="28">
        <f t="shared" si="150"/>
        <v>3053804</v>
      </c>
      <c r="H85" s="28">
        <f t="shared" si="150"/>
        <v>3363961</v>
      </c>
      <c r="I85" s="28">
        <f t="shared" si="150"/>
        <v>3417863</v>
      </c>
      <c r="J85" s="28">
        <f t="shared" si="150"/>
        <v>3215870</v>
      </c>
      <c r="K85" s="28">
        <f t="shared" si="150"/>
        <v>3173649</v>
      </c>
      <c r="L85" s="28">
        <f t="shared" si="150"/>
        <v>3144073</v>
      </c>
      <c r="M85" s="28">
        <f t="shared" si="150"/>
        <v>3132604</v>
      </c>
      <c r="N85" s="28">
        <f t="shared" si="150"/>
        <v>3154738</v>
      </c>
      <c r="O85" s="28">
        <f t="shared" si="150"/>
        <v>3225469</v>
      </c>
      <c r="P85" s="28">
        <f t="shared" si="150"/>
        <v>3299146</v>
      </c>
      <c r="Q85" s="28">
        <f t="shared" si="150"/>
        <v>3377819</v>
      </c>
      <c r="R85" s="28">
        <f t="shared" si="150"/>
        <v>3493836</v>
      </c>
      <c r="S85" s="28">
        <f t="shared" si="150"/>
        <v>3658102</v>
      </c>
      <c r="T85" s="28">
        <f t="shared" si="150"/>
        <v>3837027</v>
      </c>
      <c r="U85" s="28">
        <f t="shared" si="150"/>
        <v>4017410</v>
      </c>
      <c r="V85" s="28">
        <f t="shared" si="150"/>
        <v>4132372</v>
      </c>
      <c r="W85" s="28">
        <f t="shared" ref="W85:Y85" si="151">W86+W87+W94</f>
        <v>4240439</v>
      </c>
      <c r="X85" s="28">
        <f t="shared" si="151"/>
        <v>4322472</v>
      </c>
      <c r="Y85" s="28">
        <f t="shared" si="151"/>
        <v>4407512</v>
      </c>
      <c r="DA85" s="173"/>
    </row>
    <row r="86" spans="1:105" ht="11.45" hidden="1" customHeight="1" x14ac:dyDescent="0.25">
      <c r="A86" s="136" t="s">
        <v>173</v>
      </c>
      <c r="B86" s="137">
        <v>91193</v>
      </c>
      <c r="C86" s="137">
        <v>93088</v>
      </c>
      <c r="D86" s="137">
        <v>97593</v>
      </c>
      <c r="E86" s="137">
        <v>103493</v>
      </c>
      <c r="F86" s="137">
        <v>114038</v>
      </c>
      <c r="G86" s="137">
        <v>122705</v>
      </c>
      <c r="H86" s="137">
        <v>130187.99999999999</v>
      </c>
      <c r="I86" s="137">
        <v>135865</v>
      </c>
      <c r="J86" s="137">
        <v>141540</v>
      </c>
      <c r="K86" s="137">
        <v>141956</v>
      </c>
      <c r="L86" s="137">
        <v>142251</v>
      </c>
      <c r="M86" s="137">
        <v>147382</v>
      </c>
      <c r="N86" s="137">
        <v>151405</v>
      </c>
      <c r="O86" s="137">
        <v>157178</v>
      </c>
      <c r="P86" s="137">
        <v>161540</v>
      </c>
      <c r="Q86" s="137">
        <v>162828</v>
      </c>
      <c r="R86" s="137">
        <v>162148</v>
      </c>
      <c r="S86" s="137">
        <v>167400</v>
      </c>
      <c r="T86" s="137">
        <v>176070</v>
      </c>
      <c r="U86" s="137">
        <v>185943</v>
      </c>
      <c r="V86" s="137">
        <v>194594</v>
      </c>
      <c r="W86" s="137">
        <v>202521</v>
      </c>
      <c r="X86" s="137">
        <v>210746</v>
      </c>
      <c r="Y86" s="137">
        <v>221391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2363000</v>
      </c>
      <c r="C87" s="110">
        <f t="shared" si="152"/>
        <v>2482800</v>
      </c>
      <c r="D87" s="110">
        <f t="shared" ref="D87:V87" si="153">SUM(D88:D93)</f>
        <v>2629500</v>
      </c>
      <c r="E87" s="110">
        <f t="shared" si="153"/>
        <v>2778000</v>
      </c>
      <c r="F87" s="110">
        <f t="shared" si="153"/>
        <v>2829000</v>
      </c>
      <c r="G87" s="110">
        <f t="shared" si="153"/>
        <v>2913000</v>
      </c>
      <c r="H87" s="110">
        <f t="shared" si="153"/>
        <v>3214000</v>
      </c>
      <c r="I87" s="110">
        <f t="shared" si="153"/>
        <v>3262000</v>
      </c>
      <c r="J87" s="110">
        <f t="shared" si="153"/>
        <v>3056000</v>
      </c>
      <c r="K87" s="110">
        <f t="shared" si="153"/>
        <v>3013730</v>
      </c>
      <c r="L87" s="110">
        <f t="shared" si="153"/>
        <v>2984060</v>
      </c>
      <c r="M87" s="110">
        <f t="shared" si="153"/>
        <v>2967810</v>
      </c>
      <c r="N87" s="110">
        <f t="shared" si="153"/>
        <v>2986030</v>
      </c>
      <c r="O87" s="110">
        <f t="shared" si="153"/>
        <v>3050722</v>
      </c>
      <c r="P87" s="110">
        <f t="shared" si="153"/>
        <v>3119683</v>
      </c>
      <c r="Q87" s="110">
        <f t="shared" si="153"/>
        <v>3196856</v>
      </c>
      <c r="R87" s="110">
        <f t="shared" si="153"/>
        <v>3313206</v>
      </c>
      <c r="S87" s="110">
        <f t="shared" si="153"/>
        <v>3471997</v>
      </c>
      <c r="T87" s="110">
        <f t="shared" si="153"/>
        <v>3641823</v>
      </c>
      <c r="U87" s="110">
        <f t="shared" si="153"/>
        <v>3812013</v>
      </c>
      <c r="V87" s="110">
        <f t="shared" si="153"/>
        <v>3920799</v>
      </c>
      <c r="W87" s="110">
        <f t="shared" ref="W87:Y87" si="154">SUM(W88:W93)</f>
        <v>4020159</v>
      </c>
      <c r="X87" s="110">
        <f t="shared" si="154"/>
        <v>4094129</v>
      </c>
      <c r="Y87" s="110">
        <f t="shared" si="154"/>
        <v>4168651</v>
      </c>
      <c r="DA87" s="176"/>
    </row>
    <row r="88" spans="1:105" ht="11.45" hidden="1" customHeight="1" x14ac:dyDescent="0.25">
      <c r="A88" s="111" t="s">
        <v>110</v>
      </c>
      <c r="B88" s="84">
        <v>2131608</v>
      </c>
      <c r="C88" s="84">
        <v>2222827</v>
      </c>
      <c r="D88" s="84">
        <v>2331164</v>
      </c>
      <c r="E88" s="84">
        <v>2385421</v>
      </c>
      <c r="F88" s="84">
        <v>2390611</v>
      </c>
      <c r="G88" s="84">
        <v>2503916</v>
      </c>
      <c r="H88" s="84">
        <v>2672623</v>
      </c>
      <c r="I88" s="84">
        <v>2669958</v>
      </c>
      <c r="J88" s="84">
        <v>2428796</v>
      </c>
      <c r="K88" s="84">
        <v>2378835</v>
      </c>
      <c r="L88" s="84">
        <v>2331639</v>
      </c>
      <c r="M88" s="84">
        <v>2285941</v>
      </c>
      <c r="N88" s="84">
        <v>2260220</v>
      </c>
      <c r="O88" s="84">
        <v>2260257</v>
      </c>
      <c r="P88" s="84">
        <v>2255798</v>
      </c>
      <c r="Q88" s="84">
        <v>2254345</v>
      </c>
      <c r="R88" s="84">
        <v>2287785</v>
      </c>
      <c r="S88" s="84">
        <v>2361058</v>
      </c>
      <c r="T88" s="84">
        <v>2453721</v>
      </c>
      <c r="U88" s="84">
        <v>2555178</v>
      </c>
      <c r="V88" s="84">
        <v>2617997</v>
      </c>
      <c r="W88" s="84">
        <v>2677224</v>
      </c>
      <c r="X88" s="84">
        <v>2710003</v>
      </c>
      <c r="Y88" s="84">
        <v>2743152</v>
      </c>
      <c r="DA88" s="171"/>
    </row>
    <row r="89" spans="1:105" ht="11.45" hidden="1" customHeight="1" x14ac:dyDescent="0.25">
      <c r="A89" s="111" t="s">
        <v>111</v>
      </c>
      <c r="B89" s="84">
        <v>231392</v>
      </c>
      <c r="C89" s="84">
        <v>256573</v>
      </c>
      <c r="D89" s="84">
        <v>294959</v>
      </c>
      <c r="E89" s="84">
        <v>339365</v>
      </c>
      <c r="F89" s="84">
        <v>387907</v>
      </c>
      <c r="G89" s="84">
        <v>358835</v>
      </c>
      <c r="H89" s="84">
        <v>491494</v>
      </c>
      <c r="I89" s="84">
        <v>542674</v>
      </c>
      <c r="J89" s="84">
        <v>583503</v>
      </c>
      <c r="K89" s="84">
        <v>598013</v>
      </c>
      <c r="L89" s="84">
        <v>613328</v>
      </c>
      <c r="M89" s="84">
        <v>635659</v>
      </c>
      <c r="N89" s="84">
        <v>677346</v>
      </c>
      <c r="O89" s="84">
        <v>735833</v>
      </c>
      <c r="P89" s="84">
        <v>805234</v>
      </c>
      <c r="Q89" s="84">
        <v>880860</v>
      </c>
      <c r="R89" s="84">
        <v>963618</v>
      </c>
      <c r="S89" s="84">
        <v>1049631</v>
      </c>
      <c r="T89" s="84">
        <v>1129355</v>
      </c>
      <c r="U89" s="84">
        <v>1201892</v>
      </c>
      <c r="V89" s="84">
        <v>1250140</v>
      </c>
      <c r="W89" s="84">
        <v>1288163</v>
      </c>
      <c r="X89" s="84">
        <v>1314207</v>
      </c>
      <c r="Y89" s="84">
        <v>1340032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3400</v>
      </c>
      <c r="D90" s="84">
        <v>3377</v>
      </c>
      <c r="E90" s="84">
        <v>53214</v>
      </c>
      <c r="F90" s="84">
        <v>50482</v>
      </c>
      <c r="G90" s="84">
        <v>50249</v>
      </c>
      <c r="H90" s="84">
        <v>49883</v>
      </c>
      <c r="I90" s="84">
        <v>49368</v>
      </c>
      <c r="J90" s="84">
        <v>43701</v>
      </c>
      <c r="K90" s="84">
        <v>36882</v>
      </c>
      <c r="L90" s="84">
        <v>38914</v>
      </c>
      <c r="M90" s="84">
        <v>45713</v>
      </c>
      <c r="N90" s="84">
        <v>47962</v>
      </c>
      <c r="O90" s="84">
        <v>53685</v>
      </c>
      <c r="P90" s="84">
        <v>57401</v>
      </c>
      <c r="Q90" s="84">
        <v>59182</v>
      </c>
      <c r="R90" s="84">
        <v>58803</v>
      </c>
      <c r="S90" s="84">
        <v>56653</v>
      </c>
      <c r="T90" s="84">
        <v>51381</v>
      </c>
      <c r="U90" s="84">
        <v>43954</v>
      </c>
      <c r="V90" s="84">
        <v>34723</v>
      </c>
      <c r="W90" s="84">
        <v>24141</v>
      </c>
      <c r="X90" s="84">
        <v>23194</v>
      </c>
      <c r="Y90" s="84">
        <v>22353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4</v>
      </c>
      <c r="N91" s="84">
        <v>3</v>
      </c>
      <c r="O91" s="84">
        <v>440</v>
      </c>
      <c r="P91" s="84">
        <v>696</v>
      </c>
      <c r="Q91" s="84">
        <v>1742</v>
      </c>
      <c r="R91" s="84">
        <v>1899</v>
      </c>
      <c r="S91" s="84">
        <v>2137</v>
      </c>
      <c r="T91" s="84">
        <v>2259</v>
      </c>
      <c r="U91" s="84">
        <v>2272</v>
      </c>
      <c r="V91" s="84">
        <v>2275</v>
      </c>
      <c r="W91" s="84">
        <v>2277</v>
      </c>
      <c r="X91" s="84">
        <v>2279</v>
      </c>
      <c r="Y91" s="84">
        <v>2258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17</v>
      </c>
      <c r="O92" s="84">
        <v>17</v>
      </c>
      <c r="P92" s="84">
        <v>40</v>
      </c>
      <c r="Q92" s="84">
        <v>99</v>
      </c>
      <c r="R92" s="84">
        <v>284</v>
      </c>
      <c r="S92" s="84">
        <v>522</v>
      </c>
      <c r="T92" s="84">
        <v>1268</v>
      </c>
      <c r="U92" s="84">
        <v>2122</v>
      </c>
      <c r="V92" s="84">
        <v>4652</v>
      </c>
      <c r="W92" s="84">
        <v>9531</v>
      </c>
      <c r="X92" s="84">
        <v>14610</v>
      </c>
      <c r="Y92" s="84">
        <v>19644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177</v>
      </c>
      <c r="M93" s="84">
        <v>493</v>
      </c>
      <c r="N93" s="84">
        <v>482</v>
      </c>
      <c r="O93" s="84">
        <v>490</v>
      </c>
      <c r="P93" s="84">
        <v>514</v>
      </c>
      <c r="Q93" s="84">
        <v>628</v>
      </c>
      <c r="R93" s="84">
        <v>817</v>
      </c>
      <c r="S93" s="84">
        <v>1996</v>
      </c>
      <c r="T93" s="84">
        <v>3839</v>
      </c>
      <c r="U93" s="84">
        <v>6595</v>
      </c>
      <c r="V93" s="84">
        <v>11012</v>
      </c>
      <c r="W93" s="84">
        <v>18823</v>
      </c>
      <c r="X93" s="84">
        <v>29836</v>
      </c>
      <c r="Y93" s="84">
        <v>41212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18146</v>
      </c>
      <c r="C94" s="110">
        <f t="shared" si="155"/>
        <v>18380</v>
      </c>
      <c r="D94" s="110">
        <f t="shared" ref="D94:V94" si="156">SUM(D95:D99)</f>
        <v>18563</v>
      </c>
      <c r="E94" s="110">
        <f t="shared" si="156"/>
        <v>18621</v>
      </c>
      <c r="F94" s="110">
        <f t="shared" si="156"/>
        <v>18167</v>
      </c>
      <c r="G94" s="110">
        <f t="shared" si="156"/>
        <v>18099</v>
      </c>
      <c r="H94" s="110">
        <f t="shared" si="156"/>
        <v>19773</v>
      </c>
      <c r="I94" s="110">
        <f t="shared" si="156"/>
        <v>19998</v>
      </c>
      <c r="J94" s="110">
        <f t="shared" si="156"/>
        <v>18330</v>
      </c>
      <c r="K94" s="110">
        <f t="shared" si="156"/>
        <v>17963</v>
      </c>
      <c r="L94" s="110">
        <f t="shared" si="156"/>
        <v>17762</v>
      </c>
      <c r="M94" s="110">
        <f t="shared" si="156"/>
        <v>17412</v>
      </c>
      <c r="N94" s="110">
        <f t="shared" si="156"/>
        <v>17303</v>
      </c>
      <c r="O94" s="110">
        <f t="shared" si="156"/>
        <v>17569</v>
      </c>
      <c r="P94" s="110">
        <f t="shared" si="156"/>
        <v>17923</v>
      </c>
      <c r="Q94" s="110">
        <f t="shared" si="156"/>
        <v>18135</v>
      </c>
      <c r="R94" s="110">
        <f t="shared" si="156"/>
        <v>18482</v>
      </c>
      <c r="S94" s="110">
        <f t="shared" si="156"/>
        <v>18705</v>
      </c>
      <c r="T94" s="110">
        <f t="shared" si="156"/>
        <v>19134</v>
      </c>
      <c r="U94" s="110">
        <f t="shared" si="156"/>
        <v>19454</v>
      </c>
      <c r="V94" s="110">
        <f t="shared" si="156"/>
        <v>16979</v>
      </c>
      <c r="W94" s="110">
        <f t="shared" ref="W94:Y94" si="157">SUM(W95:W99)</f>
        <v>17759</v>
      </c>
      <c r="X94" s="110">
        <f t="shared" si="157"/>
        <v>17597</v>
      </c>
      <c r="Y94" s="110">
        <f t="shared" si="157"/>
        <v>17470</v>
      </c>
      <c r="DA94" s="176"/>
    </row>
    <row r="95" spans="1:105" ht="11.45" hidden="1" customHeight="1" x14ac:dyDescent="0.25">
      <c r="A95" s="111" t="s">
        <v>110</v>
      </c>
      <c r="B95" s="102">
        <v>2355</v>
      </c>
      <c r="C95" s="102">
        <v>2138</v>
      </c>
      <c r="D95" s="102">
        <v>1915</v>
      </c>
      <c r="E95" s="102">
        <v>1692</v>
      </c>
      <c r="F95" s="102">
        <v>1475</v>
      </c>
      <c r="G95" s="102">
        <v>1265</v>
      </c>
      <c r="H95" s="102">
        <v>1066</v>
      </c>
      <c r="I95" s="102">
        <v>882</v>
      </c>
      <c r="J95" s="102">
        <v>722</v>
      </c>
      <c r="K95" s="102">
        <v>575</v>
      </c>
      <c r="L95" s="102">
        <v>452</v>
      </c>
      <c r="M95" s="102">
        <v>352</v>
      </c>
      <c r="N95" s="102">
        <v>287</v>
      </c>
      <c r="O95" s="102">
        <v>280</v>
      </c>
      <c r="P95" s="102">
        <v>242</v>
      </c>
      <c r="Q95" s="102">
        <v>185</v>
      </c>
      <c r="R95" s="102">
        <v>125</v>
      </c>
      <c r="S95" s="102">
        <v>103</v>
      </c>
      <c r="T95" s="102">
        <v>102</v>
      </c>
      <c r="U95" s="102">
        <v>101</v>
      </c>
      <c r="V95" s="102">
        <v>105</v>
      </c>
      <c r="W95" s="102">
        <v>103</v>
      </c>
      <c r="X95" s="102">
        <v>73</v>
      </c>
      <c r="Y95" s="102">
        <v>54</v>
      </c>
      <c r="DA95" s="175"/>
    </row>
    <row r="96" spans="1:105" ht="11.45" hidden="1" customHeight="1" x14ac:dyDescent="0.25">
      <c r="A96" s="111" t="s">
        <v>111</v>
      </c>
      <c r="B96" s="102">
        <v>15449</v>
      </c>
      <c r="C96" s="102">
        <v>15896</v>
      </c>
      <c r="D96" s="102">
        <v>16302</v>
      </c>
      <c r="E96" s="102">
        <v>16572</v>
      </c>
      <c r="F96" s="102">
        <v>16340</v>
      </c>
      <c r="G96" s="102">
        <v>16581</v>
      </c>
      <c r="H96" s="102">
        <v>18475</v>
      </c>
      <c r="I96" s="102">
        <v>18923</v>
      </c>
      <c r="J96" s="102">
        <v>17458</v>
      </c>
      <c r="K96" s="102">
        <v>17253</v>
      </c>
      <c r="L96" s="102">
        <v>17209</v>
      </c>
      <c r="M96" s="102">
        <v>16980</v>
      </c>
      <c r="N96" s="102">
        <v>16935</v>
      </c>
      <c r="O96" s="102">
        <v>17191</v>
      </c>
      <c r="P96" s="102">
        <v>17489</v>
      </c>
      <c r="Q96" s="102">
        <v>17652</v>
      </c>
      <c r="R96" s="102">
        <v>17862</v>
      </c>
      <c r="S96" s="102">
        <v>18028</v>
      </c>
      <c r="T96" s="102">
        <v>18467</v>
      </c>
      <c r="U96" s="102">
        <v>19059</v>
      </c>
      <c r="V96" s="102">
        <v>16585</v>
      </c>
      <c r="W96" s="102">
        <v>17328</v>
      </c>
      <c r="X96" s="102">
        <v>17006</v>
      </c>
      <c r="Y96" s="102">
        <v>16837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1</v>
      </c>
      <c r="Q97" s="102">
        <v>1</v>
      </c>
      <c r="R97" s="102">
        <v>2</v>
      </c>
      <c r="S97" s="102">
        <v>2</v>
      </c>
      <c r="T97" s="102">
        <v>2</v>
      </c>
      <c r="U97" s="102">
        <v>2</v>
      </c>
      <c r="V97" s="102">
        <v>2</v>
      </c>
      <c r="W97" s="102">
        <v>2</v>
      </c>
      <c r="X97" s="102">
        <v>2</v>
      </c>
      <c r="Y97" s="102">
        <v>2</v>
      </c>
      <c r="DA97" s="175"/>
    </row>
    <row r="98" spans="1:105" ht="11.45" hidden="1" customHeight="1" x14ac:dyDescent="0.25">
      <c r="A98" s="111" t="s">
        <v>113</v>
      </c>
      <c r="B98" s="102">
        <v>95</v>
      </c>
      <c r="C98" s="102">
        <v>105</v>
      </c>
      <c r="D98" s="102">
        <v>105</v>
      </c>
      <c r="E98" s="102">
        <v>115</v>
      </c>
      <c r="F98" s="102">
        <v>115</v>
      </c>
      <c r="G98" s="102">
        <v>120</v>
      </c>
      <c r="H98" s="102">
        <v>120</v>
      </c>
      <c r="I98" s="102">
        <v>100</v>
      </c>
      <c r="J98" s="102">
        <v>75</v>
      </c>
      <c r="K98" s="102">
        <v>75</v>
      </c>
      <c r="L98" s="102">
        <v>55</v>
      </c>
      <c r="M98" s="102">
        <v>45</v>
      </c>
      <c r="N98" s="102">
        <v>55</v>
      </c>
      <c r="O98" s="102">
        <v>78</v>
      </c>
      <c r="P98" s="102">
        <v>176</v>
      </c>
      <c r="Q98" s="102">
        <v>266</v>
      </c>
      <c r="R98" s="102">
        <v>460</v>
      </c>
      <c r="S98" s="102">
        <v>540</v>
      </c>
      <c r="T98" s="102">
        <v>530</v>
      </c>
      <c r="U98" s="102">
        <v>259</v>
      </c>
      <c r="V98" s="102">
        <v>233</v>
      </c>
      <c r="W98" s="102">
        <v>226</v>
      </c>
      <c r="X98" s="102">
        <v>376</v>
      </c>
      <c r="Y98" s="102">
        <v>381</v>
      </c>
      <c r="DA98" s="175"/>
    </row>
    <row r="99" spans="1:105" ht="11.45" hidden="1" customHeight="1" x14ac:dyDescent="0.25">
      <c r="A99" s="111" t="s">
        <v>115</v>
      </c>
      <c r="B99" s="102">
        <v>247</v>
      </c>
      <c r="C99" s="102">
        <v>241</v>
      </c>
      <c r="D99" s="102">
        <v>241</v>
      </c>
      <c r="E99" s="102">
        <v>242</v>
      </c>
      <c r="F99" s="102">
        <v>237</v>
      </c>
      <c r="G99" s="102">
        <v>133</v>
      </c>
      <c r="H99" s="102">
        <v>112</v>
      </c>
      <c r="I99" s="102">
        <v>93</v>
      </c>
      <c r="J99" s="102">
        <v>75</v>
      </c>
      <c r="K99" s="102">
        <v>60</v>
      </c>
      <c r="L99" s="102">
        <v>46</v>
      </c>
      <c r="M99" s="102">
        <v>35</v>
      </c>
      <c r="N99" s="102">
        <v>26</v>
      </c>
      <c r="O99" s="102">
        <v>20</v>
      </c>
      <c r="P99" s="102">
        <v>15</v>
      </c>
      <c r="Q99" s="102">
        <v>31</v>
      </c>
      <c r="R99" s="102">
        <v>33</v>
      </c>
      <c r="S99" s="102">
        <v>32</v>
      </c>
      <c r="T99" s="102">
        <v>33</v>
      </c>
      <c r="U99" s="102">
        <v>33</v>
      </c>
      <c r="V99" s="102">
        <v>54</v>
      </c>
      <c r="W99" s="102">
        <v>100</v>
      </c>
      <c r="X99" s="102">
        <v>140</v>
      </c>
      <c r="Y99" s="102">
        <v>196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349928</v>
      </c>
      <c r="C100" s="28">
        <f t="shared" si="158"/>
        <v>364647</v>
      </c>
      <c r="D100" s="28">
        <f t="shared" ref="D100:V100" si="159">D101+D107</f>
        <v>382155</v>
      </c>
      <c r="E100" s="28">
        <f t="shared" si="159"/>
        <v>393572</v>
      </c>
      <c r="F100" s="28">
        <f t="shared" si="159"/>
        <v>397317</v>
      </c>
      <c r="G100" s="28">
        <f t="shared" si="159"/>
        <v>411209</v>
      </c>
      <c r="H100" s="28">
        <f t="shared" si="159"/>
        <v>425123</v>
      </c>
      <c r="I100" s="28">
        <f t="shared" si="159"/>
        <v>437047</v>
      </c>
      <c r="J100" s="28">
        <f t="shared" si="159"/>
        <v>448841</v>
      </c>
      <c r="K100" s="28">
        <f t="shared" si="159"/>
        <v>441920</v>
      </c>
      <c r="L100" s="28">
        <f t="shared" si="159"/>
        <v>441045</v>
      </c>
      <c r="M100" s="28">
        <f t="shared" si="159"/>
        <v>441442</v>
      </c>
      <c r="N100" s="28">
        <f t="shared" si="159"/>
        <v>442354</v>
      </c>
      <c r="O100" s="28">
        <f t="shared" si="159"/>
        <v>449366</v>
      </c>
      <c r="P100" s="28">
        <f t="shared" si="159"/>
        <v>464284</v>
      </c>
      <c r="Q100" s="28">
        <f t="shared" si="159"/>
        <v>482663</v>
      </c>
      <c r="R100" s="28">
        <f t="shared" si="159"/>
        <v>503028</v>
      </c>
      <c r="S100" s="28">
        <f t="shared" si="159"/>
        <v>529717</v>
      </c>
      <c r="T100" s="28">
        <f t="shared" si="159"/>
        <v>560144</v>
      </c>
      <c r="U100" s="28">
        <f t="shared" si="159"/>
        <v>589374</v>
      </c>
      <c r="V100" s="28">
        <f t="shared" si="159"/>
        <v>609568</v>
      </c>
      <c r="W100" s="28">
        <f t="shared" ref="W100:Y100" si="160">W101+W107</f>
        <v>630544</v>
      </c>
      <c r="X100" s="28">
        <f t="shared" si="160"/>
        <v>644738</v>
      </c>
      <c r="Y100" s="28">
        <f t="shared" si="160"/>
        <v>664210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220504</v>
      </c>
      <c r="C101" s="137">
        <f t="shared" si="161"/>
        <v>230397</v>
      </c>
      <c r="D101" s="137">
        <f t="shared" ref="D101:V101" si="162">SUM(D102:D106)</f>
        <v>243373</v>
      </c>
      <c r="E101" s="137">
        <f t="shared" si="162"/>
        <v>251478</v>
      </c>
      <c r="F101" s="137">
        <f t="shared" si="162"/>
        <v>255904</v>
      </c>
      <c r="G101" s="137">
        <f t="shared" si="162"/>
        <v>265913</v>
      </c>
      <c r="H101" s="137">
        <f t="shared" si="162"/>
        <v>267161</v>
      </c>
      <c r="I101" s="137">
        <f t="shared" si="162"/>
        <v>280510</v>
      </c>
      <c r="J101" s="137">
        <f t="shared" si="162"/>
        <v>306139</v>
      </c>
      <c r="K101" s="137">
        <f t="shared" si="162"/>
        <v>353776</v>
      </c>
      <c r="L101" s="137">
        <f t="shared" si="162"/>
        <v>305966</v>
      </c>
      <c r="M101" s="137">
        <f t="shared" si="162"/>
        <v>323840</v>
      </c>
      <c r="N101" s="137">
        <f t="shared" si="162"/>
        <v>337798</v>
      </c>
      <c r="O101" s="137">
        <f t="shared" si="162"/>
        <v>358475</v>
      </c>
      <c r="P101" s="137">
        <f t="shared" si="162"/>
        <v>370285</v>
      </c>
      <c r="Q101" s="137">
        <f t="shared" si="162"/>
        <v>385901</v>
      </c>
      <c r="R101" s="137">
        <f t="shared" si="162"/>
        <v>403682</v>
      </c>
      <c r="S101" s="137">
        <f t="shared" si="162"/>
        <v>422995</v>
      </c>
      <c r="T101" s="137">
        <f t="shared" si="162"/>
        <v>444588</v>
      </c>
      <c r="U101" s="137">
        <f t="shared" si="162"/>
        <v>468274</v>
      </c>
      <c r="V101" s="137">
        <f t="shared" si="162"/>
        <v>483463</v>
      </c>
      <c r="W101" s="137">
        <f t="shared" ref="W101:Y101" si="163">SUM(W102:W106)</f>
        <v>499641</v>
      </c>
      <c r="X101" s="137">
        <f t="shared" si="163"/>
        <v>508806</v>
      </c>
      <c r="Y101" s="137">
        <f t="shared" si="163"/>
        <v>520435</v>
      </c>
      <c r="DA101" s="174"/>
    </row>
    <row r="102" spans="1:105" ht="11.45" hidden="1" customHeight="1" x14ac:dyDescent="0.25">
      <c r="A102" s="111" t="s">
        <v>110</v>
      </c>
      <c r="B102" s="84">
        <v>80599</v>
      </c>
      <c r="C102" s="84">
        <v>75042</v>
      </c>
      <c r="D102" s="84">
        <v>67713</v>
      </c>
      <c r="E102" s="84">
        <v>61187</v>
      </c>
      <c r="F102" s="84">
        <v>55618</v>
      </c>
      <c r="G102" s="84">
        <v>50541</v>
      </c>
      <c r="H102" s="84">
        <v>46132</v>
      </c>
      <c r="I102" s="84">
        <v>41934</v>
      </c>
      <c r="J102" s="84">
        <v>34950</v>
      </c>
      <c r="K102" s="84">
        <v>32277</v>
      </c>
      <c r="L102" s="84">
        <v>29749</v>
      </c>
      <c r="M102" s="84">
        <v>26947</v>
      </c>
      <c r="N102" s="84">
        <v>26247</v>
      </c>
      <c r="O102" s="84">
        <v>25546</v>
      </c>
      <c r="P102" s="84">
        <v>23977</v>
      </c>
      <c r="Q102" s="84">
        <v>22071</v>
      </c>
      <c r="R102" s="84">
        <v>20308</v>
      </c>
      <c r="S102" s="84">
        <v>19322</v>
      </c>
      <c r="T102" s="84">
        <v>18671</v>
      </c>
      <c r="U102" s="84">
        <v>18164</v>
      </c>
      <c r="V102" s="84">
        <v>17344</v>
      </c>
      <c r="W102" s="84">
        <v>16886</v>
      </c>
      <c r="X102" s="84">
        <v>16560</v>
      </c>
      <c r="Y102" s="84">
        <v>16741</v>
      </c>
      <c r="DA102" s="171"/>
    </row>
    <row r="103" spans="1:105" ht="11.45" hidden="1" customHeight="1" x14ac:dyDescent="0.25">
      <c r="A103" s="111" t="s">
        <v>111</v>
      </c>
      <c r="B103" s="84">
        <v>139898</v>
      </c>
      <c r="C103" s="84">
        <v>155139</v>
      </c>
      <c r="D103" s="84">
        <v>175455</v>
      </c>
      <c r="E103" s="84">
        <v>190088</v>
      </c>
      <c r="F103" s="84">
        <v>200087</v>
      </c>
      <c r="G103" s="84">
        <v>215180</v>
      </c>
      <c r="H103" s="84">
        <v>220843</v>
      </c>
      <c r="I103" s="84">
        <v>238399</v>
      </c>
      <c r="J103" s="84">
        <v>271022</v>
      </c>
      <c r="K103" s="84">
        <v>321344</v>
      </c>
      <c r="L103" s="84">
        <v>276075</v>
      </c>
      <c r="M103" s="84">
        <v>296765</v>
      </c>
      <c r="N103" s="84">
        <v>311432</v>
      </c>
      <c r="O103" s="84">
        <v>332732</v>
      </c>
      <c r="P103" s="84">
        <v>346099</v>
      </c>
      <c r="Q103" s="84">
        <v>363283</v>
      </c>
      <c r="R103" s="84">
        <v>382768</v>
      </c>
      <c r="S103" s="84">
        <v>402903</v>
      </c>
      <c r="T103" s="84">
        <v>424887</v>
      </c>
      <c r="U103" s="84">
        <v>448950</v>
      </c>
      <c r="V103" s="84">
        <v>464737</v>
      </c>
      <c r="W103" s="84">
        <v>480999</v>
      </c>
      <c r="X103" s="84">
        <v>489689</v>
      </c>
      <c r="Y103" s="84">
        <v>499754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209</v>
      </c>
      <c r="D104" s="84">
        <v>198</v>
      </c>
      <c r="E104" s="84">
        <v>196</v>
      </c>
      <c r="F104" s="84">
        <v>192</v>
      </c>
      <c r="G104" s="84">
        <v>186</v>
      </c>
      <c r="H104" s="84">
        <v>180</v>
      </c>
      <c r="I104" s="84">
        <v>171</v>
      </c>
      <c r="J104" s="84">
        <v>162</v>
      </c>
      <c r="K104" s="84">
        <v>150</v>
      </c>
      <c r="L104" s="84">
        <v>138</v>
      </c>
      <c r="M104" s="84">
        <v>124</v>
      </c>
      <c r="N104" s="84">
        <v>112</v>
      </c>
      <c r="O104" s="84">
        <v>98</v>
      </c>
      <c r="P104" s="84">
        <v>84</v>
      </c>
      <c r="Q104" s="84">
        <v>75</v>
      </c>
      <c r="R104" s="84">
        <v>63</v>
      </c>
      <c r="S104" s="84">
        <v>51</v>
      </c>
      <c r="T104" s="84">
        <v>42</v>
      </c>
      <c r="U104" s="84">
        <v>32</v>
      </c>
      <c r="V104" s="84">
        <v>28</v>
      </c>
      <c r="W104" s="84">
        <v>23</v>
      </c>
      <c r="X104" s="84">
        <v>71</v>
      </c>
      <c r="Y104" s="84">
        <v>206</v>
      </c>
      <c r="DA104" s="171"/>
    </row>
    <row r="105" spans="1:105" ht="11.45" hidden="1" customHeight="1" x14ac:dyDescent="0.25">
      <c r="A105" s="111" t="s">
        <v>113</v>
      </c>
      <c r="B105" s="84">
        <v>7</v>
      </c>
      <c r="C105" s="84">
        <v>7</v>
      </c>
      <c r="D105" s="84">
        <v>7</v>
      </c>
      <c r="E105" s="84">
        <v>7</v>
      </c>
      <c r="F105" s="84">
        <v>7</v>
      </c>
      <c r="G105" s="84">
        <v>6</v>
      </c>
      <c r="H105" s="84">
        <v>6</v>
      </c>
      <c r="I105" s="84">
        <v>6</v>
      </c>
      <c r="J105" s="84">
        <v>5</v>
      </c>
      <c r="K105" s="84">
        <v>5</v>
      </c>
      <c r="L105" s="84">
        <v>4</v>
      </c>
      <c r="M105" s="84">
        <v>4</v>
      </c>
      <c r="N105" s="84">
        <v>7</v>
      </c>
      <c r="O105" s="84">
        <v>78</v>
      </c>
      <c r="P105" s="84">
        <v>103</v>
      </c>
      <c r="Q105" s="84">
        <v>429</v>
      </c>
      <c r="R105" s="84">
        <v>449</v>
      </c>
      <c r="S105" s="84">
        <v>530</v>
      </c>
      <c r="T105" s="84">
        <v>603</v>
      </c>
      <c r="U105" s="84">
        <v>620</v>
      </c>
      <c r="V105" s="84">
        <v>630</v>
      </c>
      <c r="W105" s="84">
        <v>630</v>
      </c>
      <c r="X105" s="84">
        <v>630</v>
      </c>
      <c r="Y105" s="84">
        <v>1035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21</v>
      </c>
      <c r="P106" s="84">
        <v>22</v>
      </c>
      <c r="Q106" s="84">
        <v>43</v>
      </c>
      <c r="R106" s="84">
        <v>94</v>
      </c>
      <c r="S106" s="84">
        <v>189</v>
      </c>
      <c r="T106" s="84">
        <v>385</v>
      </c>
      <c r="U106" s="84">
        <v>508</v>
      </c>
      <c r="V106" s="84">
        <v>724</v>
      </c>
      <c r="W106" s="84">
        <v>1103</v>
      </c>
      <c r="X106" s="84">
        <v>1856</v>
      </c>
      <c r="Y106" s="84">
        <v>2699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129424</v>
      </c>
      <c r="C107" s="110">
        <f t="shared" si="164"/>
        <v>134250</v>
      </c>
      <c r="D107" s="110">
        <f t="shared" ref="D107:V107" si="165">SUM(D108:D109)</f>
        <v>138782</v>
      </c>
      <c r="E107" s="110">
        <f t="shared" si="165"/>
        <v>142094</v>
      </c>
      <c r="F107" s="110">
        <f t="shared" si="165"/>
        <v>141413</v>
      </c>
      <c r="G107" s="110">
        <f t="shared" si="165"/>
        <v>145296</v>
      </c>
      <c r="H107" s="110">
        <f t="shared" si="165"/>
        <v>157962</v>
      </c>
      <c r="I107" s="110">
        <f t="shared" si="165"/>
        <v>156537</v>
      </c>
      <c r="J107" s="110">
        <f t="shared" si="165"/>
        <v>142702</v>
      </c>
      <c r="K107" s="110">
        <f t="shared" si="165"/>
        <v>88144</v>
      </c>
      <c r="L107" s="110">
        <f t="shared" si="165"/>
        <v>135079</v>
      </c>
      <c r="M107" s="110">
        <f t="shared" si="165"/>
        <v>117602</v>
      </c>
      <c r="N107" s="110">
        <f t="shared" si="165"/>
        <v>104556</v>
      </c>
      <c r="O107" s="110">
        <f t="shared" si="165"/>
        <v>90891</v>
      </c>
      <c r="P107" s="110">
        <f t="shared" si="165"/>
        <v>93999</v>
      </c>
      <c r="Q107" s="110">
        <f t="shared" si="165"/>
        <v>96762</v>
      </c>
      <c r="R107" s="110">
        <f t="shared" si="165"/>
        <v>99346</v>
      </c>
      <c r="S107" s="110">
        <f t="shared" si="165"/>
        <v>106722</v>
      </c>
      <c r="T107" s="110">
        <f t="shared" si="165"/>
        <v>115556</v>
      </c>
      <c r="U107" s="110">
        <f t="shared" si="165"/>
        <v>121100</v>
      </c>
      <c r="V107" s="110">
        <f t="shared" si="165"/>
        <v>126105</v>
      </c>
      <c r="W107" s="110">
        <f t="shared" ref="W107:Y107" si="166">SUM(W108:W109)</f>
        <v>130903</v>
      </c>
      <c r="X107" s="110">
        <f t="shared" si="166"/>
        <v>135932</v>
      </c>
      <c r="Y107" s="110">
        <f t="shared" si="166"/>
        <v>143775</v>
      </c>
      <c r="DA107" s="176"/>
    </row>
    <row r="108" spans="1:105" ht="11.45" hidden="1" customHeight="1" x14ac:dyDescent="0.25">
      <c r="A108" s="128" t="s">
        <v>27</v>
      </c>
      <c r="B108" s="102">
        <v>122983</v>
      </c>
      <c r="C108" s="102">
        <v>127345</v>
      </c>
      <c r="D108" s="102">
        <v>131518</v>
      </c>
      <c r="E108" s="102">
        <v>134669</v>
      </c>
      <c r="F108" s="102">
        <v>132634</v>
      </c>
      <c r="G108" s="102">
        <v>136208</v>
      </c>
      <c r="H108" s="102">
        <v>148084</v>
      </c>
      <c r="I108" s="102">
        <v>145726</v>
      </c>
      <c r="J108" s="102">
        <v>130728</v>
      </c>
      <c r="K108" s="102">
        <v>79429</v>
      </c>
      <c r="L108" s="102">
        <v>126802</v>
      </c>
      <c r="M108" s="102">
        <v>108829</v>
      </c>
      <c r="N108" s="102">
        <v>95721</v>
      </c>
      <c r="O108" s="102">
        <v>81880</v>
      </c>
      <c r="P108" s="102">
        <v>84750</v>
      </c>
      <c r="Q108" s="102">
        <v>86889</v>
      </c>
      <c r="R108" s="102">
        <v>88702</v>
      </c>
      <c r="S108" s="102">
        <v>95073</v>
      </c>
      <c r="T108" s="102">
        <v>103899</v>
      </c>
      <c r="U108" s="102">
        <v>109124</v>
      </c>
      <c r="V108" s="102">
        <v>114769</v>
      </c>
      <c r="W108" s="102">
        <v>118372</v>
      </c>
      <c r="X108" s="102">
        <v>122616</v>
      </c>
      <c r="Y108" s="102">
        <v>130480</v>
      </c>
      <c r="DA108" s="175"/>
    </row>
    <row r="109" spans="1:105" ht="11.45" hidden="1" customHeight="1" x14ac:dyDescent="0.25">
      <c r="A109" s="138" t="s">
        <v>116</v>
      </c>
      <c r="B109" s="86">
        <v>6441</v>
      </c>
      <c r="C109" s="86">
        <v>6905</v>
      </c>
      <c r="D109" s="86">
        <v>7264</v>
      </c>
      <c r="E109" s="86">
        <v>7425</v>
      </c>
      <c r="F109" s="86">
        <v>8779</v>
      </c>
      <c r="G109" s="86">
        <v>9088</v>
      </c>
      <c r="H109" s="86">
        <v>9878</v>
      </c>
      <c r="I109" s="86">
        <v>10811</v>
      </c>
      <c r="J109" s="86">
        <v>11974</v>
      </c>
      <c r="K109" s="86">
        <v>8715</v>
      </c>
      <c r="L109" s="86">
        <v>8277</v>
      </c>
      <c r="M109" s="86">
        <v>8773</v>
      </c>
      <c r="N109" s="86">
        <v>8835</v>
      </c>
      <c r="O109" s="86">
        <v>9011</v>
      </c>
      <c r="P109" s="86">
        <v>9249</v>
      </c>
      <c r="Q109" s="86">
        <v>9873</v>
      </c>
      <c r="R109" s="86">
        <v>10644</v>
      </c>
      <c r="S109" s="86">
        <v>11649</v>
      </c>
      <c r="T109" s="86">
        <v>11657</v>
      </c>
      <c r="U109" s="86">
        <v>11976</v>
      </c>
      <c r="V109" s="86">
        <v>11336</v>
      </c>
      <c r="W109" s="86">
        <v>12531</v>
      </c>
      <c r="X109" s="86">
        <v>13316</v>
      </c>
      <c r="Y109" s="86">
        <v>13295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172685</v>
      </c>
      <c r="C111" s="54">
        <f t="shared" si="167"/>
        <v>227436</v>
      </c>
      <c r="D111" s="54">
        <f t="shared" si="167"/>
        <v>286215</v>
      </c>
      <c r="E111" s="54">
        <f t="shared" si="167"/>
        <v>319488</v>
      </c>
      <c r="F111" s="54">
        <f t="shared" si="167"/>
        <v>303378</v>
      </c>
      <c r="G111" s="54">
        <f t="shared" si="167"/>
        <v>288934</v>
      </c>
      <c r="H111" s="54">
        <f t="shared" si="167"/>
        <v>366496</v>
      </c>
      <c r="I111" s="54">
        <f t="shared" si="167"/>
        <v>253606</v>
      </c>
      <c r="J111" s="54">
        <f t="shared" si="167"/>
        <v>240613</v>
      </c>
      <c r="K111" s="54">
        <f t="shared" si="167"/>
        <v>136191</v>
      </c>
      <c r="L111" s="54">
        <f t="shared" ref="L111" si="168">L112+L127</f>
        <v>127405</v>
      </c>
      <c r="M111" s="54">
        <f t="shared" ref="M111:V111" si="169">M112+M127</f>
        <v>117921</v>
      </c>
      <c r="N111" s="54">
        <f t="shared" si="169"/>
        <v>135627</v>
      </c>
      <c r="O111" s="54">
        <f t="shared" si="169"/>
        <v>184310</v>
      </c>
      <c r="P111" s="54">
        <f t="shared" si="169"/>
        <v>215820</v>
      </c>
      <c r="Q111" s="54">
        <f t="shared" si="169"/>
        <v>253980</v>
      </c>
      <c r="R111" s="54">
        <f t="shared" si="169"/>
        <v>296267</v>
      </c>
      <c r="S111" s="54">
        <f t="shared" si="169"/>
        <v>337511</v>
      </c>
      <c r="T111" s="54">
        <f t="shared" si="169"/>
        <v>372022</v>
      </c>
      <c r="U111" s="54">
        <f t="shared" si="169"/>
        <v>394569</v>
      </c>
      <c r="V111" s="54">
        <f t="shared" si="169"/>
        <v>324654</v>
      </c>
      <c r="W111" s="54">
        <f t="shared" ref="W111:Y111" si="170">W112+W127</f>
        <v>327482</v>
      </c>
      <c r="X111" s="54">
        <f t="shared" si="170"/>
        <v>307462</v>
      </c>
      <c r="Y111" s="54">
        <f t="shared" si="170"/>
        <v>288475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150084</v>
      </c>
      <c r="C112" s="28">
        <f t="shared" si="171"/>
        <v>195593</v>
      </c>
      <c r="D112" s="28">
        <f t="shared" si="171"/>
        <v>248365</v>
      </c>
      <c r="E112" s="28">
        <f t="shared" si="171"/>
        <v>284964</v>
      </c>
      <c r="F112" s="28">
        <f t="shared" si="171"/>
        <v>273171</v>
      </c>
      <c r="G112" s="28">
        <f t="shared" si="171"/>
        <v>254013</v>
      </c>
      <c r="H112" s="28">
        <f t="shared" si="171"/>
        <v>316660</v>
      </c>
      <c r="I112" s="28">
        <f t="shared" si="171"/>
        <v>210059</v>
      </c>
      <c r="J112" s="28">
        <f t="shared" si="171"/>
        <v>189966</v>
      </c>
      <c r="K112" s="28">
        <f t="shared" si="171"/>
        <v>83855</v>
      </c>
      <c r="L112" s="28">
        <f t="shared" ref="L112" si="172">L113+L114+L121</f>
        <v>68038</v>
      </c>
      <c r="M112" s="28">
        <f t="shared" ref="M112:V112" si="173">M113+M114+M121</f>
        <v>83324</v>
      </c>
      <c r="N112" s="28">
        <f t="shared" si="173"/>
        <v>114903</v>
      </c>
      <c r="O112" s="28">
        <f t="shared" si="173"/>
        <v>135852</v>
      </c>
      <c r="P112" s="28">
        <f t="shared" si="173"/>
        <v>173942</v>
      </c>
      <c r="Q112" s="28">
        <f t="shared" si="173"/>
        <v>209711</v>
      </c>
      <c r="R112" s="28">
        <f t="shared" si="173"/>
        <v>248701</v>
      </c>
      <c r="S112" s="28">
        <f t="shared" si="173"/>
        <v>280714</v>
      </c>
      <c r="T112" s="28">
        <f t="shared" si="173"/>
        <v>308171</v>
      </c>
      <c r="U112" s="28">
        <f t="shared" si="173"/>
        <v>328773</v>
      </c>
      <c r="V112" s="28">
        <f t="shared" si="173"/>
        <v>270651</v>
      </c>
      <c r="W112" s="28">
        <f t="shared" ref="W112:Y112" si="174">W113+W114+W121</f>
        <v>266123</v>
      </c>
      <c r="X112" s="28">
        <f t="shared" si="174"/>
        <v>249719</v>
      </c>
      <c r="Y112" s="28">
        <f t="shared" si="174"/>
        <v>228090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3263</v>
      </c>
      <c r="D113" s="137">
        <v>7438</v>
      </c>
      <c r="E113" s="137">
        <v>8875</v>
      </c>
      <c r="F113" s="137">
        <v>16152.000000000002</v>
      </c>
      <c r="G113" s="137">
        <v>12537</v>
      </c>
      <c r="H113" s="137">
        <v>12005</v>
      </c>
      <c r="I113" s="137">
        <v>12642</v>
      </c>
      <c r="J113" s="137">
        <v>12165</v>
      </c>
      <c r="K113" s="137">
        <v>7344</v>
      </c>
      <c r="L113" s="137">
        <v>6057</v>
      </c>
      <c r="M113" s="137">
        <v>6076</v>
      </c>
      <c r="N113" s="137">
        <v>7070</v>
      </c>
      <c r="O113" s="137">
        <v>7467</v>
      </c>
      <c r="P113" s="137">
        <v>7969</v>
      </c>
      <c r="Q113" s="137">
        <v>8380</v>
      </c>
      <c r="R113" s="137">
        <v>8650</v>
      </c>
      <c r="S113" s="137">
        <v>7684</v>
      </c>
      <c r="T113" s="137">
        <v>11181</v>
      </c>
      <c r="U113" s="137">
        <v>12514</v>
      </c>
      <c r="V113" s="137">
        <v>11440</v>
      </c>
      <c r="W113" s="137">
        <v>10846</v>
      </c>
      <c r="X113" s="137">
        <v>11263</v>
      </c>
      <c r="Y113" s="137">
        <v>13806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149137</v>
      </c>
      <c r="C114" s="110">
        <f t="shared" si="175"/>
        <v>190518</v>
      </c>
      <c r="D114" s="110">
        <f t="shared" si="175"/>
        <v>239127</v>
      </c>
      <c r="E114" s="110">
        <f t="shared" si="175"/>
        <v>274389</v>
      </c>
      <c r="F114" s="110">
        <f t="shared" si="175"/>
        <v>255822</v>
      </c>
      <c r="G114" s="110">
        <f t="shared" si="175"/>
        <v>239810</v>
      </c>
      <c r="H114" s="110">
        <f t="shared" si="175"/>
        <v>301366</v>
      </c>
      <c r="I114" s="110">
        <f t="shared" si="175"/>
        <v>195611</v>
      </c>
      <c r="J114" s="110">
        <f t="shared" si="175"/>
        <v>176678</v>
      </c>
      <c r="K114" s="110">
        <f t="shared" si="175"/>
        <v>75837</v>
      </c>
      <c r="L114" s="110">
        <f t="shared" ref="L114" si="176">SUM(L115:L120)</f>
        <v>61324</v>
      </c>
      <c r="M114" s="110">
        <f t="shared" ref="M114:V114" si="177">SUM(M115:M120)</f>
        <v>76528</v>
      </c>
      <c r="N114" s="110">
        <f t="shared" si="177"/>
        <v>106671</v>
      </c>
      <c r="O114" s="110">
        <f t="shared" si="177"/>
        <v>126937</v>
      </c>
      <c r="P114" s="110">
        <f t="shared" si="177"/>
        <v>164420</v>
      </c>
      <c r="Q114" s="110">
        <f t="shared" si="177"/>
        <v>199906</v>
      </c>
      <c r="R114" s="110">
        <f t="shared" si="177"/>
        <v>238655</v>
      </c>
      <c r="S114" s="110">
        <f t="shared" si="177"/>
        <v>271720</v>
      </c>
      <c r="T114" s="110">
        <f t="shared" si="177"/>
        <v>295431</v>
      </c>
      <c r="U114" s="110">
        <f t="shared" si="177"/>
        <v>314498</v>
      </c>
      <c r="V114" s="110">
        <f t="shared" si="177"/>
        <v>258511</v>
      </c>
      <c r="W114" s="110">
        <f t="shared" ref="W114:Y114" si="178">SUM(W115:W120)</f>
        <v>254191</v>
      </c>
      <c r="X114" s="110">
        <f t="shared" si="178"/>
        <v>237688</v>
      </c>
      <c r="Y114" s="110">
        <f t="shared" si="178"/>
        <v>213422</v>
      </c>
      <c r="DA114" s="176" t="s">
        <v>529</v>
      </c>
    </row>
    <row r="115" spans="1:105" ht="11.45" customHeight="1" x14ac:dyDescent="0.25">
      <c r="A115" s="111" t="s">
        <v>110</v>
      </c>
      <c r="B115" s="84">
        <v>141705</v>
      </c>
      <c r="C115" s="84">
        <v>161937</v>
      </c>
      <c r="D115" s="84">
        <v>200741</v>
      </c>
      <c r="E115" s="84">
        <v>176886</v>
      </c>
      <c r="F115" s="84">
        <v>201848</v>
      </c>
      <c r="G115" s="84">
        <v>226731</v>
      </c>
      <c r="H115" s="84">
        <v>168707</v>
      </c>
      <c r="I115" s="84">
        <v>124450</v>
      </c>
      <c r="J115" s="84">
        <v>111339</v>
      </c>
      <c r="K115" s="84">
        <v>42308</v>
      </c>
      <c r="L115" s="84">
        <v>28710</v>
      </c>
      <c r="M115" s="84">
        <v>47069</v>
      </c>
      <c r="N115" s="84">
        <v>62709</v>
      </c>
      <c r="O115" s="84">
        <v>60019</v>
      </c>
      <c r="P115" s="84">
        <v>84946</v>
      </c>
      <c r="Q115" s="84">
        <v>106093</v>
      </c>
      <c r="R115" s="84">
        <v>121766</v>
      </c>
      <c r="S115" s="84">
        <v>148776</v>
      </c>
      <c r="T115" s="84">
        <v>177297</v>
      </c>
      <c r="U115" s="84">
        <v>207156</v>
      </c>
      <c r="V115" s="84">
        <v>197435</v>
      </c>
      <c r="W115" s="84">
        <v>167283</v>
      </c>
      <c r="X115" s="84">
        <v>151231</v>
      </c>
      <c r="Y115" s="84">
        <v>124809</v>
      </c>
      <c r="DA115" s="171" t="s">
        <v>530</v>
      </c>
    </row>
    <row r="116" spans="1:105" ht="11.45" customHeight="1" x14ac:dyDescent="0.25">
      <c r="A116" s="111" t="s">
        <v>111</v>
      </c>
      <c r="B116" s="84">
        <v>7432</v>
      </c>
      <c r="C116" s="84">
        <v>25181</v>
      </c>
      <c r="D116" s="84">
        <v>38386</v>
      </c>
      <c r="E116" s="84">
        <v>47666</v>
      </c>
      <c r="F116" s="84">
        <v>53974</v>
      </c>
      <c r="G116" s="84">
        <v>13079</v>
      </c>
      <c r="H116" s="84">
        <v>132659</v>
      </c>
      <c r="I116" s="84">
        <v>71161</v>
      </c>
      <c r="J116" s="84">
        <v>65339</v>
      </c>
      <c r="K116" s="84">
        <v>33529</v>
      </c>
      <c r="L116" s="84">
        <v>30403</v>
      </c>
      <c r="M116" s="84">
        <v>22331</v>
      </c>
      <c r="N116" s="84">
        <v>41687</v>
      </c>
      <c r="O116" s="84">
        <v>60747</v>
      </c>
      <c r="P116" s="84">
        <v>75438</v>
      </c>
      <c r="Q116" s="84">
        <v>90794</v>
      </c>
      <c r="R116" s="84">
        <v>116239</v>
      </c>
      <c r="S116" s="84">
        <v>121155</v>
      </c>
      <c r="T116" s="84">
        <v>115389</v>
      </c>
      <c r="U116" s="84">
        <v>103509</v>
      </c>
      <c r="V116" s="84">
        <v>53307</v>
      </c>
      <c r="W116" s="84">
        <v>73545</v>
      </c>
      <c r="X116" s="84">
        <v>69466</v>
      </c>
      <c r="Y116" s="84">
        <v>71057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3400</v>
      </c>
      <c r="D117" s="84">
        <v>0</v>
      </c>
      <c r="E117" s="84">
        <v>49837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2032</v>
      </c>
      <c r="M117" s="84">
        <v>6799</v>
      </c>
      <c r="N117" s="84">
        <v>2249</v>
      </c>
      <c r="O117" s="84">
        <v>5723</v>
      </c>
      <c r="P117" s="84">
        <v>3716</v>
      </c>
      <c r="Q117" s="84">
        <v>1781</v>
      </c>
      <c r="R117" s="84">
        <v>7</v>
      </c>
      <c r="S117" s="84">
        <v>0</v>
      </c>
      <c r="T117" s="84">
        <v>29</v>
      </c>
      <c r="U117" s="84">
        <v>10</v>
      </c>
      <c r="V117" s="84">
        <v>322</v>
      </c>
      <c r="W117" s="84">
        <v>595</v>
      </c>
      <c r="X117" s="84">
        <v>772</v>
      </c>
      <c r="Y117" s="84">
        <v>559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4</v>
      </c>
      <c r="N118" s="84">
        <v>3</v>
      </c>
      <c r="O118" s="84">
        <v>437</v>
      </c>
      <c r="P118" s="84">
        <v>268</v>
      </c>
      <c r="Q118" s="84">
        <v>1047</v>
      </c>
      <c r="R118" s="84">
        <v>158</v>
      </c>
      <c r="S118" s="84">
        <v>241</v>
      </c>
      <c r="T118" s="84">
        <v>126</v>
      </c>
      <c r="U118" s="84">
        <v>19</v>
      </c>
      <c r="V118" s="84">
        <v>11</v>
      </c>
      <c r="W118" s="84">
        <v>11</v>
      </c>
      <c r="X118" s="84">
        <v>13</v>
      </c>
      <c r="Y118" s="84">
        <v>3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17</v>
      </c>
      <c r="O119" s="84">
        <v>0</v>
      </c>
      <c r="P119" s="84">
        <v>23</v>
      </c>
      <c r="Q119" s="84">
        <v>70</v>
      </c>
      <c r="R119" s="84">
        <v>284</v>
      </c>
      <c r="S119" s="84">
        <v>369</v>
      </c>
      <c r="T119" s="84">
        <v>747</v>
      </c>
      <c r="U119" s="84">
        <v>1035</v>
      </c>
      <c r="V119" s="84">
        <v>2982</v>
      </c>
      <c r="W119" s="84">
        <v>4885</v>
      </c>
      <c r="X119" s="84">
        <v>5090</v>
      </c>
      <c r="Y119" s="84">
        <v>5447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177</v>
      </c>
      <c r="M120" s="84">
        <v>325</v>
      </c>
      <c r="N120" s="84">
        <v>6</v>
      </c>
      <c r="O120" s="84">
        <v>11</v>
      </c>
      <c r="P120" s="84">
        <v>29</v>
      </c>
      <c r="Q120" s="84">
        <v>121</v>
      </c>
      <c r="R120" s="84">
        <v>201</v>
      </c>
      <c r="S120" s="84">
        <v>1179</v>
      </c>
      <c r="T120" s="84">
        <v>1843</v>
      </c>
      <c r="U120" s="84">
        <v>2769</v>
      </c>
      <c r="V120" s="84">
        <v>4454</v>
      </c>
      <c r="W120" s="84">
        <v>7872</v>
      </c>
      <c r="X120" s="84">
        <v>11116</v>
      </c>
      <c r="Y120" s="84">
        <v>11547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947</v>
      </c>
      <c r="C121" s="110">
        <f t="shared" si="179"/>
        <v>1812</v>
      </c>
      <c r="D121" s="110">
        <f t="shared" si="179"/>
        <v>1800</v>
      </c>
      <c r="E121" s="110">
        <f t="shared" si="179"/>
        <v>1700</v>
      </c>
      <c r="F121" s="110">
        <f t="shared" si="179"/>
        <v>1197</v>
      </c>
      <c r="G121" s="110">
        <f t="shared" si="179"/>
        <v>1666</v>
      </c>
      <c r="H121" s="110">
        <f t="shared" si="179"/>
        <v>3289</v>
      </c>
      <c r="I121" s="110">
        <f t="shared" si="179"/>
        <v>1806</v>
      </c>
      <c r="J121" s="110">
        <f t="shared" si="179"/>
        <v>1123</v>
      </c>
      <c r="K121" s="110">
        <f t="shared" si="179"/>
        <v>674</v>
      </c>
      <c r="L121" s="110">
        <f t="shared" ref="L121" si="180">SUM(L122:L126)</f>
        <v>657</v>
      </c>
      <c r="M121" s="110">
        <f t="shared" ref="M121:V121" si="181">SUM(M122:M126)</f>
        <v>720</v>
      </c>
      <c r="N121" s="110">
        <f t="shared" si="181"/>
        <v>1162</v>
      </c>
      <c r="O121" s="110">
        <f t="shared" si="181"/>
        <v>1448</v>
      </c>
      <c r="P121" s="110">
        <f t="shared" si="181"/>
        <v>1553</v>
      </c>
      <c r="Q121" s="110">
        <f t="shared" si="181"/>
        <v>1425</v>
      </c>
      <c r="R121" s="110">
        <f t="shared" si="181"/>
        <v>1396</v>
      </c>
      <c r="S121" s="110">
        <f t="shared" si="181"/>
        <v>1310</v>
      </c>
      <c r="T121" s="110">
        <f t="shared" si="181"/>
        <v>1559</v>
      </c>
      <c r="U121" s="110">
        <f t="shared" si="181"/>
        <v>1761</v>
      </c>
      <c r="V121" s="110">
        <f t="shared" si="181"/>
        <v>700</v>
      </c>
      <c r="W121" s="110">
        <f t="shared" ref="W121:Y121" si="182">SUM(W122:W126)</f>
        <v>1086</v>
      </c>
      <c r="X121" s="110">
        <f t="shared" si="182"/>
        <v>768</v>
      </c>
      <c r="Y121" s="110">
        <f t="shared" si="182"/>
        <v>862</v>
      </c>
      <c r="DA121" s="176" t="s">
        <v>536</v>
      </c>
    </row>
    <row r="122" spans="1:105" ht="11.45" customHeight="1" x14ac:dyDescent="0.25">
      <c r="A122" s="111" t="s">
        <v>110</v>
      </c>
      <c r="B122" s="102">
        <v>6</v>
      </c>
      <c r="C122" s="102">
        <v>0</v>
      </c>
      <c r="D122" s="102">
        <v>0</v>
      </c>
      <c r="E122" s="102">
        <v>0</v>
      </c>
      <c r="F122" s="102">
        <v>2</v>
      </c>
      <c r="G122" s="102">
        <v>1</v>
      </c>
      <c r="H122" s="102">
        <v>0</v>
      </c>
      <c r="I122" s="102">
        <v>1</v>
      </c>
      <c r="J122" s="102">
        <v>7</v>
      </c>
      <c r="K122" s="102">
        <v>0</v>
      </c>
      <c r="L122" s="102">
        <v>4</v>
      </c>
      <c r="M122" s="102">
        <v>7</v>
      </c>
      <c r="N122" s="102">
        <v>5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6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941</v>
      </c>
      <c r="C123" s="102">
        <v>1793</v>
      </c>
      <c r="D123" s="102">
        <v>1791</v>
      </c>
      <c r="E123" s="102">
        <v>1680</v>
      </c>
      <c r="F123" s="102">
        <v>1186</v>
      </c>
      <c r="G123" s="102">
        <v>1650</v>
      </c>
      <c r="H123" s="102">
        <v>3280</v>
      </c>
      <c r="I123" s="102">
        <v>1805</v>
      </c>
      <c r="J123" s="102">
        <v>1116</v>
      </c>
      <c r="K123" s="102">
        <v>674</v>
      </c>
      <c r="L123" s="102">
        <v>653</v>
      </c>
      <c r="M123" s="102">
        <v>713</v>
      </c>
      <c r="N123" s="102">
        <v>1147</v>
      </c>
      <c r="O123" s="102">
        <v>1424</v>
      </c>
      <c r="P123" s="102">
        <v>1453</v>
      </c>
      <c r="Q123" s="102">
        <v>1315</v>
      </c>
      <c r="R123" s="102">
        <v>1198</v>
      </c>
      <c r="S123" s="102">
        <v>1222</v>
      </c>
      <c r="T123" s="102">
        <v>1556</v>
      </c>
      <c r="U123" s="102">
        <v>1761</v>
      </c>
      <c r="V123" s="102">
        <v>672</v>
      </c>
      <c r="W123" s="102">
        <v>1039</v>
      </c>
      <c r="X123" s="102">
        <v>574</v>
      </c>
      <c r="Y123" s="102">
        <v>797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1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19</v>
      </c>
      <c r="D125" s="102">
        <v>9</v>
      </c>
      <c r="E125" s="102">
        <v>19</v>
      </c>
      <c r="F125" s="102">
        <v>9</v>
      </c>
      <c r="G125" s="102">
        <v>15</v>
      </c>
      <c r="H125" s="102">
        <v>9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10</v>
      </c>
      <c r="O125" s="102">
        <v>23</v>
      </c>
      <c r="P125" s="102">
        <v>98</v>
      </c>
      <c r="Q125" s="102">
        <v>90</v>
      </c>
      <c r="R125" s="102">
        <v>195</v>
      </c>
      <c r="S125" s="102">
        <v>88</v>
      </c>
      <c r="T125" s="102">
        <v>1</v>
      </c>
      <c r="U125" s="102">
        <v>0</v>
      </c>
      <c r="V125" s="102">
        <v>0</v>
      </c>
      <c r="W125" s="102">
        <v>0</v>
      </c>
      <c r="X125" s="102">
        <v>150</v>
      </c>
      <c r="Y125" s="102">
        <v>5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1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20</v>
      </c>
      <c r="R126" s="102">
        <v>2</v>
      </c>
      <c r="S126" s="102">
        <v>0</v>
      </c>
      <c r="T126" s="102">
        <v>1</v>
      </c>
      <c r="U126" s="102">
        <v>0</v>
      </c>
      <c r="V126" s="102">
        <v>22</v>
      </c>
      <c r="W126" s="102">
        <v>47</v>
      </c>
      <c r="X126" s="102">
        <v>44</v>
      </c>
      <c r="Y126" s="102">
        <v>60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22601</v>
      </c>
      <c r="C127" s="28">
        <f t="shared" si="183"/>
        <v>31843</v>
      </c>
      <c r="D127" s="28">
        <f t="shared" si="183"/>
        <v>37850</v>
      </c>
      <c r="E127" s="28">
        <f t="shared" si="183"/>
        <v>34524</v>
      </c>
      <c r="F127" s="28">
        <f t="shared" si="183"/>
        <v>30207</v>
      </c>
      <c r="G127" s="28">
        <f t="shared" si="183"/>
        <v>34921</v>
      </c>
      <c r="H127" s="28">
        <f t="shared" si="183"/>
        <v>49836</v>
      </c>
      <c r="I127" s="28">
        <f t="shared" si="183"/>
        <v>43547</v>
      </c>
      <c r="J127" s="28">
        <f t="shared" si="183"/>
        <v>50647</v>
      </c>
      <c r="K127" s="28">
        <f t="shared" si="183"/>
        <v>52336</v>
      </c>
      <c r="L127" s="28">
        <f t="shared" ref="L127" si="184">L128+L134</f>
        <v>59367</v>
      </c>
      <c r="M127" s="28">
        <f t="shared" ref="M127:V127" si="185">M128+M134</f>
        <v>34597</v>
      </c>
      <c r="N127" s="28">
        <f t="shared" si="185"/>
        <v>20724</v>
      </c>
      <c r="O127" s="28">
        <f t="shared" si="185"/>
        <v>48458</v>
      </c>
      <c r="P127" s="28">
        <f t="shared" si="185"/>
        <v>41878</v>
      </c>
      <c r="Q127" s="28">
        <f t="shared" si="185"/>
        <v>44269</v>
      </c>
      <c r="R127" s="28">
        <f t="shared" si="185"/>
        <v>47566</v>
      </c>
      <c r="S127" s="28">
        <f t="shared" si="185"/>
        <v>56797</v>
      </c>
      <c r="T127" s="28">
        <f t="shared" si="185"/>
        <v>63851</v>
      </c>
      <c r="U127" s="28">
        <f t="shared" si="185"/>
        <v>65796</v>
      </c>
      <c r="V127" s="28">
        <f t="shared" si="185"/>
        <v>54003</v>
      </c>
      <c r="W127" s="28">
        <f t="shared" ref="W127:Y127" si="186">W128+W134</f>
        <v>61359</v>
      </c>
      <c r="X127" s="28">
        <f t="shared" si="186"/>
        <v>57743</v>
      </c>
      <c r="Y127" s="28">
        <f t="shared" si="186"/>
        <v>60385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21957</v>
      </c>
      <c r="C128" s="137">
        <f t="shared" si="187"/>
        <v>23068</v>
      </c>
      <c r="D128" s="137">
        <f t="shared" si="187"/>
        <v>29516</v>
      </c>
      <c r="E128" s="137">
        <f t="shared" si="187"/>
        <v>25194</v>
      </c>
      <c r="F128" s="137">
        <f t="shared" si="187"/>
        <v>21741</v>
      </c>
      <c r="G128" s="137">
        <f t="shared" si="187"/>
        <v>19942</v>
      </c>
      <c r="H128" s="137">
        <f t="shared" si="187"/>
        <v>26247</v>
      </c>
      <c r="I128" s="137">
        <f t="shared" si="187"/>
        <v>31793</v>
      </c>
      <c r="J128" s="137">
        <f t="shared" si="187"/>
        <v>47306</v>
      </c>
      <c r="K128" s="137">
        <f t="shared" si="187"/>
        <v>51029</v>
      </c>
      <c r="L128" s="137">
        <f t="shared" ref="L128" si="188">SUM(L129:L133)</f>
        <v>11915</v>
      </c>
      <c r="M128" s="137">
        <f t="shared" ref="M128:V128" si="189">SUM(M129:M133)</f>
        <v>32283</v>
      </c>
      <c r="N128" s="137">
        <f t="shared" si="189"/>
        <v>18998</v>
      </c>
      <c r="O128" s="137">
        <f t="shared" si="189"/>
        <v>46712</v>
      </c>
      <c r="P128" s="137">
        <f t="shared" si="189"/>
        <v>37633</v>
      </c>
      <c r="Q128" s="137">
        <f t="shared" si="189"/>
        <v>40818</v>
      </c>
      <c r="R128" s="137">
        <f t="shared" si="189"/>
        <v>43474</v>
      </c>
      <c r="S128" s="137">
        <f t="shared" si="189"/>
        <v>45748</v>
      </c>
      <c r="T128" s="137">
        <f t="shared" si="189"/>
        <v>49010</v>
      </c>
      <c r="U128" s="137">
        <f t="shared" si="189"/>
        <v>52274</v>
      </c>
      <c r="V128" s="137">
        <f t="shared" si="189"/>
        <v>45067</v>
      </c>
      <c r="W128" s="137">
        <f t="shared" ref="W128:Y128" si="190">SUM(W129:W133)</f>
        <v>47126</v>
      </c>
      <c r="X128" s="137">
        <f t="shared" si="190"/>
        <v>42708</v>
      </c>
      <c r="Y128" s="137">
        <f t="shared" si="190"/>
        <v>45945</v>
      </c>
      <c r="DA128" s="174" t="s">
        <v>543</v>
      </c>
    </row>
    <row r="129" spans="1:105" ht="11.45" customHeight="1" x14ac:dyDescent="0.25">
      <c r="A129" s="111" t="s">
        <v>110</v>
      </c>
      <c r="B129" s="84">
        <v>2668</v>
      </c>
      <c r="C129" s="84">
        <v>1647</v>
      </c>
      <c r="D129" s="84">
        <v>1345</v>
      </c>
      <c r="E129" s="84">
        <v>956</v>
      </c>
      <c r="F129" s="84">
        <v>960</v>
      </c>
      <c r="G129" s="84">
        <v>723</v>
      </c>
      <c r="H129" s="84">
        <v>340</v>
      </c>
      <c r="I129" s="84">
        <v>629</v>
      </c>
      <c r="J129" s="84">
        <v>644</v>
      </c>
      <c r="K129" s="84">
        <v>707</v>
      </c>
      <c r="L129" s="84">
        <v>323</v>
      </c>
      <c r="M129" s="84">
        <v>159</v>
      </c>
      <c r="N129" s="84">
        <v>240</v>
      </c>
      <c r="O129" s="84">
        <v>7294</v>
      </c>
      <c r="P129" s="84">
        <v>2882</v>
      </c>
      <c r="Q129" s="84">
        <v>1317</v>
      </c>
      <c r="R129" s="84">
        <v>764</v>
      </c>
      <c r="S129" s="84">
        <v>986</v>
      </c>
      <c r="T129" s="84">
        <v>1079</v>
      </c>
      <c r="U129" s="84">
        <v>1057</v>
      </c>
      <c r="V129" s="84">
        <v>471</v>
      </c>
      <c r="W129" s="84">
        <v>703</v>
      </c>
      <c r="X129" s="84">
        <v>1133</v>
      </c>
      <c r="Y129" s="84">
        <v>1534</v>
      </c>
      <c r="DA129" s="171" t="s">
        <v>544</v>
      </c>
    </row>
    <row r="130" spans="1:105" ht="11.45" customHeight="1" x14ac:dyDescent="0.25">
      <c r="A130" s="111" t="s">
        <v>111</v>
      </c>
      <c r="B130" s="84">
        <v>19282</v>
      </c>
      <c r="C130" s="84">
        <v>21212</v>
      </c>
      <c r="D130" s="84">
        <v>28171</v>
      </c>
      <c r="E130" s="84">
        <v>24238</v>
      </c>
      <c r="F130" s="84">
        <v>20781</v>
      </c>
      <c r="G130" s="84">
        <v>19219</v>
      </c>
      <c r="H130" s="84">
        <v>25907</v>
      </c>
      <c r="I130" s="84">
        <v>31164</v>
      </c>
      <c r="J130" s="84">
        <v>46662</v>
      </c>
      <c r="K130" s="84">
        <v>50322</v>
      </c>
      <c r="L130" s="84">
        <v>11592</v>
      </c>
      <c r="M130" s="84">
        <v>32124</v>
      </c>
      <c r="N130" s="84">
        <v>18750</v>
      </c>
      <c r="O130" s="84">
        <v>39326</v>
      </c>
      <c r="P130" s="84">
        <v>34724</v>
      </c>
      <c r="Q130" s="84">
        <v>39149</v>
      </c>
      <c r="R130" s="84">
        <v>42638</v>
      </c>
      <c r="S130" s="84">
        <v>44584</v>
      </c>
      <c r="T130" s="84">
        <v>47659</v>
      </c>
      <c r="U130" s="84">
        <v>51073</v>
      </c>
      <c r="V130" s="84">
        <v>44294</v>
      </c>
      <c r="W130" s="84">
        <v>45963</v>
      </c>
      <c r="X130" s="84">
        <v>40761</v>
      </c>
      <c r="Y130" s="84">
        <v>43013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209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</v>
      </c>
      <c r="O131" s="84">
        <v>0</v>
      </c>
      <c r="P131" s="84">
        <v>0</v>
      </c>
      <c r="Q131" s="84">
        <v>5</v>
      </c>
      <c r="R131" s="84">
        <v>0</v>
      </c>
      <c r="S131" s="84">
        <v>0</v>
      </c>
      <c r="T131" s="84">
        <v>0</v>
      </c>
      <c r="U131" s="84">
        <v>0</v>
      </c>
      <c r="V131" s="84">
        <v>3</v>
      </c>
      <c r="W131" s="84">
        <v>1</v>
      </c>
      <c r="X131" s="84">
        <v>53</v>
      </c>
      <c r="Y131" s="84">
        <v>141</v>
      </c>
      <c r="DA131" s="171" t="s">
        <v>546</v>
      </c>
    </row>
    <row r="132" spans="1:105" ht="11.45" customHeight="1" x14ac:dyDescent="0.25">
      <c r="A132" s="111" t="s">
        <v>113</v>
      </c>
      <c r="B132" s="84">
        <v>7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7</v>
      </c>
      <c r="O132" s="84">
        <v>71</v>
      </c>
      <c r="P132" s="84">
        <v>25</v>
      </c>
      <c r="Q132" s="84">
        <v>326</v>
      </c>
      <c r="R132" s="84">
        <v>21</v>
      </c>
      <c r="S132" s="84">
        <v>83</v>
      </c>
      <c r="T132" s="84">
        <v>76</v>
      </c>
      <c r="U132" s="84">
        <v>21</v>
      </c>
      <c r="V132" s="84">
        <v>83</v>
      </c>
      <c r="W132" s="84">
        <v>80</v>
      </c>
      <c r="X132" s="84">
        <v>8</v>
      </c>
      <c r="Y132" s="84">
        <v>414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21</v>
      </c>
      <c r="P133" s="84">
        <v>2</v>
      </c>
      <c r="Q133" s="84">
        <v>21</v>
      </c>
      <c r="R133" s="84">
        <v>51</v>
      </c>
      <c r="S133" s="84">
        <v>95</v>
      </c>
      <c r="T133" s="84">
        <v>196</v>
      </c>
      <c r="U133" s="84">
        <v>123</v>
      </c>
      <c r="V133" s="84">
        <v>216</v>
      </c>
      <c r="W133" s="84">
        <v>379</v>
      </c>
      <c r="X133" s="84">
        <v>753</v>
      </c>
      <c r="Y133" s="84">
        <v>843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644</v>
      </c>
      <c r="C134" s="110">
        <f t="shared" si="191"/>
        <v>8775</v>
      </c>
      <c r="D134" s="110">
        <f t="shared" si="191"/>
        <v>8334</v>
      </c>
      <c r="E134" s="110">
        <f t="shared" si="191"/>
        <v>9330</v>
      </c>
      <c r="F134" s="110">
        <f t="shared" si="191"/>
        <v>8466</v>
      </c>
      <c r="G134" s="110">
        <f t="shared" si="191"/>
        <v>14979</v>
      </c>
      <c r="H134" s="110">
        <f t="shared" si="191"/>
        <v>23589</v>
      </c>
      <c r="I134" s="110">
        <f t="shared" si="191"/>
        <v>11754</v>
      </c>
      <c r="J134" s="110">
        <f t="shared" si="191"/>
        <v>3341</v>
      </c>
      <c r="K134" s="110">
        <f t="shared" si="191"/>
        <v>1307</v>
      </c>
      <c r="L134" s="110">
        <f t="shared" ref="L134" si="192">SUM(L135:L136)</f>
        <v>47452</v>
      </c>
      <c r="M134" s="110">
        <f t="shared" ref="M134:V134" si="193">SUM(M135:M136)</f>
        <v>2314</v>
      </c>
      <c r="N134" s="110">
        <f t="shared" si="193"/>
        <v>1726</v>
      </c>
      <c r="O134" s="110">
        <f t="shared" si="193"/>
        <v>1746</v>
      </c>
      <c r="P134" s="110">
        <f t="shared" si="193"/>
        <v>4245</v>
      </c>
      <c r="Q134" s="110">
        <f t="shared" si="193"/>
        <v>3451</v>
      </c>
      <c r="R134" s="110">
        <f t="shared" si="193"/>
        <v>4092</v>
      </c>
      <c r="S134" s="110">
        <f t="shared" si="193"/>
        <v>11049</v>
      </c>
      <c r="T134" s="110">
        <f t="shared" si="193"/>
        <v>14841</v>
      </c>
      <c r="U134" s="110">
        <f t="shared" si="193"/>
        <v>13522</v>
      </c>
      <c r="V134" s="110">
        <f t="shared" si="193"/>
        <v>8936</v>
      </c>
      <c r="W134" s="110">
        <f t="shared" ref="W134:Y134" si="194">SUM(W135:W136)</f>
        <v>14233</v>
      </c>
      <c r="X134" s="110">
        <f t="shared" si="194"/>
        <v>15035</v>
      </c>
      <c r="Y134" s="110">
        <f t="shared" si="194"/>
        <v>14440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8030</v>
      </c>
      <c r="D135" s="102">
        <v>7633</v>
      </c>
      <c r="E135" s="102">
        <v>8766</v>
      </c>
      <c r="F135" s="102">
        <v>6650</v>
      </c>
      <c r="G135" s="102">
        <v>14139</v>
      </c>
      <c r="H135" s="102">
        <v>22204</v>
      </c>
      <c r="I135" s="102">
        <v>10162</v>
      </c>
      <c r="J135" s="102">
        <v>1457</v>
      </c>
      <c r="K135" s="102">
        <v>1307</v>
      </c>
      <c r="L135" s="102">
        <v>47373</v>
      </c>
      <c r="M135" s="102">
        <v>1268</v>
      </c>
      <c r="N135" s="102">
        <v>1088</v>
      </c>
      <c r="O135" s="102">
        <v>957</v>
      </c>
      <c r="P135" s="102">
        <v>3353</v>
      </c>
      <c r="Q135" s="102">
        <v>2139</v>
      </c>
      <c r="R135" s="102">
        <v>2596</v>
      </c>
      <c r="S135" s="102">
        <v>9276</v>
      </c>
      <c r="T135" s="102">
        <v>14016</v>
      </c>
      <c r="U135" s="102">
        <v>12349</v>
      </c>
      <c r="V135" s="102">
        <v>8689</v>
      </c>
      <c r="W135" s="102">
        <v>12126</v>
      </c>
      <c r="X135" s="102">
        <v>13315</v>
      </c>
      <c r="Y135" s="102">
        <v>13496</v>
      </c>
      <c r="DA135" s="175" t="s">
        <v>550</v>
      </c>
    </row>
    <row r="136" spans="1:105" ht="11.45" customHeight="1" x14ac:dyDescent="0.25">
      <c r="A136" s="138" t="s">
        <v>116</v>
      </c>
      <c r="B136" s="86">
        <v>644</v>
      </c>
      <c r="C136" s="86">
        <v>745</v>
      </c>
      <c r="D136" s="86">
        <v>701</v>
      </c>
      <c r="E136" s="86">
        <v>564</v>
      </c>
      <c r="F136" s="86">
        <v>1816</v>
      </c>
      <c r="G136" s="86">
        <v>840</v>
      </c>
      <c r="H136" s="86">
        <v>1385</v>
      </c>
      <c r="I136" s="86">
        <v>1592</v>
      </c>
      <c r="J136" s="86">
        <v>1884</v>
      </c>
      <c r="K136" s="86">
        <v>0</v>
      </c>
      <c r="L136" s="86">
        <v>79</v>
      </c>
      <c r="M136" s="86">
        <v>1046</v>
      </c>
      <c r="N136" s="86">
        <v>638</v>
      </c>
      <c r="O136" s="86">
        <v>789</v>
      </c>
      <c r="P136" s="86">
        <v>892</v>
      </c>
      <c r="Q136" s="86">
        <v>1312</v>
      </c>
      <c r="R136" s="86">
        <v>1496</v>
      </c>
      <c r="S136" s="86">
        <v>1773</v>
      </c>
      <c r="T136" s="86">
        <v>825</v>
      </c>
      <c r="U136" s="86">
        <v>1173</v>
      </c>
      <c r="V136" s="86">
        <v>247</v>
      </c>
      <c r="W136" s="86">
        <v>2107</v>
      </c>
      <c r="X136" s="86">
        <v>1720</v>
      </c>
      <c r="Y136" s="86">
        <v>944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3.1679113931415666</v>
      </c>
      <c r="C141" s="32">
        <f t="shared" si="195"/>
        <v>2.9492432802489281</v>
      </c>
      <c r="D141" s="32">
        <f t="shared" si="195"/>
        <v>2.8120450624675675</v>
      </c>
      <c r="E141" s="32">
        <f t="shared" si="195"/>
        <v>2.7061155205710121</v>
      </c>
      <c r="F141" s="32">
        <f t="shared" si="195"/>
        <v>2.6332162011590903</v>
      </c>
      <c r="G141" s="32">
        <f t="shared" si="195"/>
        <v>2.4520631902890462</v>
      </c>
      <c r="H141" s="32">
        <f t="shared" si="195"/>
        <v>2.4954876536108772</v>
      </c>
      <c r="I141" s="32">
        <f t="shared" si="195"/>
        <v>2.3909898797096294</v>
      </c>
      <c r="J141" s="32">
        <f t="shared" si="195"/>
        <v>2.351147089036465</v>
      </c>
      <c r="K141" s="32">
        <f t="shared" si="195"/>
        <v>2.1394253440832549</v>
      </c>
      <c r="L141" s="32">
        <f t="shared" ref="L141" si="196">IF(L4=0,0,L4/L31)</f>
        <v>2.306500064619462</v>
      </c>
      <c r="M141" s="32">
        <f t="shared" ref="M141:V141" si="197">IF(M4=0,0,M4/M31)</f>
        <v>2.525349668688758</v>
      </c>
      <c r="N141" s="32">
        <f t="shared" si="197"/>
        <v>2.4899093543307953</v>
      </c>
      <c r="O141" s="32">
        <f t="shared" si="197"/>
        <v>2.5467972762170423</v>
      </c>
      <c r="P141" s="32">
        <f t="shared" si="197"/>
        <v>2.4726932300035585</v>
      </c>
      <c r="Q141" s="32">
        <f t="shared" si="197"/>
        <v>2.3779052040522499</v>
      </c>
      <c r="R141" s="32">
        <f t="shared" si="197"/>
        <v>2.3293452846814184</v>
      </c>
      <c r="S141" s="32">
        <f t="shared" si="197"/>
        <v>2.3292798924627771</v>
      </c>
      <c r="T141" s="32">
        <f t="shared" si="197"/>
        <v>2.2341579703071672</v>
      </c>
      <c r="U141" s="32">
        <f t="shared" si="197"/>
        <v>2.0622006183882466</v>
      </c>
      <c r="V141" s="32">
        <f t="shared" si="197"/>
        <v>1.9244684202956002</v>
      </c>
      <c r="W141" s="32">
        <f t="shared" ref="W141:Y141" si="198">IF(W4=0,0,W4/W31)</f>
        <v>1.915123858740968</v>
      </c>
      <c r="X141" s="32">
        <f t="shared" si="198"/>
        <v>1.9138818125463353</v>
      </c>
      <c r="Y141" s="32">
        <f t="shared" si="198"/>
        <v>2.0356144503597324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1.1549472685768514</v>
      </c>
      <c r="C142" s="141">
        <v>1.1549251164250129</v>
      </c>
      <c r="D142" s="141">
        <v>1.1547244330057382</v>
      </c>
      <c r="E142" s="141">
        <v>1.1552093820866827</v>
      </c>
      <c r="F142" s="141">
        <v>1.155364085651108</v>
      </c>
      <c r="G142" s="141">
        <v>1.1543178727366703</v>
      </c>
      <c r="H142" s="141">
        <v>1.1546398637822313</v>
      </c>
      <c r="I142" s="141">
        <v>1.1564931393319675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1.1546558434345868</v>
      </c>
      <c r="N142" s="141">
        <v>1.1475295413899493</v>
      </c>
      <c r="O142" s="141">
        <v>1.1469392088128179</v>
      </c>
      <c r="P142" s="141">
        <v>1.1494295322312342</v>
      </c>
      <c r="Q142" s="141">
        <v>1.1514161199072459</v>
      </c>
      <c r="R142" s="141">
        <v>1.1458334537473034</v>
      </c>
      <c r="S142" s="141">
        <v>1.1493413052740946</v>
      </c>
      <c r="T142" s="141">
        <v>1.1488048027582995</v>
      </c>
      <c r="U142" s="141">
        <v>1.148272334107582</v>
      </c>
      <c r="V142" s="141">
        <v>1.1467512724816977</v>
      </c>
      <c r="W142" s="141">
        <v>1.1463969472300926</v>
      </c>
      <c r="X142" s="141">
        <v>1.1260476537499524</v>
      </c>
      <c r="Y142" s="141">
        <v>1.1391875435098064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2.3497631321449384</v>
      </c>
      <c r="C143" s="130">
        <f t="shared" si="199"/>
        <v>2.1850593831910605</v>
      </c>
      <c r="D143" s="130">
        <f t="shared" si="199"/>
        <v>2.0719240396921532</v>
      </c>
      <c r="E143" s="130">
        <f t="shared" si="199"/>
        <v>2.0106251117842278</v>
      </c>
      <c r="F143" s="130">
        <f t="shared" si="199"/>
        <v>1.9848955740789851</v>
      </c>
      <c r="G143" s="130">
        <f t="shared" si="199"/>
        <v>1.8569530851046356</v>
      </c>
      <c r="H143" s="130">
        <f t="shared" si="199"/>
        <v>1.919194683725409</v>
      </c>
      <c r="I143" s="130">
        <f t="shared" si="199"/>
        <v>1.8713803742377093</v>
      </c>
      <c r="J143" s="130">
        <f t="shared" si="199"/>
        <v>1.8230170516188109</v>
      </c>
      <c r="K143" s="130">
        <f t="shared" si="199"/>
        <v>1.6882971722057221</v>
      </c>
      <c r="L143" s="130">
        <f t="shared" ref="L143" si="200">IF(L6=0,0,L6/L33)</f>
        <v>1.8070729755749293</v>
      </c>
      <c r="M143" s="130">
        <f t="shared" ref="M143:V143" si="201">IF(M6=0,0,M6/M33)</f>
        <v>1.9825705883734706</v>
      </c>
      <c r="N143" s="130">
        <f t="shared" si="201"/>
        <v>1.932542141350529</v>
      </c>
      <c r="O143" s="130">
        <f t="shared" si="201"/>
        <v>1.9783985586738166</v>
      </c>
      <c r="P143" s="130">
        <f t="shared" si="201"/>
        <v>1.9132351437030173</v>
      </c>
      <c r="Q143" s="130">
        <f t="shared" si="201"/>
        <v>1.8469650394054369</v>
      </c>
      <c r="R143" s="130">
        <f t="shared" si="201"/>
        <v>1.8238254309888065</v>
      </c>
      <c r="S143" s="130">
        <f t="shared" si="201"/>
        <v>1.8405083386959047</v>
      </c>
      <c r="T143" s="130">
        <f t="shared" si="201"/>
        <v>1.7712189447395466</v>
      </c>
      <c r="U143" s="130">
        <f t="shared" si="201"/>
        <v>1.6487030957905811</v>
      </c>
      <c r="V143" s="130">
        <f t="shared" si="201"/>
        <v>1.6459889911979209</v>
      </c>
      <c r="W143" s="130">
        <f t="shared" ref="W143:Y143" si="202">IF(W6=0,0,W6/W33)</f>
        <v>1.6556947402237134</v>
      </c>
      <c r="X143" s="130">
        <f t="shared" si="202"/>
        <v>1.619307680552676</v>
      </c>
      <c r="Y143" s="130">
        <f t="shared" si="202"/>
        <v>1.7414117038835211</v>
      </c>
      <c r="DA143" s="176" t="s">
        <v>554</v>
      </c>
    </row>
    <row r="144" spans="1:105" ht="11.45" customHeight="1" x14ac:dyDescent="0.25">
      <c r="A144" s="111" t="s">
        <v>110</v>
      </c>
      <c r="B144" s="96">
        <v>2.3383389311878391</v>
      </c>
      <c r="C144" s="96">
        <v>2.1738700956003143</v>
      </c>
      <c r="D144" s="96">
        <v>2.060208052085521</v>
      </c>
      <c r="E144" s="96">
        <v>1.9988634409251007</v>
      </c>
      <c r="F144" s="96">
        <v>1.9712462180662429</v>
      </c>
      <c r="G144" s="96">
        <v>1.8466458650522777</v>
      </c>
      <c r="H144" s="96">
        <v>1.9049901773323177</v>
      </c>
      <c r="I144" s="96">
        <v>1.8564692599770152</v>
      </c>
      <c r="J144" s="96">
        <v>1.8072799095134242</v>
      </c>
      <c r="K144" s="96">
        <v>1.6732930796446992</v>
      </c>
      <c r="L144" s="96">
        <v>1.7887832410144984</v>
      </c>
      <c r="M144" s="96">
        <v>1.9601931831040007</v>
      </c>
      <c r="N144" s="96">
        <v>1.9098383590753187</v>
      </c>
      <c r="O144" s="96">
        <v>1.9537559839275231</v>
      </c>
      <c r="P144" s="96">
        <v>1.8911650419522474</v>
      </c>
      <c r="Q144" s="96">
        <v>1.8242121576096584</v>
      </c>
      <c r="R144" s="96">
        <v>1.7995203645818354</v>
      </c>
      <c r="S144" s="96">
        <v>1.8149079053983996</v>
      </c>
      <c r="T144" s="96">
        <v>1.7458454886584265</v>
      </c>
      <c r="U144" s="96">
        <v>1.624408241674159</v>
      </c>
      <c r="V144" s="96">
        <v>1.6219254023492613</v>
      </c>
      <c r="W144" s="96">
        <v>1.6313976762577269</v>
      </c>
      <c r="X144" s="96">
        <v>1.5960479154589255</v>
      </c>
      <c r="Y144" s="96">
        <v>1.7168261804377312</v>
      </c>
      <c r="DA144" s="171" t="s">
        <v>555</v>
      </c>
    </row>
    <row r="145" spans="1:105" ht="11.45" customHeight="1" x14ac:dyDescent="0.25">
      <c r="A145" s="111" t="s">
        <v>111</v>
      </c>
      <c r="B145" s="96">
        <v>2.4188296113024119</v>
      </c>
      <c r="C145" s="96">
        <v>2.2486994029098026</v>
      </c>
      <c r="D145" s="96">
        <v>2.1311248661872484</v>
      </c>
      <c r="E145" s="96">
        <v>2.0676686409199898</v>
      </c>
      <c r="F145" s="96">
        <v>2.0391007735582605</v>
      </c>
      <c r="G145" s="96">
        <v>1.9102114070814289</v>
      </c>
      <c r="H145" s="96">
        <v>1.9705640566959772</v>
      </c>
      <c r="I145" s="96">
        <v>1.9203729444918345</v>
      </c>
      <c r="J145" s="96">
        <v>1.8694903902670592</v>
      </c>
      <c r="K145" s="96">
        <v>1.7308914441141265</v>
      </c>
      <c r="L145" s="96">
        <v>1.8503570264595648</v>
      </c>
      <c r="M145" s="96">
        <v>2.0276672692425048</v>
      </c>
      <c r="N145" s="96">
        <v>1.9755791233334665</v>
      </c>
      <c r="O145" s="96">
        <v>2.0210084877569643</v>
      </c>
      <c r="P145" s="96">
        <v>1.9562630302743731</v>
      </c>
      <c r="Q145" s="96">
        <v>1.8870054829402532</v>
      </c>
      <c r="R145" s="96">
        <v>1.8614637450273865</v>
      </c>
      <c r="S145" s="96">
        <v>1.8773809582576018</v>
      </c>
      <c r="T145" s="96">
        <v>1.8059412638614198</v>
      </c>
      <c r="U145" s="96">
        <v>1.6803238843605894</v>
      </c>
      <c r="V145" s="96">
        <v>1.6777555803397017</v>
      </c>
      <c r="W145" s="96">
        <v>1.6875539103895398</v>
      </c>
      <c r="X145" s="96">
        <v>1.6509873344188082</v>
      </c>
      <c r="Y145" s="96">
        <v>1.775923048329221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2.1195076016953287</v>
      </c>
      <c r="D146" s="96">
        <v>2.0097663185013888</v>
      </c>
      <c r="E146" s="96">
        <v>1.9503063584307008</v>
      </c>
      <c r="F146" s="96">
        <v>1.9253487068566155</v>
      </c>
      <c r="G146" s="96">
        <v>1.8012444925514963</v>
      </c>
      <c r="H146" s="96">
        <v>1.8616188432136467</v>
      </c>
      <c r="I146" s="96">
        <v>1.8152389630105781</v>
      </c>
      <c r="J146" s="96">
        <v>1.7683265400702466</v>
      </c>
      <c r="K146" s="96">
        <v>1.6376482570395503</v>
      </c>
      <c r="L146" s="96">
        <v>1.7528607863076815</v>
      </c>
      <c r="M146" s="96">
        <v>1.923093470722266</v>
      </c>
      <c r="N146" s="96">
        <v>1.8745658771100131</v>
      </c>
      <c r="O146" s="96">
        <v>1.9190466019136014</v>
      </c>
      <c r="P146" s="96">
        <v>1.8558380893919268</v>
      </c>
      <c r="Q146" s="96">
        <v>1.7915560882232739</v>
      </c>
      <c r="R146" s="96">
        <v>1.7691106680591422</v>
      </c>
      <c r="S146" s="96">
        <v>1.7852930885350276</v>
      </c>
      <c r="T146" s="96">
        <v>1.7180823763973603</v>
      </c>
      <c r="U146" s="96">
        <v>1.5992420029168641</v>
      </c>
      <c r="V146" s="96">
        <v>1.5966093214619836</v>
      </c>
      <c r="W146" s="96">
        <v>1.6060238980170023</v>
      </c>
      <c r="X146" s="96">
        <v>1.5707284501360956</v>
      </c>
      <c r="Y146" s="96">
        <v>1.6891693527670153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1.7528607863076813</v>
      </c>
      <c r="M147" s="96">
        <v>1.923093470722266</v>
      </c>
      <c r="N147" s="96">
        <v>1.8745658771100131</v>
      </c>
      <c r="O147" s="96">
        <v>1.9190466019136014</v>
      </c>
      <c r="P147" s="96">
        <v>1.8558380893919268</v>
      </c>
      <c r="Q147" s="96">
        <v>1.7915560882232737</v>
      </c>
      <c r="R147" s="96">
        <v>1.7691106680591424</v>
      </c>
      <c r="S147" s="96">
        <v>1.7852930885350276</v>
      </c>
      <c r="T147" s="96">
        <v>1.7180823763973603</v>
      </c>
      <c r="U147" s="96">
        <v>1.5992420029168644</v>
      </c>
      <c r="V147" s="96">
        <v>1.5966093214619836</v>
      </c>
      <c r="W147" s="96">
        <v>1.6060238980170023</v>
      </c>
      <c r="X147" s="96">
        <v>1.5707284501360956</v>
      </c>
      <c r="Y147" s="96">
        <v>1.6891693527670155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1.8342758722295192</v>
      </c>
      <c r="O148" s="96">
        <v>1.8778005737525669</v>
      </c>
      <c r="P148" s="96">
        <v>1.8159506004580721</v>
      </c>
      <c r="Q148" s="96">
        <v>1.7530502109854593</v>
      </c>
      <c r="R148" s="96">
        <v>1.7310872097637617</v>
      </c>
      <c r="S148" s="96">
        <v>1.7469218218174873</v>
      </c>
      <c r="T148" s="96">
        <v>1.6811556680989794</v>
      </c>
      <c r="U148" s="96">
        <v>1.5648695282605203</v>
      </c>
      <c r="V148" s="96">
        <v>1.5622934309726519</v>
      </c>
      <c r="W148" s="96">
        <v>1.5715056602322346</v>
      </c>
      <c r="X148" s="96">
        <v>1.5369688166685973</v>
      </c>
      <c r="Y148" s="96">
        <v>1.6528640714760288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1.4478848843280467</v>
      </c>
      <c r="M149" s="96">
        <v>1.5884992060744167</v>
      </c>
      <c r="N149" s="96">
        <v>1.5484148081502669</v>
      </c>
      <c r="O149" s="96">
        <v>1.5851564419355335</v>
      </c>
      <c r="P149" s="96">
        <v>1.5329454217815759</v>
      </c>
      <c r="Q149" s="96">
        <v>1.479847686608605</v>
      </c>
      <c r="R149" s="96">
        <v>1.4613074894452613</v>
      </c>
      <c r="S149" s="96">
        <v>1.4746743707069672</v>
      </c>
      <c r="T149" s="96">
        <v>1.4191574837247225</v>
      </c>
      <c r="U149" s="96">
        <v>1.3209938521605973</v>
      </c>
      <c r="V149" s="96">
        <v>1.3188192244243002</v>
      </c>
      <c r="W149" s="96">
        <v>1.3265957821480165</v>
      </c>
      <c r="X149" s="96">
        <v>1.2974413017286099</v>
      </c>
      <c r="Y149" s="96">
        <v>1.3952749653857859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27.448491435495242</v>
      </c>
      <c r="C150" s="130">
        <f t="shared" si="203"/>
        <v>27.184576620503222</v>
      </c>
      <c r="D150" s="130">
        <f t="shared" si="203"/>
        <v>27.582415905838683</v>
      </c>
      <c r="E150" s="130">
        <f t="shared" si="203"/>
        <v>27.486497377009577</v>
      </c>
      <c r="F150" s="130">
        <f t="shared" si="203"/>
        <v>27.753149603676114</v>
      </c>
      <c r="G150" s="130">
        <f t="shared" si="203"/>
        <v>27.557536773189945</v>
      </c>
      <c r="H150" s="130">
        <f t="shared" si="203"/>
        <v>25.485116371522381</v>
      </c>
      <c r="I150" s="130">
        <f t="shared" si="203"/>
        <v>23.840717299132287</v>
      </c>
      <c r="J150" s="130">
        <f t="shared" si="203"/>
        <v>26.630262621996291</v>
      </c>
      <c r="K150" s="130">
        <f t="shared" si="203"/>
        <v>25.185422356497781</v>
      </c>
      <c r="L150" s="130">
        <f t="shared" ref="L150" si="204">IF(L13=0,0,L13/L40)</f>
        <v>25.494759407012726</v>
      </c>
      <c r="M150" s="130">
        <f t="shared" ref="M150:V150" si="205">IF(M13=0,0,M13/M40)</f>
        <v>25.76450172667727</v>
      </c>
      <c r="N150" s="130">
        <f t="shared" si="205"/>
        <v>26.640861380714504</v>
      </c>
      <c r="O150" s="130">
        <f t="shared" si="205"/>
        <v>26.070076583776498</v>
      </c>
      <c r="P150" s="130">
        <f t="shared" si="205"/>
        <v>26.507012969384178</v>
      </c>
      <c r="Q150" s="130">
        <f t="shared" si="205"/>
        <v>26.714242462694283</v>
      </c>
      <c r="R150" s="130">
        <f t="shared" si="205"/>
        <v>25.944474781963105</v>
      </c>
      <c r="S150" s="130">
        <f t="shared" si="205"/>
        <v>25.572475288499525</v>
      </c>
      <c r="T150" s="130">
        <f t="shared" si="205"/>
        <v>25.843010718782324</v>
      </c>
      <c r="U150" s="130">
        <f t="shared" si="205"/>
        <v>25.568934956034312</v>
      </c>
      <c r="V150" s="130">
        <f t="shared" si="205"/>
        <v>19.606213573371345</v>
      </c>
      <c r="W150" s="130">
        <f t="shared" ref="W150:Y150" si="206">IF(W13=0,0,W13/W40)</f>
        <v>18.348822591487828</v>
      </c>
      <c r="X150" s="130">
        <f t="shared" si="206"/>
        <v>21.72521736593335</v>
      </c>
      <c r="Y150" s="130">
        <f t="shared" si="206"/>
        <v>21.849129369463405</v>
      </c>
      <c r="DA150" s="176" t="s">
        <v>561</v>
      </c>
    </row>
    <row r="151" spans="1:105" ht="11.45" customHeight="1" x14ac:dyDescent="0.25">
      <c r="A151" s="111" t="s">
        <v>110</v>
      </c>
      <c r="B151" s="97">
        <v>10.557112090575094</v>
      </c>
      <c r="C151" s="97">
        <v>10.45560639250124</v>
      </c>
      <c r="D151" s="97">
        <v>10.608621502245647</v>
      </c>
      <c r="E151" s="97">
        <v>10.571729760388301</v>
      </c>
      <c r="F151" s="97">
        <v>10.674288309106201</v>
      </c>
      <c r="G151" s="97">
        <v>10.599052605073057</v>
      </c>
      <c r="H151" s="97">
        <v>9.8019678352009141</v>
      </c>
      <c r="I151" s="97">
        <v>9.1695066535124177</v>
      </c>
      <c r="J151" s="97">
        <v>10.242408700767804</v>
      </c>
      <c r="K151" s="97">
        <v>9.6867009063453011</v>
      </c>
      <c r="L151" s="97">
        <v>9.8056766950048964</v>
      </c>
      <c r="M151" s="97">
        <v>9.9094237410297179</v>
      </c>
      <c r="N151" s="97">
        <v>10.246485146428654</v>
      </c>
      <c r="O151" s="97">
        <v>10.026952532221731</v>
      </c>
      <c r="P151" s="97">
        <v>10.195004988224682</v>
      </c>
      <c r="Q151" s="97">
        <v>10.274708639497803</v>
      </c>
      <c r="R151" s="97">
        <v>9.9786441469088878</v>
      </c>
      <c r="S151" s="97">
        <v>9.8355674186536675</v>
      </c>
      <c r="T151" s="97">
        <v>9.9396195072239699</v>
      </c>
      <c r="U151" s="97">
        <v>9.834205752320889</v>
      </c>
      <c r="V151" s="97">
        <v>7.5408513743735979</v>
      </c>
      <c r="W151" s="97">
        <v>7.057239458264549</v>
      </c>
      <c r="X151" s="97">
        <v>8.3558528330512907</v>
      </c>
      <c r="Y151" s="97">
        <v>8.4035112959474656</v>
      </c>
      <c r="DA151" s="175" t="s">
        <v>562</v>
      </c>
    </row>
    <row r="152" spans="1:105" ht="11.45" customHeight="1" x14ac:dyDescent="0.25">
      <c r="A152" s="111" t="s">
        <v>111</v>
      </c>
      <c r="B152" s="97">
        <v>28.319137900958477</v>
      </c>
      <c r="C152" s="97">
        <v>27.969365182103576</v>
      </c>
      <c r="D152" s="97">
        <v>28.299464968289232</v>
      </c>
      <c r="E152" s="97">
        <v>28.125662013032496</v>
      </c>
      <c r="F152" s="97">
        <v>28.339280021241841</v>
      </c>
      <c r="G152" s="97">
        <v>28.066385080331148</v>
      </c>
      <c r="H152" s="97">
        <v>25.853049284859424</v>
      </c>
      <c r="I152" s="97">
        <v>24.127087303579167</v>
      </c>
      <c r="J152" s="97">
        <v>26.921351088004002</v>
      </c>
      <c r="K152" s="97">
        <v>25.413729413237991</v>
      </c>
      <c r="L152" s="97">
        <v>25.681808191365764</v>
      </c>
      <c r="M152" s="97">
        <v>25.914335705537567</v>
      </c>
      <c r="N152" s="97">
        <v>26.770432907305885</v>
      </c>
      <c r="O152" s="97">
        <v>26.194441408263156</v>
      </c>
      <c r="P152" s="97">
        <v>26.616165048423476</v>
      </c>
      <c r="Q152" s="97">
        <v>26.798868329127323</v>
      </c>
      <c r="R152" s="97">
        <v>25.99780710729188</v>
      </c>
      <c r="S152" s="97">
        <v>25.616170537639871</v>
      </c>
      <c r="T152" s="97">
        <v>25.884891276261648</v>
      </c>
      <c r="U152" s="97">
        <v>25.608457221686077</v>
      </c>
      <c r="V152" s="97">
        <v>19.641578878899647</v>
      </c>
      <c r="W152" s="97">
        <v>18.379243733949515</v>
      </c>
      <c r="X152" s="97">
        <v>21.750496101124693</v>
      </c>
      <c r="Y152" s="97">
        <v>21.867696229523645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26.616165048423468</v>
      </c>
      <c r="Q153" s="97">
        <v>26.798868329127327</v>
      </c>
      <c r="R153" s="97">
        <v>25.99780710729188</v>
      </c>
      <c r="S153" s="97">
        <v>25.616170537639874</v>
      </c>
      <c r="T153" s="97">
        <v>25.884891276261644</v>
      </c>
      <c r="U153" s="97">
        <v>25.608457221686074</v>
      </c>
      <c r="V153" s="97">
        <v>19.641578878899651</v>
      </c>
      <c r="W153" s="97">
        <v>18.379243733949515</v>
      </c>
      <c r="X153" s="97">
        <v>21.750496101124693</v>
      </c>
      <c r="Y153" s="97">
        <v>21.867696229523645</v>
      </c>
      <c r="DA153" s="175" t="s">
        <v>564</v>
      </c>
    </row>
    <row r="154" spans="1:105" ht="11.45" customHeight="1" x14ac:dyDescent="0.25">
      <c r="A154" s="111" t="s">
        <v>113</v>
      </c>
      <c r="B154" s="97">
        <v>28.319137900958474</v>
      </c>
      <c r="C154" s="97">
        <v>27.96936518210358</v>
      </c>
      <c r="D154" s="97">
        <v>28.299464968289229</v>
      </c>
      <c r="E154" s="97">
        <v>28.1256620130325</v>
      </c>
      <c r="F154" s="97">
        <v>28.339280021241844</v>
      </c>
      <c r="G154" s="97">
        <v>28.066385080331141</v>
      </c>
      <c r="H154" s="97">
        <v>25.853049284859424</v>
      </c>
      <c r="I154" s="97">
        <v>24.127087303579167</v>
      </c>
      <c r="J154" s="97">
        <v>26.921351088004005</v>
      </c>
      <c r="K154" s="97">
        <v>25.413729413237995</v>
      </c>
      <c r="L154" s="97">
        <v>25.681808191365764</v>
      </c>
      <c r="M154" s="97">
        <v>25.914335705537564</v>
      </c>
      <c r="N154" s="97">
        <v>26.770432907305885</v>
      </c>
      <c r="O154" s="97">
        <v>26.194441408263156</v>
      </c>
      <c r="P154" s="97">
        <v>26.616165048423468</v>
      </c>
      <c r="Q154" s="97">
        <v>26.79886832912733</v>
      </c>
      <c r="R154" s="97">
        <v>25.99780710729188</v>
      </c>
      <c r="S154" s="97">
        <v>25.616170537639874</v>
      </c>
      <c r="T154" s="97">
        <v>25.884891276261644</v>
      </c>
      <c r="U154" s="97">
        <v>25.608457221686074</v>
      </c>
      <c r="V154" s="97">
        <v>19.641578878899651</v>
      </c>
      <c r="W154" s="97">
        <v>18.379243733949515</v>
      </c>
      <c r="X154" s="97">
        <v>21.750496101124693</v>
      </c>
      <c r="Y154" s="97">
        <v>21.867696229523645</v>
      </c>
      <c r="DA154" s="175" t="s">
        <v>565</v>
      </c>
    </row>
    <row r="155" spans="1:105" ht="11.45" customHeight="1" x14ac:dyDescent="0.25">
      <c r="A155" s="111" t="s">
        <v>115</v>
      </c>
      <c r="B155" s="97">
        <v>28.319137900958474</v>
      </c>
      <c r="C155" s="97">
        <v>27.96936518210358</v>
      </c>
      <c r="D155" s="97">
        <v>28.299464968289225</v>
      </c>
      <c r="E155" s="97">
        <v>28.125662013032503</v>
      </c>
      <c r="F155" s="97">
        <v>28.339280021241844</v>
      </c>
      <c r="G155" s="97">
        <v>28.066385080331148</v>
      </c>
      <c r="H155" s="97">
        <v>25.853049284859424</v>
      </c>
      <c r="I155" s="97">
        <v>24.127087303579167</v>
      </c>
      <c r="J155" s="97">
        <v>26.921351088004005</v>
      </c>
      <c r="K155" s="97">
        <v>25.413729413237995</v>
      </c>
      <c r="L155" s="97">
        <v>25.681808191365764</v>
      </c>
      <c r="M155" s="97">
        <v>25.914335705537567</v>
      </c>
      <c r="N155" s="97">
        <v>26.770432907305885</v>
      </c>
      <c r="O155" s="97">
        <v>26.194441408263156</v>
      </c>
      <c r="P155" s="97">
        <v>26.616165048423468</v>
      </c>
      <c r="Q155" s="97">
        <v>26.79886832912733</v>
      </c>
      <c r="R155" s="97">
        <v>25.997807107291873</v>
      </c>
      <c r="S155" s="97">
        <v>25.616170537639878</v>
      </c>
      <c r="T155" s="97">
        <v>25.884891276261644</v>
      </c>
      <c r="U155" s="97">
        <v>25.608457221686074</v>
      </c>
      <c r="V155" s="97">
        <v>19.641578878899651</v>
      </c>
      <c r="W155" s="97">
        <v>18.379243733949515</v>
      </c>
      <c r="X155" s="97">
        <v>21.750496101124693</v>
      </c>
      <c r="Y155" s="97">
        <v>21.867696229523645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3.96307216116961</v>
      </c>
      <c r="C156" s="32">
        <f t="shared" si="207"/>
        <v>3.8700450173166132</v>
      </c>
      <c r="D156" s="32">
        <f t="shared" si="207"/>
        <v>3.7063036086300825</v>
      </c>
      <c r="E156" s="32">
        <f t="shared" si="207"/>
        <v>3.5634451786992765</v>
      </c>
      <c r="F156" s="32">
        <f t="shared" si="207"/>
        <v>3.7215649220493976</v>
      </c>
      <c r="G156" s="32">
        <f t="shared" si="207"/>
        <v>3.5163658499476442</v>
      </c>
      <c r="H156" s="32">
        <f t="shared" si="207"/>
        <v>3.7276576461604654</v>
      </c>
      <c r="I156" s="32">
        <f t="shared" si="207"/>
        <v>3.8116641134718035</v>
      </c>
      <c r="J156" s="32">
        <f t="shared" si="207"/>
        <v>3.7609424867764338</v>
      </c>
      <c r="K156" s="32">
        <f t="shared" si="207"/>
        <v>2.9205071378576699</v>
      </c>
      <c r="L156" s="32">
        <f t="shared" ref="L156" si="208">IF(L19=0,0,L19/L46)</f>
        <v>3.2471461633445022</v>
      </c>
      <c r="M156" s="32">
        <f t="shared" ref="M156:V156" si="209">IF(M19=0,0,M19/M46)</f>
        <v>3.133156191142648</v>
      </c>
      <c r="N156" s="32">
        <f t="shared" si="209"/>
        <v>2.9553464788163231</v>
      </c>
      <c r="O156" s="32">
        <f t="shared" si="209"/>
        <v>2.8841065105122183</v>
      </c>
      <c r="P156" s="32">
        <f t="shared" si="209"/>
        <v>2.9137318876134111</v>
      </c>
      <c r="Q156" s="32">
        <f t="shared" si="209"/>
        <v>2.9855141277307071</v>
      </c>
      <c r="R156" s="32">
        <f t="shared" si="209"/>
        <v>3.0833180685296795</v>
      </c>
      <c r="S156" s="32">
        <f t="shared" si="209"/>
        <v>3.1045582340503706</v>
      </c>
      <c r="T156" s="32">
        <f t="shared" si="209"/>
        <v>3.0536180637122863</v>
      </c>
      <c r="U156" s="32">
        <f t="shared" si="209"/>
        <v>2.9630987279344478</v>
      </c>
      <c r="V156" s="32">
        <f t="shared" si="209"/>
        <v>2.7461202670247786</v>
      </c>
      <c r="W156" s="32">
        <f t="shared" ref="W156:Y156" si="210">IF(W19=0,0,W19/W46)</f>
        <v>2.9181504049016378</v>
      </c>
      <c r="X156" s="32">
        <f t="shared" si="210"/>
        <v>2.8659845908120176</v>
      </c>
      <c r="Y156" s="32">
        <f t="shared" si="210"/>
        <v>2.794309021995022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0.15171019454466228</v>
      </c>
      <c r="C157" s="141">
        <f t="shared" si="211"/>
        <v>0.15329702700542752</v>
      </c>
      <c r="D157" s="141">
        <f t="shared" si="211"/>
        <v>0.15511818829180621</v>
      </c>
      <c r="E157" s="141">
        <f t="shared" si="211"/>
        <v>0.15652545176589214</v>
      </c>
      <c r="F157" s="141">
        <f t="shared" si="211"/>
        <v>0.15765586370828552</v>
      </c>
      <c r="G157" s="141">
        <f t="shared" si="211"/>
        <v>0.15878703503431982</v>
      </c>
      <c r="H157" s="141">
        <f t="shared" si="211"/>
        <v>0.15965980132944715</v>
      </c>
      <c r="I157" s="141">
        <f t="shared" si="211"/>
        <v>0.16073677797572053</v>
      </c>
      <c r="J157" s="141">
        <f t="shared" si="211"/>
        <v>0.16211416866956069</v>
      </c>
      <c r="K157" s="141">
        <f t="shared" si="211"/>
        <v>0.1631824248383788</v>
      </c>
      <c r="L157" s="141">
        <f t="shared" ref="L157" si="212">IF(L20=0,0,L20/L47)</f>
        <v>0.16341608618603615</v>
      </c>
      <c r="M157" s="141">
        <f t="shared" ref="M157:V157" si="213">IF(M20=0,0,M20/M47)</f>
        <v>0.16421191151014242</v>
      </c>
      <c r="N157" s="141">
        <f t="shared" si="213"/>
        <v>0.16475872544032799</v>
      </c>
      <c r="O157" s="141">
        <f t="shared" si="213"/>
        <v>0.16528550282249985</v>
      </c>
      <c r="P157" s="141">
        <f t="shared" si="213"/>
        <v>0.16578282813170439</v>
      </c>
      <c r="Q157" s="141">
        <f t="shared" si="213"/>
        <v>0.16626384835838276</v>
      </c>
      <c r="R157" s="141">
        <f t="shared" si="213"/>
        <v>0.16597579935717116</v>
      </c>
      <c r="S157" s="141">
        <f t="shared" si="213"/>
        <v>0.16563211914756321</v>
      </c>
      <c r="T157" s="141">
        <f t="shared" si="213"/>
        <v>0.16526529733407191</v>
      </c>
      <c r="U157" s="141">
        <f t="shared" si="213"/>
        <v>0.1648899598317817</v>
      </c>
      <c r="V157" s="141">
        <f t="shared" si="213"/>
        <v>0.16459321291061244</v>
      </c>
      <c r="W157" s="141">
        <f t="shared" ref="W157:Y157" si="214">IF(W20=0,0,W20/W47)</f>
        <v>0.16427065662250975</v>
      </c>
      <c r="X157" s="141">
        <f t="shared" si="214"/>
        <v>0.16395019393226562</v>
      </c>
      <c r="Y157" s="141">
        <f t="shared" si="214"/>
        <v>0.16358374147830931</v>
      </c>
      <c r="DA157" s="174" t="s">
        <v>568</v>
      </c>
    </row>
    <row r="158" spans="1:105" ht="11.45" customHeight="1" x14ac:dyDescent="0.25">
      <c r="A158" s="111" t="s">
        <v>110</v>
      </c>
      <c r="B158" s="96">
        <v>0.1261285135166153</v>
      </c>
      <c r="C158" s="96">
        <v>0.12633547017542751</v>
      </c>
      <c r="D158" s="96">
        <v>0.1265260182063789</v>
      </c>
      <c r="E158" s="96">
        <v>0.12673714372730532</v>
      </c>
      <c r="F158" s="96">
        <v>0.12696913899896053</v>
      </c>
      <c r="G158" s="96">
        <v>0.12717351942135155</v>
      </c>
      <c r="H158" s="96">
        <v>0.12753806951970126</v>
      </c>
      <c r="I158" s="96">
        <v>0.12811447280525626</v>
      </c>
      <c r="J158" s="96">
        <v>0.12867697435478201</v>
      </c>
      <c r="K158" s="96">
        <v>0.12932542383667048</v>
      </c>
      <c r="L158" s="96">
        <v>0.12998145266116815</v>
      </c>
      <c r="M158" s="96">
        <v>0.1306470576422675</v>
      </c>
      <c r="N158" s="96">
        <v>0.13131259535121159</v>
      </c>
      <c r="O158" s="96">
        <v>0.13195524578241072</v>
      </c>
      <c r="P158" s="96">
        <v>0.13258031940804627</v>
      </c>
      <c r="Q158" s="96">
        <v>0.13319614147909969</v>
      </c>
      <c r="R158" s="96">
        <v>0.13246023785777214</v>
      </c>
      <c r="S158" s="96">
        <v>0.13172606763860262</v>
      </c>
      <c r="T158" s="96">
        <v>0.13099176502173215</v>
      </c>
      <c r="U158" s="96">
        <v>0.13025865898890374</v>
      </c>
      <c r="V158" s="96">
        <v>0.13033657508103602</v>
      </c>
      <c r="W158" s="96">
        <v>0.13041317683939482</v>
      </c>
      <c r="X158" s="96">
        <v>0.13051001847395505</v>
      </c>
      <c r="Y158" s="96">
        <v>0.13060086900415874</v>
      </c>
      <c r="DA158" s="171" t="s">
        <v>569</v>
      </c>
    </row>
    <row r="159" spans="1:105" ht="11.45" customHeight="1" x14ac:dyDescent="0.25">
      <c r="A159" s="111" t="s">
        <v>111</v>
      </c>
      <c r="B159" s="96">
        <v>0.16326708440244939</v>
      </c>
      <c r="C159" s="96">
        <v>0.16353497949880672</v>
      </c>
      <c r="D159" s="96">
        <v>0.16378163444291627</v>
      </c>
      <c r="E159" s="96">
        <v>0.16405492592383158</v>
      </c>
      <c r="F159" s="96">
        <v>0.16435523225855514</v>
      </c>
      <c r="G159" s="96">
        <v>0.16461979254506262</v>
      </c>
      <c r="H159" s="96">
        <v>0.16490146229062805</v>
      </c>
      <c r="I159" s="96">
        <v>0.16515421162298471</v>
      </c>
      <c r="J159" s="96">
        <v>0.16538613250843873</v>
      </c>
      <c r="K159" s="96">
        <v>0.16572535304900693</v>
      </c>
      <c r="L159" s="96">
        <v>0.16607077803893708</v>
      </c>
      <c r="M159" s="96">
        <v>0.16642488243490494</v>
      </c>
      <c r="N159" s="96">
        <v>0.1667753275339682</v>
      </c>
      <c r="O159" s="96">
        <v>0.16709323553960698</v>
      </c>
      <c r="P159" s="96">
        <v>0.16738558759863351</v>
      </c>
      <c r="Q159" s="96">
        <v>0.16766307841380998</v>
      </c>
      <c r="R159" s="96">
        <v>0.1672339819836966</v>
      </c>
      <c r="S159" s="96">
        <v>0.1668030301950843</v>
      </c>
      <c r="T159" s="96">
        <v>0.1663678526596909</v>
      </c>
      <c r="U159" s="96">
        <v>0.16593012042961786</v>
      </c>
      <c r="V159" s="96">
        <v>0.16552827008702856</v>
      </c>
      <c r="W159" s="96">
        <v>0.16512566976120865</v>
      </c>
      <c r="X159" s="96">
        <v>0.16474954165590139</v>
      </c>
      <c r="Y159" s="96">
        <v>0.16436663974704818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0.13587125331017502</v>
      </c>
      <c r="D160" s="96">
        <v>0.13588100490670937</v>
      </c>
      <c r="E160" s="96">
        <v>0.13589179326847117</v>
      </c>
      <c r="F160" s="96">
        <v>0.13590362833964992</v>
      </c>
      <c r="G160" s="96">
        <v>0.1357820705496022</v>
      </c>
      <c r="H160" s="96">
        <v>0.13552044560025919</v>
      </c>
      <c r="I160" s="96">
        <v>0.13525817818162647</v>
      </c>
      <c r="J160" s="96">
        <v>0.13499559373473277</v>
      </c>
      <c r="K160" s="96">
        <v>0.13473766184333535</v>
      </c>
      <c r="L160" s="96">
        <v>0.13448043519713945</v>
      </c>
      <c r="M160" s="96">
        <v>0.13422400531264606</v>
      </c>
      <c r="N160" s="96">
        <v>0.1339678955402985</v>
      </c>
      <c r="O160" s="96">
        <v>0.13371100659969434</v>
      </c>
      <c r="P160" s="96">
        <v>0.13345361706794584</v>
      </c>
      <c r="Q160" s="96">
        <v>0.13319614147909969</v>
      </c>
      <c r="R160" s="96">
        <v>0.13344785874974277</v>
      </c>
      <c r="S160" s="96">
        <v>0.13369993898991556</v>
      </c>
      <c r="T160" s="96">
        <v>0.13395229081006652</v>
      </c>
      <c r="U160" s="96">
        <v>0.13420497681282598</v>
      </c>
      <c r="V160" s="96">
        <v>0.13445948301824964</v>
      </c>
      <c r="W160" s="96">
        <v>0.13471440492524975</v>
      </c>
      <c r="X160" s="96">
        <v>0.13497080474129317</v>
      </c>
      <c r="Y160" s="96">
        <v>0.135227393622915</v>
      </c>
      <c r="DA160" s="171" t="s">
        <v>571</v>
      </c>
    </row>
    <row r="161" spans="1:105" ht="11.45" customHeight="1" x14ac:dyDescent="0.25">
      <c r="A161" s="111" t="s">
        <v>113</v>
      </c>
      <c r="B161" s="96">
        <v>0.13302772913270947</v>
      </c>
      <c r="C161" s="96">
        <v>0.13303811517059136</v>
      </c>
      <c r="D161" s="96">
        <v>0.13304766343036836</v>
      </c>
      <c r="E161" s="96">
        <v>0.13305822683711999</v>
      </c>
      <c r="F161" s="96">
        <v>0.13306981512768309</v>
      </c>
      <c r="G161" s="96">
        <v>0.13308000734566516</v>
      </c>
      <c r="H161" s="96">
        <v>0.13309084157612047</v>
      </c>
      <c r="I161" s="96">
        <v>0.13310054841024072</v>
      </c>
      <c r="J161" s="96">
        <v>0.13310944288922158</v>
      </c>
      <c r="K161" s="96">
        <v>0.13312243108427424</v>
      </c>
      <c r="L161" s="96">
        <v>0.13313563084516811</v>
      </c>
      <c r="M161" s="96">
        <v>0.13314913515915855</v>
      </c>
      <c r="N161" s="96">
        <v>0.13316247300478654</v>
      </c>
      <c r="O161" s="96">
        <v>0.13317454942768459</v>
      </c>
      <c r="P161" s="96">
        <v>0.13318563575391584</v>
      </c>
      <c r="Q161" s="96">
        <v>0.13319614147909969</v>
      </c>
      <c r="R161" s="96">
        <v>0.13317988899869407</v>
      </c>
      <c r="S161" s="96">
        <v>0.13316352622186919</v>
      </c>
      <c r="T161" s="96">
        <v>0.13314696209107182</v>
      </c>
      <c r="U161" s="96">
        <v>0.13313025904017731</v>
      </c>
      <c r="V161" s="96">
        <v>0.13311488818806713</v>
      </c>
      <c r="W161" s="96">
        <v>0.133099452969375</v>
      </c>
      <c r="X161" s="96">
        <v>0.13308500024620451</v>
      </c>
      <c r="Y161" s="96">
        <v>0.1330702549248326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0.16901688546575244</v>
      </c>
      <c r="P162" s="96">
        <v>0.16900281655869459</v>
      </c>
      <c r="Q162" s="96">
        <v>0.16898948661440083</v>
      </c>
      <c r="R162" s="96">
        <v>0.16901010908480993</v>
      </c>
      <c r="S162" s="96">
        <v>0.16903087659356078</v>
      </c>
      <c r="T162" s="96">
        <v>0.16905190485815444</v>
      </c>
      <c r="U162" s="96">
        <v>0.16907311478136061</v>
      </c>
      <c r="V162" s="96">
        <v>0.16936619614017548</v>
      </c>
      <c r="W162" s="96">
        <v>0.16911224701089667</v>
      </c>
      <c r="X162" s="96">
        <v>0.1691306122097265</v>
      </c>
      <c r="Y162" s="96">
        <v>0.16914935332683242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11.641707306638953</v>
      </c>
      <c r="C163" s="130">
        <f t="shared" si="215"/>
        <v>11.52778882312424</v>
      </c>
      <c r="D163" s="130">
        <f t="shared" si="215"/>
        <v>11.535595970801756</v>
      </c>
      <c r="E163" s="130">
        <f t="shared" si="215"/>
        <v>11.301581623787532</v>
      </c>
      <c r="F163" s="130">
        <f t="shared" si="215"/>
        <v>11.177715520131377</v>
      </c>
      <c r="G163" s="130">
        <f t="shared" si="215"/>
        <v>9.4686126463236739</v>
      </c>
      <c r="H163" s="130">
        <f t="shared" si="215"/>
        <v>9.5881593457134322</v>
      </c>
      <c r="I163" s="130">
        <f t="shared" si="215"/>
        <v>9.6844851496091184</v>
      </c>
      <c r="J163" s="130">
        <f t="shared" si="215"/>
        <v>10.092012500694253</v>
      </c>
      <c r="K163" s="130">
        <f t="shared" si="215"/>
        <v>8.9202547524387441</v>
      </c>
      <c r="L163" s="130">
        <f t="shared" ref="L163" si="216">IF(L26=0,0,L26/L53)</f>
        <v>9.9434162867161628</v>
      </c>
      <c r="M163" s="130">
        <f t="shared" ref="M163:V163" si="217">IF(M26=0,0,M26/M53)</f>
        <v>10.05545919517089</v>
      </c>
      <c r="N163" s="130">
        <f t="shared" si="217"/>
        <v>10.291491807248997</v>
      </c>
      <c r="O163" s="130">
        <f t="shared" si="217"/>
        <v>10.308561533324083</v>
      </c>
      <c r="P163" s="130">
        <f t="shared" si="217"/>
        <v>10.455228140113279</v>
      </c>
      <c r="Q163" s="130">
        <f t="shared" si="217"/>
        <v>10.613289138193299</v>
      </c>
      <c r="R163" s="130">
        <f t="shared" si="217"/>
        <v>10.939267408126307</v>
      </c>
      <c r="S163" s="130">
        <f t="shared" si="217"/>
        <v>11.2865513938963</v>
      </c>
      <c r="T163" s="130">
        <f t="shared" si="217"/>
        <v>11.16068015497002</v>
      </c>
      <c r="U163" s="130">
        <f t="shared" si="217"/>
        <v>11.096518789499767</v>
      </c>
      <c r="V163" s="130">
        <f t="shared" si="217"/>
        <v>10.839851095649379</v>
      </c>
      <c r="W163" s="130">
        <f t="shared" ref="W163:Y163" si="218">IF(W26=0,0,W26/W53)</f>
        <v>10.989534365584843</v>
      </c>
      <c r="X163" s="130">
        <f t="shared" si="218"/>
        <v>11.065516270654177</v>
      </c>
      <c r="Y163" s="130">
        <f t="shared" si="218"/>
        <v>11.060478070354263</v>
      </c>
      <c r="DA163" s="176" t="s">
        <v>574</v>
      </c>
    </row>
    <row r="164" spans="1:105" ht="11.45" customHeight="1" x14ac:dyDescent="0.25">
      <c r="A164" s="128" t="s">
        <v>27</v>
      </c>
      <c r="B164" s="97">
        <v>10.413827642606281</v>
      </c>
      <c r="C164" s="97">
        <v>10.158798283261802</v>
      </c>
      <c r="D164" s="97">
        <v>9.9874776386404296</v>
      </c>
      <c r="E164" s="97">
        <v>9.6212804328223633</v>
      </c>
      <c r="F164" s="97">
        <v>9.3820512820512825</v>
      </c>
      <c r="G164" s="97">
        <v>7.2434837889383346</v>
      </c>
      <c r="H164" s="97">
        <v>7.3520710059171597</v>
      </c>
      <c r="I164" s="97">
        <v>7.3995510662177333</v>
      </c>
      <c r="J164" s="97">
        <v>7.7729439809296785</v>
      </c>
      <c r="K164" s="97">
        <v>6.899659863945578</v>
      </c>
      <c r="L164" s="97">
        <v>7.8728283530229328</v>
      </c>
      <c r="M164" s="97">
        <v>7.8029629629629627</v>
      </c>
      <c r="N164" s="97">
        <v>7.8537211291702311</v>
      </c>
      <c r="O164" s="97">
        <v>7.8422391857506364</v>
      </c>
      <c r="P164" s="97">
        <v>8.0383973288814694</v>
      </c>
      <c r="Q164" s="97">
        <v>8.32475884244373</v>
      </c>
      <c r="R164" s="97">
        <v>8.8855193328279007</v>
      </c>
      <c r="S164" s="97">
        <v>9.2058596761757912</v>
      </c>
      <c r="T164" s="97">
        <v>9.0889355742296924</v>
      </c>
      <c r="U164" s="97">
        <v>9.0541271989174561</v>
      </c>
      <c r="V164" s="97">
        <v>8.8384879725085916</v>
      </c>
      <c r="W164" s="97">
        <v>9.0054844606946975</v>
      </c>
      <c r="X164" s="97">
        <v>8.9383825417201539</v>
      </c>
      <c r="Y164" s="97">
        <v>9.0411840411840405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14.254152494203542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14.046303126595928</v>
      </c>
      <c r="X165" s="98">
        <v>13.993433342768187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9122.3223168049662</v>
      </c>
      <c r="C167" s="54">
        <f t="shared" si="219"/>
        <v>9270.1960932462462</v>
      </c>
      <c r="D167" s="54">
        <f t="shared" si="219"/>
        <v>9225.0010299719797</v>
      </c>
      <c r="E167" s="54">
        <f t="shared" si="219"/>
        <v>9194.1002949765279</v>
      </c>
      <c r="F167" s="54">
        <f t="shared" si="219"/>
        <v>9418.8862569690682</v>
      </c>
      <c r="G167" s="54">
        <f t="shared" si="219"/>
        <v>9836.2454619860091</v>
      </c>
      <c r="H167" s="54">
        <f t="shared" si="219"/>
        <v>9235.4733328911443</v>
      </c>
      <c r="I167" s="54">
        <f t="shared" si="219"/>
        <v>9586.1248188043865</v>
      </c>
      <c r="J167" s="54">
        <f t="shared" si="219"/>
        <v>10396.999475965666</v>
      </c>
      <c r="K167" s="54">
        <f t="shared" si="219"/>
        <v>11394.965326777208</v>
      </c>
      <c r="L167" s="54">
        <f t="shared" si="219"/>
        <v>10299.373120973862</v>
      </c>
      <c r="M167" s="54">
        <f>IF(M30=0,0,M30*1000000/M57)</f>
        <v>9616.0575750008029</v>
      </c>
      <c r="N167" s="54">
        <f t="shared" ref="N167:V167" si="220">IF(N30=0,0,N30*1000000/N57)</f>
        <v>9677.6789412033213</v>
      </c>
      <c r="O167" s="54">
        <f t="shared" si="220"/>
        <v>9395.4718032245692</v>
      </c>
      <c r="P167" s="54">
        <f t="shared" si="220"/>
        <v>9587.3053288708998</v>
      </c>
      <c r="Q167" s="54">
        <f t="shared" si="220"/>
        <v>9942.56618997025</v>
      </c>
      <c r="R167" s="54">
        <f t="shared" si="220"/>
        <v>10109.869421453563</v>
      </c>
      <c r="S167" s="54">
        <f t="shared" si="220"/>
        <v>10214.616235420403</v>
      </c>
      <c r="T167" s="54">
        <f t="shared" si="220"/>
        <v>10580.252415186902</v>
      </c>
      <c r="U167" s="54">
        <f t="shared" si="220"/>
        <v>11209.065747760143</v>
      </c>
      <c r="V167" s="54">
        <f t="shared" si="220"/>
        <v>10527.995179034977</v>
      </c>
      <c r="W167" s="54">
        <f t="shared" ref="W167:Y191" si="221">IF(W30=0,0,W30*1000000/W57)</f>
        <v>10772.15663072403</v>
      </c>
      <c r="X167" s="54">
        <f t="shared" si="221"/>
        <v>11441.871499167602</v>
      </c>
      <c r="Y167" s="54">
        <f t="shared" si="221"/>
        <v>11291.959563630749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8323.8567628321198</v>
      </c>
      <c r="C168" s="28">
        <f t="shared" si="219"/>
        <v>8506.5229347191453</v>
      </c>
      <c r="D168" s="28">
        <f t="shared" si="219"/>
        <v>8483.3553631385494</v>
      </c>
      <c r="E168" s="28">
        <f t="shared" si="219"/>
        <v>8478.975163099818</v>
      </c>
      <c r="F168" s="28">
        <f t="shared" si="219"/>
        <v>8681.7150641167555</v>
      </c>
      <c r="G168" s="28">
        <f t="shared" si="219"/>
        <v>9031.0668574799001</v>
      </c>
      <c r="H168" s="28">
        <f t="shared" si="219"/>
        <v>8415.4800138304727</v>
      </c>
      <c r="I168" s="28">
        <f t="shared" si="219"/>
        <v>8750.4800842881759</v>
      </c>
      <c r="J168" s="28">
        <f t="shared" si="219"/>
        <v>9535.1514903873758</v>
      </c>
      <c r="K168" s="28">
        <f t="shared" si="219"/>
        <v>10475.08865358298</v>
      </c>
      <c r="L168" s="28">
        <f t="shared" si="219"/>
        <v>9582.9592613593304</v>
      </c>
      <c r="M168" s="28">
        <f t="shared" ref="M168:M192" si="222">IF(M31=0,0,M31*1000000/M58)</f>
        <v>8742.305578022304</v>
      </c>
      <c r="N168" s="28">
        <f t="shared" si="219"/>
        <v>8826.1738099451559</v>
      </c>
      <c r="O168" s="28">
        <f t="shared" si="219"/>
        <v>8454.8551873917786</v>
      </c>
      <c r="P168" s="28">
        <f t="shared" si="219"/>
        <v>8684.5800811848367</v>
      </c>
      <c r="Q168" s="28">
        <f t="shared" si="219"/>
        <v>9077.8781589232676</v>
      </c>
      <c r="R168" s="28">
        <f t="shared" si="219"/>
        <v>9215.0108955438518</v>
      </c>
      <c r="S168" s="28">
        <f t="shared" si="219"/>
        <v>9327.8830601018362</v>
      </c>
      <c r="T168" s="28">
        <f t="shared" si="219"/>
        <v>9724.9971493414887</v>
      </c>
      <c r="U168" s="28">
        <f t="shared" si="219"/>
        <v>10426.384460350017</v>
      </c>
      <c r="V168" s="28">
        <f t="shared" si="219"/>
        <v>9660.7246922587219</v>
      </c>
      <c r="W168" s="28">
        <f t="shared" si="221"/>
        <v>9865.3623153593799</v>
      </c>
      <c r="X168" s="28">
        <f t="shared" si="221"/>
        <v>10637.805824886193</v>
      </c>
      <c r="Y168" s="28">
        <f t="shared" si="221"/>
        <v>10471.181775125453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2674.6468875698342</v>
      </c>
      <c r="C169" s="137">
        <f t="shared" si="219"/>
        <v>2674.0968456972646</v>
      </c>
      <c r="D169" s="137">
        <f t="shared" si="219"/>
        <v>2672.83335308908</v>
      </c>
      <c r="E169" s="137">
        <f t="shared" si="219"/>
        <v>2671.264908176684</v>
      </c>
      <c r="F169" s="137">
        <f t="shared" si="219"/>
        <v>2668.6742969857919</v>
      </c>
      <c r="G169" s="137">
        <f t="shared" si="219"/>
        <v>2666.7201721813858</v>
      </c>
      <c r="H169" s="137">
        <f t="shared" si="219"/>
        <v>2665.1420354160969</v>
      </c>
      <c r="I169" s="137">
        <f t="shared" si="219"/>
        <v>2664.0047372632048</v>
      </c>
      <c r="J169" s="137">
        <f t="shared" si="219"/>
        <v>2662.9148331015476</v>
      </c>
      <c r="K169" s="137">
        <f t="shared" si="219"/>
        <v>2662.8366833491395</v>
      </c>
      <c r="L169" s="137">
        <f t="shared" si="219"/>
        <v>2662.7814047001229</v>
      </c>
      <c r="M169" s="137">
        <f t="shared" si="222"/>
        <v>2661.8380218456455</v>
      </c>
      <c r="N169" s="137">
        <f t="shared" si="219"/>
        <v>2661.1212718089241</v>
      </c>
      <c r="O169" s="137">
        <f t="shared" si="219"/>
        <v>2660.1256517404572</v>
      </c>
      <c r="P169" s="137">
        <f t="shared" si="219"/>
        <v>2659.3975720877138</v>
      </c>
      <c r="Q169" s="137">
        <f t="shared" si="219"/>
        <v>2659.1863807207606</v>
      </c>
      <c r="R169" s="137">
        <f t="shared" si="219"/>
        <v>2669.9065051681182</v>
      </c>
      <c r="S169" s="137">
        <f t="shared" si="219"/>
        <v>2724.9701314217441</v>
      </c>
      <c r="T169" s="137">
        <f t="shared" si="219"/>
        <v>2735.3325381950362</v>
      </c>
      <c r="U169" s="137">
        <f t="shared" si="219"/>
        <v>2656.8356969608967</v>
      </c>
      <c r="V169" s="137">
        <f t="shared" si="219"/>
        <v>2341.4904878876018</v>
      </c>
      <c r="W169" s="137">
        <f t="shared" si="221"/>
        <v>2292.7992652613802</v>
      </c>
      <c r="X169" s="137">
        <f t="shared" si="221"/>
        <v>2281.8463932886034</v>
      </c>
      <c r="Y169" s="137">
        <f t="shared" si="221"/>
        <v>2181.7960079678037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8316.9888934111132</v>
      </c>
      <c r="C170" s="110">
        <f t="shared" si="219"/>
        <v>8512.3397201001535</v>
      </c>
      <c r="D170" s="110">
        <f t="shared" si="219"/>
        <v>8498.3377342892218</v>
      </c>
      <c r="E170" s="110">
        <f t="shared" si="219"/>
        <v>8507.1809357298134</v>
      </c>
      <c r="F170" s="110">
        <f t="shared" si="219"/>
        <v>8747.754548258079</v>
      </c>
      <c r="G170" s="110">
        <f t="shared" si="219"/>
        <v>9132.9673693720597</v>
      </c>
      <c r="H170" s="110">
        <f t="shared" si="219"/>
        <v>8481.2785176093676</v>
      </c>
      <c r="I170" s="110">
        <f t="shared" si="219"/>
        <v>8837.1702278866542</v>
      </c>
      <c r="J170" s="110">
        <f t="shared" si="219"/>
        <v>9693.7070215689982</v>
      </c>
      <c r="K170" s="110">
        <f t="shared" si="219"/>
        <v>10690.886792648189</v>
      </c>
      <c r="L170" s="110">
        <f t="shared" si="219"/>
        <v>9753.5163676763441</v>
      </c>
      <c r="M170" s="110">
        <f t="shared" si="222"/>
        <v>8880.3453117319696</v>
      </c>
      <c r="N170" s="110">
        <f t="shared" si="219"/>
        <v>8975.2783799268582</v>
      </c>
      <c r="O170" s="110">
        <f t="shared" si="219"/>
        <v>8586.4670912447455</v>
      </c>
      <c r="P170" s="110">
        <f t="shared" si="219"/>
        <v>8833.2657836075832</v>
      </c>
      <c r="Q170" s="110">
        <f t="shared" si="219"/>
        <v>9247.7217763061053</v>
      </c>
      <c r="R170" s="110">
        <f t="shared" si="219"/>
        <v>9379.4019561308924</v>
      </c>
      <c r="S170" s="110">
        <f t="shared" si="219"/>
        <v>9490.2547330603065</v>
      </c>
      <c r="T170" s="110">
        <f t="shared" si="219"/>
        <v>9913.547498846372</v>
      </c>
      <c r="U170" s="110">
        <f t="shared" si="219"/>
        <v>10665.919672679636</v>
      </c>
      <c r="V170" s="110">
        <f t="shared" si="219"/>
        <v>9904.7166434003993</v>
      </c>
      <c r="W170" s="110">
        <f t="shared" si="221"/>
        <v>10125.177485992615</v>
      </c>
      <c r="X170" s="110">
        <f t="shared" si="221"/>
        <v>10946.222705612712</v>
      </c>
      <c r="Y170" s="110">
        <f t="shared" si="221"/>
        <v>10789.845282813731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7911.2338464817149</v>
      </c>
      <c r="C171" s="84">
        <f t="shared" si="219"/>
        <v>8066.22177858943</v>
      </c>
      <c r="D171" s="84">
        <f t="shared" si="219"/>
        <v>7983.2396870053972</v>
      </c>
      <c r="E171" s="84">
        <f t="shared" si="219"/>
        <v>7894.3161533531165</v>
      </c>
      <c r="F171" s="84">
        <f t="shared" si="219"/>
        <v>7976.6673972109875</v>
      </c>
      <c r="G171" s="84">
        <f t="shared" si="219"/>
        <v>8602.3574214397213</v>
      </c>
      <c r="H171" s="84">
        <f t="shared" si="219"/>
        <v>7732.8699557584187</v>
      </c>
      <c r="I171" s="84">
        <f t="shared" si="219"/>
        <v>8003.4146843497656</v>
      </c>
      <c r="J171" s="84">
        <f t="shared" si="219"/>
        <v>8828.3158952237773</v>
      </c>
      <c r="K171" s="84">
        <f t="shared" si="219"/>
        <v>9756.6621762293307</v>
      </c>
      <c r="L171" s="84">
        <f t="shared" si="219"/>
        <v>8538.2563795536589</v>
      </c>
      <c r="M171" s="84">
        <f t="shared" si="222"/>
        <v>7473.2210966924104</v>
      </c>
      <c r="N171" s="84">
        <f t="shared" si="219"/>
        <v>7517.5883296313932</v>
      </c>
      <c r="O171" s="84">
        <f t="shared" si="219"/>
        <v>7081.3036396235184</v>
      </c>
      <c r="P171" s="84">
        <f t="shared" si="219"/>
        <v>7776.5563302476648</v>
      </c>
      <c r="Q171" s="84">
        <f t="shared" si="219"/>
        <v>8034.0761168641038</v>
      </c>
      <c r="R171" s="84">
        <f t="shared" si="219"/>
        <v>7920.3648105796829</v>
      </c>
      <c r="S171" s="84">
        <f t="shared" si="219"/>
        <v>7894.7539714438726</v>
      </c>
      <c r="T171" s="84">
        <f t="shared" si="219"/>
        <v>8142.6573346578807</v>
      </c>
      <c r="U171" s="84">
        <f t="shared" si="219"/>
        <v>8610.803102032236</v>
      </c>
      <c r="V171" s="84">
        <f t="shared" si="219"/>
        <v>8033.395564576449</v>
      </c>
      <c r="W171" s="84">
        <f t="shared" si="221"/>
        <v>8082.8844120340318</v>
      </c>
      <c r="X171" s="84">
        <f t="shared" si="221"/>
        <v>8745.5360451345932</v>
      </c>
      <c r="Y171" s="84">
        <f t="shared" si="221"/>
        <v>8555.670698260783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12054.848041847894</v>
      </c>
      <c r="C172" s="84">
        <f t="shared" si="219"/>
        <v>12389.927443495488</v>
      </c>
      <c r="D172" s="84">
        <f t="shared" si="219"/>
        <v>12578.772801897243</v>
      </c>
      <c r="E172" s="84">
        <f t="shared" si="219"/>
        <v>12832.937499494848</v>
      </c>
      <c r="F172" s="84">
        <f t="shared" si="219"/>
        <v>13561.526133790932</v>
      </c>
      <c r="G172" s="84">
        <f t="shared" si="219"/>
        <v>12893.829991487302</v>
      </c>
      <c r="H172" s="84">
        <f t="shared" si="219"/>
        <v>12570.381721100406</v>
      </c>
      <c r="I172" s="84">
        <f t="shared" si="219"/>
        <v>12923.643454068351</v>
      </c>
      <c r="J172" s="84">
        <f t="shared" si="219"/>
        <v>13296.844820975344</v>
      </c>
      <c r="K172" s="84">
        <f t="shared" si="219"/>
        <v>14429.208372674506</v>
      </c>
      <c r="L172" s="84">
        <f t="shared" si="219"/>
        <v>14434.14832703639</v>
      </c>
      <c r="M172" s="84">
        <f t="shared" si="222"/>
        <v>14066.363214048124</v>
      </c>
      <c r="N172" s="84">
        <f t="shared" si="219"/>
        <v>13967.949912526808</v>
      </c>
      <c r="O172" s="84">
        <f t="shared" si="219"/>
        <v>13334.811355451728</v>
      </c>
      <c r="P172" s="84">
        <f t="shared" si="219"/>
        <v>11912.340584176418</v>
      </c>
      <c r="Q172" s="84">
        <f t="shared" si="219"/>
        <v>12467.327985763941</v>
      </c>
      <c r="R172" s="84">
        <f t="shared" si="219"/>
        <v>12937.757991419556</v>
      </c>
      <c r="S172" s="84">
        <f t="shared" si="219"/>
        <v>13164.018957779654</v>
      </c>
      <c r="T172" s="84">
        <f t="shared" si="219"/>
        <v>13839.234192675354</v>
      </c>
      <c r="U172" s="84">
        <f t="shared" si="219"/>
        <v>15109.30882793592</v>
      </c>
      <c r="V172" s="84">
        <f t="shared" si="219"/>
        <v>13893.53748659494</v>
      </c>
      <c r="W172" s="84">
        <f t="shared" si="221"/>
        <v>14443.061364853136</v>
      </c>
      <c r="X172" s="84">
        <f t="shared" si="221"/>
        <v>15602.814400444573</v>
      </c>
      <c r="Y172" s="84">
        <f t="shared" si="221"/>
        <v>15505.443493407885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7559.0134317900565</v>
      </c>
      <c r="D173" s="84">
        <f t="shared" si="219"/>
        <v>7674.2267457662811</v>
      </c>
      <c r="E173" s="84">
        <f t="shared" si="219"/>
        <v>8393.1159486903071</v>
      </c>
      <c r="F173" s="84">
        <f t="shared" si="219"/>
        <v>8273.7981048238144</v>
      </c>
      <c r="G173" s="84">
        <f t="shared" si="219"/>
        <v>8716.5132982507039</v>
      </c>
      <c r="H173" s="84">
        <f t="shared" si="219"/>
        <v>8289.7151774562644</v>
      </c>
      <c r="I173" s="84">
        <f t="shared" si="219"/>
        <v>9008.728969697866</v>
      </c>
      <c r="J173" s="84">
        <f t="shared" si="219"/>
        <v>9680.3615772030298</v>
      </c>
      <c r="K173" s="84">
        <f t="shared" si="219"/>
        <v>10333.024213679322</v>
      </c>
      <c r="L173" s="84">
        <f t="shared" si="219"/>
        <v>8806.179178861772</v>
      </c>
      <c r="M173" s="84">
        <f t="shared" si="222"/>
        <v>7143.0093887878475</v>
      </c>
      <c r="N173" s="84">
        <f t="shared" si="219"/>
        <v>7171.9744151277846</v>
      </c>
      <c r="O173" s="84">
        <f t="shared" si="219"/>
        <v>6893.7373621166953</v>
      </c>
      <c r="P173" s="84">
        <f t="shared" si="219"/>
        <v>7192.0457966719005</v>
      </c>
      <c r="Q173" s="84">
        <f t="shared" si="219"/>
        <v>7606.234994733285</v>
      </c>
      <c r="R173" s="84">
        <f t="shared" si="219"/>
        <v>7893.2412542682996</v>
      </c>
      <c r="S173" s="84">
        <f t="shared" si="219"/>
        <v>8031.2815851423647</v>
      </c>
      <c r="T173" s="84">
        <f t="shared" si="219"/>
        <v>8443.225969256202</v>
      </c>
      <c r="U173" s="84">
        <f t="shared" si="219"/>
        <v>9218.0901701237053</v>
      </c>
      <c r="V173" s="84">
        <f t="shared" si="219"/>
        <v>8476.3560525436642</v>
      </c>
      <c r="W173" s="84">
        <f t="shared" si="221"/>
        <v>8811.6169647472925</v>
      </c>
      <c r="X173" s="84">
        <f t="shared" si="221"/>
        <v>9519.1746815761562</v>
      </c>
      <c r="Y173" s="84">
        <f t="shared" si="221"/>
        <v>9459.7693301313993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8790.5165961719158</v>
      </c>
      <c r="M174" s="84">
        <f t="shared" si="222"/>
        <v>6990.4950032770357</v>
      </c>
      <c r="N174" s="84">
        <f t="shared" si="219"/>
        <v>7162.0832460732163</v>
      </c>
      <c r="O174" s="84">
        <f t="shared" si="219"/>
        <v>7024.7244095786064</v>
      </c>
      <c r="P174" s="84">
        <f t="shared" si="219"/>
        <v>7478.2662914805105</v>
      </c>
      <c r="Q174" s="84">
        <f t="shared" si="219"/>
        <v>8070.3458155197277</v>
      </c>
      <c r="R174" s="84">
        <f t="shared" si="219"/>
        <v>8207.367092911576</v>
      </c>
      <c r="S174" s="84">
        <f t="shared" si="219"/>
        <v>8183.8829691106703</v>
      </c>
      <c r="T174" s="84">
        <f t="shared" si="219"/>
        <v>8431.581564160213</v>
      </c>
      <c r="U174" s="84">
        <f t="shared" si="219"/>
        <v>9021.2695751394058</v>
      </c>
      <c r="V174" s="84">
        <f t="shared" si="219"/>
        <v>8129.465184495808</v>
      </c>
      <c r="W174" s="84">
        <f t="shared" si="221"/>
        <v>8281.9855881677631</v>
      </c>
      <c r="X174" s="84">
        <f t="shared" si="221"/>
        <v>8768.0745182958181</v>
      </c>
      <c r="Y174" s="84">
        <f t="shared" si="221"/>
        <v>8539.0893521005182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7358.0614102732197</v>
      </c>
      <c r="O175" s="84">
        <f t="shared" si="219"/>
        <v>7354.303147446145</v>
      </c>
      <c r="P175" s="84">
        <f t="shared" si="219"/>
        <v>8157.459666038264</v>
      </c>
      <c r="Q175" s="84">
        <f t="shared" si="219"/>
        <v>9081.3125813400075</v>
      </c>
      <c r="R175" s="84">
        <f t="shared" si="219"/>
        <v>8952.7790821074414</v>
      </c>
      <c r="S175" s="84">
        <f t="shared" si="219"/>
        <v>8653.8816043587976</v>
      </c>
      <c r="T175" s="84">
        <f t="shared" si="219"/>
        <v>8642.8726556374058</v>
      </c>
      <c r="U175" s="84">
        <f t="shared" si="219"/>
        <v>8995.4699936946818</v>
      </c>
      <c r="V175" s="84">
        <f t="shared" si="219"/>
        <v>8367.8966884629626</v>
      </c>
      <c r="W175" s="84">
        <f t="shared" si="221"/>
        <v>8462.6563172593233</v>
      </c>
      <c r="X175" s="84">
        <f t="shared" si="221"/>
        <v>9155.5966200733274</v>
      </c>
      <c r="Y175" s="84">
        <f t="shared" si="221"/>
        <v>8978.684001370666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7784.8747918679801</v>
      </c>
      <c r="M176" s="84">
        <f t="shared" si="222"/>
        <v>7846.6291456822864</v>
      </c>
      <c r="N176" s="84">
        <f t="shared" si="219"/>
        <v>7848.9518072032006</v>
      </c>
      <c r="O176" s="84">
        <f t="shared" si="219"/>
        <v>7872.4503198991897</v>
      </c>
      <c r="P176" s="84">
        <f t="shared" si="219"/>
        <v>7909.4017183743299</v>
      </c>
      <c r="Q176" s="84">
        <f t="shared" si="219"/>
        <v>7922.2960004856868</v>
      </c>
      <c r="R176" s="84">
        <f t="shared" si="219"/>
        <v>7916.6514973666972</v>
      </c>
      <c r="S176" s="84">
        <f t="shared" si="219"/>
        <v>7915.3695857215935</v>
      </c>
      <c r="T176" s="84">
        <f t="shared" si="219"/>
        <v>7903.1426311798796</v>
      </c>
      <c r="U176" s="84">
        <f t="shared" si="219"/>
        <v>7881.0837909752627</v>
      </c>
      <c r="V176" s="84">
        <f t="shared" si="219"/>
        <v>7481.3085233803758</v>
      </c>
      <c r="W176" s="84">
        <f t="shared" si="221"/>
        <v>7856.1918484754424</v>
      </c>
      <c r="X176" s="84">
        <f t="shared" si="221"/>
        <v>7874.9681528548599</v>
      </c>
      <c r="Y176" s="84">
        <f t="shared" si="221"/>
        <v>7878.5530742627452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37608.391734541183</v>
      </c>
      <c r="C177" s="110">
        <f t="shared" si="219"/>
        <v>37259.894263930335</v>
      </c>
      <c r="D177" s="110">
        <f t="shared" si="219"/>
        <v>36909.263329849724</v>
      </c>
      <c r="E177" s="110">
        <f t="shared" si="219"/>
        <v>36549.525673095828</v>
      </c>
      <c r="F177" s="110">
        <f t="shared" si="219"/>
        <v>36143.015353998446</v>
      </c>
      <c r="G177" s="110">
        <f t="shared" si="219"/>
        <v>35778.45449644851</v>
      </c>
      <c r="H177" s="110">
        <f t="shared" si="219"/>
        <v>35581.241890553509</v>
      </c>
      <c r="I177" s="110">
        <f t="shared" si="219"/>
        <v>35960.987365282053</v>
      </c>
      <c r="J177" s="110">
        <f t="shared" si="219"/>
        <v>36166.393889798142</v>
      </c>
      <c r="K177" s="110">
        <f t="shared" si="219"/>
        <v>36007.500558138076</v>
      </c>
      <c r="L177" s="110">
        <f t="shared" si="219"/>
        <v>36350.754645397275</v>
      </c>
      <c r="M177" s="110">
        <f t="shared" si="222"/>
        <v>36681.414655873843</v>
      </c>
      <c r="N177" s="110">
        <f t="shared" si="219"/>
        <v>37040.302020894291</v>
      </c>
      <c r="O177" s="110">
        <f t="shared" si="219"/>
        <v>37442.997279057148</v>
      </c>
      <c r="P177" s="110">
        <f t="shared" si="219"/>
        <v>37109.270385723677</v>
      </c>
      <c r="Q177" s="110">
        <f t="shared" si="219"/>
        <v>36768.926274121724</v>
      </c>
      <c r="R177" s="110">
        <f t="shared" si="219"/>
        <v>37167.296276308691</v>
      </c>
      <c r="S177" s="110">
        <f t="shared" si="219"/>
        <v>38281.299946723499</v>
      </c>
      <c r="T177" s="110">
        <f t="shared" si="219"/>
        <v>38156.232050545652</v>
      </c>
      <c r="U177" s="110">
        <f t="shared" si="219"/>
        <v>37751.451919617619</v>
      </c>
      <c r="V177" s="110">
        <f t="shared" si="219"/>
        <v>37202.727326162363</v>
      </c>
      <c r="W177" s="110">
        <f t="shared" si="221"/>
        <v>37406.594643259057</v>
      </c>
      <c r="X177" s="110">
        <f t="shared" si="221"/>
        <v>38954.367221685527</v>
      </c>
      <c r="Y177" s="110">
        <f t="shared" si="221"/>
        <v>39480.824270177451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14204.439501919183</v>
      </c>
      <c r="C178" s="102">
        <f t="shared" si="219"/>
        <v>14353.331813365265</v>
      </c>
      <c r="D178" s="102">
        <f t="shared" si="219"/>
        <v>14501.572432193516</v>
      </c>
      <c r="E178" s="102">
        <f t="shared" si="219"/>
        <v>14646.12400355864</v>
      </c>
      <c r="F178" s="102">
        <f t="shared" si="219"/>
        <v>14770.540915827667</v>
      </c>
      <c r="G178" s="102">
        <f t="shared" si="219"/>
        <v>14912.394302398017</v>
      </c>
      <c r="H178" s="102">
        <f t="shared" si="219"/>
        <v>15128.671909141038</v>
      </c>
      <c r="I178" s="102">
        <f t="shared" si="219"/>
        <v>15610.462107746227</v>
      </c>
      <c r="J178" s="102">
        <f t="shared" si="219"/>
        <v>16024.591387087296</v>
      </c>
      <c r="K178" s="102">
        <f t="shared" si="219"/>
        <v>16329.641960270295</v>
      </c>
      <c r="L178" s="102">
        <f t="shared" si="219"/>
        <v>16829.7267541043</v>
      </c>
      <c r="M178" s="102">
        <f t="shared" si="222"/>
        <v>16986.703022708556</v>
      </c>
      <c r="N178" s="102">
        <f t="shared" si="219"/>
        <v>17510.953408795867</v>
      </c>
      <c r="O178" s="102">
        <f t="shared" si="219"/>
        <v>18072.349148066103</v>
      </c>
      <c r="P178" s="102">
        <f t="shared" si="219"/>
        <v>18268.627998941505</v>
      </c>
      <c r="Q178" s="102">
        <f t="shared" si="219"/>
        <v>18459.100067754713</v>
      </c>
      <c r="R178" s="102">
        <f t="shared" si="219"/>
        <v>18295.767082275528</v>
      </c>
      <c r="S178" s="102">
        <f t="shared" si="219"/>
        <v>19249.426155617824</v>
      </c>
      <c r="T178" s="102">
        <f t="shared" si="219"/>
        <v>18799.729804947929</v>
      </c>
      <c r="U178" s="102">
        <f t="shared" si="219"/>
        <v>18218.569345115146</v>
      </c>
      <c r="V178" s="102">
        <f t="shared" si="219"/>
        <v>17581.807533666008</v>
      </c>
      <c r="W178" s="102">
        <f t="shared" si="221"/>
        <v>17329.325583038211</v>
      </c>
      <c r="X178" s="102">
        <f t="shared" si="221"/>
        <v>17721.321989430442</v>
      </c>
      <c r="Y178" s="102">
        <f t="shared" si="221"/>
        <v>17613.422479746983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41053.065428557587</v>
      </c>
      <c r="C179" s="102">
        <f t="shared" si="219"/>
        <v>40220.415324442132</v>
      </c>
      <c r="D179" s="102">
        <f t="shared" si="219"/>
        <v>39402.236974009982</v>
      </c>
      <c r="E179" s="102">
        <f t="shared" si="219"/>
        <v>38647.705894159968</v>
      </c>
      <c r="F179" s="102">
        <f t="shared" si="219"/>
        <v>37925.079079953168</v>
      </c>
      <c r="G179" s="102">
        <f t="shared" si="219"/>
        <v>37242.385939477601</v>
      </c>
      <c r="H179" s="102">
        <f t="shared" si="219"/>
        <v>36656.084926921525</v>
      </c>
      <c r="I179" s="102">
        <f t="shared" si="219"/>
        <v>36825.261238622123</v>
      </c>
      <c r="J179" s="102">
        <f t="shared" si="219"/>
        <v>36928.734339518094</v>
      </c>
      <c r="K179" s="102">
        <f t="shared" si="219"/>
        <v>36604.005198800784</v>
      </c>
      <c r="L179" s="102">
        <f t="shared" si="219"/>
        <v>36833.806303414669</v>
      </c>
      <c r="M179" s="102">
        <f t="shared" si="222"/>
        <v>37073.012565995406</v>
      </c>
      <c r="N179" s="102">
        <f t="shared" si="219"/>
        <v>37334.541044127822</v>
      </c>
      <c r="O179" s="102">
        <f t="shared" si="219"/>
        <v>37749.161121032557</v>
      </c>
      <c r="P179" s="102">
        <f t="shared" si="219"/>
        <v>37354.226565770019</v>
      </c>
      <c r="Q179" s="102">
        <f t="shared" si="219"/>
        <v>36890.001562199104</v>
      </c>
      <c r="R179" s="102">
        <f t="shared" si="219"/>
        <v>37081.94986905004</v>
      </c>
      <c r="S179" s="102">
        <f t="shared" si="219"/>
        <v>38132.89890499373</v>
      </c>
      <c r="T179" s="102">
        <f t="shared" si="219"/>
        <v>38017.033713688477</v>
      </c>
      <c r="U179" s="102">
        <f t="shared" si="219"/>
        <v>37734.00315678661</v>
      </c>
      <c r="V179" s="102">
        <f t="shared" si="219"/>
        <v>37193.277467450702</v>
      </c>
      <c r="W179" s="102">
        <f t="shared" si="221"/>
        <v>37430.67047533294</v>
      </c>
      <c r="X179" s="102">
        <f t="shared" si="221"/>
        <v>39001.844785926936</v>
      </c>
      <c r="Y179" s="102">
        <f t="shared" si="221"/>
        <v>39436.956005853928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22383.803343083895</v>
      </c>
      <c r="Q180" s="102">
        <f t="shared" si="223"/>
        <v>22617.180985395742</v>
      </c>
      <c r="R180" s="102">
        <f t="shared" si="223"/>
        <v>22417.055752859578</v>
      </c>
      <c r="S180" s="102">
        <f t="shared" si="223"/>
        <v>22660.612293570703</v>
      </c>
      <c r="T180" s="102">
        <f t="shared" si="223"/>
        <v>22131.22536172234</v>
      </c>
      <c r="U180" s="102">
        <f t="shared" si="223"/>
        <v>21447.077597827541</v>
      </c>
      <c r="V180" s="102">
        <f t="shared" si="223"/>
        <v>20697.475380288735</v>
      </c>
      <c r="W180" s="102">
        <f t="shared" si="221"/>
        <v>20400.251164457699</v>
      </c>
      <c r="X180" s="102">
        <f t="shared" si="221"/>
        <v>20861.713158904473</v>
      </c>
      <c r="Y180" s="102">
        <f t="shared" si="221"/>
        <v>20734.692803293008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38565.149667416073</v>
      </c>
      <c r="C181" s="102">
        <f t="shared" si="223"/>
        <v>37831.718160710217</v>
      </c>
      <c r="D181" s="102">
        <f t="shared" si="223"/>
        <v>40022.603899072579</v>
      </c>
      <c r="E181" s="102">
        <f t="shared" si="223"/>
        <v>38685.965780999213</v>
      </c>
      <c r="F181" s="102">
        <f t="shared" si="223"/>
        <v>38765.413354369972</v>
      </c>
      <c r="G181" s="102">
        <f t="shared" si="223"/>
        <v>43194.498274187696</v>
      </c>
      <c r="H181" s="102">
        <f t="shared" si="223"/>
        <v>42944.538068830421</v>
      </c>
      <c r="I181" s="102">
        <f t="shared" si="223"/>
        <v>43425.913822350914</v>
      </c>
      <c r="J181" s="102">
        <f t="shared" si="223"/>
        <v>43686.398866011405</v>
      </c>
      <c r="K181" s="102">
        <f t="shared" si="223"/>
        <v>42381.021093337615</v>
      </c>
      <c r="L181" s="102">
        <f t="shared" si="223"/>
        <v>38304.232658163841</v>
      </c>
      <c r="M181" s="102">
        <f t="shared" si="222"/>
        <v>36398.265722053708</v>
      </c>
      <c r="N181" s="102">
        <f t="shared" si="223"/>
        <v>44511.20473742859</v>
      </c>
      <c r="O181" s="102">
        <f t="shared" si="223"/>
        <v>37516.213135847916</v>
      </c>
      <c r="P181" s="102">
        <f t="shared" si="223"/>
        <v>38067.832344041381</v>
      </c>
      <c r="Q181" s="102">
        <f t="shared" si="223"/>
        <v>40536.282186439399</v>
      </c>
      <c r="R181" s="102">
        <f t="shared" si="223"/>
        <v>45097.30845637303</v>
      </c>
      <c r="S181" s="102">
        <f t="shared" si="223"/>
        <v>46517.633792509609</v>
      </c>
      <c r="T181" s="102">
        <f t="shared" si="223"/>
        <v>46358.071388134311</v>
      </c>
      <c r="U181" s="102">
        <f t="shared" si="223"/>
        <v>45841.830047843403</v>
      </c>
      <c r="V181" s="102">
        <f t="shared" si="223"/>
        <v>45142.449679262252</v>
      </c>
      <c r="W181" s="102">
        <f t="shared" si="221"/>
        <v>41465.373676989388</v>
      </c>
      <c r="X181" s="102">
        <f t="shared" si="221"/>
        <v>38762.822324024033</v>
      </c>
      <c r="Y181" s="102">
        <f t="shared" si="221"/>
        <v>41777.172577043777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44930.867869530302</v>
      </c>
      <c r="C182" s="102">
        <f t="shared" si="223"/>
        <v>44951.787343809141</v>
      </c>
      <c r="D182" s="102">
        <f t="shared" si="223"/>
        <v>44973.043255752753</v>
      </c>
      <c r="E182" s="102">
        <f t="shared" si="223"/>
        <v>44995.072734968067</v>
      </c>
      <c r="F182" s="102">
        <f t="shared" si="223"/>
        <v>45020.242122601485</v>
      </c>
      <c r="G182" s="102">
        <f t="shared" si="223"/>
        <v>45043.068295545541</v>
      </c>
      <c r="H182" s="102">
        <f t="shared" si="223"/>
        <v>45055.518336031222</v>
      </c>
      <c r="I182" s="102">
        <f t="shared" si="223"/>
        <v>45079.440335447951</v>
      </c>
      <c r="J182" s="102">
        <f t="shared" si="223"/>
        <v>45092.28005686844</v>
      </c>
      <c r="K182" s="102">
        <f t="shared" si="223"/>
        <v>45095.168696143199</v>
      </c>
      <c r="L182" s="102">
        <f t="shared" si="223"/>
        <v>45116.566239762316</v>
      </c>
      <c r="M182" s="102">
        <f t="shared" si="222"/>
        <v>45137.062742502836</v>
      </c>
      <c r="N182" s="102">
        <f t="shared" si="223"/>
        <v>45158.976782551865</v>
      </c>
      <c r="O182" s="102">
        <f t="shared" si="223"/>
        <v>45183.398901492037</v>
      </c>
      <c r="P182" s="102">
        <f t="shared" si="223"/>
        <v>45203.629529024613</v>
      </c>
      <c r="Q182" s="102">
        <f t="shared" si="223"/>
        <v>45224.795165999043</v>
      </c>
      <c r="R182" s="102">
        <f t="shared" si="223"/>
        <v>45200.434274050014</v>
      </c>
      <c r="S182" s="102">
        <f t="shared" si="223"/>
        <v>45133.739927030299</v>
      </c>
      <c r="T182" s="102">
        <f t="shared" si="223"/>
        <v>45126.355694427562</v>
      </c>
      <c r="U182" s="102">
        <f t="shared" si="223"/>
        <v>45102.298109137068</v>
      </c>
      <c r="V182" s="102">
        <f t="shared" si="223"/>
        <v>44609.721410687933</v>
      </c>
      <c r="W182" s="102">
        <f t="shared" si="221"/>
        <v>45081.607846870291</v>
      </c>
      <c r="X182" s="102">
        <f t="shared" si="221"/>
        <v>45031.617465338473</v>
      </c>
      <c r="Y182" s="102">
        <f t="shared" si="221"/>
        <v>45001.401928933163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14763.704341803457</v>
      </c>
      <c r="C183" s="28">
        <f t="shared" si="223"/>
        <v>14703.321383254894</v>
      </c>
      <c r="D183" s="28">
        <f t="shared" si="223"/>
        <v>14553.477368146838</v>
      </c>
      <c r="E183" s="28">
        <f t="shared" si="223"/>
        <v>14463.642860777685</v>
      </c>
      <c r="F183" s="28">
        <f t="shared" si="223"/>
        <v>14913.025752964037</v>
      </c>
      <c r="G183" s="28">
        <f t="shared" si="223"/>
        <v>15815.826753142528</v>
      </c>
      <c r="H183" s="28">
        <f t="shared" si="223"/>
        <v>15724.008522896524</v>
      </c>
      <c r="I183" s="28">
        <f t="shared" si="223"/>
        <v>16121.163886107852</v>
      </c>
      <c r="J183" s="28">
        <f t="shared" si="223"/>
        <v>16571.99481146679</v>
      </c>
      <c r="K183" s="28">
        <f t="shared" si="223"/>
        <v>18001.060737725325</v>
      </c>
      <c r="L183" s="28">
        <f t="shared" si="223"/>
        <v>15406.465306215363</v>
      </c>
      <c r="M183" s="28">
        <f t="shared" si="222"/>
        <v>15816.462159845092</v>
      </c>
      <c r="N183" s="28">
        <f t="shared" si="223"/>
        <v>15750.361893714477</v>
      </c>
      <c r="O183" s="28">
        <f t="shared" si="223"/>
        <v>16147.05010521801</v>
      </c>
      <c r="P183" s="28">
        <f t="shared" si="223"/>
        <v>16001.961853761892</v>
      </c>
      <c r="Q183" s="28">
        <f t="shared" si="223"/>
        <v>15993.909798954337</v>
      </c>
      <c r="R183" s="28">
        <f t="shared" si="223"/>
        <v>16325.20720131925</v>
      </c>
      <c r="S183" s="28">
        <f t="shared" si="223"/>
        <v>16338.188637475076</v>
      </c>
      <c r="T183" s="28">
        <f t="shared" si="223"/>
        <v>16438.812976294455</v>
      </c>
      <c r="U183" s="28">
        <f t="shared" si="223"/>
        <v>16544.135891428359</v>
      </c>
      <c r="V183" s="28">
        <f t="shared" si="223"/>
        <v>16407.379063983939</v>
      </c>
      <c r="W183" s="28">
        <f t="shared" si="221"/>
        <v>16870.392407847532</v>
      </c>
      <c r="X183" s="28">
        <f t="shared" si="221"/>
        <v>16832.512912024475</v>
      </c>
      <c r="Y183" s="28">
        <f t="shared" si="221"/>
        <v>16738.411667890774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15657.473117194832</v>
      </c>
      <c r="C184" s="137">
        <f t="shared" si="223"/>
        <v>15666.793027536642</v>
      </c>
      <c r="D184" s="137">
        <f t="shared" si="223"/>
        <v>15721.570986209108</v>
      </c>
      <c r="E184" s="137">
        <f t="shared" si="223"/>
        <v>15716.506161338619</v>
      </c>
      <c r="F184" s="137">
        <f t="shared" si="223"/>
        <v>15665.943892882111</v>
      </c>
      <c r="G184" s="137">
        <f t="shared" si="223"/>
        <v>15637.031990689351</v>
      </c>
      <c r="H184" s="137">
        <f t="shared" si="223"/>
        <v>15552.385897888378</v>
      </c>
      <c r="I184" s="137">
        <f t="shared" si="223"/>
        <v>15488.702661597046</v>
      </c>
      <c r="J184" s="137">
        <f t="shared" si="223"/>
        <v>15491.053900218649</v>
      </c>
      <c r="K184" s="137">
        <f t="shared" si="223"/>
        <v>15405.91267951346</v>
      </c>
      <c r="L184" s="137">
        <f t="shared" si="223"/>
        <v>15205.714963278211</v>
      </c>
      <c r="M184" s="137">
        <f t="shared" si="222"/>
        <v>15088.707945587797</v>
      </c>
      <c r="N184" s="137">
        <f t="shared" si="223"/>
        <v>14941.767859762904</v>
      </c>
      <c r="O184" s="137">
        <f t="shared" si="223"/>
        <v>14815.655315601633</v>
      </c>
      <c r="P184" s="137">
        <f t="shared" si="223"/>
        <v>14705.72313006184</v>
      </c>
      <c r="Q184" s="137">
        <f t="shared" si="223"/>
        <v>14605.888295931742</v>
      </c>
      <c r="R184" s="137">
        <f t="shared" si="223"/>
        <v>14834.118222551486</v>
      </c>
      <c r="S184" s="137">
        <f t="shared" si="223"/>
        <v>15053.275388806442</v>
      </c>
      <c r="T184" s="137">
        <f t="shared" si="223"/>
        <v>15270.887785265997</v>
      </c>
      <c r="U184" s="137">
        <f t="shared" si="223"/>
        <v>15492.565539738969</v>
      </c>
      <c r="V184" s="137">
        <f t="shared" si="223"/>
        <v>15684.421730166707</v>
      </c>
      <c r="W184" s="137">
        <f t="shared" si="221"/>
        <v>15874.206871578519</v>
      </c>
      <c r="X184" s="137">
        <f t="shared" si="221"/>
        <v>16042.799531418485</v>
      </c>
      <c r="Y184" s="137">
        <f t="shared" si="221"/>
        <v>16205.211443763505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13329.130878593944</v>
      </c>
      <c r="C185" s="84">
        <f t="shared" si="223"/>
        <v>13220.31229713615</v>
      </c>
      <c r="D185" s="84">
        <f t="shared" si="223"/>
        <v>13121.062814935121</v>
      </c>
      <c r="E185" s="84">
        <f t="shared" si="223"/>
        <v>13012.137481876471</v>
      </c>
      <c r="F185" s="84">
        <f t="shared" si="223"/>
        <v>12893.693625116521</v>
      </c>
      <c r="G185" s="84">
        <f t="shared" si="223"/>
        <v>12790.418900591407</v>
      </c>
      <c r="H185" s="84">
        <f t="shared" si="223"/>
        <v>12608.662625270539</v>
      </c>
      <c r="I185" s="84">
        <f t="shared" si="223"/>
        <v>12327.563558577785</v>
      </c>
      <c r="J185" s="84">
        <f t="shared" si="223"/>
        <v>12060.463994535206</v>
      </c>
      <c r="K185" s="84">
        <f t="shared" si="223"/>
        <v>11761.119626268013</v>
      </c>
      <c r="L185" s="84">
        <f t="shared" si="223"/>
        <v>11467.302995556163</v>
      </c>
      <c r="M185" s="84">
        <f t="shared" si="222"/>
        <v>11178.153087544166</v>
      </c>
      <c r="N185" s="84">
        <f t="shared" si="223"/>
        <v>10897.736274699517</v>
      </c>
      <c r="O185" s="84">
        <f t="shared" si="223"/>
        <v>10634.936951090624</v>
      </c>
      <c r="P185" s="84">
        <f t="shared" si="223"/>
        <v>10386.588226047248</v>
      </c>
      <c r="Q185" s="84">
        <f t="shared" si="223"/>
        <v>10148.690284059692</v>
      </c>
      <c r="R185" s="84">
        <f t="shared" si="223"/>
        <v>10433.753362117213</v>
      </c>
      <c r="S185" s="84">
        <f t="shared" si="223"/>
        <v>10727.773197387362</v>
      </c>
      <c r="T185" s="84">
        <f t="shared" si="223"/>
        <v>11031.847491372329</v>
      </c>
      <c r="U185" s="84">
        <f t="shared" si="223"/>
        <v>11345.802131337179</v>
      </c>
      <c r="V185" s="84">
        <f t="shared" si="223"/>
        <v>11311.929665060319</v>
      </c>
      <c r="W185" s="84">
        <f t="shared" si="221"/>
        <v>11278.746808071315</v>
      </c>
      <c r="X185" s="84">
        <f t="shared" si="221"/>
        <v>11236.963329077711</v>
      </c>
      <c r="Y185" s="84">
        <f t="shared" si="221"/>
        <v>11197.933545184313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16999.189649016549</v>
      </c>
      <c r="C186" s="84">
        <f t="shared" si="223"/>
        <v>16860.408829742817</v>
      </c>
      <c r="D186" s="84">
        <f t="shared" si="223"/>
        <v>16733.831876911514</v>
      </c>
      <c r="E186" s="84">
        <f t="shared" si="223"/>
        <v>16594.914912924014</v>
      </c>
      <c r="F186" s="84">
        <f t="shared" si="223"/>
        <v>16443.858583583227</v>
      </c>
      <c r="G186" s="84">
        <f t="shared" si="223"/>
        <v>16312.148073412469</v>
      </c>
      <c r="H186" s="84">
        <f t="shared" si="223"/>
        <v>16173.308519452097</v>
      </c>
      <c r="I186" s="84">
        <f t="shared" si="223"/>
        <v>16049.929883232291</v>
      </c>
      <c r="J186" s="84">
        <f t="shared" si="223"/>
        <v>15937.711013211561</v>
      </c>
      <c r="K186" s="84">
        <f t="shared" si="223"/>
        <v>15775.264182904406</v>
      </c>
      <c r="L186" s="84">
        <f t="shared" si="223"/>
        <v>15611.883567914827</v>
      </c>
      <c r="M186" s="84">
        <f t="shared" si="222"/>
        <v>15446.500798253508</v>
      </c>
      <c r="N186" s="84">
        <f t="shared" si="223"/>
        <v>15284.892692844123</v>
      </c>
      <c r="O186" s="84">
        <f t="shared" si="223"/>
        <v>15140.041379696639</v>
      </c>
      <c r="P186" s="84">
        <f t="shared" si="223"/>
        <v>15008.286076665485</v>
      </c>
      <c r="Q186" s="84">
        <f t="shared" si="223"/>
        <v>14884.499166458025</v>
      </c>
      <c r="R186" s="84">
        <f t="shared" si="223"/>
        <v>15076.438182013004</v>
      </c>
      <c r="S186" s="84">
        <f t="shared" si="223"/>
        <v>15272.204326870879</v>
      </c>
      <c r="T186" s="84">
        <f t="shared" si="223"/>
        <v>15472.993735489999</v>
      </c>
      <c r="U186" s="84">
        <f t="shared" si="223"/>
        <v>15678.166178794847</v>
      </c>
      <c r="V186" s="84">
        <f t="shared" si="223"/>
        <v>15869.400611488329</v>
      </c>
      <c r="W186" s="84">
        <f t="shared" si="221"/>
        <v>16063.805777606211</v>
      </c>
      <c r="X186" s="84">
        <f t="shared" si="221"/>
        <v>16248.015705646314</v>
      </c>
      <c r="Y186" s="84">
        <f t="shared" si="221"/>
        <v>16438.153134712335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8269.3775640148888</v>
      </c>
      <c r="D187" s="84">
        <f t="shared" si="223"/>
        <v>8266.4107012013701</v>
      </c>
      <c r="E187" s="84">
        <f t="shared" si="223"/>
        <v>8263.1298971128035</v>
      </c>
      <c r="F187" s="84">
        <f t="shared" si="223"/>
        <v>8259.5325796460165</v>
      </c>
      <c r="G187" s="84">
        <f t="shared" si="223"/>
        <v>8296.5702311436307</v>
      </c>
      <c r="H187" s="84">
        <f t="shared" si="223"/>
        <v>8376.96351372557</v>
      </c>
      <c r="I187" s="84">
        <f t="shared" si="223"/>
        <v>8458.4943019388484</v>
      </c>
      <c r="J187" s="84">
        <f t="shared" si="223"/>
        <v>8541.0794575347463</v>
      </c>
      <c r="K187" s="84">
        <f t="shared" si="223"/>
        <v>8623.1451360578085</v>
      </c>
      <c r="L187" s="84">
        <f t="shared" si="223"/>
        <v>8705.9305713823833</v>
      </c>
      <c r="M187" s="84">
        <f t="shared" si="222"/>
        <v>8789.4106888637052</v>
      </c>
      <c r="N187" s="84">
        <f t="shared" si="223"/>
        <v>8873.7472093130673</v>
      </c>
      <c r="O187" s="84">
        <f t="shared" si="223"/>
        <v>8959.3177074728064</v>
      </c>
      <c r="P187" s="84">
        <f t="shared" si="223"/>
        <v>9046.049975424181</v>
      </c>
      <c r="Q187" s="84">
        <f t="shared" si="223"/>
        <v>9133.8212556537201</v>
      </c>
      <c r="R187" s="84">
        <f t="shared" si="223"/>
        <v>9048.001843754073</v>
      </c>
      <c r="S187" s="84">
        <f t="shared" si="223"/>
        <v>8963.0265592086562</v>
      </c>
      <c r="T187" s="84">
        <f t="shared" si="223"/>
        <v>8878.9171357426549</v>
      </c>
      <c r="U187" s="84">
        <f t="shared" si="223"/>
        <v>8795.6435700097736</v>
      </c>
      <c r="V187" s="84">
        <f t="shared" si="223"/>
        <v>8712.7157034942647</v>
      </c>
      <c r="W187" s="84">
        <f t="shared" si="221"/>
        <v>8630.5911488560705</v>
      </c>
      <c r="X187" s="84">
        <f t="shared" si="221"/>
        <v>8548.9256932029984</v>
      </c>
      <c r="Y187" s="84">
        <f t="shared" si="221"/>
        <v>8468.1265809710421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9742.7188598599259</v>
      </c>
      <c r="C188" s="84">
        <f t="shared" si="223"/>
        <v>9738.9164740136312</v>
      </c>
      <c r="D188" s="84">
        <f t="shared" si="223"/>
        <v>9735.4223743783132</v>
      </c>
      <c r="E188" s="84">
        <f t="shared" si="223"/>
        <v>9731.5585434262484</v>
      </c>
      <c r="F188" s="84">
        <f t="shared" si="223"/>
        <v>9727.321951969594</v>
      </c>
      <c r="G188" s="84">
        <f t="shared" si="223"/>
        <v>9723.5975833473076</v>
      </c>
      <c r="H188" s="84">
        <f t="shared" si="223"/>
        <v>9719.6404911233221</v>
      </c>
      <c r="I188" s="84">
        <f t="shared" si="223"/>
        <v>9716.0968100900955</v>
      </c>
      <c r="J188" s="84">
        <f t="shared" si="223"/>
        <v>9712.8510572533996</v>
      </c>
      <c r="K188" s="84">
        <f t="shared" si="223"/>
        <v>9708.1137718423106</v>
      </c>
      <c r="L188" s="84">
        <f t="shared" si="223"/>
        <v>9703.3021608430408</v>
      </c>
      <c r="M188" s="84">
        <f t="shared" si="222"/>
        <v>9698.382494576148</v>
      </c>
      <c r="N188" s="84">
        <f t="shared" si="223"/>
        <v>9693.5264110578883</v>
      </c>
      <c r="O188" s="84">
        <f t="shared" si="223"/>
        <v>9689.1321068946236</v>
      </c>
      <c r="P188" s="84">
        <f t="shared" si="223"/>
        <v>9685.1001781649411</v>
      </c>
      <c r="Q188" s="84">
        <f t="shared" si="223"/>
        <v>9681.2812630572917</v>
      </c>
      <c r="R188" s="84">
        <f t="shared" si="223"/>
        <v>9687.1899345073143</v>
      </c>
      <c r="S188" s="84">
        <f t="shared" si="223"/>
        <v>9693.1430768821647</v>
      </c>
      <c r="T188" s="84">
        <f t="shared" si="223"/>
        <v>9699.1739483616147</v>
      </c>
      <c r="U188" s="84">
        <f t="shared" si="223"/>
        <v>9705.2599596915716</v>
      </c>
      <c r="V188" s="84">
        <f t="shared" si="223"/>
        <v>9710.8646134198207</v>
      </c>
      <c r="W188" s="84">
        <f t="shared" si="221"/>
        <v>9716.4966458693088</v>
      </c>
      <c r="X188" s="84">
        <f t="shared" si="221"/>
        <v>9721.7737372009087</v>
      </c>
      <c r="Y188" s="84">
        <f t="shared" si="221"/>
        <v>9727.1612090525832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7234.5770876551351</v>
      </c>
      <c r="P189" s="84">
        <f t="shared" si="223"/>
        <v>7237.5888581758563</v>
      </c>
      <c r="Q189" s="84">
        <f t="shared" si="223"/>
        <v>7240.4438250632375</v>
      </c>
      <c r="R189" s="84">
        <f t="shared" si="223"/>
        <v>7236.0275388126429</v>
      </c>
      <c r="S189" s="84">
        <f t="shared" si="223"/>
        <v>7231.5834589280057</v>
      </c>
      <c r="T189" s="84">
        <f t="shared" si="223"/>
        <v>7227.0869161640649</v>
      </c>
      <c r="U189" s="84">
        <f t="shared" si="223"/>
        <v>7222.5549270120973</v>
      </c>
      <c r="V189" s="84">
        <f t="shared" si="223"/>
        <v>7160.2791344967509</v>
      </c>
      <c r="W189" s="84">
        <f t="shared" si="221"/>
        <v>7214.2023709340983</v>
      </c>
      <c r="X189" s="84">
        <f t="shared" si="221"/>
        <v>7210.2864183697648</v>
      </c>
      <c r="Y189" s="84">
        <f t="shared" si="221"/>
        <v>7206.2929392563174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13240.960569018653</v>
      </c>
      <c r="C190" s="110">
        <f t="shared" si="223"/>
        <v>13049.831800926533</v>
      </c>
      <c r="D190" s="110">
        <f t="shared" si="223"/>
        <v>12505.067285364708</v>
      </c>
      <c r="E190" s="110">
        <f t="shared" si="223"/>
        <v>12246.325049339752</v>
      </c>
      <c r="F190" s="110">
        <f t="shared" si="223"/>
        <v>13550.528926805235</v>
      </c>
      <c r="G190" s="110">
        <f t="shared" si="223"/>
        <v>16143.047403870776</v>
      </c>
      <c r="H190" s="110">
        <f t="shared" si="223"/>
        <v>16014.273726678453</v>
      </c>
      <c r="I190" s="110">
        <f t="shared" si="223"/>
        <v>17254.517010848485</v>
      </c>
      <c r="J190" s="110">
        <f t="shared" si="223"/>
        <v>18890.940373747599</v>
      </c>
      <c r="K190" s="110">
        <f t="shared" si="223"/>
        <v>28416.983539526482</v>
      </c>
      <c r="L190" s="110">
        <f t="shared" si="223"/>
        <v>15861.182763607765</v>
      </c>
      <c r="M190" s="110">
        <f t="shared" si="222"/>
        <v>17820.475057117947</v>
      </c>
      <c r="N190" s="110">
        <f t="shared" si="223"/>
        <v>18362.755706415541</v>
      </c>
      <c r="O190" s="110">
        <f t="shared" si="223"/>
        <v>21398.08428030389</v>
      </c>
      <c r="P190" s="110">
        <f t="shared" si="223"/>
        <v>21108.162513399475</v>
      </c>
      <c r="Q190" s="110">
        <f t="shared" si="223"/>
        <v>21529.542444392868</v>
      </c>
      <c r="R190" s="110">
        <f t="shared" si="223"/>
        <v>22384.090106790332</v>
      </c>
      <c r="S190" s="110">
        <f t="shared" si="223"/>
        <v>21430.970628260369</v>
      </c>
      <c r="T190" s="110">
        <f t="shared" si="223"/>
        <v>20932.26658172351</v>
      </c>
      <c r="U190" s="110">
        <f t="shared" si="223"/>
        <v>20610.387376704984</v>
      </c>
      <c r="V190" s="110">
        <f t="shared" si="223"/>
        <v>19179.062355520979</v>
      </c>
      <c r="W190" s="110">
        <f t="shared" si="221"/>
        <v>20672.712733027129</v>
      </c>
      <c r="X190" s="110">
        <f t="shared" si="221"/>
        <v>19788.482855324153</v>
      </c>
      <c r="Y190" s="110">
        <f t="shared" si="221"/>
        <v>18668.483367725072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9482.9192150411454</v>
      </c>
      <c r="C191" s="102">
        <f t="shared" si="223"/>
        <v>9148.3764576544036</v>
      </c>
      <c r="D191" s="102">
        <f t="shared" si="223"/>
        <v>8500.7375416292834</v>
      </c>
      <c r="E191" s="102">
        <f t="shared" si="223"/>
        <v>8235.0058291069217</v>
      </c>
      <c r="F191" s="102">
        <f t="shared" si="223"/>
        <v>8821.2675482907853</v>
      </c>
      <c r="G191" s="102">
        <f t="shared" si="223"/>
        <v>11548.514037354635</v>
      </c>
      <c r="H191" s="102">
        <f t="shared" si="223"/>
        <v>11412.44158720726</v>
      </c>
      <c r="I191" s="102">
        <f t="shared" si="223"/>
        <v>12228.428694948054</v>
      </c>
      <c r="J191" s="102">
        <f t="shared" si="223"/>
        <v>12835.811761826082</v>
      </c>
      <c r="K191" s="102">
        <f t="shared" si="223"/>
        <v>22208.513263417644</v>
      </c>
      <c r="L191" s="102">
        <f t="shared" si="223"/>
        <v>11348.401444772164</v>
      </c>
      <c r="M191" s="102">
        <f t="shared" si="222"/>
        <v>12404.781813670988</v>
      </c>
      <c r="N191" s="102">
        <f t="shared" si="223"/>
        <v>12212.576132719048</v>
      </c>
      <c r="O191" s="102">
        <f t="shared" si="223"/>
        <v>14399.120664386908</v>
      </c>
      <c r="P191" s="102">
        <f t="shared" si="223"/>
        <v>14135.693215339234</v>
      </c>
      <c r="Q191" s="102">
        <f t="shared" si="223"/>
        <v>14317.117241538055</v>
      </c>
      <c r="R191" s="102">
        <f t="shared" si="223"/>
        <v>14870.014204865731</v>
      </c>
      <c r="S191" s="102">
        <f t="shared" si="223"/>
        <v>13642.148664710276</v>
      </c>
      <c r="T191" s="102">
        <f t="shared" si="223"/>
        <v>13744.116882741893</v>
      </c>
      <c r="U191" s="102">
        <f t="shared" si="223"/>
        <v>13544.224918441407</v>
      </c>
      <c r="V191" s="102">
        <f t="shared" si="223"/>
        <v>12677.63943225087</v>
      </c>
      <c r="W191" s="102">
        <f t="shared" si="221"/>
        <v>13863.075727367959</v>
      </c>
      <c r="X191" s="102">
        <f t="shared" si="221"/>
        <v>12706.335225419194</v>
      </c>
      <c r="Y191" s="102">
        <f t="shared" si="221"/>
        <v>11909.871244635193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84996.15383655722</v>
      </c>
      <c r="C192" s="86">
        <f t="shared" si="223"/>
        <v>85002.160647992365</v>
      </c>
      <c r="D192" s="86">
        <f t="shared" si="223"/>
        <v>85005.265418155963</v>
      </c>
      <c r="E192" s="86">
        <f t="shared" si="223"/>
        <v>85000.58068160039</v>
      </c>
      <c r="F192" s="86">
        <f t="shared" si="223"/>
        <v>85000.677426393508</v>
      </c>
      <c r="G192" s="86">
        <f t="shared" si="223"/>
        <v>85004.425131250915</v>
      </c>
      <c r="H192" s="86">
        <f t="shared" si="223"/>
        <v>85001.691274912111</v>
      </c>
      <c r="I192" s="86">
        <f t="shared" si="223"/>
        <v>85003.267905576678</v>
      </c>
      <c r="J192" s="86">
        <f t="shared" si="223"/>
        <v>84998.745048816592</v>
      </c>
      <c r="K192" s="86">
        <f t="shared" si="223"/>
        <v>85001.330706600376</v>
      </c>
      <c r="L192" s="86">
        <f t="shared" si="223"/>
        <v>84996.098408284801</v>
      </c>
      <c r="M192" s="86">
        <f t="shared" si="222"/>
        <v>85002.109616685819</v>
      </c>
      <c r="N192" s="86">
        <f t="shared" si="223"/>
        <v>84995.61806904168</v>
      </c>
      <c r="O192" s="86">
        <f t="shared" si="223"/>
        <v>84995.369916890573</v>
      </c>
      <c r="P192" s="86">
        <f t="shared" si="223"/>
        <v>84997.963898479531</v>
      </c>
      <c r="Q192" s="86">
        <f t="shared" si="223"/>
        <v>85003.705662346052</v>
      </c>
      <c r="R192" s="86">
        <f t="shared" si="223"/>
        <v>85002.801178992129</v>
      </c>
      <c r="S192" s="86">
        <f t="shared" si="223"/>
        <v>84999.231469585648</v>
      </c>
      <c r="T192" s="86">
        <f t="shared" si="223"/>
        <v>85000.342894195914</v>
      </c>
      <c r="U192" s="86">
        <f t="shared" si="223"/>
        <v>84996.485581076617</v>
      </c>
      <c r="V192" s="86">
        <f t="shared" ref="V192:W192" si="224">IF(V55=0,0,V55*1000000/V82)</f>
        <v>85001.3812934874</v>
      </c>
      <c r="W192" s="86">
        <f t="shared" si="224"/>
        <v>84998.812137215777</v>
      </c>
      <c r="X192" s="86">
        <f t="shared" ref="X192:Y192" si="225">IF(X55=0,0,X55*1000000/X82)</f>
        <v>85002.106600324623</v>
      </c>
      <c r="Y192" s="86">
        <f t="shared" si="225"/>
        <v>84998.961729572926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26369.240673854354</v>
      </c>
      <c r="C195" s="28">
        <f t="shared" si="226"/>
        <v>25087.805603503832</v>
      </c>
      <c r="D195" s="28">
        <f t="shared" si="226"/>
        <v>23855.577562071514</v>
      </c>
      <c r="E195" s="28">
        <f t="shared" si="226"/>
        <v>22945.086287400547</v>
      </c>
      <c r="F195" s="28">
        <f t="shared" si="226"/>
        <v>22860.832760679172</v>
      </c>
      <c r="G195" s="28">
        <f t="shared" si="226"/>
        <v>22144.746610265833</v>
      </c>
      <c r="H195" s="28">
        <f t="shared" si="226"/>
        <v>21000.726473723036</v>
      </c>
      <c r="I195" s="28">
        <f t="shared" si="226"/>
        <v>20922.309324133697</v>
      </c>
      <c r="J195" s="28">
        <f t="shared" si="226"/>
        <v>22418.543670145988</v>
      </c>
      <c r="K195" s="28">
        <f t="shared" si="226"/>
        <v>22410.670146994365</v>
      </c>
      <c r="L195" s="28">
        <f t="shared" si="226"/>
        <v>22103.096155570965</v>
      </c>
      <c r="M195" s="28">
        <f>IF(M4=0,0,M4*1000000/M58)</f>
        <v>22077.378495034507</v>
      </c>
      <c r="N195" s="28">
        <f t="shared" ref="N195:V195" si="227">IF(N4=0,0,N4*1000000/N58)</f>
        <v>21976.372732331918</v>
      </c>
      <c r="O195" s="28">
        <f t="shared" si="227"/>
        <v>21532.80216205891</v>
      </c>
      <c r="P195" s="28">
        <f t="shared" si="227"/>
        <v>21474.302372169499</v>
      </c>
      <c r="Q195" s="28">
        <f t="shared" si="227"/>
        <v>21586.333715855893</v>
      </c>
      <c r="R195" s="28">
        <f t="shared" si="227"/>
        <v>21464.942177822963</v>
      </c>
      <c r="S195" s="28">
        <f t="shared" si="227"/>
        <v>21727.250451139367</v>
      </c>
      <c r="T195" s="28">
        <f t="shared" si="227"/>
        <v>21727.17989241577</v>
      </c>
      <c r="U195" s="28">
        <f t="shared" si="227"/>
        <v>21501.296481687408</v>
      </c>
      <c r="V195" s="28">
        <f t="shared" si="227"/>
        <v>18591.759587421839</v>
      </c>
      <c r="W195" s="28">
        <f t="shared" ref="W195:Y195" si="228">IF(W4=0,0,W4*1000000/W58)</f>
        <v>18893.390745268789</v>
      </c>
      <c r="X195" s="28">
        <f t="shared" si="228"/>
        <v>20359.503093649149</v>
      </c>
      <c r="Y195" s="28">
        <f t="shared" si="228"/>
        <v>21315.288933788848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3089.0761172063567</v>
      </c>
      <c r="C196" s="137">
        <f t="shared" si="229"/>
        <v>3088.3816108486731</v>
      </c>
      <c r="D196" s="137">
        <f t="shared" si="229"/>
        <v>3086.3859781646142</v>
      </c>
      <c r="E196" s="137">
        <f t="shared" si="229"/>
        <v>3085.8702839646262</v>
      </c>
      <c r="F196" s="137">
        <f t="shared" si="229"/>
        <v>3083.2904390376034</v>
      </c>
      <c r="G196" s="137">
        <f t="shared" si="229"/>
        <v>3078.2427563363844</v>
      </c>
      <c r="H196" s="137">
        <f t="shared" si="229"/>
        <v>3077.2792367331399</v>
      </c>
      <c r="I196" s="137">
        <f t="shared" si="229"/>
        <v>3080.903201792757</v>
      </c>
      <c r="J196" s="137">
        <f t="shared" si="229"/>
        <v>3081.2634768430739</v>
      </c>
      <c r="K196" s="137">
        <f t="shared" si="229"/>
        <v>3082.6516761427533</v>
      </c>
      <c r="L196" s="137">
        <f t="shared" si="229"/>
        <v>3077.291823147008</v>
      </c>
      <c r="M196" s="137">
        <f>IF(M5=0,0,M5*1000000/M59)</f>
        <v>3073.5068262004356</v>
      </c>
      <c r="N196" s="137">
        <f t="shared" ref="N196:V196" si="230">IF(N5=0,0,N5*1000000/N59)</f>
        <v>3053.7152726219333</v>
      </c>
      <c r="O196" s="137">
        <f t="shared" si="230"/>
        <v>3051.0024103498813</v>
      </c>
      <c r="P196" s="137">
        <f t="shared" si="230"/>
        <v>3056.790107301661</v>
      </c>
      <c r="Q196" s="137">
        <f t="shared" si="230"/>
        <v>3061.8300645996906</v>
      </c>
      <c r="R196" s="137">
        <f t="shared" si="230"/>
        <v>3059.2681919991774</v>
      </c>
      <c r="S196" s="137">
        <f t="shared" si="230"/>
        <v>3131.920727681189</v>
      </c>
      <c r="T196" s="137">
        <f t="shared" si="230"/>
        <v>3142.3631570195071</v>
      </c>
      <c r="U196" s="137">
        <f t="shared" si="230"/>
        <v>3050.7709270896335</v>
      </c>
      <c r="V196" s="137">
        <f t="shared" si="230"/>
        <v>2685.1071964888988</v>
      </c>
      <c r="W196" s="137">
        <f t="shared" ref="W196:Y196" si="231">IF(W5=0,0,W5*1000000/W59)</f>
        <v>2628.4580783070455</v>
      </c>
      <c r="X196" s="137">
        <f t="shared" si="231"/>
        <v>2569.4677773804224</v>
      </c>
      <c r="Y196" s="137">
        <f t="shared" si="231"/>
        <v>2485.4748347563445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19542.953872196362</v>
      </c>
      <c r="C197" s="110">
        <f t="shared" si="232"/>
        <v>18599.967778314807</v>
      </c>
      <c r="D197" s="110">
        <f t="shared" si="232"/>
        <v>17607.910249096785</v>
      </c>
      <c r="E197" s="110">
        <f t="shared" si="232"/>
        <v>17104.751619870411</v>
      </c>
      <c r="F197" s="110">
        <f t="shared" si="232"/>
        <v>17363.379285966774</v>
      </c>
      <c r="G197" s="110">
        <f t="shared" si="232"/>
        <v>16959.491932715413</v>
      </c>
      <c r="H197" s="110">
        <f t="shared" si="232"/>
        <v>16277.224642190416</v>
      </c>
      <c r="I197" s="110">
        <f t="shared" si="232"/>
        <v>16537.70692826487</v>
      </c>
      <c r="J197" s="110">
        <f t="shared" si="232"/>
        <v>17671.793193717276</v>
      </c>
      <c r="K197" s="110">
        <f t="shared" si="232"/>
        <v>18049.393940399437</v>
      </c>
      <c r="L197" s="110">
        <f t="shared" si="232"/>
        <v>17625.315844855668</v>
      </c>
      <c r="M197" s="110">
        <f>IF(M6=0,0,M6*1000000/M60)</f>
        <v>17605.91142964004</v>
      </c>
      <c r="N197" s="110">
        <f t="shared" ref="N197:V197" si="233">IF(N6=0,0,N6*1000000/N60)</f>
        <v>17345.103699560957</v>
      </c>
      <c r="O197" s="110">
        <f t="shared" si="233"/>
        <v>16987.454117418765</v>
      </c>
      <c r="P197" s="110">
        <f t="shared" si="233"/>
        <v>16900.114530867399</v>
      </c>
      <c r="Q197" s="110">
        <f t="shared" si="233"/>
        <v>17080.218814985725</v>
      </c>
      <c r="R197" s="110">
        <f t="shared" si="233"/>
        <v>17106.391815057679</v>
      </c>
      <c r="S197" s="110">
        <f t="shared" si="233"/>
        <v>17466.892972545771</v>
      </c>
      <c r="T197" s="110">
        <f t="shared" si="233"/>
        <v>17559.063139532042</v>
      </c>
      <c r="U197" s="110">
        <f t="shared" si="233"/>
        <v>17584.934783800574</v>
      </c>
      <c r="V197" s="110">
        <f t="shared" si="233"/>
        <v>16303.054555971883</v>
      </c>
      <c r="W197" s="110">
        <f t="shared" ref="W197:Y209" si="234">IF(W6=0,0,W6*1000000/W60)</f>
        <v>16764.203107389534</v>
      </c>
      <c r="X197" s="110">
        <f t="shared" si="234"/>
        <v>17725.302500238755</v>
      </c>
      <c r="Y197" s="110">
        <f t="shared" si="234"/>
        <v>18789.562858584228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18499.146096959106</v>
      </c>
      <c r="C198" s="84">
        <f t="shared" si="232"/>
        <v>17534.918308955537</v>
      </c>
      <c r="D198" s="84">
        <f t="shared" si="232"/>
        <v>16447.134684897217</v>
      </c>
      <c r="E198" s="84">
        <f t="shared" si="232"/>
        <v>15779.659950042018</v>
      </c>
      <c r="F198" s="84">
        <f t="shared" si="232"/>
        <v>15723.97543952446</v>
      </c>
      <c r="G198" s="84">
        <f t="shared" si="232"/>
        <v>15885.507762003435</v>
      </c>
      <c r="H198" s="84">
        <f t="shared" si="232"/>
        <v>14731.041308307982</v>
      </c>
      <c r="I198" s="84">
        <f t="shared" si="232"/>
        <v>14858.093336343985</v>
      </c>
      <c r="J198" s="84">
        <f t="shared" si="232"/>
        <v>15955.237952275953</v>
      </c>
      <c r="K198" s="84">
        <f t="shared" si="232"/>
        <v>16325.755299915731</v>
      </c>
      <c r="L198" s="84">
        <f t="shared" si="232"/>
        <v>15273.08991923071</v>
      </c>
      <c r="M198" s="84">
        <f t="shared" ref="M198:M219" si="235">IF(M7=0,0,M7*1000000/M61)</f>
        <v>14648.957049565466</v>
      </c>
      <c r="N198" s="84">
        <f t="shared" si="232"/>
        <v>14357.378559666984</v>
      </c>
      <c r="O198" s="84">
        <f t="shared" si="232"/>
        <v>13835.139359922199</v>
      </c>
      <c r="P198" s="84">
        <f t="shared" si="232"/>
        <v>14706.751478536842</v>
      </c>
      <c r="Q198" s="84">
        <f t="shared" si="232"/>
        <v>14655.859327544895</v>
      </c>
      <c r="R198" s="84">
        <f t="shared" si="232"/>
        <v>14252.857771555489</v>
      </c>
      <c r="S198" s="84">
        <f t="shared" si="232"/>
        <v>14328.251393948894</v>
      </c>
      <c r="T198" s="84">
        <f t="shared" si="232"/>
        <v>14215.821573403906</v>
      </c>
      <c r="U198" s="84">
        <f t="shared" si="232"/>
        <v>13987.459526374574</v>
      </c>
      <c r="V198" s="84">
        <f t="shared" si="232"/>
        <v>13029.56833330643</v>
      </c>
      <c r="W198" s="84">
        <f t="shared" si="234"/>
        <v>13186.398847252121</v>
      </c>
      <c r="X198" s="84">
        <f t="shared" si="234"/>
        <v>13958.294574407964</v>
      </c>
      <c r="Y198" s="84">
        <f t="shared" si="234"/>
        <v>14688.599445978078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29158.623403372581</v>
      </c>
      <c r="C199" s="84">
        <f t="shared" si="232"/>
        <v>27861.222444284078</v>
      </c>
      <c r="D199" s="84">
        <f t="shared" si="232"/>
        <v>26806.935504243058</v>
      </c>
      <c r="E199" s="84">
        <f t="shared" si="232"/>
        <v>26534.262438591693</v>
      </c>
      <c r="F199" s="84">
        <f t="shared" si="232"/>
        <v>27653.318430043655</v>
      </c>
      <c r="G199" s="84">
        <f t="shared" si="232"/>
        <v>24629.941130707688</v>
      </c>
      <c r="H199" s="84">
        <f t="shared" si="232"/>
        <v>24770.742398548573</v>
      </c>
      <c r="I199" s="84">
        <f t="shared" si="232"/>
        <v>24818.215233451865</v>
      </c>
      <c r="J199" s="84">
        <f t="shared" si="232"/>
        <v>24858.323613685723</v>
      </c>
      <c r="K199" s="84">
        <f t="shared" si="232"/>
        <v>24975.393317602226</v>
      </c>
      <c r="L199" s="84">
        <f t="shared" si="232"/>
        <v>26708.327777891354</v>
      </c>
      <c r="M199" s="84">
        <f t="shared" si="235"/>
        <v>28521.904286402187</v>
      </c>
      <c r="N199" s="84">
        <f t="shared" si="232"/>
        <v>27594.790242955485</v>
      </c>
      <c r="O199" s="84">
        <f t="shared" si="232"/>
        <v>26949.766932005892</v>
      </c>
      <c r="P199" s="84">
        <f t="shared" si="232"/>
        <v>23303.67148886135</v>
      </c>
      <c r="Q199" s="84">
        <f t="shared" si="232"/>
        <v>23525.916266751021</v>
      </c>
      <c r="R199" s="84">
        <f t="shared" si="232"/>
        <v>24083.167442965845</v>
      </c>
      <c r="S199" s="84">
        <f t="shared" si="232"/>
        <v>24713.878525477605</v>
      </c>
      <c r="T199" s="84">
        <f t="shared" si="232"/>
        <v>24992.844088794303</v>
      </c>
      <c r="U199" s="84">
        <f t="shared" si="232"/>
        <v>25388.53249976103</v>
      </c>
      <c r="V199" s="84">
        <f t="shared" si="232"/>
        <v>23309.960048793491</v>
      </c>
      <c r="W199" s="84">
        <f t="shared" si="234"/>
        <v>24373.444684253998</v>
      </c>
      <c r="X199" s="84">
        <f t="shared" si="234"/>
        <v>25760.048956421379</v>
      </c>
      <c r="Y199" s="84">
        <f t="shared" si="234"/>
        <v>27536.474474509421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16021.386429996119</v>
      </c>
      <c r="D200" s="84">
        <f t="shared" si="232"/>
        <v>15423.402434183592</v>
      </c>
      <c r="E200" s="84">
        <f t="shared" si="232"/>
        <v>16369.147401776831</v>
      </c>
      <c r="F200" s="84">
        <f t="shared" si="232"/>
        <v>15929.946481915247</v>
      </c>
      <c r="G200" s="84">
        <f t="shared" si="232"/>
        <v>15700.571572725961</v>
      </c>
      <c r="H200" s="84">
        <f t="shared" si="232"/>
        <v>15432.28997922674</v>
      </c>
      <c r="I200" s="84">
        <f t="shared" si="232"/>
        <v>16352.995832997707</v>
      </c>
      <c r="J200" s="84">
        <f t="shared" si="232"/>
        <v>17118.040294444389</v>
      </c>
      <c r="K200" s="84">
        <f t="shared" si="232"/>
        <v>16921.859093479412</v>
      </c>
      <c r="L200" s="84">
        <f t="shared" si="232"/>
        <v>15436.006159825978</v>
      </c>
      <c r="M200" s="84">
        <f t="shared" si="235"/>
        <v>13736.674716885753</v>
      </c>
      <c r="N200" s="84">
        <f t="shared" si="232"/>
        <v>13444.338510104591</v>
      </c>
      <c r="O200" s="84">
        <f t="shared" si="232"/>
        <v>13229.403259254879</v>
      </c>
      <c r="P200" s="84">
        <f t="shared" si="232"/>
        <v>13347.272530114818</v>
      </c>
      <c r="Q200" s="84">
        <f t="shared" si="232"/>
        <v>13626.99661327134</v>
      </c>
      <c r="R200" s="84">
        <f t="shared" si="232"/>
        <v>13964.017308490573</v>
      </c>
      <c r="S200" s="84">
        <f t="shared" si="232"/>
        <v>14338.191506033303</v>
      </c>
      <c r="T200" s="84">
        <f t="shared" si="232"/>
        <v>14506.157737719603</v>
      </c>
      <c r="U200" s="84">
        <f t="shared" si="232"/>
        <v>14741.956986736892</v>
      </c>
      <c r="V200" s="84">
        <f t="shared" si="232"/>
        <v>13533.429085521917</v>
      </c>
      <c r="W200" s="84">
        <f t="shared" si="234"/>
        <v>14151.667425556194</v>
      </c>
      <c r="X200" s="84">
        <f t="shared" si="234"/>
        <v>14952.038494166878</v>
      </c>
      <c r="Y200" s="84">
        <f t="shared" si="234"/>
        <v>15979.15243670332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15408.551832816625</v>
      </c>
      <c r="M201" s="84">
        <f t="shared" si="235"/>
        <v>13443.375297918694</v>
      </c>
      <c r="N201" s="84">
        <f t="shared" si="232"/>
        <v>13425.796862110168</v>
      </c>
      <c r="O201" s="84">
        <f t="shared" si="232"/>
        <v>13480.773507581353</v>
      </c>
      <c r="P201" s="84">
        <f t="shared" si="232"/>
        <v>13878.45142634524</v>
      </c>
      <c r="Q201" s="84">
        <f t="shared" si="232"/>
        <v>14458.477179861588</v>
      </c>
      <c r="R201" s="84">
        <f t="shared" si="232"/>
        <v>14519.740680747418</v>
      </c>
      <c r="S201" s="84">
        <f t="shared" si="232"/>
        <v>14610.629702132803</v>
      </c>
      <c r="T201" s="84">
        <f t="shared" si="232"/>
        <v>14486.151690540553</v>
      </c>
      <c r="U201" s="84">
        <f t="shared" si="232"/>
        <v>14427.193224198913</v>
      </c>
      <c r="V201" s="84">
        <f t="shared" si="232"/>
        <v>12979.579892066669</v>
      </c>
      <c r="W201" s="84">
        <f t="shared" si="234"/>
        <v>13301.066777629825</v>
      </c>
      <c r="X201" s="84">
        <f t="shared" si="234"/>
        <v>13772.264098800582</v>
      </c>
      <c r="Y201" s="84">
        <f t="shared" si="234"/>
        <v>14423.968034107347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13496.714511247277</v>
      </c>
      <c r="O202" s="84">
        <f t="shared" si="232"/>
        <v>13809.914669824679</v>
      </c>
      <c r="P202" s="84">
        <f t="shared" si="232"/>
        <v>14813.543778754689</v>
      </c>
      <c r="Q202" s="84">
        <f t="shared" si="232"/>
        <v>15919.996936743006</v>
      </c>
      <c r="R202" s="84">
        <f t="shared" si="232"/>
        <v>15498.041360876743</v>
      </c>
      <c r="S202" s="84">
        <f t="shared" si="232"/>
        <v>15117.654618079312</v>
      </c>
      <c r="T202" s="84">
        <f t="shared" si="232"/>
        <v>14530.014353682507</v>
      </c>
      <c r="U202" s="84">
        <f t="shared" si="232"/>
        <v>14076.73688551466</v>
      </c>
      <c r="V202" s="84">
        <f t="shared" si="232"/>
        <v>13073.110027443496</v>
      </c>
      <c r="W202" s="84">
        <f t="shared" si="234"/>
        <v>13299.112303173104</v>
      </c>
      <c r="X202" s="84">
        <f t="shared" si="234"/>
        <v>14071.866503049112</v>
      </c>
      <c r="Y202" s="84">
        <f t="shared" si="234"/>
        <v>14840.544195002203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11271.602537532097</v>
      </c>
      <c r="M203" s="84">
        <f t="shared" si="235"/>
        <v>12464.36416827669</v>
      </c>
      <c r="N203" s="84">
        <f t="shared" si="232"/>
        <v>12153.433206731233</v>
      </c>
      <c r="O203" s="84">
        <f t="shared" si="232"/>
        <v>12479.065338405653</v>
      </c>
      <c r="P203" s="84">
        <f t="shared" si="232"/>
        <v>12124.68115321326</v>
      </c>
      <c r="Q203" s="84">
        <f t="shared" si="232"/>
        <v>11723.791408947347</v>
      </c>
      <c r="R203" s="84">
        <f t="shared" si="232"/>
        <v>11568.662124429997</v>
      </c>
      <c r="S203" s="84">
        <f t="shared" si="232"/>
        <v>11672.592662737057</v>
      </c>
      <c r="T203" s="84">
        <f t="shared" si="232"/>
        <v>11215.804009982821</v>
      </c>
      <c r="U203" s="84">
        <f t="shared" si="232"/>
        <v>10410.863236240857</v>
      </c>
      <c r="V203" s="84">
        <f t="shared" si="232"/>
        <v>9866.4935044834147</v>
      </c>
      <c r="W203" s="84">
        <f t="shared" si="234"/>
        <v>10421.990969933151</v>
      </c>
      <c r="X203" s="84">
        <f t="shared" si="234"/>
        <v>10217.308931311356</v>
      </c>
      <c r="Y203" s="84">
        <f t="shared" si="234"/>
        <v>10992.747867982027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1032293.6184283037</v>
      </c>
      <c r="C204" s="110">
        <f t="shared" si="232"/>
        <v>1012894.4504896627</v>
      </c>
      <c r="D204" s="110">
        <f t="shared" si="232"/>
        <v>1018046.6519420354</v>
      </c>
      <c r="E204" s="110">
        <f t="shared" si="232"/>
        <v>1004618.4415444926</v>
      </c>
      <c r="F204" s="110">
        <f t="shared" si="232"/>
        <v>1003082.5122474817</v>
      </c>
      <c r="G204" s="110">
        <f t="shared" si="232"/>
        <v>985966.07547378307</v>
      </c>
      <c r="H204" s="110">
        <f t="shared" si="232"/>
        <v>906792.09022404323</v>
      </c>
      <c r="I204" s="110">
        <f t="shared" si="232"/>
        <v>857335.73357335734</v>
      </c>
      <c r="J204" s="110">
        <f t="shared" si="232"/>
        <v>963120.56737588649</v>
      </c>
      <c r="K204" s="110">
        <f t="shared" si="232"/>
        <v>906864.10955853702</v>
      </c>
      <c r="L204" s="110">
        <f t="shared" si="232"/>
        <v>926753.74394775368</v>
      </c>
      <c r="M204" s="110">
        <f t="shared" si="235"/>
        <v>945078.37123822654</v>
      </c>
      <c r="N204" s="110">
        <f t="shared" si="232"/>
        <v>986785.55163844419</v>
      </c>
      <c r="O204" s="110">
        <f t="shared" si="232"/>
        <v>976141.80659115489</v>
      </c>
      <c r="P204" s="110">
        <f t="shared" si="232"/>
        <v>983655.91139876156</v>
      </c>
      <c r="Q204" s="110">
        <f t="shared" si="232"/>
        <v>982254.01157981798</v>
      </c>
      <c r="R204" s="110">
        <f t="shared" si="232"/>
        <v>964285.98095444217</v>
      </c>
      <c r="S204" s="110">
        <f t="shared" si="232"/>
        <v>978947.59689922479</v>
      </c>
      <c r="T204" s="110">
        <f t="shared" si="232"/>
        <v>986071.91387059679</v>
      </c>
      <c r="U204" s="110">
        <f t="shared" si="232"/>
        <v>965264.41862855968</v>
      </c>
      <c r="V204" s="110">
        <f t="shared" si="232"/>
        <v>729404.61746863765</v>
      </c>
      <c r="W204" s="110">
        <f t="shared" si="234"/>
        <v>686366.96886085928</v>
      </c>
      <c r="X204" s="110">
        <f t="shared" si="234"/>
        <v>846292.09524350741</v>
      </c>
      <c r="Y204" s="110">
        <f t="shared" si="234"/>
        <v>862621.63709215785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149957.86000555346</v>
      </c>
      <c r="C205" s="102">
        <f t="shared" si="232"/>
        <v>150072.78786151326</v>
      </c>
      <c r="D205" s="102">
        <f t="shared" si="232"/>
        <v>153841.69312054085</v>
      </c>
      <c r="E205" s="102">
        <f t="shared" si="232"/>
        <v>154834.86500275834</v>
      </c>
      <c r="F205" s="102">
        <f t="shared" si="232"/>
        <v>157665.01221699407</v>
      </c>
      <c r="G205" s="102">
        <f t="shared" si="232"/>
        <v>158057.2516787083</v>
      </c>
      <c r="H205" s="102">
        <f t="shared" si="232"/>
        <v>148290.75544270806</v>
      </c>
      <c r="I205" s="102">
        <f t="shared" si="232"/>
        <v>143140.23616138252</v>
      </c>
      <c r="J205" s="102">
        <f t="shared" si="232"/>
        <v>164130.41424935171</v>
      </c>
      <c r="K205" s="102">
        <f t="shared" si="232"/>
        <v>158180.35757684454</v>
      </c>
      <c r="L205" s="102">
        <f t="shared" si="232"/>
        <v>165026.85941602095</v>
      </c>
      <c r="M205" s="102">
        <f t="shared" si="235"/>
        <v>168328.43821504942</v>
      </c>
      <c r="N205" s="102">
        <f t="shared" si="232"/>
        <v>179425.72400303103</v>
      </c>
      <c r="O205" s="102">
        <f t="shared" si="232"/>
        <v>181210.58705339662</v>
      </c>
      <c r="P205" s="102">
        <f t="shared" si="232"/>
        <v>186248.75357722974</v>
      </c>
      <c r="Q205" s="102">
        <f t="shared" si="232"/>
        <v>189661.87494351386</v>
      </c>
      <c r="R205" s="102">
        <f t="shared" si="232"/>
        <v>182566.94910875699</v>
      </c>
      <c r="S205" s="102">
        <f t="shared" si="232"/>
        <v>189329.02872397439</v>
      </c>
      <c r="T205" s="102">
        <f t="shared" si="232"/>
        <v>186862.16109980032</v>
      </c>
      <c r="U205" s="102">
        <f t="shared" si="232"/>
        <v>179165.15945278839</v>
      </c>
      <c r="V205" s="102">
        <f t="shared" si="232"/>
        <v>132581.79750421739</v>
      </c>
      <c r="W205" s="102">
        <f t="shared" si="234"/>
        <v>122297.20028973058</v>
      </c>
      <c r="X205" s="102">
        <f t="shared" si="234"/>
        <v>148076.75855079651</v>
      </c>
      <c r="Y205" s="102">
        <f t="shared" si="234"/>
        <v>148014.59476884879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1162587.4211283932</v>
      </c>
      <c r="C206" s="102">
        <f t="shared" si="232"/>
        <v>1124939.4839851968</v>
      </c>
      <c r="D206" s="102">
        <f t="shared" si="232"/>
        <v>1115062.2249182262</v>
      </c>
      <c r="E206" s="102">
        <f t="shared" si="232"/>
        <v>1086992.3135582269</v>
      </c>
      <c r="F206" s="102">
        <f t="shared" si="232"/>
        <v>1074769.4358745336</v>
      </c>
      <c r="G206" s="102">
        <f t="shared" si="232"/>
        <v>1045259.1450876885</v>
      </c>
      <c r="H206" s="102">
        <f t="shared" si="232"/>
        <v>947671.57020569488</v>
      </c>
      <c r="I206" s="102">
        <f t="shared" si="232"/>
        <v>888486.29288134584</v>
      </c>
      <c r="J206" s="102">
        <f t="shared" si="232"/>
        <v>994171.42238979647</v>
      </c>
      <c r="K206" s="102">
        <f t="shared" si="232"/>
        <v>930244.28356307978</v>
      </c>
      <c r="L206" s="102">
        <f t="shared" si="232"/>
        <v>945958.74844221491</v>
      </c>
      <c r="M206" s="102">
        <f t="shared" si="235"/>
        <v>960722.49325081764</v>
      </c>
      <c r="N206" s="102">
        <f t="shared" si="232"/>
        <v>999461.82614688191</v>
      </c>
      <c r="O206" s="102">
        <f t="shared" si="232"/>
        <v>988818.18919597275</v>
      </c>
      <c r="P206" s="102">
        <f t="shared" si="232"/>
        <v>994226.25953073963</v>
      </c>
      <c r="Q206" s="102">
        <f t="shared" si="232"/>
        <v>988610.29452667502</v>
      </c>
      <c r="R206" s="102">
        <f t="shared" si="232"/>
        <v>964049.37985783035</v>
      </c>
      <c r="S206" s="102">
        <f t="shared" si="232"/>
        <v>976818.84144490014</v>
      </c>
      <c r="T206" s="102">
        <f t="shared" si="232"/>
        <v>984066.7843247999</v>
      </c>
      <c r="U206" s="102">
        <f t="shared" si="232"/>
        <v>966309.60564353713</v>
      </c>
      <c r="V206" s="102">
        <f t="shared" si="232"/>
        <v>730534.69314173388</v>
      </c>
      <c r="W206" s="102">
        <f t="shared" si="234"/>
        <v>687947.41579129209</v>
      </c>
      <c r="X206" s="102">
        <f t="shared" si="234"/>
        <v>848309.47295297426</v>
      </c>
      <c r="Y206" s="102">
        <f t="shared" si="234"/>
        <v>862395.37415310182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595771.00419097394</v>
      </c>
      <c r="Q207" s="102">
        <f t="shared" si="232"/>
        <v>606114.85520366265</v>
      </c>
      <c r="R207" s="102">
        <f t="shared" si="232"/>
        <v>582794.29137625103</v>
      </c>
      <c r="S207" s="102">
        <f t="shared" si="232"/>
        <v>580478.10899944569</v>
      </c>
      <c r="T207" s="102">
        <f t="shared" si="232"/>
        <v>572864.36229862703</v>
      </c>
      <c r="U207" s="102">
        <f t="shared" si="232"/>
        <v>549226.56919414841</v>
      </c>
      <c r="V207" s="102">
        <f t="shared" si="232"/>
        <v>406531.09527602472</v>
      </c>
      <c r="W207" s="102">
        <f t="shared" si="234"/>
        <v>374941.18838535546</v>
      </c>
      <c r="X207" s="102">
        <f t="shared" si="234"/>
        <v>453752.61072553345</v>
      </c>
      <c r="Y207" s="102">
        <f t="shared" si="234"/>
        <v>453419.96363490156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1092131.7916026583</v>
      </c>
      <c r="C208" s="102">
        <f t="shared" si="232"/>
        <v>1058129.140703324</v>
      </c>
      <c r="D208" s="102">
        <f t="shared" si="232"/>
        <v>1132618.2769815205</v>
      </c>
      <c r="E208" s="102">
        <f t="shared" si="232"/>
        <v>1088068.3982041248</v>
      </c>
      <c r="F208" s="102">
        <f t="shared" si="232"/>
        <v>1098583.9041886788</v>
      </c>
      <c r="G208" s="102">
        <f t="shared" si="232"/>
        <v>1212313.4219150508</v>
      </c>
      <c r="H208" s="102">
        <f t="shared" si="232"/>
        <v>1110247.2592089947</v>
      </c>
      <c r="I208" s="102">
        <f t="shared" si="232"/>
        <v>1047740.8140295658</v>
      </c>
      <c r="J208" s="102">
        <f t="shared" si="232"/>
        <v>1176096.8816424732</v>
      </c>
      <c r="K208" s="102">
        <f t="shared" si="232"/>
        <v>1077059.802322814</v>
      </c>
      <c r="L208" s="102">
        <f t="shared" si="232"/>
        <v>983721.9560444121</v>
      </c>
      <c r="M208" s="102">
        <f t="shared" si="235"/>
        <v>943236.87702066032</v>
      </c>
      <c r="N208" s="102">
        <f t="shared" si="232"/>
        <v>1191584.2200466879</v>
      </c>
      <c r="O208" s="102">
        <f t="shared" si="232"/>
        <v>982716.24684688088</v>
      </c>
      <c r="P208" s="102">
        <f t="shared" si="232"/>
        <v>1013219.7087047186</v>
      </c>
      <c r="Q208" s="102">
        <f t="shared" si="232"/>
        <v>1086326.4888667392</v>
      </c>
      <c r="R208" s="102">
        <f t="shared" si="232"/>
        <v>1172431.1263068288</v>
      </c>
      <c r="S208" s="102">
        <f t="shared" si="232"/>
        <v>1191603.6402364057</v>
      </c>
      <c r="T208" s="102">
        <f t="shared" si="232"/>
        <v>1199973.6376590324</v>
      </c>
      <c r="U208" s="102">
        <f t="shared" si="232"/>
        <v>1173938.5437440008</v>
      </c>
      <c r="V208" s="102">
        <f t="shared" si="232"/>
        <v>886668.98616198765</v>
      </c>
      <c r="W208" s="102">
        <f t="shared" si="234"/>
        <v>762102.20932868228</v>
      </c>
      <c r="X208" s="102">
        <f t="shared" si="234"/>
        <v>843110.61582727393</v>
      </c>
      <c r="Y208" s="102">
        <f t="shared" si="234"/>
        <v>913570.51924317877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1272403.4432069729</v>
      </c>
      <c r="C209" s="102">
        <f t="shared" si="232"/>
        <v>1257272.9558072598</v>
      </c>
      <c r="D209" s="102">
        <f t="shared" si="232"/>
        <v>1272713.0621335311</v>
      </c>
      <c r="E209" s="102">
        <f t="shared" si="232"/>
        <v>1265516.2079955258</v>
      </c>
      <c r="F209" s="102">
        <f t="shared" si="232"/>
        <v>1275841.2481365106</v>
      </c>
      <c r="G209" s="102">
        <f t="shared" si="232"/>
        <v>1264196.0999824363</v>
      </c>
      <c r="H209" s="102">
        <f t="shared" si="232"/>
        <v>1164822.5360963026</v>
      </c>
      <c r="I209" s="102">
        <f t="shared" si="232"/>
        <v>1087635.5925698408</v>
      </c>
      <c r="J209" s="102">
        <f t="shared" si="232"/>
        <v>1213945.1027695565</v>
      </c>
      <c r="K209" s="102">
        <f t="shared" si="232"/>
        <v>1146036.4150881036</v>
      </c>
      <c r="L209" s="102">
        <f t="shared" si="232"/>
        <v>1158675.0004226237</v>
      </c>
      <c r="M209" s="102">
        <f t="shared" si="235"/>
        <v>1169696.9966711306</v>
      </c>
      <c r="N209" s="102">
        <f t="shared" si="232"/>
        <v>1208925.3581198889</v>
      </c>
      <c r="O209" s="102">
        <f t="shared" si="232"/>
        <v>1183553.895151315</v>
      </c>
      <c r="P209" s="102">
        <f t="shared" si="232"/>
        <v>1203147.264332308</v>
      </c>
      <c r="Q209" s="102">
        <f t="shared" si="232"/>
        <v>1211973.3308653624</v>
      </c>
      <c r="R209" s="102">
        <f t="shared" si="232"/>
        <v>1175112.1714225768</v>
      </c>
      <c r="S209" s="102">
        <f t="shared" si="232"/>
        <v>1156153.578972294</v>
      </c>
      <c r="T209" s="102">
        <f t="shared" si="232"/>
        <v>1168090.8108441678</v>
      </c>
      <c r="U209" s="102">
        <f t="shared" si="232"/>
        <v>1155000.2717275692</v>
      </c>
      <c r="V209" s="102">
        <f t="shared" si="232"/>
        <v>876205.36185376567</v>
      </c>
      <c r="W209" s="102">
        <f t="shared" si="234"/>
        <v>828565.8585359602</v>
      </c>
      <c r="X209" s="102">
        <f t="shared" si="234"/>
        <v>979460.02010718302</v>
      </c>
      <c r="Y209" s="102">
        <f t="shared" si="234"/>
        <v>984076.98728461005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58509.625672740178</v>
      </c>
      <c r="C210" s="28">
        <f t="shared" si="232"/>
        <v>56902.515657270407</v>
      </c>
      <c r="D210" s="28">
        <f t="shared" si="232"/>
        <v>53939.605687678857</v>
      </c>
      <c r="E210" s="28">
        <f t="shared" si="232"/>
        <v>51540.398418666453</v>
      </c>
      <c r="F210" s="28">
        <f t="shared" ref="B210:V219" si="236">IF(F19=0,0,F19*1000000/F73)</f>
        <v>55499.793523850269</v>
      </c>
      <c r="G210" s="28">
        <f t="shared" si="236"/>
        <v>55614.23308343871</v>
      </c>
      <c r="H210" s="28">
        <f t="shared" si="236"/>
        <v>58613.720598667547</v>
      </c>
      <c r="I210" s="28">
        <f t="shared" si="236"/>
        <v>61448.461852074935</v>
      </c>
      <c r="J210" s="28">
        <f t="shared" si="236"/>
        <v>62326.319377084073</v>
      </c>
      <c r="K210" s="28">
        <f t="shared" si="236"/>
        <v>52572.226373536265</v>
      </c>
      <c r="L210" s="28">
        <f t="shared" si="236"/>
        <v>50027.044709777401</v>
      </c>
      <c r="M210" s="28">
        <f t="shared" si="235"/>
        <v>49555.446338092072</v>
      </c>
      <c r="N210" s="28">
        <f t="shared" si="236"/>
        <v>46547.776562671868</v>
      </c>
      <c r="O210" s="28">
        <f t="shared" si="236"/>
        <v>46569.812334026261</v>
      </c>
      <c r="P210" s="28">
        <f t="shared" si="236"/>
        <v>46625.426517679436</v>
      </c>
      <c r="Q210" s="28">
        <f t="shared" si="236"/>
        <v>47750.043662428769</v>
      </c>
      <c r="R210" s="28">
        <f t="shared" si="236"/>
        <v>50335.806336318485</v>
      </c>
      <c r="S210" s="28">
        <f t="shared" si="236"/>
        <v>50722.85806394145</v>
      </c>
      <c r="T210" s="28">
        <f t="shared" si="236"/>
        <v>50197.856250400684</v>
      </c>
      <c r="U210" s="28">
        <f t="shared" si="236"/>
        <v>49021.90801466602</v>
      </c>
      <c r="V210" s="28">
        <f t="shared" si="236"/>
        <v>45056.636176364329</v>
      </c>
      <c r="W210" s="28">
        <f t="shared" ref="W210:Y210" si="237">IF(W19=0,0,W19*1000000/W73)</f>
        <v>49230.342435809798</v>
      </c>
      <c r="X210" s="28">
        <f t="shared" si="237"/>
        <v>48241.722630506469</v>
      </c>
      <c r="Y210" s="28">
        <f t="shared" si="237"/>
        <v>46772.294737453944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2375.3982926874478</v>
      </c>
      <c r="C211" s="137">
        <f t="shared" si="236"/>
        <v>2401.6727938307281</v>
      </c>
      <c r="D211" s="137">
        <f t="shared" si="236"/>
        <v>2438.7016084817819</v>
      </c>
      <c r="E211" s="137">
        <f t="shared" si="236"/>
        <v>2460.033227084954</v>
      </c>
      <c r="F211" s="137">
        <f t="shared" si="236"/>
        <v>2469.8279152378695</v>
      </c>
      <c r="G211" s="137">
        <f t="shared" si="236"/>
        <v>2482.9579465383699</v>
      </c>
      <c r="H211" s="137">
        <f t="shared" si="236"/>
        <v>2483.0908426557544</v>
      </c>
      <c r="I211" s="137">
        <f t="shared" si="236"/>
        <v>2489.6041608490764</v>
      </c>
      <c r="J211" s="137">
        <f t="shared" si="236"/>
        <v>2511.3193248493017</v>
      </c>
      <c r="K211" s="137">
        <f t="shared" si="236"/>
        <v>2513.9741878913319</v>
      </c>
      <c r="L211" s="137">
        <f t="shared" si="236"/>
        <v>2484.8584269593716</v>
      </c>
      <c r="M211" s="137">
        <f t="shared" si="235"/>
        <v>2477.7455739632464</v>
      </c>
      <c r="N211" s="137">
        <f t="shared" si="236"/>
        <v>2461.7866283997937</v>
      </c>
      <c r="O211" s="137">
        <f t="shared" si="236"/>
        <v>2448.8130384840579</v>
      </c>
      <c r="P211" s="137">
        <f t="shared" si="236"/>
        <v>2437.9563702234718</v>
      </c>
      <c r="Q211" s="137">
        <f t="shared" si="236"/>
        <v>2428.4311967742724</v>
      </c>
      <c r="R211" s="137">
        <f t="shared" si="236"/>
        <v>2462.1046297467619</v>
      </c>
      <c r="S211" s="137">
        <f t="shared" si="236"/>
        <v>2493.3059027598697</v>
      </c>
      <c r="T211" s="137">
        <f t="shared" si="236"/>
        <v>2523.7478103872318</v>
      </c>
      <c r="U211" s="137">
        <f t="shared" si="236"/>
        <v>2554.5685095388044</v>
      </c>
      <c r="V211" s="137">
        <f t="shared" si="236"/>
        <v>2581.5493652131649</v>
      </c>
      <c r="W211" s="137">
        <f t="shared" ref="W211:Y211" si="238">IF(W20=0,0,W20*1000000/W74)</f>
        <v>2607.6663861557595</v>
      </c>
      <c r="X211" s="137">
        <f t="shared" si="238"/>
        <v>2630.2200943925204</v>
      </c>
      <c r="Y211" s="137">
        <f t="shared" si="238"/>
        <v>2650.9091194179491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1681.1834641854707</v>
      </c>
      <c r="C212" s="84">
        <f t="shared" si="236"/>
        <v>1670.1943699246815</v>
      </c>
      <c r="D212" s="84">
        <f t="shared" si="236"/>
        <v>1660.1558326095223</v>
      </c>
      <c r="E212" s="84">
        <f t="shared" si="236"/>
        <v>1649.121138240035</v>
      </c>
      <c r="F212" s="84">
        <f t="shared" si="236"/>
        <v>1637.1011780974309</v>
      </c>
      <c r="G212" s="84">
        <f t="shared" si="236"/>
        <v>1626.6025864615833</v>
      </c>
      <c r="H212" s="84">
        <f t="shared" si="236"/>
        <v>1608.084490452213</v>
      </c>
      <c r="I212" s="84">
        <f t="shared" si="236"/>
        <v>1579.3393062804817</v>
      </c>
      <c r="J212" s="84">
        <f t="shared" si="236"/>
        <v>1551.9040161315784</v>
      </c>
      <c r="K212" s="84">
        <f t="shared" si="236"/>
        <v>1521.0117804608944</v>
      </c>
      <c r="L212" s="84">
        <f t="shared" si="236"/>
        <v>1490.5367014681551</v>
      </c>
      <c r="M212" s="84">
        <f t="shared" si="235"/>
        <v>1460.3928107624729</v>
      </c>
      <c r="N212" s="84">
        <f t="shared" si="236"/>
        <v>1431.0100336838382</v>
      </c>
      <c r="O212" s="84">
        <f t="shared" si="236"/>
        <v>1403.3357192616049</v>
      </c>
      <c r="P212" s="84">
        <f t="shared" si="236"/>
        <v>1377.0571845691968</v>
      </c>
      <c r="Q212" s="84">
        <f t="shared" si="236"/>
        <v>1351.7663869031792</v>
      </c>
      <c r="R212" s="84">
        <f t="shared" si="236"/>
        <v>1382.057452095376</v>
      </c>
      <c r="S212" s="84">
        <f t="shared" si="236"/>
        <v>1413.1273778106358</v>
      </c>
      <c r="T212" s="84">
        <f t="shared" si="236"/>
        <v>1445.0811743454296</v>
      </c>
      <c r="U212" s="84">
        <f t="shared" si="236"/>
        <v>1477.8889707814267</v>
      </c>
      <c r="V212" s="84">
        <f t="shared" si="236"/>
        <v>1474.358170101533</v>
      </c>
      <c r="W212" s="84">
        <f t="shared" ref="W212:Y212" si="239">IF(W21=0,0,W21*1000000/W75)</f>
        <v>1470.8972020077645</v>
      </c>
      <c r="X212" s="84">
        <f t="shared" si="239"/>
        <v>1466.5362916690876</v>
      </c>
      <c r="Y212" s="84">
        <f t="shared" si="239"/>
        <v>1462.4598520518914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2775.408131199229</v>
      </c>
      <c r="C213" s="84">
        <f t="shared" si="236"/>
        <v>2757.2666123134914</v>
      </c>
      <c r="D213" s="84">
        <f t="shared" si="236"/>
        <v>2740.6943352935409</v>
      </c>
      <c r="E213" s="84">
        <f t="shared" si="236"/>
        <v>2722.4775367520369</v>
      </c>
      <c r="F213" s="84">
        <f t="shared" si="236"/>
        <v>2702.6341967316571</v>
      </c>
      <c r="G213" s="84">
        <f t="shared" si="236"/>
        <v>2685.3024318095031</v>
      </c>
      <c r="H213" s="84">
        <f t="shared" si="236"/>
        <v>2667.0022249351236</v>
      </c>
      <c r="I213" s="84">
        <f t="shared" si="236"/>
        <v>2650.7135164694123</v>
      </c>
      <c r="J213" s="84">
        <f t="shared" si="236"/>
        <v>2635.8763855122102</v>
      </c>
      <c r="K213" s="84">
        <f t="shared" si="236"/>
        <v>2614.3612261531866</v>
      </c>
      <c r="L213" s="84">
        <f t="shared" si="236"/>
        <v>2592.6776507769123</v>
      </c>
      <c r="M213" s="84">
        <f t="shared" si="235"/>
        <v>2570.6820793800057</v>
      </c>
      <c r="N213" s="84">
        <f t="shared" si="236"/>
        <v>2549.1429851706362</v>
      </c>
      <c r="O213" s="84">
        <f t="shared" si="236"/>
        <v>2529.7985003370472</v>
      </c>
      <c r="P213" s="84">
        <f t="shared" si="236"/>
        <v>2512.1707837910421</v>
      </c>
      <c r="Q213" s="84">
        <f t="shared" si="236"/>
        <v>2495.5809508961411</v>
      </c>
      <c r="R213" s="84">
        <f t="shared" si="236"/>
        <v>2521.292791309078</v>
      </c>
      <c r="S213" s="84">
        <f t="shared" si="236"/>
        <v>2547.4499594805407</v>
      </c>
      <c r="T213" s="84">
        <f t="shared" si="236"/>
        <v>2574.20874199032</v>
      </c>
      <c r="U213" s="84">
        <f t="shared" si="236"/>
        <v>2601.4800021629912</v>
      </c>
      <c r="V213" s="84">
        <f t="shared" si="236"/>
        <v>2626.8344305376963</v>
      </c>
      <c r="W213" s="84">
        <f t="shared" ref="W213:Y213" si="240">IF(W22=0,0,W22*1000000/W76)</f>
        <v>2652.5466879411983</v>
      </c>
      <c r="X213" s="84">
        <f t="shared" si="240"/>
        <v>2676.8531403231177</v>
      </c>
      <c r="Y213" s="84">
        <f t="shared" si="240"/>
        <v>2701.8839944000724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1123.5706937177451</v>
      </c>
      <c r="D214" s="84">
        <f t="shared" si="236"/>
        <v>1123.2481930508184</v>
      </c>
      <c r="E214" s="84">
        <f t="shared" si="236"/>
        <v>1122.8915397289766</v>
      </c>
      <c r="F214" s="84">
        <f t="shared" si="236"/>
        <v>1122.5004459634422</v>
      </c>
      <c r="G214" s="84">
        <f t="shared" si="236"/>
        <v>1126.5254844448739</v>
      </c>
      <c r="H214" s="84">
        <f t="shared" si="236"/>
        <v>1135.2498281572023</v>
      </c>
      <c r="I214" s="84">
        <f t="shared" si="236"/>
        <v>1144.080529439917</v>
      </c>
      <c r="J214" s="84">
        <f t="shared" si="236"/>
        <v>1153.0080925054324</v>
      </c>
      <c r="K214" s="84">
        <f t="shared" si="236"/>
        <v>1161.8624133681592</v>
      </c>
      <c r="L214" s="84">
        <f t="shared" si="236"/>
        <v>1170.7773320355839</v>
      </c>
      <c r="M214" s="84">
        <f t="shared" si="235"/>
        <v>1179.7499069970702</v>
      </c>
      <c r="N214" s="84">
        <f t="shared" si="236"/>
        <v>1188.7972391882686</v>
      </c>
      <c r="O214" s="84">
        <f t="shared" si="236"/>
        <v>1197.9593891126549</v>
      </c>
      <c r="P214" s="84">
        <f t="shared" si="236"/>
        <v>1207.2280893977593</v>
      </c>
      <c r="Q214" s="84">
        <f t="shared" si="236"/>
        <v>1216.5897482128607</v>
      </c>
      <c r="R214" s="84">
        <f t="shared" si="236"/>
        <v>1207.4364720127057</v>
      </c>
      <c r="S214" s="84">
        <f t="shared" si="236"/>
        <v>1198.35610413119</v>
      </c>
      <c r="T214" s="84">
        <f t="shared" si="236"/>
        <v>1189.3512902454829</v>
      </c>
      <c r="U214" s="84">
        <f t="shared" si="236"/>
        <v>1180.4191413670437</v>
      </c>
      <c r="V214" s="84">
        <f t="shared" si="236"/>
        <v>1171.507249176824</v>
      </c>
      <c r="W214" s="84">
        <f t="shared" ref="W214:Y214" si="241">IF(W23=0,0,W23*1000000/W77)</f>
        <v>1162.664950771273</v>
      </c>
      <c r="X214" s="84">
        <f t="shared" si="241"/>
        <v>1153.8553804851263</v>
      </c>
      <c r="Y214" s="84">
        <f t="shared" si="241"/>
        <v>1145.1226864136404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1296.051765505586</v>
      </c>
      <c r="C215" s="84">
        <f t="shared" si="236"/>
        <v>1295.647091506595</v>
      </c>
      <c r="D215" s="84">
        <f t="shared" si="236"/>
        <v>1295.2751994187636</v>
      </c>
      <c r="E215" s="84">
        <f t="shared" si="236"/>
        <v>1294.8639241499225</v>
      </c>
      <c r="F215" s="84">
        <f t="shared" si="236"/>
        <v>1294.4129338360472</v>
      </c>
      <c r="G215" s="84">
        <f t="shared" si="236"/>
        <v>1294.0164378181519</v>
      </c>
      <c r="H215" s="84">
        <f t="shared" si="236"/>
        <v>1293.5951327809398</v>
      </c>
      <c r="I215" s="84">
        <f t="shared" si="236"/>
        <v>1293.2178138299823</v>
      </c>
      <c r="J215" s="84">
        <f t="shared" si="236"/>
        <v>1292.8721930969868</v>
      </c>
      <c r="K215" s="84">
        <f t="shared" si="236"/>
        <v>1292.3677065503716</v>
      </c>
      <c r="L215" s="84">
        <f t="shared" si="236"/>
        <v>1291.8552544651211</v>
      </c>
      <c r="M215" s="84">
        <f t="shared" si="235"/>
        <v>1291.3312415955368</v>
      </c>
      <c r="N215" s="84">
        <f t="shared" si="236"/>
        <v>1290.8139490336814</v>
      </c>
      <c r="O215" s="84">
        <f t="shared" si="236"/>
        <v>1290.3458026810038</v>
      </c>
      <c r="P215" s="84">
        <f t="shared" si="236"/>
        <v>1289.9162245692614</v>
      </c>
      <c r="Q215" s="84">
        <f t="shared" si="236"/>
        <v>1289.5093088131359</v>
      </c>
      <c r="R215" s="84">
        <f t="shared" si="236"/>
        <v>1290.1388801869505</v>
      </c>
      <c r="S215" s="84">
        <f t="shared" si="236"/>
        <v>1290.7731122907278</v>
      </c>
      <c r="T215" s="84">
        <f t="shared" si="236"/>
        <v>1291.4155460172153</v>
      </c>
      <c r="U215" s="84">
        <f t="shared" si="236"/>
        <v>1292.0637724859998</v>
      </c>
      <c r="V215" s="84">
        <f t="shared" si="236"/>
        <v>1292.660657224837</v>
      </c>
      <c r="W215" s="84">
        <f t="shared" ref="W215:Y215" si="242">IF(W24=0,0,W24*1000000/W78)</f>
        <v>1293.2603883439722</v>
      </c>
      <c r="X215" s="84">
        <f t="shared" si="242"/>
        <v>1293.8222602089274</v>
      </c>
      <c r="Y215" s="84">
        <f t="shared" si="242"/>
        <v>1294.3958217835702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0</v>
      </c>
      <c r="O216" s="84">
        <f t="shared" si="236"/>
        <v>1222.7656870173651</v>
      </c>
      <c r="P216" s="84">
        <f t="shared" si="236"/>
        <v>1223.172902125546</v>
      </c>
      <c r="Q216" s="84">
        <f t="shared" si="236"/>
        <v>1223.558884857845</v>
      </c>
      <c r="R216" s="84">
        <f t="shared" si="236"/>
        <v>1222.9618036754136</v>
      </c>
      <c r="S216" s="84">
        <f t="shared" si="236"/>
        <v>1222.3608912220952</v>
      </c>
      <c r="T216" s="84">
        <f t="shared" si="236"/>
        <v>1221.7528097529803</v>
      </c>
      <c r="U216" s="84">
        <f t="shared" si="236"/>
        <v>1221.139858189398</v>
      </c>
      <c r="V216" s="84">
        <f t="shared" si="236"/>
        <v>1212.7092403115826</v>
      </c>
      <c r="W216" s="84">
        <f t="shared" ref="W216:Y216" si="243">IF(W25=0,0,W25*1000000/W79)</f>
        <v>1220.0099733400036</v>
      </c>
      <c r="X216" s="84">
        <f t="shared" si="243"/>
        <v>1219.4801561463544</v>
      </c>
      <c r="Y216" s="84">
        <f t="shared" si="243"/>
        <v>1218.9397905589244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154147.38740326272</v>
      </c>
      <c r="C217" s="110">
        <f t="shared" si="236"/>
        <v>150435.70517837218</v>
      </c>
      <c r="D217" s="110">
        <f t="shared" si="236"/>
        <v>144253.40379165797</v>
      </c>
      <c r="E217" s="110">
        <f t="shared" si="236"/>
        <v>138402.84213654709</v>
      </c>
      <c r="F217" s="110">
        <f t="shared" si="236"/>
        <v>151463.95749114003</v>
      </c>
      <c r="G217" s="110">
        <f t="shared" si="236"/>
        <v>152852.26279849338</v>
      </c>
      <c r="H217" s="110">
        <f t="shared" si="236"/>
        <v>153547.40829726509</v>
      </c>
      <c r="I217" s="110">
        <f t="shared" si="236"/>
        <v>167101.11375524011</v>
      </c>
      <c r="J217" s="110">
        <f t="shared" si="236"/>
        <v>190647.60640173053</v>
      </c>
      <c r="K217" s="110">
        <f t="shared" si="236"/>
        <v>253486.73246843467</v>
      </c>
      <c r="L217" s="110">
        <f t="shared" si="236"/>
        <v>157714.34301823913</v>
      </c>
      <c r="M217" s="110">
        <f t="shared" si="235"/>
        <v>179193.05977541013</v>
      </c>
      <c r="N217" s="110">
        <f t="shared" si="236"/>
        <v>188980.1499110903</v>
      </c>
      <c r="O217" s="110">
        <f t="shared" si="236"/>
        <v>220583.46849876744</v>
      </c>
      <c r="P217" s="110">
        <f t="shared" si="236"/>
        <v>220690.65469617842</v>
      </c>
      <c r="Q217" s="110">
        <f t="shared" si="236"/>
        <v>228499.2589753464</v>
      </c>
      <c r="R217" s="110">
        <f t="shared" si="236"/>
        <v>244865.54736577402</v>
      </c>
      <c r="S217" s="110">
        <f t="shared" si="236"/>
        <v>241881.75141694274</v>
      </c>
      <c r="T217" s="110">
        <f t="shared" si="236"/>
        <v>233618.3322371837</v>
      </c>
      <c r="U217" s="110">
        <f t="shared" si="236"/>
        <v>228703.55078447564</v>
      </c>
      <c r="V217" s="110">
        <f t="shared" si="236"/>
        <v>207898.18008802188</v>
      </c>
      <c r="W217" s="110">
        <f t="shared" ref="W217:Y217" si="244">IF(W26=0,0,W26*1000000/W80)</f>
        <v>227183.48700946503</v>
      </c>
      <c r="X217" s="110">
        <f t="shared" si="244"/>
        <v>218969.77900715065</v>
      </c>
      <c r="Y217" s="110">
        <f t="shared" si="244"/>
        <v>206482.35089549643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98753.486254197735</v>
      </c>
      <c r="C218" s="163">
        <f t="shared" si="236"/>
        <v>92936.511052652248</v>
      </c>
      <c r="D218" s="163">
        <f t="shared" si="236"/>
        <v>84900.926108973683</v>
      </c>
      <c r="E218" s="163">
        <f t="shared" si="236"/>
        <v>79231.30044776453</v>
      </c>
      <c r="F218" s="163">
        <f t="shared" si="236"/>
        <v>82761.584510758927</v>
      </c>
      <c r="G218" s="163">
        <f t="shared" si="236"/>
        <v>83651.47421590508</v>
      </c>
      <c r="H218" s="163">
        <f t="shared" si="236"/>
        <v>83905.080900029716</v>
      </c>
      <c r="I218" s="163">
        <f t="shared" si="236"/>
        <v>90484.882587870394</v>
      </c>
      <c r="J218" s="163">
        <f t="shared" si="236"/>
        <v>99772.045774432409</v>
      </c>
      <c r="K218" s="163">
        <f t="shared" si="236"/>
        <v>153231.18760150575</v>
      </c>
      <c r="L218" s="163">
        <f t="shared" si="236"/>
        <v>89344.016655888714</v>
      </c>
      <c r="M218" s="163">
        <f t="shared" si="235"/>
        <v>96794.053055711251</v>
      </c>
      <c r="N218" s="163">
        <f t="shared" si="236"/>
        <v>95914.167215135662</v>
      </c>
      <c r="O218" s="163">
        <f t="shared" si="236"/>
        <v>112921.34831460674</v>
      </c>
      <c r="P218" s="163">
        <f t="shared" si="236"/>
        <v>113628.3185840708</v>
      </c>
      <c r="Q218" s="163">
        <f t="shared" si="236"/>
        <v>119186.5483547975</v>
      </c>
      <c r="R218" s="163">
        <f t="shared" si="236"/>
        <v>132127.79869675997</v>
      </c>
      <c r="S218" s="163">
        <f t="shared" si="236"/>
        <v>125587.70628885174</v>
      </c>
      <c r="T218" s="163">
        <f t="shared" si="236"/>
        <v>124919.3928719237</v>
      </c>
      <c r="U218" s="163">
        <f t="shared" si="236"/>
        <v>122631.1352223159</v>
      </c>
      <c r="V218" s="163">
        <f t="shared" si="236"/>
        <v>112051.16364174995</v>
      </c>
      <c r="W218" s="163">
        <f t="shared" ref="W218:Y218" si="245">IF(W27=0,0,W27*1000000/W81)</f>
        <v>124843.71304024599</v>
      </c>
      <c r="X218" s="163">
        <f t="shared" si="245"/>
        <v>113574.08494813075</v>
      </c>
      <c r="Y218" s="163">
        <f t="shared" si="245"/>
        <v>107679.3378295524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1211826.0312497863</v>
      </c>
      <c r="C219" s="86">
        <f t="shared" si="236"/>
        <v>1210860.7415201252</v>
      </c>
      <c r="D219" s="86">
        <f t="shared" si="236"/>
        <v>1218856.8123642453</v>
      </c>
      <c r="E219" s="86">
        <f t="shared" si="236"/>
        <v>1211611.2391313836</v>
      </c>
      <c r="F219" s="86">
        <f t="shared" si="236"/>
        <v>1189426.2012409826</v>
      </c>
      <c r="G219" s="86">
        <f t="shared" si="236"/>
        <v>1190011.2649174619</v>
      </c>
      <c r="H219" s="86">
        <f t="shared" si="236"/>
        <v>1197575.9981223515</v>
      </c>
      <c r="I219" s="86">
        <f t="shared" si="236"/>
        <v>1199843.4043015463</v>
      </c>
      <c r="J219" s="86">
        <f t="shared" si="236"/>
        <v>1182795.6179004302</v>
      </c>
      <c r="K219" s="86">
        <f t="shared" si="236"/>
        <v>1167221.4052435691</v>
      </c>
      <c r="L219" s="86">
        <f t="shared" si="236"/>
        <v>1205134.1960324661</v>
      </c>
      <c r="M219" s="86">
        <f t="shared" si="235"/>
        <v>1201352.1276311162</v>
      </c>
      <c r="N219" s="86">
        <f t="shared" si="236"/>
        <v>1197284.499615615</v>
      </c>
      <c r="O219" s="86">
        <f t="shared" si="236"/>
        <v>1198873.8248054013</v>
      </c>
      <c r="P219" s="86">
        <f t="shared" si="236"/>
        <v>1201719.1967549007</v>
      </c>
      <c r="Q219" s="86">
        <f t="shared" si="236"/>
        <v>1190524.1868705021</v>
      </c>
      <c r="R219" s="86">
        <f t="shared" si="236"/>
        <v>1184367.9696167028</v>
      </c>
      <c r="S219" s="86">
        <f t="shared" si="236"/>
        <v>1191012.4710034304</v>
      </c>
      <c r="T219" s="86">
        <f t="shared" si="236"/>
        <v>1202453.4614394784</v>
      </c>
      <c r="U219" s="86">
        <f t="shared" si="236"/>
        <v>1195223.7808951235</v>
      </c>
      <c r="V219" s="86">
        <f t="shared" si="236"/>
        <v>1178281.5808045166</v>
      </c>
      <c r="W219" s="86">
        <f t="shared" ref="W219:Y219" si="246">IF(W28=0,0,W28*1000000/W82)</f>
        <v>1193919.0806799137</v>
      </c>
      <c r="X219" s="86">
        <f t="shared" si="246"/>
        <v>1189471.3127065185</v>
      </c>
      <c r="Y219" s="86">
        <f t="shared" si="246"/>
        <v>1176156.4497931553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4.3210020171117304E-3</v>
      </c>
      <c r="C223" s="154">
        <f t="shared" si="251"/>
        <v>4.4172008076326964E-3</v>
      </c>
      <c r="D223" s="154">
        <f t="shared" si="251"/>
        <v>4.5986763550193935E-3</v>
      </c>
      <c r="E223" s="154">
        <f t="shared" si="251"/>
        <v>4.7993660769505113E-3</v>
      </c>
      <c r="F223" s="154">
        <f t="shared" si="251"/>
        <v>5.1940186855562124E-3</v>
      </c>
      <c r="G223" s="154">
        <f t="shared" si="251"/>
        <v>5.5853867581893311E-3</v>
      </c>
      <c r="H223" s="154">
        <f t="shared" si="251"/>
        <v>5.6709078621641155E-3</v>
      </c>
      <c r="I223" s="154">
        <f t="shared" si="251"/>
        <v>5.853577563213164E-3</v>
      </c>
      <c r="J223" s="154">
        <f t="shared" si="251"/>
        <v>6.049258538125408E-3</v>
      </c>
      <c r="K223" s="154">
        <f t="shared" si="251"/>
        <v>6.1526820323053307E-3</v>
      </c>
      <c r="L223" s="154">
        <f t="shared" ref="L223" si="252">IF(L5=0,0,L5/L$4)</f>
        <v>6.2990967208703804E-3</v>
      </c>
      <c r="M223" s="154">
        <f t="shared" ref="M223:V223" si="253">IF(M5=0,0,M5/M$4)</f>
        <v>6.5497636145948682E-3</v>
      </c>
      <c r="N223" s="154">
        <f t="shared" si="253"/>
        <v>6.6688269690520531E-3</v>
      </c>
      <c r="O223" s="154">
        <f t="shared" si="253"/>
        <v>6.9046375628445955E-3</v>
      </c>
      <c r="P223" s="154">
        <f t="shared" si="253"/>
        <v>6.9698767521812902E-3</v>
      </c>
      <c r="Q223" s="154">
        <f t="shared" si="253"/>
        <v>6.8374617625299242E-3</v>
      </c>
      <c r="R223" s="154">
        <f t="shared" si="253"/>
        <v>6.6144983002904703E-3</v>
      </c>
      <c r="S223" s="154">
        <f t="shared" si="253"/>
        <v>6.5963794997642546E-3</v>
      </c>
      <c r="T223" s="154">
        <f t="shared" si="253"/>
        <v>6.6365676091179613E-3</v>
      </c>
      <c r="U223" s="154">
        <f t="shared" si="253"/>
        <v>6.5671755934808545E-3</v>
      </c>
      <c r="V223" s="154">
        <f t="shared" si="253"/>
        <v>6.8009748507040849E-3</v>
      </c>
      <c r="W223" s="154">
        <f t="shared" ref="W223:Y223" si="254">IF(W5=0,0,W5/W$4)</f>
        <v>6.6443177160943282E-3</v>
      </c>
      <c r="X223" s="154">
        <f t="shared" si="254"/>
        <v>6.1532300641119718E-3</v>
      </c>
      <c r="Y223" s="154">
        <f t="shared" si="254"/>
        <v>5.8571265134457397E-3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0.70835063049743929</v>
      </c>
      <c r="C224" s="156">
        <f t="shared" si="255"/>
        <v>0.70953923278397957</v>
      </c>
      <c r="D224" s="156">
        <f t="shared" si="255"/>
        <v>0.70687875831716607</v>
      </c>
      <c r="E224" s="156">
        <f t="shared" si="255"/>
        <v>0.71407569041618657</v>
      </c>
      <c r="F224" s="156">
        <f t="shared" si="255"/>
        <v>0.72561571347331311</v>
      </c>
      <c r="G224" s="156">
        <f t="shared" si="255"/>
        <v>0.73053570571593474</v>
      </c>
      <c r="H224" s="156">
        <f t="shared" si="255"/>
        <v>0.74052710449414016</v>
      </c>
      <c r="I224" s="156">
        <f t="shared" si="255"/>
        <v>0.75438836005647558</v>
      </c>
      <c r="J224" s="156">
        <f t="shared" si="255"/>
        <v>0.74907980564407173</v>
      </c>
      <c r="K224" s="156">
        <f t="shared" si="255"/>
        <v>0.76480942065148294</v>
      </c>
      <c r="L224" s="156">
        <f t="shared" ref="L224" si="256">IF(L6=0,0,L6/L$4)</f>
        <v>0.75683067377151625</v>
      </c>
      <c r="M224" s="156">
        <f t="shared" ref="M224:V224" si="257">IF(M6=0,0,M6/M$4)</f>
        <v>0.75551241474290998</v>
      </c>
      <c r="N224" s="156">
        <f t="shared" si="257"/>
        <v>0.74705359137487437</v>
      </c>
      <c r="O224" s="156">
        <f t="shared" si="257"/>
        <v>0.74616952594379204</v>
      </c>
      <c r="P224" s="156">
        <f t="shared" si="257"/>
        <v>0.7441826061510326</v>
      </c>
      <c r="Q224" s="156">
        <f t="shared" si="257"/>
        <v>0.7488610514445011</v>
      </c>
      <c r="R224" s="156">
        <f t="shared" si="257"/>
        <v>0.75574384000858807</v>
      </c>
      <c r="S224" s="156">
        <f t="shared" si="257"/>
        <v>0.76301735991068309</v>
      </c>
      <c r="T224" s="156">
        <f t="shared" si="257"/>
        <v>0.76704697137698996</v>
      </c>
      <c r="U224" s="156">
        <f t="shared" si="257"/>
        <v>0.77604040037529609</v>
      </c>
      <c r="V224" s="156">
        <f t="shared" si="257"/>
        <v>0.83200063081337072</v>
      </c>
      <c r="W224" s="156">
        <f t="shared" ref="W224:Y224" si="258">IF(W6=0,0,W6/W$4)</f>
        <v>0.84121191854935173</v>
      </c>
      <c r="X224" s="156">
        <f t="shared" si="258"/>
        <v>0.82462370541221253</v>
      </c>
      <c r="Y224" s="156">
        <f t="shared" si="258"/>
        <v>0.83373394974936477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0.60485793155078083</v>
      </c>
      <c r="C225" s="103">
        <f t="shared" si="259"/>
        <v>0.59886908695051022</v>
      </c>
      <c r="D225" s="103">
        <f t="shared" si="259"/>
        <v>0.58536535746991103</v>
      </c>
      <c r="E225" s="103">
        <f t="shared" si="259"/>
        <v>0.56566318320587083</v>
      </c>
      <c r="F225" s="103">
        <f t="shared" si="259"/>
        <v>0.55527836127262087</v>
      </c>
      <c r="G225" s="103">
        <f t="shared" si="259"/>
        <v>0.58817827798412547</v>
      </c>
      <c r="H225" s="103">
        <f t="shared" si="259"/>
        <v>0.55729593884518858</v>
      </c>
      <c r="I225" s="103">
        <f t="shared" si="259"/>
        <v>0.55475757699591288</v>
      </c>
      <c r="J225" s="103">
        <f t="shared" si="259"/>
        <v>0.53751234514951274</v>
      </c>
      <c r="K225" s="103">
        <f t="shared" si="259"/>
        <v>0.54603925584066082</v>
      </c>
      <c r="L225" s="103">
        <f t="shared" ref="L225" si="260">IF(L7=0,0,L7/L$4)</f>
        <v>0.51243936632427711</v>
      </c>
      <c r="M225" s="103">
        <f t="shared" ref="M225:V225" si="261">IF(M7=0,0,M7/M$4)</f>
        <v>0.48419323949202486</v>
      </c>
      <c r="N225" s="103">
        <f t="shared" si="261"/>
        <v>0.46806541826911707</v>
      </c>
      <c r="O225" s="103">
        <f t="shared" si="261"/>
        <v>0.45024400464349285</v>
      </c>
      <c r="P225" s="103">
        <f t="shared" si="261"/>
        <v>0.46827002842342819</v>
      </c>
      <c r="Q225" s="103">
        <f t="shared" si="261"/>
        <v>0.45312331303828068</v>
      </c>
      <c r="R225" s="103">
        <f t="shared" si="261"/>
        <v>0.43479538044814614</v>
      </c>
      <c r="S225" s="103">
        <f t="shared" si="261"/>
        <v>0.42563689572394542</v>
      </c>
      <c r="T225" s="103">
        <f t="shared" si="261"/>
        <v>0.41840698709152369</v>
      </c>
      <c r="U225" s="103">
        <f t="shared" si="261"/>
        <v>0.41376066236699155</v>
      </c>
      <c r="V225" s="103">
        <f t="shared" si="261"/>
        <v>0.44399621454724275</v>
      </c>
      <c r="W225" s="103">
        <f t="shared" ref="W225:Y225" si="262">IF(W7=0,0,W7/W$4)</f>
        <v>0.44064636365480303</v>
      </c>
      <c r="X225" s="103">
        <f t="shared" si="262"/>
        <v>0.42983598229631043</v>
      </c>
      <c r="Y225" s="103">
        <f t="shared" si="262"/>
        <v>0.42888961782712753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0.10349269894665845</v>
      </c>
      <c r="C226" s="103">
        <f t="shared" si="263"/>
        <v>0.10983319200927494</v>
      </c>
      <c r="D226" s="103">
        <f t="shared" si="263"/>
        <v>0.12071820300768993</v>
      </c>
      <c r="E226" s="103">
        <f t="shared" si="263"/>
        <v>0.13532227955054146</v>
      </c>
      <c r="F226" s="103">
        <f t="shared" si="263"/>
        <v>0.15845806591796813</v>
      </c>
      <c r="G226" s="103">
        <f t="shared" si="263"/>
        <v>0.1306911849144374</v>
      </c>
      <c r="H226" s="103">
        <f t="shared" si="263"/>
        <v>0.17233439853996013</v>
      </c>
      <c r="I226" s="103">
        <f t="shared" si="263"/>
        <v>0.18834118213950238</v>
      </c>
      <c r="J226" s="103">
        <f t="shared" si="263"/>
        <v>0.20119123173153455</v>
      </c>
      <c r="K226" s="103">
        <f t="shared" si="263"/>
        <v>0.20999513093772754</v>
      </c>
      <c r="L226" s="103">
        <f t="shared" ref="L226" si="264">IF(L8=0,0,L8/L$4)</f>
        <v>0.23571854690119082</v>
      </c>
      <c r="M226" s="103">
        <f t="shared" ref="M226:V226" si="265">IF(M8=0,0,M8/M$4)</f>
        <v>0.2621499124952798</v>
      </c>
      <c r="N226" s="103">
        <f t="shared" si="265"/>
        <v>0.26959905044645599</v>
      </c>
      <c r="O226" s="103">
        <f t="shared" si="265"/>
        <v>0.28552283817739499</v>
      </c>
      <c r="P226" s="103">
        <f t="shared" si="265"/>
        <v>0.26486578138261652</v>
      </c>
      <c r="Q226" s="103">
        <f t="shared" si="265"/>
        <v>0.28420922801248283</v>
      </c>
      <c r="R226" s="103">
        <f t="shared" si="265"/>
        <v>0.30944699573888207</v>
      </c>
      <c r="S226" s="103">
        <f t="shared" si="265"/>
        <v>0.32637506779251146</v>
      </c>
      <c r="T226" s="103">
        <f t="shared" si="265"/>
        <v>0.33856958684097527</v>
      </c>
      <c r="U226" s="103">
        <f t="shared" si="265"/>
        <v>0.35325818975760093</v>
      </c>
      <c r="V226" s="103">
        <f t="shared" si="265"/>
        <v>0.37929775781423003</v>
      </c>
      <c r="W226" s="103">
        <f t="shared" ref="W226:Y226" si="266">IF(W8=0,0,W8/W$4)</f>
        <v>0.39189254878169882</v>
      </c>
      <c r="X226" s="103">
        <f t="shared" si="266"/>
        <v>0.38469017744394796</v>
      </c>
      <c r="Y226" s="103">
        <f t="shared" si="266"/>
        <v>0.39277042472480644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8.3695382419435608E-4</v>
      </c>
      <c r="D227" s="103">
        <f t="shared" si="267"/>
        <v>7.9519783956515089E-4</v>
      </c>
      <c r="E227" s="103">
        <f t="shared" si="267"/>
        <v>1.3090227659774273E-2</v>
      </c>
      <c r="F227" s="103">
        <f t="shared" si="267"/>
        <v>1.1879286282724036E-2</v>
      </c>
      <c r="G227" s="103">
        <f t="shared" si="267"/>
        <v>1.1666242817371766E-2</v>
      </c>
      <c r="H227" s="103">
        <f t="shared" si="267"/>
        <v>1.0896767108991571E-2</v>
      </c>
      <c r="I227" s="103">
        <f t="shared" si="267"/>
        <v>1.1289600921060428E-2</v>
      </c>
      <c r="J227" s="103">
        <f t="shared" si="267"/>
        <v>1.0376228763024473E-2</v>
      </c>
      <c r="K227" s="103">
        <f t="shared" si="267"/>
        <v>8.7750338730946068E-3</v>
      </c>
      <c r="L227" s="103">
        <f t="shared" ref="L227" si="268">IF(L9=0,0,L9/L$4)</f>
        <v>8.643608416312884E-3</v>
      </c>
      <c r="M227" s="103">
        <f t="shared" ref="M227:V227" si="269">IF(M9=0,0,M9/M$4)</f>
        <v>9.0796338755811685E-3</v>
      </c>
      <c r="N227" s="103">
        <f t="shared" si="269"/>
        <v>9.3007380780109599E-3</v>
      </c>
      <c r="O227" s="103">
        <f t="shared" si="269"/>
        <v>1.0225858757079015E-2</v>
      </c>
      <c r="P227" s="103">
        <f t="shared" si="269"/>
        <v>1.0814125054518392E-2</v>
      </c>
      <c r="Q227" s="103">
        <f t="shared" si="269"/>
        <v>1.1060494002435995E-2</v>
      </c>
      <c r="R227" s="103">
        <f t="shared" si="269"/>
        <v>1.0949079862111495E-2</v>
      </c>
      <c r="S227" s="103">
        <f t="shared" si="269"/>
        <v>1.0220136768903515E-2</v>
      </c>
      <c r="T227" s="103">
        <f t="shared" si="269"/>
        <v>8.9403955286653392E-3</v>
      </c>
      <c r="U227" s="103">
        <f t="shared" si="269"/>
        <v>7.5014071755827288E-3</v>
      </c>
      <c r="V227" s="103">
        <f t="shared" si="269"/>
        <v>6.1165310805876838E-3</v>
      </c>
      <c r="W227" s="103">
        <f t="shared" ref="W227:Y227" si="270">IF(W9=0,0,W9/W$4)</f>
        <v>4.2642449434200083E-3</v>
      </c>
      <c r="X227" s="103">
        <f t="shared" si="270"/>
        <v>3.9407301484412375E-3</v>
      </c>
      <c r="Y227" s="103">
        <f t="shared" si="270"/>
        <v>3.8019362510175671E-3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4.4345145604996441E-7</v>
      </c>
      <c r="M228" s="103">
        <f t="shared" ref="M228:V228" si="273">IF(M10=0,0,M10/M$4)</f>
        <v>7.7752670254163464E-7</v>
      </c>
      <c r="N228" s="103">
        <f t="shared" si="273"/>
        <v>5.8095436234098727E-7</v>
      </c>
      <c r="O228" s="103">
        <f t="shared" si="273"/>
        <v>8.5403184742654885E-5</v>
      </c>
      <c r="P228" s="103">
        <f t="shared" si="273"/>
        <v>1.3634199680692468E-4</v>
      </c>
      <c r="Q228" s="103">
        <f t="shared" si="273"/>
        <v>3.4542633403311174E-4</v>
      </c>
      <c r="R228" s="103">
        <f t="shared" si="273"/>
        <v>3.6766440520169096E-4</v>
      </c>
      <c r="S228" s="103">
        <f t="shared" si="273"/>
        <v>3.9283744226029609E-4</v>
      </c>
      <c r="T228" s="103">
        <f t="shared" si="273"/>
        <v>3.9252836390429603E-4</v>
      </c>
      <c r="U228" s="103">
        <f t="shared" si="273"/>
        <v>3.7947168122489966E-4</v>
      </c>
      <c r="V228" s="103">
        <f t="shared" si="273"/>
        <v>3.8434579319322803E-4</v>
      </c>
      <c r="W228" s="103">
        <f t="shared" ref="W228:Y228" si="274">IF(W10=0,0,W10/W$4)</f>
        <v>3.7803218610062622E-4</v>
      </c>
      <c r="X228" s="103">
        <f t="shared" si="274"/>
        <v>3.5665663236804021E-4</v>
      </c>
      <c r="Y228" s="103">
        <f t="shared" si="274"/>
        <v>3.4667614726882753E-4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3.3094640937116444E-6</v>
      </c>
      <c r="O229" s="103">
        <f t="shared" si="277"/>
        <v>3.3802318848916346E-6</v>
      </c>
      <c r="P229" s="103">
        <f t="shared" si="277"/>
        <v>8.363698283941416E-6</v>
      </c>
      <c r="Q229" s="103">
        <f t="shared" si="277"/>
        <v>2.1615381917829019E-5</v>
      </c>
      <c r="R229" s="103">
        <f t="shared" si="277"/>
        <v>5.8689838886203917E-5</v>
      </c>
      <c r="S229" s="103">
        <f t="shared" si="277"/>
        <v>9.9287446310301528E-5</v>
      </c>
      <c r="T229" s="103">
        <f t="shared" si="277"/>
        <v>2.2099735786109534E-4</v>
      </c>
      <c r="U229" s="103">
        <f t="shared" si="277"/>
        <v>3.4580922030187248E-4</v>
      </c>
      <c r="V229" s="103">
        <f t="shared" si="277"/>
        <v>7.9158711679843947E-4</v>
      </c>
      <c r="W229" s="103">
        <f t="shared" ref="W229:Y229" si="278">IF(W11=0,0,W11/W$4)</f>
        <v>1.5821235542432775E-3</v>
      </c>
      <c r="X229" s="103">
        <f t="shared" si="278"/>
        <v>2.3361598702902999E-3</v>
      </c>
      <c r="Y229" s="103">
        <f t="shared" si="278"/>
        <v>3.1030946650869229E-3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2.8708678279395977E-5</v>
      </c>
      <c r="M230" s="103">
        <f t="shared" ref="M230:V230" si="281">IF(M12=0,0,M12/M$4)</f>
        <v>8.8851353321616708E-5</v>
      </c>
      <c r="N230" s="103">
        <f t="shared" si="281"/>
        <v>8.449416283413575E-5</v>
      </c>
      <c r="O230" s="103">
        <f t="shared" si="281"/>
        <v>8.8040949197516164E-5</v>
      </c>
      <c r="P230" s="103">
        <f t="shared" si="281"/>
        <v>8.7965595378585343E-5</v>
      </c>
      <c r="Q230" s="103">
        <f t="shared" si="281"/>
        <v>1.0097467535065767E-4</v>
      </c>
      <c r="R230" s="103">
        <f t="shared" si="281"/>
        <v>1.2602971536043627E-4</v>
      </c>
      <c r="S230" s="103">
        <f t="shared" si="281"/>
        <v>2.9313473675194229E-4</v>
      </c>
      <c r="T230" s="103">
        <f t="shared" si="281"/>
        <v>5.1647619406034752E-4</v>
      </c>
      <c r="U230" s="103">
        <f t="shared" si="281"/>
        <v>7.9486017359431328E-4</v>
      </c>
      <c r="V230" s="103">
        <f t="shared" si="281"/>
        <v>1.4141944613185688E-3</v>
      </c>
      <c r="W230" s="103">
        <f t="shared" ref="W230:Y230" si="282">IF(W12=0,0,W12/W$4)</f>
        <v>2.4486054290860037E-3</v>
      </c>
      <c r="X230" s="103">
        <f t="shared" si="282"/>
        <v>3.4639990208545387E-3</v>
      </c>
      <c r="Y230" s="103">
        <f t="shared" si="282"/>
        <v>4.8222001340573984E-3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0.28732836748544899</v>
      </c>
      <c r="C231" s="156">
        <f t="shared" si="283"/>
        <v>0.28604356640838779</v>
      </c>
      <c r="D231" s="156">
        <f t="shared" si="283"/>
        <v>0.28852256532781445</v>
      </c>
      <c r="E231" s="156">
        <f t="shared" si="283"/>
        <v>0.28112494350686285</v>
      </c>
      <c r="F231" s="156">
        <f t="shared" si="283"/>
        <v>0.26919026784113076</v>
      </c>
      <c r="G231" s="156">
        <f t="shared" si="283"/>
        <v>0.26387890752587606</v>
      </c>
      <c r="H231" s="156">
        <f t="shared" si="283"/>
        <v>0.25380198764369566</v>
      </c>
      <c r="I231" s="156">
        <f t="shared" si="283"/>
        <v>0.23975806238031133</v>
      </c>
      <c r="J231" s="156">
        <f t="shared" si="283"/>
        <v>0.24487093581780284</v>
      </c>
      <c r="K231" s="156">
        <f t="shared" si="283"/>
        <v>0.2290378973162118</v>
      </c>
      <c r="L231" s="156">
        <f t="shared" ref="L231" si="284">IF(L13=0,0,L13/L$4)</f>
        <v>0.23687022950761344</v>
      </c>
      <c r="M231" s="156">
        <f t="shared" ref="M231:V231" si="285">IF(M13=0,0,M13/M$4)</f>
        <v>0.23793782164249508</v>
      </c>
      <c r="N231" s="156">
        <f t="shared" si="285"/>
        <v>0.24627758165607361</v>
      </c>
      <c r="O231" s="156">
        <f t="shared" si="285"/>
        <v>0.2469258364933633</v>
      </c>
      <c r="P231" s="156">
        <f t="shared" si="285"/>
        <v>0.24884751709678601</v>
      </c>
      <c r="Q231" s="156">
        <f t="shared" si="285"/>
        <v>0.2443014867929689</v>
      </c>
      <c r="R231" s="156">
        <f t="shared" si="285"/>
        <v>0.23764166169112155</v>
      </c>
      <c r="S231" s="156">
        <f t="shared" si="285"/>
        <v>0.23038626058955278</v>
      </c>
      <c r="T231" s="156">
        <f t="shared" si="285"/>
        <v>0.22631646101389213</v>
      </c>
      <c r="U231" s="156">
        <f t="shared" si="285"/>
        <v>0.21739242403122311</v>
      </c>
      <c r="V231" s="156">
        <f t="shared" si="285"/>
        <v>0.16119839433592509</v>
      </c>
      <c r="W231" s="156">
        <f t="shared" ref="W231:Y231" si="286">IF(W13=0,0,W13/W$4)</f>
        <v>0.15214376373455391</v>
      </c>
      <c r="X231" s="156">
        <f t="shared" si="286"/>
        <v>0.1692230645236755</v>
      </c>
      <c r="Y231" s="156">
        <f t="shared" si="286"/>
        <v>0.16040892373718946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5.4169459447470586E-3</v>
      </c>
      <c r="C232" s="103">
        <f t="shared" si="287"/>
        <v>4.9298321950420445E-3</v>
      </c>
      <c r="D232" s="103">
        <f t="shared" si="287"/>
        <v>4.4978686586399112E-3</v>
      </c>
      <c r="E232" s="103">
        <f t="shared" si="287"/>
        <v>3.9369903784216625E-3</v>
      </c>
      <c r="F232" s="103">
        <f t="shared" si="287"/>
        <v>3.435317078971903E-3</v>
      </c>
      <c r="G232" s="103">
        <f t="shared" si="287"/>
        <v>2.9566034322159027E-3</v>
      </c>
      <c r="H232" s="103">
        <f t="shared" si="287"/>
        <v>2.2376183335337651E-3</v>
      </c>
      <c r="I232" s="103">
        <f t="shared" si="287"/>
        <v>1.7654931841101825E-3</v>
      </c>
      <c r="J232" s="103">
        <f t="shared" si="287"/>
        <v>1.6436917747998489E-3</v>
      </c>
      <c r="K232" s="103">
        <f t="shared" si="287"/>
        <v>1.278811877548988E-3</v>
      </c>
      <c r="L232" s="103">
        <f t="shared" ref="L232" si="288">IF(L14=0,0,L14/L$4)</f>
        <v>1.0733647669817557E-3</v>
      </c>
      <c r="M232" s="103">
        <f t="shared" ref="M232:V232" si="289">IF(M14=0,0,M14/M$4)</f>
        <v>8.5673627564382794E-4</v>
      </c>
      <c r="N232" s="103">
        <f t="shared" si="289"/>
        <v>7.4275792560637305E-4</v>
      </c>
      <c r="O232" s="103">
        <f t="shared" si="289"/>
        <v>7.3054702443918213E-4</v>
      </c>
      <c r="P232" s="103">
        <f t="shared" si="289"/>
        <v>6.3619190950316173E-4</v>
      </c>
      <c r="Q232" s="103">
        <f t="shared" si="289"/>
        <v>4.8121206438272665E-4</v>
      </c>
      <c r="R232" s="103">
        <f t="shared" si="289"/>
        <v>3.0429858491562824E-4</v>
      </c>
      <c r="S232" s="103">
        <f t="shared" si="289"/>
        <v>2.4535439973775818E-4</v>
      </c>
      <c r="T232" s="103">
        <f t="shared" si="289"/>
        <v>2.2862479214238708E-4</v>
      </c>
      <c r="U232" s="103">
        <f t="shared" si="289"/>
        <v>2.0949040202851709E-4</v>
      </c>
      <c r="V232" s="103">
        <f t="shared" si="289"/>
        <v>1.8119795703410997E-4</v>
      </c>
      <c r="W232" s="103">
        <f t="shared" ref="W232:Y232" si="290">IF(W14=0,0,W14/W$4)</f>
        <v>1.5722913060158404E-4</v>
      </c>
      <c r="X232" s="103">
        <f t="shared" si="290"/>
        <v>1.2283168125633572E-4</v>
      </c>
      <c r="Y232" s="103">
        <f t="shared" si="290"/>
        <v>8.5077275354375096E-5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0.27549920445391263</v>
      </c>
      <c r="C233" s="103">
        <f t="shared" si="291"/>
        <v>0.27475113793181227</v>
      </c>
      <c r="D233" s="103">
        <f t="shared" si="291"/>
        <v>0.2775261637979724</v>
      </c>
      <c r="E233" s="103">
        <f t="shared" si="291"/>
        <v>0.27070522142680931</v>
      </c>
      <c r="F233" s="103">
        <f t="shared" si="291"/>
        <v>0.25942202148680277</v>
      </c>
      <c r="G233" s="103">
        <f t="shared" si="291"/>
        <v>0.25628478287377826</v>
      </c>
      <c r="H233" s="103">
        <f t="shared" si="291"/>
        <v>0.2478317985276807</v>
      </c>
      <c r="I233" s="103">
        <f t="shared" si="291"/>
        <v>0.23511289668793997</v>
      </c>
      <c r="J233" s="103">
        <f t="shared" si="291"/>
        <v>0.24074090178048393</v>
      </c>
      <c r="K233" s="103">
        <f t="shared" si="291"/>
        <v>0.22565652499199843</v>
      </c>
      <c r="L233" s="103">
        <f t="shared" ref="L233" si="292">IF(L15=0,0,L15/L$4)</f>
        <v>0.23425134790003038</v>
      </c>
      <c r="M233" s="103">
        <f t="shared" ref="M233:V233" si="293">IF(M15=0,0,M15/M$4)</f>
        <v>0.23587539659984202</v>
      </c>
      <c r="N233" s="103">
        <f t="shared" si="293"/>
        <v>0.24413615629088445</v>
      </c>
      <c r="O233" s="103">
        <f t="shared" si="293"/>
        <v>0.24475082504261308</v>
      </c>
      <c r="P233" s="103">
        <f t="shared" si="293"/>
        <v>0.24543110808083746</v>
      </c>
      <c r="Q233" s="103">
        <f t="shared" si="293"/>
        <v>0.23933366218294397</v>
      </c>
      <c r="R233" s="103">
        <f t="shared" si="293"/>
        <v>0.22961334546234868</v>
      </c>
      <c r="S233" s="103">
        <f t="shared" si="293"/>
        <v>0.22156491772979942</v>
      </c>
      <c r="T233" s="103">
        <f t="shared" si="293"/>
        <v>0.21798304097801247</v>
      </c>
      <c r="U233" s="103">
        <f t="shared" si="293"/>
        <v>0.21320903413273498</v>
      </c>
      <c r="V233" s="103">
        <f t="shared" si="293"/>
        <v>0.15770171498931035</v>
      </c>
      <c r="W233" s="103">
        <f t="shared" ref="W233:Y233" si="294">IF(W15=0,0,W15/W$4)</f>
        <v>0.14879315622428149</v>
      </c>
      <c r="X233" s="103">
        <f t="shared" si="294"/>
        <v>0.16392950543450144</v>
      </c>
      <c r="Y233" s="103">
        <f t="shared" si="294"/>
        <v>0.15455618982847275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8.409279035109094E-6</v>
      </c>
      <c r="Q234" s="103">
        <f t="shared" si="297"/>
        <v>8.3126532931147814E-6</v>
      </c>
      <c r="R234" s="103">
        <f t="shared" si="297"/>
        <v>1.5542219796382024E-5</v>
      </c>
      <c r="S234" s="103">
        <f t="shared" si="297"/>
        <v>1.4606805976245454E-5</v>
      </c>
      <c r="T234" s="103">
        <f t="shared" si="297"/>
        <v>1.3743064541291152E-5</v>
      </c>
      <c r="U234" s="103">
        <f t="shared" si="297"/>
        <v>1.271659177892345E-5</v>
      </c>
      <c r="V234" s="103">
        <f t="shared" si="297"/>
        <v>1.0582879733261466E-5</v>
      </c>
      <c r="W234" s="103">
        <f t="shared" ref="W234:Y234" si="298">IF(W16=0,0,W16/W$4)</f>
        <v>9.3599261148757749E-6</v>
      </c>
      <c r="X234" s="103">
        <f t="shared" si="298"/>
        <v>1.0312163012910134E-5</v>
      </c>
      <c r="Y234" s="103">
        <f t="shared" si="298"/>
        <v>9.6526354834280225E-6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1.5914500454951041E-3</v>
      </c>
      <c r="C235" s="103">
        <f t="shared" si="299"/>
        <v>1.7070665777718893E-3</v>
      </c>
      <c r="D235" s="103">
        <f t="shared" si="299"/>
        <v>1.8156695277408779E-3</v>
      </c>
      <c r="E235" s="103">
        <f t="shared" si="299"/>
        <v>1.8803957984885229E-3</v>
      </c>
      <c r="F235" s="103">
        <f t="shared" si="299"/>
        <v>1.8662531401343436E-3</v>
      </c>
      <c r="G235" s="103">
        <f t="shared" si="299"/>
        <v>2.151217313671505E-3</v>
      </c>
      <c r="H235" s="103">
        <f t="shared" si="299"/>
        <v>1.8858870797314542E-3</v>
      </c>
      <c r="I235" s="103">
        <f t="shared" si="299"/>
        <v>1.4651753132020925E-3</v>
      </c>
      <c r="J235" s="103">
        <f t="shared" si="299"/>
        <v>1.2234845248393796E-3</v>
      </c>
      <c r="K235" s="103">
        <f t="shared" si="299"/>
        <v>1.1357620276603686E-3</v>
      </c>
      <c r="L235" s="103">
        <f t="shared" ref="L235" si="300">IF(L17=0,0,L17/L$4)</f>
        <v>7.7855503933512587E-4</v>
      </c>
      <c r="M235" s="103">
        <f t="shared" ref="M235:V235" si="301">IF(M17=0,0,M17/M$4)</f>
        <v>6.137341424749729E-4</v>
      </c>
      <c r="N235" s="103">
        <f t="shared" si="301"/>
        <v>9.4529665988903652E-4</v>
      </c>
      <c r="O235" s="103">
        <f t="shared" si="301"/>
        <v>1.1036447871963946E-3</v>
      </c>
      <c r="P235" s="103">
        <f t="shared" si="301"/>
        <v>2.5170723419235307E-3</v>
      </c>
      <c r="Q235" s="103">
        <f t="shared" si="301"/>
        <v>3.9630243890047441E-3</v>
      </c>
      <c r="R235" s="103">
        <f t="shared" si="301"/>
        <v>7.1913915117019205E-3</v>
      </c>
      <c r="S235" s="103">
        <f t="shared" si="301"/>
        <v>8.0958974748437055E-3</v>
      </c>
      <c r="T235" s="103">
        <f t="shared" si="301"/>
        <v>7.6286793216922286E-3</v>
      </c>
      <c r="U235" s="103">
        <f t="shared" si="301"/>
        <v>3.519932392715629E-3</v>
      </c>
      <c r="V235" s="103">
        <f t="shared" si="301"/>
        <v>2.6890416811939139E-3</v>
      </c>
      <c r="W235" s="103">
        <f t="shared" ref="W235:Y235" si="302">IF(W17=0,0,W17/W$4)</f>
        <v>2.1498142293411198E-3</v>
      </c>
      <c r="X235" s="103">
        <f t="shared" si="302"/>
        <v>3.6022432791113228E-3</v>
      </c>
      <c r="Y235" s="103">
        <f t="shared" si="302"/>
        <v>3.7049497736352226E-3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4.8207670412941678E-3</v>
      </c>
      <c r="C236" s="103">
        <f t="shared" si="303"/>
        <v>4.655529703761597E-3</v>
      </c>
      <c r="D236" s="103">
        <f t="shared" si="303"/>
        <v>4.6828633434611725E-3</v>
      </c>
      <c r="E236" s="103">
        <f t="shared" si="303"/>
        <v>4.6023359031433309E-3</v>
      </c>
      <c r="F236" s="103">
        <f t="shared" si="303"/>
        <v>4.4666761352217133E-3</v>
      </c>
      <c r="G236" s="103">
        <f t="shared" si="303"/>
        <v>2.4863039062103963E-3</v>
      </c>
      <c r="H236" s="103">
        <f t="shared" si="303"/>
        <v>1.8466837027497007E-3</v>
      </c>
      <c r="I236" s="103">
        <f t="shared" si="303"/>
        <v>1.4144971950590744E-3</v>
      </c>
      <c r="J236" s="103">
        <f t="shared" si="303"/>
        <v>1.2628577376796481E-3</v>
      </c>
      <c r="K236" s="103">
        <f t="shared" si="303"/>
        <v>9.6679841900400938E-4</v>
      </c>
      <c r="L236" s="103">
        <f t="shared" ref="L236" si="304">IF(L18=0,0,L18/L$4)</f>
        <v>7.6696180126618603E-4</v>
      </c>
      <c r="M236" s="103">
        <f t="shared" ref="M236:V236" si="305">IF(M18=0,0,M18/M$4)</f>
        <v>5.9195462453424301E-4</v>
      </c>
      <c r="N236" s="103">
        <f t="shared" si="305"/>
        <v>4.5337077969374422E-4</v>
      </c>
      <c r="O236" s="103">
        <f t="shared" si="305"/>
        <v>3.4081963911469017E-4</v>
      </c>
      <c r="P236" s="103">
        <f t="shared" si="305"/>
        <v>2.5473548548668581E-4</v>
      </c>
      <c r="Q236" s="103">
        <f t="shared" si="305"/>
        <v>5.1527550334432937E-4</v>
      </c>
      <c r="R236" s="103">
        <f t="shared" si="305"/>
        <v>5.1708391235892929E-4</v>
      </c>
      <c r="S236" s="103">
        <f t="shared" si="305"/>
        <v>4.6548417919563479E-4</v>
      </c>
      <c r="T236" s="103">
        <f t="shared" si="305"/>
        <v>4.6237285750376533E-4</v>
      </c>
      <c r="U236" s="103">
        <f t="shared" si="305"/>
        <v>4.4125051196506671E-4</v>
      </c>
      <c r="V236" s="103">
        <f t="shared" si="305"/>
        <v>6.1585682865344883E-4</v>
      </c>
      <c r="W236" s="103">
        <f t="shared" ref="W236:Y236" si="306">IF(W18=0,0,W18/W$4)</f>
        <v>1.0342042242148222E-3</v>
      </c>
      <c r="X236" s="103">
        <f t="shared" si="306"/>
        <v>1.5581719657935184E-3</v>
      </c>
      <c r="Y236" s="103">
        <f t="shared" si="306"/>
        <v>2.0530542242437025E-3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2.5582730621476691E-2</v>
      </c>
      <c r="C238" s="154">
        <f t="shared" si="311"/>
        <v>2.6667760515402691E-2</v>
      </c>
      <c r="D238" s="154">
        <f t="shared" si="311"/>
        <v>2.8792789808311174E-2</v>
      </c>
      <c r="E238" s="154">
        <f t="shared" si="311"/>
        <v>3.0497834662881723E-2</v>
      </c>
      <c r="F238" s="154">
        <f t="shared" si="311"/>
        <v>2.8662578306975547E-2</v>
      </c>
      <c r="G238" s="154">
        <f t="shared" si="311"/>
        <v>2.8870903139442444E-2</v>
      </c>
      <c r="H238" s="154">
        <f t="shared" si="311"/>
        <v>2.6622680309483907E-2</v>
      </c>
      <c r="I238" s="154">
        <f t="shared" si="311"/>
        <v>2.6003960012925438E-2</v>
      </c>
      <c r="J238" s="154">
        <f t="shared" si="311"/>
        <v>2.7482522725769881E-2</v>
      </c>
      <c r="K238" s="154">
        <f t="shared" si="311"/>
        <v>3.82815184006952E-2</v>
      </c>
      <c r="L238" s="154">
        <f t="shared" ref="L238" si="312">IF(L20=0,0,L20/L$19)</f>
        <v>3.4457762067385614E-2</v>
      </c>
      <c r="M238" s="154">
        <f t="shared" ref="M238:V238" si="313">IF(M20=0,0,M20/M$19)</f>
        <v>3.6679394433450266E-2</v>
      </c>
      <c r="N238" s="154">
        <f t="shared" si="313"/>
        <v>4.0386719922208443E-2</v>
      </c>
      <c r="O238" s="154">
        <f t="shared" si="313"/>
        <v>4.1947859516411216E-2</v>
      </c>
      <c r="P238" s="154">
        <f t="shared" si="313"/>
        <v>4.1701868412276272E-2</v>
      </c>
      <c r="Q238" s="154">
        <f t="shared" si="313"/>
        <v>4.0661549688243155E-2</v>
      </c>
      <c r="R238" s="154">
        <f t="shared" si="313"/>
        <v>3.9253347570170967E-2</v>
      </c>
      <c r="S238" s="154">
        <f t="shared" si="313"/>
        <v>3.925212485760389E-2</v>
      </c>
      <c r="T238" s="154">
        <f t="shared" si="313"/>
        <v>3.9904220589816942E-2</v>
      </c>
      <c r="U238" s="154">
        <f t="shared" si="313"/>
        <v>4.1403439001380375E-2</v>
      </c>
      <c r="V238" s="154">
        <f t="shared" si="313"/>
        <v>4.5442556043040275E-2</v>
      </c>
      <c r="W238" s="154">
        <f t="shared" ref="W238:Y238" si="314">IF(W20=0,0,W20/W$19)</f>
        <v>4.1972210626524675E-2</v>
      </c>
      <c r="X238" s="154">
        <f t="shared" si="314"/>
        <v>4.302672000051342E-2</v>
      </c>
      <c r="Y238" s="154">
        <f t="shared" si="314"/>
        <v>4.4408616904758016E-2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6.6181826540081959E-3</v>
      </c>
      <c r="C239" s="103">
        <f t="shared" si="315"/>
        <v>6.0404223211479946E-3</v>
      </c>
      <c r="D239" s="103">
        <f t="shared" si="315"/>
        <v>5.4534784030285822E-3</v>
      </c>
      <c r="E239" s="103">
        <f t="shared" si="315"/>
        <v>4.9743891056720866E-3</v>
      </c>
      <c r="F239" s="103">
        <f t="shared" si="315"/>
        <v>4.1291662957988568E-3</v>
      </c>
      <c r="G239" s="103">
        <f t="shared" si="315"/>
        <v>3.5948164888020859E-3</v>
      </c>
      <c r="H239" s="103">
        <f t="shared" si="315"/>
        <v>2.9771262709391792E-3</v>
      </c>
      <c r="I239" s="103">
        <f t="shared" si="315"/>
        <v>2.4660539600082688E-3</v>
      </c>
      <c r="J239" s="103">
        <f t="shared" si="315"/>
        <v>1.9388670719933591E-3</v>
      </c>
      <c r="K239" s="103">
        <f t="shared" si="315"/>
        <v>2.1131275577996591E-3</v>
      </c>
      <c r="L239" s="103">
        <f t="shared" ref="L239" si="316">IF(L21=0,0,L21/L$19)</f>
        <v>2.0096817776110837E-3</v>
      </c>
      <c r="M239" s="103">
        <f t="shared" ref="M239:V239" si="317">IF(M21=0,0,M21/M$19)</f>
        <v>1.7989333196667054E-3</v>
      </c>
      <c r="N239" s="103">
        <f t="shared" si="317"/>
        <v>1.824120190499947E-3</v>
      </c>
      <c r="O239" s="103">
        <f t="shared" si="317"/>
        <v>1.7130884612416891E-3</v>
      </c>
      <c r="P239" s="103">
        <f t="shared" si="317"/>
        <v>1.5252473658963035E-3</v>
      </c>
      <c r="Q239" s="103">
        <f t="shared" si="317"/>
        <v>1.2945113805732658E-3</v>
      </c>
      <c r="R239" s="103">
        <f t="shared" si="317"/>
        <v>1.108470301659678E-3</v>
      </c>
      <c r="S239" s="103">
        <f t="shared" si="317"/>
        <v>1.0162153737528327E-3</v>
      </c>
      <c r="T239" s="103">
        <f t="shared" si="317"/>
        <v>9.5956624747426734E-4</v>
      </c>
      <c r="U239" s="103">
        <f t="shared" si="317"/>
        <v>9.2912066043644964E-4</v>
      </c>
      <c r="V239" s="103">
        <f t="shared" si="317"/>
        <v>9.3104643240696076E-4</v>
      </c>
      <c r="W239" s="103">
        <f t="shared" ref="W239:Y239" si="318">IF(W21=0,0,W21/W$19)</f>
        <v>8.0013055002474799E-4</v>
      </c>
      <c r="X239" s="103">
        <f t="shared" si="318"/>
        <v>7.8081306600989904E-4</v>
      </c>
      <c r="Y239" s="103">
        <f t="shared" si="318"/>
        <v>7.8808173349140807E-4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1.8964104854588583E-2</v>
      </c>
      <c r="C240" s="103">
        <f t="shared" si="319"/>
        <v>2.0615583800955989E-2</v>
      </c>
      <c r="D240" s="103">
        <f t="shared" si="319"/>
        <v>2.3328082238638647E-2</v>
      </c>
      <c r="E240" s="103">
        <f t="shared" si="319"/>
        <v>2.5512148914521866E-2</v>
      </c>
      <c r="F240" s="103">
        <f t="shared" si="319"/>
        <v>2.4523227400074683E-2</v>
      </c>
      <c r="G240" s="103">
        <f t="shared" si="319"/>
        <v>2.5266584829683327E-2</v>
      </c>
      <c r="H240" s="103">
        <f t="shared" si="319"/>
        <v>2.3637041870912427E-2</v>
      </c>
      <c r="I240" s="103">
        <f t="shared" si="319"/>
        <v>2.3530332397384293E-2</v>
      </c>
      <c r="J240" s="103">
        <f t="shared" si="319"/>
        <v>2.5536747543561063E-2</v>
      </c>
      <c r="K240" s="103">
        <f t="shared" si="319"/>
        <v>3.6160611245245042E-2</v>
      </c>
      <c r="L240" s="103">
        <f t="shared" ref="L240" si="320">IF(L22=0,0,L22/L$19)</f>
        <v>3.244052348465188E-2</v>
      </c>
      <c r="M240" s="103">
        <f t="shared" ref="M240:V240" si="321">IF(M22=0,0,M22/M$19)</f>
        <v>3.487353775873922E-2</v>
      </c>
      <c r="N240" s="103">
        <f t="shared" si="321"/>
        <v>3.8555694589464104E-2</v>
      </c>
      <c r="O240" s="103">
        <f t="shared" si="321"/>
        <v>4.0223124553047121E-2</v>
      </c>
      <c r="P240" s="103">
        <f t="shared" si="321"/>
        <v>4.0164555955070617E-2</v>
      </c>
      <c r="Q240" s="103">
        <f t="shared" si="321"/>
        <v>3.9336793532513716E-2</v>
      </c>
      <c r="R240" s="103">
        <f t="shared" si="321"/>
        <v>3.8114455091192906E-2</v>
      </c>
      <c r="S240" s="103">
        <f t="shared" si="321"/>
        <v>3.819957538760637E-2</v>
      </c>
      <c r="T240" s="103">
        <f t="shared" si="321"/>
        <v>3.8898454403976247E-2</v>
      </c>
      <c r="U240" s="103">
        <f t="shared" si="321"/>
        <v>4.0423813703722451E-2</v>
      </c>
      <c r="V240" s="103">
        <f t="shared" si="321"/>
        <v>4.4448696042246189E-2</v>
      </c>
      <c r="W240" s="103">
        <f t="shared" ref="W240:Y240" si="322">IF(W22=0,0,W22/W$19)</f>
        <v>4.1101621549553574E-2</v>
      </c>
      <c r="X240" s="103">
        <f t="shared" si="322"/>
        <v>4.2144297465583451E-2</v>
      </c>
      <c r="Y240" s="103">
        <f t="shared" si="322"/>
        <v>4.3463919726085189E-2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1.1317293453579845E-5</v>
      </c>
      <c r="D241" s="103">
        <f t="shared" si="323"/>
        <v>1.0789308358790697E-5</v>
      </c>
      <c r="E241" s="103">
        <f t="shared" si="323"/>
        <v>1.0849804577830296E-5</v>
      </c>
      <c r="F241" s="103">
        <f t="shared" si="323"/>
        <v>9.7737052099205747E-6</v>
      </c>
      <c r="G241" s="103">
        <f t="shared" si="323"/>
        <v>9.1623188456636029E-6</v>
      </c>
      <c r="H241" s="103">
        <f t="shared" si="323"/>
        <v>8.2006836405606901E-6</v>
      </c>
      <c r="I241" s="103">
        <f t="shared" si="323"/>
        <v>7.2847314330225327E-6</v>
      </c>
      <c r="J241" s="103">
        <f t="shared" si="323"/>
        <v>6.6770306207937727E-6</v>
      </c>
      <c r="K241" s="103">
        <f t="shared" si="323"/>
        <v>7.5014623735529904E-6</v>
      </c>
      <c r="L241" s="103">
        <f t="shared" ref="L241" si="324">IF(L23=0,0,L23/L$19)</f>
        <v>7.3226055511348963E-6</v>
      </c>
      <c r="M241" s="103">
        <f t="shared" ref="M241:V241" si="325">IF(M23=0,0,M23/M$19)</f>
        <v>6.6872351356351944E-6</v>
      </c>
      <c r="N241" s="103">
        <f t="shared" si="325"/>
        <v>6.4663158007737561E-6</v>
      </c>
      <c r="O241" s="103">
        <f t="shared" si="325"/>
        <v>5.6100079137468356E-6</v>
      </c>
      <c r="P241" s="103">
        <f t="shared" si="325"/>
        <v>4.684487483645984E-6</v>
      </c>
      <c r="Q241" s="103">
        <f t="shared" si="325"/>
        <v>3.9590194458200997E-6</v>
      </c>
      <c r="R241" s="103">
        <f t="shared" si="325"/>
        <v>3.0042470935441247E-6</v>
      </c>
      <c r="S241" s="103">
        <f t="shared" si="325"/>
        <v>2.2746178403567814E-6</v>
      </c>
      <c r="T241" s="103">
        <f t="shared" si="325"/>
        <v>1.7765383193077212E-6</v>
      </c>
      <c r="U241" s="103">
        <f t="shared" si="325"/>
        <v>1.3073896354146639E-6</v>
      </c>
      <c r="V241" s="103">
        <f t="shared" si="325"/>
        <v>1.1943237986739821E-6</v>
      </c>
      <c r="W241" s="103">
        <f t="shared" ref="W241:Y241" si="326">IF(W23=0,0,W23/W$19)</f>
        <v>8.6145810716892738E-7</v>
      </c>
      <c r="X241" s="103">
        <f t="shared" si="326"/>
        <v>2.6339265088413031E-6</v>
      </c>
      <c r="Y241" s="103">
        <f t="shared" si="326"/>
        <v>7.5932054628319618E-6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4.4311287991398462E-7</v>
      </c>
      <c r="C242" s="103">
        <f t="shared" si="327"/>
        <v>4.3709984512457116E-7</v>
      </c>
      <c r="D242" s="103">
        <f t="shared" si="327"/>
        <v>4.3985828515681009E-7</v>
      </c>
      <c r="E242" s="103">
        <f t="shared" si="327"/>
        <v>4.468381099420987E-7</v>
      </c>
      <c r="F242" s="103">
        <f t="shared" si="327"/>
        <v>4.1090589208771571E-7</v>
      </c>
      <c r="G242" s="103">
        <f t="shared" si="327"/>
        <v>3.3950211136725641E-7</v>
      </c>
      <c r="H242" s="103">
        <f t="shared" si="327"/>
        <v>3.1148399174026291E-7</v>
      </c>
      <c r="I242" s="103">
        <f t="shared" si="327"/>
        <v>2.8892409985332086E-7</v>
      </c>
      <c r="J242" s="103">
        <f t="shared" si="327"/>
        <v>2.3107959466084792E-7</v>
      </c>
      <c r="K242" s="103">
        <f t="shared" si="327"/>
        <v>2.7813527694667588E-7</v>
      </c>
      <c r="L242" s="103">
        <f t="shared" ref="L242" si="328">IF(L24=0,0,L24/L$19)</f>
        <v>2.341995715096247E-7</v>
      </c>
      <c r="M242" s="103">
        <f t="shared" ref="M242:V242" si="329">IF(M24=0,0,M24/M$19)</f>
        <v>2.3611990870936943E-7</v>
      </c>
      <c r="N242" s="103">
        <f t="shared" si="329"/>
        <v>4.3882644361807923E-7</v>
      </c>
      <c r="O242" s="103">
        <f t="shared" si="329"/>
        <v>4.8094566950837288E-6</v>
      </c>
      <c r="P242" s="103">
        <f t="shared" si="329"/>
        <v>6.1375097491389013E-6</v>
      </c>
      <c r="Q242" s="103">
        <f t="shared" si="329"/>
        <v>2.4002915311160533E-5</v>
      </c>
      <c r="R242" s="103">
        <f t="shared" si="329"/>
        <v>2.2877766056611379E-5</v>
      </c>
      <c r="S242" s="103">
        <f t="shared" si="329"/>
        <v>2.5461158024899558E-5</v>
      </c>
      <c r="T242" s="103">
        <f t="shared" si="329"/>
        <v>2.7694814674880822E-5</v>
      </c>
      <c r="U242" s="103">
        <f t="shared" si="329"/>
        <v>2.7726461984239928E-5</v>
      </c>
      <c r="V242" s="103">
        <f t="shared" si="329"/>
        <v>2.9651328424475967E-5</v>
      </c>
      <c r="W242" s="103">
        <f t="shared" ref="W242:Y242" si="330">IF(W24=0,0,W24/W$19)</f>
        <v>2.6246915373266026E-5</v>
      </c>
      <c r="X242" s="103">
        <f t="shared" si="330"/>
        <v>2.6206504257206333E-5</v>
      </c>
      <c r="Y242" s="103">
        <f t="shared" si="330"/>
        <v>4.312343671934666E-5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0</v>
      </c>
      <c r="O243" s="103">
        <f t="shared" si="333"/>
        <v>1.2270375135718911E-6</v>
      </c>
      <c r="P243" s="103">
        <f t="shared" si="333"/>
        <v>1.24309407656592E-6</v>
      </c>
      <c r="Q243" s="103">
        <f t="shared" si="333"/>
        <v>2.2828403991960048E-6</v>
      </c>
      <c r="R243" s="103">
        <f t="shared" si="333"/>
        <v>4.5401641682271579E-6</v>
      </c>
      <c r="S243" s="103">
        <f t="shared" si="333"/>
        <v>8.5983203794232148E-6</v>
      </c>
      <c r="T243" s="103">
        <f t="shared" si="333"/>
        <v>1.6728585372227439E-5</v>
      </c>
      <c r="U243" s="103">
        <f t="shared" si="333"/>
        <v>2.1470785601813226E-5</v>
      </c>
      <c r="V243" s="103">
        <f t="shared" si="333"/>
        <v>3.1967916163979209E-5</v>
      </c>
      <c r="W243" s="103">
        <f t="shared" ref="W243:Y243" si="334">IF(W25=0,0,W25/W$19)</f>
        <v>4.3350153465923044E-5</v>
      </c>
      <c r="X243" s="103">
        <f t="shared" si="334"/>
        <v>7.2769038154026766E-5</v>
      </c>
      <c r="Y243" s="103">
        <f t="shared" si="334"/>
        <v>1.0589880299924894E-4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0.97441726937852335</v>
      </c>
      <c r="C244" s="156">
        <f t="shared" si="335"/>
        <v>0.97333223948459724</v>
      </c>
      <c r="D244" s="156">
        <f t="shared" si="335"/>
        <v>0.97120721019168887</v>
      </c>
      <c r="E244" s="156">
        <f t="shared" si="335"/>
        <v>0.96950216533711819</v>
      </c>
      <c r="F244" s="156">
        <f t="shared" si="335"/>
        <v>0.97133742169302451</v>
      </c>
      <c r="G244" s="156">
        <f t="shared" si="335"/>
        <v>0.97112909686055759</v>
      </c>
      <c r="H244" s="156">
        <f t="shared" si="335"/>
        <v>0.97337731969051611</v>
      </c>
      <c r="I244" s="156">
        <f t="shared" si="335"/>
        <v>0.97399603998707462</v>
      </c>
      <c r="J244" s="156">
        <f t="shared" si="335"/>
        <v>0.9725174772742301</v>
      </c>
      <c r="K244" s="156">
        <f t="shared" si="335"/>
        <v>0.96171848159930484</v>
      </c>
      <c r="L244" s="156">
        <f t="shared" ref="L244" si="336">IF(L26=0,0,L26/L$19)</f>
        <v>0.9655422379326144</v>
      </c>
      <c r="M244" s="156">
        <f t="shared" ref="M244:V244" si="337">IF(M26=0,0,M26/M$19)</f>
        <v>0.96332060556654975</v>
      </c>
      <c r="N244" s="156">
        <f t="shared" si="337"/>
        <v>0.95961328007779145</v>
      </c>
      <c r="O244" s="156">
        <f t="shared" si="337"/>
        <v>0.95805214048358867</v>
      </c>
      <c r="P244" s="156">
        <f t="shared" si="337"/>
        <v>0.9582981315877237</v>
      </c>
      <c r="Q244" s="156">
        <f t="shared" si="337"/>
        <v>0.95933845031175691</v>
      </c>
      <c r="R244" s="156">
        <f t="shared" si="337"/>
        <v>0.96074665242982915</v>
      </c>
      <c r="S244" s="156">
        <f t="shared" si="337"/>
        <v>0.96074787514239612</v>
      </c>
      <c r="T244" s="156">
        <f t="shared" si="337"/>
        <v>0.96009577941018309</v>
      </c>
      <c r="U244" s="156">
        <f t="shared" si="337"/>
        <v>0.95859656099861967</v>
      </c>
      <c r="V244" s="156">
        <f t="shared" si="337"/>
        <v>0.95455744395695974</v>
      </c>
      <c r="W244" s="156">
        <f t="shared" ref="W244:Y244" si="338">IF(W26=0,0,W26/W$19)</f>
        <v>0.95802778937347532</v>
      </c>
      <c r="X244" s="156">
        <f t="shared" si="338"/>
        <v>0.95697327999948667</v>
      </c>
      <c r="Y244" s="156">
        <f t="shared" si="338"/>
        <v>0.95559138309524194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0.59318683644619419</v>
      </c>
      <c r="C245" s="103">
        <f t="shared" si="339"/>
        <v>0.5703798181465316</v>
      </c>
      <c r="D245" s="103">
        <f t="shared" si="339"/>
        <v>0.5416893661191392</v>
      </c>
      <c r="E245" s="103">
        <f t="shared" si="339"/>
        <v>0.52600812709360034</v>
      </c>
      <c r="F245" s="103">
        <f t="shared" si="339"/>
        <v>0.49780029447456126</v>
      </c>
      <c r="G245" s="103">
        <f t="shared" si="339"/>
        <v>0.49822744954729986</v>
      </c>
      <c r="H245" s="103">
        <f t="shared" si="339"/>
        <v>0.49863470922991798</v>
      </c>
      <c r="I245" s="103">
        <f t="shared" si="339"/>
        <v>0.49099142979157262</v>
      </c>
      <c r="J245" s="103">
        <f t="shared" si="339"/>
        <v>0.46624425357028954</v>
      </c>
      <c r="K245" s="103">
        <f t="shared" si="339"/>
        <v>0.52387326587629346</v>
      </c>
      <c r="L245" s="103">
        <f t="shared" ref="L245" si="340">IF(L27=0,0,L27/L$19)</f>
        <v>0.51345670044340364</v>
      </c>
      <c r="M245" s="103">
        <f t="shared" ref="M245:V245" si="341">IF(M27=0,0,M27/M$19)</f>
        <v>0.48153545702016542</v>
      </c>
      <c r="N245" s="103">
        <f t="shared" si="341"/>
        <v>0.44588317780571624</v>
      </c>
      <c r="O245" s="103">
        <f t="shared" si="341"/>
        <v>0.44182388650123666</v>
      </c>
      <c r="P245" s="103">
        <f t="shared" si="341"/>
        <v>0.44485630685004973</v>
      </c>
      <c r="Q245" s="103">
        <f t="shared" si="341"/>
        <v>0.44933915141227426</v>
      </c>
      <c r="R245" s="103">
        <f t="shared" si="341"/>
        <v>0.46286934781023475</v>
      </c>
      <c r="S245" s="103">
        <f t="shared" si="341"/>
        <v>0.44438224573357188</v>
      </c>
      <c r="T245" s="103">
        <f t="shared" si="341"/>
        <v>0.46158998077362445</v>
      </c>
      <c r="U245" s="103">
        <f t="shared" si="341"/>
        <v>0.46316938111220135</v>
      </c>
      <c r="V245" s="103">
        <f t="shared" si="341"/>
        <v>0.46823087040037004</v>
      </c>
      <c r="W245" s="103">
        <f t="shared" ref="W245:Y245" si="342">IF(W27=0,0,W27/W$19)</f>
        <v>0.47606626555570852</v>
      </c>
      <c r="X245" s="103">
        <f t="shared" si="342"/>
        <v>0.44773424818655638</v>
      </c>
      <c r="Y245" s="103">
        <f t="shared" si="342"/>
        <v>0.45225381252696961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0.38123043293232917</v>
      </c>
      <c r="C246" s="105">
        <f t="shared" si="343"/>
        <v>0.40295242133806564</v>
      </c>
      <c r="D246" s="105">
        <f t="shared" si="343"/>
        <v>0.42951784407254961</v>
      </c>
      <c r="E246" s="105">
        <f t="shared" si="343"/>
        <v>0.44349403824351796</v>
      </c>
      <c r="F246" s="105">
        <f t="shared" si="343"/>
        <v>0.47353712721846319</v>
      </c>
      <c r="G246" s="105">
        <f t="shared" si="343"/>
        <v>0.47290164731325773</v>
      </c>
      <c r="H246" s="105">
        <f t="shared" si="343"/>
        <v>0.47474261046059807</v>
      </c>
      <c r="I246" s="105">
        <f t="shared" si="343"/>
        <v>0.48300461019550195</v>
      </c>
      <c r="J246" s="105">
        <f t="shared" si="343"/>
        <v>0.50627322370394057</v>
      </c>
      <c r="K246" s="105">
        <f t="shared" si="343"/>
        <v>0.43784521572301138</v>
      </c>
      <c r="L246" s="105">
        <f t="shared" ref="L246" si="344">IF(L28=0,0,L28/L$19)</f>
        <v>0.45208553748921076</v>
      </c>
      <c r="M246" s="105">
        <f t="shared" ref="M246:V246" si="345">IF(M28=0,0,M28/M$19)</f>
        <v>0.48178514854638432</v>
      </c>
      <c r="N246" s="105">
        <f t="shared" si="345"/>
        <v>0.51373010227207527</v>
      </c>
      <c r="O246" s="105">
        <f t="shared" si="345"/>
        <v>0.51622825398235206</v>
      </c>
      <c r="P246" s="105">
        <f t="shared" si="345"/>
        <v>0.51344182473767397</v>
      </c>
      <c r="Q246" s="105">
        <f t="shared" si="345"/>
        <v>0.50999929889948259</v>
      </c>
      <c r="R246" s="105">
        <f t="shared" si="345"/>
        <v>0.49787730461959445</v>
      </c>
      <c r="S246" s="105">
        <f t="shared" si="345"/>
        <v>0.51636562940882413</v>
      </c>
      <c r="T246" s="105">
        <f t="shared" si="345"/>
        <v>0.49850579863655858</v>
      </c>
      <c r="U246" s="105">
        <f t="shared" si="345"/>
        <v>0.49542717988641832</v>
      </c>
      <c r="V246" s="105">
        <f t="shared" si="345"/>
        <v>0.48632657355658965</v>
      </c>
      <c r="W246" s="105">
        <f t="shared" ref="W246:Y246" si="346">IF(W28=0,0,W28/W$19)</f>
        <v>0.48196152381776669</v>
      </c>
      <c r="X246" s="105">
        <f t="shared" si="346"/>
        <v>0.50923903181293029</v>
      </c>
      <c r="Y246" s="105">
        <f t="shared" si="346"/>
        <v>0.50333757056827222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1.1852100864018876E-2</v>
      </c>
      <c r="C250" s="154">
        <f t="shared" si="351"/>
        <v>1.1279865347241076E-2</v>
      </c>
      <c r="D250" s="154">
        <f t="shared" si="351"/>
        <v>1.1198936099721701E-2</v>
      </c>
      <c r="E250" s="154">
        <f t="shared" si="351"/>
        <v>1.1242671009369662E-2</v>
      </c>
      <c r="F250" s="154">
        <f t="shared" si="351"/>
        <v>1.1837804482404323E-2</v>
      </c>
      <c r="G250" s="154">
        <f t="shared" si="351"/>
        <v>1.1864774510346921E-2</v>
      </c>
      <c r="H250" s="154">
        <f t="shared" si="351"/>
        <v>1.2256358886171676E-2</v>
      </c>
      <c r="I250" s="154">
        <f t="shared" si="351"/>
        <v>1.2101969512609938E-2</v>
      </c>
      <c r="J250" s="154">
        <f t="shared" si="351"/>
        <v>1.229165569084989E-2</v>
      </c>
      <c r="K250" s="154">
        <f t="shared" si="351"/>
        <v>1.1370555556879823E-2</v>
      </c>
      <c r="L250" s="154">
        <f t="shared" ref="L250" si="352">IF(L32=0,0,L32/L$31)</f>
        <v>1.257183234013428E-2</v>
      </c>
      <c r="M250" s="154">
        <f t="shared" ref="M250:V250" si="353">IF(M32=0,0,M32/M$31)</f>
        <v>1.4324998628947637E-2</v>
      </c>
      <c r="N250" s="154">
        <f t="shared" si="353"/>
        <v>1.4470019336097961E-2</v>
      </c>
      <c r="O250" s="154">
        <f t="shared" si="353"/>
        <v>1.5331860662885702E-2</v>
      </c>
      <c r="P250" s="154">
        <f t="shared" si="353"/>
        <v>1.4993843968514615E-2</v>
      </c>
      <c r="Q250" s="154">
        <f t="shared" si="353"/>
        <v>1.4120729792230051E-2</v>
      </c>
      <c r="R250" s="154">
        <f t="shared" si="353"/>
        <v>1.3446500777165081E-2</v>
      </c>
      <c r="S250" s="154">
        <f t="shared" si="353"/>
        <v>1.3368365046438801E-2</v>
      </c>
      <c r="T250" s="154">
        <f t="shared" si="353"/>
        <v>1.2906579415226211E-2</v>
      </c>
      <c r="U250" s="154">
        <f t="shared" si="353"/>
        <v>1.1794095501278171E-2</v>
      </c>
      <c r="V250" s="154">
        <f t="shared" si="353"/>
        <v>1.1413339266744512E-2</v>
      </c>
      <c r="W250" s="154">
        <f t="shared" ref="W250:Y250" si="354">IF(W32=0,0,W32/W$31)</f>
        <v>1.1099725460620562E-2</v>
      </c>
      <c r="X250" s="154">
        <f t="shared" si="354"/>
        <v>1.0458309707319277E-2</v>
      </c>
      <c r="Y250" s="154">
        <f t="shared" si="354"/>
        <v>1.0466100543569216E-2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0.95498648437958211</v>
      </c>
      <c r="C251" s="156">
        <f t="shared" si="355"/>
        <v>0.95768738847961798</v>
      </c>
      <c r="D251" s="156">
        <f t="shared" si="355"/>
        <v>0.95938600257967743</v>
      </c>
      <c r="E251" s="156">
        <f t="shared" si="355"/>
        <v>0.96107986385533506</v>
      </c>
      <c r="F251" s="156">
        <f t="shared" si="355"/>
        <v>0.9626214484457849</v>
      </c>
      <c r="G251" s="156">
        <f t="shared" si="355"/>
        <v>0.964655341886</v>
      </c>
      <c r="H251" s="156">
        <f t="shared" si="355"/>
        <v>0.96289149928352968</v>
      </c>
      <c r="I251" s="156">
        <f t="shared" si="355"/>
        <v>0.9638526507474533</v>
      </c>
      <c r="J251" s="156">
        <f t="shared" si="355"/>
        <v>0.96608904614037738</v>
      </c>
      <c r="K251" s="156">
        <f t="shared" si="355"/>
        <v>0.96917336880786609</v>
      </c>
      <c r="L251" s="156">
        <f t="shared" ref="L251" si="356">IF(L33=0,0,L33/L$31)</f>
        <v>0.96599861851434765</v>
      </c>
      <c r="M251" s="156">
        <f t="shared" ref="M251:V251" si="357">IF(M33=0,0,M33/M$31)</f>
        <v>0.9623531376133988</v>
      </c>
      <c r="N251" s="156">
        <f t="shared" si="357"/>
        <v>0.96251237453006544</v>
      </c>
      <c r="O251" s="156">
        <f t="shared" si="357"/>
        <v>0.96054584549620325</v>
      </c>
      <c r="P251" s="156">
        <f t="shared" si="357"/>
        <v>0.96179254190079777</v>
      </c>
      <c r="Q251" s="156">
        <f t="shared" si="357"/>
        <v>0.96413335030702974</v>
      </c>
      <c r="R251" s="156">
        <f t="shared" si="357"/>
        <v>0.96521756975206741</v>
      </c>
      <c r="S251" s="156">
        <f t="shared" si="357"/>
        <v>0.96564680348000131</v>
      </c>
      <c r="T251" s="156">
        <f t="shared" si="357"/>
        <v>0.96752810249207888</v>
      </c>
      <c r="U251" s="156">
        <f t="shared" si="357"/>
        <v>0.97067264423422628</v>
      </c>
      <c r="V251" s="156">
        <f t="shared" si="357"/>
        <v>0.97276406356828427</v>
      </c>
      <c r="W251" s="156">
        <f t="shared" ref="W251:Y251" si="358">IF(W33=0,0,W33/W$31)</f>
        <v>0.97302055525854336</v>
      </c>
      <c r="X251" s="156">
        <f t="shared" si="358"/>
        <v>0.97463399385862459</v>
      </c>
      <c r="Y251" s="156">
        <f t="shared" si="358"/>
        <v>0.97458910611457616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0.81944336940855433</v>
      </c>
      <c r="C252" s="103">
        <f t="shared" si="359"/>
        <v>0.81247294123610658</v>
      </c>
      <c r="D252" s="103">
        <f t="shared" si="359"/>
        <v>0.79898423925997542</v>
      </c>
      <c r="E252" s="103">
        <f t="shared" si="359"/>
        <v>0.76581015398458607</v>
      </c>
      <c r="F252" s="103">
        <f t="shared" si="359"/>
        <v>0.74174801892099296</v>
      </c>
      <c r="G252" s="103">
        <f t="shared" si="359"/>
        <v>0.78101076772055744</v>
      </c>
      <c r="H252" s="103">
        <f t="shared" si="359"/>
        <v>0.73004320512726939</v>
      </c>
      <c r="I252" s="103">
        <f t="shared" si="359"/>
        <v>0.71448516863989742</v>
      </c>
      <c r="J252" s="103">
        <f t="shared" si="359"/>
        <v>0.69926665978358971</v>
      </c>
      <c r="K252" s="103">
        <f t="shared" si="359"/>
        <v>0.69815039398712131</v>
      </c>
      <c r="L252" s="103">
        <f t="shared" ref="L252" si="360">IF(L34=0,0,L34/L$31)</f>
        <v>0.66075162403141141</v>
      </c>
      <c r="M252" s="103">
        <f t="shared" ref="M252:V252" si="361">IF(M34=0,0,M34/M$31)</f>
        <v>0.62379425021581991</v>
      </c>
      <c r="N252" s="103">
        <f t="shared" si="361"/>
        <v>0.61022989607942479</v>
      </c>
      <c r="O252" s="103">
        <f t="shared" si="361"/>
        <v>0.58691065521600894</v>
      </c>
      <c r="P252" s="103">
        <f t="shared" si="361"/>
        <v>0.61226180867900259</v>
      </c>
      <c r="Q252" s="103">
        <f t="shared" si="361"/>
        <v>0.59065733097788209</v>
      </c>
      <c r="R252" s="103">
        <f t="shared" si="361"/>
        <v>0.56281028499696917</v>
      </c>
      <c r="S252" s="103">
        <f t="shared" si="361"/>
        <v>0.5462687444090607</v>
      </c>
      <c r="T252" s="103">
        <f t="shared" si="361"/>
        <v>0.53543530118525073</v>
      </c>
      <c r="U252" s="103">
        <f t="shared" si="361"/>
        <v>0.52527281745292687</v>
      </c>
      <c r="V252" s="103">
        <f t="shared" si="361"/>
        <v>0.52681627181455415</v>
      </c>
      <c r="W252" s="103">
        <f t="shared" ref="W252:Y252" si="362">IF(W34=0,0,W34/W$31)</f>
        <v>0.51728182317788518</v>
      </c>
      <c r="X252" s="103">
        <f t="shared" si="362"/>
        <v>0.51543268903574979</v>
      </c>
      <c r="Y252" s="103">
        <f t="shared" si="362"/>
        <v>0.50852783677586133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0.13554311497102789</v>
      </c>
      <c r="C253" s="103">
        <f t="shared" si="363"/>
        <v>0.14404984635229048</v>
      </c>
      <c r="D253" s="103">
        <f t="shared" si="363"/>
        <v>0.15928913040419909</v>
      </c>
      <c r="E253" s="103">
        <f t="shared" si="363"/>
        <v>0.17710657971184071</v>
      </c>
      <c r="F253" s="103">
        <f t="shared" si="363"/>
        <v>0.20462664317046667</v>
      </c>
      <c r="G253" s="103">
        <f t="shared" si="363"/>
        <v>0.16776312958657266</v>
      </c>
      <c r="H253" s="103">
        <f t="shared" si="363"/>
        <v>0.21824125046206358</v>
      </c>
      <c r="I253" s="103">
        <f t="shared" si="363"/>
        <v>0.2344970864746595</v>
      </c>
      <c r="J253" s="103">
        <f t="shared" si="363"/>
        <v>0.25302626923783506</v>
      </c>
      <c r="K253" s="103">
        <f t="shared" si="363"/>
        <v>0.25955926166830906</v>
      </c>
      <c r="L253" s="103">
        <f t="shared" ref="L253" si="364">IF(L35=0,0,L35/L$31)</f>
        <v>0.29382699440435978</v>
      </c>
      <c r="M253" s="103">
        <f t="shared" ref="M253:V253" si="365">IF(M35=0,0,M35/M$31)</f>
        <v>0.32649350547245304</v>
      </c>
      <c r="N253" s="103">
        <f t="shared" si="365"/>
        <v>0.33978755378456332</v>
      </c>
      <c r="O253" s="103">
        <f t="shared" si="365"/>
        <v>0.35980491471117176</v>
      </c>
      <c r="P253" s="103">
        <f t="shared" si="365"/>
        <v>0.33478720108130955</v>
      </c>
      <c r="Q253" s="103">
        <f t="shared" si="365"/>
        <v>0.35814554246949876</v>
      </c>
      <c r="R253" s="103">
        <f t="shared" si="365"/>
        <v>0.38722693488322069</v>
      </c>
      <c r="S253" s="103">
        <f t="shared" si="365"/>
        <v>0.40493586528960662</v>
      </c>
      <c r="T253" s="103">
        <f t="shared" si="365"/>
        <v>0.41884969133880634</v>
      </c>
      <c r="U253" s="103">
        <f t="shared" si="365"/>
        <v>0.43354097632555394</v>
      </c>
      <c r="V253" s="103">
        <f t="shared" si="365"/>
        <v>0.43507324031943867</v>
      </c>
      <c r="W253" s="103">
        <f t="shared" ref="W253:Y253" si="366">IF(W35=0,0,W35/W$31)</f>
        <v>0.44474002614908825</v>
      </c>
      <c r="X253" s="103">
        <f t="shared" si="366"/>
        <v>0.44594620366023269</v>
      </c>
      <c r="Y253" s="103">
        <f t="shared" si="366"/>
        <v>0.45020484023558244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1.1646008912208979E-3</v>
      </c>
      <c r="D254" s="103">
        <f t="shared" si="367"/>
        <v>1.1126329155030639E-3</v>
      </c>
      <c r="E254" s="103">
        <f t="shared" si="367"/>
        <v>1.8163130158908216E-2</v>
      </c>
      <c r="F254" s="103">
        <f t="shared" si="367"/>
        <v>1.6246786354325273E-2</v>
      </c>
      <c r="G254" s="103">
        <f t="shared" si="367"/>
        <v>1.5881444578869933E-2</v>
      </c>
      <c r="H254" s="103">
        <f t="shared" si="367"/>
        <v>1.4607043694196648E-2</v>
      </c>
      <c r="I254" s="103">
        <f t="shared" si="367"/>
        <v>1.4870395632896457E-2</v>
      </c>
      <c r="J254" s="103">
        <f t="shared" si="367"/>
        <v>1.3796117118952645E-2</v>
      </c>
      <c r="K254" s="103">
        <f t="shared" si="367"/>
        <v>1.1463713152435672E-2</v>
      </c>
      <c r="L254" s="103">
        <f t="shared" ref="L254" si="368">IF(L36=0,0,L36/L$31)</f>
        <v>1.1373683253401006E-2</v>
      </c>
      <c r="M254" s="103">
        <f t="shared" ref="M254:V254" si="369">IF(M36=0,0,M36/M$31)</f>
        <v>1.1923107612082149E-2</v>
      </c>
      <c r="N254" s="103">
        <f t="shared" si="369"/>
        <v>1.2353790829865315E-2</v>
      </c>
      <c r="O254" s="103">
        <f t="shared" si="369"/>
        <v>1.3570899843463796E-2</v>
      </c>
      <c r="P254" s="103">
        <f t="shared" si="369"/>
        <v>1.4408591979853679E-2</v>
      </c>
      <c r="Q254" s="103">
        <f t="shared" si="369"/>
        <v>1.4680425815674209E-2</v>
      </c>
      <c r="R254" s="103">
        <f t="shared" si="369"/>
        <v>1.4416388985088111E-2</v>
      </c>
      <c r="S254" s="103">
        <f t="shared" si="369"/>
        <v>1.3334258238551061E-2</v>
      </c>
      <c r="T254" s="103">
        <f t="shared" si="369"/>
        <v>1.1625901180565138E-2</v>
      </c>
      <c r="U254" s="103">
        <f t="shared" si="369"/>
        <v>9.6729616206015206E-3</v>
      </c>
      <c r="V254" s="103">
        <f t="shared" si="369"/>
        <v>7.3725430185820175E-3</v>
      </c>
      <c r="W254" s="103">
        <f t="shared" ref="W254:Y254" si="370">IF(W36=0,0,W36/W$31)</f>
        <v>5.0849537424334955E-3</v>
      </c>
      <c r="X254" s="103">
        <f t="shared" si="370"/>
        <v>4.8016522261382739E-3</v>
      </c>
      <c r="Y254" s="103">
        <f t="shared" si="370"/>
        <v>4.5817054158839767E-3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5.8351514280227655E-7</v>
      </c>
      <c r="M255" s="103">
        <f t="shared" ref="M255:V255" si="373">IF(M37=0,0,M37/M$31)</f>
        <v>1.0210251506510122E-6</v>
      </c>
      <c r="N255" s="103">
        <f t="shared" si="373"/>
        <v>7.716579709976306E-7</v>
      </c>
      <c r="O255" s="103">
        <f t="shared" si="373"/>
        <v>1.1333992518262292E-4</v>
      </c>
      <c r="P255" s="103">
        <f t="shared" si="373"/>
        <v>1.8166020753465197E-4</v>
      </c>
      <c r="Q255" s="103">
        <f t="shared" si="373"/>
        <v>4.5847913035679456E-4</v>
      </c>
      <c r="R255" s="103">
        <f t="shared" si="373"/>
        <v>4.8409484158575358E-4</v>
      </c>
      <c r="S255" s="103">
        <f t="shared" si="373"/>
        <v>5.1253677121120055E-4</v>
      </c>
      <c r="T255" s="103">
        <f t="shared" si="373"/>
        <v>5.1043557912940746E-4</v>
      </c>
      <c r="U255" s="103">
        <f t="shared" si="373"/>
        <v>4.8932352593011267E-4</v>
      </c>
      <c r="V255" s="103">
        <f t="shared" si="373"/>
        <v>4.6327008838739441E-4</v>
      </c>
      <c r="W255" s="103">
        <f t="shared" ref="W255:Y255" si="374">IF(W37=0,0,W37/W$31)</f>
        <v>4.5078934371227554E-4</v>
      </c>
      <c r="X255" s="103">
        <f t="shared" si="374"/>
        <v>4.3457457076942431E-4</v>
      </c>
      <c r="Y255" s="103">
        <f t="shared" si="374"/>
        <v>4.1777869922838927E-4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4.4923807424554202E-6</v>
      </c>
      <c r="O256" s="103">
        <f t="shared" si="377"/>
        <v>4.5844939434757941E-6</v>
      </c>
      <c r="P256" s="103">
        <f t="shared" si="377"/>
        <v>1.1388448628105626E-5</v>
      </c>
      <c r="Q256" s="103">
        <f t="shared" si="377"/>
        <v>2.93199412246663E-5</v>
      </c>
      <c r="R256" s="103">
        <f t="shared" si="377"/>
        <v>7.8972855149768951E-5</v>
      </c>
      <c r="S256" s="103">
        <f t="shared" si="377"/>
        <v>1.32386148811143E-4</v>
      </c>
      <c r="T256" s="103">
        <f t="shared" si="377"/>
        <v>2.9369261743649664E-4</v>
      </c>
      <c r="U256" s="103">
        <f t="shared" si="377"/>
        <v>4.5571082769026665E-4</v>
      </c>
      <c r="V256" s="103">
        <f t="shared" si="377"/>
        <v>9.7509493286610926E-4</v>
      </c>
      <c r="W256" s="103">
        <f t="shared" ref="W256:Y256" si="378">IF(W38=0,0,W38/W$31)</f>
        <v>1.9280634126125885E-3</v>
      </c>
      <c r="X256" s="103">
        <f t="shared" si="378"/>
        <v>2.9090595973446359E-3</v>
      </c>
      <c r="Y256" s="103">
        <f t="shared" si="378"/>
        <v>3.8216719995881067E-3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4.5733310032652773E-5</v>
      </c>
      <c r="M257" s="103">
        <f t="shared" ref="M257:V257" si="381">IF(M39=0,0,M39/M$31)</f>
        <v>1.4125328789291251E-4</v>
      </c>
      <c r="N257" s="103">
        <f t="shared" si="381"/>
        <v>1.3586979749850554E-4</v>
      </c>
      <c r="O257" s="103">
        <f t="shared" si="381"/>
        <v>1.4145130643257735E-4</v>
      </c>
      <c r="P257" s="103">
        <f t="shared" si="381"/>
        <v>1.4189150446926533E-4</v>
      </c>
      <c r="Q257" s="103">
        <f t="shared" si="381"/>
        <v>1.6225197239323719E-4</v>
      </c>
      <c r="R257" s="103">
        <f t="shared" si="381"/>
        <v>2.0089319005407738E-4</v>
      </c>
      <c r="S257" s="103">
        <f t="shared" si="381"/>
        <v>4.6301262276046337E-4</v>
      </c>
      <c r="T257" s="103">
        <f t="shared" si="381"/>
        <v>8.1308059089068609E-4</v>
      </c>
      <c r="U257" s="103">
        <f t="shared" si="381"/>
        <v>1.240854481523434E-3</v>
      </c>
      <c r="V257" s="103">
        <f t="shared" si="381"/>
        <v>2.0636433944558035E-3</v>
      </c>
      <c r="W257" s="103">
        <f t="shared" ref="W257:Y257" si="382">IF(W39=0,0,W39/W$31)</f>
        <v>3.5348994328115897E-3</v>
      </c>
      <c r="X257" s="103">
        <f t="shared" si="382"/>
        <v>5.1098147683898594E-3</v>
      </c>
      <c r="Y257" s="103">
        <f t="shared" si="382"/>
        <v>7.0352729884319044E-3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3.3161414756398895E-2</v>
      </c>
      <c r="C258" s="156">
        <f t="shared" si="383"/>
        <v>3.1032746173140856E-2</v>
      </c>
      <c r="D258" s="156">
        <f t="shared" si="383"/>
        <v>2.9415061320600691E-2</v>
      </c>
      <c r="E258" s="156">
        <f t="shared" si="383"/>
        <v>2.7677465135295377E-2</v>
      </c>
      <c r="F258" s="156">
        <f t="shared" si="383"/>
        <v>2.554074707181089E-2</v>
      </c>
      <c r="G258" s="156">
        <f t="shared" si="383"/>
        <v>2.3479883603653023E-2</v>
      </c>
      <c r="H258" s="156">
        <f t="shared" si="383"/>
        <v>2.4852141830298751E-2</v>
      </c>
      <c r="I258" s="156">
        <f t="shared" si="383"/>
        <v>2.4045379739936722E-2</v>
      </c>
      <c r="J258" s="156">
        <f t="shared" si="383"/>
        <v>2.1619298168772762E-2</v>
      </c>
      <c r="K258" s="156">
        <f t="shared" si="383"/>
        <v>1.9456075635254151E-2</v>
      </c>
      <c r="L258" s="156">
        <f t="shared" ref="L258" si="384">IF(L40=0,0,L40/L$31)</f>
        <v>2.1429549145518027E-2</v>
      </c>
      <c r="M258" s="156">
        <f t="shared" ref="M258:V258" si="385">IF(M40=0,0,M40/M$31)</f>
        <v>2.332186375765366E-2</v>
      </c>
      <c r="N258" s="156">
        <f t="shared" si="385"/>
        <v>2.301760613383657E-2</v>
      </c>
      <c r="O258" s="156">
        <f t="shared" si="385"/>
        <v>2.4122293840911097E-2</v>
      </c>
      <c r="P258" s="156">
        <f t="shared" si="385"/>
        <v>2.3213614130687659E-2</v>
      </c>
      <c r="Q258" s="156">
        <f t="shared" si="385"/>
        <v>2.1745919900740207E-2</v>
      </c>
      <c r="R258" s="156">
        <f t="shared" si="385"/>
        <v>2.1335929470767501E-2</v>
      </c>
      <c r="S258" s="156">
        <f t="shared" si="385"/>
        <v>2.0984831473559791E-2</v>
      </c>
      <c r="T258" s="156">
        <f t="shared" si="385"/>
        <v>1.9565318092694836E-2</v>
      </c>
      <c r="U258" s="156">
        <f t="shared" si="385"/>
        <v>1.753326026449557E-2</v>
      </c>
      <c r="V258" s="156">
        <f t="shared" si="385"/>
        <v>1.5822597164971183E-2</v>
      </c>
      <c r="W258" s="156">
        <f t="shared" ref="W258:Y258" si="386">IF(W40=0,0,W40/W$31)</f>
        <v>1.5879719280836247E-2</v>
      </c>
      <c r="X258" s="156">
        <f t="shared" si="386"/>
        <v>1.4907696434056063E-2</v>
      </c>
      <c r="Y258" s="156">
        <f t="shared" si="386"/>
        <v>1.4944793341854537E-2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1.6254828619008638E-3</v>
      </c>
      <c r="C259" s="103">
        <f t="shared" si="387"/>
        <v>1.3905720938778014E-3</v>
      </c>
      <c r="D259" s="103">
        <f t="shared" si="387"/>
        <v>1.1922575756405855E-3</v>
      </c>
      <c r="E259" s="103">
        <f t="shared" si="387"/>
        <v>1.0077774412381765E-3</v>
      </c>
      <c r="F259" s="103">
        <f t="shared" si="387"/>
        <v>8.4745065211984957E-4</v>
      </c>
      <c r="G259" s="103">
        <f t="shared" si="387"/>
        <v>6.8400249669002371E-4</v>
      </c>
      <c r="H259" s="103">
        <f t="shared" si="387"/>
        <v>5.6967631588972667E-4</v>
      </c>
      <c r="I259" s="103">
        <f t="shared" si="387"/>
        <v>4.6036024569400349E-4</v>
      </c>
      <c r="J259" s="103">
        <f t="shared" si="387"/>
        <v>3.7730979542967714E-4</v>
      </c>
      <c r="K259" s="103">
        <f t="shared" si="387"/>
        <v>2.8244110844289852E-4</v>
      </c>
      <c r="L259" s="103">
        <f t="shared" ref="L259" si="388">IF(L41=0,0,L41/L$31)</f>
        <v>2.5247782293952504E-4</v>
      </c>
      <c r="M259" s="103">
        <f t="shared" ref="M259:V259" si="389">IF(M41=0,0,M41/M$31)</f>
        <v>2.1833344969320685E-4</v>
      </c>
      <c r="N259" s="103">
        <f t="shared" si="389"/>
        <v>1.8049115189663271E-4</v>
      </c>
      <c r="O259" s="103">
        <f t="shared" si="389"/>
        <v>1.8555539841355167E-4</v>
      </c>
      <c r="P259" s="103">
        <f t="shared" si="389"/>
        <v>1.5430178106126062E-4</v>
      </c>
      <c r="Q259" s="103">
        <f t="shared" si="389"/>
        <v>1.1136828423042668E-4</v>
      </c>
      <c r="R259" s="103">
        <f t="shared" si="389"/>
        <v>7.1033345159223749E-5</v>
      </c>
      <c r="S259" s="103">
        <f t="shared" si="389"/>
        <v>5.810534822348498E-5</v>
      </c>
      <c r="T259" s="103">
        <f t="shared" si="389"/>
        <v>5.1388677524678203E-5</v>
      </c>
      <c r="U259" s="103">
        <f t="shared" si="389"/>
        <v>4.3929448649948666E-5</v>
      </c>
      <c r="V259" s="103">
        <f t="shared" si="389"/>
        <v>4.6242755469131652E-5</v>
      </c>
      <c r="W259" s="103">
        <f t="shared" ref="W259:Y259" si="390">IF(W41=0,0,W41/W$31)</f>
        <v>4.2667286703948719E-5</v>
      </c>
      <c r="X259" s="103">
        <f t="shared" si="390"/>
        <v>2.8134210290434695E-5</v>
      </c>
      <c r="Y259" s="103">
        <f t="shared" si="390"/>
        <v>2.0608591457729927E-5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3.0818631260715344E-2</v>
      </c>
      <c r="C260" s="103">
        <f t="shared" si="391"/>
        <v>2.8971267027705937E-2</v>
      </c>
      <c r="D260" s="103">
        <f t="shared" si="391"/>
        <v>2.757706124437842E-2</v>
      </c>
      <c r="E260" s="103">
        <f t="shared" si="391"/>
        <v>2.6045950522453745E-2</v>
      </c>
      <c r="F260" s="103">
        <f t="shared" si="391"/>
        <v>2.4104856206807624E-2</v>
      </c>
      <c r="G260" s="103">
        <f t="shared" si="391"/>
        <v>2.2390716884890603E-2</v>
      </c>
      <c r="H260" s="103">
        <f t="shared" si="391"/>
        <v>2.3922175933041721E-2</v>
      </c>
      <c r="I260" s="103">
        <f t="shared" si="391"/>
        <v>2.3299644482435589E-2</v>
      </c>
      <c r="J260" s="103">
        <f t="shared" si="391"/>
        <v>2.1024846360159551E-2</v>
      </c>
      <c r="K260" s="103">
        <f t="shared" si="391"/>
        <v>1.8996632913473949E-2</v>
      </c>
      <c r="L260" s="103">
        <f t="shared" ref="L260" si="392">IF(L42=0,0,L42/L$31)</f>
        <v>2.1038267439839595E-2</v>
      </c>
      <c r="M260" s="103">
        <f t="shared" ref="M260:V260" si="393">IF(M42=0,0,M42/M$31)</f>
        <v>2.298603604675669E-2</v>
      </c>
      <c r="N260" s="103">
        <f t="shared" si="393"/>
        <v>2.2707025373248382E-2</v>
      </c>
      <c r="O260" s="103">
        <f t="shared" si="393"/>
        <v>2.3796298033435762E-2</v>
      </c>
      <c r="P260" s="103">
        <f t="shared" si="393"/>
        <v>2.2801024801268464E-2</v>
      </c>
      <c r="Q260" s="103">
        <f t="shared" si="393"/>
        <v>2.1236447517865697E-2</v>
      </c>
      <c r="R260" s="103">
        <f t="shared" si="393"/>
        <v>2.0572841445639957E-2</v>
      </c>
      <c r="S260" s="103">
        <f t="shared" si="393"/>
        <v>2.0146910990651946E-2</v>
      </c>
      <c r="T260" s="103">
        <f t="shared" si="393"/>
        <v>1.8814394203750938E-2</v>
      </c>
      <c r="U260" s="103">
        <f t="shared" si="393"/>
        <v>1.7169320206535194E-2</v>
      </c>
      <c r="V260" s="103">
        <f t="shared" si="393"/>
        <v>1.5451505818069306E-2</v>
      </c>
      <c r="W260" s="103">
        <f t="shared" ref="W260:Y260" si="394">IF(W42=0,0,W42/W$31)</f>
        <v>1.5504300809512098E-2</v>
      </c>
      <c r="X260" s="103">
        <f t="shared" si="394"/>
        <v>1.4424576686992655E-2</v>
      </c>
      <c r="Y260" s="103">
        <f t="shared" si="394"/>
        <v>1.4387286621560795E-2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7.8123829265015636E-7</v>
      </c>
      <c r="Q261" s="103">
        <f t="shared" si="397"/>
        <v>7.3759463580391384E-7</v>
      </c>
      <c r="R261" s="103">
        <f t="shared" si="397"/>
        <v>1.3925480809506572E-6</v>
      </c>
      <c r="S261" s="103">
        <f t="shared" si="397"/>
        <v>1.3281977258693088E-6</v>
      </c>
      <c r="T261" s="103">
        <f t="shared" si="397"/>
        <v>1.1861814235058981E-6</v>
      </c>
      <c r="U261" s="103">
        <f t="shared" si="397"/>
        <v>1.0240430808959221E-6</v>
      </c>
      <c r="V261" s="103">
        <f t="shared" si="397"/>
        <v>1.0369032941810517E-6</v>
      </c>
      <c r="W261" s="103">
        <f t="shared" ref="W261:Y261" si="398">IF(W43=0,0,W43/W$31)</f>
        <v>9.7530769372953175E-7</v>
      </c>
      <c r="X261" s="103">
        <f t="shared" si="398"/>
        <v>9.0739361284734953E-7</v>
      </c>
      <c r="Y261" s="103">
        <f t="shared" si="398"/>
        <v>8.9854203515013836E-7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1.7802705535640512E-4</v>
      </c>
      <c r="C262" s="103">
        <f t="shared" si="399"/>
        <v>1.8000246343283756E-4</v>
      </c>
      <c r="D262" s="103">
        <f t="shared" si="399"/>
        <v>1.8041841201866407E-4</v>
      </c>
      <c r="E262" s="103">
        <f t="shared" si="399"/>
        <v>1.8092261269258086E-4</v>
      </c>
      <c r="F262" s="103">
        <f t="shared" si="399"/>
        <v>1.7340765186632406E-4</v>
      </c>
      <c r="G262" s="103">
        <f t="shared" si="399"/>
        <v>1.8794443153504064E-4</v>
      </c>
      <c r="H262" s="103">
        <f t="shared" si="399"/>
        <v>1.8203686039968442E-4</v>
      </c>
      <c r="I262" s="103">
        <f t="shared" si="399"/>
        <v>1.4519860196083014E-4</v>
      </c>
      <c r="J262" s="103">
        <f t="shared" si="399"/>
        <v>1.0685169810586001E-4</v>
      </c>
      <c r="K262" s="103">
        <f t="shared" si="399"/>
        <v>9.5612809411524532E-5</v>
      </c>
      <c r="L262" s="103">
        <f t="shared" ref="L262" si="400">IF(L44=0,0,L44/L$31)</f>
        <v>6.9922539532866828E-5</v>
      </c>
      <c r="M262" s="103">
        <f t="shared" ref="M262:V262" si="401">IF(M44=0,0,M44/M$31)</f>
        <v>5.9808336627782412E-5</v>
      </c>
      <c r="N262" s="103">
        <f t="shared" si="401"/>
        <v>8.7921738293332652E-5</v>
      </c>
      <c r="O262" s="103">
        <f t="shared" si="401"/>
        <v>1.0730366393903129E-4</v>
      </c>
      <c r="P262" s="103">
        <f t="shared" si="401"/>
        <v>2.3384089060088595E-4</v>
      </c>
      <c r="Q262" s="103">
        <f t="shared" si="401"/>
        <v>3.516453084012462E-4</v>
      </c>
      <c r="R262" s="103">
        <f t="shared" si="401"/>
        <v>6.4433257154917697E-4</v>
      </c>
      <c r="S262" s="103">
        <f t="shared" si="401"/>
        <v>7.36160433187491E-4</v>
      </c>
      <c r="T262" s="103">
        <f t="shared" si="401"/>
        <v>6.5844103912101324E-4</v>
      </c>
      <c r="U262" s="103">
        <f t="shared" si="401"/>
        <v>2.8345349718279778E-4</v>
      </c>
      <c r="V262" s="103">
        <f t="shared" si="401"/>
        <v>2.6347045867456184E-4</v>
      </c>
      <c r="W262" s="103">
        <f t="shared" ref="W262:Y262" si="402">IF(W44=0,0,W44/W$31)</f>
        <v>2.2401142190997371E-4</v>
      </c>
      <c r="X262" s="103">
        <f t="shared" si="402"/>
        <v>3.1697060444988828E-4</v>
      </c>
      <c r="Y262" s="103">
        <f t="shared" si="402"/>
        <v>3.4488540621332601E-4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5.3927357842627958E-4</v>
      </c>
      <c r="C263" s="103">
        <f t="shared" si="403"/>
        <v>4.9090458812428139E-4</v>
      </c>
      <c r="D263" s="103">
        <f t="shared" si="403"/>
        <v>4.6532408856302207E-4</v>
      </c>
      <c r="E263" s="103">
        <f t="shared" si="403"/>
        <v>4.4281455891087616E-4</v>
      </c>
      <c r="F263" s="103">
        <f t="shared" si="403"/>
        <v>4.1503256101709109E-4</v>
      </c>
      <c r="G263" s="103">
        <f t="shared" si="403"/>
        <v>2.1721979053735871E-4</v>
      </c>
      <c r="H263" s="103">
        <f t="shared" si="403"/>
        <v>1.7825272096762474E-4</v>
      </c>
      <c r="I263" s="103">
        <f t="shared" si="403"/>
        <v>1.4017640984629709E-4</v>
      </c>
      <c r="J263" s="103">
        <f t="shared" si="403"/>
        <v>1.1029031507767537E-4</v>
      </c>
      <c r="K263" s="103">
        <f t="shared" si="403"/>
        <v>8.1388803925777823E-5</v>
      </c>
      <c r="L263" s="103">
        <f t="shared" ref="L263" si="404">IF(L45=0,0,L45/L$31)</f>
        <v>6.8881343206038533E-5</v>
      </c>
      <c r="M263" s="103">
        <f t="shared" ref="M263:V263" si="405">IF(M45=0,0,M45/M$31)</f>
        <v>5.7685924575982447E-5</v>
      </c>
      <c r="N263" s="103">
        <f t="shared" si="405"/>
        <v>4.2167870398226778E-5</v>
      </c>
      <c r="O263" s="103">
        <f t="shared" si="405"/>
        <v>3.3136745122755471E-5</v>
      </c>
      <c r="P263" s="103">
        <f t="shared" si="405"/>
        <v>2.3665419464398272E-5</v>
      </c>
      <c r="Q263" s="103">
        <f t="shared" si="405"/>
        <v>4.5721195607031926E-5</v>
      </c>
      <c r="R263" s="103">
        <f t="shared" si="405"/>
        <v>4.6329560338189541E-5</v>
      </c>
      <c r="S263" s="103">
        <f t="shared" si="405"/>
        <v>4.2326503770997622E-5</v>
      </c>
      <c r="T263" s="103">
        <f t="shared" si="405"/>
        <v>3.9907990874703329E-5</v>
      </c>
      <c r="U263" s="103">
        <f t="shared" si="405"/>
        <v>3.5533069046733446E-5</v>
      </c>
      <c r="V263" s="103">
        <f t="shared" si="405"/>
        <v>6.0341229464001074E-5</v>
      </c>
      <c r="W263" s="103">
        <f t="shared" ref="W263:Y263" si="406">IF(W45=0,0,W45/W$31)</f>
        <v>1.077644550165004E-4</v>
      </c>
      <c r="X263" s="103">
        <f t="shared" si="406"/>
        <v>1.3710753871023574E-4</v>
      </c>
      <c r="Y263" s="103">
        <f t="shared" si="406"/>
        <v>1.9111418058753642E-4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0.6682886923780742</v>
      </c>
      <c r="C265" s="154">
        <f t="shared" si="411"/>
        <v>0.67323832511098125</v>
      </c>
      <c r="D265" s="154">
        <f t="shared" si="411"/>
        <v>0.68795814304071623</v>
      </c>
      <c r="E265" s="154">
        <f t="shared" si="411"/>
        <v>0.69431112106136739</v>
      </c>
      <c r="F265" s="154">
        <f t="shared" si="411"/>
        <v>0.67659802492413257</v>
      </c>
      <c r="G265" s="154">
        <f t="shared" si="411"/>
        <v>0.63935105177031126</v>
      </c>
      <c r="H265" s="154">
        <f t="shared" si="411"/>
        <v>0.6215731009971498</v>
      </c>
      <c r="I265" s="154">
        <f t="shared" si="411"/>
        <v>0.61665016829188657</v>
      </c>
      <c r="J265" s="154">
        <f t="shared" si="411"/>
        <v>0.63757651913712232</v>
      </c>
      <c r="K265" s="154">
        <f t="shared" si="411"/>
        <v>0.68513167302172318</v>
      </c>
      <c r="L265" s="154">
        <f t="shared" ref="L265" si="412">IF(L47=0,0,L47/L$46)</f>
        <v>0.68469018262481096</v>
      </c>
      <c r="M265" s="154">
        <f t="shared" ref="M265:V265" si="413">IF(M47=0,0,M47/M$46)</f>
        <v>0.69984126425219639</v>
      </c>
      <c r="N265" s="154">
        <f t="shared" si="413"/>
        <v>0.72443356304226914</v>
      </c>
      <c r="O265" s="154">
        <f t="shared" si="413"/>
        <v>0.73195829438989712</v>
      </c>
      <c r="P265" s="154">
        <f t="shared" si="413"/>
        <v>0.73293516062699238</v>
      </c>
      <c r="Q265" s="154">
        <f t="shared" si="413"/>
        <v>0.73013846514610337</v>
      </c>
      <c r="R265" s="154">
        <f t="shared" si="413"/>
        <v>0.72920604258053523</v>
      </c>
      <c r="S265" s="154">
        <f t="shared" si="413"/>
        <v>0.73572993002692133</v>
      </c>
      <c r="T265" s="154">
        <f t="shared" si="413"/>
        <v>0.73731297965784803</v>
      </c>
      <c r="U265" s="154">
        <f t="shared" si="413"/>
        <v>0.74402636499069164</v>
      </c>
      <c r="V265" s="154">
        <f t="shared" si="413"/>
        <v>0.75817660964534295</v>
      </c>
      <c r="W265" s="154">
        <f t="shared" ref="W265:Y265" si="414">IF(W47=0,0,W47/W$46)</f>
        <v>0.7456062205672489</v>
      </c>
      <c r="X265" s="154">
        <f t="shared" si="414"/>
        <v>0.75214254742266806</v>
      </c>
      <c r="Y265" s="154">
        <f t="shared" si="414"/>
        <v>0.75858027056888233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0.20794929474991669</v>
      </c>
      <c r="C266" s="103">
        <f t="shared" si="415"/>
        <v>0.18503676183724421</v>
      </c>
      <c r="D266" s="103">
        <f t="shared" si="415"/>
        <v>0.1597477496823024</v>
      </c>
      <c r="E266" s="103">
        <f t="shared" si="415"/>
        <v>0.13986399215151613</v>
      </c>
      <c r="F266" s="103">
        <f t="shared" si="415"/>
        <v>0.12102909860544521</v>
      </c>
      <c r="G266" s="103">
        <f t="shared" si="415"/>
        <v>9.9397185794404208E-2</v>
      </c>
      <c r="H266" s="103">
        <f t="shared" si="415"/>
        <v>8.7014861909426366E-2</v>
      </c>
      <c r="I266" s="103">
        <f t="shared" si="415"/>
        <v>7.3370082047926874E-2</v>
      </c>
      <c r="J266" s="103">
        <f t="shared" si="415"/>
        <v>5.6668783081319452E-2</v>
      </c>
      <c r="K266" s="103">
        <f t="shared" si="415"/>
        <v>4.7719960489375463E-2</v>
      </c>
      <c r="L266" s="103">
        <f t="shared" ref="L266" si="416">IF(L48=0,0,L48/L$46)</f>
        <v>5.0205089573235294E-2</v>
      </c>
      <c r="M266" s="103">
        <f t="shared" ref="M266:V266" si="417">IF(M48=0,0,M48/M$46)</f>
        <v>4.3141722207014642E-2</v>
      </c>
      <c r="N266" s="103">
        <f t="shared" si="417"/>
        <v>4.1053999180452862E-2</v>
      </c>
      <c r="O266" s="103">
        <f t="shared" si="417"/>
        <v>3.7442464335958214E-2</v>
      </c>
      <c r="P266" s="103">
        <f t="shared" si="417"/>
        <v>3.3520524813584848E-2</v>
      </c>
      <c r="Q266" s="103">
        <f t="shared" si="417"/>
        <v>2.9015720517820739E-2</v>
      </c>
      <c r="R266" s="103">
        <f t="shared" si="417"/>
        <v>2.5802207249587018E-2</v>
      </c>
      <c r="S266" s="103">
        <f t="shared" si="417"/>
        <v>2.3950459181766245E-2</v>
      </c>
      <c r="T266" s="103">
        <f t="shared" si="417"/>
        <v>2.2368954461602308E-2</v>
      </c>
      <c r="U266" s="103">
        <f t="shared" si="417"/>
        <v>2.1135456701357431E-2</v>
      </c>
      <c r="V266" s="103">
        <f t="shared" si="417"/>
        <v>1.9616638506760029E-2</v>
      </c>
      <c r="W266" s="103">
        <f t="shared" ref="W266:Y266" si="418">IF(W48=0,0,W48/W$46)</f>
        <v>1.7903875552424765E-2</v>
      </c>
      <c r="X266" s="103">
        <f t="shared" si="418"/>
        <v>1.7146562705725451E-2</v>
      </c>
      <c r="Y266" s="103">
        <f t="shared" si="418"/>
        <v>1.686163281114458E-2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0.46032619670884467</v>
      </c>
      <c r="C267" s="103">
        <f t="shared" si="419"/>
        <v>0.48786649567253576</v>
      </c>
      <c r="D267" s="103">
        <f t="shared" si="419"/>
        <v>0.52790385001085383</v>
      </c>
      <c r="E267" s="103">
        <f t="shared" si="419"/>
        <v>0.55415065128809171</v>
      </c>
      <c r="F267" s="103">
        <f t="shared" si="419"/>
        <v>0.55528979280675139</v>
      </c>
      <c r="G267" s="103">
        <f t="shared" si="419"/>
        <v>0.53970761757328189</v>
      </c>
      <c r="H267" s="103">
        <f t="shared" si="419"/>
        <v>0.53432394497164759</v>
      </c>
      <c r="I267" s="103">
        <f t="shared" si="419"/>
        <v>0.5430665236798019</v>
      </c>
      <c r="J267" s="103">
        <f t="shared" si="419"/>
        <v>0.58071518666029653</v>
      </c>
      <c r="K267" s="103">
        <f t="shared" si="419"/>
        <v>0.6372430126596571</v>
      </c>
      <c r="L267" s="103">
        <f t="shared" ref="L267" si="420">IF(L49=0,0,L49/L$46)</f>
        <v>0.63430257034971371</v>
      </c>
      <c r="M267" s="103">
        <f t="shared" ref="M267:V267" si="421">IF(M49=0,0,M49/M$46)</f>
        <v>0.65653788746750685</v>
      </c>
      <c r="N267" s="103">
        <f t="shared" si="421"/>
        <v>0.68322717711396674</v>
      </c>
      <c r="O267" s="103">
        <f t="shared" si="421"/>
        <v>0.69426972924400132</v>
      </c>
      <c r="P267" s="103">
        <f t="shared" si="421"/>
        <v>0.69915665450684106</v>
      </c>
      <c r="Q267" s="103">
        <f t="shared" si="421"/>
        <v>0.70045566347702415</v>
      </c>
      <c r="R267" s="103">
        <f t="shared" si="421"/>
        <v>0.7027219388120225</v>
      </c>
      <c r="S267" s="103">
        <f t="shared" si="421"/>
        <v>0.71097513137573798</v>
      </c>
      <c r="T267" s="103">
        <f t="shared" si="421"/>
        <v>0.71396619671133099</v>
      </c>
      <c r="U267" s="103">
        <f t="shared" si="421"/>
        <v>0.72186864358099323</v>
      </c>
      <c r="V267" s="103">
        <f t="shared" si="421"/>
        <v>0.73740555000218988</v>
      </c>
      <c r="W267" s="103">
        <f t="shared" ref="W267:Y267" si="422">IF(W49=0,0,W49/W$46)</f>
        <v>0.72636019427138243</v>
      </c>
      <c r="X267" s="103">
        <f t="shared" si="422"/>
        <v>0.73314259883789834</v>
      </c>
      <c r="Y267" s="103">
        <f t="shared" si="422"/>
        <v>0.7389067709163798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3.2235247760282977E-4</v>
      </c>
      <c r="D268" s="103">
        <f t="shared" si="423"/>
        <v>2.9429023234162267E-4</v>
      </c>
      <c r="E268" s="103">
        <f t="shared" si="423"/>
        <v>2.8451080733268239E-4</v>
      </c>
      <c r="F268" s="103">
        <f t="shared" si="423"/>
        <v>2.6764170252163813E-4</v>
      </c>
      <c r="G268" s="103">
        <f t="shared" si="423"/>
        <v>2.3727775666415189E-4</v>
      </c>
      <c r="H268" s="103">
        <f t="shared" si="423"/>
        <v>2.255699569247921E-4</v>
      </c>
      <c r="I268" s="103">
        <f t="shared" si="423"/>
        <v>2.0528850641656716E-4</v>
      </c>
      <c r="J268" s="103">
        <f t="shared" si="423"/>
        <v>1.8602035409093153E-4</v>
      </c>
      <c r="K268" s="103">
        <f t="shared" si="423"/>
        <v>1.6259800048931832E-4</v>
      </c>
      <c r="L268" s="103">
        <f t="shared" ref="L268" si="424">IF(L50=0,0,L50/L$46)</f>
        <v>1.7681063038051952E-4</v>
      </c>
      <c r="M268" s="103">
        <f t="shared" ref="M268:V268" si="425">IF(M50=0,0,M50/M$46)</f>
        <v>1.5609839773473089E-4</v>
      </c>
      <c r="N268" s="103">
        <f t="shared" si="425"/>
        <v>1.4264763625388582E-4</v>
      </c>
      <c r="O268" s="103">
        <f t="shared" si="425"/>
        <v>1.210061965691559E-4</v>
      </c>
      <c r="P268" s="103">
        <f t="shared" si="425"/>
        <v>1.0227778653070048E-4</v>
      </c>
      <c r="Q268" s="103">
        <f t="shared" si="425"/>
        <v>8.8739120789855432E-5</v>
      </c>
      <c r="R268" s="103">
        <f t="shared" si="425"/>
        <v>6.9413248235204291E-5</v>
      </c>
      <c r="S268" s="103">
        <f t="shared" si="425"/>
        <v>5.2817402901957578E-5</v>
      </c>
      <c r="T268" s="103">
        <f t="shared" si="425"/>
        <v>4.0498519808124425E-5</v>
      </c>
      <c r="U268" s="103">
        <f t="shared" si="425"/>
        <v>2.8865729554983542E-5</v>
      </c>
      <c r="V268" s="103">
        <f t="shared" si="425"/>
        <v>2.4392156769511719E-5</v>
      </c>
      <c r="W268" s="103">
        <f t="shared" ref="W268:Y268" si="426">IF(W50=0,0,W50/W$46)</f>
        <v>1.8660694271230279E-5</v>
      </c>
      <c r="X268" s="103">
        <f t="shared" si="426"/>
        <v>5.5929078900727483E-5</v>
      </c>
      <c r="Y268" s="103">
        <f t="shared" si="426"/>
        <v>1.5690432213623449E-4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1.3200919312776648E-5</v>
      </c>
      <c r="C269" s="103">
        <f t="shared" si="427"/>
        <v>1.2715123598414782E-5</v>
      </c>
      <c r="D269" s="103">
        <f t="shared" si="427"/>
        <v>1.2253115218485063E-5</v>
      </c>
      <c r="E269" s="103">
        <f t="shared" si="427"/>
        <v>1.1966814426900667E-5</v>
      </c>
      <c r="F269" s="103">
        <f t="shared" si="427"/>
        <v>1.1491809414402118E-5</v>
      </c>
      <c r="G269" s="103">
        <f t="shared" si="427"/>
        <v>8.970645961087924E-6</v>
      </c>
      <c r="H269" s="103">
        <f t="shared" si="427"/>
        <v>8.724159151124513E-6</v>
      </c>
      <c r="I269" s="103">
        <f t="shared" si="427"/>
        <v>8.2740577411724212E-6</v>
      </c>
      <c r="J269" s="103">
        <f t="shared" si="427"/>
        <v>6.5290414152686116E-6</v>
      </c>
      <c r="K269" s="103">
        <f t="shared" si="427"/>
        <v>6.1018722013764623E-6</v>
      </c>
      <c r="L269" s="103">
        <f t="shared" ref="L269" si="428">IF(L51=0,0,L51/L$46)</f>
        <v>5.7120714812161375E-6</v>
      </c>
      <c r="M269" s="103">
        <f t="shared" ref="M269:V269" si="429">IF(M51=0,0,M51/M$46)</f>
        <v>5.5561799401887527E-6</v>
      </c>
      <c r="N269" s="103">
        <f t="shared" si="429"/>
        <v>9.7391115957388663E-6</v>
      </c>
      <c r="O269" s="103">
        <f t="shared" si="429"/>
        <v>1.0415642798063061E-4</v>
      </c>
      <c r="P269" s="103">
        <f t="shared" si="429"/>
        <v>1.3427167100547039E-4</v>
      </c>
      <c r="Q269" s="103">
        <f t="shared" si="429"/>
        <v>5.3801140162485915E-4</v>
      </c>
      <c r="R269" s="103">
        <f t="shared" si="429"/>
        <v>5.2965526537296142E-4</v>
      </c>
      <c r="S269" s="103">
        <f t="shared" si="429"/>
        <v>5.9359833760303416E-4</v>
      </c>
      <c r="T269" s="103">
        <f t="shared" si="429"/>
        <v>6.3515821190524176E-4</v>
      </c>
      <c r="U269" s="103">
        <f t="shared" si="429"/>
        <v>6.1711172822724158E-4</v>
      </c>
      <c r="V269" s="103">
        <f t="shared" si="429"/>
        <v>6.1169802295608781E-4</v>
      </c>
      <c r="W269" s="103">
        <f t="shared" ref="W269:Y269" si="430">IF(W51=0,0,W51/W$46)</f>
        <v>5.7545275367539277E-4</v>
      </c>
      <c r="X269" s="103">
        <f t="shared" si="430"/>
        <v>5.6435689402453834E-4</v>
      </c>
      <c r="Y269" s="103">
        <f t="shared" si="430"/>
        <v>9.0553826888186816E-4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0</v>
      </c>
      <c r="O270" s="103">
        <f t="shared" si="433"/>
        <v>2.0938185387710847E-5</v>
      </c>
      <c r="P270" s="103">
        <f t="shared" si="433"/>
        <v>2.1431849030371245E-5</v>
      </c>
      <c r="Q270" s="103">
        <f t="shared" si="433"/>
        <v>4.0330628843825863E-5</v>
      </c>
      <c r="R270" s="103">
        <f t="shared" si="433"/>
        <v>8.2828005317487729E-5</v>
      </c>
      <c r="S270" s="103">
        <f t="shared" si="433"/>
        <v>1.579237289121315E-4</v>
      </c>
      <c r="T270" s="103">
        <f t="shared" si="433"/>
        <v>3.0217175320117542E-4</v>
      </c>
      <c r="U270" s="103">
        <f t="shared" si="433"/>
        <v>3.76287250558773E-4</v>
      </c>
      <c r="V270" s="103">
        <f t="shared" si="433"/>
        <v>5.183309566673803E-4</v>
      </c>
      <c r="W270" s="103">
        <f t="shared" ref="W270:Y270" si="434">IF(W52=0,0,W52/W$46)</f>
        <v>7.4803729549510604E-4</v>
      </c>
      <c r="X270" s="103">
        <f t="shared" si="434"/>
        <v>1.2330999061189393E-3</v>
      </c>
      <c r="Y270" s="103">
        <f t="shared" si="434"/>
        <v>1.7494242503399129E-3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0.3317113076219258</v>
      </c>
      <c r="C271" s="156">
        <f t="shared" si="435"/>
        <v>0.32676167488901869</v>
      </c>
      <c r="D271" s="156">
        <f t="shared" si="435"/>
        <v>0.31204185695928371</v>
      </c>
      <c r="E271" s="156">
        <f t="shared" si="435"/>
        <v>0.30568887893863267</v>
      </c>
      <c r="F271" s="156">
        <f t="shared" si="435"/>
        <v>0.32340197507586738</v>
      </c>
      <c r="G271" s="156">
        <f t="shared" si="435"/>
        <v>0.36064894822968874</v>
      </c>
      <c r="H271" s="156">
        <f t="shared" si="435"/>
        <v>0.37842689900285026</v>
      </c>
      <c r="I271" s="156">
        <f t="shared" si="435"/>
        <v>0.38334983170811349</v>
      </c>
      <c r="J271" s="156">
        <f t="shared" si="435"/>
        <v>0.36242348086287779</v>
      </c>
      <c r="K271" s="156">
        <f t="shared" si="435"/>
        <v>0.31486832697827682</v>
      </c>
      <c r="L271" s="156">
        <f t="shared" ref="L271" si="436">IF(L53=0,0,L53/L$46)</f>
        <v>0.31530981737518904</v>
      </c>
      <c r="M271" s="156">
        <f t="shared" ref="M271:V271" si="437">IF(M53=0,0,M53/M$46)</f>
        <v>0.3001587357478035</v>
      </c>
      <c r="N271" s="156">
        <f t="shared" si="437"/>
        <v>0.27556643695773075</v>
      </c>
      <c r="O271" s="156">
        <f t="shared" si="437"/>
        <v>0.26804170561010288</v>
      </c>
      <c r="P271" s="156">
        <f t="shared" si="437"/>
        <v>0.26706483937300768</v>
      </c>
      <c r="Q271" s="156">
        <f t="shared" si="437"/>
        <v>0.26986153485389663</v>
      </c>
      <c r="R271" s="156">
        <f t="shared" si="437"/>
        <v>0.27079395741946494</v>
      </c>
      <c r="S271" s="156">
        <f t="shared" si="437"/>
        <v>0.26427006997307861</v>
      </c>
      <c r="T271" s="156">
        <f t="shared" si="437"/>
        <v>0.26268702034215197</v>
      </c>
      <c r="U271" s="156">
        <f t="shared" si="437"/>
        <v>0.25597363500930842</v>
      </c>
      <c r="V271" s="156">
        <f t="shared" si="437"/>
        <v>0.241823390354657</v>
      </c>
      <c r="W271" s="156">
        <f t="shared" ref="W271:Y271" si="438">IF(W53=0,0,W53/W$46)</f>
        <v>0.25439377943275104</v>
      </c>
      <c r="X271" s="156">
        <f t="shared" si="438"/>
        <v>0.24785745257733199</v>
      </c>
      <c r="Y271" s="156">
        <f t="shared" si="438"/>
        <v>0.24141972943111761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0.22574238009030798</v>
      </c>
      <c r="C272" s="104">
        <f t="shared" si="439"/>
        <v>0.21728904459427723</v>
      </c>
      <c r="D272" s="104">
        <f t="shared" si="439"/>
        <v>0.20101824755396461</v>
      </c>
      <c r="E272" s="104">
        <f t="shared" si="439"/>
        <v>0.19481826120086165</v>
      </c>
      <c r="F272" s="104">
        <f t="shared" si="439"/>
        <v>0.19746173394368166</v>
      </c>
      <c r="G272" s="104">
        <f t="shared" si="439"/>
        <v>0.24186566024625819</v>
      </c>
      <c r="H272" s="104">
        <f t="shared" si="439"/>
        <v>0.25281848951213021</v>
      </c>
      <c r="I272" s="104">
        <f t="shared" si="439"/>
        <v>0.25291999422815775</v>
      </c>
      <c r="J272" s="104">
        <f t="shared" si="439"/>
        <v>0.22559249452588215</v>
      </c>
      <c r="K272" s="104">
        <f t="shared" si="439"/>
        <v>0.22174652700192757</v>
      </c>
      <c r="L272" s="104">
        <f t="shared" ref="L272" si="440">IF(L54=0,0,L54/L$46)</f>
        <v>0.21177509277820639</v>
      </c>
      <c r="M272" s="104">
        <f t="shared" ref="M272:V272" si="441">IF(M54=0,0,M54/M$46)</f>
        <v>0.19335293600375339</v>
      </c>
      <c r="N272" s="104">
        <f t="shared" si="441"/>
        <v>0.16778534121834537</v>
      </c>
      <c r="O272" s="104">
        <f t="shared" si="441"/>
        <v>0.16248766677167586</v>
      </c>
      <c r="P272" s="104">
        <f t="shared" si="441"/>
        <v>0.16125005441293475</v>
      </c>
      <c r="Q272" s="104">
        <f t="shared" si="441"/>
        <v>0.16114681639114878</v>
      </c>
      <c r="R272" s="104">
        <f t="shared" si="441"/>
        <v>0.16061789637878529</v>
      </c>
      <c r="S272" s="104">
        <f t="shared" si="441"/>
        <v>0.14986221912857356</v>
      </c>
      <c r="T272" s="104">
        <f t="shared" si="441"/>
        <v>0.15508081136755186</v>
      </c>
      <c r="U272" s="104">
        <f t="shared" si="441"/>
        <v>0.1515791167762521</v>
      </c>
      <c r="V272" s="104">
        <f t="shared" si="441"/>
        <v>0.14547944024504458</v>
      </c>
      <c r="W272" s="104">
        <f t="shared" ref="W272:Y272" si="442">IF(W54=0,0,W54/W$46)</f>
        <v>0.1542652115668893</v>
      </c>
      <c r="X272" s="104">
        <f t="shared" si="442"/>
        <v>0.14356058829347529</v>
      </c>
      <c r="Y272" s="104">
        <f t="shared" si="442"/>
        <v>0.13977559828659972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0.10596892753161782</v>
      </c>
      <c r="C273" s="105">
        <f t="shared" si="443"/>
        <v>0.10947263029474145</v>
      </c>
      <c r="D273" s="105">
        <f t="shared" si="443"/>
        <v>0.11102360940531912</v>
      </c>
      <c r="E273" s="105">
        <f t="shared" si="443"/>
        <v>0.11087061773777104</v>
      </c>
      <c r="F273" s="105">
        <f t="shared" si="443"/>
        <v>0.12594024113218572</v>
      </c>
      <c r="G273" s="105">
        <f t="shared" si="443"/>
        <v>0.11878328798343057</v>
      </c>
      <c r="H273" s="105">
        <f t="shared" si="443"/>
        <v>0.12560840949072</v>
      </c>
      <c r="I273" s="105">
        <f t="shared" si="443"/>
        <v>0.13042983747995568</v>
      </c>
      <c r="J273" s="105">
        <f t="shared" si="443"/>
        <v>0.13683098633699564</v>
      </c>
      <c r="K273" s="105">
        <f t="shared" si="443"/>
        <v>9.312179997634927E-2</v>
      </c>
      <c r="L273" s="105">
        <f t="shared" ref="L273" si="444">IF(L55=0,0,L55/L$46)</f>
        <v>0.10353472459698265</v>
      </c>
      <c r="M273" s="105">
        <f t="shared" ref="M273:V273" si="445">IF(M55=0,0,M55/M$46)</f>
        <v>0.10680579974405012</v>
      </c>
      <c r="N273" s="105">
        <f t="shared" si="445"/>
        <v>0.10778109573938535</v>
      </c>
      <c r="O273" s="105">
        <f t="shared" si="445"/>
        <v>0.10555403883842703</v>
      </c>
      <c r="P273" s="105">
        <f t="shared" si="445"/>
        <v>0.10581478496007295</v>
      </c>
      <c r="Q273" s="105">
        <f t="shared" si="445"/>
        <v>0.10871471846274783</v>
      </c>
      <c r="R273" s="105">
        <f t="shared" si="445"/>
        <v>0.11017606104067963</v>
      </c>
      <c r="S273" s="105">
        <f t="shared" si="445"/>
        <v>0.11440785084450504</v>
      </c>
      <c r="T273" s="105">
        <f t="shared" si="445"/>
        <v>0.1076062089746001</v>
      </c>
      <c r="U273" s="105">
        <f t="shared" si="445"/>
        <v>0.10439451823305637</v>
      </c>
      <c r="V273" s="105">
        <f t="shared" si="445"/>
        <v>9.6343950109612414E-2</v>
      </c>
      <c r="W273" s="105">
        <f t="shared" ref="W273:Y273" si="446">IF(W55=0,0,W55/W$46)</f>
        <v>0.10012856786586173</v>
      </c>
      <c r="X273" s="105">
        <f t="shared" si="446"/>
        <v>0.10429686428385672</v>
      </c>
      <c r="Y273" s="105">
        <f t="shared" si="446"/>
        <v>0.1016441311445179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2890.6297705614475</v>
      </c>
      <c r="C4" s="145">
        <f t="shared" si="0"/>
        <v>3050.7927890711762</v>
      </c>
      <c r="D4" s="145">
        <f t="shared" si="0"/>
        <v>3253.2139710718361</v>
      </c>
      <c r="E4" s="145">
        <f t="shared" si="0"/>
        <v>3403.9489403346274</v>
      </c>
      <c r="F4" s="145">
        <f t="shared" si="0"/>
        <v>3570.112047407466</v>
      </c>
      <c r="G4" s="145">
        <f t="shared" si="0"/>
        <v>3875.5074146823749</v>
      </c>
      <c r="H4" s="145">
        <f t="shared" si="0"/>
        <v>4151.6459222660251</v>
      </c>
      <c r="I4" s="145">
        <f t="shared" si="0"/>
        <v>4233.7252318013998</v>
      </c>
      <c r="J4" s="145">
        <f t="shared" si="0"/>
        <v>4338.3011076813445</v>
      </c>
      <c r="K4" s="145">
        <f t="shared" si="0"/>
        <v>4314.9445696311313</v>
      </c>
      <c r="L4" s="145">
        <f t="shared" ref="L4" si="1">L5+L9+L10+L15</f>
        <v>3911.3176101963813</v>
      </c>
      <c r="M4" s="145">
        <f t="shared" ref="M4:V4" si="2">M5+M9+M10+M15</f>
        <v>3620.4927767825093</v>
      </c>
      <c r="N4" s="145">
        <f t="shared" si="2"/>
        <v>3504.310689303989</v>
      </c>
      <c r="O4" s="145">
        <f t="shared" si="2"/>
        <v>3269.4626872853223</v>
      </c>
      <c r="P4" s="145">
        <f t="shared" si="2"/>
        <v>3678.6671206102237</v>
      </c>
      <c r="Q4" s="145">
        <f t="shared" si="2"/>
        <v>4004.2478048362004</v>
      </c>
      <c r="R4" s="145">
        <f t="shared" si="2"/>
        <v>4073.8773050608597</v>
      </c>
      <c r="S4" s="145">
        <f t="shared" si="2"/>
        <v>4287.120496571436</v>
      </c>
      <c r="T4" s="145">
        <f t="shared" si="2"/>
        <v>4569.622305175656</v>
      </c>
      <c r="U4" s="145">
        <f t="shared" si="2"/>
        <v>4848.9375500867836</v>
      </c>
      <c r="V4" s="145">
        <f t="shared" si="2"/>
        <v>4265.336257543363</v>
      </c>
      <c r="W4" s="145">
        <f t="shared" ref="W4:Y4" si="3">W5+W9+W10+W15</f>
        <v>4730.8892375155237</v>
      </c>
      <c r="X4" s="145">
        <f t="shared" si="3"/>
        <v>5111.208220215437</v>
      </c>
      <c r="Y4" s="145">
        <f t="shared" si="3"/>
        <v>4776.6923682591478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2885.3491831470342</v>
      </c>
      <c r="C5" s="97">
        <f t="shared" si="4"/>
        <v>3045.4261392949265</v>
      </c>
      <c r="D5" s="97">
        <f t="shared" si="4"/>
        <v>3247.7811693895096</v>
      </c>
      <c r="E5" s="97">
        <f t="shared" si="4"/>
        <v>3398.416509028375</v>
      </c>
      <c r="F5" s="97">
        <f t="shared" si="4"/>
        <v>3564.6937231298371</v>
      </c>
      <c r="G5" s="97">
        <f t="shared" si="4"/>
        <v>3868.3385210662082</v>
      </c>
      <c r="H5" s="97">
        <f t="shared" si="4"/>
        <v>4136.3332760103176</v>
      </c>
      <c r="I5" s="97">
        <f t="shared" si="4"/>
        <v>4201.6074806534825</v>
      </c>
      <c r="J5" s="97">
        <f t="shared" si="4"/>
        <v>4171.0280309544287</v>
      </c>
      <c r="K5" s="97">
        <f t="shared" si="4"/>
        <v>4143.5846087704213</v>
      </c>
      <c r="L5" s="97">
        <f t="shared" ref="L5" si="5">SUM(L6:L8)</f>
        <v>3734.9288048151325</v>
      </c>
      <c r="M5" s="97">
        <f t="shared" ref="M5:V5" si="6">SUM(M6:M8)</f>
        <v>3459.6349957007728</v>
      </c>
      <c r="N5" s="97">
        <f t="shared" si="6"/>
        <v>3348.9300085984523</v>
      </c>
      <c r="O5" s="97">
        <f t="shared" si="6"/>
        <v>3131.1980223559758</v>
      </c>
      <c r="P5" s="97">
        <f t="shared" si="6"/>
        <v>3488.5115219260533</v>
      </c>
      <c r="Q5" s="97">
        <f t="shared" si="6"/>
        <v>3824.3766122098023</v>
      </c>
      <c r="R5" s="97">
        <f t="shared" si="6"/>
        <v>3878.0619948409285</v>
      </c>
      <c r="S5" s="97">
        <f t="shared" si="6"/>
        <v>4113.4055030094587</v>
      </c>
      <c r="T5" s="97">
        <f t="shared" si="6"/>
        <v>4365.6835769561485</v>
      </c>
      <c r="U5" s="97">
        <f t="shared" si="6"/>
        <v>4635.6435081685295</v>
      </c>
      <c r="V5" s="97">
        <f t="shared" si="6"/>
        <v>3975.5403267411862</v>
      </c>
      <c r="W5" s="97">
        <f t="shared" ref="W5:Y5" si="7">SUM(W6:W8)</f>
        <v>4433.5058469475489</v>
      </c>
      <c r="X5" s="97">
        <f t="shared" si="7"/>
        <v>4791.1607910576095</v>
      </c>
      <c r="Y5" s="97">
        <f t="shared" si="7"/>
        <v>4443.0194325021494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2.259501289767841</v>
      </c>
      <c r="D6" s="97">
        <v>2.259501289767841</v>
      </c>
      <c r="E6" s="97">
        <v>44.05993121238177</v>
      </c>
      <c r="F6" s="97">
        <v>39.290111779879616</v>
      </c>
      <c r="G6" s="97">
        <v>32.554686156491833</v>
      </c>
      <c r="H6" s="97">
        <v>33.67730008598452</v>
      </c>
      <c r="I6" s="97">
        <v>32.554686156491833</v>
      </c>
      <c r="J6" s="97">
        <v>30.309544282029229</v>
      </c>
      <c r="K6" s="97">
        <v>26.941788478073949</v>
      </c>
      <c r="L6" s="97">
        <v>29.186930352536539</v>
      </c>
      <c r="M6" s="97">
        <v>31.432158211521919</v>
      </c>
      <c r="N6" s="97">
        <v>23.574118658641439</v>
      </c>
      <c r="O6" s="97">
        <v>32.554686156491833</v>
      </c>
      <c r="P6" s="97">
        <v>30.309544282029229</v>
      </c>
      <c r="Q6" s="97">
        <v>30.309544282029229</v>
      </c>
      <c r="R6" s="97">
        <v>27.562854686156491</v>
      </c>
      <c r="S6" s="97">
        <v>26.448839208942388</v>
      </c>
      <c r="T6" s="97">
        <v>23.14273430782459</v>
      </c>
      <c r="U6" s="97">
        <v>19.836629406706791</v>
      </c>
      <c r="V6" s="97">
        <v>14.326483233018051</v>
      </c>
      <c r="W6" s="97">
        <v>14.326483233018051</v>
      </c>
      <c r="X6" s="97">
        <v>14.326483233018051</v>
      </c>
      <c r="Y6" s="97">
        <v>15.40644883920894</v>
      </c>
      <c r="DA6" s="175" t="s">
        <v>630</v>
      </c>
    </row>
    <row r="7" spans="1:105" ht="11.45" customHeight="1" x14ac:dyDescent="0.25">
      <c r="A7" s="128" t="s">
        <v>53</v>
      </c>
      <c r="B7" s="97">
        <v>1413.604643164231</v>
      </c>
      <c r="C7" s="97">
        <v>1471.7994840928629</v>
      </c>
      <c r="D7" s="97">
        <v>1507.774462596733</v>
      </c>
      <c r="E7" s="97">
        <v>1506.7163370593289</v>
      </c>
      <c r="F7" s="97">
        <v>1525.7619088564061</v>
      </c>
      <c r="G7" s="97">
        <v>1568.0853826311261</v>
      </c>
      <c r="H7" s="97">
        <v>1597.7118658641441</v>
      </c>
      <c r="I7" s="97">
        <v>1622.0478933791919</v>
      </c>
      <c r="J7" s="97">
        <v>1578.6662940670681</v>
      </c>
      <c r="K7" s="97">
        <v>1578.6662940670681</v>
      </c>
      <c r="L7" s="97">
        <v>1348.332846087704</v>
      </c>
      <c r="M7" s="97">
        <v>1245.342476354256</v>
      </c>
      <c r="N7" s="97">
        <v>1233.782373172829</v>
      </c>
      <c r="O7" s="97">
        <v>1167.5742906276871</v>
      </c>
      <c r="P7" s="97">
        <v>1243.2406706792781</v>
      </c>
      <c r="Q7" s="97">
        <v>1283.175666380052</v>
      </c>
      <c r="R7" s="97">
        <v>1306.295958727429</v>
      </c>
      <c r="S7" s="97">
        <v>1337.8236457437661</v>
      </c>
      <c r="T7" s="97">
        <v>1396.6752364574379</v>
      </c>
      <c r="U7" s="97">
        <v>1507.022098022356</v>
      </c>
      <c r="V7" s="97">
        <v>1308.39785038693</v>
      </c>
      <c r="W7" s="97">
        <v>1388.267927773001</v>
      </c>
      <c r="X7" s="97">
        <v>1472.341616509028</v>
      </c>
      <c r="Y7" s="97">
        <v>1438.7121238177131</v>
      </c>
      <c r="DA7" s="175" t="s">
        <v>631</v>
      </c>
    </row>
    <row r="8" spans="1:105" ht="11.45" customHeight="1" x14ac:dyDescent="0.25">
      <c r="A8" s="128" t="s">
        <v>54</v>
      </c>
      <c r="B8" s="97">
        <v>1471.7445399828032</v>
      </c>
      <c r="C8" s="97">
        <v>1571.3671539122961</v>
      </c>
      <c r="D8" s="97">
        <v>1737.7472055030089</v>
      </c>
      <c r="E8" s="97">
        <v>1847.6402407566641</v>
      </c>
      <c r="F8" s="97">
        <v>1999.6417024935511</v>
      </c>
      <c r="G8" s="97">
        <v>2267.6984522785901</v>
      </c>
      <c r="H8" s="97">
        <v>2504.9441100601889</v>
      </c>
      <c r="I8" s="97">
        <v>2547.0049011177989</v>
      </c>
      <c r="J8" s="97">
        <v>2562.0521926053311</v>
      </c>
      <c r="K8" s="97">
        <v>2537.976526225279</v>
      </c>
      <c r="L8" s="97">
        <v>2357.4090283748919</v>
      </c>
      <c r="M8" s="97">
        <v>2182.8603611349949</v>
      </c>
      <c r="N8" s="97">
        <v>2091.5735167669818</v>
      </c>
      <c r="O8" s="97">
        <v>1931.069045571797</v>
      </c>
      <c r="P8" s="97">
        <v>2214.9613069647462</v>
      </c>
      <c r="Q8" s="97">
        <v>2510.8914015477212</v>
      </c>
      <c r="R8" s="97">
        <v>2544.2031814273432</v>
      </c>
      <c r="S8" s="97">
        <v>2749.1330180567502</v>
      </c>
      <c r="T8" s="97">
        <v>2945.865606190886</v>
      </c>
      <c r="U8" s="97">
        <v>3108.7847807394669</v>
      </c>
      <c r="V8" s="97">
        <v>2652.8159931212381</v>
      </c>
      <c r="W8" s="97">
        <v>3030.9114359415298</v>
      </c>
      <c r="X8" s="97">
        <v>3304.4926913155632</v>
      </c>
      <c r="Y8" s="97">
        <v>2988.9008598452278</v>
      </c>
      <c r="DA8" s="175" t="s">
        <v>632</v>
      </c>
    </row>
    <row r="9" spans="1:105" ht="11.45" customHeight="1" x14ac:dyDescent="0.25">
      <c r="A9" s="92" t="s">
        <v>55</v>
      </c>
      <c r="B9" s="97">
        <v>1.676698194325021</v>
      </c>
      <c r="C9" s="97">
        <v>1.848667239896818</v>
      </c>
      <c r="D9" s="97">
        <v>1.9131556319862419</v>
      </c>
      <c r="E9" s="97">
        <v>1.999140154772141</v>
      </c>
      <c r="F9" s="97">
        <v>1.956147893379192</v>
      </c>
      <c r="G9" s="97">
        <v>2.6655202063628551</v>
      </c>
      <c r="H9" s="97">
        <v>2.7944969905417021</v>
      </c>
      <c r="I9" s="97">
        <v>2.1066208082545139</v>
      </c>
      <c r="J9" s="97">
        <v>1.5692175408426481</v>
      </c>
      <c r="K9" s="97">
        <v>1.397248495270851</v>
      </c>
      <c r="L9" s="97">
        <v>0.92433361994840924</v>
      </c>
      <c r="M9" s="97">
        <v>0.85984522785898532</v>
      </c>
      <c r="N9" s="97">
        <v>1.1177987962166811</v>
      </c>
      <c r="O9" s="97">
        <v>1.0963026655202059</v>
      </c>
      <c r="P9" s="97">
        <v>1.4402407566638</v>
      </c>
      <c r="Q9" s="97">
        <v>4.2347377472055028</v>
      </c>
      <c r="R9" s="97">
        <v>8.082545141874462</v>
      </c>
      <c r="S9" s="97">
        <v>8.7441112733084481</v>
      </c>
      <c r="T9" s="97">
        <v>9.6463057452196193</v>
      </c>
      <c r="U9" s="97">
        <v>9.2376909523027955</v>
      </c>
      <c r="V9" s="97">
        <v>7.9489340680114404</v>
      </c>
      <c r="W9" s="97">
        <v>7.2619473639618226</v>
      </c>
      <c r="X9" s="97">
        <v>7.5836189739482363</v>
      </c>
      <c r="Y9" s="97">
        <v>9.661117967500509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2.560447119518487</v>
      </c>
      <c r="H10" s="97">
        <f t="shared" si="8"/>
        <v>10.881857265692171</v>
      </c>
      <c r="I10" s="97">
        <f t="shared" si="8"/>
        <v>28.65202063628546</v>
      </c>
      <c r="J10" s="97">
        <f t="shared" si="8"/>
        <v>164.60782459157352</v>
      </c>
      <c r="K10" s="97">
        <f t="shared" si="8"/>
        <v>169.08615649183142</v>
      </c>
      <c r="L10" s="97">
        <f t="shared" si="8"/>
        <v>174.77308684436804</v>
      </c>
      <c r="M10" s="97">
        <f t="shared" si="8"/>
        <v>159.43198624247628</v>
      </c>
      <c r="N10" s="97">
        <f t="shared" si="8"/>
        <v>153.82871883061046</v>
      </c>
      <c r="O10" s="97">
        <f t="shared" si="8"/>
        <v>136.8205503009458</v>
      </c>
      <c r="P10" s="97">
        <f t="shared" si="8"/>
        <v>188.43740326741187</v>
      </c>
      <c r="Q10" s="97">
        <f t="shared" si="8"/>
        <v>175.1266552020636</v>
      </c>
      <c r="R10" s="97">
        <f t="shared" si="8"/>
        <v>187.14531384350812</v>
      </c>
      <c r="S10" s="97">
        <f t="shared" si="8"/>
        <v>164.23766000786094</v>
      </c>
      <c r="T10" s="97">
        <f t="shared" si="8"/>
        <v>193.24372005013717</v>
      </c>
      <c r="U10" s="97">
        <f t="shared" si="8"/>
        <v>202.49205969258114</v>
      </c>
      <c r="V10" s="97">
        <f t="shared" si="8"/>
        <v>279.12466868349327</v>
      </c>
      <c r="W10" s="97">
        <f t="shared" si="8"/>
        <v>284.98749373664009</v>
      </c>
      <c r="X10" s="97">
        <f t="shared" ref="X10:Y10" si="9">SUM(X11:X13)</f>
        <v>304.28697431925895</v>
      </c>
      <c r="Y10" s="97">
        <f t="shared" si="9"/>
        <v>312.76175391556046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4.8139201567276631E-3</v>
      </c>
      <c r="T11" s="97">
        <v>5.4569374974914944E-3</v>
      </c>
      <c r="U11" s="97">
        <v>5.6452471812973712E-3</v>
      </c>
      <c r="V11" s="97">
        <v>4.6342896841740713E-3</v>
      </c>
      <c r="W11" s="97">
        <v>3.7448114466035391E-3</v>
      </c>
      <c r="X11" s="97">
        <v>4.5151619073096616E-3</v>
      </c>
      <c r="Y11" s="97">
        <v>1.2140845913074303E-2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2.560447119518487</v>
      </c>
      <c r="H12" s="97">
        <v>10.881857265692171</v>
      </c>
      <c r="I12" s="97">
        <v>26.884522785898529</v>
      </c>
      <c r="J12" s="97">
        <v>46.379105760963022</v>
      </c>
      <c r="K12" s="97">
        <v>46.379105760963022</v>
      </c>
      <c r="L12" s="97">
        <v>56.54436801375752</v>
      </c>
      <c r="M12" s="97">
        <v>54.638349097162497</v>
      </c>
      <c r="N12" s="97">
        <v>50.826397248495269</v>
      </c>
      <c r="O12" s="97">
        <v>31.131212381771281</v>
      </c>
      <c r="P12" s="97">
        <v>60.356319862424748</v>
      </c>
      <c r="Q12" s="97">
        <v>42.56715391229578</v>
      </c>
      <c r="R12" s="97">
        <v>43.837747205503007</v>
      </c>
      <c r="S12" s="97">
        <v>45.108426483233011</v>
      </c>
      <c r="T12" s="97">
        <v>50.826397248495269</v>
      </c>
      <c r="U12" s="97">
        <v>45.743766122098023</v>
      </c>
      <c r="V12" s="97">
        <v>83.863542562338765</v>
      </c>
      <c r="W12" s="97">
        <v>87.040240756663792</v>
      </c>
      <c r="X12" s="97">
        <v>90.216852966466021</v>
      </c>
      <c r="Y12" s="97">
        <v>87.040240756663792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1.7674978503869301</v>
      </c>
      <c r="J13" s="97">
        <v>118.2287188306105</v>
      </c>
      <c r="K13" s="97">
        <v>122.7070507308684</v>
      </c>
      <c r="L13" s="97">
        <v>118.2287188306105</v>
      </c>
      <c r="M13" s="97">
        <v>104.7936371453138</v>
      </c>
      <c r="N13" s="97">
        <v>103.0023215821152</v>
      </c>
      <c r="O13" s="97">
        <v>105.68933791917451</v>
      </c>
      <c r="P13" s="97">
        <v>128.08108340498711</v>
      </c>
      <c r="Q13" s="97">
        <v>132.55950128976781</v>
      </c>
      <c r="R13" s="97">
        <v>143.30756663800511</v>
      </c>
      <c r="S13" s="97">
        <v>119.1244196044712</v>
      </c>
      <c r="T13" s="97">
        <v>142.4118658641444</v>
      </c>
      <c r="U13" s="97">
        <v>156.74264832330181</v>
      </c>
      <c r="V13" s="97">
        <v>195.2564918314703</v>
      </c>
      <c r="W13" s="97">
        <v>197.94350816852969</v>
      </c>
      <c r="X13" s="97">
        <v>214.0656061908856</v>
      </c>
      <c r="Y13" s="97">
        <v>225.70937231298359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3.6038892200879475</v>
      </c>
      <c r="C15" s="98">
        <v>3.5179825363528368</v>
      </c>
      <c r="D15" s="98">
        <v>3.5196460503403886</v>
      </c>
      <c r="E15" s="98">
        <v>3.5332911514803307</v>
      </c>
      <c r="F15" s="98">
        <v>3.4621763842496147</v>
      </c>
      <c r="G15" s="98">
        <v>1.9429262902855748</v>
      </c>
      <c r="H15" s="98">
        <v>1.6362919994739611</v>
      </c>
      <c r="I15" s="98">
        <v>1.3591097033769199</v>
      </c>
      <c r="J15" s="98">
        <v>1.0960345944992074</v>
      </c>
      <c r="K15" s="98">
        <v>0.87655587360806553</v>
      </c>
      <c r="L15" s="98">
        <v>0.69138491693221049</v>
      </c>
      <c r="M15" s="98">
        <v>0.56594961140111466</v>
      </c>
      <c r="N15" s="98">
        <v>0.43416307870921367</v>
      </c>
      <c r="O15" s="98">
        <v>0.34781196288050653</v>
      </c>
      <c r="P15" s="98">
        <v>0.27795466009453351</v>
      </c>
      <c r="Q15" s="98">
        <v>0.50979967712862828</v>
      </c>
      <c r="R15" s="98">
        <v>0.58745123454844161</v>
      </c>
      <c r="S15" s="98">
        <v>0.7332222808084714</v>
      </c>
      <c r="T15" s="98">
        <v>1.0487024241509626</v>
      </c>
      <c r="U15" s="98">
        <v>1.5642912733697587</v>
      </c>
      <c r="V15" s="98">
        <v>2.7223280506719068</v>
      </c>
      <c r="W15" s="98">
        <v>5.1339494673730162</v>
      </c>
      <c r="X15" s="98">
        <v>8.1768358646202834</v>
      </c>
      <c r="Y15" s="98">
        <v>11.250063873937284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2890.629770561447</v>
      </c>
      <c r="C17" s="79">
        <f t="shared" si="10"/>
        <v>3050.7927890711771</v>
      </c>
      <c r="D17" s="79">
        <f t="shared" si="10"/>
        <v>3253.2139710718366</v>
      </c>
      <c r="E17" s="79">
        <f t="shared" si="10"/>
        <v>3403.948940334627</v>
      </c>
      <c r="F17" s="79">
        <f t="shared" si="10"/>
        <v>3570.1120474074651</v>
      </c>
      <c r="G17" s="79">
        <f t="shared" si="10"/>
        <v>3875.5074146823754</v>
      </c>
      <c r="H17" s="79">
        <f t="shared" si="10"/>
        <v>4151.645922266026</v>
      </c>
      <c r="I17" s="79">
        <f t="shared" si="10"/>
        <v>4233.7252318013989</v>
      </c>
      <c r="J17" s="79">
        <f t="shared" si="10"/>
        <v>4338.3011076813436</v>
      </c>
      <c r="K17" s="79">
        <f t="shared" si="10"/>
        <v>4314.9445696311313</v>
      </c>
      <c r="L17" s="79">
        <f t="shared" ref="L17" si="11">L18+L42</f>
        <v>3911.3176101963809</v>
      </c>
      <c r="M17" s="79">
        <f t="shared" ref="M17:V17" si="12">M18+M42</f>
        <v>3620.4927767825093</v>
      </c>
      <c r="N17" s="79">
        <f t="shared" si="12"/>
        <v>3504.3106893039885</v>
      </c>
      <c r="O17" s="79">
        <f t="shared" si="12"/>
        <v>3269.4626872853223</v>
      </c>
      <c r="P17" s="79">
        <f t="shared" si="12"/>
        <v>3678.6671206102242</v>
      </c>
      <c r="Q17" s="79">
        <f t="shared" si="12"/>
        <v>4004.2478048362004</v>
      </c>
      <c r="R17" s="79">
        <f t="shared" si="12"/>
        <v>4073.8773050608602</v>
      </c>
      <c r="S17" s="79">
        <f t="shared" si="12"/>
        <v>4287.1204965714369</v>
      </c>
      <c r="T17" s="79">
        <f t="shared" si="12"/>
        <v>4569.622305175656</v>
      </c>
      <c r="U17" s="79">
        <f t="shared" si="12"/>
        <v>4848.9375500867836</v>
      </c>
      <c r="V17" s="79">
        <f t="shared" si="12"/>
        <v>4265.3362575433621</v>
      </c>
      <c r="W17" s="79">
        <f t="shared" ref="W17:Y17" si="13">W18+W42</f>
        <v>4730.8892375155237</v>
      </c>
      <c r="X17" s="79">
        <f t="shared" si="13"/>
        <v>5111.208220215437</v>
      </c>
      <c r="Y17" s="79">
        <f t="shared" si="13"/>
        <v>4776.6923682591487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1917.4381785425333</v>
      </c>
      <c r="C18" s="32">
        <f t="shared" si="14"/>
        <v>2014.7393706324483</v>
      </c>
      <c r="D18" s="32">
        <f t="shared" si="14"/>
        <v>2112.504186994975</v>
      </c>
      <c r="E18" s="32">
        <f t="shared" si="14"/>
        <v>2211.02488473412</v>
      </c>
      <c r="F18" s="32">
        <f t="shared" si="14"/>
        <v>2281.972446531754</v>
      </c>
      <c r="G18" s="32">
        <f t="shared" si="14"/>
        <v>2312.5803909226202</v>
      </c>
      <c r="H18" s="32">
        <f t="shared" si="14"/>
        <v>2482.7025941109091</v>
      </c>
      <c r="I18" s="32">
        <f t="shared" si="14"/>
        <v>2581.8391695091336</v>
      </c>
      <c r="J18" s="32">
        <f t="shared" si="14"/>
        <v>2589.1811349032218</v>
      </c>
      <c r="K18" s="32">
        <f t="shared" si="14"/>
        <v>2629.1664641851598</v>
      </c>
      <c r="L18" s="32">
        <f t="shared" ref="L18" si="15">L19+L21+L33</f>
        <v>2424.9325963231213</v>
      </c>
      <c r="M18" s="32">
        <f t="shared" ref="M18:V18" si="16">M19+M21+M33</f>
        <v>2281.9749856505859</v>
      </c>
      <c r="N18" s="32">
        <f t="shared" si="16"/>
        <v>2292.4395687135579</v>
      </c>
      <c r="O18" s="32">
        <f t="shared" si="16"/>
        <v>2192.639817767827</v>
      </c>
      <c r="P18" s="32">
        <f t="shared" si="16"/>
        <v>2344.6676274382694</v>
      </c>
      <c r="Q18" s="32">
        <f t="shared" si="16"/>
        <v>2483.1873330364738</v>
      </c>
      <c r="R18" s="32">
        <f t="shared" si="16"/>
        <v>2586.2624286744899</v>
      </c>
      <c r="S18" s="32">
        <f t="shared" si="16"/>
        <v>2711.2962662441346</v>
      </c>
      <c r="T18" s="32">
        <f t="shared" si="16"/>
        <v>2890.4103116763386</v>
      </c>
      <c r="U18" s="32">
        <f t="shared" si="16"/>
        <v>3152.2744183001014</v>
      </c>
      <c r="V18" s="32">
        <f t="shared" si="16"/>
        <v>2835.5982447326896</v>
      </c>
      <c r="W18" s="32">
        <f t="shared" ref="W18:Y18" si="17">W19+W21+W33</f>
        <v>3028.1839554111839</v>
      </c>
      <c r="X18" s="32">
        <f t="shared" si="17"/>
        <v>3244.5514190740605</v>
      </c>
      <c r="Y18" s="32">
        <f t="shared" si="17"/>
        <v>3197.954946464869</v>
      </c>
      <c r="DA18" s="173" t="s">
        <v>391</v>
      </c>
    </row>
    <row r="19" spans="1:105" ht="11.45" customHeight="1" x14ac:dyDescent="0.25">
      <c r="A19" s="107" t="s">
        <v>174</v>
      </c>
      <c r="B19" s="129">
        <v>11.815843089607139</v>
      </c>
      <c r="C19" s="129">
        <v>12.012348534340456</v>
      </c>
      <c r="D19" s="129">
        <v>12.482863564717071</v>
      </c>
      <c r="E19" s="129">
        <v>13.104568103375778</v>
      </c>
      <c r="F19" s="129">
        <v>14.221312624462936</v>
      </c>
      <c r="G19" s="129">
        <v>15.141632866280794</v>
      </c>
      <c r="H19" s="129">
        <v>15.903120143927358</v>
      </c>
      <c r="I19" s="129">
        <v>16.417080611664112</v>
      </c>
      <c r="J19" s="129">
        <v>16.887582288942703</v>
      </c>
      <c r="K19" s="129">
        <v>16.753362303143341</v>
      </c>
      <c r="L19" s="129">
        <v>16.622373471350656</v>
      </c>
      <c r="M19" s="129">
        <v>17.109035770523249</v>
      </c>
      <c r="N19" s="129">
        <v>17.404286061069747</v>
      </c>
      <c r="O19" s="129">
        <v>17.921990532118194</v>
      </c>
      <c r="P19" s="129">
        <v>18.2237696348143</v>
      </c>
      <c r="Q19" s="129">
        <v>18.116677623127813</v>
      </c>
      <c r="R19" s="129">
        <v>17.816159670401422</v>
      </c>
      <c r="S19" s="129">
        <v>18.651620784907461</v>
      </c>
      <c r="T19" s="129">
        <v>19.528685578248503</v>
      </c>
      <c r="U19" s="129">
        <v>19.874575251589444</v>
      </c>
      <c r="V19" s="129">
        <v>18.175684392503154</v>
      </c>
      <c r="W19" s="129">
        <v>18.431625696072139</v>
      </c>
      <c r="X19" s="129">
        <v>18.99871182036977</v>
      </c>
      <c r="Y19" s="129">
        <v>18.98295166293779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2.4683699865952674E-2</v>
      </c>
      <c r="H20" s="97">
        <v>0.10758184680010928</v>
      </c>
      <c r="I20" s="97">
        <v>0.26766735462008617</v>
      </c>
      <c r="J20" s="97">
        <v>0.48197482058576596</v>
      </c>
      <c r="K20" s="97">
        <v>0.47814415658260501</v>
      </c>
      <c r="L20" s="97">
        <v>0.66902758005603968</v>
      </c>
      <c r="M20" s="97">
        <v>0.7190948134339421</v>
      </c>
      <c r="N20" s="97">
        <v>0.68861211096686725</v>
      </c>
      <c r="O20" s="97">
        <v>0.46544651055553149</v>
      </c>
      <c r="P20" s="97">
        <v>0.84375744740015812</v>
      </c>
      <c r="Q20" s="97">
        <v>0.58169306517011332</v>
      </c>
      <c r="R20" s="97">
        <v>0.57847626525571127</v>
      </c>
      <c r="S20" s="97">
        <v>0.60837786747853928</v>
      </c>
      <c r="T20" s="97">
        <v>0.68571441152698875</v>
      </c>
      <c r="U20" s="97">
        <v>0.58549581947801488</v>
      </c>
      <c r="V20" s="97">
        <v>1.0948211947624307</v>
      </c>
      <c r="W20" s="97">
        <v>1.0874291706265784</v>
      </c>
      <c r="X20" s="97">
        <v>1.0969215068322542</v>
      </c>
      <c r="Y20" s="97">
        <v>1.0829284760604885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1522.5252820607639</v>
      </c>
      <c r="C21" s="130">
        <f t="shared" si="18"/>
        <v>1618.5641545963406</v>
      </c>
      <c r="D21" s="130">
        <f t="shared" si="18"/>
        <v>1703.2228526004385</v>
      </c>
      <c r="E21" s="130">
        <f t="shared" si="18"/>
        <v>1800.429628083597</v>
      </c>
      <c r="F21" s="130">
        <f t="shared" si="18"/>
        <v>1884.5516762323482</v>
      </c>
      <c r="G21" s="130">
        <f t="shared" si="18"/>
        <v>1902.8827761322568</v>
      </c>
      <c r="H21" s="130">
        <f t="shared" si="18"/>
        <v>2039.9835902088953</v>
      </c>
      <c r="I21" s="130">
        <f t="shared" si="18"/>
        <v>2144.3206688730606</v>
      </c>
      <c r="J21" s="130">
        <f t="shared" si="18"/>
        <v>2179.9940894189017</v>
      </c>
      <c r="K21" s="130">
        <f t="shared" si="18"/>
        <v>2234.9290078320669</v>
      </c>
      <c r="L21" s="130">
        <f t="shared" ref="L21" si="19">L22+L24+L26+L27+L29+L32</f>
        <v>2027.2828511944981</v>
      </c>
      <c r="M21" s="130">
        <f t="shared" ref="M21:V21" si="20">M22+M24+M26+M27+M29+M32</f>
        <v>1907.8667600392914</v>
      </c>
      <c r="N21" s="130">
        <f t="shared" si="20"/>
        <v>1925.6203658975037</v>
      </c>
      <c r="O21" s="130">
        <f t="shared" si="20"/>
        <v>1839.0502669964658</v>
      </c>
      <c r="P21" s="130">
        <f t="shared" si="20"/>
        <v>1955.3625709012722</v>
      </c>
      <c r="Q21" s="130">
        <f t="shared" si="20"/>
        <v>2076.210814816483</v>
      </c>
      <c r="R21" s="130">
        <f t="shared" si="20"/>
        <v>2181.4696791758715</v>
      </c>
      <c r="S21" s="130">
        <f t="shared" si="20"/>
        <v>2287.2853138571427</v>
      </c>
      <c r="T21" s="130">
        <f t="shared" si="20"/>
        <v>2454.1083625271899</v>
      </c>
      <c r="U21" s="130">
        <f t="shared" si="20"/>
        <v>2712.0158216311397</v>
      </c>
      <c r="V21" s="130">
        <f t="shared" si="20"/>
        <v>2478.7948895413806</v>
      </c>
      <c r="W21" s="130">
        <f t="shared" ref="W21:Y21" si="21">W22+W24+W26+W27+W29+W32</f>
        <v>2643.3021572496514</v>
      </c>
      <c r="X21" s="130">
        <f t="shared" si="21"/>
        <v>2841.160772113737</v>
      </c>
      <c r="Y21" s="130">
        <f t="shared" si="21"/>
        <v>2819.1252240166277</v>
      </c>
      <c r="DA21" s="176" t="s">
        <v>393</v>
      </c>
    </row>
    <row r="22" spans="1:105" ht="11.45" customHeight="1" x14ac:dyDescent="0.25">
      <c r="A22" s="111" t="s">
        <v>110</v>
      </c>
      <c r="B22" s="96">
        <v>1300.3186225290253</v>
      </c>
      <c r="C22" s="96">
        <v>1366.7357366778435</v>
      </c>
      <c r="D22" s="96">
        <v>1412.1400538763585</v>
      </c>
      <c r="E22" s="96">
        <v>1419.3176799960818</v>
      </c>
      <c r="F22" s="96">
        <v>1444.9443908598871</v>
      </c>
      <c r="G22" s="96">
        <v>1495.8161950626493</v>
      </c>
      <c r="H22" s="96">
        <v>1539.270085300903</v>
      </c>
      <c r="I22" s="96">
        <v>1585.3368532230165</v>
      </c>
      <c r="J22" s="96">
        <v>1569.8860478030722</v>
      </c>
      <c r="K22" s="96">
        <v>1574.2172005897198</v>
      </c>
      <c r="L22" s="96">
        <v>1357.9337220154443</v>
      </c>
      <c r="M22" s="96">
        <v>1256.2913121537583</v>
      </c>
      <c r="N22" s="96">
        <v>1242.1703271728015</v>
      </c>
      <c r="O22" s="96">
        <v>1158.2386753324306</v>
      </c>
      <c r="P22" s="96">
        <v>1265.3195544139219</v>
      </c>
      <c r="Q22" s="96">
        <v>1290.0290410799771</v>
      </c>
      <c r="R22" s="96">
        <v>1316.0836989029574</v>
      </c>
      <c r="S22" s="96">
        <v>1348.5795219299343</v>
      </c>
      <c r="T22" s="96">
        <v>1412.2696090210588</v>
      </c>
      <c r="U22" s="96">
        <v>1517.012205598448</v>
      </c>
      <c r="V22" s="96">
        <v>1358.6854351280426</v>
      </c>
      <c r="W22" s="96">
        <v>1441.2692224114007</v>
      </c>
      <c r="X22" s="96">
        <v>1527.3054220785489</v>
      </c>
      <c r="Y22" s="96">
        <v>1489.4890644454313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2.4384607881875615</v>
      </c>
      <c r="H23" s="96">
        <v>10.412894891199489</v>
      </c>
      <c r="I23" s="96">
        <v>25.84764805153279</v>
      </c>
      <c r="J23" s="96">
        <v>44.804847330064725</v>
      </c>
      <c r="K23" s="96">
        <v>44.928459256956167</v>
      </c>
      <c r="L23" s="96">
        <v>54.654957276848123</v>
      </c>
      <c r="M23" s="96">
        <v>52.802073643935145</v>
      </c>
      <c r="N23" s="96">
        <v>49.147292119507483</v>
      </c>
      <c r="O23" s="96">
        <v>30.080260831396906</v>
      </c>
      <c r="P23" s="96">
        <v>58.584081053034843</v>
      </c>
      <c r="Q23" s="96">
        <v>41.420450408981687</v>
      </c>
      <c r="R23" s="96">
        <v>42.732171073327116</v>
      </c>
      <c r="S23" s="96">
        <v>43.987916285583658</v>
      </c>
      <c r="T23" s="96">
        <v>49.589288535935431</v>
      </c>
      <c r="U23" s="96">
        <v>44.690479833222149</v>
      </c>
      <c r="V23" s="96">
        <v>81.841078402898901</v>
      </c>
      <c r="W23" s="96">
        <v>85.032010796011164</v>
      </c>
      <c r="X23" s="96">
        <v>88.18146097585614</v>
      </c>
      <c r="Y23" s="96">
        <v>84.971512929566458</v>
      </c>
      <c r="DA23" s="171" t="s">
        <v>642</v>
      </c>
    </row>
    <row r="24" spans="1:105" ht="11.45" customHeight="1" x14ac:dyDescent="0.25">
      <c r="A24" s="111" t="s">
        <v>111</v>
      </c>
      <c r="B24" s="96">
        <v>222.20665953173847</v>
      </c>
      <c r="C24" s="96">
        <v>249.75360805405137</v>
      </c>
      <c r="D24" s="96">
        <v>288.99820548278717</v>
      </c>
      <c r="E24" s="96">
        <v>337.2250894586752</v>
      </c>
      <c r="F24" s="96">
        <v>400.48664027387071</v>
      </c>
      <c r="G24" s="96">
        <v>374.67680194060756</v>
      </c>
      <c r="H24" s="96">
        <v>467.19733866102922</v>
      </c>
      <c r="I24" s="96">
        <v>526.58369650033592</v>
      </c>
      <c r="J24" s="96">
        <v>579.94635893402244</v>
      </c>
      <c r="K24" s="96">
        <v>633.90824312185543</v>
      </c>
      <c r="L24" s="96">
        <v>640.26919753572122</v>
      </c>
      <c r="M24" s="96">
        <v>620.20263823525386</v>
      </c>
      <c r="N24" s="96">
        <v>659.92377685735369</v>
      </c>
      <c r="O24" s="96">
        <v>648.07242617738927</v>
      </c>
      <c r="P24" s="96">
        <v>659.38814967222379</v>
      </c>
      <c r="Q24" s="96">
        <v>755.03167618089265</v>
      </c>
      <c r="R24" s="96">
        <v>836.80581501392487</v>
      </c>
      <c r="S24" s="96">
        <v>910.93539362339413</v>
      </c>
      <c r="T24" s="96">
        <v>1016.8690637165163</v>
      </c>
      <c r="U24" s="96">
        <v>1172.6053968208041</v>
      </c>
      <c r="V24" s="96">
        <v>1102.1697685731453</v>
      </c>
      <c r="W24" s="96">
        <v>1181.6699707429952</v>
      </c>
      <c r="X24" s="96">
        <v>1290.0388154440275</v>
      </c>
      <c r="Y24" s="96">
        <v>1302.2163364080727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0.36517013131103232</v>
      </c>
      <c r="J25" s="96">
        <v>25.581764476512621</v>
      </c>
      <c r="K25" s="96">
        <v>29.234972403767046</v>
      </c>
      <c r="L25" s="96">
        <v>30.577255099943226</v>
      </c>
      <c r="M25" s="96">
        <v>28.410454673936147</v>
      </c>
      <c r="N25" s="96">
        <v>30.973493782142157</v>
      </c>
      <c r="O25" s="96">
        <v>33.629097197559162</v>
      </c>
      <c r="P25" s="96">
        <v>36.045079227568365</v>
      </c>
      <c r="Q25" s="96">
        <v>37.862107575019927</v>
      </c>
      <c r="R25" s="96">
        <v>44.621442048001178</v>
      </c>
      <c r="S25" s="96">
        <v>37.832953429396582</v>
      </c>
      <c r="T25" s="96">
        <v>46.891583419488207</v>
      </c>
      <c r="U25" s="96">
        <v>56.284100908207748</v>
      </c>
      <c r="V25" s="96">
        <v>75.561911977766712</v>
      </c>
      <c r="W25" s="96">
        <v>72.441749027143473</v>
      </c>
      <c r="X25" s="96">
        <v>78.484685398989512</v>
      </c>
      <c r="Y25" s="96">
        <v>91.433303162556911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2.0748098644454886</v>
      </c>
      <c r="D26" s="96">
        <v>2.0845932412927404</v>
      </c>
      <c r="E26" s="96">
        <v>43.88685862883991</v>
      </c>
      <c r="F26" s="96">
        <v>39.120645098590366</v>
      </c>
      <c r="G26" s="96">
        <v>32.389779128999983</v>
      </c>
      <c r="H26" s="96">
        <v>33.516166246963174</v>
      </c>
      <c r="I26" s="96">
        <v>32.400119149708352</v>
      </c>
      <c r="J26" s="96">
        <v>30.1616826818072</v>
      </c>
      <c r="K26" s="96">
        <v>26.803564120491536</v>
      </c>
      <c r="L26" s="96">
        <v>29.058543098224174</v>
      </c>
      <c r="M26" s="96">
        <v>31.315689554416302</v>
      </c>
      <c r="N26" s="96">
        <v>23.468010157024175</v>
      </c>
      <c r="O26" s="96">
        <v>32.460958258397511</v>
      </c>
      <c r="P26" s="96">
        <v>30.218080715955264</v>
      </c>
      <c r="Q26" s="96">
        <v>30.226904218260252</v>
      </c>
      <c r="R26" s="96">
        <v>27.482015768956302</v>
      </c>
      <c r="S26" s="96">
        <v>26.379815619180658</v>
      </c>
      <c r="T26" s="96">
        <v>23.08317913511609</v>
      </c>
      <c r="U26" s="96">
        <v>19.787452637014955</v>
      </c>
      <c r="V26" s="96">
        <v>14.283373094171553</v>
      </c>
      <c r="W26" s="96">
        <v>14.288851753259999</v>
      </c>
      <c r="X26" s="96">
        <v>14.241251054631817</v>
      </c>
      <c r="Y26" s="96">
        <v>15.19381770932403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1.8625158706580256E-3</v>
      </c>
      <c r="M27" s="96">
        <v>2.1357232235510158E-3</v>
      </c>
      <c r="N27" s="96">
        <v>1.4182560132598059E-3</v>
      </c>
      <c r="O27" s="96">
        <v>0.22036235246352529</v>
      </c>
      <c r="P27" s="96">
        <v>0.37112406635351186</v>
      </c>
      <c r="Q27" s="96">
        <v>0.83254360847983966</v>
      </c>
      <c r="R27" s="96">
        <v>0.93197736530886277</v>
      </c>
      <c r="S27" s="96">
        <v>1.0338154962479944</v>
      </c>
      <c r="T27" s="96">
        <v>1.1361509052066254</v>
      </c>
      <c r="U27" s="96">
        <v>1.2242127642719045</v>
      </c>
      <c r="V27" s="96">
        <v>1.1040092574536384</v>
      </c>
      <c r="W27" s="96">
        <v>1.1244966305431401</v>
      </c>
      <c r="X27" s="96">
        <v>1.1897914111499863</v>
      </c>
      <c r="Y27" s="96">
        <v>1.1474305503659066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5.6883618795173574E-4</v>
      </c>
      <c r="T28" s="96">
        <v>6.4235981356366891E-4</v>
      </c>
      <c r="U28" s="96">
        <v>7.4767199933720402E-4</v>
      </c>
      <c r="V28" s="96">
        <v>6.4327085440834967E-4</v>
      </c>
      <c r="W28" s="96">
        <v>5.7957696969020676E-4</v>
      </c>
      <c r="X28" s="96">
        <v>7.0796071354146267E-4</v>
      </c>
      <c r="Y28" s="96">
        <v>1.44013282148816E-3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3.105558502624426E-3</v>
      </c>
      <c r="O29" s="96">
        <v>3.0978842412245074E-3</v>
      </c>
      <c r="P29" s="96">
        <v>7.9889923472079415E-3</v>
      </c>
      <c r="Q29" s="96">
        <v>2.0141463626084488E-2</v>
      </c>
      <c r="R29" s="96">
        <v>7.4288443386237829E-2</v>
      </c>
      <c r="S29" s="96">
        <v>0.14388491074839041</v>
      </c>
      <c r="T29" s="96">
        <v>0.35152341201366427</v>
      </c>
      <c r="U29" s="96">
        <v>0.607022363982751</v>
      </c>
      <c r="V29" s="96">
        <v>1.2749949545109387</v>
      </c>
      <c r="W29" s="96">
        <v>2.6486102400765703</v>
      </c>
      <c r="X29" s="96">
        <v>4.610058543586403</v>
      </c>
      <c r="Y29" s="96">
        <v>5.8236900807700689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7.6479557942861547E-5</v>
      </c>
      <c r="O30" s="96">
        <v>5.0017027861278767E-5</v>
      </c>
      <c r="P30" s="96">
        <v>2.1641930599972529E-4</v>
      </c>
      <c r="Q30" s="96">
        <v>3.3734517304320343E-4</v>
      </c>
      <c r="R30" s="96">
        <v>1.3616641049707249E-3</v>
      </c>
      <c r="S30" s="96">
        <v>2.7645451371146237E-3</v>
      </c>
      <c r="T30" s="96">
        <v>7.3251825576646067E-3</v>
      </c>
      <c r="U30" s="96">
        <v>1.0374948209969818E-2</v>
      </c>
      <c r="V30" s="96">
        <v>3.9752598862160926E-2</v>
      </c>
      <c r="W30" s="96">
        <v>7.7284163170266526E-2</v>
      </c>
      <c r="X30" s="96">
        <v>0.13644382979879763</v>
      </c>
      <c r="Y30" s="96">
        <v>0.16010503352921238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1.1725804398471274E-3</v>
      </c>
      <c r="O31" s="96">
        <v>1.1719815231986906E-3</v>
      </c>
      <c r="P31" s="96">
        <v>3.3146921804742186E-3</v>
      </c>
      <c r="Q31" s="96">
        <v>9.6349368791055056E-3</v>
      </c>
      <c r="R31" s="96">
        <v>3.2351329335605375E-2</v>
      </c>
      <c r="S31" s="96">
        <v>5.912961260789578E-2</v>
      </c>
      <c r="T31" s="96">
        <v>0.14290713595589913</v>
      </c>
      <c r="U31" s="96">
        <v>0.25484617062543707</v>
      </c>
      <c r="V31" s="96">
        <v>0.61504180950701726</v>
      </c>
      <c r="W31" s="96">
        <v>1.3386649063793579</v>
      </c>
      <c r="X31" s="96">
        <v>2.2468475153871386</v>
      </c>
      <c r="Y31" s="96">
        <v>3.017164830335791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1.9526029237829597E-2</v>
      </c>
      <c r="M32" s="96">
        <v>5.4984372639289403E-2</v>
      </c>
      <c r="N32" s="96">
        <v>5.3727895808625463E-2</v>
      </c>
      <c r="O32" s="96">
        <v>5.4746991543619561E-2</v>
      </c>
      <c r="P32" s="96">
        <v>5.7673040470406139E-2</v>
      </c>
      <c r="Q32" s="96">
        <v>7.0508265247059845E-2</v>
      </c>
      <c r="R32" s="96">
        <v>9.1883681337887241E-2</v>
      </c>
      <c r="S32" s="96">
        <v>0.21288227763697998</v>
      </c>
      <c r="T32" s="96">
        <v>0.39883633727844214</v>
      </c>
      <c r="U32" s="96">
        <v>0.77953144661800178</v>
      </c>
      <c r="V32" s="96">
        <v>1.2773085340568326</v>
      </c>
      <c r="W32" s="96">
        <v>2.3010054713755483</v>
      </c>
      <c r="X32" s="96">
        <v>3.7754335817922708</v>
      </c>
      <c r="Y32" s="96">
        <v>5.2548848226637794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383.09705339216225</v>
      </c>
      <c r="C33" s="130">
        <f t="shared" si="22"/>
        <v>384.16286750176727</v>
      </c>
      <c r="D33" s="130">
        <f t="shared" si="22"/>
        <v>396.79847082981962</v>
      </c>
      <c r="E33" s="130">
        <f t="shared" si="22"/>
        <v>397.49068854714727</v>
      </c>
      <c r="F33" s="130">
        <f t="shared" si="22"/>
        <v>383.19945767494301</v>
      </c>
      <c r="G33" s="130">
        <f t="shared" si="22"/>
        <v>394.55598192408257</v>
      </c>
      <c r="H33" s="130">
        <f t="shared" si="22"/>
        <v>426.81588375808616</v>
      </c>
      <c r="I33" s="130">
        <f t="shared" si="22"/>
        <v>421.10142002440915</v>
      </c>
      <c r="J33" s="130">
        <f t="shared" si="22"/>
        <v>392.29946319537737</v>
      </c>
      <c r="K33" s="130">
        <f t="shared" si="22"/>
        <v>377.48409404994982</v>
      </c>
      <c r="L33" s="130">
        <f t="shared" ref="L33" si="23">L34+L36+L38+L39+L41</f>
        <v>381.02737165727251</v>
      </c>
      <c r="M33" s="130">
        <f t="shared" ref="M33:V33" si="24">M34+M36+M38+M39+M41</f>
        <v>356.99918984077124</v>
      </c>
      <c r="N33" s="130">
        <f t="shared" si="24"/>
        <v>349.41491675498457</v>
      </c>
      <c r="O33" s="130">
        <f t="shared" si="24"/>
        <v>335.66756023924296</v>
      </c>
      <c r="P33" s="130">
        <f t="shared" si="24"/>
        <v>371.08128690218274</v>
      </c>
      <c r="Q33" s="130">
        <f t="shared" si="24"/>
        <v>388.85984059686263</v>
      </c>
      <c r="R33" s="130">
        <f t="shared" si="24"/>
        <v>386.97658982821707</v>
      </c>
      <c r="S33" s="130">
        <f t="shared" si="24"/>
        <v>405.35933160208435</v>
      </c>
      <c r="T33" s="130">
        <f t="shared" si="24"/>
        <v>416.77326357090038</v>
      </c>
      <c r="U33" s="130">
        <f t="shared" si="24"/>
        <v>420.38402141737231</v>
      </c>
      <c r="V33" s="130">
        <f t="shared" si="24"/>
        <v>338.62767079880609</v>
      </c>
      <c r="W33" s="130">
        <f t="shared" ref="W33:Y33" si="25">W34+W36+W38+W39+W41</f>
        <v>366.45017246546053</v>
      </c>
      <c r="X33" s="130">
        <f t="shared" si="25"/>
        <v>384.39193513995343</v>
      </c>
      <c r="Y33" s="130">
        <f t="shared" si="25"/>
        <v>359.84677078530308</v>
      </c>
      <c r="DA33" s="176" t="s">
        <v>394</v>
      </c>
    </row>
    <row r="34" spans="1:105" ht="11.45" customHeight="1" x14ac:dyDescent="0.25">
      <c r="A34" s="111" t="s">
        <v>110</v>
      </c>
      <c r="B34" s="97">
        <v>6.8957919409584303</v>
      </c>
      <c r="C34" s="97">
        <v>6.3220239252231396</v>
      </c>
      <c r="D34" s="97">
        <v>5.7207360636236126</v>
      </c>
      <c r="E34" s="97">
        <v>5.1045451290718011</v>
      </c>
      <c r="F34" s="97">
        <v>4.4857238249266631</v>
      </c>
      <c r="G34" s="97">
        <v>3.8825741277664378</v>
      </c>
      <c r="H34" s="97">
        <v>3.3184539356909717</v>
      </c>
      <c r="I34" s="97">
        <v>2.8313357067381393</v>
      </c>
      <c r="J34" s="97">
        <v>2.3705604460812553</v>
      </c>
      <c r="K34" s="97">
        <v>1.9213165313788769</v>
      </c>
      <c r="L34" s="97">
        <v>1.5483280791187364</v>
      </c>
      <c r="M34" s="97">
        <v>1.202550344347709</v>
      </c>
      <c r="N34" s="97">
        <v>0.99753102963376794</v>
      </c>
      <c r="O34" s="97">
        <v>1.0034778207255552</v>
      </c>
      <c r="P34" s="97">
        <v>0.87206930078066858</v>
      </c>
      <c r="Q34" s="97">
        <v>0.66536204881665439</v>
      </c>
      <c r="R34" s="97">
        <v>0.43517453599393513</v>
      </c>
      <c r="S34" s="97">
        <v>0.37175930899784349</v>
      </c>
      <c r="T34" s="97">
        <v>0.35755944432465603</v>
      </c>
      <c r="U34" s="97">
        <v>0.34280303523870176</v>
      </c>
      <c r="V34" s="97">
        <v>0.33551515574830681</v>
      </c>
      <c r="W34" s="97">
        <v>0.32371927216169888</v>
      </c>
      <c r="X34" s="97">
        <v>0.23020565598668496</v>
      </c>
      <c r="Y34" s="97">
        <v>0.16435725354252301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6.3293236154549418E-3</v>
      </c>
      <c r="H35" s="97">
        <v>2.2448764751302537E-2</v>
      </c>
      <c r="I35" s="97">
        <v>4.6162661717427604E-2</v>
      </c>
      <c r="J35" s="97">
        <v>6.7656247421267732E-2</v>
      </c>
      <c r="K35" s="97">
        <v>5.4834740382353274E-2</v>
      </c>
      <c r="L35" s="97">
        <v>6.2318067253812837E-2</v>
      </c>
      <c r="M35" s="97">
        <v>5.0543334359233263E-2</v>
      </c>
      <c r="N35" s="97">
        <v>3.9467976201997726E-2</v>
      </c>
      <c r="O35" s="97">
        <v>2.6061014218233525E-2</v>
      </c>
      <c r="P35" s="97">
        <v>4.0376660917456536E-2</v>
      </c>
      <c r="Q35" s="97">
        <v>2.1363546764774029E-2</v>
      </c>
      <c r="R35" s="97">
        <v>1.4129764493207795E-2</v>
      </c>
      <c r="S35" s="97">
        <v>1.2126031202951327E-2</v>
      </c>
      <c r="T35" s="97">
        <v>1.2555052052458143E-2</v>
      </c>
      <c r="U35" s="97">
        <v>1.0098819295299554E-2</v>
      </c>
      <c r="V35" s="97">
        <v>2.0209918688331479E-2</v>
      </c>
      <c r="W35" s="97">
        <v>1.9098791688117518E-2</v>
      </c>
      <c r="X35" s="97">
        <v>1.3291297717115817E-2</v>
      </c>
      <c r="Y35" s="97">
        <v>9.3761577898232168E-3</v>
      </c>
      <c r="DA35" s="175" t="s">
        <v>653</v>
      </c>
    </row>
    <row r="36" spans="1:105" ht="11.45" customHeight="1" x14ac:dyDescent="0.25">
      <c r="A36" s="111" t="s">
        <v>111</v>
      </c>
      <c r="B36" s="97">
        <v>370.92829102305626</v>
      </c>
      <c r="C36" s="97">
        <v>372.48144524173244</v>
      </c>
      <c r="D36" s="97">
        <v>385.65218192365666</v>
      </c>
      <c r="E36" s="97">
        <v>386.86095807466353</v>
      </c>
      <c r="F36" s="97">
        <v>373.30265238072985</v>
      </c>
      <c r="G36" s="97">
        <v>386.0711670441566</v>
      </c>
      <c r="H36" s="97">
        <v>419.07284405139336</v>
      </c>
      <c r="I36" s="97">
        <v>414.81055476342351</v>
      </c>
      <c r="J36" s="97">
        <v>387.2688163522011</v>
      </c>
      <c r="K36" s="97">
        <v>373.2941363684339</v>
      </c>
      <c r="L36" s="97">
        <v>377.88884211414739</v>
      </c>
      <c r="M36" s="97">
        <v>354.43209118758932</v>
      </c>
      <c r="N36" s="97">
        <v>346.92703299556007</v>
      </c>
      <c r="O36" s="97">
        <v>333.55743922934971</v>
      </c>
      <c r="P36" s="97">
        <v>368.99158318506318</v>
      </c>
      <c r="Q36" s="97">
        <v>384.74572640125643</v>
      </c>
      <c r="R36" s="97">
        <v>379.33001176484248</v>
      </c>
      <c r="S36" s="97">
        <v>397.29394971913808</v>
      </c>
      <c r="T36" s="97">
        <v>407.98715336886903</v>
      </c>
      <c r="U36" s="97">
        <v>412.12249738616822</v>
      </c>
      <c r="V36" s="97">
        <v>331.29060680131136</v>
      </c>
      <c r="W36" s="97">
        <v>359.26889190445814</v>
      </c>
      <c r="X36" s="97">
        <v>376.57794729329345</v>
      </c>
      <c r="Y36" s="97">
        <v>349.71574805420369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0.28765878199205674</v>
      </c>
      <c r="J37" s="97">
        <v>17.082648242209075</v>
      </c>
      <c r="K37" s="97">
        <v>17.215809848873317</v>
      </c>
      <c r="L37" s="97">
        <v>18.046789646009483</v>
      </c>
      <c r="M37" s="97">
        <v>16.235946513103734</v>
      </c>
      <c r="N37" s="97">
        <v>16.283005213900207</v>
      </c>
      <c r="O37" s="97">
        <v>17.308614117370851</v>
      </c>
      <c r="P37" s="97">
        <v>20.170715619962184</v>
      </c>
      <c r="Q37" s="97">
        <v>19.293606535447516</v>
      </c>
      <c r="R37" s="97">
        <v>20.227216199197731</v>
      </c>
      <c r="S37" s="97">
        <v>16.500405629995011</v>
      </c>
      <c r="T37" s="97">
        <v>18.8137925706522</v>
      </c>
      <c r="U37" s="97">
        <v>19.781543128076226</v>
      </c>
      <c r="V37" s="97">
        <v>22.712428143069964</v>
      </c>
      <c r="W37" s="97">
        <v>22.024818726872077</v>
      </c>
      <c r="X37" s="97">
        <v>22.910629794761981</v>
      </c>
      <c r="Y37" s="97">
        <v>24.55480331383297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1.0361874628054237E-2</v>
      </c>
      <c r="Q38" s="97">
        <v>1.0469909434899225E-2</v>
      </c>
      <c r="R38" s="97">
        <v>2.0940139435502284E-2</v>
      </c>
      <c r="S38" s="97">
        <v>2.1167649594692969E-2</v>
      </c>
      <c r="T38" s="97">
        <v>2.067314057930528E-2</v>
      </c>
      <c r="U38" s="97">
        <v>2.0034066932507727E-2</v>
      </c>
      <c r="V38" s="97">
        <v>1.9333851207058494E-2</v>
      </c>
      <c r="W38" s="97">
        <v>1.9056209192347635E-2</v>
      </c>
      <c r="X38" s="97">
        <v>1.9487268409687886E-2</v>
      </c>
      <c r="Y38" s="97">
        <v>1.9368616612280818E-2</v>
      </c>
      <c r="DA38" s="175" t="s">
        <v>656</v>
      </c>
    </row>
    <row r="39" spans="1:105" ht="11.45" customHeight="1" x14ac:dyDescent="0.25">
      <c r="A39" s="111" t="s">
        <v>113</v>
      </c>
      <c r="B39" s="97">
        <v>1.6690812080596511</v>
      </c>
      <c r="C39" s="97">
        <v>1.8414157984588166</v>
      </c>
      <c r="D39" s="97">
        <v>1.9059067921989428</v>
      </c>
      <c r="E39" s="97">
        <v>1.9918941919315689</v>
      </c>
      <c r="F39" s="97">
        <v>1.9489050850368566</v>
      </c>
      <c r="G39" s="97">
        <v>2.6593144618739735</v>
      </c>
      <c r="H39" s="97">
        <v>2.7882937715278877</v>
      </c>
      <c r="I39" s="97">
        <v>2.1004198508706011</v>
      </c>
      <c r="J39" s="97">
        <v>1.5640518025958026</v>
      </c>
      <c r="K39" s="97">
        <v>1.3920852765289677</v>
      </c>
      <c r="L39" s="97">
        <v>0.91834257631201077</v>
      </c>
      <c r="M39" s="97">
        <v>0.85358307007244527</v>
      </c>
      <c r="N39" s="97">
        <v>1.1110901273300147</v>
      </c>
      <c r="O39" s="97">
        <v>0.81743449554616421</v>
      </c>
      <c r="P39" s="97">
        <v>0.99312569459796252</v>
      </c>
      <c r="Q39" s="97">
        <v>3.0142925886150072</v>
      </c>
      <c r="R39" s="97">
        <v>6.7397723345860587</v>
      </c>
      <c r="S39" s="97">
        <v>7.2366621981166386</v>
      </c>
      <c r="T39" s="97">
        <v>7.9590725759324181</v>
      </c>
      <c r="U39" s="97">
        <v>7.450121153016517</v>
      </c>
      <c r="V39" s="97">
        <v>6.2801259575460229</v>
      </c>
      <c r="W39" s="97">
        <v>5.5670658168763945</v>
      </c>
      <c r="X39" s="97">
        <v>5.8241147667965061</v>
      </c>
      <c r="Y39" s="97">
        <v>7.5682922135681636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3.9818278534331673E-3</v>
      </c>
      <c r="T40" s="97">
        <v>4.4999201713313425E-3</v>
      </c>
      <c r="U40" s="97">
        <v>4.5500644498614939E-3</v>
      </c>
      <c r="V40" s="97">
        <v>3.6592283653675193E-3</v>
      </c>
      <c r="W40" s="97">
        <v>2.8693221914348581E-3</v>
      </c>
      <c r="X40" s="97">
        <v>3.4655187517813133E-3</v>
      </c>
      <c r="Y40" s="97">
        <v>9.4989156562870613E-3</v>
      </c>
      <c r="DA40" s="175" t="s">
        <v>658</v>
      </c>
    </row>
    <row r="41" spans="1:105" ht="11.45" customHeight="1" x14ac:dyDescent="0.25">
      <c r="A41" s="111" t="s">
        <v>115</v>
      </c>
      <c r="B41" s="97">
        <v>3.6038892200879475</v>
      </c>
      <c r="C41" s="97">
        <v>3.5179825363528368</v>
      </c>
      <c r="D41" s="97">
        <v>3.5196460503403886</v>
      </c>
      <c r="E41" s="97">
        <v>3.5332911514803307</v>
      </c>
      <c r="F41" s="97">
        <v>3.4621763842496147</v>
      </c>
      <c r="G41" s="97">
        <v>1.9429262902855748</v>
      </c>
      <c r="H41" s="97">
        <v>1.6362919994739611</v>
      </c>
      <c r="I41" s="97">
        <v>1.3591097033769199</v>
      </c>
      <c r="J41" s="97">
        <v>1.0960345944992074</v>
      </c>
      <c r="K41" s="97">
        <v>0.87655587360806553</v>
      </c>
      <c r="L41" s="97">
        <v>0.67185888769438085</v>
      </c>
      <c r="M41" s="97">
        <v>0.51096523876182531</v>
      </c>
      <c r="N41" s="97">
        <v>0.37926260246074106</v>
      </c>
      <c r="O41" s="97">
        <v>0.28920869362153834</v>
      </c>
      <c r="P41" s="97">
        <v>0.21414684711290749</v>
      </c>
      <c r="Q41" s="97">
        <v>0.42398964873962058</v>
      </c>
      <c r="R41" s="97">
        <v>0.45069105335908183</v>
      </c>
      <c r="S41" s="97">
        <v>0.43579272623708065</v>
      </c>
      <c r="T41" s="97">
        <v>0.44880504119497289</v>
      </c>
      <c r="U41" s="97">
        <v>0.44856577601631636</v>
      </c>
      <c r="V41" s="97">
        <v>0.70208903299332204</v>
      </c>
      <c r="W41" s="97">
        <v>1.2714392627719329</v>
      </c>
      <c r="X41" s="97">
        <v>1.7401801554670415</v>
      </c>
      <c r="Y41" s="97">
        <v>2.3790046473764423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973.19159201891398</v>
      </c>
      <c r="C42" s="32">
        <f t="shared" si="26"/>
        <v>1036.0534184387286</v>
      </c>
      <c r="D42" s="32">
        <f t="shared" si="26"/>
        <v>1140.7097840768613</v>
      </c>
      <c r="E42" s="32">
        <f t="shared" si="26"/>
        <v>1192.9240556005072</v>
      </c>
      <c r="F42" s="32">
        <f t="shared" si="26"/>
        <v>1288.1396008757113</v>
      </c>
      <c r="G42" s="32">
        <f t="shared" si="26"/>
        <v>1562.927023759755</v>
      </c>
      <c r="H42" s="32">
        <f t="shared" si="26"/>
        <v>1668.9433281551167</v>
      </c>
      <c r="I42" s="32">
        <f t="shared" si="26"/>
        <v>1651.8860622922655</v>
      </c>
      <c r="J42" s="32">
        <f t="shared" si="26"/>
        <v>1749.1199727781218</v>
      </c>
      <c r="K42" s="32">
        <f t="shared" si="26"/>
        <v>1685.7781054459715</v>
      </c>
      <c r="L42" s="32">
        <f t="shared" ref="L42" si="27">L43+L52</f>
        <v>1486.3850138732598</v>
      </c>
      <c r="M42" s="32">
        <f t="shared" ref="M42:V42" si="28">M43+M52</f>
        <v>1338.5177911319231</v>
      </c>
      <c r="N42" s="32">
        <f t="shared" si="28"/>
        <v>1211.8711205904306</v>
      </c>
      <c r="O42" s="32">
        <f t="shared" si="28"/>
        <v>1076.8228695174953</v>
      </c>
      <c r="P42" s="32">
        <f t="shared" si="28"/>
        <v>1333.9994931719548</v>
      </c>
      <c r="Q42" s="32">
        <f t="shared" si="28"/>
        <v>1521.0604717997267</v>
      </c>
      <c r="R42" s="32">
        <f t="shared" si="28"/>
        <v>1487.6148763863703</v>
      </c>
      <c r="S42" s="32">
        <f t="shared" si="28"/>
        <v>1575.8242303273018</v>
      </c>
      <c r="T42" s="32">
        <f t="shared" si="28"/>
        <v>1679.2119934993173</v>
      </c>
      <c r="U42" s="32">
        <f t="shared" si="28"/>
        <v>1696.6631317866822</v>
      </c>
      <c r="V42" s="32">
        <f t="shared" si="28"/>
        <v>1429.7380128106724</v>
      </c>
      <c r="W42" s="32">
        <f t="shared" ref="W42:Y42" si="29">W43+W52</f>
        <v>1702.7052821043401</v>
      </c>
      <c r="X42" s="32">
        <f t="shared" si="29"/>
        <v>1866.6568011413763</v>
      </c>
      <c r="Y42" s="32">
        <f t="shared" si="29"/>
        <v>1578.7374217942795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340.09492197189951</v>
      </c>
      <c r="C43" s="141">
        <f t="shared" si="30"/>
        <v>352.52365909201791</v>
      </c>
      <c r="D43" s="141">
        <f t="shared" si="30"/>
        <v>382.96856334417606</v>
      </c>
      <c r="E43" s="141">
        <f t="shared" si="30"/>
        <v>398.9957382727269</v>
      </c>
      <c r="F43" s="141">
        <f t="shared" si="30"/>
        <v>404.68999324749416</v>
      </c>
      <c r="G43" s="141">
        <f t="shared" si="30"/>
        <v>434.82024805260534</v>
      </c>
      <c r="H43" s="141">
        <f t="shared" si="30"/>
        <v>431.91436922887743</v>
      </c>
      <c r="I43" s="141">
        <f t="shared" si="30"/>
        <v>438.2769843824006</v>
      </c>
      <c r="J43" s="141">
        <f t="shared" si="30"/>
        <v>484.54421724512929</v>
      </c>
      <c r="K43" s="141">
        <f t="shared" si="30"/>
        <v>550.34491686333115</v>
      </c>
      <c r="L43" s="141">
        <f t="shared" ref="L43" si="31">L44+L46+L48+L49+L51</f>
        <v>468.39486010359684</v>
      </c>
      <c r="M43" s="141">
        <f t="shared" ref="M43:V43" si="32">M44+M46+M48+M49+M51</f>
        <v>470.57555371618861</v>
      </c>
      <c r="N43" s="141">
        <f t="shared" si="32"/>
        <v>475.44488981863321</v>
      </c>
      <c r="O43" s="141">
        <f t="shared" si="32"/>
        <v>469.83427615069547</v>
      </c>
      <c r="P43" s="141">
        <f t="shared" si="32"/>
        <v>519.06374896275088</v>
      </c>
      <c r="Q43" s="141">
        <f t="shared" si="32"/>
        <v>554.58150736844709</v>
      </c>
      <c r="R43" s="141">
        <f t="shared" si="32"/>
        <v>565.7919158724136</v>
      </c>
      <c r="S43" s="141">
        <f t="shared" si="32"/>
        <v>601.0436711479698</v>
      </c>
      <c r="T43" s="141">
        <f t="shared" si="32"/>
        <v>639.50414137767712</v>
      </c>
      <c r="U43" s="141">
        <f t="shared" si="32"/>
        <v>671.41315544092174</v>
      </c>
      <c r="V43" s="141">
        <f t="shared" si="32"/>
        <v>663.37212430496174</v>
      </c>
      <c r="W43" s="141">
        <f t="shared" ref="W43:Y43" si="33">W44+W46+W48+W49+W51</f>
        <v>718.15342937060677</v>
      </c>
      <c r="X43" s="141">
        <f t="shared" si="33"/>
        <v>758.62774334704386</v>
      </c>
      <c r="Y43" s="141">
        <f t="shared" si="33"/>
        <v>740.72473823228484</v>
      </c>
      <c r="DA43" s="174" t="s">
        <v>400</v>
      </c>
    </row>
    <row r="44" spans="1:105" ht="11.45" customHeight="1" x14ac:dyDescent="0.25">
      <c r="A44" s="111" t="s">
        <v>110</v>
      </c>
      <c r="B44" s="96">
        <v>94.574385604640199</v>
      </c>
      <c r="C44" s="96">
        <v>86.729374955455896</v>
      </c>
      <c r="D44" s="96">
        <v>77.430809092033698</v>
      </c>
      <c r="E44" s="96">
        <v>69.189543830799551</v>
      </c>
      <c r="F44" s="96">
        <v>62.110481547129353</v>
      </c>
      <c r="G44" s="96">
        <v>55.805427693948097</v>
      </c>
      <c r="H44" s="96">
        <v>50.102063749315022</v>
      </c>
      <c r="I44" s="96">
        <v>44.347146623671755</v>
      </c>
      <c r="J44" s="96">
        <v>35.901209289935018</v>
      </c>
      <c r="K44" s="96">
        <v>32.153520403789166</v>
      </c>
      <c r="L44" s="96">
        <v>28.772790535547713</v>
      </c>
      <c r="M44" s="96">
        <v>25.37792718278908</v>
      </c>
      <c r="N44" s="96">
        <v>24.034693179756609</v>
      </c>
      <c r="O44" s="96">
        <v>21.539433421465922</v>
      </c>
      <c r="P44" s="96">
        <v>19.176922892019341</v>
      </c>
      <c r="Q44" s="96">
        <v>16.921233013679309</v>
      </c>
      <c r="R44" s="96">
        <v>15.756735709529028</v>
      </c>
      <c r="S44" s="96">
        <v>15.244414905018889</v>
      </c>
      <c r="T44" s="96">
        <v>15.137163386243424</v>
      </c>
      <c r="U44" s="96">
        <v>15.184104065820582</v>
      </c>
      <c r="V44" s="96">
        <v>14.404805127970835</v>
      </c>
      <c r="W44" s="96">
        <v>13.973655816333144</v>
      </c>
      <c r="X44" s="96">
        <v>13.660918892389383</v>
      </c>
      <c r="Y44" s="96">
        <v>14.309465962031195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9.0973307849517723E-2</v>
      </c>
      <c r="H45" s="96">
        <v>0.33893176294126964</v>
      </c>
      <c r="I45" s="96">
        <v>0.72304471802822434</v>
      </c>
      <c r="J45" s="96">
        <v>1.0246273628912572</v>
      </c>
      <c r="K45" s="96">
        <v>0.91766760704188965</v>
      </c>
      <c r="L45" s="96">
        <v>1.1580650895995457</v>
      </c>
      <c r="M45" s="96">
        <v>1.066637305434178</v>
      </c>
      <c r="N45" s="96">
        <v>0.95094856226098423</v>
      </c>
      <c r="O45" s="96">
        <v>0.55939400857275201</v>
      </c>
      <c r="P45" s="96">
        <v>0.88788828176628665</v>
      </c>
      <c r="Q45" s="96">
        <v>0.54330954620615812</v>
      </c>
      <c r="R45" s="96">
        <v>0.51160843832201031</v>
      </c>
      <c r="S45" s="96">
        <v>0.49724175383074976</v>
      </c>
      <c r="T45" s="96">
        <v>0.53151406642273025</v>
      </c>
      <c r="U45" s="96">
        <v>0.44731670189258982</v>
      </c>
      <c r="V45" s="96">
        <v>0.8676804471269256</v>
      </c>
      <c r="W45" s="96">
        <v>0.82441783516766043</v>
      </c>
      <c r="X45" s="96">
        <v>0.78873535626171309</v>
      </c>
      <c r="Y45" s="96">
        <v>0.81631815971782873</v>
      </c>
      <c r="DA45" s="171" t="s">
        <v>661</v>
      </c>
    </row>
    <row r="46" spans="1:105" ht="11.45" customHeight="1" x14ac:dyDescent="0.25">
      <c r="A46" s="111" t="s">
        <v>111</v>
      </c>
      <c r="B46" s="96">
        <v>245.51291938099394</v>
      </c>
      <c r="C46" s="96">
        <v>265.60234126980163</v>
      </c>
      <c r="D46" s="96">
        <v>305.35559736387995</v>
      </c>
      <c r="E46" s="96">
        <v>329.62587589554494</v>
      </c>
      <c r="F46" s="96">
        <v>342.40280221073328</v>
      </c>
      <c r="G46" s="96">
        <v>378.84370758667649</v>
      </c>
      <c r="H46" s="96">
        <v>381.64496842152732</v>
      </c>
      <c r="I46" s="96">
        <v>393.76906979456152</v>
      </c>
      <c r="J46" s="96">
        <v>448.4899806167254</v>
      </c>
      <c r="K46" s="96">
        <v>518.04800888321768</v>
      </c>
      <c r="L46" s="96">
        <v>439.48955378597105</v>
      </c>
      <c r="M46" s="96">
        <v>445.07703144173098</v>
      </c>
      <c r="N46" s="96">
        <v>451.29879772438591</v>
      </c>
      <c r="O46" s="96">
        <v>448.13992471743256</v>
      </c>
      <c r="P46" s="96">
        <v>499.72691330324255</v>
      </c>
      <c r="Q46" s="96">
        <v>537.19453582406015</v>
      </c>
      <c r="R46" s="96">
        <v>549.5519607726244</v>
      </c>
      <c r="S46" s="96">
        <v>585.24753513935696</v>
      </c>
      <c r="T46" s="96">
        <v>623.71340284800476</v>
      </c>
      <c r="U46" s="96">
        <v>655.54955851003604</v>
      </c>
      <c r="V46" s="96">
        <v>648.24622107254083</v>
      </c>
      <c r="W46" s="96">
        <v>703.36422872887283</v>
      </c>
      <c r="X46" s="96">
        <v>743.91247697479503</v>
      </c>
      <c r="Y46" s="96">
        <v>724.6654641339403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0.27306713800435972</v>
      </c>
      <c r="J47" s="96">
        <v>19.78314869551242</v>
      </c>
      <c r="K47" s="96">
        <v>23.891658466122841</v>
      </c>
      <c r="L47" s="96">
        <v>20.988647043455675</v>
      </c>
      <c r="M47" s="96">
        <v>20.388240953255892</v>
      </c>
      <c r="N47" s="96">
        <v>21.181689454759546</v>
      </c>
      <c r="O47" s="96">
        <v>23.254408732249171</v>
      </c>
      <c r="P47" s="96">
        <v>27.317288293878992</v>
      </c>
      <c r="Q47" s="96">
        <v>26.938362913413073</v>
      </c>
      <c r="R47" s="96">
        <v>29.304051824225219</v>
      </c>
      <c r="S47" s="96">
        <v>24.306490774855533</v>
      </c>
      <c r="T47" s="96">
        <v>28.761725676466796</v>
      </c>
      <c r="U47" s="96">
        <v>31.465843157080787</v>
      </c>
      <c r="V47" s="96">
        <v>44.442086231430231</v>
      </c>
      <c r="W47" s="96">
        <v>43.119429446285935</v>
      </c>
      <c r="X47" s="96">
        <v>45.258899205799189</v>
      </c>
      <c r="Y47" s="96">
        <v>50.881374485253161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0.18469142532235225</v>
      </c>
      <c r="D48" s="96">
        <v>0.17490804847510052</v>
      </c>
      <c r="E48" s="96">
        <v>0.17307258354186048</v>
      </c>
      <c r="F48" s="96">
        <v>0.16946668128925352</v>
      </c>
      <c r="G48" s="96">
        <v>0.16490702749185143</v>
      </c>
      <c r="H48" s="96">
        <v>0.16113383902134334</v>
      </c>
      <c r="I48" s="96">
        <v>0.15456700678348012</v>
      </c>
      <c r="J48" s="96">
        <v>0.14786160022202921</v>
      </c>
      <c r="K48" s="96">
        <v>0.13822435758241125</v>
      </c>
      <c r="L48" s="96">
        <v>0.12838725431236556</v>
      </c>
      <c r="M48" s="96">
        <v>0.11646865710561816</v>
      </c>
      <c r="N48" s="96">
        <v>0.10610850161726525</v>
      </c>
      <c r="O48" s="96">
        <v>9.3727898094325163E-2</v>
      </c>
      <c r="P48" s="96">
        <v>8.1101691445913074E-2</v>
      </c>
      <c r="Q48" s="96">
        <v>7.2170154334079056E-2</v>
      </c>
      <c r="R48" s="96">
        <v>5.9898777764687272E-2</v>
      </c>
      <c r="S48" s="96">
        <v>4.7855940167036148E-2</v>
      </c>
      <c r="T48" s="96">
        <v>3.888203212919332E-2</v>
      </c>
      <c r="U48" s="96">
        <v>2.9142702759331503E-2</v>
      </c>
      <c r="V48" s="96">
        <v>2.3776287639439272E-2</v>
      </c>
      <c r="W48" s="96">
        <v>1.8575270565703964E-2</v>
      </c>
      <c r="X48" s="96">
        <v>6.5744909976545543E-2</v>
      </c>
      <c r="Y48" s="96">
        <v>0.19326251327262892</v>
      </c>
      <c r="DA48" s="171" t="s">
        <v>664</v>
      </c>
    </row>
    <row r="49" spans="1:105" ht="11.45" customHeight="1" x14ac:dyDescent="0.25">
      <c r="A49" s="111" t="s">
        <v>113</v>
      </c>
      <c r="B49" s="96">
        <v>7.6169862653698329E-3</v>
      </c>
      <c r="C49" s="96">
        <v>7.2514414380014467E-3</v>
      </c>
      <c r="D49" s="96">
        <v>7.2488397872991694E-3</v>
      </c>
      <c r="E49" s="96">
        <v>7.2459628405720893E-3</v>
      </c>
      <c r="F49" s="96">
        <v>7.2428083423353848E-3</v>
      </c>
      <c r="G49" s="96">
        <v>6.2057444888815169E-3</v>
      </c>
      <c r="H49" s="96">
        <v>6.2032190138142373E-3</v>
      </c>
      <c r="I49" s="96">
        <v>6.2009573839129804E-3</v>
      </c>
      <c r="J49" s="96">
        <v>5.1657382468454404E-3</v>
      </c>
      <c r="K49" s="96">
        <v>5.1632187418834017E-3</v>
      </c>
      <c r="L49" s="96">
        <v>4.1285277657404267E-3</v>
      </c>
      <c r="M49" s="96">
        <v>4.1264345629889957E-3</v>
      </c>
      <c r="N49" s="96">
        <v>5.2904128734065047E-3</v>
      </c>
      <c r="O49" s="96">
        <v>5.8505817510516332E-2</v>
      </c>
      <c r="P49" s="96">
        <v>7.5990995712325787E-2</v>
      </c>
      <c r="Q49" s="96">
        <v>0.38790155011065586</v>
      </c>
      <c r="R49" s="96">
        <v>0.41079544197954054</v>
      </c>
      <c r="S49" s="96">
        <v>0.47844749910054424</v>
      </c>
      <c r="T49" s="96">
        <v>0.55653920157806613</v>
      </c>
      <c r="U49" s="96">
        <v>0.56900228219567128</v>
      </c>
      <c r="V49" s="96">
        <v>0.56943314269595324</v>
      </c>
      <c r="W49" s="96">
        <v>0.57412972798889139</v>
      </c>
      <c r="X49" s="96">
        <v>0.57422795790905323</v>
      </c>
      <c r="Y49" s="96">
        <v>0.95753604947951443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2.6325611534276031E-4</v>
      </c>
      <c r="T50" s="96">
        <v>3.1465751259648325E-4</v>
      </c>
      <c r="U50" s="96">
        <v>3.4751073209867317E-4</v>
      </c>
      <c r="V50" s="96">
        <v>3.3179046439820267E-4</v>
      </c>
      <c r="W50" s="96">
        <v>2.9591228547847453E-4</v>
      </c>
      <c r="X50" s="96">
        <v>3.4168244198688616E-4</v>
      </c>
      <c r="Y50" s="96">
        <v>1.201797435299081E-3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2.6842961921499137E-3</v>
      </c>
      <c r="P51" s="96">
        <v>2.8200803307456192E-3</v>
      </c>
      <c r="Q51" s="96">
        <v>5.6668262628423649E-3</v>
      </c>
      <c r="R51" s="96">
        <v>1.2525170515867165E-2</v>
      </c>
      <c r="S51" s="96">
        <v>2.5417664326515023E-2</v>
      </c>
      <c r="T51" s="96">
        <v>5.8153909721648508E-2</v>
      </c>
      <c r="U51" s="96">
        <v>8.1347880110003351E-2</v>
      </c>
      <c r="V51" s="96">
        <v>0.12788867411473459</v>
      </c>
      <c r="W51" s="96">
        <v>0.22283982684617765</v>
      </c>
      <c r="X51" s="96">
        <v>0.41437461197383163</v>
      </c>
      <c r="Y51" s="96">
        <v>0.59900957356127205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633.09667004701441</v>
      </c>
      <c r="C52" s="130">
        <f t="shared" si="34"/>
        <v>683.52975934671065</v>
      </c>
      <c r="D52" s="130">
        <f t="shared" si="34"/>
        <v>757.74122073268518</v>
      </c>
      <c r="E52" s="130">
        <f t="shared" si="34"/>
        <v>793.92831732778041</v>
      </c>
      <c r="F52" s="130">
        <f t="shared" si="34"/>
        <v>883.44960762821711</v>
      </c>
      <c r="G52" s="130">
        <f t="shared" si="34"/>
        <v>1128.1067757071496</v>
      </c>
      <c r="H52" s="130">
        <f t="shared" si="34"/>
        <v>1237.0289589262393</v>
      </c>
      <c r="I52" s="130">
        <f t="shared" si="34"/>
        <v>1213.6090779098649</v>
      </c>
      <c r="J52" s="130">
        <f t="shared" si="34"/>
        <v>1264.5757555329926</v>
      </c>
      <c r="K52" s="130">
        <f t="shared" si="34"/>
        <v>1135.4331885826405</v>
      </c>
      <c r="L52" s="130">
        <f t="shared" ref="L52" si="35">L53+L55</f>
        <v>1017.990153769663</v>
      </c>
      <c r="M52" s="130">
        <f t="shared" ref="M52:V52" si="36">M53+M55</f>
        <v>867.94223741573444</v>
      </c>
      <c r="N52" s="130">
        <f t="shared" si="36"/>
        <v>736.42623077179735</v>
      </c>
      <c r="O52" s="130">
        <f t="shared" si="36"/>
        <v>606.98859336679982</v>
      </c>
      <c r="P52" s="130">
        <f t="shared" si="36"/>
        <v>814.9357442092039</v>
      </c>
      <c r="Q52" s="130">
        <f t="shared" si="36"/>
        <v>966.47896443127968</v>
      </c>
      <c r="R52" s="130">
        <f t="shared" si="36"/>
        <v>921.82296051395667</v>
      </c>
      <c r="S52" s="130">
        <f t="shared" si="36"/>
        <v>974.78055917933204</v>
      </c>
      <c r="T52" s="130">
        <f t="shared" si="36"/>
        <v>1039.7078521216401</v>
      </c>
      <c r="U52" s="130">
        <f t="shared" si="36"/>
        <v>1025.2499763457604</v>
      </c>
      <c r="V52" s="130">
        <f t="shared" si="36"/>
        <v>766.3658885057107</v>
      </c>
      <c r="W52" s="130">
        <f t="shared" ref="W52:Y52" si="37">W53+W55</f>
        <v>984.55185273373331</v>
      </c>
      <c r="X52" s="130">
        <f t="shared" si="37"/>
        <v>1108.0290577943324</v>
      </c>
      <c r="Y52" s="130">
        <f t="shared" si="37"/>
        <v>838.01268356199466</v>
      </c>
      <c r="DA52" s="176" t="s">
        <v>401</v>
      </c>
    </row>
    <row r="53" spans="1:105" ht="11.45" customHeight="1" x14ac:dyDescent="0.25">
      <c r="A53" s="128" t="s">
        <v>27</v>
      </c>
      <c r="B53" s="97">
        <v>405.09058745440996</v>
      </c>
      <c r="C53" s="97">
        <v>413.12735334159174</v>
      </c>
      <c r="D53" s="97">
        <v>415.37869514701919</v>
      </c>
      <c r="E53" s="97">
        <v>419.68026154625812</v>
      </c>
      <c r="F53" s="97">
        <v>444.56732038076314</v>
      </c>
      <c r="G53" s="97">
        <v>610.52319556418138</v>
      </c>
      <c r="H53" s="97">
        <v>659.17502124628743</v>
      </c>
      <c r="I53" s="97">
        <v>666.69571995033493</v>
      </c>
      <c r="J53" s="97">
        <v>638.4055528184922</v>
      </c>
      <c r="K53" s="97">
        <v>656.07395188001908</v>
      </c>
      <c r="L53" s="97">
        <v>545.38033906894827</v>
      </c>
      <c r="M53" s="97">
        <v>479.38532161274213</v>
      </c>
      <c r="N53" s="97">
        <v>400.56813141341991</v>
      </c>
      <c r="O53" s="97">
        <v>371.5723462355212</v>
      </c>
      <c r="P53" s="97">
        <v>422.42736787857939</v>
      </c>
      <c r="Q53" s="97">
        <v>463.70060608043207</v>
      </c>
      <c r="R53" s="97">
        <v>466.54096738387335</v>
      </c>
      <c r="S53" s="97">
        <v>462.26960458256588</v>
      </c>
      <c r="T53" s="97">
        <v>508.35734892648082</v>
      </c>
      <c r="U53" s="97">
        <v>512.29968175960778</v>
      </c>
      <c r="V53" s="97">
        <v>451.24413209950313</v>
      </c>
      <c r="W53" s="97">
        <v>535.08045195676732</v>
      </c>
      <c r="X53" s="97">
        <v>532.32292687812867</v>
      </c>
      <c r="Y53" s="97">
        <v>470.65576917640044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0.46233365221289541</v>
      </c>
      <c r="J54" s="97">
        <v>28.160432841959558</v>
      </c>
      <c r="K54" s="97">
        <v>30.257224268900611</v>
      </c>
      <c r="L54" s="97">
        <v>26.045659885542708</v>
      </c>
      <c r="M54" s="97">
        <v>21.959846849059975</v>
      </c>
      <c r="N54" s="97">
        <v>18.800647836545082</v>
      </c>
      <c r="O54" s="97">
        <v>19.281243951673954</v>
      </c>
      <c r="P54" s="97">
        <v>23.091752483943626</v>
      </c>
      <c r="Q54" s="97">
        <v>23.252908167806456</v>
      </c>
      <c r="R54" s="97">
        <v>24.877612422891069</v>
      </c>
      <c r="S54" s="97">
        <v>19.19897343370571</v>
      </c>
      <c r="T54" s="97">
        <v>23.442232520057726</v>
      </c>
      <c r="U54" s="97">
        <v>24.589966122940236</v>
      </c>
      <c r="V54" s="97">
        <v>30.936131948463579</v>
      </c>
      <c r="W54" s="97">
        <v>32.802867780087752</v>
      </c>
      <c r="X54" s="97">
        <v>32.386000286602965</v>
      </c>
      <c r="Y54" s="97">
        <v>33.046438157128826</v>
      </c>
      <c r="DA54" s="175" t="s">
        <v>669</v>
      </c>
    </row>
    <row r="55" spans="1:105" ht="11.45" customHeight="1" x14ac:dyDescent="0.25">
      <c r="A55" s="128" t="s">
        <v>116</v>
      </c>
      <c r="B55" s="97">
        <v>228.00608259260449</v>
      </c>
      <c r="C55" s="97">
        <v>270.40240600511891</v>
      </c>
      <c r="D55" s="97">
        <v>342.36252558566599</v>
      </c>
      <c r="E55" s="97">
        <v>374.24805578152228</v>
      </c>
      <c r="F55" s="97">
        <v>438.88228724745397</v>
      </c>
      <c r="G55" s="97">
        <v>517.58358014296823</v>
      </c>
      <c r="H55" s="97">
        <v>577.85393767995185</v>
      </c>
      <c r="I55" s="97">
        <v>546.91335795952989</v>
      </c>
      <c r="J55" s="97">
        <v>626.17020271450042</v>
      </c>
      <c r="K55" s="97">
        <v>479.35923670262127</v>
      </c>
      <c r="L55" s="97">
        <v>472.60981470071476</v>
      </c>
      <c r="M55" s="97">
        <v>388.55691580299231</v>
      </c>
      <c r="N55" s="97">
        <v>335.85809935837744</v>
      </c>
      <c r="O55" s="97">
        <v>235.41624713127865</v>
      </c>
      <c r="P55" s="97">
        <v>392.50837633062451</v>
      </c>
      <c r="Q55" s="97">
        <v>502.77835835084761</v>
      </c>
      <c r="R55" s="97">
        <v>455.28199313008332</v>
      </c>
      <c r="S55" s="97">
        <v>512.51095459676617</v>
      </c>
      <c r="T55" s="97">
        <v>531.35050319515938</v>
      </c>
      <c r="U55" s="97">
        <v>512.95029458615272</v>
      </c>
      <c r="V55" s="97">
        <v>315.12175640620762</v>
      </c>
      <c r="W55" s="97">
        <v>449.47140077696605</v>
      </c>
      <c r="X55" s="97">
        <v>575.70613091620385</v>
      </c>
      <c r="Y55" s="97">
        <v>367.35691438559417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0.37926814686658611</v>
      </c>
      <c r="J56" s="98">
        <v>27.62072457441683</v>
      </c>
      <c r="K56" s="98">
        <v>22.107385743204578</v>
      </c>
      <c r="L56" s="98">
        <v>22.570367155659408</v>
      </c>
      <c r="M56" s="98">
        <v>17.799148155958061</v>
      </c>
      <c r="N56" s="98">
        <v>15.763485294768204</v>
      </c>
      <c r="O56" s="98">
        <v>12.215973920321364</v>
      </c>
      <c r="P56" s="98">
        <v>21.456247779633951</v>
      </c>
      <c r="Q56" s="98">
        <v>25.212516098080844</v>
      </c>
      <c r="R56" s="98">
        <v>24.277244143689927</v>
      </c>
      <c r="S56" s="98">
        <v>21.28559633651836</v>
      </c>
      <c r="T56" s="98">
        <v>24.502531677479478</v>
      </c>
      <c r="U56" s="98">
        <v>24.621195006996818</v>
      </c>
      <c r="V56" s="98">
        <v>21.603933530739813</v>
      </c>
      <c r="W56" s="98">
        <v>27.554643188140474</v>
      </c>
      <c r="X56" s="98">
        <v>35.025391504731957</v>
      </c>
      <c r="Y56" s="98">
        <v>25.793453194211729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11.227652444733065</v>
      </c>
      <c r="C60" s="79">
        <f>IF(C17=0,0,C17/TrRoad_act!C30*100)</f>
        <v>11.122215378923554</v>
      </c>
      <c r="D60" s="79">
        <f>IF(D17=0,0,D17/TrRoad_act!D30*100)</f>
        <v>11.27471837683883</v>
      </c>
      <c r="E60" s="79">
        <f>IF(E17=0,0,E17/TrRoad_act!E30*100)</f>
        <v>11.240654679084427</v>
      </c>
      <c r="F60" s="79">
        <f>IF(F17=0,0,F17/TrRoad_act!F30*100)</f>
        <v>11.285845399424211</v>
      </c>
      <c r="G60" s="79">
        <f>IF(G17=0,0,G17/TrRoad_act!G30*100)</f>
        <v>11.370887056434517</v>
      </c>
      <c r="H60" s="79">
        <f>IF(H17=0,0,H17/TrRoad_act!H30*100)</f>
        <v>11.863884643771783</v>
      </c>
      <c r="I60" s="79">
        <f>IF(I17=0,0,I17/TrRoad_act!I30*100)</f>
        <v>11.456853145000201</v>
      </c>
      <c r="J60" s="79">
        <f>IF(J17=0,0,J17/TrRoad_act!J30*100)</f>
        <v>11.386019883317704</v>
      </c>
      <c r="K60" s="79">
        <f>IF(K17=0,0,K17/TrRoad_act!K30*100)</f>
        <v>10.473348598373869</v>
      </c>
      <c r="L60" s="79">
        <f>IF(L17=0,0,L17/TrRoad_act!L30*100)</f>
        <v>10.592752789108701</v>
      </c>
      <c r="M60" s="79">
        <f>IF(M17=0,0,M17/TrRoad_act!M30*100)</f>
        <v>10.534416681706022</v>
      </c>
      <c r="N60" s="79">
        <f>IF(N17=0,0,N17/TrRoad_act!N30*100)</f>
        <v>10.066531285667885</v>
      </c>
      <c r="O60" s="79">
        <f>IF(O17=0,0,O17/TrRoad_act!O30*100)</f>
        <v>9.469345177220978</v>
      </c>
      <c r="P60" s="79">
        <f>IF(P17=0,0,P17/TrRoad_act!P30*100)</f>
        <v>10.195536634366164</v>
      </c>
      <c r="Q60" s="79">
        <f>IF(Q17=0,0,Q17/TrRoad_act!Q30*100)</f>
        <v>10.432320561091553</v>
      </c>
      <c r="R60" s="79">
        <f>IF(R17=0,0,R17/TrRoad_act!R30*100)</f>
        <v>10.081914911319576</v>
      </c>
      <c r="S60" s="79">
        <f>IF(S17=0,0,S17/TrRoad_act!S30*100)</f>
        <v>10.022030786809932</v>
      </c>
      <c r="T60" s="79">
        <f>IF(T17=0,0,T17/TrRoad_act!T30*100)</f>
        <v>9.8222485958376176</v>
      </c>
      <c r="U60" s="79">
        <f>IF(U17=0,0,U17/TrRoad_act!U30*100)</f>
        <v>9.3902969123441657</v>
      </c>
      <c r="V60" s="79">
        <f>IF(V17=0,0,V17/TrRoad_act!V30*100)</f>
        <v>8.5438092267988281</v>
      </c>
      <c r="W60" s="79">
        <f>IF(W17=0,0,W17/TrRoad_act!W30*100)</f>
        <v>9.0161993766021471</v>
      </c>
      <c r="X60" s="79">
        <f>IF(X17=0,0,X17/TrRoad_act!X30*100)</f>
        <v>8.9931945045589234</v>
      </c>
      <c r="Y60" s="79">
        <f>IF(Y17=0,0,Y17/TrRoad_act!Y30*100)</f>
        <v>8.3407003317988124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9.3172715370909867</v>
      </c>
      <c r="C61" s="32">
        <f>IF(C18=0,0,C18/TrRoad_act!C31*100)</f>
        <v>9.129604356710713</v>
      </c>
      <c r="D61" s="32">
        <f>IF(D18=0,0,D18/TrRoad_act!D31*100)</f>
        <v>9.0695093859969891</v>
      </c>
      <c r="E61" s="32">
        <f>IF(E18=0,0,E18/TrRoad_act!E31*100)</f>
        <v>8.9915631249381498</v>
      </c>
      <c r="F61" s="32">
        <f>IF(F18=0,0,F18/TrRoad_act!F31*100)</f>
        <v>8.8763903816812633</v>
      </c>
      <c r="G61" s="32">
        <f>IF(G18=0,0,G18/TrRoad_act!G31*100)</f>
        <v>8.385261709953415</v>
      </c>
      <c r="H61" s="32">
        <f>IF(H18=0,0,H18/TrRoad_act!H31*100)</f>
        <v>8.7699042738515907</v>
      </c>
      <c r="I61" s="32">
        <f>IF(I18=0,0,I18/TrRoad_act!I31*100)</f>
        <v>8.6326205922577497</v>
      </c>
      <c r="J61" s="32">
        <f>IF(J18=0,0,J18/TrRoad_act!J31*100)</f>
        <v>8.443769171471228</v>
      </c>
      <c r="K61" s="32">
        <f>IF(K18=0,0,K18/TrRoad_act!K31*100)</f>
        <v>7.9086341186440574</v>
      </c>
      <c r="L61" s="32">
        <f>IF(L18=0,0,L18/TrRoad_act!L31*100)</f>
        <v>8.0483602684145854</v>
      </c>
      <c r="M61" s="32">
        <f>IF(M18=0,0,M18/TrRoad_act!M31*100)</f>
        <v>8.3325782094597187</v>
      </c>
      <c r="N61" s="32">
        <f>IF(N18=0,0,N18/TrRoad_act!N31*100)</f>
        <v>8.2330759801303763</v>
      </c>
      <c r="O61" s="32">
        <f>IF(O18=0,0,O18/TrRoad_act!O31*100)</f>
        <v>8.0402258964385069</v>
      </c>
      <c r="P61" s="32">
        <f>IF(P18=0,0,P18/TrRoad_act!P31*100)</f>
        <v>8.1833462616527832</v>
      </c>
      <c r="Q61" s="32">
        <f>IF(Q18=0,0,Q18/TrRoad_act!Q31*100)</f>
        <v>8.0982048900197281</v>
      </c>
      <c r="R61" s="32">
        <f>IF(R18=0,0,R18/TrRoad_act!R31*100)</f>
        <v>8.0329344352592571</v>
      </c>
      <c r="S61" s="32">
        <f>IF(S18=0,0,S18/TrRoad_act!S31*100)</f>
        <v>7.9458081015867492</v>
      </c>
      <c r="T61" s="32">
        <f>IF(T18=0,0,T18/TrRoad_act!T31*100)</f>
        <v>7.7459583958471381</v>
      </c>
      <c r="U61" s="32">
        <f>IF(U18=0,0,U18/TrRoad_act!U31*100)</f>
        <v>7.5256519039041931</v>
      </c>
      <c r="V61" s="32">
        <f>IF(V18=0,0,V18/TrRoad_act!V31*100)</f>
        <v>7.1028980755244095</v>
      </c>
      <c r="W61" s="32">
        <f>IF(W18=0,0,W18/TrRoad_act!W31*100)</f>
        <v>7.2386635976483173</v>
      </c>
      <c r="X61" s="32">
        <f>IF(X18=0,0,X18/TrRoad_act!X31*100)</f>
        <v>7.0561923936864526</v>
      </c>
      <c r="Y61" s="32">
        <f>IF(Y18=0,0,Y18/TrRoad_act!Y31*100)</f>
        <v>6.929200671491591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4.844363891154396</v>
      </c>
      <c r="C62" s="141">
        <f>IF(C19=0,0,C19/TrRoad_act!C32*100)</f>
        <v>4.8256641516376977</v>
      </c>
      <c r="D62" s="141">
        <f>IF(D19=0,0,D19/TrRoad_act!D32*100)</f>
        <v>4.7854598116882858</v>
      </c>
      <c r="E62" s="141">
        <f>IF(E19=0,0,E19/TrRoad_act!E32*100)</f>
        <v>4.7401793825640928</v>
      </c>
      <c r="F62" s="141">
        <f>IF(F19=0,0,F19/TrRoad_act!F32*100)</f>
        <v>4.6729864175126066</v>
      </c>
      <c r="G62" s="141">
        <f>IF(G19=0,0,G19/TrRoad_act!G32*100)</f>
        <v>4.6273569930077985</v>
      </c>
      <c r="H62" s="141">
        <f>IF(H19=0,0,H19/TrRoad_act!H32*100)</f>
        <v>4.5834344591354128</v>
      </c>
      <c r="I62" s="141">
        <f>IF(I19=0,0,I19/TrRoad_act!I32*100)</f>
        <v>4.5357942358903873</v>
      </c>
      <c r="J62" s="141">
        <f>IF(J19=0,0,J19/TrRoad_act!J32*100)</f>
        <v>4.4805467196997668</v>
      </c>
      <c r="K62" s="141">
        <f>IF(K19=0,0,K19/TrRoad_act!K32*100)</f>
        <v>4.432040251051359</v>
      </c>
      <c r="L62" s="141">
        <f>IF(L19=0,0,L19/TrRoad_act!L32*100)</f>
        <v>4.3883594390247724</v>
      </c>
      <c r="M62" s="141">
        <f>IF(M19=0,0,M19/TrRoad_act!M32*100)</f>
        <v>4.3611343351406191</v>
      </c>
      <c r="N62" s="141">
        <f>IF(N19=0,0,N19/TrRoad_act!N32*100)</f>
        <v>4.3196775442589814</v>
      </c>
      <c r="O62" s="141">
        <f>IF(O19=0,0,O19/TrRoad_act!O32*100)</f>
        <v>4.2863964255418736</v>
      </c>
      <c r="P62" s="141">
        <f>IF(P19=0,0,P19/TrRoad_act!P32*100)</f>
        <v>4.2420410848707473</v>
      </c>
      <c r="Q62" s="141">
        <f>IF(Q19=0,0,Q19/TrRoad_act!Q32*100)</f>
        <v>4.1840868433746303</v>
      </c>
      <c r="R62" s="141">
        <f>IF(R19=0,0,R19/TrRoad_act!R32*100)</f>
        <v>4.1153468701841955</v>
      </c>
      <c r="S62" s="141">
        <f>IF(S19=0,0,S19/TrRoad_act!S32*100)</f>
        <v>4.0888330377296258</v>
      </c>
      <c r="T62" s="141">
        <f>IF(T19=0,0,T19/TrRoad_act!T32*100)</f>
        <v>4.0548754341165054</v>
      </c>
      <c r="U62" s="141">
        <f>IF(U19=0,0,U19/TrRoad_act!U32*100)</f>
        <v>4.02303049503855</v>
      </c>
      <c r="V62" s="141">
        <f>IF(V19=0,0,V19/TrRoad_act!V32*100)</f>
        <v>3.989044946120436</v>
      </c>
      <c r="W62" s="141">
        <f>IF(W19=0,0,W19/TrRoad_act!W32*100)</f>
        <v>3.9694244941362236</v>
      </c>
      <c r="X62" s="141">
        <f>IF(X19=0,0,X19/TrRoad_act!X32*100)</f>
        <v>3.950739632841143</v>
      </c>
      <c r="Y62" s="141">
        <f>IF(Y19=0,0,Y19/TrRoad_act!Y32*100)</f>
        <v>3.9299736378564045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7.7470198690882546</v>
      </c>
      <c r="C63" s="130">
        <f>IF(C21=0,0,C21/TrRoad_act!C33*100)</f>
        <v>7.6584209469411872</v>
      </c>
      <c r="D63" s="130">
        <f>IF(D21=0,0,D21/TrRoad_act!D33*100)</f>
        <v>7.6219187327341107</v>
      </c>
      <c r="E63" s="130">
        <f>IF(E21=0,0,E21/TrRoad_act!E33*100)</f>
        <v>7.6183029699375346</v>
      </c>
      <c r="F63" s="130">
        <f>IF(F21=0,0,F21/TrRoad_act!F33*100)</f>
        <v>7.6151509156505774</v>
      </c>
      <c r="G63" s="130">
        <f>IF(G21=0,0,G21/TrRoad_act!G33*100)</f>
        <v>7.1525292831027834</v>
      </c>
      <c r="H63" s="130">
        <f>IF(H21=0,0,H21/TrRoad_act!H33*100)</f>
        <v>7.4837535338162775</v>
      </c>
      <c r="I63" s="130">
        <f>IF(I21=0,0,I21/TrRoad_act!I33*100)</f>
        <v>7.4386230968029574</v>
      </c>
      <c r="J63" s="130">
        <f>IF(J21=0,0,J21/TrRoad_act!J33*100)</f>
        <v>7.3588860243290073</v>
      </c>
      <c r="K63" s="130">
        <f>IF(K21=0,0,K21/TrRoad_act!K33*100)</f>
        <v>6.9365841679598113</v>
      </c>
      <c r="L63" s="130">
        <f>IF(L21=0,0,L21/TrRoad_act!L33*100)</f>
        <v>6.9653922506703463</v>
      </c>
      <c r="M63" s="130">
        <f>IF(M21=0,0,M21/TrRoad_act!M33*100)</f>
        <v>7.2390586304363254</v>
      </c>
      <c r="N63" s="130">
        <f>IF(N21=0,0,N21/TrRoad_act!N33*100)</f>
        <v>7.1850298405957389</v>
      </c>
      <c r="O63" s="130">
        <f>IF(O21=0,0,O21/TrRoad_act!O33*100)</f>
        <v>7.020635994046204</v>
      </c>
      <c r="P63" s="130">
        <f>IF(P21=0,0,P21/TrRoad_act!P33*100)</f>
        <v>7.0957047006615648</v>
      </c>
      <c r="Q63" s="130">
        <f>IF(Q21=0,0,Q21/TrRoad_act!Q33*100)</f>
        <v>7.0228536699476578</v>
      </c>
      <c r="R63" s="130">
        <f>IF(R21=0,0,R21/TrRoad_act!R33*100)</f>
        <v>7.0198138183248018</v>
      </c>
      <c r="S63" s="130">
        <f>IF(S21=0,0,S21/TrRoad_act!S33*100)</f>
        <v>6.9416566792493208</v>
      </c>
      <c r="T63" s="130">
        <f>IF(T21=0,0,T21/TrRoad_act!T33*100)</f>
        <v>6.79744667326365</v>
      </c>
      <c r="U63" s="130">
        <f>IF(U21=0,0,U21/TrRoad_act!U33*100)</f>
        <v>6.6702104617899831</v>
      </c>
      <c r="V63" s="130">
        <f>IF(V21=0,0,V21/TrRoad_act!V33*100)</f>
        <v>6.3829869676988444</v>
      </c>
      <c r="W63" s="130">
        <f>IF(W21=0,0,W21/TrRoad_act!W33*100)</f>
        <v>6.4938303047649946</v>
      </c>
      <c r="X63" s="130">
        <f>IF(X21=0,0,X21/TrRoad_act!X33*100)</f>
        <v>6.3397189803712717</v>
      </c>
      <c r="Y63" s="130">
        <f>IF(Y21=0,0,Y21/TrRoad_act!Y33*100)</f>
        <v>6.2676337813166505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7.7107783434008939</v>
      </c>
      <c r="C64" s="96">
        <f>IF(C22=0,0,C22/TrRoad_act!C34*100)</f>
        <v>7.6226982497372848</v>
      </c>
      <c r="D64" s="96">
        <f>IF(D22=0,0,D22/TrRoad_act!D34*100)</f>
        <v>7.5879729702649596</v>
      </c>
      <c r="E64" s="96">
        <f>IF(E22=0,0,E22/TrRoad_act!E34*100)</f>
        <v>7.5370267961003599</v>
      </c>
      <c r="F64" s="96">
        <f>IF(F22=0,0,F22/TrRoad_act!F34*100)</f>
        <v>7.5774091189224748</v>
      </c>
      <c r="G64" s="96">
        <f>IF(G22=0,0,G22/TrRoad_act!G34*100)</f>
        <v>6.944500163457934</v>
      </c>
      <c r="H64" s="96">
        <f>IF(H22=0,0,H22/TrRoad_act!H34*100)</f>
        <v>7.4479443161357866</v>
      </c>
      <c r="I64" s="96">
        <f>IF(I22=0,0,I22/TrRoad_act!I34*100)</f>
        <v>7.4189390985379386</v>
      </c>
      <c r="J64" s="96">
        <f>IF(J22=0,0,J22/TrRoad_act!J34*100)</f>
        <v>7.3214858276917081</v>
      </c>
      <c r="K64" s="96">
        <f>IF(K22=0,0,K22/TrRoad_act!K34*100)</f>
        <v>6.782644671098045</v>
      </c>
      <c r="L64" s="96">
        <f>IF(L22=0,0,L22/TrRoad_act!L34*100)</f>
        <v>6.8210003408655879</v>
      </c>
      <c r="M64" s="96">
        <f>IF(M22=0,0,M22/TrRoad_act!M34*100)</f>
        <v>7.3538964148228967</v>
      </c>
      <c r="N64" s="96">
        <f>IF(N22=0,0,N22/TrRoad_act!N34*100)</f>
        <v>7.310581068728272</v>
      </c>
      <c r="O64" s="96">
        <f>IF(O22=0,0,O22/TrRoad_act!O34*100)</f>
        <v>7.2364742778003714</v>
      </c>
      <c r="P64" s="96">
        <f>IF(P22=0,0,P22/TrRoad_act!P34*100)</f>
        <v>7.2129461564782744</v>
      </c>
      <c r="Q64" s="96">
        <f>IF(Q22=0,0,Q22/TrRoad_act!Q34*100)</f>
        <v>7.1226755989959232</v>
      </c>
      <c r="R64" s="96">
        <f>IF(R22=0,0,R22/TrRoad_act!R34*100)</f>
        <v>7.2631182713401738</v>
      </c>
      <c r="S64" s="96">
        <f>IF(S22=0,0,S22/TrRoad_act!S34*100)</f>
        <v>7.2348795390673422</v>
      </c>
      <c r="T64" s="96">
        <f>IF(T22=0,0,T22/TrRoad_act!T34*100)</f>
        <v>7.0684839277857554</v>
      </c>
      <c r="U64" s="96">
        <f>IF(U22=0,0,U22/TrRoad_act!U34*100)</f>
        <v>6.8948410225818977</v>
      </c>
      <c r="V64" s="96">
        <f>IF(V22=0,0,V22/TrRoad_act!V34*100)</f>
        <v>6.4602693144373351</v>
      </c>
      <c r="W64" s="96">
        <f>IF(W22=0,0,W22/TrRoad_act!W34*100)</f>
        <v>6.6603037292701117</v>
      </c>
      <c r="X64" s="96">
        <f>IF(X22=0,0,X22/TrRoad_act!X34*100)</f>
        <v>6.4442100491232823</v>
      </c>
      <c r="Y64" s="96">
        <f>IF(Y22=0,0,Y22/TrRoad_act!Y34*100)</f>
        <v>6.3464868669365568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7.9661226831862244</v>
      </c>
      <c r="C65" s="96">
        <f>IF(C24=0,0,C24/TrRoad_act!C35*100)</f>
        <v>7.8565531992699471</v>
      </c>
      <c r="D65" s="96">
        <f>IF(D24=0,0,D24/TrRoad_act!D35*100)</f>
        <v>7.7892424295125693</v>
      </c>
      <c r="E65" s="96">
        <f>IF(E24=0,0,E24/TrRoad_act!E35*100)</f>
        <v>7.7433118396484995</v>
      </c>
      <c r="F65" s="96">
        <f>IF(F24=0,0,F24/TrRoad_act!F35*100)</f>
        <v>7.6129302569219179</v>
      </c>
      <c r="G65" s="96">
        <f>IF(G24=0,0,G24/TrRoad_act!G35*100)</f>
        <v>8.0980428119626087</v>
      </c>
      <c r="H65" s="96">
        <f>IF(H24=0,0,H24/TrRoad_act!H35*100)</f>
        <v>7.5619477762743221</v>
      </c>
      <c r="I65" s="96">
        <f>IF(I24=0,0,I24/TrRoad_act!I35*100)</f>
        <v>7.5083312821219232</v>
      </c>
      <c r="J65" s="96">
        <f>IF(J24=0,0,J24/TrRoad_act!J35*100)</f>
        <v>7.4747407169183084</v>
      </c>
      <c r="K65" s="96">
        <f>IF(K24=0,0,K24/TrRoad_act!K35*100)</f>
        <v>7.3463779711170254</v>
      </c>
      <c r="L65" s="96">
        <f>IF(L24=0,0,L24/TrRoad_act!L35*100)</f>
        <v>7.2323369821507129</v>
      </c>
      <c r="M65" s="96">
        <f>IF(M24=0,0,M24/TrRoad_act!M35*100)</f>
        <v>6.9362954195611586</v>
      </c>
      <c r="N65" s="96">
        <f>IF(N24=0,0,N24/TrRoad_act!N35*100)</f>
        <v>6.9751015787871946</v>
      </c>
      <c r="O65" s="96">
        <f>IF(O24=0,0,O24/TrRoad_act!O35*100)</f>
        <v>6.6047655606288709</v>
      </c>
      <c r="P65" s="96">
        <f>IF(P24=0,0,P24/TrRoad_act!P35*100)</f>
        <v>6.8741963351641928</v>
      </c>
      <c r="Q65" s="96">
        <f>IF(Q24=0,0,Q24/TrRoad_act!Q35*100)</f>
        <v>6.8751930643954919</v>
      </c>
      <c r="R65" s="96">
        <f>IF(R24=0,0,R24/TrRoad_act!R35*100)</f>
        <v>6.7121362315519848</v>
      </c>
      <c r="S65" s="96">
        <f>IF(S24=0,0,S24/TrRoad_act!S35*100)</f>
        <v>6.592686566328279</v>
      </c>
      <c r="T65" s="96">
        <f>IF(T24=0,0,T24/TrRoad_act!T35*100)</f>
        <v>6.5061264133466867</v>
      </c>
      <c r="U65" s="96">
        <f>IF(U24=0,0,U24/TrRoad_act!U35*100)</f>
        <v>6.457164435713433</v>
      </c>
      <c r="V65" s="96">
        <f>IF(V24=0,0,V24/TrRoad_act!V35*100)</f>
        <v>6.3456630275561396</v>
      </c>
      <c r="W65" s="96">
        <f>IF(W24=0,0,W24/TrRoad_act!W35*100)</f>
        <v>6.3513511136499279</v>
      </c>
      <c r="X65" s="96">
        <f>IF(X24=0,0,X24/TrRoad_act!X35*100)</f>
        <v>6.2912371917946563</v>
      </c>
      <c r="Y65" s="96">
        <f>IF(Y24=0,0,Y24/TrRoad_act!Y35*100)</f>
        <v>6.2673475276686403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8.0729873141743145</v>
      </c>
      <c r="D66" s="96">
        <f>IF(D26=0,0,D26/TrRoad_act!D36*100)</f>
        <v>8.0436957987535056</v>
      </c>
      <c r="E66" s="96">
        <f>IF(E26=0,0,E26/TrRoad_act!E36*100)</f>
        <v>9.8261947541465489</v>
      </c>
      <c r="F66" s="96">
        <f>IF(F26=0,0,F26/TrRoad_act!F36*100)</f>
        <v>9.3662239139907602</v>
      </c>
      <c r="G66" s="96">
        <f>IF(G26=0,0,G26/TrRoad_act!G36*100)</f>
        <v>7.3949929805935177</v>
      </c>
      <c r="H66" s="96">
        <f>IF(H26=0,0,H26/TrRoad_act!H36*100)</f>
        <v>8.1051706381681363</v>
      </c>
      <c r="I66" s="96">
        <f>IF(I26=0,0,I26/TrRoad_act!I36*100)</f>
        <v>7.2851341381235999</v>
      </c>
      <c r="J66" s="96">
        <f>IF(J26=0,0,J26/TrRoad_act!J36*100)</f>
        <v>7.1297222650992378</v>
      </c>
      <c r="K66" s="96">
        <f>IF(K26=0,0,K26/TrRoad_act!K36*100)</f>
        <v>7.0331622474846629</v>
      </c>
      <c r="L66" s="96">
        <f>IF(L26=0,0,L26/TrRoad_act!L36*100)</f>
        <v>8.4796991456779107</v>
      </c>
      <c r="M66" s="96">
        <f>IF(M26=0,0,M26/TrRoad_act!M36*100)</f>
        <v>9.590495248525551</v>
      </c>
      <c r="N66" s="96">
        <f>IF(N26=0,0,N26/TrRoad_act!N36*100)</f>
        <v>6.8224482661174717</v>
      </c>
      <c r="O66" s="96">
        <f>IF(O26=0,0,O26/TrRoad_act!O36*100)</f>
        <v>8.7710915715673874</v>
      </c>
      <c r="P66" s="96">
        <f>IF(P26=0,0,P26/TrRoad_act!P36*100)</f>
        <v>7.3197285267368644</v>
      </c>
      <c r="Q66" s="96">
        <f>IF(Q26=0,0,Q26/TrRoad_act!Q36*100)</f>
        <v>6.714818733449281</v>
      </c>
      <c r="R66" s="96">
        <f>IF(R26=0,0,R26/TrRoad_act!R36*100)</f>
        <v>5.9209817708749855</v>
      </c>
      <c r="S66" s="96">
        <f>IF(S26=0,0,S26/TrRoad_act!S36*100)</f>
        <v>5.7978101513347067</v>
      </c>
      <c r="T66" s="96">
        <f>IF(T26=0,0,T26/TrRoad_act!T36*100)</f>
        <v>5.3208946076823382</v>
      </c>
      <c r="U66" s="96">
        <f>IF(U26=0,0,U26/TrRoad_act!U36*100)</f>
        <v>4.8837174816974125</v>
      </c>
      <c r="V66" s="96">
        <f>IF(V26=0,0,V26/TrRoad_act!V36*100)</f>
        <v>4.8529335988127569</v>
      </c>
      <c r="W66" s="96">
        <f>IF(W26=0,0,W26/TrRoad_act!W36*100)</f>
        <v>6.7171719230278679</v>
      </c>
      <c r="X66" s="96">
        <f>IF(X26=0,0,X26/TrRoad_act!X36*100)</f>
        <v>6.4502001839993035</v>
      </c>
      <c r="Y66" s="96">
        <f>IF(Y26=0,0,Y26/TrRoad_act!Y36*100)</f>
        <v>7.1853933365158884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10.593893147696871</v>
      </c>
      <c r="M67" s="96">
        <f>IF(M27=0,0,M27/TrRoad_act!M37*100)</f>
        <v>7.637954188329374</v>
      </c>
      <c r="N67" s="96">
        <f>IF(N27=0,0,N27/TrRoad_act!N37*100)</f>
        <v>6.6007610939056454</v>
      </c>
      <c r="O67" s="96">
        <f>IF(O27=0,0,O27/TrRoad_act!O37*100)</f>
        <v>7.1294402331754521</v>
      </c>
      <c r="P67" s="96">
        <f>IF(P27=0,0,P27/TrRoad_act!P37*100)</f>
        <v>7.1303188798452766</v>
      </c>
      <c r="Q67" s="96">
        <f>IF(Q27=0,0,Q27/TrRoad_act!Q37*100)</f>
        <v>5.9219767182266052</v>
      </c>
      <c r="R67" s="96">
        <f>IF(R27=0,0,R27/TrRoad_act!R37*100)</f>
        <v>5.9796606958311189</v>
      </c>
      <c r="S67" s="96">
        <f>IF(S27=0,0,S27/TrRoad_act!S37*100)</f>
        <v>5.9112469814628144</v>
      </c>
      <c r="T67" s="96">
        <f>IF(T27=0,0,T27/TrRoad_act!T37*100)</f>
        <v>5.965004042454809</v>
      </c>
      <c r="U67" s="96">
        <f>IF(U27=0,0,U27/TrRoad_act!U37*100)</f>
        <v>5.9728404757742481</v>
      </c>
      <c r="V67" s="96">
        <f>IF(V27=0,0,V27/TrRoad_act!V37*100)</f>
        <v>5.9693815456719124</v>
      </c>
      <c r="W67" s="96">
        <f>IF(W27=0,0,W27/TrRoad_act!W37*100)</f>
        <v>5.9629429927464042</v>
      </c>
      <c r="X67" s="96">
        <f>IF(X27=0,0,X27/TrRoad_act!X37*100)</f>
        <v>5.9541842855795348</v>
      </c>
      <c r="Y67" s="96">
        <f>IF(Y27=0,0,Y27/TrRoad_act!Y37*100)</f>
        <v>5.9510131951116447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2.4827179569883557</v>
      </c>
      <c r="O68" s="96">
        <f>IF(O29=0,0,O29/TrRoad_act!O38*100)</f>
        <v>2.4778484259408433</v>
      </c>
      <c r="P68" s="96">
        <f>IF(P29=0,0,P29/TrRoad_act!P38*100)</f>
        <v>2.4483701649388174</v>
      </c>
      <c r="Q68" s="96">
        <f>IF(Q29=0,0,Q29/TrRoad_act!Q38*100)</f>
        <v>2.2403053051411064</v>
      </c>
      <c r="R68" s="96">
        <f>IF(R29=0,0,R29/TrRoad_act!R38*100)</f>
        <v>2.9217634391387799</v>
      </c>
      <c r="S68" s="96">
        <f>IF(S29=0,0,S29/TrRoad_act!S38*100)</f>
        <v>3.1851786755804099</v>
      </c>
      <c r="T68" s="96">
        <f>IF(T29=0,0,T29/TrRoad_act!T38*100)</f>
        <v>3.2075754980040587</v>
      </c>
      <c r="U68" s="96">
        <f>IF(U29=0,0,U29/TrRoad_act!U38*100)</f>
        <v>3.1800610161352667</v>
      </c>
      <c r="V68" s="96">
        <f>IF(V29=0,0,V29/TrRoad_act!V38*100)</f>
        <v>3.2753102959911349</v>
      </c>
      <c r="W68" s="96">
        <f>IF(W29=0,0,W29/TrRoad_act!W38*100)</f>
        <v>3.2837711307167181</v>
      </c>
      <c r="X68" s="96">
        <f>IF(X29=0,0,X29/TrRoad_act!X38*100)</f>
        <v>3.4464308925020157</v>
      </c>
      <c r="Y68" s="96">
        <f>IF(Y29=0,0,Y29/TrRoad_act!Y38*100)</f>
        <v>3.3018370958687968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1.4170626030042865</v>
      </c>
      <c r="M69" s="96">
        <f>IF(M32=0,0,M32/TrRoad_act!M39*100)</f>
        <v>1.4213768174159784</v>
      </c>
      <c r="N69" s="96">
        <f>IF(N32=0,0,N32/TrRoad_act!N39*100)</f>
        <v>1.420172607010715</v>
      </c>
      <c r="O69" s="96">
        <f>IF(O32=0,0,O32/TrRoad_act!O39*100)</f>
        <v>1.4192347951467656</v>
      </c>
      <c r="P69" s="96">
        <f>IF(P32=0,0,P32/TrRoad_act!P39*100)</f>
        <v>1.4186200535393063</v>
      </c>
      <c r="Q69" s="96">
        <f>IF(Q32=0,0,Q32/TrRoad_act!Q39*100)</f>
        <v>1.4171940522212882</v>
      </c>
      <c r="R69" s="96">
        <f>IF(R32=0,0,R32/TrRoad_act!R39*100)</f>
        <v>1.4206097903535733</v>
      </c>
      <c r="S69" s="96">
        <f>IF(S32=0,0,S32/TrRoad_act!S39*100)</f>
        <v>1.34743484254115</v>
      </c>
      <c r="T69" s="96">
        <f>IF(T32=0,0,T32/TrRoad_act!T39*100)</f>
        <v>1.3145490245290479</v>
      </c>
      <c r="U69" s="96">
        <f>IF(U32=0,0,U32/TrRoad_act!U39*100)</f>
        <v>1.4997984302120495</v>
      </c>
      <c r="V69" s="96">
        <f>IF(V32=0,0,V32/TrRoad_act!V39*100)</f>
        <v>1.5504295818449731</v>
      </c>
      <c r="W69" s="96">
        <f>IF(W32=0,0,W32/TrRoad_act!W39*100)</f>
        <v>1.5560255674382346</v>
      </c>
      <c r="X69" s="96">
        <f>IF(X32=0,0,X32/TrRoad_act!X39*100)</f>
        <v>1.6068577429702331</v>
      </c>
      <c r="Y69" s="96">
        <f>IF(Y32=0,0,Y32/TrRoad_act!Y39*100)</f>
        <v>1.6184267401769272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56.136217109749239</v>
      </c>
      <c r="C70" s="130">
        <f>IF(C33=0,0,C33/TrRoad_act!C40*100)</f>
        <v>56.095530463307831</v>
      </c>
      <c r="D70" s="130">
        <f>IF(D33=0,0,D33/TrRoad_act!D40*100)</f>
        <v>57.914384872626115</v>
      </c>
      <c r="E70" s="130">
        <f>IF(E33=0,0,E33/TrRoad_act!E40*100)</f>
        <v>58.403949153455372</v>
      </c>
      <c r="F70" s="130">
        <f>IF(F33=0,0,F33/TrRoad_act!F40*100)</f>
        <v>58.360269312957513</v>
      </c>
      <c r="G70" s="130">
        <f>IF(G33=0,0,G33/TrRoad_act!G40*100)</f>
        <v>60.930182017119492</v>
      </c>
      <c r="H70" s="130">
        <f>IF(H33=0,0,H33/TrRoad_act!H40*100)</f>
        <v>60.666215654149426</v>
      </c>
      <c r="I70" s="130">
        <f>IF(I33=0,0,I33/TrRoad_act!I40*100)</f>
        <v>58.555613351210859</v>
      </c>
      <c r="J70" s="130">
        <f>IF(J33=0,0,J33/TrRoad_act!J40*100)</f>
        <v>59.176604346669691</v>
      </c>
      <c r="K70" s="130">
        <f>IF(K33=0,0,K33/TrRoad_act!K40*100)</f>
        <v>58.361549057752718</v>
      </c>
      <c r="L70" s="130">
        <f>IF(L33=0,0,L33/TrRoad_act!L40*100)</f>
        <v>59.013432767684726</v>
      </c>
      <c r="M70" s="130">
        <f>IF(M33=0,0,M33/TrRoad_act!M40*100)</f>
        <v>55.894940184298989</v>
      </c>
      <c r="N70" s="130">
        <f>IF(N33=0,0,N33/TrRoad_act!N40*100)</f>
        <v>54.518702870379428</v>
      </c>
      <c r="O70" s="130">
        <f>IF(O33=0,0,O33/TrRoad_act!O40*100)</f>
        <v>51.026023270908325</v>
      </c>
      <c r="P70" s="130">
        <f>IF(P33=0,0,P33/TrRoad_act!P40*100)</f>
        <v>55.792514323710321</v>
      </c>
      <c r="Q70" s="130">
        <f>IF(Q33=0,0,Q33/TrRoad_act!Q40*100)</f>
        <v>58.316920992217405</v>
      </c>
      <c r="R70" s="130">
        <f>IF(R33=0,0,R33/TrRoad_act!R40*100)</f>
        <v>56.33454067151726</v>
      </c>
      <c r="S70" s="130">
        <f>IF(S33=0,0,S33/TrRoad_act!S40*100)</f>
        <v>56.610342915954362</v>
      </c>
      <c r="T70" s="130">
        <f>IF(T33=0,0,T33/TrRoad_act!T40*100)</f>
        <v>57.085866796155656</v>
      </c>
      <c r="U70" s="130">
        <f>IF(U33=0,0,U33/TrRoad_act!U40*100)</f>
        <v>57.240527794420757</v>
      </c>
      <c r="V70" s="130">
        <f>IF(V33=0,0,V33/TrRoad_act!V40*100)</f>
        <v>53.608734581182794</v>
      </c>
      <c r="W70" s="130">
        <f>IF(W33=0,0,W33/TrRoad_act!W40*100)</f>
        <v>55.163047352271796</v>
      </c>
      <c r="X70" s="130">
        <f>IF(X33=0,0,X33/TrRoad_act!X40*100)</f>
        <v>56.07631661608702</v>
      </c>
      <c r="Y70" s="130">
        <f>IF(Y33=0,0,Y33/TrRoad_act!Y40*100)</f>
        <v>52.172121088730805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20.614325850365869</v>
      </c>
      <c r="C71" s="97">
        <f>IF(C34=0,0,C34/TrRoad_act!C41*100)</f>
        <v>20.601351372256534</v>
      </c>
      <c r="D71" s="97">
        <f>IF(D34=0,0,D34/TrRoad_act!D41*100)</f>
        <v>20.600038727582334</v>
      </c>
      <c r="E71" s="97">
        <f>IF(E34=0,0,E34/TrRoad_act!E41*100)</f>
        <v>20.598423466348049</v>
      </c>
      <c r="F71" s="97">
        <f>IF(F34=0,0,F34/TrRoad_act!F41*100)</f>
        <v>20.58941992846524</v>
      </c>
      <c r="G71" s="97">
        <f>IF(G34=0,0,G34/TrRoad_act!G41*100)</f>
        <v>20.581728844211202</v>
      </c>
      <c r="H71" s="97">
        <f>IF(H34=0,0,H34/TrRoad_act!H41*100)</f>
        <v>20.576797527391896</v>
      </c>
      <c r="I71" s="97">
        <f>IF(I34=0,0,I34/TrRoad_act!I41*100)</f>
        <v>20.563972831944568</v>
      </c>
      <c r="J71" s="97">
        <f>IF(J34=0,0,J34/TrRoad_act!J41*100)</f>
        <v>20.489288233644366</v>
      </c>
      <c r="K71" s="97">
        <f>IF(K34=0,0,K34/TrRoad_act!K41*100)</f>
        <v>20.462298332698111</v>
      </c>
      <c r="L71" s="97">
        <f>IF(L34=0,0,L34/TrRoad_act!L41*100)</f>
        <v>20.35389314318385</v>
      </c>
      <c r="M71" s="97">
        <f>IF(M34=0,0,M34/TrRoad_act!M41*100)</f>
        <v>20.111826297111097</v>
      </c>
      <c r="N71" s="97">
        <f>IF(N34=0,0,N34/TrRoad_act!N41*100)</f>
        <v>19.848821432775409</v>
      </c>
      <c r="O71" s="97">
        <f>IF(O34=0,0,O34/TrRoad_act!O41*100)</f>
        <v>19.830567295771999</v>
      </c>
      <c r="P71" s="97">
        <f>IF(P34=0,0,P34/TrRoad_act!P41*100)</f>
        <v>19.725576284081257</v>
      </c>
      <c r="Q71" s="97">
        <f>IF(Q34=0,0,Q34/TrRoad_act!Q41*100)</f>
        <v>19.483894675384512</v>
      </c>
      <c r="R71" s="97">
        <f>IF(R34=0,0,R34/TrRoad_act!R41*100)</f>
        <v>19.028424838902595</v>
      </c>
      <c r="S71" s="97">
        <f>IF(S34=0,0,S34/TrRoad_act!S41*100)</f>
        <v>18.750240398918894</v>
      </c>
      <c r="T71" s="97">
        <f>IF(T34=0,0,T34/TrRoad_act!T41*100)</f>
        <v>18.646463457992507</v>
      </c>
      <c r="U71" s="97">
        <f>IF(U34=0,0,U34/TrRoad_act!U41*100)</f>
        <v>18.629835271445003</v>
      </c>
      <c r="V71" s="97">
        <f>IF(V34=0,0,V34/TrRoad_act!V41*100)</f>
        <v>18.174368190412597</v>
      </c>
      <c r="W71" s="97">
        <f>IF(W34=0,0,W34/TrRoad_act!W41*100)</f>
        <v>18.136340851280433</v>
      </c>
      <c r="X71" s="97">
        <f>IF(X34=0,0,X34/TrRoad_act!X41*100)</f>
        <v>17.79495987198219</v>
      </c>
      <c r="Y71" s="97">
        <f>IF(Y34=0,0,Y34/TrRoad_act!Y41*100)</f>
        <v>17.280303398614542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58.484932639111861</v>
      </c>
      <c r="C72" s="97">
        <f>IF(C36=0,0,C36/TrRoad_act!C42*100)</f>
        <v>58.259967592719519</v>
      </c>
      <c r="D72" s="97">
        <f>IF(D36=0,0,D36/TrRoad_act!D42*100)</f>
        <v>60.039079534677256</v>
      </c>
      <c r="E72" s="97">
        <f>IF(E36=0,0,E36/TrRoad_act!E42*100)</f>
        <v>60.402687043170758</v>
      </c>
      <c r="F72" s="97">
        <f>IF(F36=0,0,F36/TrRoad_act!F42*100)</f>
        <v>60.239662282630135</v>
      </c>
      <c r="G72" s="97">
        <f>IF(G36=0,0,G36/TrRoad_act!G42*100)</f>
        <v>62.520026404960348</v>
      </c>
      <c r="H72" s="97">
        <f>IF(H36=0,0,H36/TrRoad_act!H42*100)</f>
        <v>61.881238097564598</v>
      </c>
      <c r="I72" s="97">
        <f>IF(I36=0,0,I36/TrRoad_act!I42*100)</f>
        <v>59.526996815856656</v>
      </c>
      <c r="J72" s="97">
        <f>IF(J36=0,0,J36/TrRoad_act!J42*100)</f>
        <v>60.069444487667376</v>
      </c>
      <c r="K72" s="97">
        <f>IF(K36=0,0,K36/TrRoad_act!K42*100)</f>
        <v>59.109588708700365</v>
      </c>
      <c r="L72" s="97">
        <f>IF(L36=0,0,L36/TrRoad_act!L42*100)</f>
        <v>59.615862862735256</v>
      </c>
      <c r="M72" s="97">
        <f>IF(M36=0,0,M36/TrRoad_act!M42*100)</f>
        <v>56.303769666280779</v>
      </c>
      <c r="N72" s="97">
        <f>IF(N36=0,0,N36/TrRoad_act!N42*100)</f>
        <v>54.870905111750403</v>
      </c>
      <c r="O72" s="97">
        <f>IF(O36=0,0,O36/TrRoad_act!O42*100)</f>
        <v>51.399889545460162</v>
      </c>
      <c r="P72" s="97">
        <f>IF(P36=0,0,P36/TrRoad_act!P42*100)</f>
        <v>56.482216808862809</v>
      </c>
      <c r="Q72" s="97">
        <f>IF(Q36=0,0,Q36/TrRoad_act!Q42*100)</f>
        <v>59.08417994854517</v>
      </c>
      <c r="R72" s="97">
        <f>IF(R36=0,0,R36/TrRoad_act!R42*100)</f>
        <v>57.269653700150322</v>
      </c>
      <c r="S72" s="97">
        <f>IF(S36=0,0,S36/TrRoad_act!S42*100)</f>
        <v>57.791581570914566</v>
      </c>
      <c r="T72" s="97">
        <f>IF(T36=0,0,T36/TrRoad_act!T42*100)</f>
        <v>58.112814718501937</v>
      </c>
      <c r="U72" s="97">
        <f>IF(U36=0,0,U36/TrRoad_act!U42*100)</f>
        <v>57.305107478434806</v>
      </c>
      <c r="V72" s="97">
        <f>IF(V36=0,0,V36/TrRoad_act!V42*100)</f>
        <v>53.706790081308363</v>
      </c>
      <c r="W72" s="97">
        <f>IF(W36=0,0,W36/TrRoad_act!W42*100)</f>
        <v>55.391556469479866</v>
      </c>
      <c r="X72" s="97">
        <f>IF(X36=0,0,X36/TrRoad_act!X42*100)</f>
        <v>56.776361762099356</v>
      </c>
      <c r="Y72" s="97">
        <f>IF(Y36=0,0,Y36/TrRoad_act!Y42*100)</f>
        <v>52.66803210311064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46.291840887066357</v>
      </c>
      <c r="Q73" s="97">
        <f>IF(Q38=0,0,Q38/TrRoad_act!Q43*100)</f>
        <v>46.291840887066364</v>
      </c>
      <c r="R73" s="97">
        <f>IF(R38=0,0,R38/TrRoad_act!R43*100)</f>
        <v>46.705820038010799</v>
      </c>
      <c r="S73" s="97">
        <f>IF(S38=0,0,S38/TrRoad_act!S43*100)</f>
        <v>46.705820038010806</v>
      </c>
      <c r="T73" s="97">
        <f>IF(T38=0,0,T38/TrRoad_act!T43*100)</f>
        <v>46.705820038010799</v>
      </c>
      <c r="U73" s="97">
        <f>IF(U38=0,0,U38/TrRoad_act!U43*100)</f>
        <v>46.705820038010806</v>
      </c>
      <c r="V73" s="97">
        <f>IF(V38=0,0,V38/TrRoad_act!V43*100)</f>
        <v>46.705820038010799</v>
      </c>
      <c r="W73" s="97">
        <f>IF(W38=0,0,W38/TrRoad_act!W43*100)</f>
        <v>46.705820038010806</v>
      </c>
      <c r="X73" s="97">
        <f>IF(X38=0,0,X38/TrRoad_act!X43*100)</f>
        <v>46.705820038010806</v>
      </c>
      <c r="Y73" s="97">
        <f>IF(Y38=0,0,Y38/TrRoad_act!Y43*100)</f>
        <v>46.705820038010806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45.557390612583319</v>
      </c>
      <c r="C74" s="97">
        <f>IF(C39=0,0,C39/TrRoad_act!C44*100)</f>
        <v>46.356058279342413</v>
      </c>
      <c r="D74" s="97">
        <f>IF(D39=0,0,D39/TrRoad_act!D44*100)</f>
        <v>45.353104222831846</v>
      </c>
      <c r="E74" s="97">
        <f>IF(E39=0,0,E39/TrRoad_act!E44*100)</f>
        <v>44.772874892997265</v>
      </c>
      <c r="F74" s="97">
        <f>IF(F39=0,0,F39/TrRoad_act!F44*100)</f>
        <v>43.716806485543422</v>
      </c>
      <c r="G74" s="97">
        <f>IF(G39=0,0,G39/TrRoad_act!G44*100)</f>
        <v>51.305038221019906</v>
      </c>
      <c r="H74" s="97">
        <f>IF(H39=0,0,H39/TrRoad_act!H44*100)</f>
        <v>54.106488215468381</v>
      </c>
      <c r="I74" s="97">
        <f>IF(I39=0,0,I39/TrRoad_act!I44*100)</f>
        <v>48.367890643893247</v>
      </c>
      <c r="J74" s="97">
        <f>IF(J39=0,0,J39/TrRoad_act!J44*100)</f>
        <v>47.735736009212253</v>
      </c>
      <c r="K74" s="97">
        <f>IF(K39=0,0,K39/TrRoad_act!K44*100)</f>
        <v>43.795870277660875</v>
      </c>
      <c r="L74" s="97">
        <f>IF(L39=0,0,L39/TrRoad_act!L44*100)</f>
        <v>43.590842558149461</v>
      </c>
      <c r="M74" s="97">
        <f>IF(M39=0,0,M39/TrRoad_act!M44*100)</f>
        <v>52.113781500264011</v>
      </c>
      <c r="N74" s="97">
        <f>IF(N39=0,0,N39/TrRoad_act!N44*100)</f>
        <v>45.38551314864857</v>
      </c>
      <c r="O74" s="97">
        <f>IF(O39=0,0,O39/TrRoad_act!O44*100)</f>
        <v>27.93440103384296</v>
      </c>
      <c r="P74" s="97">
        <f>IF(P39=0,0,P39/TrRoad_act!P44*100)</f>
        <v>14.822907638660848</v>
      </c>
      <c r="Q74" s="97">
        <f>IF(Q39=0,0,Q39/TrRoad_act!Q44*100)</f>
        <v>27.955023040221771</v>
      </c>
      <c r="R74" s="97">
        <f>IF(R39=0,0,R39/TrRoad_act!R44*100)</f>
        <v>32.489032028163152</v>
      </c>
      <c r="S74" s="97">
        <f>IF(S39=0,0,S39/TrRoad_act!S44*100)</f>
        <v>28.80891653385536</v>
      </c>
      <c r="T74" s="97">
        <f>IF(T39=0,0,T39/TrRoad_act!T44*100)</f>
        <v>32.393750684893149</v>
      </c>
      <c r="U74" s="97">
        <f>IF(U39=0,0,U39/TrRoad_act!U44*100)</f>
        <v>62.748250902554318</v>
      </c>
      <c r="V74" s="97">
        <f>IF(V39=0,0,V39/TrRoad_act!V44*100)</f>
        <v>59.707283236512176</v>
      </c>
      <c r="W74" s="97">
        <f>IF(W39=0,0,W39/TrRoad_act!W44*100)</f>
        <v>59.406276619709807</v>
      </c>
      <c r="X74" s="97">
        <f>IF(X39=0,0,X39/TrRoad_act!X44*100)</f>
        <v>39.960111272314144</v>
      </c>
      <c r="Y74" s="97">
        <f>IF(Y39=0,0,Y39/TrRoad_act!Y44*100)</f>
        <v>47.548177149806826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32.473542817175961</v>
      </c>
      <c r="C75" s="97">
        <f>IF(C41=0,0,C41/TrRoad_act!C45*100)</f>
        <v>32.473542817175961</v>
      </c>
      <c r="D75" s="97">
        <f>IF(D41=0,0,D41/TrRoad_act!D45*100)</f>
        <v>32.473542817175961</v>
      </c>
      <c r="E75" s="97">
        <f>IF(E41=0,0,E41/TrRoad_act!E45*100)</f>
        <v>32.448834442405293</v>
      </c>
      <c r="F75" s="97">
        <f>IF(F41=0,0,F41/TrRoad_act!F45*100)</f>
        <v>32.448379851593891</v>
      </c>
      <c r="G75" s="97">
        <f>IF(G41=0,0,G41/TrRoad_act!G45*100)</f>
        <v>32.432222983034485</v>
      </c>
      <c r="H75" s="97">
        <f>IF(H41=0,0,H41/TrRoad_act!H45*100)</f>
        <v>32.426105691075144</v>
      </c>
      <c r="I75" s="97">
        <f>IF(I41=0,0,I41/TrRoad_act!I45*100)</f>
        <v>32.418509908869019</v>
      </c>
      <c r="J75" s="97">
        <f>IF(J41=0,0,J41/TrRoad_act!J45*100)</f>
        <v>32.408639738093697</v>
      </c>
      <c r="K75" s="97">
        <f>IF(K41=0,0,K41/TrRoad_act!K45*100)</f>
        <v>32.396518258027704</v>
      </c>
      <c r="L75" s="97">
        <f>IF(L41=0,0,L41/TrRoad_act!L45*100)</f>
        <v>32.373093102293346</v>
      </c>
      <c r="M75" s="97">
        <f>IF(M41=0,0,M41/TrRoad_act!M45*100)</f>
        <v>32.343723615891022</v>
      </c>
      <c r="N75" s="97">
        <f>IF(N41=0,0,N41/TrRoad_act!N45*100)</f>
        <v>32.301491776055855</v>
      </c>
      <c r="O75" s="97">
        <f>IF(O41=0,0,O41/TrRoad_act!O45*100)</f>
        <v>32.003866536475648</v>
      </c>
      <c r="P75" s="97">
        <f>IF(P41=0,0,P41/TrRoad_act!P45*100)</f>
        <v>31.582544638428029</v>
      </c>
      <c r="Q75" s="97">
        <f>IF(Q41=0,0,Q41/TrRoad_act!Q45*100)</f>
        <v>30.242448623617623</v>
      </c>
      <c r="R75" s="97">
        <f>IF(R41=0,0,R41/TrRoad_act!R45*100)</f>
        <v>30.214985467707528</v>
      </c>
      <c r="S75" s="97">
        <f>IF(S41=0,0,S41/TrRoad_act!S45*100)</f>
        <v>30.173707556534058</v>
      </c>
      <c r="T75" s="97">
        <f>IF(T41=0,0,T41/TrRoad_act!T45*100)</f>
        <v>30.137937252405795</v>
      </c>
      <c r="U75" s="97">
        <f>IF(U41=0,0,U41/TrRoad_act!U45*100)</f>
        <v>30.137937252405798</v>
      </c>
      <c r="V75" s="97">
        <f>IF(V41=0,0,V41/TrRoad_act!V45*100)</f>
        <v>29.14532605895306</v>
      </c>
      <c r="W75" s="97">
        <f>IF(W41=0,0,W41/TrRoad_act!W45*100)</f>
        <v>28.203059373806255</v>
      </c>
      <c r="X75" s="97">
        <f>IF(X41=0,0,X41/TrRoad_act!X45*100)</f>
        <v>27.602513418274317</v>
      </c>
      <c r="Y75" s="97">
        <f>IF(Y41=0,0,Y41/TrRoad_act!Y45*100)</f>
        <v>26.972001521893162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18.83754549262742</v>
      </c>
      <c r="C76" s="32">
        <f>IF(C42=0,0,C42/TrRoad_act!C46*100)</f>
        <v>19.323867591518134</v>
      </c>
      <c r="D76" s="32">
        <f>IF(D42=0,0,D42/TrRoad_act!D46*100)</f>
        <v>20.510150426010021</v>
      </c>
      <c r="E76" s="32">
        <f>IF(E42=0,0,E42/TrRoad_act!E46*100)</f>
        <v>20.956121754442815</v>
      </c>
      <c r="F76" s="32">
        <f>IF(F42=0,0,F42/TrRoad_act!F46*100)</f>
        <v>21.740023859011963</v>
      </c>
      <c r="G76" s="32">
        <f>IF(G42=0,0,G42/TrRoad_act!G46*100)</f>
        <v>24.031683186164805</v>
      </c>
      <c r="H76" s="32">
        <f>IF(H42=0,0,H42/TrRoad_act!H46*100)</f>
        <v>24.966848006244028</v>
      </c>
      <c r="I76" s="32">
        <f>IF(I42=0,0,I42/TrRoad_act!I46*100)</f>
        <v>23.445286943913246</v>
      </c>
      <c r="J76" s="32">
        <f>IF(J42=0,0,J42/TrRoad_act!J46*100)</f>
        <v>23.515395583078639</v>
      </c>
      <c r="K76" s="32">
        <f>IF(K42=0,0,K42/TrRoad_act!K46*100)</f>
        <v>21.191351484043842</v>
      </c>
      <c r="L76" s="32">
        <f>IF(L42=0,0,L42/TrRoad_act!L46*100)</f>
        <v>21.874866172143516</v>
      </c>
      <c r="M76" s="32">
        <f>IF(M42=0,0,M42/TrRoad_act!M46*100)</f>
        <v>19.170840356193782</v>
      </c>
      <c r="N76" s="32">
        <f>IF(N42=0,0,N42/TrRoad_act!N46*100)</f>
        <v>17.393858809317706</v>
      </c>
      <c r="O76" s="32">
        <f>IF(O42=0,0,O42/TrRoad_act!O46*100)</f>
        <v>14.840579778988856</v>
      </c>
      <c r="P76" s="32">
        <f>IF(P42=0,0,P42/TrRoad_act!P46*100)</f>
        <v>17.955550155325966</v>
      </c>
      <c r="Q76" s="32">
        <f>IF(Q42=0,0,Q42/TrRoad_act!Q46*100)</f>
        <v>19.703701974995553</v>
      </c>
      <c r="R76" s="32">
        <f>IF(R42=0,0,R42/TrRoad_act!R46*100)</f>
        <v>18.115054743515202</v>
      </c>
      <c r="S76" s="32">
        <f>IF(S42=0,0,S42/TrRoad_act!S46*100)</f>
        <v>18.207904095098375</v>
      </c>
      <c r="T76" s="32">
        <f>IF(T42=0,0,T42/TrRoad_act!T46*100)</f>
        <v>18.236243586134336</v>
      </c>
      <c r="U76" s="32">
        <f>IF(U42=0,0,U42/TrRoad_act!U46*100)</f>
        <v>17.400453246485458</v>
      </c>
      <c r="V76" s="32">
        <f>IF(V42=0,0,V42/TrRoad_act!V46*100)</f>
        <v>14.295359848849415</v>
      </c>
      <c r="W76" s="32">
        <f>IF(W42=0,0,W42/TrRoad_act!W46*100)</f>
        <v>16.006592966476902</v>
      </c>
      <c r="X76" s="32">
        <f>IF(X42=0,0,X42/TrRoad_act!X46*100)</f>
        <v>17.200150739016216</v>
      </c>
      <c r="Y76" s="32">
        <f>IF(Y42=0,0,Y42/TrRoad_act!Y46*100)</f>
        <v>14.200062269545647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9.8505844958621473</v>
      </c>
      <c r="C77" s="141">
        <f>IF(C43=0,0,C43/TrRoad_act!C47*100)</f>
        <v>9.7663288447226524</v>
      </c>
      <c r="D77" s="141">
        <f>IF(D43=0,0,D43/TrRoad_act!D47*100)</f>
        <v>10.009094486574986</v>
      </c>
      <c r="E77" s="141">
        <f>IF(E43=0,0,E43/TrRoad_act!E47*100)</f>
        <v>10.095137813234318</v>
      </c>
      <c r="F77" s="141">
        <f>IF(F43=0,0,F43/TrRoad_act!F47*100)</f>
        <v>10.094593258661483</v>
      </c>
      <c r="G77" s="141">
        <f>IF(G43=0,0,G43/TrRoad_act!G47*100)</f>
        <v>10.457210855884073</v>
      </c>
      <c r="H77" s="141">
        <f>IF(H43=0,0,H43/TrRoad_act!H47*100)</f>
        <v>10.395073598602377</v>
      </c>
      <c r="I77" s="141">
        <f>IF(I43=0,0,I43/TrRoad_act!I47*100)</f>
        <v>10.087540095331324</v>
      </c>
      <c r="J77" s="141">
        <f>IF(J43=0,0,J43/TrRoad_act!J47*100)</f>
        <v>10.217244602591299</v>
      </c>
      <c r="K77" s="141">
        <f>IF(K43=0,0,K43/TrRoad_act!K47*100)</f>
        <v>10.097623193472304</v>
      </c>
      <c r="L77" s="141">
        <f>IF(L43=0,0,L43/TrRoad_act!L47*100)</f>
        <v>10.067742673169109</v>
      </c>
      <c r="M77" s="141">
        <f>IF(M43=0,0,M43/TrRoad_act!M47*100)</f>
        <v>9.6304552739821894</v>
      </c>
      <c r="N77" s="141">
        <f>IF(N43=0,0,N43/TrRoad_act!N47*100)</f>
        <v>9.419787922354196</v>
      </c>
      <c r="O77" s="141">
        <f>IF(O43=0,0,O43/TrRoad_act!O47*100)</f>
        <v>8.8463671098361818</v>
      </c>
      <c r="P77" s="141">
        <f>IF(P43=0,0,P43/TrRoad_act!P47*100)</f>
        <v>9.532310812623269</v>
      </c>
      <c r="Q77" s="141">
        <f>IF(Q43=0,0,Q43/TrRoad_act!Q47*100)</f>
        <v>9.8392388879995512</v>
      </c>
      <c r="R77" s="141">
        <f>IF(R43=0,0,R43/TrRoad_act!R47*100)</f>
        <v>9.4483422658085274</v>
      </c>
      <c r="S77" s="141">
        <f>IF(S43=0,0,S43/TrRoad_act!S47*100)</f>
        <v>9.4392999734589171</v>
      </c>
      <c r="T77" s="141">
        <f>IF(T43=0,0,T43/TrRoad_act!T47*100)</f>
        <v>9.4193587744241398</v>
      </c>
      <c r="U77" s="141">
        <f>IF(U43=0,0,U43/TrRoad_act!U47*100)</f>
        <v>9.2547876688161335</v>
      </c>
      <c r="V77" s="141">
        <f>IF(V43=0,0,V43/TrRoad_act!V47*100)</f>
        <v>8.748336187473722</v>
      </c>
      <c r="W77" s="141">
        <f>IF(W43=0,0,W43/TrRoad_act!W47*100)</f>
        <v>9.0545554790640352</v>
      </c>
      <c r="X77" s="141">
        <f>IF(X43=0,0,X43/TrRoad_act!X47*100)</f>
        <v>9.2938645845113879</v>
      </c>
      <c r="Y77" s="141">
        <f>IF(Y43=0,0,Y43/TrRoad_act!Y47*100)</f>
        <v>8.7828537560645614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8.8032298799467696</v>
      </c>
      <c r="C78" s="96">
        <f>IF(C44=0,0,C44/TrRoad_act!C48*100)</f>
        <v>8.7421871980404511</v>
      </c>
      <c r="D78" s="96">
        <f>IF(D44=0,0,D44/TrRoad_act!D48*100)</f>
        <v>8.7151070740784515</v>
      </c>
      <c r="E78" s="96">
        <f>IF(E44=0,0,E44/TrRoad_act!E48*100)</f>
        <v>8.6902578728124311</v>
      </c>
      <c r="F78" s="96">
        <f>IF(F44=0,0,F44/TrRoad_act!F48*100)</f>
        <v>8.6610826339518034</v>
      </c>
      <c r="G78" s="96">
        <f>IF(G44=0,0,G44/TrRoad_act!G48*100)</f>
        <v>8.632723718804808</v>
      </c>
      <c r="H78" s="96">
        <f>IF(H44=0,0,H44/TrRoad_act!H48*100)</f>
        <v>8.6135922156839744</v>
      </c>
      <c r="I78" s="96">
        <f>IF(I44=0,0,I44/TrRoad_act!I48*100)</f>
        <v>8.5787130349800478</v>
      </c>
      <c r="J78" s="96">
        <f>IF(J44=0,0,J44/TrRoad_act!J48*100)</f>
        <v>8.5172203089510443</v>
      </c>
      <c r="K78" s="96">
        <f>IF(K44=0,0,K44/TrRoad_act!K48*100)</f>
        <v>8.4700641589646626</v>
      </c>
      <c r="L78" s="96">
        <f>IF(L44=0,0,L44/TrRoad_act!L48*100)</f>
        <v>8.4342860203753318</v>
      </c>
      <c r="M78" s="96">
        <f>IF(M44=0,0,M44/TrRoad_act!M48*100)</f>
        <v>8.4251117779539282</v>
      </c>
      <c r="N78" s="96">
        <f>IF(N44=0,0,N44/TrRoad_act!N48*100)</f>
        <v>8.4027727313987217</v>
      </c>
      <c r="O78" s="96">
        <f>IF(O44=0,0,O44/TrRoad_act!O48*100)</f>
        <v>7.9282337840704544</v>
      </c>
      <c r="P78" s="96">
        <f>IF(P44=0,0,P44/TrRoad_act!P48*100)</f>
        <v>7.7003623919200308</v>
      </c>
      <c r="Q78" s="96">
        <f>IF(Q44=0,0,Q44/TrRoad_act!Q48*100)</f>
        <v>7.554400339693343</v>
      </c>
      <c r="R78" s="96">
        <f>IF(R44=0,0,R44/TrRoad_act!R48*100)</f>
        <v>7.4363278647264055</v>
      </c>
      <c r="S78" s="96">
        <f>IF(S44=0,0,S44/TrRoad_act!S48*100)</f>
        <v>7.3544313665010073</v>
      </c>
      <c r="T78" s="96">
        <f>IF(T44=0,0,T44/TrRoad_act!T48*100)</f>
        <v>7.3490071566233786</v>
      </c>
      <c r="U78" s="96">
        <f>IF(U44=0,0,U44/TrRoad_act!U48*100)</f>
        <v>7.3678787977618967</v>
      </c>
      <c r="V78" s="96">
        <f>IF(V44=0,0,V44/TrRoad_act!V48*100)</f>
        <v>7.3421191220662525</v>
      </c>
      <c r="W78" s="96">
        <f>IF(W44=0,0,W44/TrRoad_act!W48*100)</f>
        <v>7.3370657267801027</v>
      </c>
      <c r="X78" s="96">
        <f>IF(X44=0,0,X44/TrRoad_act!X48*100)</f>
        <v>7.3412601925052652</v>
      </c>
      <c r="Y78" s="96">
        <f>IF(Y44=0,0,Y44/TrRoad_act!Y48*100)</f>
        <v>7.6331560965321135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10.32368216912111</v>
      </c>
      <c r="C79" s="96">
        <f>IF(C46=0,0,C46/TrRoad_act!C49*100)</f>
        <v>10.154132124864386</v>
      </c>
      <c r="D79" s="96">
        <f>IF(D46=0,0,D46/TrRoad_act!D49*100)</f>
        <v>10.400272894605001</v>
      </c>
      <c r="E79" s="96">
        <f>IF(E46=0,0,E46/TrRoad_act!E49*100)</f>
        <v>10.449405085665269</v>
      </c>
      <c r="F79" s="96">
        <f>IF(F46=0,0,F46/TrRoad_act!F49*100)</f>
        <v>10.406740000076992</v>
      </c>
      <c r="G79" s="96">
        <f>IF(G46=0,0,G46/TrRoad_act!G49*100)</f>
        <v>10.793120355192732</v>
      </c>
      <c r="H79" s="96">
        <f>IF(H46=0,0,H46/TrRoad_act!H49*100)</f>
        <v>10.685061638146172</v>
      </c>
      <c r="I79" s="96">
        <f>IF(I46=0,0,I46/TrRoad_act!I49*100)</f>
        <v>10.291152903305912</v>
      </c>
      <c r="J79" s="96">
        <f>IF(J46=0,0,J46/TrRoad_act!J49*100)</f>
        <v>10.382985597562563</v>
      </c>
      <c r="K79" s="96">
        <f>IF(K46=0,0,K46/TrRoad_act!K49*100)</f>
        <v>10.21934762492023</v>
      </c>
      <c r="L79" s="96">
        <f>IF(L46=0,0,L46/TrRoad_act!L49*100)</f>
        <v>10.19685332412681</v>
      </c>
      <c r="M79" s="96">
        <f>IF(M46=0,0,M46/TrRoad_act!M49*100)</f>
        <v>9.7093999723920916</v>
      </c>
      <c r="N79" s="96">
        <f>IF(N46=0,0,N46/TrRoad_act!N49*100)</f>
        <v>9.4806594686654577</v>
      </c>
      <c r="O79" s="96">
        <f>IF(O46=0,0,O46/TrRoad_act!O49*100)</f>
        <v>8.8959432597032109</v>
      </c>
      <c r="P79" s="96">
        <f>IF(P46=0,0,P46/TrRoad_act!P49*100)</f>
        <v>9.6205808937210247</v>
      </c>
      <c r="Q79" s="96">
        <f>IF(Q46=0,0,Q46/TrRoad_act!Q49*100)</f>
        <v>9.9346434502526026</v>
      </c>
      <c r="R79" s="96">
        <f>IF(R46=0,0,R46/TrRoad_act!R49*100)</f>
        <v>9.5230132262389713</v>
      </c>
      <c r="S79" s="96">
        <f>IF(S46=0,0,S46/TrRoad_act!S49*100)</f>
        <v>9.5112449447944805</v>
      </c>
      <c r="T79" s="96">
        <f>IF(T46=0,0,T46/TrRoad_act!T49*100)</f>
        <v>9.4871831224429819</v>
      </c>
      <c r="U79" s="96">
        <f>IF(U46=0,0,U46/TrRoad_act!U49*100)</f>
        <v>9.313486512299697</v>
      </c>
      <c r="V79" s="96">
        <f>IF(V46=0,0,V46/TrRoad_act!V49*100)</f>
        <v>8.7896629091592846</v>
      </c>
      <c r="W79" s="96">
        <f>IF(W46=0,0,W46/TrRoad_act!W49*100)</f>
        <v>9.1030653270450372</v>
      </c>
      <c r="X79" s="96">
        <f>IF(X46=0,0,X46/TrRoad_act!X49*100)</f>
        <v>9.3497750931703134</v>
      </c>
      <c r="Y79" s="96">
        <f>IF(Y46=0,0,Y46/TrRoad_act!Y49*100)</f>
        <v>8.8212120802432192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10.686306477236792</v>
      </c>
      <c r="D80" s="96">
        <f>IF(D48=0,0,D48/TrRoad_act!D50*100)</f>
        <v>10.686306477236792</v>
      </c>
      <c r="E80" s="96">
        <f>IF(E48=0,0,E48/TrRoad_act!E50*100)</f>
        <v>10.686306477236792</v>
      </c>
      <c r="F80" s="96">
        <f>IF(F48=0,0,F48/TrRoad_act!F50*100)</f>
        <v>10.686306477236792</v>
      </c>
      <c r="G80" s="96">
        <f>IF(G48=0,0,G48/TrRoad_act!G50*100)</f>
        <v>10.686306477236792</v>
      </c>
      <c r="H80" s="96">
        <f>IF(H48=0,0,H48/TrRoad_act!H50*100)</f>
        <v>10.686306477236794</v>
      </c>
      <c r="I80" s="96">
        <f>IF(I48=0,0,I48/TrRoad_act!I50*100)</f>
        <v>10.686306477236791</v>
      </c>
      <c r="J80" s="96">
        <f>IF(J48=0,0,J48/TrRoad_act!J50*100)</f>
        <v>10.686306477236792</v>
      </c>
      <c r="K80" s="96">
        <f>IF(K48=0,0,K48/TrRoad_act!K50*100)</f>
        <v>10.686306477236791</v>
      </c>
      <c r="L80" s="96">
        <f>IF(L48=0,0,L48/TrRoad_act!L50*100)</f>
        <v>10.686306477236791</v>
      </c>
      <c r="M80" s="96">
        <f>IF(M48=0,0,M48/TrRoad_act!M50*100)</f>
        <v>10.686306477236792</v>
      </c>
      <c r="N80" s="96">
        <f>IF(N48=0,0,N48/TrRoad_act!N50*100)</f>
        <v>10.676406635453157</v>
      </c>
      <c r="O80" s="96">
        <f>IF(O48=0,0,O48/TrRoad_act!O50*100)</f>
        <v>10.674999532763071</v>
      </c>
      <c r="P80" s="96">
        <f>IF(P48=0,0,P48/TrRoad_act!P50*100)</f>
        <v>10.673126164017098</v>
      </c>
      <c r="Q80" s="96">
        <f>IF(Q48=0,0,Q48/TrRoad_act!Q50*100)</f>
        <v>10.53522613942938</v>
      </c>
      <c r="R80" s="96">
        <f>IF(R48=0,0,R48/TrRoad_act!R50*100)</f>
        <v>10.508112914338765</v>
      </c>
      <c r="S80" s="96">
        <f>IF(S48=0,0,S48/TrRoad_act!S50*100)</f>
        <v>10.46913965703955</v>
      </c>
      <c r="T80" s="96">
        <f>IF(T48=0,0,T48/TrRoad_act!T50*100)</f>
        <v>10.426526744077616</v>
      </c>
      <c r="U80" s="96">
        <f>IF(U48=0,0,U48/TrRoad_act!U50*100)</f>
        <v>10.354096934240566</v>
      </c>
      <c r="V80" s="96">
        <f>IF(V48=0,0,V48/TrRoad_act!V50*100)</f>
        <v>9.7461360943915363</v>
      </c>
      <c r="W80" s="96">
        <f>IF(W48=0,0,W48/TrRoad_act!W50*100)</f>
        <v>9.3576493828638618</v>
      </c>
      <c r="X80" s="96">
        <f>IF(X48=0,0,X48/TrRoad_act!X50*100)</f>
        <v>10.831590784479538</v>
      </c>
      <c r="Y80" s="96">
        <f>IF(Y48=0,0,Y48/TrRoad_act!Y50*100)</f>
        <v>11.078808650151435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11.1687600833478</v>
      </c>
      <c r="C81" s="96">
        <f>IF(C49=0,0,C49/TrRoad_act!C51*100)</f>
        <v>10.636914365093139</v>
      </c>
      <c r="D81" s="96">
        <f>IF(D49=0,0,D49/TrRoad_act!D51*100)</f>
        <v>10.636914365093141</v>
      </c>
      <c r="E81" s="96">
        <f>IF(E49=0,0,E49/TrRoad_act!E51*100)</f>
        <v>10.636914365093144</v>
      </c>
      <c r="F81" s="96">
        <f>IF(F49=0,0,F49/TrRoad_act!F51*100)</f>
        <v>10.636914365093141</v>
      </c>
      <c r="G81" s="96">
        <f>IF(G49=0,0,G49/TrRoad_act!G51*100)</f>
        <v>10.636914365093142</v>
      </c>
      <c r="H81" s="96">
        <f>IF(H49=0,0,H49/TrRoad_act!H51*100)</f>
        <v>10.636914365093142</v>
      </c>
      <c r="I81" s="96">
        <f>IF(I49=0,0,I49/TrRoad_act!I51*100)</f>
        <v>10.636914365093144</v>
      </c>
      <c r="J81" s="96">
        <f>IF(J49=0,0,J49/TrRoad_act!J51*100)</f>
        <v>10.636914365093144</v>
      </c>
      <c r="K81" s="96">
        <f>IF(K49=0,0,K49/TrRoad_act!K51*100)</f>
        <v>10.636914365093141</v>
      </c>
      <c r="L81" s="96">
        <f>IF(L49=0,0,L49/TrRoad_act!L51*100)</f>
        <v>10.636914365093142</v>
      </c>
      <c r="M81" s="96">
        <f>IF(M49=0,0,M49/TrRoad_act!M51*100)</f>
        <v>10.636914365093144</v>
      </c>
      <c r="N81" s="96">
        <f>IF(N49=0,0,N49/TrRoad_act!N51*100)</f>
        <v>7.7966803367591027</v>
      </c>
      <c r="O81" s="96">
        <f>IF(O49=0,0,O49/TrRoad_act!O51*100)</f>
        <v>7.7414011409176418</v>
      </c>
      <c r="P81" s="96">
        <f>IF(P49=0,0,P49/TrRoad_act!P51*100)</f>
        <v>7.6176461144360568</v>
      </c>
      <c r="Q81" s="96">
        <f>IF(Q49=0,0,Q49/TrRoad_act!Q51*100)</f>
        <v>9.3396668575024488</v>
      </c>
      <c r="R81" s="96">
        <f>IF(R49=0,0,R49/TrRoad_act!R51*100)</f>
        <v>9.4445541347907565</v>
      </c>
      <c r="S81" s="96">
        <f>IF(S49=0,0,S49/TrRoad_act!S51*100)</f>
        <v>9.3130899153997859</v>
      </c>
      <c r="T81" s="96">
        <f>IF(T49=0,0,T49/TrRoad_act!T51*100)</f>
        <v>9.5157648265923456</v>
      </c>
      <c r="U81" s="96">
        <f>IF(U49=0,0,U49/TrRoad_act!U51*100)</f>
        <v>9.4561672768814375</v>
      </c>
      <c r="V81" s="96">
        <f>IF(V49=0,0,V49/TrRoad_act!V51*100)</f>
        <v>9.3077410431027499</v>
      </c>
      <c r="W81" s="96">
        <f>IF(W49=0,0,W49/TrRoad_act!W51*100)</f>
        <v>9.3790700678234291</v>
      </c>
      <c r="X81" s="96">
        <f>IF(X49=0,0,X49/TrRoad_act!X51*100)</f>
        <v>9.3755828277939361</v>
      </c>
      <c r="Y81" s="96">
        <f>IF(Y49=0,0,Y49/TrRoad_act!Y51*100)</f>
        <v>9.511054494510212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1.7668431291682458</v>
      </c>
      <c r="P82" s="96">
        <f>IF(P51=0,0,P51/TrRoad_act!P52*100)</f>
        <v>1.7711073686445058</v>
      </c>
      <c r="Q82" s="96">
        <f>IF(Q51=0,0,Q51/TrRoad_act!Q52*100)</f>
        <v>1.8201461189328794</v>
      </c>
      <c r="R82" s="96">
        <f>IF(R51=0,0,R51/TrRoad_act!R52*100)</f>
        <v>1.8414315608245331</v>
      </c>
      <c r="S82" s="96">
        <f>IF(S51=0,0,S51/TrRoad_act!S52*100)</f>
        <v>1.8596894746551562</v>
      </c>
      <c r="T82" s="96">
        <f>IF(T51=0,0,T51/TrRoad_act!T52*100)</f>
        <v>2.0900415051366039</v>
      </c>
      <c r="U82" s="96">
        <f>IF(U51=0,0,U51/TrRoad_act!U52*100)</f>
        <v>2.2171326335628421</v>
      </c>
      <c r="V82" s="96">
        <f>IF(V51=0,0,V51/TrRoad_act!V52*100)</f>
        <v>2.4669682809511766</v>
      </c>
      <c r="W82" s="96">
        <f>IF(W51=0,0,W51/TrRoad_act!W52*100)</f>
        <v>2.8004574539275087</v>
      </c>
      <c r="X82" s="96">
        <f>IF(X51=0,0,X51/TrRoad_act!X52*100)</f>
        <v>3.0964398668927648</v>
      </c>
      <c r="Y82" s="96">
        <f>IF(Y51=0,0,Y51/TrRoad_act!Y52*100)</f>
        <v>3.0797748384079413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36.943302742923919</v>
      </c>
      <c r="C83" s="130">
        <f>IF(C52=0,0,C52/TrRoad_act!C53*100)</f>
        <v>39.015593618633496</v>
      </c>
      <c r="D83" s="130">
        <f>IF(D52=0,0,D52/TrRoad_act!D53*100)</f>
        <v>43.661810316955545</v>
      </c>
      <c r="E83" s="130">
        <f>IF(E52=0,0,E52/TrRoad_act!E53*100)</f>
        <v>45.624673525879103</v>
      </c>
      <c r="F83" s="130">
        <f>IF(F52=0,0,F52/TrRoad_act!F53*100)</f>
        <v>46.103744401348727</v>
      </c>
      <c r="G83" s="130">
        <f>IF(G52=0,0,G52/TrRoad_act!G53*100)</f>
        <v>48.096229067121094</v>
      </c>
      <c r="H83" s="130">
        <f>IF(H52=0,0,H52/TrRoad_act!H53*100)</f>
        <v>48.901253909880673</v>
      </c>
      <c r="I83" s="130">
        <f>IF(I52=0,0,I52/TrRoad_act!I53*100)</f>
        <v>44.932336528560626</v>
      </c>
      <c r="J83" s="130">
        <f>IF(J52=0,0,J52/TrRoad_act!J53*100)</f>
        <v>46.909544309073816</v>
      </c>
      <c r="K83" s="130">
        <f>IF(K52=0,0,K52/TrRoad_act!K53*100)</f>
        <v>45.33053593841445</v>
      </c>
      <c r="L83" s="130">
        <f>IF(L52=0,0,L52/TrRoad_act!L53*100)</f>
        <v>47.513844406579594</v>
      </c>
      <c r="M83" s="130">
        <f>IF(M52=0,0,M52/TrRoad_act!M53*100)</f>
        <v>41.41492111150999</v>
      </c>
      <c r="N83" s="130">
        <f>IF(N52=0,0,N52/TrRoad_act!N53*100)</f>
        <v>38.356805706514379</v>
      </c>
      <c r="O83" s="130">
        <f>IF(O52=0,0,O52/TrRoad_act!O53*100)</f>
        <v>31.209352211385777</v>
      </c>
      <c r="P83" s="130">
        <f>IF(P52=0,0,P52/TrRoad_act!P53*100)</f>
        <v>41.072364390915602</v>
      </c>
      <c r="Q83" s="130">
        <f>IF(Q52=0,0,Q52/TrRoad_act!Q53*100)</f>
        <v>46.393033382411801</v>
      </c>
      <c r="R83" s="130">
        <f>IF(R52=0,0,R52/TrRoad_act!R53*100)</f>
        <v>41.453164531032762</v>
      </c>
      <c r="S83" s="130">
        <f>IF(S52=0,0,S52/TrRoad_act!S53*100)</f>
        <v>42.619766162962406</v>
      </c>
      <c r="T83" s="130">
        <f>IF(T52=0,0,T52/TrRoad_act!T53*100)</f>
        <v>42.983578278783867</v>
      </c>
      <c r="U83" s="130">
        <f>IF(U52=0,0,U52/TrRoad_act!U53*100)</f>
        <v>41.077071152711298</v>
      </c>
      <c r="V83" s="130">
        <f>IF(V52=0,0,V52/TrRoad_act!V53*100)</f>
        <v>31.686661769794171</v>
      </c>
      <c r="W83" s="130">
        <f>IF(W52=0,0,W52/TrRoad_act!W53*100)</f>
        <v>36.382415078911833</v>
      </c>
      <c r="X83" s="130">
        <f>IF(X52=0,0,X52/TrRoad_act!X53*100)</f>
        <v>41.192385578299351</v>
      </c>
      <c r="Y83" s="130">
        <f>IF(Y52=0,0,Y52/TrRoad_act!Y53*100)</f>
        <v>31.221817324809404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34.734817269595318</v>
      </c>
      <c r="C84" s="97">
        <f>IF(C53=0,0,C53/TrRoad_act!C54*100)</f>
        <v>35.461575394128047</v>
      </c>
      <c r="D84" s="97">
        <f>IF(D53=0,0,D53/TrRoad_act!D54*100)</f>
        <v>37.153729440699394</v>
      </c>
      <c r="E84" s="97">
        <f>IF(E53=0,0,E53/TrRoad_act!E54*100)</f>
        <v>37.843125477570617</v>
      </c>
      <c r="F84" s="97">
        <f>IF(F53=0,0,F53/TrRoad_act!F54*100)</f>
        <v>37.997206870150698</v>
      </c>
      <c r="G84" s="97">
        <f>IF(G53=0,0,G53/TrRoad_act!G54*100)</f>
        <v>38.812663417939056</v>
      </c>
      <c r="H84" s="97">
        <f>IF(H53=0,0,H53/TrRoad_act!H54*100)</f>
        <v>39.004439126999259</v>
      </c>
      <c r="I84" s="97">
        <f>IF(I53=0,0,I53/TrRoad_act!I54*100)</f>
        <v>37.412778897325197</v>
      </c>
      <c r="J84" s="97">
        <f>IF(J53=0,0,J53/TrRoad_act!J54*100)</f>
        <v>38.045622933164012</v>
      </c>
      <c r="K84" s="97">
        <f>IF(K53=0,0,K53/TrRoad_act!K54*100)</f>
        <v>37.192400900227838</v>
      </c>
      <c r="L84" s="97">
        <f>IF(L53=0,0,L53/TrRoad_act!L54*100)</f>
        <v>37.899954070114546</v>
      </c>
      <c r="M84" s="97">
        <f>IF(M53=0,0,M53/TrRoad_act!M54*100)</f>
        <v>35.51002382316608</v>
      </c>
      <c r="N84" s="97">
        <f>IF(N53=0,0,N53/TrRoad_act!N54*100)</f>
        <v>34.265879504997429</v>
      </c>
      <c r="O84" s="97">
        <f>IF(O53=0,0,O53/TrRoad_act!O54*100)</f>
        <v>31.515890265947515</v>
      </c>
      <c r="P84" s="97">
        <f>IF(P53=0,0,P53/TrRoad_act!P54*100)</f>
        <v>35.261049071667728</v>
      </c>
      <c r="Q84" s="97">
        <f>IF(Q53=0,0,Q53/TrRoad_act!Q54*100)</f>
        <v>37.274968334439876</v>
      </c>
      <c r="R84" s="97">
        <f>IF(R53=0,0,R53/TrRoad_act!R54*100)</f>
        <v>35.37080874782967</v>
      </c>
      <c r="S84" s="97">
        <f>IF(S53=0,0,S53/TrRoad_act!S54*100)</f>
        <v>35.641449852163909</v>
      </c>
      <c r="T84" s="97">
        <f>IF(T53=0,0,T53/TrRoad_act!T54*100)</f>
        <v>35.599254126504256</v>
      </c>
      <c r="U84" s="97">
        <f>IF(U53=0,0,U53/TrRoad_act!U54*100)</f>
        <v>34.661683474939629</v>
      </c>
      <c r="V84" s="97">
        <f>IF(V53=0,0,V53/TrRoad_act!V54*100)</f>
        <v>31.013342412336986</v>
      </c>
      <c r="W84" s="97">
        <f>IF(W53=0,0,W53/TrRoad_act!W54*100)</f>
        <v>32.606974525092461</v>
      </c>
      <c r="X84" s="97">
        <f>IF(X53=0,0,X53/TrRoad_act!X54*100)</f>
        <v>34.167068477415192</v>
      </c>
      <c r="Y84" s="97">
        <f>IF(Y53=0,0,Y53/TrRoad_act!Y54*100)</f>
        <v>30.286729033230404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41.647972109284346</v>
      </c>
      <c r="C85" s="98">
        <f>IF(C55=0,0,C55/TrRoad_act!C55*100)</f>
        <v>46.069861177513317</v>
      </c>
      <c r="D85" s="98">
        <f>IF(D55=0,0,D55/TrRoad_act!D55*100)</f>
        <v>55.445277092102593</v>
      </c>
      <c r="E85" s="98">
        <f>IF(E55=0,0,E55/TrRoad_act!E55*100)</f>
        <v>59.298157909343082</v>
      </c>
      <c r="F85" s="98">
        <f>IF(F55=0,0,F55/TrRoad_act!F55*100)</f>
        <v>58.813986519352802</v>
      </c>
      <c r="G85" s="98">
        <f>IF(G55=0,0,G55/TrRoad_act!G55*100)</f>
        <v>66.999357388439407</v>
      </c>
      <c r="H85" s="98">
        <f>IF(H55=0,0,H55/TrRoad_act!H55*100)</f>
        <v>68.821080731461876</v>
      </c>
      <c r="I85" s="98">
        <f>IF(I55=0,0,I55/TrRoad_act!I55*100)</f>
        <v>59.513712304503287</v>
      </c>
      <c r="J85" s="98">
        <f>IF(J55=0,0,J55/TrRoad_act!J55*100)</f>
        <v>61.523442724948417</v>
      </c>
      <c r="K85" s="98">
        <f>IF(K55=0,0,K55/TrRoad_act!K55*100)</f>
        <v>64.709491042900254</v>
      </c>
      <c r="L85" s="98">
        <f>IF(L55=0,0,L55/TrRoad_act!L55*100)</f>
        <v>67.178575499356569</v>
      </c>
      <c r="M85" s="98">
        <f>IF(M55=0,0,M55/TrRoad_act!M55*100)</f>
        <v>52.104689178767948</v>
      </c>
      <c r="N85" s="98">
        <f>IF(N55=0,0,N55/TrRoad_act!N55*100)</f>
        <v>44.725245773966471</v>
      </c>
      <c r="O85" s="98">
        <f>IF(O55=0,0,O55/TrRoad_act!O55*100)</f>
        <v>30.737473979054862</v>
      </c>
      <c r="P85" s="98">
        <f>IF(P55=0,0,P55/TrRoad_act!P55*100)</f>
        <v>49.928167592642339</v>
      </c>
      <c r="Q85" s="98">
        <f>IF(Q55=0,0,Q55/TrRoad_act!Q55*100)</f>
        <v>59.908656426880881</v>
      </c>
      <c r="R85" s="98">
        <f>IF(R55=0,0,R55/TrRoad_act!R55*100)</f>
        <v>50.320201360065077</v>
      </c>
      <c r="S85" s="98">
        <f>IF(S55=0,0,S55/TrRoad_act!S55*100)</f>
        <v>51.760624595297976</v>
      </c>
      <c r="T85" s="98">
        <f>IF(T55=0,0,T55/TrRoad_act!T55*100)</f>
        <v>53.625779986743325</v>
      </c>
      <c r="U85" s="98">
        <f>IF(U55=0,0,U55/TrRoad_act!U55*100)</f>
        <v>50.392108133895995</v>
      </c>
      <c r="V85" s="98">
        <f>IF(V55=0,0,V55/TrRoad_act!V55*100)</f>
        <v>32.703374527757504</v>
      </c>
      <c r="W85" s="98">
        <f>IF(W55=0,0,W55/TrRoad_act!W55*100)</f>
        <v>42.199128013160546</v>
      </c>
      <c r="X85" s="98">
        <f>IF(X55=0,0,X55/TrRoad_act!X55*100)</f>
        <v>50.862462074618811</v>
      </c>
      <c r="Y85" s="98">
        <f>IF(Y55=0,0,Y55/TrRoad_act!Y55*100)</f>
        <v>32.5077009654538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29.411401964280316</v>
      </c>
      <c r="C88" s="29">
        <f>IF(TrRoad_act!C4=0,0,C18/TrRoad_act!C4*1000)</f>
        <v>30.955751998662301</v>
      </c>
      <c r="D88" s="29">
        <f>IF(TrRoad_act!D4=0,0,D18/TrRoad_act!D4*1000)</f>
        <v>32.252361482566364</v>
      </c>
      <c r="E88" s="29">
        <f>IF(TrRoad_act!E4=0,0,E18/TrRoad_act!E4*1000)</f>
        <v>33.22682663244494</v>
      </c>
      <c r="F88" s="29">
        <f>IF(TrRoad_act!F4=0,0,F18/TrRoad_act!F4*1000)</f>
        <v>33.709310985455922</v>
      </c>
      <c r="G88" s="29">
        <f>IF(TrRoad_act!G4=0,0,G18/TrRoad_act!G4*1000)</f>
        <v>34.196760275843339</v>
      </c>
      <c r="H88" s="29">
        <f>IF(TrRoad_act!H4=0,0,H18/TrRoad_act!H4*1000)</f>
        <v>35.143048137953592</v>
      </c>
      <c r="I88" s="29">
        <f>IF(TrRoad_act!I4=0,0,I18/TrRoad_act!I4*1000)</f>
        <v>36.104797705401111</v>
      </c>
      <c r="J88" s="29">
        <f>IF(TrRoad_act!J4=0,0,J18/TrRoad_act!J4*1000)</f>
        <v>35.913402487003104</v>
      </c>
      <c r="K88" s="29">
        <f>IF(TrRoad_act!K4=0,0,K18/TrRoad_act!K4*1000)</f>
        <v>36.966160752072945</v>
      </c>
      <c r="L88" s="29">
        <f>IF(TrRoad_act!L4=0,0,L18/TrRoad_act!L4*1000)</f>
        <v>34.894255551397286</v>
      </c>
      <c r="M88" s="29">
        <f>IF(TrRoad_act!M4=0,0,M18/TrRoad_act!M4*1000)</f>
        <v>32.995740402897383</v>
      </c>
      <c r="N88" s="29">
        <f>IF(TrRoad_act!N4=0,0,N18/TrRoad_act!N4*1000)</f>
        <v>33.065765891478215</v>
      </c>
      <c r="O88" s="29">
        <f>IF(TrRoad_act!O4=0,0,O18/TrRoad_act!O4*1000)</f>
        <v>31.569948544869206</v>
      </c>
      <c r="P88" s="29">
        <f>IF(TrRoad_act!P4=0,0,P18/TrRoad_act!P4*1000)</f>
        <v>33.094870655026639</v>
      </c>
      <c r="Q88" s="29">
        <f>IF(TrRoad_act!Q4=0,0,Q18/TrRoad_act!Q4*1000)</f>
        <v>34.056045952628253</v>
      </c>
      <c r="R88" s="29">
        <f>IF(TrRoad_act!R4=0,0,R18/TrRoad_act!R4*1000)</f>
        <v>34.485803749605594</v>
      </c>
      <c r="S88" s="29">
        <f>IF(TrRoad_act!S4=0,0,S18/TrRoad_act!S4*1000)</f>
        <v>34.112723538713695</v>
      </c>
      <c r="T88" s="29">
        <f>IF(TrRoad_act!T4=0,0,T18/TrRoad_act!T4*1000)</f>
        <v>34.670594017047826</v>
      </c>
      <c r="U88" s="29">
        <f>IF(TrRoad_act!U4=0,0,U18/TrRoad_act!U4*1000)</f>
        <v>36.493306406755003</v>
      </c>
      <c r="V88" s="29">
        <f>IF(TrRoad_act!V4=0,0,V18/TrRoad_act!V4*1000)</f>
        <v>36.908363892161965</v>
      </c>
      <c r="W88" s="29">
        <f>IF(TrRoad_act!W4=0,0,W18/TrRoad_act!W4*1000)</f>
        <v>37.797365244079451</v>
      </c>
      <c r="X88" s="29">
        <f>IF(TrRoad_act!X4=0,0,X18/TrRoad_act!X4*1000)</f>
        <v>36.868485542994428</v>
      </c>
      <c r="Y88" s="29">
        <f>IF(TrRoad_act!Y4=0,0,Y18/TrRoad_act!Y4*1000)</f>
        <v>34.039848116950964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41.944459482758177</v>
      </c>
      <c r="C89" s="152">
        <f>IF(TrRoad_act!C5=0,0,C19/TrRoad_act!C5*1000)</f>
        <v>41.783350998333042</v>
      </c>
      <c r="D89" s="152">
        <f>IF(TrRoad_act!D5=0,0,D19/TrRoad_act!D5*1000)</f>
        <v>41.442440074051028</v>
      </c>
      <c r="E89" s="152">
        <f>IF(TrRoad_act!E5=0,0,E19/TrRoad_act!E5*1000)</f>
        <v>41.033075527847537</v>
      </c>
      <c r="F89" s="152">
        <f>IF(TrRoad_act!F5=0,0,F19/TrRoad_act!F5*1000)</f>
        <v>40.446007241770324</v>
      </c>
      <c r="G89" s="152">
        <f>IF(TrRoad_act!G5=0,0,G19/TrRoad_act!G5*1000)</f>
        <v>40.087371964857539</v>
      </c>
      <c r="H89" s="152">
        <f>IF(TrRoad_act!H5=0,0,H19/TrRoad_act!H5*1000)</f>
        <v>39.69579262681566</v>
      </c>
      <c r="I89" s="152">
        <f>IF(TrRoad_act!I5=0,0,I19/TrRoad_act!I5*1000)</f>
        <v>39.220243351468795</v>
      </c>
      <c r="J89" s="152">
        <f>IF(TrRoad_act!J5=0,0,J19/TrRoad_act!J5*1000)</f>
        <v>38.722148917032214</v>
      </c>
      <c r="K89" s="152">
        <f>IF(TrRoad_act!K5=0,0,K19/TrRoad_act!K5*1000)</f>
        <v>38.284569917243431</v>
      </c>
      <c r="L89" s="152">
        <f>IF(TrRoad_act!L5=0,0,L19/TrRoad_act!L5*1000)</f>
        <v>37.972485493512451</v>
      </c>
      <c r="M89" s="152">
        <f>IF(TrRoad_act!M5=0,0,M19/TrRoad_act!M5*1000)</f>
        <v>37.769993197004808</v>
      </c>
      <c r="N89" s="152">
        <f>IF(TrRoad_act!N5=0,0,N19/TrRoad_act!N5*1000)</f>
        <v>37.643279658201713</v>
      </c>
      <c r="O89" s="152">
        <f>IF(TrRoad_act!O5=0,0,O19/TrRoad_act!O5*1000)</f>
        <v>37.37248140621741</v>
      </c>
      <c r="P89" s="152">
        <f>IF(TrRoad_act!P5=0,0,P19/TrRoad_act!P5*1000)</f>
        <v>36.905621144397067</v>
      </c>
      <c r="Q89" s="152">
        <f>IF(TrRoad_act!Q5=0,0,Q19/TrRoad_act!Q5*1000)</f>
        <v>36.338616170422263</v>
      </c>
      <c r="R89" s="152">
        <f>IF(TrRoad_act!R5=0,0,R19/TrRoad_act!R5*1000)</f>
        <v>35.915750729091336</v>
      </c>
      <c r="S89" s="152">
        <f>IF(TrRoad_act!S5=0,0,S19/TrRoad_act!S5*1000)</f>
        <v>35.575446727328064</v>
      </c>
      <c r="T89" s="152">
        <f>IF(TrRoad_act!T5=0,0,T19/TrRoad_act!T5*1000)</f>
        <v>35.296470073773037</v>
      </c>
      <c r="U89" s="152">
        <f>IF(TrRoad_act!U5=0,0,U19/TrRoad_act!U5*1000)</f>
        <v>35.035508350596828</v>
      </c>
      <c r="V89" s="152">
        <f>IF(TrRoad_act!V5=0,0,V19/TrRoad_act!V5*1000)</f>
        <v>34.785616042855544</v>
      </c>
      <c r="W89" s="152">
        <f>IF(TrRoad_act!W5=0,0,W19/TrRoad_act!W5*1000)</f>
        <v>34.625218635892999</v>
      </c>
      <c r="X89" s="152">
        <f>IF(TrRoad_act!X5=0,0,X19/TrRoad_act!X5*1000)</f>
        <v>35.085012785066688</v>
      </c>
      <c r="Y89" s="152">
        <f>IF(TrRoad_act!Y5=0,0,Y19/TrRoad_act!Y5*1000)</f>
        <v>34.498039065176755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32.9693651377385</v>
      </c>
      <c r="C90" s="116">
        <f>IF(TrRoad_act!C6=0,0,C21/TrRoad_act!C6*1000)</f>
        <v>35.049028899877449</v>
      </c>
      <c r="D90" s="116">
        <f>IF(TrRoad_act!D6=0,0,D21/TrRoad_act!D6*1000)</f>
        <v>36.786670682514874</v>
      </c>
      <c r="E90" s="116">
        <f>IF(TrRoad_act!E6=0,0,E21/TrRoad_act!E6*1000)</f>
        <v>37.890220933215417</v>
      </c>
      <c r="F90" s="116">
        <f>IF(TrRoad_act!F6=0,0,F21/TrRoad_act!F6*1000)</f>
        <v>38.365498997014477</v>
      </c>
      <c r="G90" s="116">
        <f>IF(TrRoad_act!G6=0,0,G21/TrRoad_act!G6*1000)</f>
        <v>38.517555130908185</v>
      </c>
      <c r="H90" s="116">
        <f>IF(TrRoad_act!H6=0,0,H21/TrRoad_act!H6*1000)</f>
        <v>38.994238558900804</v>
      </c>
      <c r="I90" s="116">
        <f>IF(TrRoad_act!I6=0,0,I21/TrRoad_act!I6*1000)</f>
        <v>39.749391407575366</v>
      </c>
      <c r="J90" s="116">
        <f>IF(TrRoad_act!J6=0,0,J21/TrRoad_act!J6*1000)</f>
        <v>40.366523274120951</v>
      </c>
      <c r="K90" s="116">
        <f>IF(TrRoad_act!K6=0,0,K21/TrRoad_act!K6*1000)</f>
        <v>41.086274870065203</v>
      </c>
      <c r="L90" s="116">
        <f>IF(TrRoad_act!L6=0,0,L21/TrRoad_act!L6*1000)</f>
        <v>38.545163061022876</v>
      </c>
      <c r="M90" s="116">
        <f>IF(TrRoad_act!M6=0,0,M21/TrRoad_act!M6*1000)</f>
        <v>36.513497541468894</v>
      </c>
      <c r="N90" s="116">
        <f>IF(TrRoad_act!N6=0,0,N21/TrRoad_act!N6*1000)</f>
        <v>37.179162548944902</v>
      </c>
      <c r="O90" s="116">
        <f>IF(TrRoad_act!O6=0,0,O21/TrRoad_act!O6*1000)</f>
        <v>35.486459304501111</v>
      </c>
      <c r="P90" s="116">
        <f>IF(TrRoad_act!P6=0,0,P21/TrRoad_act!P6*1000)</f>
        <v>37.087467915355198</v>
      </c>
      <c r="Q90" s="116">
        <f>IF(TrRoad_act!Q6=0,0,Q21/TrRoad_act!Q6*1000)</f>
        <v>38.023749882176496</v>
      </c>
      <c r="R90" s="116">
        <f>IF(TrRoad_act!R6=0,0,R21/TrRoad_act!R6*1000)</f>
        <v>38.489505075707463</v>
      </c>
      <c r="S90" s="116">
        <f>IF(TrRoad_act!S6=0,0,S21/TrRoad_act!S6*1000)</f>
        <v>37.715975164599598</v>
      </c>
      <c r="T90" s="116">
        <f>IF(TrRoad_act!T6=0,0,T21/TrRoad_act!T6*1000)</f>
        <v>38.377224303363569</v>
      </c>
      <c r="U90" s="116">
        <f>IF(TrRoad_act!U6=0,0,U21/TrRoad_act!U6*1000)</f>
        <v>40.457317505014473</v>
      </c>
      <c r="V90" s="116">
        <f>IF(TrRoad_act!V6=0,0,V21/TrRoad_act!V6*1000)</f>
        <v>38.779038024145123</v>
      </c>
      <c r="W90" s="116">
        <f>IF(TrRoad_act!W6=0,0,W21/TrRoad_act!W6*1000)</f>
        <v>39.221180976195917</v>
      </c>
      <c r="X90" s="116">
        <f>IF(TrRoad_act!X6=0,0,X21/TrRoad_act!X6*1000)</f>
        <v>39.150799174913445</v>
      </c>
      <c r="Y90" s="116">
        <f>IF(TrRoad_act!Y6=0,0,Y21/TrRoad_act!Y6*1000)</f>
        <v>35.991682881992837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32.975452106440109</v>
      </c>
      <c r="C91" s="87">
        <f>IF(TrRoad_act!C7=0,0,C22/TrRoad_act!C7*1000)</f>
        <v>35.065104695836375</v>
      </c>
      <c r="D91" s="87">
        <f>IF(TrRoad_act!D7=0,0,D22/TrRoad_act!D7*1000)</f>
        <v>36.831100444364132</v>
      </c>
      <c r="E91" s="87">
        <f>IF(TrRoad_act!E7=0,0,E22/TrRoad_act!E7*1000)</f>
        <v>37.706561848027611</v>
      </c>
      <c r="F91" s="87">
        <f>IF(TrRoad_act!F7=0,0,F22/TrRoad_act!F7*1000)</f>
        <v>38.439688809426244</v>
      </c>
      <c r="G91" s="87">
        <f>IF(TrRoad_act!G7=0,0,G22/TrRoad_act!G7*1000)</f>
        <v>37.606020162730758</v>
      </c>
      <c r="H91" s="87">
        <f>IF(TrRoad_act!H7=0,0,H22/TrRoad_act!H7*1000)</f>
        <v>39.097022151398335</v>
      </c>
      <c r="I91" s="87">
        <f>IF(TrRoad_act!I7=0,0,I22/TrRoad_act!I7*1000)</f>
        <v>39.962628299214565</v>
      </c>
      <c r="J91" s="87">
        <f>IF(TrRoad_act!J7=0,0,J22/TrRoad_act!J7*1000)</f>
        <v>40.511078495100847</v>
      </c>
      <c r="K91" s="87">
        <f>IF(TrRoad_act!K7=0,0,K22/TrRoad_act!K7*1000)</f>
        <v>40.534708196714995</v>
      </c>
      <c r="L91" s="87">
        <f>IF(TrRoad_act!L7=0,0,L22/TrRoad_act!L7*1000)</f>
        <v>38.132067566761727</v>
      </c>
      <c r="M91" s="87">
        <f>IF(TrRoad_act!M7=0,0,M22/TrRoad_act!M7*1000)</f>
        <v>37.516181967217491</v>
      </c>
      <c r="N91" s="87">
        <f>IF(TrRoad_act!N7=0,0,N22/TrRoad_act!N7*1000)</f>
        <v>38.278533018196455</v>
      </c>
      <c r="O91" s="87">
        <f>IF(TrRoad_act!O7=0,0,O22/TrRoad_act!O7*1000)</f>
        <v>37.038782413622108</v>
      </c>
      <c r="P91" s="87">
        <f>IF(TrRoad_act!P7=0,0,P22/TrRoad_act!P7*1000)</f>
        <v>38.140225715214989</v>
      </c>
      <c r="Q91" s="87">
        <f>IF(TrRoad_act!Q7=0,0,Q22/TrRoad_act!Q7*1000)</f>
        <v>39.045215049597431</v>
      </c>
      <c r="R91" s="87">
        <f>IF(TrRoad_act!R7=0,0,R22/TrRoad_act!R7*1000)</f>
        <v>40.361411931161697</v>
      </c>
      <c r="S91" s="87">
        <f>IF(TrRoad_act!S7=0,0,S22/TrRoad_act!S7*1000)</f>
        <v>39.863617969525443</v>
      </c>
      <c r="T91" s="87">
        <f>IF(TrRoad_act!T7=0,0,T22/TrRoad_act!T7*1000)</f>
        <v>40.487454208891336</v>
      </c>
      <c r="U91" s="87">
        <f>IF(TrRoad_act!U7=0,0,U22/TrRoad_act!U7*1000)</f>
        <v>42.445247725878865</v>
      </c>
      <c r="V91" s="87">
        <f>IF(TrRoad_act!V7=0,0,V22/TrRoad_act!V7*1000)</f>
        <v>39.830865865224276</v>
      </c>
      <c r="W91" s="87">
        <f>IF(TrRoad_act!W7=0,0,W22/TrRoad_act!W7*1000)</f>
        <v>40.825752213575676</v>
      </c>
      <c r="X91" s="87">
        <f>IF(TrRoad_act!X7=0,0,X22/TrRoad_act!X7*1000)</f>
        <v>40.376043768525093</v>
      </c>
      <c r="Y91" s="87">
        <f>IF(TrRoad_act!Y7=0,0,Y22/TrRoad_act!Y7*1000)</f>
        <v>36.966391468462014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32.933790151911062</v>
      </c>
      <c r="C92" s="87">
        <f>IF(TrRoad_act!C8=0,0,C24/TrRoad_act!C8*1000)</f>
        <v>34.938210011990122</v>
      </c>
      <c r="D92" s="87">
        <f>IF(TrRoad_act!D8=0,0,D24/TrRoad_act!D8*1000)</f>
        <v>36.549911049783503</v>
      </c>
      <c r="E92" s="87">
        <f>IF(TrRoad_act!E8=0,0,E24/TrRoad_act!E8*1000)</f>
        <v>37.449481442070841</v>
      </c>
      <c r="F92" s="87">
        <f>IF(TrRoad_act!F8=0,0,F24/TrRoad_act!F8*1000)</f>
        <v>37.334742625972545</v>
      </c>
      <c r="G92" s="87">
        <f>IF(TrRoad_act!G8=0,0,G24/TrRoad_act!G8*1000)</f>
        <v>42.393437616077442</v>
      </c>
      <c r="H92" s="87">
        <f>IF(TrRoad_act!H8=0,0,H24/TrRoad_act!H8*1000)</f>
        <v>38.3745341877054</v>
      </c>
      <c r="I92" s="87">
        <f>IF(TrRoad_act!I8=0,0,I24/TrRoad_act!I8*1000)</f>
        <v>39.098297565886426</v>
      </c>
      <c r="J92" s="87">
        <f>IF(TrRoad_act!J8=0,0,J24/TrRoad_act!J8*1000)</f>
        <v>39.982771539416852</v>
      </c>
      <c r="K92" s="87">
        <f>IF(TrRoad_act!K8=0,0,K24/TrRoad_act!K8*1000)</f>
        <v>42.442742415177371</v>
      </c>
      <c r="L92" s="87">
        <f>IF(TrRoad_act!L8=0,0,L24/TrRoad_act!L8*1000)</f>
        <v>39.086170283520467</v>
      </c>
      <c r="M92" s="87">
        <f>IF(TrRoad_act!M8=0,0,M24/TrRoad_act!M8*1000)</f>
        <v>34.208252629892364</v>
      </c>
      <c r="N92" s="87">
        <f>IF(TrRoad_act!N8=0,0,N24/TrRoad_act!N8*1000)</f>
        <v>35.306617165592705</v>
      </c>
      <c r="O92" s="87">
        <f>IF(TrRoad_act!O8=0,0,O24/TrRoad_act!O8*1000)</f>
        <v>32.680543405135488</v>
      </c>
      <c r="P92" s="87">
        <f>IF(TrRoad_act!P8=0,0,P24/TrRoad_act!P8*1000)</f>
        <v>35.139427718981437</v>
      </c>
      <c r="Q92" s="87">
        <f>IF(TrRoad_act!Q8=0,0,Q24/TrRoad_act!Q8*1000)</f>
        <v>36.434409579366211</v>
      </c>
      <c r="R92" s="87">
        <f>IF(TrRoad_act!R8=0,0,R24/TrRoad_act!R8*1000)</f>
        <v>36.058377443463094</v>
      </c>
      <c r="S92" s="87">
        <f>IF(TrRoad_act!S8=0,0,S24/TrRoad_act!S8*1000)</f>
        <v>35.116402653018035</v>
      </c>
      <c r="T92" s="87">
        <f>IF(TrRoad_act!T8=0,0,T24/TrRoad_act!T8*1000)</f>
        <v>36.026234870094527</v>
      </c>
      <c r="U92" s="87">
        <f>IF(TrRoad_act!U8=0,0,U24/TrRoad_act!U8*1000)</f>
        <v>38.428094106217891</v>
      </c>
      <c r="V92" s="87">
        <f>IF(TrRoad_act!V8=0,0,V24/TrRoad_act!V8*1000)</f>
        <v>37.822333013914381</v>
      </c>
      <c r="W92" s="87">
        <f>IF(TrRoad_act!W8=0,0,W24/TrRoad_act!W8*1000)</f>
        <v>37.636433861741573</v>
      </c>
      <c r="X92" s="87">
        <f>IF(TrRoad_act!X8=0,0,X24/TrRoad_act!X8*1000)</f>
        <v>38.105908268577608</v>
      </c>
      <c r="Y92" s="87">
        <f>IF(TrRoad_act!Y8=0,0,Y24/TrRoad_act!Y8*1000)</f>
        <v>35.29064805800526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38.088975513543708</v>
      </c>
      <c r="D93" s="87">
        <f>IF(TrRoad_act!D9=0,0,D26/TrRoad_act!D9*1000)</f>
        <v>40.023040115188138</v>
      </c>
      <c r="E93" s="87">
        <f>IF(TrRoad_act!E9=0,0,E26/TrRoad_act!E9*1000)</f>
        <v>50.382826839846444</v>
      </c>
      <c r="F93" s="87">
        <f>IF(TrRoad_act!F9=0,0,F26/TrRoad_act!F9*1000)</f>
        <v>48.646896433022512</v>
      </c>
      <c r="G93" s="87">
        <f>IF(TrRoad_act!G9=0,0,G26/TrRoad_act!G9*1000)</f>
        <v>41.054909598187706</v>
      </c>
      <c r="H93" s="87">
        <f>IF(TrRoad_act!H9=0,0,H26/TrRoad_act!H9*1000)</f>
        <v>43.53829285578388</v>
      </c>
      <c r="I93" s="87">
        <f>IF(TrRoad_act!I9=0,0,I26/TrRoad_act!I9*1000)</f>
        <v>40.133196160802918</v>
      </c>
      <c r="J93" s="87">
        <f>IF(TrRoad_act!J9=0,0,J26/TrRoad_act!J9*1000)</f>
        <v>40.319036691130648</v>
      </c>
      <c r="K93" s="87">
        <f>IF(TrRoad_act!K9=0,0,K26/TrRoad_act!K9*1000)</f>
        <v>42.946720806816131</v>
      </c>
      <c r="L93" s="87">
        <f>IF(TrRoad_act!L9=0,0,L26/TrRoad_act!L9*1000)</f>
        <v>48.376341189878495</v>
      </c>
      <c r="M93" s="87">
        <f>IF(TrRoad_act!M9=0,0,M26/TrRoad_act!M9*1000)</f>
        <v>49.87014617091701</v>
      </c>
      <c r="N93" s="87">
        <f>IF(TrRoad_act!N9=0,0,N26/TrRoad_act!N9*1000)</f>
        <v>36.394817325041281</v>
      </c>
      <c r="O93" s="87">
        <f>IF(TrRoad_act!O9=0,0,O26/TrRoad_act!O9*1000)</f>
        <v>45.705464175915196</v>
      </c>
      <c r="P93" s="87">
        <f>IF(TrRoad_act!P9=0,0,P26/TrRoad_act!P9*1000)</f>
        <v>39.441633236093374</v>
      </c>
      <c r="Q93" s="87">
        <f>IF(TrRoad_act!Q9=0,0,Q26/TrRoad_act!Q9*1000)</f>
        <v>37.480371268244888</v>
      </c>
      <c r="R93" s="87">
        <f>IF(TrRoad_act!R9=0,0,R26/TrRoad_act!R9*1000)</f>
        <v>33.468690669141587</v>
      </c>
      <c r="S93" s="87">
        <f>IF(TrRoad_act!S9=0,0,S26/TrRoad_act!S9*1000)</f>
        <v>32.475396832977509</v>
      </c>
      <c r="T93" s="87">
        <f>IF(TrRoad_act!T9=0,0,T26/TrRoad_act!T9*1000)</f>
        <v>30.969962097159158</v>
      </c>
      <c r="U93" s="87">
        <f>IF(TrRoad_act!U9=0,0,U26/TrRoad_act!U9*1000)</f>
        <v>30.537701440995043</v>
      </c>
      <c r="V93" s="87">
        <f>IF(TrRoad_act!V9=0,0,V26/TrRoad_act!V9*1000)</f>
        <v>30.395247814092816</v>
      </c>
      <c r="W93" s="87">
        <f>IF(TrRoad_act!W9=0,0,W26/TrRoad_act!W9*1000)</f>
        <v>41.824856599716398</v>
      </c>
      <c r="X93" s="87">
        <f>IF(TrRoad_act!X9=0,0,X26/TrRoad_act!X9*1000)</f>
        <v>41.065024214977619</v>
      </c>
      <c r="Y93" s="87">
        <f>IF(TrRoad_act!Y9=0,0,Y26/TrRoad_act!Y9*1000)</f>
        <v>42.538028083125887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60.437732593769802</v>
      </c>
      <c r="M94" s="87">
        <f>IF(TrRoad_act!M10=0,0,M27/TrRoad_act!M10*1000)</f>
        <v>39.717020023268802</v>
      </c>
      <c r="N94" s="87">
        <f>IF(TrRoad_act!N10=0,0,N27/TrRoad_act!N10*1000)</f>
        <v>35.212211928672936</v>
      </c>
      <c r="O94" s="87">
        <f>IF(TrRoad_act!O10=0,0,O27/TrRoad_act!O10*1000)</f>
        <v>37.150948945514095</v>
      </c>
      <c r="P94" s="87">
        <f>IF(TrRoad_act!P10=0,0,P27/TrRoad_act!P10*1000)</f>
        <v>38.421018086667011</v>
      </c>
      <c r="Q94" s="87">
        <f>IF(TrRoad_act!Q10=0,0,Q27/TrRoad_act!Q10*1000)</f>
        <v>33.054933402054758</v>
      </c>
      <c r="R94" s="87">
        <f>IF(TrRoad_act!R10=0,0,R27/TrRoad_act!R10*1000)</f>
        <v>33.800376673955</v>
      </c>
      <c r="S94" s="87">
        <f>IF(TrRoad_act!S10=0,0,S27/TrRoad_act!S10*1000)</f>
        <v>33.110792952844818</v>
      </c>
      <c r="T94" s="87">
        <f>IF(TrRoad_act!T10=0,0,T27/TrRoad_act!T10*1000)</f>
        <v>34.718964145146522</v>
      </c>
      <c r="U94" s="87">
        <f>IF(TrRoad_act!U10=0,0,U27/TrRoad_act!U10*1000)</f>
        <v>37.347946495154325</v>
      </c>
      <c r="V94" s="87">
        <f>IF(TrRoad_act!V10=0,0,V27/TrRoad_act!V10*1000)</f>
        <v>37.387866057338734</v>
      </c>
      <c r="W94" s="87">
        <f>IF(TrRoad_act!W10=0,0,W27/TrRoad_act!W10*1000)</f>
        <v>37.128606866367292</v>
      </c>
      <c r="X94" s="87">
        <f>IF(TrRoad_act!X10=0,0,X27/TrRoad_act!X10*1000)</f>
        <v>37.907152474787317</v>
      </c>
      <c r="Y94" s="87">
        <f>IF(TrRoad_act!Y10=0,0,Y27/TrRoad_act!Y10*1000)</f>
        <v>35.230411831491821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13.535139367943986</v>
      </c>
      <c r="O95" s="87">
        <f>IF(TrRoad_act!O11=0,0,O29/TrRoad_act!O11*1000)</f>
        <v>13.195482313593878</v>
      </c>
      <c r="P95" s="87">
        <f>IF(TrRoad_act!P11=0,0,P29/TrRoad_act!P11*1000)</f>
        <v>13.482581323088954</v>
      </c>
      <c r="Q95" s="87">
        <f>IF(TrRoad_act!Q11=0,0,Q29/TrRoad_act!Q11*1000)</f>
        <v>12.779470269033204</v>
      </c>
      <c r="R95" s="87">
        <f>IF(TrRoad_act!R11=0,0,R29/TrRoad_act!R11*1000)</f>
        <v>16.878198987661101</v>
      </c>
      <c r="S95" s="87">
        <f>IF(TrRoad_act!S11=0,0,S29/TrRoad_act!S11*1000)</f>
        <v>18.23309226434969</v>
      </c>
      <c r="T95" s="87">
        <f>IF(TrRoad_act!T11=0,0,T29/TrRoad_act!T11*1000)</f>
        <v>19.079586494397198</v>
      </c>
      <c r="U95" s="87">
        <f>IF(TrRoad_act!U11=0,0,U29/TrRoad_act!U11*1000)</f>
        <v>20.321572876878516</v>
      </c>
      <c r="V95" s="87">
        <f>IF(TrRoad_act!V11=0,0,V29/TrRoad_act!V11*1000)</f>
        <v>20.964757522868119</v>
      </c>
      <c r="W95" s="87">
        <f>IF(TrRoad_act!W11=0,0,W29/TrRoad_act!W11*1000)</f>
        <v>20.89570030712742</v>
      </c>
      <c r="X95" s="87">
        <f>IF(TrRoad_act!X11=0,0,X29/TrRoad_act!X11*1000)</f>
        <v>22.42355768786647</v>
      </c>
      <c r="Y95" s="87">
        <f>IF(TrRoad_act!Y11=0,0,Y29/TrRoad_act!Y11*1000)</f>
        <v>19.976458759371628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9.7871220173828615</v>
      </c>
      <c r="M96" s="87">
        <f>IF(TrRoad_act!M12=0,0,M32/TrRoad_act!M12*1000)</f>
        <v>8.9479227435596904</v>
      </c>
      <c r="N96" s="87">
        <f>IF(TrRoad_act!N12=0,0,N32/TrRoad_act!N12*1000)</f>
        <v>9.1717839401655574</v>
      </c>
      <c r="O96" s="87">
        <f>IF(TrRoad_act!O12=0,0,O32/TrRoad_act!O12*1000)</f>
        <v>8.9532790430061802</v>
      </c>
      <c r="P96" s="87">
        <f>IF(TrRoad_act!P12=0,0,P32/TrRoad_act!P12*1000)</f>
        <v>9.254211098335114</v>
      </c>
      <c r="Q96" s="87">
        <f>IF(TrRoad_act!Q12=0,0,Q32/TrRoad_act!Q12*1000)</f>
        <v>9.576621060705909</v>
      </c>
      <c r="R96" s="87">
        <f>IF(TrRoad_act!R12=0,0,R32/TrRoad_act!R12*1000)</f>
        <v>9.7214980461973983</v>
      </c>
      <c r="S96" s="87">
        <f>IF(TrRoad_act!S12=0,0,S32/TrRoad_act!S12*1000)</f>
        <v>9.1371686475786671</v>
      </c>
      <c r="T96" s="87">
        <f>IF(TrRoad_act!T12=0,0,T32/TrRoad_act!T12*1000)</f>
        <v>9.2628833628730263</v>
      </c>
      <c r="U96" s="87">
        <f>IF(TrRoad_act!U12=0,0,U32/TrRoad_act!U12*1000)</f>
        <v>11.35356101588968</v>
      </c>
      <c r="V96" s="87">
        <f>IF(TrRoad_act!V12=0,0,V32/TrRoad_act!V12*1000)</f>
        <v>11.756194883508595</v>
      </c>
      <c r="W96" s="87">
        <f>IF(TrRoad_act!W12=0,0,W32/TrRoad_act!W12*1000)</f>
        <v>11.729462647007114</v>
      </c>
      <c r="X96" s="87">
        <f>IF(TrRoad_act!X12=0,0,X32/TrRoad_act!X12*1000)</f>
        <v>12.384820344699838</v>
      </c>
      <c r="Y96" s="87">
        <f>IF(TrRoad_act!Y12=0,0,Y32/TrRoad_act!Y12*1000)</f>
        <v>11.599339057369537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20.451476264796192</v>
      </c>
      <c r="C97" s="116">
        <f>IF(TrRoad_act!C13=0,0,C33/TrRoad_act!C13*1000)</f>
        <v>20.635057608732193</v>
      </c>
      <c r="D97" s="116">
        <f>IF(TrRoad_act!D13=0,0,D33/TrRoad_act!D13*1000)</f>
        <v>20.996849975120092</v>
      </c>
      <c r="E97" s="116">
        <f>IF(TrRoad_act!E13=0,0,E33/TrRoad_act!E13*1000)</f>
        <v>21.248232669436433</v>
      </c>
      <c r="F97" s="116">
        <f>IF(TrRoad_act!F13=0,0,F33/TrRoad_act!F13*1000)</f>
        <v>21.028340979802614</v>
      </c>
      <c r="G97" s="116">
        <f>IF(TrRoad_act!G13=0,0,G33/TrRoad_act!G13*1000)</f>
        <v>22.110169903282856</v>
      </c>
      <c r="H97" s="116">
        <f>IF(TrRoad_act!H13=0,0,H33/TrRoad_act!H13*1000)</f>
        <v>23.804566857673507</v>
      </c>
      <c r="I97" s="116">
        <f>IF(TrRoad_act!I13=0,0,I33/TrRoad_act!I13*1000)</f>
        <v>24.561179354004615</v>
      </c>
      <c r="J97" s="116">
        <f>IF(TrRoad_act!J13=0,0,J33/TrRoad_act!J13*1000)</f>
        <v>22.221562433180999</v>
      </c>
      <c r="K97" s="116">
        <f>IF(TrRoad_act!K13=0,0,K33/TrRoad_act!K13*1000)</f>
        <v>23.172749788210549</v>
      </c>
      <c r="L97" s="116">
        <f>IF(TrRoad_act!L13=0,0,L33/TrRoad_act!L13*1000)</f>
        <v>23.14727973132085</v>
      </c>
      <c r="M97" s="116">
        <f>IF(TrRoad_act!M13=0,0,M33/TrRoad_act!M13*1000)</f>
        <v>21.694555080963912</v>
      </c>
      <c r="N97" s="116">
        <f>IF(TrRoad_act!N13=0,0,N33/TrRoad_act!N13*1000)</f>
        <v>20.464316859456311</v>
      </c>
      <c r="O97" s="116">
        <f>IF(TrRoad_act!O13=0,0,O33/TrRoad_act!O13*1000)</f>
        <v>19.572640343780964</v>
      </c>
      <c r="P97" s="116">
        <f>IF(TrRoad_act!P13=0,0,P33/TrRoad_act!P13*1000)</f>
        <v>21.048208784653006</v>
      </c>
      <c r="Q97" s="116">
        <f>IF(TrRoad_act!Q13=0,0,Q33/TrRoad_act!Q13*1000)</f>
        <v>21.829898816578986</v>
      </c>
      <c r="R97" s="116">
        <f>IF(TrRoad_act!R13=0,0,R33/TrRoad_act!R13*1000)</f>
        <v>21.713502063522856</v>
      </c>
      <c r="S97" s="116">
        <f>IF(TrRoad_act!S13=0,0,S33/TrRoad_act!S13*1000)</f>
        <v>22.137216783786748</v>
      </c>
      <c r="T97" s="116">
        <f>IF(TrRoad_act!T13=0,0,T33/TrRoad_act!T13*1000)</f>
        <v>22.089479982557329</v>
      </c>
      <c r="U97" s="116">
        <f>IF(TrRoad_act!U13=0,0,U33/TrRoad_act!U13*1000)</f>
        <v>22.386747000939081</v>
      </c>
      <c r="V97" s="116">
        <f>IF(TrRoad_act!V13=0,0,V33/TrRoad_act!V13*1000)</f>
        <v>27.342727029145898</v>
      </c>
      <c r="W97" s="116">
        <f>IF(TrRoad_act!W13=0,0,W33/TrRoad_act!W13*1000)</f>
        <v>30.063535181740978</v>
      </c>
      <c r="X97" s="116">
        <f>IF(TrRoad_act!X13=0,0,X33/TrRoad_act!X13*1000)</f>
        <v>25.811625113596595</v>
      </c>
      <c r="Y97" s="116">
        <f>IF(TrRoad_act!Y13=0,0,Y33/TrRoad_act!Y13*1000)</f>
        <v>23.878352407783886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19.526481933226222</v>
      </c>
      <c r="C98" s="101">
        <f>IF(TrRoad_act!C14=0,0,C34/TrRoad_act!C14*1000)</f>
        <v>19.703640897415404</v>
      </c>
      <c r="D98" s="101">
        <f>IF(TrRoad_act!D14=0,0,D34/TrRoad_act!D14*1000)</f>
        <v>19.41820501676084</v>
      </c>
      <c r="E98" s="101">
        <f>IF(TrRoad_act!E14=0,0,E34/TrRoad_act!E14*1000)</f>
        <v>19.484440042659077</v>
      </c>
      <c r="F98" s="101">
        <f>IF(TrRoad_act!F14=0,0,F34/TrRoad_act!F14*1000)</f>
        <v>19.288798777245386</v>
      </c>
      <c r="G98" s="101">
        <f>IF(TrRoad_act!G14=0,0,G34/TrRoad_act!G14*1000)</f>
        <v>19.418460886174021</v>
      </c>
      <c r="H98" s="101">
        <f>IF(TrRoad_act!H14=0,0,H34/TrRoad_act!H14*1000)</f>
        <v>20.992516883697903</v>
      </c>
      <c r="I98" s="101">
        <f>IF(TrRoad_act!I14=0,0,I34/TrRoad_act!I14*1000)</f>
        <v>22.426476809488385</v>
      </c>
      <c r="J98" s="101">
        <f>IF(TrRoad_act!J14=0,0,J34/TrRoad_act!J14*1000)</f>
        <v>20.004365020220703</v>
      </c>
      <c r="K98" s="101">
        <f>IF(TrRoad_act!K14=0,0,K34/TrRoad_act!K14*1000)</f>
        <v>21.124114939168013</v>
      </c>
      <c r="L98" s="101">
        <f>IF(TrRoad_act!L14=0,0,L34/TrRoad_act!L14*1000)</f>
        <v>20.75725498226177</v>
      </c>
      <c r="M98" s="101">
        <f>IF(TrRoad_act!M14=0,0,M34/TrRoad_act!M14*1000)</f>
        <v>20.295656763408541</v>
      </c>
      <c r="N98" s="101">
        <f>IF(TrRoad_act!N14=0,0,N34/TrRoad_act!N14*1000)</f>
        <v>19.371346514559274</v>
      </c>
      <c r="O98" s="101">
        <f>IF(TrRoad_act!O14=0,0,O34/TrRoad_act!O14*1000)</f>
        <v>19.777262565117603</v>
      </c>
      <c r="P98" s="101">
        <f>IF(TrRoad_act!P14=0,0,P34/TrRoad_act!P14*1000)</f>
        <v>19.348275265058199</v>
      </c>
      <c r="Q98" s="101">
        <f>IF(TrRoad_act!Q14=0,0,Q34/TrRoad_act!Q14*1000)</f>
        <v>18.962965626572572</v>
      </c>
      <c r="R98" s="101">
        <f>IF(TrRoad_act!R14=0,0,R34/TrRoad_act!R14*1000)</f>
        <v>19.069148632579591</v>
      </c>
      <c r="S98" s="101">
        <f>IF(TrRoad_act!S14=0,0,S34/TrRoad_act!S14*1000)</f>
        <v>19.063709901838589</v>
      </c>
      <c r="T98" s="101">
        <f>IF(TrRoad_act!T14=0,0,T34/TrRoad_act!T14*1000)</f>
        <v>18.759735666380919</v>
      </c>
      <c r="U98" s="101">
        <f>IF(TrRoad_act!U14=0,0,U34/TrRoad_act!U14*1000)</f>
        <v>18.943914476314806</v>
      </c>
      <c r="V98" s="101">
        <f>IF(TrRoad_act!V14=0,0,V34/TrRoad_act!V14*1000)</f>
        <v>24.101215218450452</v>
      </c>
      <c r="W98" s="101">
        <f>IF(TrRoad_act!W14=0,0,W34/TrRoad_act!W14*1000)</f>
        <v>25.698916635231129</v>
      </c>
      <c r="X98" s="101">
        <f>IF(TrRoad_act!X14=0,0,X34/TrRoad_act!X14*1000)</f>
        <v>21.296401728851464</v>
      </c>
      <c r="Y98" s="101">
        <f>IF(TrRoad_act!Y14=0,0,Y34/TrRoad_act!Y14*1000)</f>
        <v>20.563194110237998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20.652087942667354</v>
      </c>
      <c r="C99" s="101">
        <f>IF(TrRoad_act!C15=0,0,C36/TrRoad_act!C15*1000)</f>
        <v>20.829921313336644</v>
      </c>
      <c r="D99" s="101">
        <f>IF(TrRoad_act!D15=0,0,D36/TrRoad_act!D15*1000)</f>
        <v>21.215623546930523</v>
      </c>
      <c r="E99" s="101">
        <f>IF(TrRoad_act!E15=0,0,E36/TrRoad_act!E15*1000)</f>
        <v>21.4760054412878</v>
      </c>
      <c r="F99" s="101">
        <f>IF(TrRoad_act!F15=0,0,F36/TrRoad_act!F15*1000)</f>
        <v>21.256595875928113</v>
      </c>
      <c r="G99" s="101">
        <f>IF(TrRoad_act!G15=0,0,G36/TrRoad_act!G15*1000)</f>
        <v>22.27576733733844</v>
      </c>
      <c r="H99" s="101">
        <f>IF(TrRoad_act!H15=0,0,H36/TrRoad_act!H15*1000)</f>
        <v>23.935759923609751</v>
      </c>
      <c r="I99" s="101">
        <f>IF(TrRoad_act!I15=0,0,I36/TrRoad_act!I15*1000)</f>
        <v>24.672268171809549</v>
      </c>
      <c r="J99" s="101">
        <f>IF(TrRoad_act!J15=0,0,J36/TrRoad_act!J15*1000)</f>
        <v>22.312938266472802</v>
      </c>
      <c r="K99" s="101">
        <f>IF(TrRoad_act!K15=0,0,K36/TrRoad_act!K15*1000)</f>
        <v>23.25891951848288</v>
      </c>
      <c r="L99" s="101">
        <f>IF(TrRoad_act!L15=0,0,L36/TrRoad_act!L15*1000)</f>
        <v>23.213265366096042</v>
      </c>
      <c r="M99" s="101">
        <f>IF(TrRoad_act!M15=0,0,M36/TrRoad_act!M15*1000)</f>
        <v>21.726881331652027</v>
      </c>
      <c r="N99" s="101">
        <f>IF(TrRoad_act!N15=0,0,N36/TrRoad_act!N15*1000)</f>
        <v>20.496831448988502</v>
      </c>
      <c r="O99" s="101">
        <f>IF(TrRoad_act!O15=0,0,O36/TrRoad_act!O15*1000)</f>
        <v>19.622441549467759</v>
      </c>
      <c r="P99" s="101">
        <f>IF(TrRoad_act!P15=0,0,P36/TrRoad_act!P15*1000)</f>
        <v>21.221019897533417</v>
      </c>
      <c r="Q99" s="101">
        <f>IF(TrRoad_act!Q15=0,0,Q36/TrRoad_act!Q15*1000)</f>
        <v>22.047266781160076</v>
      </c>
      <c r="R99" s="101">
        <f>IF(TrRoad_act!R15=0,0,R36/TrRoad_act!R15*1000)</f>
        <v>22.028647825488061</v>
      </c>
      <c r="S99" s="101">
        <f>IF(TrRoad_act!S15=0,0,S36/TrRoad_act!S15*1000)</f>
        <v>22.56058589475613</v>
      </c>
      <c r="T99" s="101">
        <f>IF(TrRoad_act!T15=0,0,T36/TrRoad_act!T15*1000)</f>
        <v>22.450476649981404</v>
      </c>
      <c r="U99" s="101">
        <f>IF(TrRoad_act!U15=0,0,U36/TrRoad_act!U15*1000)</f>
        <v>22.377415000973574</v>
      </c>
      <c r="V99" s="101">
        <f>IF(TrRoad_act!V15=0,0,V36/TrRoad_act!V15*1000)</f>
        <v>27.343417966772492</v>
      </c>
      <c r="W99" s="101">
        <f>IF(TrRoad_act!W15=0,0,W36/TrRoad_act!W15*1000)</f>
        <v>30.138104304674112</v>
      </c>
      <c r="X99" s="101">
        <f>IF(TrRoad_act!X15=0,0,X36/TrRoad_act!X15*1000)</f>
        <v>26.103478972676633</v>
      </c>
      <c r="Y99" s="101">
        <f>IF(TrRoad_act!Y15=0,0,Y36/TrRoad_act!Y15*1000)</f>
        <v>24.084856287697725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17.39237820431547</v>
      </c>
      <c r="Q100" s="101">
        <f>IF(TrRoad_act!Q16=0,0,Q38/TrRoad_act!Q16*1000)</f>
        <v>17.273804370594405</v>
      </c>
      <c r="R100" s="101">
        <f>IF(TrRoad_act!R16=0,0,R38/TrRoad_act!R16*1000)</f>
        <v>17.96529216685769</v>
      </c>
      <c r="S100" s="101">
        <f>IF(TrRoad_act!S16=0,0,S38/TrRoad_act!S16*1000)</f>
        <v>18.23294390134631</v>
      </c>
      <c r="T100" s="101">
        <f>IF(TrRoad_act!T16=0,0,T38/TrRoad_act!T16*1000)</f>
        <v>18.043660890646073</v>
      </c>
      <c r="U100" s="101">
        <f>IF(TrRoad_act!U16=0,0,U38/TrRoad_act!U16*1000)</f>
        <v>18.238435698679577</v>
      </c>
      <c r="V100" s="101">
        <f>IF(TrRoad_act!V16=0,0,V38/TrRoad_act!V16*1000)</f>
        <v>23.779055811132086</v>
      </c>
      <c r="W100" s="101">
        <f>IF(TrRoad_act!W16=0,0,W38/TrRoad_act!W16*1000)</f>
        <v>25.412264353259218</v>
      </c>
      <c r="X100" s="101">
        <f>IF(TrRoad_act!X16=0,0,X38/TrRoad_act!X16*1000)</f>
        <v>21.47345045412353</v>
      </c>
      <c r="Y100" s="101">
        <f>IF(TrRoad_act!Y16=0,0,Y38/TrRoad_act!Y16*1000)</f>
        <v>21.358363289752088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16.087138941839545</v>
      </c>
      <c r="C101" s="101">
        <f>IF(TrRoad_act!C17=0,0,C39/TrRoad_act!C17*1000)</f>
        <v>16.573868579971812</v>
      </c>
      <c r="D101" s="101">
        <f>IF(TrRoad_act!D17=0,0,D39/TrRoad_act!D17*1000)</f>
        <v>16.026134866384208</v>
      </c>
      <c r="E101" s="101">
        <f>IF(TrRoad_act!E17=0,0,E39/TrRoad_act!E17*1000)</f>
        <v>15.918869704205006</v>
      </c>
      <c r="F101" s="101">
        <f>IF(TrRoad_act!F17=0,0,F39/TrRoad_act!F17*1000)</f>
        <v>15.426223408913449</v>
      </c>
      <c r="G101" s="101">
        <f>IF(TrRoad_act!G17=0,0,G39/TrRoad_act!G17*1000)</f>
        <v>18.27988822720684</v>
      </c>
      <c r="H101" s="101">
        <f>IF(TrRoad_act!H17=0,0,H39/TrRoad_act!H17*1000)</f>
        <v>20.928474478697296</v>
      </c>
      <c r="I101" s="101">
        <f>IF(TrRoad_act!I17=0,0,I39/TrRoad_act!I17*1000)</f>
        <v>20.047132103143692</v>
      </c>
      <c r="J101" s="101">
        <f>IF(TrRoad_act!J17=0,0,J39/TrRoad_act!J17*1000)</f>
        <v>17.73155286789563</v>
      </c>
      <c r="K101" s="101">
        <f>IF(TrRoad_act!K17=0,0,K39/TrRoad_act!K17*1000)</f>
        <v>17.233153609815187</v>
      </c>
      <c r="L101" s="101">
        <f>IF(TrRoad_act!L17=0,0,L39/TrRoad_act!L17*1000)</f>
        <v>16.973432023686215</v>
      </c>
      <c r="M101" s="101">
        <f>IF(TrRoad_act!M17=0,0,M39/TrRoad_act!M17*1000)</f>
        <v>20.110020219089758</v>
      </c>
      <c r="N101" s="101">
        <f>IF(TrRoad_act!N17=0,0,N39/TrRoad_act!N17*1000)</f>
        <v>16.953597017201194</v>
      </c>
      <c r="O101" s="101">
        <f>IF(TrRoad_act!O17=0,0,O39/TrRoad_act!O17*1000)</f>
        <v>10.664247654096156</v>
      </c>
      <c r="P101" s="101">
        <f>IF(TrRoad_act!P17=0,0,P39/TrRoad_act!P17*1000)</f>
        <v>5.5691372561348169</v>
      </c>
      <c r="Q101" s="101">
        <f>IF(TrRoad_act!Q17=0,0,Q39/TrRoad_act!Q17*1000)</f>
        <v>10.431419228937303</v>
      </c>
      <c r="R101" s="101">
        <f>IF(TrRoad_act!R17=0,0,R39/TrRoad_act!R17*1000)</f>
        <v>12.496835557738489</v>
      </c>
      <c r="S101" s="101">
        <f>IF(TrRoad_act!S17=0,0,S39/TrRoad_act!S17*1000)</f>
        <v>11.24637911491264</v>
      </c>
      <c r="T101" s="101">
        <f>IF(TrRoad_act!T17=0,0,T39/TrRoad_act!T17*1000)</f>
        <v>12.514539983639263</v>
      </c>
      <c r="U101" s="101">
        <f>IF(TrRoad_act!U17=0,0,U39/TrRoad_act!U17*1000)</f>
        <v>24.502940711874299</v>
      </c>
      <c r="V101" s="101">
        <f>IF(TrRoad_act!V17=0,0,V39/TrRoad_act!V17*1000)</f>
        <v>30.398413286751552</v>
      </c>
      <c r="W101" s="101">
        <f>IF(TrRoad_act!W17=0,0,W39/TrRoad_act!W17*1000)</f>
        <v>32.322481533871034</v>
      </c>
      <c r="X101" s="101">
        <f>IF(TrRoad_act!X17=0,0,X39/TrRoad_act!X17*1000)</f>
        <v>18.372045900253216</v>
      </c>
      <c r="Y101" s="101">
        <f>IF(TrRoad_act!Y17=0,0,Y39/TrRoad_act!Y17*1000)</f>
        <v>21.743569441764919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11.466995545820227</v>
      </c>
      <c r="C102" s="101">
        <f>IF(TrRoad_act!C18=0,0,C41/TrRoad_act!C18*1000)</f>
        <v>11.61039680584328</v>
      </c>
      <c r="D102" s="101">
        <f>IF(TrRoad_act!D18=0,0,D41/TrRoad_act!D18*1000)</f>
        <v>11.474967054523457</v>
      </c>
      <c r="E102" s="101">
        <f>IF(TrRoad_act!E18=0,0,E41/TrRoad_act!E18*1000)</f>
        <v>11.537091794450767</v>
      </c>
      <c r="F102" s="101">
        <f>IF(TrRoad_act!F18=0,0,F41/TrRoad_act!F18*1000)</f>
        <v>11.449966204953709</v>
      </c>
      <c r="G102" s="101">
        <f>IF(TrRoad_act!G18=0,0,G41/TrRoad_act!G18*1000)</f>
        <v>11.55553979973107</v>
      </c>
      <c r="H102" s="101">
        <f>IF(TrRoad_act!H18=0,0,H41/TrRoad_act!H18*1000)</f>
        <v>12.542468524231362</v>
      </c>
      <c r="I102" s="101">
        <f>IF(TrRoad_act!I18=0,0,I41/TrRoad_act!I18*1000)</f>
        <v>13.436561778453818</v>
      </c>
      <c r="J102" s="101">
        <f>IF(TrRoad_act!J18=0,0,J41/TrRoad_act!J18*1000)</f>
        <v>12.038266442182689</v>
      </c>
      <c r="K102" s="101">
        <f>IF(TrRoad_act!K18=0,0,K41/TrRoad_act!K18*1000)</f>
        <v>12.747644287560716</v>
      </c>
      <c r="L102" s="101">
        <f>IF(TrRoad_act!L18=0,0,L41/TrRoad_act!L18*1000)</f>
        <v>12.605457085057274</v>
      </c>
      <c r="M102" s="101">
        <f>IF(TrRoad_act!M18=0,0,M41/TrRoad_act!M18*1000)</f>
        <v>12.481015906952065</v>
      </c>
      <c r="N102" s="101">
        <f>IF(TrRoad_act!N18=0,0,N41/TrRoad_act!N18*1000)</f>
        <v>12.066107368491787</v>
      </c>
      <c r="O102" s="101">
        <f>IF(TrRoad_act!O18=0,0,O41/TrRoad_act!O18*1000)</f>
        <v>12.217808365396136</v>
      </c>
      <c r="P102" s="101">
        <f>IF(TrRoad_act!P18=0,0,P41/TrRoad_act!P18*1000)</f>
        <v>11.865926056954146</v>
      </c>
      <c r="Q102" s="101">
        <f>IF(TrRoad_act!Q18=0,0,Q41/TrRoad_act!Q18*1000)</f>
        <v>11.284972280246444</v>
      </c>
      <c r="R102" s="101">
        <f>IF(TrRoad_act!R18=0,0,R41/TrRoad_act!R18*1000)</f>
        <v>11.622128490688285</v>
      </c>
      <c r="S102" s="101">
        <f>IF(TrRoad_act!S18=0,0,S41/TrRoad_act!S18*1000)</f>
        <v>11.779164068336222</v>
      </c>
      <c r="T102" s="101">
        <f>IF(TrRoad_act!T18=0,0,T41/TrRoad_act!T18*1000)</f>
        <v>11.643061170608242</v>
      </c>
      <c r="U102" s="101">
        <f>IF(TrRoad_act!U18=0,0,U41/TrRoad_act!U18*1000)</f>
        <v>11.768743814400509</v>
      </c>
      <c r="V102" s="101">
        <f>IF(TrRoad_act!V18=0,0,V41/TrRoad_act!V18*1000)</f>
        <v>14.838586163896935</v>
      </c>
      <c r="W102" s="101">
        <f>IF(TrRoad_act!W18=0,0,W41/TrRoad_act!W18*1000)</f>
        <v>15.345059776159626</v>
      </c>
      <c r="X102" s="101">
        <f>IF(TrRoad_act!X18=0,0,X41/TrRoad_act!X18*1000)</f>
        <v>12.690521305786225</v>
      </c>
      <c r="Y102" s="101">
        <f>IF(TrRoad_act!Y18=0,0,Y41/TrRoad_act!Y18*1000)</f>
        <v>12.334176055307635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47.53268355090448</v>
      </c>
      <c r="C103" s="29">
        <f>IF(TrRoad_act!C19=0,0,C42/TrRoad_act!C19*1000)</f>
        <v>49.931893569849976</v>
      </c>
      <c r="D103" s="29">
        <f>IF(TrRoad_act!D19=0,0,D42/TrRoad_act!D19*1000)</f>
        <v>55.33855990171012</v>
      </c>
      <c r="E103" s="29">
        <f>IF(TrRoad_act!E19=0,0,E42/TrRoad_act!E19*1000)</f>
        <v>58.808598711464363</v>
      </c>
      <c r="F103" s="29">
        <f>IF(TrRoad_act!F19=0,0,F42/TrRoad_act!F19*1000)</f>
        <v>58.416349880684422</v>
      </c>
      <c r="G103" s="29">
        <f>IF(TrRoad_act!G19=0,0,G42/TrRoad_act!G19*1000)</f>
        <v>68.342385894012196</v>
      </c>
      <c r="H103" s="29">
        <f>IF(TrRoad_act!H19=0,0,H42/TrRoad_act!H19*1000)</f>
        <v>66.97730954976565</v>
      </c>
      <c r="I103" s="29">
        <f>IF(TrRoad_act!I19=0,0,I42/TrRoad_act!I19*1000)</f>
        <v>61.509320459400136</v>
      </c>
      <c r="J103" s="29">
        <f>IF(TrRoad_act!J19=0,0,J42/TrRoad_act!J19*1000)</f>
        <v>62.525273028660635</v>
      </c>
      <c r="K103" s="29">
        <f>IF(TrRoad_act!K19=0,0,K42/TrRoad_act!K19*1000)</f>
        <v>72.560519402081312</v>
      </c>
      <c r="L103" s="29">
        <f>IF(TrRoad_act!L19=0,0,L42/TrRoad_act!L19*1000)</f>
        <v>67.366435238051608</v>
      </c>
      <c r="M103" s="29">
        <f>IF(TrRoad_act!M19=0,0,M42/TrRoad_act!M19*1000)</f>
        <v>61.186992242484614</v>
      </c>
      <c r="N103" s="29">
        <f>IF(TrRoad_act!N19=0,0,N42/TrRoad_act!N19*1000)</f>
        <v>58.85556544383352</v>
      </c>
      <c r="O103" s="29">
        <f>IF(TrRoad_act!O19=0,0,O42/TrRoad_act!O19*1000)</f>
        <v>51.456420644996086</v>
      </c>
      <c r="P103" s="29">
        <f>IF(TrRoad_act!P19=0,0,P42/TrRoad_act!P19*1000)</f>
        <v>61.62389282163177</v>
      </c>
      <c r="Q103" s="29">
        <f>IF(TrRoad_act!Q19=0,0,Q42/TrRoad_act!Q19*1000)</f>
        <v>65.997684593013005</v>
      </c>
      <c r="R103" s="29">
        <f>IF(TrRoad_act!R19=0,0,R42/TrRoad_act!R19*1000)</f>
        <v>58.751819763290278</v>
      </c>
      <c r="S103" s="29">
        <f>IF(TrRoad_act!S19=0,0,S42/TrRoad_act!S19*1000)</f>
        <v>58.648937215596632</v>
      </c>
      <c r="T103" s="29">
        <f>IF(TrRoad_act!T19=0,0,T42/TrRoad_act!T19*1000)</f>
        <v>59.720119561922296</v>
      </c>
      <c r="U103" s="29">
        <f>IF(TrRoad_act!U19=0,0,U42/TrRoad_act!U19*1000)</f>
        <v>58.723838940780666</v>
      </c>
      <c r="V103" s="29">
        <f>IF(TrRoad_act!V19=0,0,V42/TrRoad_act!V19*1000)</f>
        <v>52.056568754497398</v>
      </c>
      <c r="W103" s="29">
        <f>IF(TrRoad_act!W19=0,0,W42/TrRoad_act!W19*1000)</f>
        <v>54.851843618445827</v>
      </c>
      <c r="X103" s="29">
        <f>IF(TrRoad_act!X19=0,0,X42/TrRoad_act!X19*1000)</f>
        <v>60.014805362728445</v>
      </c>
      <c r="Y103" s="29">
        <f>IF(TrRoad_act!Y19=0,0,Y42/TrRoad_act!Y19*1000)</f>
        <v>50.817794874410076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649.3027397023219</v>
      </c>
      <c r="C104" s="152">
        <f>IF(TrRoad_act!C20=0,0,C43/TrRoad_act!C20*1000)</f>
        <v>637.08533919427362</v>
      </c>
      <c r="D104" s="152">
        <f>IF(TrRoad_act!D20=0,0,D43/TrRoad_act!D20*1000)</f>
        <v>645.25602038015143</v>
      </c>
      <c r="E104" s="152">
        <f>IF(TrRoad_act!E20=0,0,E43/TrRoad_act!E20*1000)</f>
        <v>644.95184005813621</v>
      </c>
      <c r="F104" s="152">
        <f>IF(TrRoad_act!F20=0,0,F43/TrRoad_act!F20*1000)</f>
        <v>640.29291529173656</v>
      </c>
      <c r="G104" s="152">
        <f>IF(TrRoad_act!G20=0,0,G43/TrRoad_act!G20*1000)</f>
        <v>658.56830525388159</v>
      </c>
      <c r="H104" s="152">
        <f>IF(TrRoad_act!H20=0,0,H43/TrRoad_act!H20*1000)</f>
        <v>651.07644579569831</v>
      </c>
      <c r="I104" s="152">
        <f>IF(TrRoad_act!I20=0,0,I43/TrRoad_act!I20*1000)</f>
        <v>627.5813303197516</v>
      </c>
      <c r="J104" s="152">
        <f>IF(TrRoad_act!J20=0,0,J43/TrRoad_act!J20*1000)</f>
        <v>630.24994585249567</v>
      </c>
      <c r="K104" s="152">
        <f>IF(TrRoad_act!K20=0,0,K43/TrRoad_act!K20*1000)</f>
        <v>618.79354982457937</v>
      </c>
      <c r="L104" s="152">
        <f>IF(TrRoad_act!L20=0,0,L43/TrRoad_act!L20*1000)</f>
        <v>616.08027141879961</v>
      </c>
      <c r="M104" s="152">
        <f>IF(TrRoad_act!M20=0,0,M43/TrRoad_act!M20*1000)</f>
        <v>586.46508559687345</v>
      </c>
      <c r="N104" s="152">
        <f>IF(TrRoad_act!N20=0,0,N43/TrRoad_act!N20*1000)</f>
        <v>571.73226469063923</v>
      </c>
      <c r="O104" s="152">
        <f>IF(TrRoad_act!O20=0,0,O43/TrRoad_act!O20*1000)</f>
        <v>535.21736382024369</v>
      </c>
      <c r="P104" s="152">
        <f>IF(TrRoad_act!P20=0,0,P43/TrRoad_act!P20*1000)</f>
        <v>574.98782715001255</v>
      </c>
      <c r="Q104" s="152">
        <f>IF(TrRoad_act!Q20=0,0,Q43/TrRoad_act!Q20*1000)</f>
        <v>591.78462336508721</v>
      </c>
      <c r="R104" s="152">
        <f>IF(TrRoad_act!R20=0,0,R43/TrRoad_act!R20*1000)</f>
        <v>569.26023567304492</v>
      </c>
      <c r="S104" s="152">
        <f>IF(TrRoad_act!S20=0,0,S43/TrRoad_act!S20*1000)</f>
        <v>569.89550227570032</v>
      </c>
      <c r="T104" s="152">
        <f>IF(TrRoad_act!T20=0,0,T43/TrRoad_act!T20*1000)</f>
        <v>569.95382130245923</v>
      </c>
      <c r="U104" s="152">
        <f>IF(TrRoad_act!U20=0,0,U43/TrRoad_act!U20*1000)</f>
        <v>561.27053934986282</v>
      </c>
      <c r="V104" s="152">
        <f>IF(TrRoad_act!V20=0,0,V43/TrRoad_act!V20*1000)</f>
        <v>531.51257167722849</v>
      </c>
      <c r="W104" s="152">
        <f>IF(TrRoad_act!W20=0,0,W43/TrRoad_act!W20*1000)</f>
        <v>551.19737543091446</v>
      </c>
      <c r="X104" s="152">
        <f>IF(TrRoad_act!X20=0,0,X43/TrRoad_act!X20*1000)</f>
        <v>566.87121628846955</v>
      </c>
      <c r="Y104" s="152">
        <f>IF(TrRoad_act!Y20=0,0,Y43/TrRoad_act!Y20*1000)</f>
        <v>536.90260882247526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697.95715770384413</v>
      </c>
      <c r="C105" s="87">
        <f>IF(TrRoad_act!C21=0,0,C44/TrRoad_act!C21*1000)</f>
        <v>691.98200520417436</v>
      </c>
      <c r="D105" s="87">
        <f>IF(TrRoad_act!D21=0,0,D44/TrRoad_act!D21*1000)</f>
        <v>688.79960008407772</v>
      </c>
      <c r="E105" s="87">
        <f>IF(TrRoad_act!E21=0,0,E44/TrRoad_act!E21*1000)</f>
        <v>685.6914726996589</v>
      </c>
      <c r="F105" s="87">
        <f>IF(TrRoad_act!F21=0,0,F44/TrRoad_act!F21*1000)</f>
        <v>682.14077076026399</v>
      </c>
      <c r="G105" s="87">
        <f>IF(TrRoad_act!G21=0,0,G44/TrRoad_act!G21*1000)</f>
        <v>678.81456439078727</v>
      </c>
      <c r="H105" s="87">
        <f>IF(TrRoad_act!H21=0,0,H44/TrRoad_act!H21*1000)</f>
        <v>675.37420380613514</v>
      </c>
      <c r="I105" s="87">
        <f>IF(TrRoad_act!I21=0,0,I44/TrRoad_act!I21*1000)</f>
        <v>669.61310827234524</v>
      </c>
      <c r="J105" s="87">
        <f>IF(TrRoad_act!J21=0,0,J44/TrRoad_act!J21*1000)</f>
        <v>661.90710122447945</v>
      </c>
      <c r="K105" s="87">
        <f>IF(TrRoad_act!K21=0,0,K44/TrRoad_act!K21*1000)</f>
        <v>654.94192152517496</v>
      </c>
      <c r="L105" s="87">
        <f>IF(TrRoad_act!L21=0,0,L44/TrRoad_act!L21*1000)</f>
        <v>648.88380978181408</v>
      </c>
      <c r="M105" s="87">
        <f>IF(TrRoad_act!M21=0,0,M44/TrRoad_act!M21*1000)</f>
        <v>644.87573849716762</v>
      </c>
      <c r="N105" s="87">
        <f>IF(TrRoad_act!N21=0,0,N44/TrRoad_act!N21*1000)</f>
        <v>639.90607366524728</v>
      </c>
      <c r="O105" s="87">
        <f>IF(TrRoad_act!O21=0,0,O44/TrRoad_act!O21*1000)</f>
        <v>600.82748033706946</v>
      </c>
      <c r="P105" s="87">
        <f>IF(TrRoad_act!P21=0,0,P44/TrRoad_act!P21*1000)</f>
        <v>580.80734955996024</v>
      </c>
      <c r="Q105" s="87">
        <f>IF(TrRoad_act!Q21=0,0,Q44/TrRoad_act!Q21*1000)</f>
        <v>567.1636021737711</v>
      </c>
      <c r="R105" s="87">
        <f>IF(TrRoad_act!R21=0,0,R44/TrRoad_act!R21*1000)</f>
        <v>561.40076335293065</v>
      </c>
      <c r="S105" s="87">
        <f>IF(TrRoad_act!S21=0,0,S44/TrRoad_act!S21*1000)</f>
        <v>558.31252677171506</v>
      </c>
      <c r="T105" s="87">
        <f>IF(TrRoad_act!T21=0,0,T44/TrRoad_act!T21*1000)</f>
        <v>561.02818031378877</v>
      </c>
      <c r="U105" s="87">
        <f>IF(TrRoad_act!U21=0,0,U44/TrRoad_act!U21*1000)</f>
        <v>565.63447335885292</v>
      </c>
      <c r="V105" s="87">
        <f>IF(TrRoad_act!V21=0,0,V44/TrRoad_act!V21*1000)</f>
        <v>563.31993667175402</v>
      </c>
      <c r="W105" s="87">
        <f>IF(TrRoad_act!W21=0,0,W44/TrRoad_act!W21*1000)</f>
        <v>562.60156409008994</v>
      </c>
      <c r="X105" s="87">
        <f>IF(TrRoad_act!X21=0,0,X44/TrRoad_act!X21*1000)</f>
        <v>562.50549025631381</v>
      </c>
      <c r="Y105" s="87">
        <f>IF(TrRoad_act!Y21=0,0,Y44/TrRoad_act!Y21*1000)</f>
        <v>584.46441855521266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632.31864566610898</v>
      </c>
      <c r="C106" s="87">
        <f>IF(TrRoad_act!C22=0,0,C46/TrRoad_act!C22*1000)</f>
        <v>620.91499665601998</v>
      </c>
      <c r="D106" s="87">
        <f>IF(TrRoad_act!D22=0,0,D46/TrRoad_act!D22*1000)</f>
        <v>635.00849347243911</v>
      </c>
      <c r="E106" s="87">
        <f>IF(TrRoad_act!E22=0,0,E46/TrRoad_act!E22*1000)</f>
        <v>636.94552460538625</v>
      </c>
      <c r="F106" s="87">
        <f>IF(TrRoad_act!F22=0,0,F46/TrRoad_act!F22*1000)</f>
        <v>633.18580473943462</v>
      </c>
      <c r="G106" s="87">
        <f>IF(TrRoad_act!G22=0,0,G46/TrRoad_act!G22*1000)</f>
        <v>655.63928786013082</v>
      </c>
      <c r="H106" s="87">
        <f>IF(TrRoad_act!H22=0,0,H46/TrRoad_act!H22*1000)</f>
        <v>647.96645764817106</v>
      </c>
      <c r="I106" s="87">
        <f>IF(TrRoad_act!I22=0,0,I46/TrRoad_act!I22*1000)</f>
        <v>623.12385510329182</v>
      </c>
      <c r="J106" s="87">
        <f>IF(TrRoad_act!J22=0,0,J46/TrRoad_act!J22*1000)</f>
        <v>627.80267245397852</v>
      </c>
      <c r="K106" s="87">
        <f>IF(TrRoad_act!K22=0,0,K46/TrRoad_act!K22*1000)</f>
        <v>616.64358753233421</v>
      </c>
      <c r="L106" s="87">
        <f>IF(TrRoad_act!L22=0,0,L46/TrRoad_act!L22*1000)</f>
        <v>614.00647630711092</v>
      </c>
      <c r="M106" s="87">
        <f>IF(TrRoad_act!M22=0,0,M46/TrRoad_act!M22*1000)</f>
        <v>583.41035489027934</v>
      </c>
      <c r="N106" s="87">
        <f>IF(TrRoad_act!N22=0,0,N46/TrRoad_act!N22*1000)</f>
        <v>568.4689461475931</v>
      </c>
      <c r="O106" s="87">
        <f>IF(TrRoad_act!O22=0,0,O46/TrRoad_act!O22*1000)</f>
        <v>532.39397938371712</v>
      </c>
      <c r="P106" s="87">
        <f>IF(TrRoad_act!P22=0,0,P46/TrRoad_act!P22*1000)</f>
        <v>574.75563050205915</v>
      </c>
      <c r="Q106" s="87">
        <f>IF(TrRoad_act!Q22=0,0,Q46/TrRoad_act!Q22*1000)</f>
        <v>592.5361471493959</v>
      </c>
      <c r="R106" s="87">
        <f>IF(TrRoad_act!R22=0,0,R46/TrRoad_act!R22*1000)</f>
        <v>569.44247295190019</v>
      </c>
      <c r="S106" s="87">
        <f>IF(TrRoad_act!S22=0,0,S46/TrRoad_act!S22*1000)</f>
        <v>570.20816310534735</v>
      </c>
      <c r="T106" s="87">
        <f>IF(TrRoad_act!T22=0,0,T46/TrRoad_act!T22*1000)</f>
        <v>570.25338554132952</v>
      </c>
      <c r="U106" s="87">
        <f>IF(TrRoad_act!U22=0,0,U46/TrRoad_act!U22*1000)</f>
        <v>561.28968557279961</v>
      </c>
      <c r="V106" s="87">
        <f>IF(TrRoad_act!V22=0,0,V46/TrRoad_act!V22*1000)</f>
        <v>531.00675217218236</v>
      </c>
      <c r="W106" s="87">
        <f>IF(TrRoad_act!W22=0,0,W46/TrRoad_act!W22*1000)</f>
        <v>551.28105401232608</v>
      </c>
      <c r="X106" s="87">
        <f>IF(TrRoad_act!X22=0,0,X46/TrRoad_act!X22*1000)</f>
        <v>567.51448284441403</v>
      </c>
      <c r="Y106" s="87">
        <f>IF(TrRoad_act!Y22=0,0,Y46/TrRoad_act!Y22*1000)</f>
        <v>536.6789814416486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786.50238493358518</v>
      </c>
      <c r="D107" s="87">
        <f>IF(TrRoad_act!D23=0,0,D48/TrRoad_act!D23*1000)</f>
        <v>786.44594103300869</v>
      </c>
      <c r="E107" s="87">
        <f>IF(TrRoad_act!E23=0,0,E48/TrRoad_act!E23*1000)</f>
        <v>786.38350559732942</v>
      </c>
      <c r="F107" s="87">
        <f>IF(TrRoad_act!F23=0,0,F48/TrRoad_act!F23*1000)</f>
        <v>786.31502394694053</v>
      </c>
      <c r="G107" s="87">
        <f>IF(TrRoad_act!G23=0,0,G48/TrRoad_act!G23*1000)</f>
        <v>787.01896605214938</v>
      </c>
      <c r="H107" s="87">
        <f>IF(TrRoad_act!H23=0,0,H48/TrRoad_act!H23*1000)</f>
        <v>788.53832201510681</v>
      </c>
      <c r="I107" s="87">
        <f>IF(TrRoad_act!I23=0,0,I48/TrRoad_act!I23*1000)</f>
        <v>790.06730838020587</v>
      </c>
      <c r="J107" s="87">
        <f>IF(TrRoad_act!J23=0,0,J48/TrRoad_act!J23*1000)</f>
        <v>791.60409474071093</v>
      </c>
      <c r="K107" s="87">
        <f>IF(TrRoad_act!K23=0,0,K48/TrRoad_act!K23*1000)</f>
        <v>793.11948352363208</v>
      </c>
      <c r="L107" s="87">
        <f>IF(TrRoad_act!L23=0,0,L48/TrRoad_act!L23*1000)</f>
        <v>794.63651806088899</v>
      </c>
      <c r="M107" s="87">
        <f>IF(TrRoad_act!M23=0,0,M48/TrRoad_act!M23*1000)</f>
        <v>796.15464106776813</v>
      </c>
      <c r="N107" s="87">
        <f>IF(TrRoad_act!N23=0,0,N48/TrRoad_act!N23*1000)</f>
        <v>796.93769857283576</v>
      </c>
      <c r="O107" s="87">
        <f>IF(TrRoad_act!O23=0,0,O48/TrRoad_act!O23*1000)</f>
        <v>798.36356065451037</v>
      </c>
      <c r="P107" s="87">
        <f>IF(TrRoad_act!P23=0,0,P48/TrRoad_act!P23*1000)</f>
        <v>799.76297372165209</v>
      </c>
      <c r="Q107" s="87">
        <f>IF(TrRoad_act!Q23=0,0,Q48/TrRoad_act!Q23*1000)</f>
        <v>790.95580565916782</v>
      </c>
      <c r="R107" s="87">
        <f>IF(TrRoad_act!R23=0,0,R48/TrRoad_act!R23*1000)</f>
        <v>787.4321111472326</v>
      </c>
      <c r="S107" s="87">
        <f>IF(TrRoad_act!S23=0,0,S48/TrRoad_act!S23*1000)</f>
        <v>783.03249321820522</v>
      </c>
      <c r="T107" s="87">
        <f>IF(TrRoad_act!T23=0,0,T48/TrRoad_act!T23*1000)</f>
        <v>778.37614280606704</v>
      </c>
      <c r="U107" s="87">
        <f>IF(TrRoad_act!U23=0,0,U48/TrRoad_act!U23*1000)</f>
        <v>771.51363385586626</v>
      </c>
      <c r="V107" s="87">
        <f>IF(TrRoad_act!V23=0,0,V48/TrRoad_act!V23*1000)</f>
        <v>724.83813529676695</v>
      </c>
      <c r="W107" s="87">
        <f>IF(TrRoad_act!W23=0,0,W48/TrRoad_act!W23*1000)</f>
        <v>694.62871383770948</v>
      </c>
      <c r="X107" s="87">
        <f>IF(TrRoad_act!X23=0,0,X48/TrRoad_act!X23*1000)</f>
        <v>802.51361064647381</v>
      </c>
      <c r="Y107" s="87">
        <f>IF(TrRoad_act!Y23=0,0,Y48/TrRoad_act!Y23*1000)</f>
        <v>819.2725122725484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839.58135316327639</v>
      </c>
      <c r="C108" s="87">
        <f>IF(TrRoad_act!C24=0,0,C49/TrRoad_act!C24*1000)</f>
        <v>799.53886534349169</v>
      </c>
      <c r="D108" s="87">
        <f>IF(TrRoad_act!D24=0,0,D49/TrRoad_act!D24*1000)</f>
        <v>799.48148587066771</v>
      </c>
      <c r="E108" s="87">
        <f>IF(TrRoad_act!E24=0,0,E49/TrRoad_act!E24*1000)</f>
        <v>799.41801555149732</v>
      </c>
      <c r="F108" s="87">
        <f>IF(TrRoad_act!F24=0,0,F49/TrRoad_act!F24*1000)</f>
        <v>799.34839880004438</v>
      </c>
      <c r="G108" s="87">
        <f>IF(TrRoad_act!G24=0,0,G49/TrRoad_act!G24*1000)</f>
        <v>799.2871789873418</v>
      </c>
      <c r="H108" s="87">
        <f>IF(TrRoad_act!H24=0,0,H49/TrRoad_act!H24*1000)</f>
        <v>799.22211319171993</v>
      </c>
      <c r="I108" s="87">
        <f>IF(TrRoad_act!I24=0,0,I49/TrRoad_act!I24*1000)</f>
        <v>799.16382705713499</v>
      </c>
      <c r="J108" s="87">
        <f>IF(TrRoad_act!J24=0,0,J49/TrRoad_act!J24*1000)</f>
        <v>799.11042629376504</v>
      </c>
      <c r="K108" s="87">
        <f>IF(TrRoad_act!K24=0,0,K49/TrRoad_act!K24*1000)</f>
        <v>799.03246045434344</v>
      </c>
      <c r="L108" s="87">
        <f>IF(TrRoad_act!L24=0,0,L49/TrRoad_act!L24*1000)</f>
        <v>798.9532402083621</v>
      </c>
      <c r="M108" s="87">
        <f>IF(TrRoad_act!M24=0,0,M49/TrRoad_act!M24*1000)</f>
        <v>798.87220839838051</v>
      </c>
      <c r="N108" s="87">
        <f>IF(TrRoad_act!N24=0,0,N49/TrRoad_act!N24*1000)</f>
        <v>585.50131736280161</v>
      </c>
      <c r="O108" s="87">
        <f>IF(TrRoad_act!O24=0,0,O49/TrRoad_act!O24*1000)</f>
        <v>581.29734053437278</v>
      </c>
      <c r="P108" s="87">
        <f>IF(TrRoad_act!P24=0,0,P49/TrRoad_act!P24*1000)</f>
        <v>571.95703360315918</v>
      </c>
      <c r="Q108" s="87">
        <f>IF(TrRoad_act!Q24=0,0,Q49/TrRoad_act!Q24*1000)</f>
        <v>701.19650267556517</v>
      </c>
      <c r="R108" s="87">
        <f>IF(TrRoad_act!R24=0,0,R49/TrRoad_act!R24*1000)</f>
        <v>709.15768182412057</v>
      </c>
      <c r="S108" s="87">
        <f>IF(TrRoad_act!S24=0,0,S49/TrRoad_act!S24*1000)</f>
        <v>699.37243174853052</v>
      </c>
      <c r="T108" s="87">
        <f>IF(TrRoad_act!T24=0,0,T49/TrRoad_act!T24*1000)</f>
        <v>714.68133235241316</v>
      </c>
      <c r="U108" s="87">
        <f>IF(TrRoad_act!U24=0,0,U49/TrRoad_act!U24*1000)</f>
        <v>710.29436471145641</v>
      </c>
      <c r="V108" s="87">
        <f>IF(TrRoad_act!V24=0,0,V49/TrRoad_act!V24*1000)</f>
        <v>699.22614741279767</v>
      </c>
      <c r="W108" s="87">
        <f>IF(TrRoad_act!W24=0,0,W49/TrRoad_act!W24*1000)</f>
        <v>704.6663121884859</v>
      </c>
      <c r="X108" s="87">
        <f>IF(TrRoad_act!X24=0,0,X49/TrRoad_act!X24*1000)</f>
        <v>704.48080628540424</v>
      </c>
      <c r="Y108" s="87">
        <f>IF(TrRoad_act!Y24=0,0,Y49/TrRoad_act!Y24*1000)</f>
        <v>714.73933073042667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104.53648606169929</v>
      </c>
      <c r="P109" s="87">
        <f>IF(TrRoad_act!P25=0,0,P51/TrRoad_act!P25*1000)</f>
        <v>104.7975060243686</v>
      </c>
      <c r="Q109" s="87">
        <f>IF(TrRoad_act!Q25=0,0,Q51/TrRoad_act!Q25*1000)</f>
        <v>107.70765420964192</v>
      </c>
      <c r="R109" s="87">
        <f>IF(TrRoad_act!R25=0,0,R51/TrRoad_act!R25*1000)</f>
        <v>108.95393008121754</v>
      </c>
      <c r="S109" s="87">
        <f>IF(TrRoad_act!S25=0,0,S51/TrRoad_act!S25*1000)</f>
        <v>110.02069634454</v>
      </c>
      <c r="T109" s="87">
        <f>IF(TrRoad_act!T25=0,0,T51/TrRoad_act!T25*1000)</f>
        <v>123.63312361906155</v>
      </c>
      <c r="U109" s="87">
        <f>IF(TrRoad_act!U25=0,0,U51/TrRoad_act!U25*1000)</f>
        <v>131.13454711176047</v>
      </c>
      <c r="V109" s="87">
        <f>IF(TrRoad_act!V25=0,0,V51/TrRoad_act!V25*1000)</f>
        <v>145.65883494894086</v>
      </c>
      <c r="W109" s="87">
        <f>IF(TrRoad_act!W25=0,0,W51/TrRoad_act!W25*1000)</f>
        <v>165.59755448977404</v>
      </c>
      <c r="X109" s="87">
        <f>IF(TrRoad_act!X25=0,0,X51/TrRoad_act!X25*1000)</f>
        <v>183.07980006913803</v>
      </c>
      <c r="Y109" s="87">
        <f>IF(TrRoad_act!Y25=0,0,Y51/TrRoad_act!Y25*1000)</f>
        <v>182.07428984118926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31.733578048175247</v>
      </c>
      <c r="C110" s="116">
        <f>IF(TrRoad_act!C26=0,0,C52/TrRoad_act!C26*1000)</f>
        <v>33.844819867249754</v>
      </c>
      <c r="D110" s="116">
        <f>IF(TrRoad_act!D26=0,0,D52/TrRoad_act!D26*1000)</f>
        <v>37.849635534626756</v>
      </c>
      <c r="E110" s="116">
        <f>IF(TrRoad_act!E26=0,0,E52/TrRoad_act!E26*1000)</f>
        <v>40.370166800236554</v>
      </c>
      <c r="F110" s="116">
        <f>IF(TrRoad_act!F26=0,0,F52/TrRoad_act!F26*1000)</f>
        <v>41.246124325059625</v>
      </c>
      <c r="G110" s="116">
        <f>IF(TrRoad_act!G26=0,0,G52/TrRoad_act!G26*1000)</f>
        <v>50.795434203124948</v>
      </c>
      <c r="H110" s="116">
        <f>IF(TrRoad_act!H26=0,0,H52/TrRoad_act!H26*1000)</f>
        <v>51.00171174328981</v>
      </c>
      <c r="I110" s="116">
        <f>IF(TrRoad_act!I26=0,0,I52/TrRoad_act!I26*1000)</f>
        <v>46.396205719179783</v>
      </c>
      <c r="J110" s="116">
        <f>IF(TrRoad_act!J26=0,0,J52/TrRoad_act!J26*1000)</f>
        <v>46.481853154508876</v>
      </c>
      <c r="K110" s="116">
        <f>IF(TrRoad_act!K26=0,0,K52/TrRoad_act!K26*1000)</f>
        <v>50.817535144970336</v>
      </c>
      <c r="L110" s="116">
        <f>IF(TrRoad_act!L26=0,0,L52/TrRoad_act!L26*1000)</f>
        <v>47.784225296948875</v>
      </c>
      <c r="M110" s="116">
        <f>IF(TrRoad_act!M26=0,0,M52/TrRoad_act!M26*1000)</f>
        <v>41.186504074721327</v>
      </c>
      <c r="N110" s="116">
        <f>IF(TrRoad_act!N26=0,0,N52/TrRoad_act!N26*1000)</f>
        <v>37.270403965630209</v>
      </c>
      <c r="O110" s="116">
        <f>IF(TrRoad_act!O26=0,0,O52/TrRoad_act!O26*1000)</f>
        <v>30.275176716457018</v>
      </c>
      <c r="P110" s="116">
        <f>IF(TrRoad_act!P26=0,0,P52/TrRoad_act!P26*1000)</f>
        <v>39.284044155224521</v>
      </c>
      <c r="Q110" s="116">
        <f>IF(TrRoad_act!Q26=0,0,Q52/TrRoad_act!Q26*1000)</f>
        <v>43.712210963385942</v>
      </c>
      <c r="R110" s="116">
        <f>IF(TrRoad_act!R26=0,0,R52/TrRoad_act!R26*1000)</f>
        <v>37.893912804653624</v>
      </c>
      <c r="S110" s="116">
        <f>IF(TrRoad_act!S26=0,0,S52/TrRoad_act!S26*1000)</f>
        <v>37.761548834138054</v>
      </c>
      <c r="T110" s="116">
        <f>IF(TrRoad_act!T26=0,0,T52/TrRoad_act!T26*1000)</f>
        <v>38.513403916196481</v>
      </c>
      <c r="U110" s="116">
        <f>IF(TrRoad_act!U26=0,0,U52/TrRoad_act!U26*1000)</f>
        <v>37.017980081808219</v>
      </c>
      <c r="V110" s="116">
        <f>IF(TrRoad_act!V26=0,0,V52/TrRoad_act!V26*1000)</f>
        <v>29.231639337289192</v>
      </c>
      <c r="W110" s="116">
        <f>IF(TrRoad_act!W26=0,0,W52/TrRoad_act!W26*1000)</f>
        <v>33.106420953419189</v>
      </c>
      <c r="X110" s="116">
        <f>IF(TrRoad_act!X26=0,0,X52/TrRoad_act!X26*1000)</f>
        <v>37.225904847785401</v>
      </c>
      <c r="Y110" s="116">
        <f>IF(TrRoad_act!Y26=0,0,Y52/TrRoad_act!Y26*1000)</f>
        <v>28.228271080338018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33.3545152288522</v>
      </c>
      <c r="C111" s="101">
        <f>IF(TrRoad_act!C27=0,0,C53/TrRoad_act!C27*1000)</f>
        <v>34.907254190248565</v>
      </c>
      <c r="D111" s="101">
        <f>IF(TrRoad_act!D27=0,0,D53/TrRoad_act!D27*1000)</f>
        <v>37.200313016928106</v>
      </c>
      <c r="E111" s="101">
        <f>IF(TrRoad_act!E27=0,0,E53/TrRoad_act!E27*1000)</f>
        <v>39.332733040886417</v>
      </c>
      <c r="F111" s="101">
        <f>IF(TrRoad_act!F27=0,0,F53/TrRoad_act!F27*1000)</f>
        <v>40.499892537192601</v>
      </c>
      <c r="G111" s="101">
        <f>IF(TrRoad_act!G27=0,0,G53/TrRoad_act!G27*1000)</f>
        <v>53.582867786921305</v>
      </c>
      <c r="H111" s="101">
        <f>IF(TrRoad_act!H27=0,0,H53/TrRoad_act!H27*1000)</f>
        <v>53.05231559326257</v>
      </c>
      <c r="I111" s="101">
        <f>IF(TrRoad_act!I27=0,0,I53/TrRoad_act!I27*1000)</f>
        <v>50.560876683629218</v>
      </c>
      <c r="J111" s="101">
        <f>IF(TrRoad_act!J27=0,0,J53/TrRoad_act!J27*1000)</f>
        <v>48.946220410832794</v>
      </c>
      <c r="K111" s="101">
        <f>IF(TrRoad_act!K27=0,0,K53/TrRoad_act!K27*1000)</f>
        <v>53.904687526088168</v>
      </c>
      <c r="L111" s="101">
        <f>IF(TrRoad_act!L27=0,0,L53/TrRoad_act!L27*1000)</f>
        <v>48.140201171237379</v>
      </c>
      <c r="M111" s="101">
        <f>IF(TrRoad_act!M27=0,0,M53/TrRoad_act!M27*1000)</f>
        <v>45.508384432574722</v>
      </c>
      <c r="N111" s="101">
        <f>IF(TrRoad_act!N27=0,0,N53/TrRoad_act!N27*1000)</f>
        <v>43.630119966607118</v>
      </c>
      <c r="O111" s="101">
        <f>IF(TrRoad_act!O27=0,0,O53/TrRoad_act!O27*1000)</f>
        <v>40.187361695384084</v>
      </c>
      <c r="P111" s="101">
        <f>IF(TrRoad_act!P27=0,0,P53/TrRoad_act!P27*1000)</f>
        <v>43.865770288533689</v>
      </c>
      <c r="Q111" s="101">
        <f>IF(TrRoad_act!Q27=0,0,Q53/TrRoad_act!Q27*1000)</f>
        <v>44.776033804599464</v>
      </c>
      <c r="R111" s="101">
        <f>IF(TrRoad_act!R27=0,0,R53/TrRoad_act!R27*1000)</f>
        <v>39.807249776780999</v>
      </c>
      <c r="S111" s="101">
        <f>IF(TrRoad_act!S27=0,0,S53/TrRoad_act!S27*1000)</f>
        <v>38.716047284972007</v>
      </c>
      <c r="T111" s="101">
        <f>IF(TrRoad_act!T27=0,0,T53/TrRoad_act!T27*1000)</f>
        <v>39.167682327334987</v>
      </c>
      <c r="U111" s="101">
        <f>IF(TrRoad_act!U27=0,0,U53/TrRoad_act!U27*1000)</f>
        <v>38.282744115947381</v>
      </c>
      <c r="V111" s="101">
        <f>IF(TrRoad_act!V27=0,0,V53/TrRoad_act!V27*1000)</f>
        <v>35.088968281454363</v>
      </c>
      <c r="W111" s="101">
        <f>IF(TrRoad_act!W27=0,0,W53/TrRoad_act!W27*1000)</f>
        <v>36.207907156365373</v>
      </c>
      <c r="X111" s="101">
        <f>IF(TrRoad_act!X27=0,0,X53/TrRoad_act!X27*1000)</f>
        <v>38.225113232667574</v>
      </c>
      <c r="Y111" s="101">
        <f>IF(TrRoad_act!Y27=0,0,Y53/TrRoad_act!Y27*1000)</f>
        <v>33.498631258106791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29.211432607455809</v>
      </c>
      <c r="C112" s="88">
        <f>IF(TrRoad_act!C28=0,0,C55/TrRoad_act!C28*1000)</f>
        <v>32.340942327731796</v>
      </c>
      <c r="D112" s="88">
        <f>IF(TrRoad_act!D28=0,0,D55/TrRoad_act!D28*1000)</f>
        <v>38.66853306792612</v>
      </c>
      <c r="E112" s="88">
        <f>IF(TrRoad_act!E28=0,0,E55/TrRoad_act!E28*1000)</f>
        <v>41.600619842854016</v>
      </c>
      <c r="F112" s="88">
        <f>IF(TrRoad_act!F28=0,0,F55/TrRoad_act!F28*1000)</f>
        <v>42.030591650628189</v>
      </c>
      <c r="G112" s="88">
        <f>IF(TrRoad_act!G28=0,0,G55/TrRoad_act!G28*1000)</f>
        <v>47.858722239596084</v>
      </c>
      <c r="H112" s="88">
        <f>IF(TrRoad_act!H28=0,0,H55/TrRoad_act!H28*1000)</f>
        <v>48.847908330773535</v>
      </c>
      <c r="I112" s="88">
        <f>IF(TrRoad_act!I28=0,0,I55/TrRoad_act!I28*1000)</f>
        <v>42.162669002793535</v>
      </c>
      <c r="J112" s="88">
        <f>IF(TrRoad_act!J28=0,0,J55/TrRoad_act!J28*1000)</f>
        <v>44.212333420595932</v>
      </c>
      <c r="K112" s="88">
        <f>IF(TrRoad_act!K28=0,0,K55/TrRoad_act!K28*1000)</f>
        <v>47.123817497551542</v>
      </c>
      <c r="L112" s="88">
        <f>IF(TrRoad_act!L28=0,0,L55/TrRoad_act!L28*1000)</f>
        <v>47.379925263674764</v>
      </c>
      <c r="M112" s="88">
        <f>IF(TrRoad_act!M28=0,0,M55/TrRoad_act!M28*1000)</f>
        <v>36.866863588532588</v>
      </c>
      <c r="N112" s="88">
        <f>IF(TrRoad_act!N28=0,0,N55/TrRoad_act!N28*1000)</f>
        <v>31.750598200081267</v>
      </c>
      <c r="O112" s="88">
        <f>IF(TrRoad_act!O28=0,0,O55/TrRoad_act!O28*1000)</f>
        <v>21.791642432302076</v>
      </c>
      <c r="P112" s="88">
        <f>IF(TrRoad_act!P28=0,0,P55/TrRoad_act!P28*1000)</f>
        <v>35.314344632394196</v>
      </c>
      <c r="Q112" s="88">
        <f>IF(TrRoad_act!Q28=0,0,Q55/TrRoad_act!Q28*1000)</f>
        <v>42.774920944055751</v>
      </c>
      <c r="R112" s="88">
        <f>IF(TrRoad_act!R28=0,0,R55/TrRoad_act!R28*1000)</f>
        <v>36.115111023145474</v>
      </c>
      <c r="S112" s="88">
        <f>IF(TrRoad_act!S28=0,0,S55/TrRoad_act!S28*1000)</f>
        <v>36.940111191945604</v>
      </c>
      <c r="T112" s="88">
        <f>IF(TrRoad_act!T28=0,0,T55/TrRoad_act!T28*1000)</f>
        <v>37.90757674218159</v>
      </c>
      <c r="U112" s="88">
        <f>IF(TrRoad_act!U28=0,0,U55/TrRoad_act!U28*1000)</f>
        <v>35.835566199954783</v>
      </c>
      <c r="V112" s="88">
        <f>IF(TrRoad_act!V28=0,0,V55/TrRoad_act!V28*1000)</f>
        <v>23.592255476993909</v>
      </c>
      <c r="W112" s="88">
        <f>IF(TrRoad_act!W28=0,0,W55/TrRoad_act!W28*1000)</f>
        <v>30.042871517743873</v>
      </c>
      <c r="X112" s="88">
        <f>IF(TrRoad_act!X28=0,0,X55/TrRoad_act!X28*1000)</f>
        <v>36.34737868023258</v>
      </c>
      <c r="Y112" s="88">
        <f>IF(TrRoad_act!Y28=0,0,Y55/TrRoad_act!Y28*1000)</f>
        <v>23.492800050239442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129.56962803731798</v>
      </c>
      <c r="C116" s="152">
        <f>IF(C19=0,0,1000000*C19/TrRoad_act!C59)</f>
        <v>129.04293286288734</v>
      </c>
      <c r="D116" s="152">
        <f>IF(D19=0,0,1000000*D19/TrRoad_act!D59)</f>
        <v>127.90736594547838</v>
      </c>
      <c r="E116" s="152">
        <f>IF(E19=0,0,1000000*E19/TrRoad_act!E59)</f>
        <v>126.62274843106083</v>
      </c>
      <c r="F116" s="152">
        <f>IF(F19=0,0,1000000*F19/TrRoad_act!F59)</f>
        <v>124.70678742579611</v>
      </c>
      <c r="G116" s="152">
        <f>IF(G19=0,0,1000000*G19/TrRoad_act!G59)</f>
        <v>123.39866237138499</v>
      </c>
      <c r="H116" s="152">
        <f>IF(H19=0,0,1000000*H19/TrRoad_act!H59)</f>
        <v>122.15503843616432</v>
      </c>
      <c r="I116" s="152">
        <f>IF(I19=0,0,1000000*I19/TrRoad_act!I59)</f>
        <v>120.83377331663129</v>
      </c>
      <c r="J116" s="152">
        <f>IF(J19=0,0,1000000*J19/TrRoad_act!J59)</f>
        <v>119.31314320292992</v>
      </c>
      <c r="K116" s="152">
        <f>IF(K19=0,0,1000000*K19/TrRoad_act!K59)</f>
        <v>118.0179936257949</v>
      </c>
      <c r="L116" s="152">
        <f>IF(L19=0,0,1000000*L19/TrRoad_act!L59)</f>
        <v>116.85241911375425</v>
      </c>
      <c r="M116" s="152">
        <f>IF(M19=0,0,1000000*M19/TrRoad_act!M59)</f>
        <v>116.08633191653831</v>
      </c>
      <c r="N116" s="152">
        <f>IF(N19=0,0,1000000*N19/TrRoad_act!N59)</f>
        <v>114.9518580038291</v>
      </c>
      <c r="O116" s="152">
        <f>IF(O19=0,0,1000000*O19/TrRoad_act!O59)</f>
        <v>114.02353085112544</v>
      </c>
      <c r="P116" s="152">
        <f>IF(P19=0,0,1000000*P19/TrRoad_act!P59)</f>
        <v>112.81273761801597</v>
      </c>
      <c r="Q116" s="152">
        <f>IF(Q19=0,0,1000000*Q19/TrRoad_act!Q59)</f>
        <v>111.26266749654737</v>
      </c>
      <c r="R116" s="152">
        <f>IF(R19=0,0,1000000*R19/TrRoad_act!R59)</f>
        <v>109.87591379728039</v>
      </c>
      <c r="S116" s="152">
        <f>IF(S19=0,0,1000000*S19/TrRoad_act!S59)</f>
        <v>111.41947900183668</v>
      </c>
      <c r="T116" s="152">
        <f>IF(T19=0,0,1000000*T19/TrRoad_act!T59)</f>
        <v>110.91432713266602</v>
      </c>
      <c r="U116" s="152">
        <f>IF(U19=0,0,1000000*U19/TrRoad_act!U59)</f>
        <v>106.88531029180686</v>
      </c>
      <c r="V116" s="152">
        <f>IF(V19=0,0,1000000*V19/TrRoad_act!V59)</f>
        <v>93.403107970971121</v>
      </c>
      <c r="W116" s="152">
        <f>IF(W19=0,0,1000000*W19/TrRoad_act!W59)</f>
        <v>91.010935636660591</v>
      </c>
      <c r="X116" s="152">
        <f>IF(X19=0,0,1000000*X19/TrRoad_act!X59)</f>
        <v>90.149809820209015</v>
      </c>
      <c r="Y116" s="152">
        <f>IF(Y19=0,0,1000000*Y19/TrRoad_act!Y59)</f>
        <v>85.74400794493809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644.31878208242233</v>
      </c>
      <c r="C117" s="116">
        <f>IF(C21=0,0,1000000*C21/TrRoad_act!C60)</f>
        <v>651.91080819894501</v>
      </c>
      <c r="D117" s="116">
        <f>IF(D21=0,0,1000000*D21/TrRoad_act!D60)</f>
        <v>647.73639574080187</v>
      </c>
      <c r="E117" s="116">
        <f>IF(E21=0,0,1000000*E21/TrRoad_act!E60)</f>
        <v>648.10281788466409</v>
      </c>
      <c r="F117" s="116">
        <f>IF(F21=0,0,1000000*F21/TrRoad_act!F60)</f>
        <v>666.15471058054015</v>
      </c>
      <c r="G117" s="116">
        <f>IF(G21=0,0,1000000*G21/TrRoad_act!G60)</f>
        <v>653.23816551055847</v>
      </c>
      <c r="H117" s="116">
        <f>IF(H21=0,0,1000000*H21/TrRoad_act!H60)</f>
        <v>634.71798077439178</v>
      </c>
      <c r="I117" s="116">
        <f>IF(I21=0,0,1000000*I21/TrRoad_act!I60)</f>
        <v>657.3637856753711</v>
      </c>
      <c r="J117" s="116">
        <f>IF(J21=0,0,1000000*J21/TrRoad_act!J60)</f>
        <v>713.34885124964069</v>
      </c>
      <c r="K117" s="116">
        <f>IF(K21=0,0,1000000*K21/TrRoad_act!K60)</f>
        <v>741.58236067334065</v>
      </c>
      <c r="L117" s="116">
        <f>IF(L21=0,0,1000000*L21/TrRoad_act!L60)</f>
        <v>679.37067324199177</v>
      </c>
      <c r="M117" s="116">
        <f>IF(M21=0,0,1000000*M21/TrRoad_act!M60)</f>
        <v>642.85340370148072</v>
      </c>
      <c r="N117" s="116">
        <f>IF(N21=0,0,1000000*N21/TrRoad_act!N60)</f>
        <v>644.87642987428239</v>
      </c>
      <c r="O117" s="116">
        <f>IF(O21=0,0,1000000*O21/TrRoad_act!O60)</f>
        <v>602.82459922486078</v>
      </c>
      <c r="P117" s="116">
        <f>IF(P21=0,0,1000000*P21/TrRoad_act!P60)</f>
        <v>626.78245542937293</v>
      </c>
      <c r="Q117" s="116">
        <f>IF(Q21=0,0,1000000*Q21/TrRoad_act!Q60)</f>
        <v>649.45396815386209</v>
      </c>
      <c r="R117" s="116">
        <f>IF(R21=0,0,1000000*R21/TrRoad_act!R60)</f>
        <v>658.41655459270305</v>
      </c>
      <c r="S117" s="116">
        <f>IF(S21=0,0,1000000*S21/TrRoad_act!S60)</f>
        <v>658.78090155525547</v>
      </c>
      <c r="T117" s="116">
        <f>IF(T21=0,0,1000000*T21/TrRoad_act!T60)</f>
        <v>673.86810466274437</v>
      </c>
      <c r="U117" s="116">
        <f>IF(U21=0,0,1000000*U21/TrRoad_act!U60)</f>
        <v>711.43928985319303</v>
      </c>
      <c r="V117" s="116">
        <f>IF(V21=0,0,1000000*V21/TrRoad_act!V60)</f>
        <v>632.21677253574603</v>
      </c>
      <c r="W117" s="116">
        <f>IF(W21=0,0,1000000*W21/TrRoad_act!W60)</f>
        <v>657.51184399663089</v>
      </c>
      <c r="X117" s="116">
        <f>IF(X21=0,0,1000000*X21/TrRoad_act!X60)</f>
        <v>693.95975850143884</v>
      </c>
      <c r="Y117" s="116">
        <f>IF(Y21=0,0,1000000*Y21/TrRoad_act!Y60)</f>
        <v>676.26798789743441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610.01770613031351</v>
      </c>
      <c r="C118" s="87">
        <f>IF(C22=0,0,1000000*C22/TrRoad_act!C61)</f>
        <v>614.86374633646415</v>
      </c>
      <c r="D118" s="87">
        <f>IF(D22=0,0,1000000*D22/TrRoad_act!D61)</f>
        <v>605.76606960143454</v>
      </c>
      <c r="E118" s="87">
        <f>IF(E22=0,0,1000000*E22/TrRoad_act!E61)</f>
        <v>594.99672384710368</v>
      </c>
      <c r="F118" s="87">
        <f>IF(F22=0,0,1000000*F22/TrRoad_act!F61)</f>
        <v>604.42472274238139</v>
      </c>
      <c r="G118" s="87">
        <f>IF(G22=0,0,1000000*G22/TrRoad_act!G61)</f>
        <v>597.39072519311719</v>
      </c>
      <c r="H118" s="87">
        <f>IF(H22=0,0,1000000*H22/TrRoad_act!H61)</f>
        <v>575.93984834408116</v>
      </c>
      <c r="I118" s="87">
        <f>IF(I22=0,0,1000000*I22/TrRoad_act!I61)</f>
        <v>593.76846123535142</v>
      </c>
      <c r="J118" s="87">
        <f>IF(J22=0,0,1000000*J22/TrRoad_act!J61)</f>
        <v>646.36389709266325</v>
      </c>
      <c r="K118" s="87">
        <f>IF(K22=0,0,1000000*K22/TrRoad_act!K61)</f>
        <v>661.75972717305729</v>
      </c>
      <c r="L118" s="87">
        <f>IF(L22=0,0,1000000*L22/TrRoad_act!L61)</f>
        <v>582.39449675333287</v>
      </c>
      <c r="M118" s="87">
        <f>IF(M22=0,0,1000000*M22/TrRoad_act!M61)</f>
        <v>549.57293830145147</v>
      </c>
      <c r="N118" s="87">
        <f>IF(N22=0,0,1000000*N22/TrRoad_act!N61)</f>
        <v>549.57938925095857</v>
      </c>
      <c r="O118" s="87">
        <f>IF(O22=0,0,1000000*O22/TrRoad_act!O61)</f>
        <v>512.43671641429739</v>
      </c>
      <c r="P118" s="87">
        <f>IF(P22=0,0,1000000*P22/TrRoad_act!P61)</f>
        <v>560.91882092896697</v>
      </c>
      <c r="Q118" s="87">
        <f>IF(Q22=0,0,1000000*Q22/TrRoad_act!Q61)</f>
        <v>572.24117918063871</v>
      </c>
      <c r="R118" s="87">
        <f>IF(R22=0,0,1000000*R22/TrRoad_act!R61)</f>
        <v>575.26546371401048</v>
      </c>
      <c r="S118" s="87">
        <f>IF(S22=0,0,1000000*S22/TrRoad_act!S61)</f>
        <v>571.17593973969906</v>
      </c>
      <c r="T118" s="87">
        <f>IF(T22=0,0,1000000*T22/TrRoad_act!T61)</f>
        <v>575.56242499496022</v>
      </c>
      <c r="U118" s="87">
        <f>IF(U22=0,0,1000000*U22/TrRoad_act!U61)</f>
        <v>593.70118465267319</v>
      </c>
      <c r="V118" s="87">
        <f>IF(V22=0,0,1000000*V22/TrRoad_act!V61)</f>
        <v>518.97898856570225</v>
      </c>
      <c r="W118" s="87">
        <f>IF(W22=0,0,1000000*W22/TrRoad_act!W61)</f>
        <v>538.3446519272951</v>
      </c>
      <c r="X118" s="87">
        <f>IF(X22=0,0,1000000*X22/TrRoad_act!X61)</f>
        <v>563.5807126702623</v>
      </c>
      <c r="Y118" s="87">
        <f>IF(Y22=0,0,1000000*Y22/TrRoad_act!Y61)</f>
        <v>542.98451724345978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960.30398428527542</v>
      </c>
      <c r="C119" s="87">
        <f>IF(C24=0,0,1000000*C24/TrRoad_act!C62)</f>
        <v>973.42124094916994</v>
      </c>
      <c r="D119" s="87">
        <f>IF(D24=0,0,1000000*D24/TrRoad_act!D62)</f>
        <v>979.79110819736707</v>
      </c>
      <c r="E119" s="87">
        <f>IF(E24=0,0,1000000*E24/TrRoad_act!E62)</f>
        <v>993.6943687730768</v>
      </c>
      <c r="F119" s="87">
        <f>IF(F24=0,0,1000000*F24/TrRoad_act!F62)</f>
        <v>1032.429526339743</v>
      </c>
      <c r="G119" s="87">
        <f>IF(G24=0,0,1000000*G24/TrRoad_act!G62)</f>
        <v>1044.1478728123163</v>
      </c>
      <c r="H119" s="87">
        <f>IF(H24=0,0,1000000*H24/TrRoad_act!H62)</f>
        <v>950.56570102794581</v>
      </c>
      <c r="I119" s="87">
        <f>IF(I24=0,0,1000000*I24/TrRoad_act!I62)</f>
        <v>970.34996425171641</v>
      </c>
      <c r="J119" s="87">
        <f>IF(J24=0,0,1000000*J24/TrRoad_act!J62)</f>
        <v>993.90467389888727</v>
      </c>
      <c r="K119" s="87">
        <f>IF(K24=0,0,1000000*K24/TrRoad_act!K62)</f>
        <v>1060.0241852967333</v>
      </c>
      <c r="L119" s="87">
        <f>IF(L24=0,0,1000000*L24/TrRoad_act!L62)</f>
        <v>1043.9262475147411</v>
      </c>
      <c r="M119" s="87">
        <f>IF(M24=0,0,1000000*M24/TrRoad_act!M62)</f>
        <v>975.68450731485564</v>
      </c>
      <c r="N119" s="87">
        <f>IF(N24=0,0,1000000*N24/TrRoad_act!N62)</f>
        <v>974.27869487286216</v>
      </c>
      <c r="O119" s="87">
        <f>IF(O24=0,0,1000000*O24/TrRoad_act!O62)</f>
        <v>880.73302797970359</v>
      </c>
      <c r="P119" s="87">
        <f>IF(P24=0,0,1000000*P24/TrRoad_act!P62)</f>
        <v>818.87767986973199</v>
      </c>
      <c r="Q119" s="87">
        <f>IF(Q24=0,0,1000000*Q24/TrRoad_act!Q62)</f>
        <v>857.15286899268051</v>
      </c>
      <c r="R119" s="87">
        <f>IF(R24=0,0,1000000*R24/TrRoad_act!R62)</f>
        <v>868.39994169258443</v>
      </c>
      <c r="S119" s="87">
        <f>IF(S24=0,0,1000000*S24/TrRoad_act!S62)</f>
        <v>867.86250941844719</v>
      </c>
      <c r="T119" s="87">
        <f>IF(T24=0,0,1000000*T24/TrRoad_act!T62)</f>
        <v>900.39807121455726</v>
      </c>
      <c r="U119" s="87">
        <f>IF(U24=0,0,1000000*U24/TrRoad_act!U62)</f>
        <v>975.63291611958823</v>
      </c>
      <c r="V119" s="87">
        <f>IF(V24=0,0,1000000*V24/TrRoad_act!V62)</f>
        <v>881.6370715065076</v>
      </c>
      <c r="W119" s="87">
        <f>IF(W24=0,0,1000000*W24/TrRoad_act!W62)</f>
        <v>917.32953884174231</v>
      </c>
      <c r="X119" s="87">
        <f>IF(X24=0,0,1000000*X24/TrRoad_act!X62)</f>
        <v>981.61006252746142</v>
      </c>
      <c r="Y119" s="87">
        <f>IF(Y24=0,0,1000000*Y24/TrRoad_act!Y62)</f>
        <v>971.78002943815727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610.23819542514377</v>
      </c>
      <c r="D120" s="87">
        <f>IF(D26=0,0,1000000*D26/TrRoad_act!D63)</f>
        <v>617.29145433602025</v>
      </c>
      <c r="E120" s="87">
        <f>IF(E26=0,0,1000000*E26/TrRoad_act!E63)</f>
        <v>824.72391905964423</v>
      </c>
      <c r="F120" s="87">
        <f>IF(F26=0,0,1000000*F26/TrRoad_act!F63)</f>
        <v>774.94245668932228</v>
      </c>
      <c r="G120" s="87">
        <f>IF(G26=0,0,1000000*G26/TrRoad_act!G63)</f>
        <v>644.58554655814009</v>
      </c>
      <c r="H120" s="87">
        <f>IF(H26=0,0,1000000*H26/TrRoad_act!H63)</f>
        <v>671.89556055095272</v>
      </c>
      <c r="I120" s="87">
        <f>IF(I26=0,0,1000000*I26/TrRoad_act!I63)</f>
        <v>656.29798958248978</v>
      </c>
      <c r="J120" s="87">
        <f>IF(J26=0,0,1000000*J26/TrRoad_act!J63)</f>
        <v>690.18289471195624</v>
      </c>
      <c r="K120" s="87">
        <f>IF(K26=0,0,1000000*K26/TrRoad_act!K63)</f>
        <v>726.73835801994301</v>
      </c>
      <c r="L120" s="87">
        <f>IF(L26=0,0,1000000*L26/TrRoad_act!L63)</f>
        <v>746.73750059680765</v>
      </c>
      <c r="M120" s="87">
        <f>IF(M26=0,0,1000000*M26/TrRoad_act!M63)</f>
        <v>685.04997603343259</v>
      </c>
      <c r="N120" s="87">
        <f>IF(N26=0,0,1000000*N26/TrRoad_act!N63)</f>
        <v>489.30424413127423</v>
      </c>
      <c r="O120" s="87">
        <f>IF(O26=0,0,1000000*O26/TrRoad_act!O63)</f>
        <v>604.65601673460947</v>
      </c>
      <c r="P120" s="87">
        <f>IF(P26=0,0,1000000*P26/TrRoad_act!P63)</f>
        <v>526.43822783497262</v>
      </c>
      <c r="Q120" s="87">
        <f>IF(Q26=0,0,1000000*Q26/TrRoad_act!Q63)</f>
        <v>510.74489233652548</v>
      </c>
      <c r="R120" s="87">
        <f>IF(R26=0,0,1000000*R26/TrRoad_act!R63)</f>
        <v>467.35737579641011</v>
      </c>
      <c r="S120" s="87">
        <f>IF(S26=0,0,1000000*S26/TrRoad_act!S63)</f>
        <v>465.63845902565896</v>
      </c>
      <c r="T120" s="87">
        <f>IF(T26=0,0,1000000*T26/TrRoad_act!T63)</f>
        <v>449.2551553125881</v>
      </c>
      <c r="U120" s="87">
        <f>IF(U26=0,0,1000000*U26/TrRoad_act!U63)</f>
        <v>450.18548111696219</v>
      </c>
      <c r="V120" s="87">
        <f>IF(V26=0,0,1000000*V26/TrRoad_act!V63)</f>
        <v>411.3519308288902</v>
      </c>
      <c r="W120" s="87">
        <f>IF(W26=0,0,1000000*W26/TrRoad_act!W63)</f>
        <v>591.89146072076551</v>
      </c>
      <c r="X120" s="87">
        <f>IF(X26=0,0,1000000*X26/TrRoad_act!X63)</f>
        <v>614.00582282624032</v>
      </c>
      <c r="Y120" s="87">
        <f>IF(Y26=0,0,1000000*Y26/TrRoad_act!Y63)</f>
        <v>679.72163509703535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931.25793532901287</v>
      </c>
      <c r="M121" s="87">
        <f>IF(M27=0,0,1000000*M27/TrRoad_act!M64)</f>
        <v>533.93080588775399</v>
      </c>
      <c r="N121" s="87">
        <f>IF(N27=0,0,1000000*N27/TrRoad_act!N64)</f>
        <v>472.7520044199353</v>
      </c>
      <c r="O121" s="87">
        <f>IF(O27=0,0,1000000*O27/TrRoad_act!O64)</f>
        <v>500.82352832619381</v>
      </c>
      <c r="P121" s="87">
        <f>IF(P27=0,0,1000000*P27/TrRoad_act!P64)</f>
        <v>533.22423326654007</v>
      </c>
      <c r="Q121" s="87">
        <f>IF(Q27=0,0,1000000*Q27/TrRoad_act!Q64)</f>
        <v>477.9240002754533</v>
      </c>
      <c r="R121" s="87">
        <f>IF(R27=0,0,1000000*R27/TrRoad_act!R64)</f>
        <v>490.77270421741059</v>
      </c>
      <c r="S121" s="87">
        <f>IF(S27=0,0,1000000*S27/TrRoad_act!S64)</f>
        <v>483.76953497800389</v>
      </c>
      <c r="T121" s="87">
        <f>IF(T27=0,0,1000000*T27/TrRoad_act!T64)</f>
        <v>502.94418114503117</v>
      </c>
      <c r="U121" s="87">
        <f>IF(U27=0,0,1000000*U27/TrRoad_act!U64)</f>
        <v>538.82604061263396</v>
      </c>
      <c r="V121" s="87">
        <f>IF(V27=0,0,1000000*V27/TrRoad_act!V64)</f>
        <v>485.27879448511578</v>
      </c>
      <c r="W121" s="87">
        <f>IF(W27=0,0,1000000*W27/TrRoad_act!W64)</f>
        <v>493.85007928991655</v>
      </c>
      <c r="X121" s="87">
        <f>IF(X27=0,0,1000000*X27/TrRoad_act!X64)</f>
        <v>522.06731511627311</v>
      </c>
      <c r="Y121" s="87">
        <f>IF(Y27=0,0,1000000*Y27/TrRoad_act!Y64)</f>
        <v>508.16233408587539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182.67991191908391</v>
      </c>
      <c r="O122" s="87">
        <f>IF(O29=0,0,1000000*O29/TrRoad_act!O65)</f>
        <v>182.22848477791217</v>
      </c>
      <c r="P122" s="87">
        <f>IF(P29=0,0,1000000*P29/TrRoad_act!P65)</f>
        <v>199.72480868019855</v>
      </c>
      <c r="Q122" s="87">
        <f>IF(Q29=0,0,1000000*Q29/TrRoad_act!Q65)</f>
        <v>203.44912753620696</v>
      </c>
      <c r="R122" s="87">
        <f>IF(R29=0,0,1000000*R29/TrRoad_act!R65)</f>
        <v>261.57902600787969</v>
      </c>
      <c r="S122" s="87">
        <f>IF(S29=0,0,1000000*S29/TrRoad_act!S65)</f>
        <v>275.64159147201229</v>
      </c>
      <c r="T122" s="87">
        <f>IF(T29=0,0,1000000*T29/TrRoad_act!T65)</f>
        <v>277.2266656259182</v>
      </c>
      <c r="U122" s="87">
        <f>IF(U29=0,0,1000000*U29/TrRoad_act!U65)</f>
        <v>286.06143448763009</v>
      </c>
      <c r="V122" s="87">
        <f>IF(V29=0,0,1000000*V29/TrRoad_act!V65)</f>
        <v>274.07458179512867</v>
      </c>
      <c r="W122" s="87">
        <f>IF(W29=0,0,1000000*W29/TrRoad_act!W65)</f>
        <v>277.89426503793624</v>
      </c>
      <c r="X122" s="87">
        <f>IF(X29=0,0,1000000*X29/TrRoad_act!X65)</f>
        <v>315.54131030707754</v>
      </c>
      <c r="Y122" s="87">
        <f>IF(Y29=0,0,1000000*Y29/TrRoad_act!Y65)</f>
        <v>296.46151907809349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110.3165493662689</v>
      </c>
      <c r="M123" s="87">
        <f>IF(M32=0,0,1000000*M32/TrRoad_act!M66)</f>
        <v>111.53016762533348</v>
      </c>
      <c r="N123" s="87">
        <f>IF(N32=0,0,1000000*N32/TrRoad_act!N66)</f>
        <v>111.46866350337233</v>
      </c>
      <c r="O123" s="87">
        <f>IF(O32=0,0,1000000*O32/TrRoad_act!O66)</f>
        <v>111.72855417065216</v>
      </c>
      <c r="P123" s="87">
        <f>IF(P32=0,0,1000000*P32/TrRoad_act!P66)</f>
        <v>112.20435889184073</v>
      </c>
      <c r="Q123" s="87">
        <f>IF(Q32=0,0,1000000*Q32/TrRoad_act!Q66)</f>
        <v>112.27430771824815</v>
      </c>
      <c r="R123" s="87">
        <f>IF(R32=0,0,1000000*R32/TrRoad_act!R66)</f>
        <v>112.46472623976408</v>
      </c>
      <c r="S123" s="87">
        <f>IF(S32=0,0,1000000*S32/TrRoad_act!S66)</f>
        <v>106.65444771391782</v>
      </c>
      <c r="T123" s="87">
        <f>IF(T32=0,0,1000000*T32/TrRoad_act!T66)</f>
        <v>103.89068436531444</v>
      </c>
      <c r="U123" s="87">
        <f>IF(U32=0,0,1000000*U32/TrRoad_act!U66)</f>
        <v>118.20037098074326</v>
      </c>
      <c r="V123" s="87">
        <f>IF(V32=0,0,1000000*V32/TrRoad_act!V66)</f>
        <v>115.9924204555787</v>
      </c>
      <c r="W123" s="87">
        <f>IF(W32=0,0,1000000*W32/TrRoad_act!W66)</f>
        <v>122.24435378927633</v>
      </c>
      <c r="X123" s="87">
        <f>IF(X32=0,0,1000000*X32/TrRoad_act!X66)</f>
        <v>126.53953552058825</v>
      </c>
      <c r="Y123" s="87">
        <f>IF(Y32=0,0,1000000*Y32/TrRoad_act!Y66)</f>
        <v>127.50860969289963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21111.92843558703</v>
      </c>
      <c r="C124" s="116">
        <f>IF(C33=0,0,1000000*C33/TrRoad_act!C67)</f>
        <v>20901.135337419331</v>
      </c>
      <c r="D124" s="116">
        <f>IF(D33=0,0,1000000*D33/TrRoad_act!D67)</f>
        <v>21375.772818500223</v>
      </c>
      <c r="E124" s="116">
        <f>IF(E33=0,0,1000000*E33/TrRoad_act!E67)</f>
        <v>21346.366389944003</v>
      </c>
      <c r="F124" s="116">
        <f>IF(F33=0,0,1000000*F33/TrRoad_act!F67)</f>
        <v>21093.161098417077</v>
      </c>
      <c r="G124" s="116">
        <f>IF(G33=0,0,1000000*G33/TrRoad_act!G67)</f>
        <v>21799.877447598352</v>
      </c>
      <c r="H124" s="116">
        <f>IF(H33=0,0,1000000*H33/TrRoad_act!H67)</f>
        <v>21585.792937747745</v>
      </c>
      <c r="I124" s="116">
        <f>IF(I33=0,0,1000000*I33/TrRoad_act!I67)</f>
        <v>21057.176718892348</v>
      </c>
      <c r="J124" s="116">
        <f>IF(J33=0,0,1000000*J33/TrRoad_act!J67)</f>
        <v>21402.04381862397</v>
      </c>
      <c r="K124" s="116">
        <f>IF(K33=0,0,1000000*K33/TrRoad_act!K67)</f>
        <v>21014.535102708334</v>
      </c>
      <c r="L124" s="116">
        <f>IF(L33=0,0,1000000*L33/TrRoad_act!L67)</f>
        <v>21451.828153207553</v>
      </c>
      <c r="M124" s="116">
        <f>IF(M33=0,0,1000000*M33/TrRoad_act!M67)</f>
        <v>20503.054780655366</v>
      </c>
      <c r="N124" s="116">
        <f>IF(N33=0,0,1000000*N33/TrRoad_act!N67)</f>
        <v>20193.892201062507</v>
      </c>
      <c r="O124" s="116">
        <f>IF(O33=0,0,1000000*O33/TrRoad_act!O67)</f>
        <v>19105.672504937273</v>
      </c>
      <c r="P124" s="116">
        <f>IF(P33=0,0,1000000*P33/TrRoad_act!P67)</f>
        <v>20704.194995379275</v>
      </c>
      <c r="Q124" s="116">
        <f>IF(Q33=0,0,1000000*Q33/TrRoad_act!Q67)</f>
        <v>21442.505684966232</v>
      </c>
      <c r="R124" s="116">
        <f>IF(R33=0,0,1000000*R33/TrRoad_act!R67)</f>
        <v>20938.02563728044</v>
      </c>
      <c r="S124" s="116">
        <f>IF(S33=0,0,1000000*S33/TrRoad_act!S67)</f>
        <v>21671.175172525225</v>
      </c>
      <c r="T124" s="116">
        <f>IF(T33=0,0,1000000*T33/TrRoad_act!T67)</f>
        <v>21781.815802806541</v>
      </c>
      <c r="U124" s="116">
        <f>IF(U33=0,0,1000000*U33/TrRoad_act!U67)</f>
        <v>21609.130328846113</v>
      </c>
      <c r="V124" s="116">
        <f>IF(V33=0,0,1000000*V33/TrRoad_act!V67)</f>
        <v>19943.911349243539</v>
      </c>
      <c r="W124" s="116">
        <f>IF(W33=0,0,1000000*W33/TrRoad_act!W67)</f>
        <v>20634.617515933362</v>
      </c>
      <c r="X124" s="116">
        <f>IF(X33=0,0,1000000*X33/TrRoad_act!X67)</f>
        <v>21844.174299025599</v>
      </c>
      <c r="Y124" s="116">
        <f>IF(Y33=0,0,1000000*Y33/TrRoad_act!Y67)</f>
        <v>20597.983445066002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2928.1494441437071</v>
      </c>
      <c r="C125" s="101">
        <f>IF(C34=0,0,1000000*C34/TrRoad_act!C68)</f>
        <v>2956.9803204972591</v>
      </c>
      <c r="D125" s="101">
        <f>IF(D34=0,0,1000000*D34/TrRoad_act!D68)</f>
        <v>2987.3295371402678</v>
      </c>
      <c r="E125" s="101">
        <f>IF(E34=0,0,1000000*E34/TrRoad_act!E68)</f>
        <v>3016.8706436594566</v>
      </c>
      <c r="F125" s="101">
        <f>IF(F34=0,0,1000000*F34/TrRoad_act!F68)</f>
        <v>3041.1686948655342</v>
      </c>
      <c r="G125" s="101">
        <f>IF(G34=0,0,1000000*G34/TrRoad_act!G68)</f>
        <v>3069.2285594991604</v>
      </c>
      <c r="H125" s="101">
        <f>IF(H34=0,0,1000000*H34/TrRoad_act!H68)</f>
        <v>3112.9961873273655</v>
      </c>
      <c r="I125" s="101">
        <f>IF(I34=0,0,1000000*I34/TrRoad_act!I68)</f>
        <v>3210.1311867779359</v>
      </c>
      <c r="J125" s="101">
        <f>IF(J34=0,0,1000000*J34/TrRoad_act!J68)</f>
        <v>3283.3247175640654</v>
      </c>
      <c r="K125" s="101">
        <f>IF(K34=0,0,1000000*K34/TrRoad_act!K68)</f>
        <v>3341.42005457196</v>
      </c>
      <c r="L125" s="101">
        <f>IF(L34=0,0,1000000*L34/TrRoad_act!L68)</f>
        <v>3425.5045998202131</v>
      </c>
      <c r="M125" s="101">
        <f>IF(M34=0,0,1000000*M34/TrRoad_act!M68)</f>
        <v>3416.3362055332645</v>
      </c>
      <c r="N125" s="101">
        <f>IF(N34=0,0,1000000*N34/TrRoad_act!N68)</f>
        <v>3475.7178732883899</v>
      </c>
      <c r="O125" s="101">
        <f>IF(O34=0,0,1000000*O34/TrRoad_act!O68)</f>
        <v>3583.8493597341262</v>
      </c>
      <c r="P125" s="101">
        <f>IF(P34=0,0,1000000*P34/TrRoad_act!P68)</f>
        <v>3603.5921519862341</v>
      </c>
      <c r="Q125" s="101">
        <f>IF(Q34=0,0,1000000*Q34/TrRoad_act!Q68)</f>
        <v>3596.5516152251589</v>
      </c>
      <c r="R125" s="101">
        <f>IF(R34=0,0,1000000*R34/TrRoad_act!R68)</f>
        <v>3481.3962879514811</v>
      </c>
      <c r="S125" s="101">
        <f>IF(S34=0,0,1000000*S34/TrRoad_act!S68)</f>
        <v>3609.3136795907135</v>
      </c>
      <c r="T125" s="101">
        <f>IF(T34=0,0,1000000*T34/TrRoad_act!T68)</f>
        <v>3505.4847482809414</v>
      </c>
      <c r="U125" s="101">
        <f>IF(U34=0,0,1000000*U34/TrRoad_act!U68)</f>
        <v>3394.0894578089283</v>
      </c>
      <c r="V125" s="101">
        <f>IF(V34=0,0,1000000*V34/TrRoad_act!V68)</f>
        <v>3195.3824356981604</v>
      </c>
      <c r="W125" s="101">
        <f>IF(W34=0,0,1000000*W34/TrRoad_act!W68)</f>
        <v>3142.9055549679506</v>
      </c>
      <c r="X125" s="101">
        <f>IF(X34=0,0,1000000*X34/TrRoad_act!X68)</f>
        <v>3153.5021368039033</v>
      </c>
      <c r="Y125" s="101">
        <f>IF(Y34=0,0,1000000*Y34/TrRoad_act!Y68)</f>
        <v>3043.6528433800559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24009.857662182425</v>
      </c>
      <c r="C126" s="101">
        <f>IF(C36=0,0,1000000*C36/TrRoad_act!C69)</f>
        <v>23432.400933677178</v>
      </c>
      <c r="D126" s="101">
        <f>IF(D36=0,0,1000000*D36/TrRoad_act!D69)</f>
        <v>23656.740395267858</v>
      </c>
      <c r="E126" s="101">
        <f>IF(E36=0,0,1000000*E36/TrRoad_act!E69)</f>
        <v>23344.252840614503</v>
      </c>
      <c r="F126" s="101">
        <f>IF(F36=0,0,1000000*F36/TrRoad_act!F69)</f>
        <v>22845.9395581842</v>
      </c>
      <c r="G126" s="101">
        <f>IF(G36=0,0,1000000*G36/TrRoad_act!G69)</f>
        <v>23283.949523198637</v>
      </c>
      <c r="H126" s="101">
        <f>IF(H36=0,0,1000000*H36/TrRoad_act!H69)</f>
        <v>22683.239190873795</v>
      </c>
      <c r="I126" s="101">
        <f>IF(I36=0,0,1000000*I36/TrRoad_act!I69)</f>
        <v>21920.97208494549</v>
      </c>
      <c r="J126" s="101">
        <f>IF(J36=0,0,1000000*J36/TrRoad_act!J69)</f>
        <v>22182.885574074986</v>
      </c>
      <c r="K126" s="101">
        <f>IF(K36=0,0,1000000*K36/TrRoad_act!K69)</f>
        <v>21636.476923922441</v>
      </c>
      <c r="L126" s="101">
        <f>IF(L36=0,0,1000000*L36/TrRoad_act!L69)</f>
        <v>21958.791452969224</v>
      </c>
      <c r="M126" s="101">
        <f>IF(M36=0,0,1000000*M36/TrRoad_act!M69)</f>
        <v>20873.503603509384</v>
      </c>
      <c r="N126" s="101">
        <f>IF(N36=0,0,1000000*N36/TrRoad_act!N69)</f>
        <v>20485.800590230887</v>
      </c>
      <c r="O126" s="101">
        <f>IF(O36=0,0,1000000*O36/TrRoad_act!O69)</f>
        <v>19403.027120548526</v>
      </c>
      <c r="P126" s="101">
        <f>IF(P36=0,0,1000000*P36/TrRoad_act!P69)</f>
        <v>21098.495236152048</v>
      </c>
      <c r="Q126" s="101">
        <f>IF(Q36=0,0,1000000*Q36/TrRoad_act!Q69)</f>
        <v>21796.154906030843</v>
      </c>
      <c r="R126" s="101">
        <f>IF(R36=0,0,1000000*R36/TrRoad_act!R69)</f>
        <v>21236.704275268308</v>
      </c>
      <c r="S126" s="101">
        <f>IF(S36=0,0,1000000*S36/TrRoad_act!S69)</f>
        <v>22037.60537603384</v>
      </c>
      <c r="T126" s="101">
        <f>IF(T36=0,0,1000000*T36/TrRoad_act!T69)</f>
        <v>22092.768363506202</v>
      </c>
      <c r="U126" s="101">
        <f>IF(U36=0,0,1000000*U36/TrRoad_act!U69)</f>
        <v>21623.511064912549</v>
      </c>
      <c r="V126" s="101">
        <f>IF(V36=0,0,1000000*V36/TrRoad_act!V69)</f>
        <v>19975.315453802315</v>
      </c>
      <c r="W126" s="101">
        <f>IF(W36=0,0,1000000*W36/TrRoad_act!W69)</f>
        <v>20733.430973248971</v>
      </c>
      <c r="X126" s="101">
        <f>IF(X36=0,0,1000000*X36/TrRoad_act!X69)</f>
        <v>22143.828489550364</v>
      </c>
      <c r="Y126" s="101">
        <f>IF(Y36=0,0,1000000*Y36/TrRoad_act!Y69)</f>
        <v>20770.668649652769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10361.874628054236</v>
      </c>
      <c r="Q127" s="101">
        <f>IF(Q38=0,0,1000000*Q38/TrRoad_act!Q70)</f>
        <v>10469.909434899226</v>
      </c>
      <c r="R127" s="101">
        <f>IF(R38=0,0,1000000*R38/TrRoad_act!R70)</f>
        <v>10470.069717751141</v>
      </c>
      <c r="S127" s="101">
        <f>IF(S38=0,0,1000000*S38/TrRoad_act!S70)</f>
        <v>10583.824797346484</v>
      </c>
      <c r="T127" s="101">
        <f>IF(T38=0,0,1000000*T38/TrRoad_act!T70)</f>
        <v>10336.57028965264</v>
      </c>
      <c r="U127" s="101">
        <f>IF(U38=0,0,1000000*U38/TrRoad_act!U70)</f>
        <v>10017.033466253864</v>
      </c>
      <c r="V127" s="101">
        <f>IF(V38=0,0,1000000*V38/TrRoad_act!V70)</f>
        <v>9666.9256035292474</v>
      </c>
      <c r="W127" s="101">
        <f>IF(W38=0,0,1000000*W38/TrRoad_act!W70)</f>
        <v>9528.1045961738182</v>
      </c>
      <c r="X127" s="101">
        <f>IF(X38=0,0,1000000*X38/TrRoad_act!X70)</f>
        <v>9743.6342048439437</v>
      </c>
      <c r="Y127" s="101">
        <f>IF(Y38=0,0,1000000*Y38/TrRoad_act!Y70)</f>
        <v>9684.3083061404086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17569.275874312116</v>
      </c>
      <c r="C128" s="101">
        <f>IF(C39=0,0,1000000*C39/TrRoad_act!C71)</f>
        <v>17537.293318655396</v>
      </c>
      <c r="D128" s="101">
        <f>IF(D39=0,0,1000000*D39/TrRoad_act!D71)</f>
        <v>18151.49325903755</v>
      </c>
      <c r="E128" s="101">
        <f>IF(E39=0,0,1000000*E39/TrRoad_act!E71)</f>
        <v>17320.819060274513</v>
      </c>
      <c r="F128" s="101">
        <f>IF(F39=0,0,1000000*F39/TrRoad_act!F71)</f>
        <v>16947.000739450927</v>
      </c>
      <c r="G128" s="101">
        <f>IF(G39=0,0,1000000*G39/TrRoad_act!G71)</f>
        <v>22160.953848949775</v>
      </c>
      <c r="H128" s="101">
        <f>IF(H39=0,0,1000000*H39/TrRoad_act!H71)</f>
        <v>23235.781429399063</v>
      </c>
      <c r="I128" s="101">
        <f>IF(I39=0,0,1000000*I39/TrRoad_act!I71)</f>
        <v>21004.198508706009</v>
      </c>
      <c r="J128" s="101">
        <f>IF(J39=0,0,1000000*J39/TrRoad_act!J71)</f>
        <v>20854.024034610702</v>
      </c>
      <c r="K128" s="101">
        <f>IF(K39=0,0,1000000*K39/TrRoad_act!K71)</f>
        <v>18561.137020386235</v>
      </c>
      <c r="L128" s="101">
        <f>IF(L39=0,0,1000000*L39/TrRoad_act!L71)</f>
        <v>16697.13775112747</v>
      </c>
      <c r="M128" s="101">
        <f>IF(M39=0,0,1000000*M39/TrRoad_act!M71)</f>
        <v>18968.512668276562</v>
      </c>
      <c r="N128" s="101">
        <f>IF(N39=0,0,1000000*N39/TrRoad_act!N71)</f>
        <v>20201.638678727541</v>
      </c>
      <c r="O128" s="101">
        <f>IF(O39=0,0,1000000*O39/TrRoad_act!O71)</f>
        <v>10479.929430079028</v>
      </c>
      <c r="P128" s="101">
        <f>IF(P39=0,0,1000000*P39/TrRoad_act!P71)</f>
        <v>5642.7596283975145</v>
      </c>
      <c r="Q128" s="101">
        <f>IF(Q39=0,0,1000000*Q39/TrRoad_act!Q71)</f>
        <v>11331.927024868448</v>
      </c>
      <c r="R128" s="101">
        <f>IF(R39=0,0,1000000*R39/TrRoad_act!R71)</f>
        <v>14651.678988230562</v>
      </c>
      <c r="S128" s="101">
        <f>IF(S39=0,0,1000000*S39/TrRoad_act!S71)</f>
        <v>13401.226292808589</v>
      </c>
      <c r="T128" s="101">
        <f>IF(T39=0,0,1000000*T39/TrRoad_act!T71)</f>
        <v>15017.118067797015</v>
      </c>
      <c r="U128" s="101">
        <f>IF(U39=0,0,1000000*U39/TrRoad_act!U71)</f>
        <v>28764.946536743308</v>
      </c>
      <c r="V128" s="101">
        <f>IF(V39=0,0,1000000*V39/TrRoad_act!V71)</f>
        <v>26953.330289897094</v>
      </c>
      <c r="W128" s="101">
        <f>IF(W39=0,0,1000000*W39/TrRoad_act!W71)</f>
        <v>24633.034587948649</v>
      </c>
      <c r="X128" s="101">
        <f>IF(X39=0,0,1000000*X39/TrRoad_act!X71)</f>
        <v>15489.66693296943</v>
      </c>
      <c r="Y128" s="101">
        <f>IF(Y39=0,0,1000000*Y39/TrRoad_act!Y71)</f>
        <v>19864.284025113291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14590.644615740677</v>
      </c>
      <c r="C129" s="101">
        <f>IF(C41=0,0,1000000*C41/TrRoad_act!C72)</f>
        <v>14597.437910177745</v>
      </c>
      <c r="D129" s="101">
        <f>IF(D41=0,0,1000000*D41/TrRoad_act!D72)</f>
        <v>14604.340457843935</v>
      </c>
      <c r="E129" s="101">
        <f>IF(E41=0,0,1000000*E41/TrRoad_act!E72)</f>
        <v>14600.376659009631</v>
      </c>
      <c r="F129" s="101">
        <f>IF(F41=0,0,1000000*F41/TrRoad_act!F72)</f>
        <v>14608.339174049006</v>
      </c>
      <c r="G129" s="101">
        <f>IF(G41=0,0,1000000*G41/TrRoad_act!G72)</f>
        <v>14608.46834801184</v>
      </c>
      <c r="H129" s="101">
        <f>IF(H41=0,0,1000000*H41/TrRoad_act!H72)</f>
        <v>14609.749995303224</v>
      </c>
      <c r="I129" s="101">
        <f>IF(I41=0,0,1000000*I41/TrRoad_act!I72)</f>
        <v>14614.082832009892</v>
      </c>
      <c r="J129" s="101">
        <f>IF(J41=0,0,1000000*J41/TrRoad_act!J72)</f>
        <v>14613.794593322764</v>
      </c>
      <c r="K129" s="101">
        <f>IF(K41=0,0,1000000*K41/TrRoad_act!K72)</f>
        <v>14609.264560134425</v>
      </c>
      <c r="L129" s="101">
        <f>IF(L41=0,0,1000000*L41/TrRoad_act!L72)</f>
        <v>14605.627993356105</v>
      </c>
      <c r="M129" s="101">
        <f>IF(M41=0,0,1000000*M41/TrRoad_act!M72)</f>
        <v>14599.006821766437</v>
      </c>
      <c r="N129" s="101">
        <f>IF(N41=0,0,1000000*N41/TrRoad_act!N72)</f>
        <v>14587.023171566963</v>
      </c>
      <c r="O129" s="101">
        <f>IF(O41=0,0,1000000*O41/TrRoad_act!O72)</f>
        <v>14460.434681076917</v>
      </c>
      <c r="P129" s="101">
        <f>IF(P41=0,0,1000000*P41/TrRoad_act!P72)</f>
        <v>14276.456474193834</v>
      </c>
      <c r="Q129" s="101">
        <f>IF(Q41=0,0,1000000*Q41/TrRoad_act!Q72)</f>
        <v>13677.085443213567</v>
      </c>
      <c r="R129" s="101">
        <f>IF(R41=0,0,1000000*R41/TrRoad_act!R72)</f>
        <v>13657.304647244904</v>
      </c>
      <c r="S129" s="101">
        <f>IF(S41=0,0,1000000*S41/TrRoad_act!S72)</f>
        <v>13618.52269490877</v>
      </c>
      <c r="T129" s="101">
        <f>IF(T41=0,0,1000000*T41/TrRoad_act!T72)</f>
        <v>13600.152763484026</v>
      </c>
      <c r="U129" s="101">
        <f>IF(U41=0,0,1000000*U41/TrRoad_act!U72)</f>
        <v>13592.902303524739</v>
      </c>
      <c r="V129" s="101">
        <f>IF(V41=0,0,1000000*V41/TrRoad_act!V72)</f>
        <v>13001.648759135593</v>
      </c>
      <c r="W129" s="101">
        <f>IF(W41=0,0,1000000*W41/TrRoad_act!W72)</f>
        <v>12714.39262771933</v>
      </c>
      <c r="X129" s="101">
        <f>IF(X41=0,0,1000000*X41/TrRoad_act!X72)</f>
        <v>12429.858253336011</v>
      </c>
      <c r="Y129" s="101">
        <f>IF(Y41=0,0,1000000*Y41/TrRoad_act!Y72)</f>
        <v>12137.778813145114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1542.3526193261778</v>
      </c>
      <c r="C131" s="152">
        <f>IF(C43=0,0,1000000*C43/TrRoad_act!C74)</f>
        <v>1530.0705264913081</v>
      </c>
      <c r="D131" s="152">
        <f>IF(D43=0,0,1000000*D43/TrRoad_act!D74)</f>
        <v>1573.5868947836286</v>
      </c>
      <c r="E131" s="152">
        <f>IF(E43=0,0,1000000*E43/TrRoad_act!E74)</f>
        <v>1586.6029564125963</v>
      </c>
      <c r="F131" s="152">
        <f>IF(F43=0,0,1000000*F43/TrRoad_act!F74)</f>
        <v>1581.4133161165678</v>
      </c>
      <c r="G131" s="152">
        <f>IF(G43=0,0,1000000*G43/TrRoad_act!G74)</f>
        <v>1635.1974068684319</v>
      </c>
      <c r="H131" s="152">
        <f>IF(H43=0,0,1000000*H43/TrRoad_act!H74)</f>
        <v>1616.6819604241541</v>
      </c>
      <c r="I131" s="152">
        <f>IF(I43=0,0,1000000*I43/TrRoad_act!I74)</f>
        <v>1562.4290912352521</v>
      </c>
      <c r="J131" s="152">
        <f>IF(J43=0,0,1000000*J43/TrRoad_act!J74)</f>
        <v>1582.7588685045985</v>
      </c>
      <c r="K131" s="152">
        <f>IF(K43=0,0,1000000*K43/TrRoad_act!K74)</f>
        <v>1555.6310118926417</v>
      </c>
      <c r="L131" s="152">
        <f>IF(L43=0,0,1000000*L43/TrRoad_act!L74)</f>
        <v>1530.8722541184213</v>
      </c>
      <c r="M131" s="152">
        <f>IF(M43=0,0,1000000*M43/TrRoad_act!M74)</f>
        <v>1453.1112701216298</v>
      </c>
      <c r="N131" s="152">
        <f>IF(N43=0,0,1000000*N43/TrRoad_act!N74)</f>
        <v>1407.482844240147</v>
      </c>
      <c r="O131" s="152">
        <f>IF(O43=0,0,1000000*O43/TrRoad_act!O74)</f>
        <v>1310.6472589460786</v>
      </c>
      <c r="P131" s="152">
        <f>IF(P43=0,0,1000000*P43/TrRoad_act!P74)</f>
        <v>1401.7952360013255</v>
      </c>
      <c r="Q131" s="152">
        <f>IF(Q43=0,0,1000000*Q43/TrRoad_act!Q74)</f>
        <v>1437.1082411510906</v>
      </c>
      <c r="R131" s="152">
        <f>IF(R43=0,0,1000000*R43/TrRoad_act!R74)</f>
        <v>1401.5782617813368</v>
      </c>
      <c r="S131" s="152">
        <f>IF(S43=0,0,1000000*S43/TrRoad_act!S74)</f>
        <v>1420.9238197803043</v>
      </c>
      <c r="T131" s="152">
        <f>IF(T43=0,0,1000000*T43/TrRoad_act!T74)</f>
        <v>1438.4197085339169</v>
      </c>
      <c r="U131" s="152">
        <f>IF(U43=0,0,1000000*U43/TrRoad_act!U74)</f>
        <v>1433.8040451550198</v>
      </c>
      <c r="V131" s="152">
        <f>IF(V43=0,0,1000000*V43/TrRoad_act!V74)</f>
        <v>1372.1259420161664</v>
      </c>
      <c r="W131" s="152">
        <f>IF(W43=0,0,1000000*W43/TrRoad_act!W74)</f>
        <v>1437.3388680484722</v>
      </c>
      <c r="X131" s="152">
        <f>IF(X43=0,0,1000000*X43/TrRoad_act!X74)</f>
        <v>1490.9960640146614</v>
      </c>
      <c r="Y131" s="152">
        <f>IF(Y43=0,0,1000000*Y43/TrRoad_act!Y74)</f>
        <v>1423.280021966787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1173.3940322415935</v>
      </c>
      <c r="C132" s="87">
        <f>IF(C44=0,0,1000000*C44/TrRoad_act!C75)</f>
        <v>1155.7444491812039</v>
      </c>
      <c r="D132" s="87">
        <f>IF(D44=0,0,1000000*D44/TrRoad_act!D75)</f>
        <v>1143.514673578688</v>
      </c>
      <c r="E132" s="87">
        <f>IF(E44=0,0,1000000*E44/TrRoad_act!E75)</f>
        <v>1130.7883019399471</v>
      </c>
      <c r="F132" s="87">
        <f>IF(F44=0,0,1000000*F44/TrRoad_act!F75)</f>
        <v>1116.7334594399179</v>
      </c>
      <c r="G132" s="87">
        <f>IF(G44=0,0,1000000*G44/TrRoad_act!G75)</f>
        <v>1104.1615261658476</v>
      </c>
      <c r="H132" s="87">
        <f>IF(H44=0,0,1000000*H44/TrRoad_act!H75)</f>
        <v>1086.0587823921578</v>
      </c>
      <c r="I132" s="87">
        <f>IF(I44=0,0,1000000*I44/TrRoad_act!I75)</f>
        <v>1057.5463018951627</v>
      </c>
      <c r="J132" s="87">
        <f>IF(J44=0,0,1000000*J44/TrRoad_act!J75)</f>
        <v>1027.2162886962808</v>
      </c>
      <c r="K132" s="87">
        <f>IF(K44=0,0,1000000*K44/TrRoad_act!K75)</f>
        <v>996.17437815748576</v>
      </c>
      <c r="L132" s="87">
        <f>IF(L44=0,0,1000000*L44/TrRoad_act!L75)</f>
        <v>967.18513346827501</v>
      </c>
      <c r="M132" s="87">
        <f>IF(M44=0,0,1000000*M44/TrRoad_act!M75)</f>
        <v>941.77189233640399</v>
      </c>
      <c r="N132" s="87">
        <f>IF(N44=0,0,1000000*N44/TrRoad_act!N75)</f>
        <v>915.71201203019803</v>
      </c>
      <c r="O132" s="87">
        <f>IF(O44=0,0,1000000*O44/TrRoad_act!O75)</f>
        <v>843.16266427095911</v>
      </c>
      <c r="P132" s="87">
        <f>IF(P44=0,0,1000000*P44/TrRoad_act!P75)</f>
        <v>799.80493356213628</v>
      </c>
      <c r="Q132" s="87">
        <f>IF(Q44=0,0,1000000*Q44/TrRoad_act!Q75)</f>
        <v>766.67269329343083</v>
      </c>
      <c r="R132" s="87">
        <f>IF(R44=0,0,1000000*R44/TrRoad_act!R75)</f>
        <v>775.88810860395063</v>
      </c>
      <c r="S132" s="87">
        <f>IF(S44=0,0,1000000*S44/TrRoad_act!S75)</f>
        <v>788.96671695574412</v>
      </c>
      <c r="T132" s="87">
        <f>IF(T44=0,0,1000000*T44/TrRoad_act!T75)</f>
        <v>810.73126164872917</v>
      </c>
      <c r="U132" s="87">
        <f>IF(U44=0,0,1000000*U44/TrRoad_act!U75)</f>
        <v>835.94494967080936</v>
      </c>
      <c r="V132" s="87">
        <f>IF(V44=0,0,1000000*V44/TrRoad_act!V75)</f>
        <v>830.53535101307864</v>
      </c>
      <c r="W132" s="87">
        <f>IF(W44=0,0,1000000*W44/TrRoad_act!W75)</f>
        <v>827.52906646530528</v>
      </c>
      <c r="X132" s="87">
        <f>IF(X44=0,0,1000000*X44/TrRoad_act!X75)</f>
        <v>824.93471572399653</v>
      </c>
      <c r="Y132" s="87">
        <f>IF(Y44=0,0,1000000*Y44/TrRoad_act!Y75)</f>
        <v>854.75574708985096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1754.9423106906027</v>
      </c>
      <c r="C133" s="87">
        <f>IF(C46=0,0,1000000*C46/TrRoad_act!C76)</f>
        <v>1712.0281893643869</v>
      </c>
      <c r="D133" s="87">
        <f>IF(D46=0,0,1000000*D46/TrRoad_act!D76)</f>
        <v>1740.3641809231995</v>
      </c>
      <c r="E133" s="87">
        <f>IF(E46=0,0,1000000*E46/TrRoad_act!E76)</f>
        <v>1734.069882872906</v>
      </c>
      <c r="F133" s="87">
        <f>IF(F46=0,0,1000000*F46/TrRoad_act!F76)</f>
        <v>1711.2696087738498</v>
      </c>
      <c r="G133" s="87">
        <f>IF(G46=0,0,1000000*G46/TrRoad_act!G76)</f>
        <v>1760.5897740806602</v>
      </c>
      <c r="H133" s="87">
        <f>IF(H46=0,0,1000000*H46/TrRoad_act!H76)</f>
        <v>1728.1279842310028</v>
      </c>
      <c r="I133" s="87">
        <f>IF(I46=0,0,1000000*I46/TrRoad_act!I76)</f>
        <v>1651.7228251568233</v>
      </c>
      <c r="J133" s="87">
        <f>IF(J46=0,0,1000000*J46/TrRoad_act!J76)</f>
        <v>1654.8102390828988</v>
      </c>
      <c r="K133" s="87">
        <f>IF(K46=0,0,1000000*K46/TrRoad_act!K76)</f>
        <v>1612.129085600533</v>
      </c>
      <c r="L133" s="87">
        <f>IF(L46=0,0,1000000*L46/TrRoad_act!L76)</f>
        <v>1591.9208685537301</v>
      </c>
      <c r="M133" s="87">
        <f>IF(M46=0,0,1000000*M46/TrRoad_act!M76)</f>
        <v>1499.7625442411706</v>
      </c>
      <c r="N133" s="87">
        <f>IF(N46=0,0,1000000*N46/TrRoad_act!N76)</f>
        <v>1449.1086263594811</v>
      </c>
      <c r="O133" s="87">
        <f>IF(O46=0,0,1000000*O46/TrRoad_act!O76)</f>
        <v>1346.8494906334004</v>
      </c>
      <c r="P133" s="87">
        <f>IF(P46=0,0,1000000*P46/TrRoad_act!P76)</f>
        <v>1443.8843027666724</v>
      </c>
      <c r="Q133" s="87">
        <f>IF(Q46=0,0,1000000*Q46/TrRoad_act!Q76)</f>
        <v>1478.7219215434254</v>
      </c>
      <c r="R133" s="87">
        <f>IF(R46=0,0,1000000*R46/TrRoad_act!R76)</f>
        <v>1435.7312021188407</v>
      </c>
      <c r="S133" s="87">
        <f>IF(S46=0,0,1000000*S46/TrRoad_act!S76)</f>
        <v>1452.5767619981905</v>
      </c>
      <c r="T133" s="87">
        <f>IF(T46=0,0,1000000*T46/TrRoad_act!T76)</f>
        <v>1467.9512502100672</v>
      </c>
      <c r="U133" s="87">
        <f>IF(U46=0,0,1000000*U46/TrRoad_act!U76)</f>
        <v>1460.1838924379908</v>
      </c>
      <c r="V133" s="87">
        <f>IF(V46=0,0,1000000*V46/TrRoad_act!V76)</f>
        <v>1394.8668194538866</v>
      </c>
      <c r="W133" s="87">
        <f>IF(W46=0,0,1000000*W46/TrRoad_act!W76)</f>
        <v>1462.2987339451283</v>
      </c>
      <c r="X133" s="87">
        <f>IF(X46=0,0,1000000*X46/TrRoad_act!X76)</f>
        <v>1519.1529255809196</v>
      </c>
      <c r="Y133" s="87">
        <f>IF(Y46=0,0,1000000*Y46/TrRoad_act!Y76)</f>
        <v>1450.044350088124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883.69103025048923</v>
      </c>
      <c r="D134" s="87">
        <f>IF(D48=0,0,1000000*D48/TrRoad_act!D77)</f>
        <v>883.37398219747729</v>
      </c>
      <c r="E134" s="87">
        <f>IF(E48=0,0,1000000*E48/TrRoad_act!E77)</f>
        <v>883.0233854176555</v>
      </c>
      <c r="F134" s="87">
        <f>IF(F48=0,0,1000000*F48/TrRoad_act!F77)</f>
        <v>882.63896504819547</v>
      </c>
      <c r="G134" s="87">
        <f>IF(G48=0,0,1000000*G48/TrRoad_act!G77)</f>
        <v>886.59692199920119</v>
      </c>
      <c r="H134" s="87">
        <f>IF(H48=0,0,1000000*H48/TrRoad_act!H77)</f>
        <v>895.18799456301849</v>
      </c>
      <c r="I134" s="87">
        <f>IF(I48=0,0,1000000*I48/TrRoad_act!I77)</f>
        <v>903.90062446479601</v>
      </c>
      <c r="J134" s="87">
        <f>IF(J48=0,0,1000000*J48/TrRoad_act!J77)</f>
        <v>912.72592729647658</v>
      </c>
      <c r="K134" s="87">
        <f>IF(K48=0,0,1000000*K48/TrRoad_act!K77)</f>
        <v>921.49571721607504</v>
      </c>
      <c r="L134" s="87">
        <f>IF(L48=0,0,1000000*L48/TrRoad_act!L77)</f>
        <v>930.34242255337369</v>
      </c>
      <c r="M134" s="87">
        <f>IF(M48=0,0,1000000*M48/TrRoad_act!M77)</f>
        <v>939.26336375498511</v>
      </c>
      <c r="N134" s="87">
        <f>IF(N48=0,0,1000000*N48/TrRoad_act!N77)</f>
        <v>947.39733586843977</v>
      </c>
      <c r="O134" s="87">
        <f>IF(O48=0,0,1000000*O48/TrRoad_act!O77)</f>
        <v>956.40712341148128</v>
      </c>
      <c r="P134" s="87">
        <f>IF(P48=0,0,1000000*P48/TrRoad_act!P77)</f>
        <v>965.49632673706049</v>
      </c>
      <c r="Q134" s="87">
        <f>IF(Q48=0,0,1000000*Q48/TrRoad_act!Q77)</f>
        <v>962.26872445438732</v>
      </c>
      <c r="R134" s="87">
        <f>IF(R48=0,0,1000000*R48/TrRoad_act!R77)</f>
        <v>950.77425023313128</v>
      </c>
      <c r="S134" s="87">
        <f>IF(S48=0,0,1000000*S48/TrRoad_act!S77)</f>
        <v>938.35176798110092</v>
      </c>
      <c r="T134" s="87">
        <f>IF(T48=0,0,1000000*T48/TrRoad_act!T77)</f>
        <v>925.76266974269811</v>
      </c>
      <c r="U134" s="87">
        <f>IF(U48=0,0,1000000*U48/TrRoad_act!U77)</f>
        <v>910.70946122910948</v>
      </c>
      <c r="V134" s="87">
        <f>IF(V48=0,0,1000000*V48/TrRoad_act!V77)</f>
        <v>849.1531299799741</v>
      </c>
      <c r="W134" s="87">
        <f>IF(W48=0,0,1000000*W48/TrRoad_act!W77)</f>
        <v>807.62045937843334</v>
      </c>
      <c r="X134" s="87">
        <f>IF(X48=0,0,1000000*X48/TrRoad_act!X77)</f>
        <v>925.98464755697955</v>
      </c>
      <c r="Y134" s="87">
        <f>IF(Y48=0,0,1000000*Y48/TrRoad_act!Y77)</f>
        <v>938.16754015839274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1088.1408950528332</v>
      </c>
      <c r="C135" s="87">
        <f>IF(C49=0,0,1000000*C49/TrRoad_act!C78)</f>
        <v>1035.9202054287782</v>
      </c>
      <c r="D135" s="87">
        <f>IF(D49=0,0,1000000*D49/TrRoad_act!D78)</f>
        <v>1035.5485410427384</v>
      </c>
      <c r="E135" s="87">
        <f>IF(E49=0,0,1000000*E49/TrRoad_act!E78)</f>
        <v>1035.1375486531556</v>
      </c>
      <c r="F135" s="87">
        <f>IF(F49=0,0,1000000*F49/TrRoad_act!F78)</f>
        <v>1034.6869060479121</v>
      </c>
      <c r="G135" s="87">
        <f>IF(G49=0,0,1000000*G49/TrRoad_act!G78)</f>
        <v>1034.2907481469194</v>
      </c>
      <c r="H135" s="87">
        <f>IF(H49=0,0,1000000*H49/TrRoad_act!H78)</f>
        <v>1033.8698356357063</v>
      </c>
      <c r="I135" s="87">
        <f>IF(I49=0,0,1000000*I49/TrRoad_act!I78)</f>
        <v>1033.49289731883</v>
      </c>
      <c r="J135" s="87">
        <f>IF(J49=0,0,1000000*J49/TrRoad_act!J78)</f>
        <v>1033.1476493690882</v>
      </c>
      <c r="K135" s="87">
        <f>IF(K49=0,0,1000000*K49/TrRoad_act!K78)</f>
        <v>1032.6437483766804</v>
      </c>
      <c r="L135" s="87">
        <f>IF(L49=0,0,1000000*L49/TrRoad_act!L78)</f>
        <v>1032.1319414351067</v>
      </c>
      <c r="M135" s="87">
        <f>IF(M49=0,0,1000000*M49/TrRoad_act!M78)</f>
        <v>1031.608640747249</v>
      </c>
      <c r="N135" s="87">
        <f>IF(N49=0,0,1000000*N49/TrRoad_act!N78)</f>
        <v>755.77326762950065</v>
      </c>
      <c r="O135" s="87">
        <f>IF(O49=0,0,1000000*O49/TrRoad_act!O78)</f>
        <v>750.07458346815815</v>
      </c>
      <c r="P135" s="87">
        <f>IF(P49=0,0,1000000*P49/TrRoad_act!P78)</f>
        <v>737.77665740122131</v>
      </c>
      <c r="Q135" s="87">
        <f>IF(Q49=0,0,1000000*Q49/TrRoad_act!Q78)</f>
        <v>904.19941750735632</v>
      </c>
      <c r="R135" s="87">
        <f>IF(R49=0,0,1000000*R49/TrRoad_act!R78)</f>
        <v>914.91189750454475</v>
      </c>
      <c r="S135" s="87">
        <f>IF(S49=0,0,1000000*S49/TrRoad_act!S78)</f>
        <v>902.73113037838539</v>
      </c>
      <c r="T135" s="87">
        <f>IF(T49=0,0,1000000*T49/TrRoad_act!T78)</f>
        <v>922.95058304820247</v>
      </c>
      <c r="U135" s="87">
        <f>IF(U49=0,0,1000000*U49/TrRoad_act!U78)</f>
        <v>917.74561644463097</v>
      </c>
      <c r="V135" s="87">
        <f>IF(V49=0,0,1000000*V49/TrRoad_act!V78)</f>
        <v>903.86213126341784</v>
      </c>
      <c r="W135" s="87">
        <f>IF(W49=0,0,1000000*W49/TrRoad_act!W78)</f>
        <v>911.31702855379592</v>
      </c>
      <c r="X135" s="87">
        <f>IF(X49=0,0,1000000*X49/TrRoad_act!X78)</f>
        <v>911.4729490619892</v>
      </c>
      <c r="Y135" s="87">
        <f>IF(Y49=0,0,1000000*Y49/TrRoad_act!Y78)</f>
        <v>925.15560336184978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127.82362819761494</v>
      </c>
      <c r="P136" s="87">
        <f>IF(P51=0,0,1000000*P51/TrRoad_act!P79)</f>
        <v>128.18546957934635</v>
      </c>
      <c r="Q136" s="87">
        <f>IF(Q51=0,0,1000000*Q51/TrRoad_act!Q79)</f>
        <v>131.78665727540383</v>
      </c>
      <c r="R136" s="87">
        <f>IF(R51=0,0,1000000*R51/TrRoad_act!R79)</f>
        <v>133.2464948496507</v>
      </c>
      <c r="S136" s="87">
        <f>IF(S51=0,0,1000000*S51/TrRoad_act!S79)</f>
        <v>134.48499643658744</v>
      </c>
      <c r="T136" s="87">
        <f>IF(T51=0,0,1000000*T51/TrRoad_act!T79)</f>
        <v>151.049116160126</v>
      </c>
      <c r="U136" s="87">
        <f>IF(U51=0,0,1000000*U51/TrRoad_act!U79)</f>
        <v>160.13362226378612</v>
      </c>
      <c r="V136" s="87">
        <f>IF(V51=0,0,1000000*V51/TrRoad_act!V79)</f>
        <v>176.64181507560025</v>
      </c>
      <c r="W136" s="87">
        <f>IF(W51=0,0,1000000*W51/TrRoad_act!W79)</f>
        <v>202.03066803823904</v>
      </c>
      <c r="X136" s="87">
        <f>IF(X51=0,0,1000000*X51/TrRoad_act!X79)</f>
        <v>223.26218317555583</v>
      </c>
      <c r="Y136" s="87">
        <f>IF(Y51=0,0,1000000*Y51/TrRoad_act!Y79)</f>
        <v>221.93759672518414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4891.6481490837432</v>
      </c>
      <c r="C137" s="116">
        <f>IF(C52=0,0,1000000*C52/TrRoad_act!C80)</f>
        <v>5091.469343364698</v>
      </c>
      <c r="D137" s="116">
        <f>IF(D52=0,0,1000000*D52/TrRoad_act!D80)</f>
        <v>5459.9387581436013</v>
      </c>
      <c r="E137" s="116">
        <f>IF(E52=0,0,1000000*E52/TrRoad_act!E80)</f>
        <v>5587.3458226792145</v>
      </c>
      <c r="F137" s="116">
        <f>IF(F52=0,0,1000000*F52/TrRoad_act!F80)</f>
        <v>6247.3012214451082</v>
      </c>
      <c r="G137" s="116">
        <f>IF(G52=0,0,1000000*G52/TrRoad_act!G80)</f>
        <v>7764.1970577796328</v>
      </c>
      <c r="H137" s="116">
        <f>IF(H52=0,0,1000000*H52/TrRoad_act!H80)</f>
        <v>7831.1806569063401</v>
      </c>
      <c r="I137" s="116">
        <f>IF(I52=0,0,1000000*I52/TrRoad_act!I80)</f>
        <v>7752.8576496921805</v>
      </c>
      <c r="J137" s="116">
        <f>IF(J52=0,0,1000000*J52/TrRoad_act!J80)</f>
        <v>8861.6540450238444</v>
      </c>
      <c r="K137" s="116">
        <f>IF(K52=0,0,1000000*K52/TrRoad_act!K80)</f>
        <v>12881.57093599837</v>
      </c>
      <c r="L137" s="116">
        <f>IF(L52=0,0,1000000*L52/TrRoad_act!L80)</f>
        <v>7536.2576993438142</v>
      </c>
      <c r="M137" s="116">
        <f>IF(M52=0,0,1000000*M52/TrRoad_act!M80)</f>
        <v>7380.3356866017111</v>
      </c>
      <c r="N137" s="116">
        <f>IF(N52=0,0,1000000*N52/TrRoad_act!N80)</f>
        <v>7043.3665286716905</v>
      </c>
      <c r="O137" s="116">
        <f>IF(O52=0,0,1000000*O52/TrRoad_act!O80)</f>
        <v>6678.2034895292145</v>
      </c>
      <c r="P137" s="116">
        <f>IF(P52=0,0,1000000*P52/TrRoad_act!P80)</f>
        <v>8669.621423730081</v>
      </c>
      <c r="Q137" s="116">
        <f>IF(Q52=0,0,1000000*Q52/TrRoad_act!Q80)</f>
        <v>9988.2078133076993</v>
      </c>
      <c r="R137" s="116">
        <f>IF(R52=0,0,1000000*R52/TrRoad_act!R80)</f>
        <v>9278.9137007424215</v>
      </c>
      <c r="S137" s="116">
        <f>IF(S52=0,0,1000000*S52/TrRoad_act!S80)</f>
        <v>9133.829568217725</v>
      </c>
      <c r="T137" s="116">
        <f>IF(T52=0,0,1000000*T52/TrRoad_act!T80)</f>
        <v>8997.4371916788405</v>
      </c>
      <c r="U137" s="116">
        <f>IF(U52=0,0,1000000*U52/TrRoad_act!U80)</f>
        <v>8466.1434875785326</v>
      </c>
      <c r="V137" s="116">
        <f>IF(V52=0,0,1000000*V52/TrRoad_act!V80)</f>
        <v>6077.2046192118532</v>
      </c>
      <c r="W137" s="116">
        <f>IF(W52=0,0,1000000*W52/TrRoad_act!W80)</f>
        <v>7521.2321546009889</v>
      </c>
      <c r="X137" s="116">
        <f>IF(X52=0,0,1000000*X52/TrRoad_act!X80)</f>
        <v>8151.3481578607871</v>
      </c>
      <c r="Y137" s="116">
        <f>IF(Y52=0,0,1000000*Y52/TrRoad_act!Y80)</f>
        <v>5828.6397743835487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3293.8746611678848</v>
      </c>
      <c r="C138" s="101">
        <f>IF(C53=0,0,1000000*C53/TrRoad_act!C81)</f>
        <v>3244.1584148697766</v>
      </c>
      <c r="D138" s="101">
        <f>IF(D53=0,0,1000000*D53/TrRoad_act!D81)</f>
        <v>3158.3410266809046</v>
      </c>
      <c r="E138" s="101">
        <f>IF(E53=0,0,1000000*E53/TrRoad_act!E81)</f>
        <v>3116.383588994187</v>
      </c>
      <c r="F138" s="101">
        <f>IF(F53=0,0,1000000*F53/TrRoad_act!F81)</f>
        <v>3351.8352788935199</v>
      </c>
      <c r="G138" s="101">
        <f>IF(G53=0,0,1000000*G53/TrRoad_act!G81)</f>
        <v>4482.2858830918985</v>
      </c>
      <c r="H138" s="101">
        <f>IF(H53=0,0,1000000*H53/TrRoad_act!H81)</f>
        <v>4451.3588317866042</v>
      </c>
      <c r="I138" s="101">
        <f>IF(I53=0,0,1000000*I53/TrRoad_act!I81)</f>
        <v>4574.9949902579838</v>
      </c>
      <c r="J138" s="101">
        <f>IF(J53=0,0,1000000*J53/TrRoad_act!J81)</f>
        <v>4883.4645433150681</v>
      </c>
      <c r="K138" s="101">
        <f>IF(K53=0,0,1000000*K53/TrRoad_act!K81)</f>
        <v>8259.8792869105619</v>
      </c>
      <c r="L138" s="101">
        <f>IF(L53=0,0,1000000*L53/TrRoad_act!L81)</f>
        <v>4301.0389352608654</v>
      </c>
      <c r="M138" s="101">
        <f>IF(M53=0,0,1000000*M53/TrRoad_act!M81)</f>
        <v>4404.9409772463414</v>
      </c>
      <c r="N138" s="101">
        <f>IF(N53=0,0,1000000*N53/TrRoad_act!N81)</f>
        <v>4184.746622093583</v>
      </c>
      <c r="O138" s="101">
        <f>IF(O53=0,0,1000000*O53/TrRoad_act!O81)</f>
        <v>4538.0110678495503</v>
      </c>
      <c r="P138" s="101">
        <f>IF(P53=0,0,1000000*P53/TrRoad_act!P81)</f>
        <v>4984.3937212811725</v>
      </c>
      <c r="Q138" s="101">
        <f>IF(Q53=0,0,1000000*Q53/TrRoad_act!Q81)</f>
        <v>5336.7009181879412</v>
      </c>
      <c r="R138" s="101">
        <f>IF(R53=0,0,1000000*R53/TrRoad_act!R81)</f>
        <v>5259.6442851781621</v>
      </c>
      <c r="S138" s="101">
        <f>IF(S53=0,0,1000000*S53/TrRoad_act!S81)</f>
        <v>4862.2595750903611</v>
      </c>
      <c r="T138" s="101">
        <f>IF(T53=0,0,1000000*T53/TrRoad_act!T81)</f>
        <v>4892.8030965310618</v>
      </c>
      <c r="U138" s="101">
        <f>IF(U53=0,0,1000000*U53/TrRoad_act!U81)</f>
        <v>4694.6563703640613</v>
      </c>
      <c r="V138" s="101">
        <f>IF(V53=0,0,1000000*V53/TrRoad_act!V81)</f>
        <v>3931.759726925417</v>
      </c>
      <c r="W138" s="101">
        <f>IF(W53=0,0,1000000*W53/TrRoad_act!W81)</f>
        <v>4520.3295708171472</v>
      </c>
      <c r="X138" s="101">
        <f>IF(X53=0,0,1000000*X53/TrRoad_act!X81)</f>
        <v>4341.3822574389042</v>
      </c>
      <c r="Y138" s="101">
        <f>IF(Y53=0,0,1000000*Y53/TrRoad_act!Y81)</f>
        <v>3607.1104320692857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35399.174443813768</v>
      </c>
      <c r="C139" s="88">
        <f>IF(C55=0,0,1000000*C55/TrRoad_act!C82)</f>
        <v>39160.377408416927</v>
      </c>
      <c r="D139" s="88">
        <f>IF(D55=0,0,1000000*D55/TrRoad_act!D82)</f>
        <v>47131.404953973841</v>
      </c>
      <c r="E139" s="88">
        <f>IF(E55=0,0,1000000*E55/TrRoad_act!E82)</f>
        <v>50403.778556433979</v>
      </c>
      <c r="F139" s="88">
        <f>IF(F55=0,0,1000000*F55/TrRoad_act!F82)</f>
        <v>49992.286962917642</v>
      </c>
      <c r="G139" s="88">
        <f>IF(G55=0,0,1000000*G55/TrRoad_act!G82)</f>
        <v>56952.418589675202</v>
      </c>
      <c r="H139" s="88">
        <f>IF(H55=0,0,1000000*H55/TrRoad_act!H82)</f>
        <v>58499.082575415254</v>
      </c>
      <c r="I139" s="88">
        <f>IF(I55=0,0,1000000*I55/TrRoad_act!I82)</f>
        <v>50588.600310751077</v>
      </c>
      <c r="J139" s="88">
        <f>IF(J55=0,0,1000000*J55/TrRoad_act!J82)</f>
        <v>52294.154227033607</v>
      </c>
      <c r="K139" s="88">
        <f>IF(K55=0,0,1000000*K55/TrRoad_act!K82)</f>
        <v>55003.928479933595</v>
      </c>
      <c r="L139" s="88">
        <f>IF(L55=0,0,1000000*L55/TrRoad_act!L82)</f>
        <v>57099.168140717018</v>
      </c>
      <c r="M139" s="88">
        <f>IF(M55=0,0,1000000*M55/TrRoad_act!M82)</f>
        <v>44290.085011169758</v>
      </c>
      <c r="N139" s="88">
        <f>IF(N55=0,0,1000000*N55/TrRoad_act!N82)</f>
        <v>38014.499078480752</v>
      </c>
      <c r="O139" s="88">
        <f>IF(O55=0,0,1000000*O55/TrRoad_act!O82)</f>
        <v>26125.429711605666</v>
      </c>
      <c r="P139" s="88">
        <f>IF(P55=0,0,1000000*P55/TrRoad_act!P82)</f>
        <v>42437.925865566496</v>
      </c>
      <c r="Q139" s="88">
        <f>IF(Q55=0,0,1000000*Q55/TrRoad_act!Q82)</f>
        <v>50924.577975371983</v>
      </c>
      <c r="R139" s="88">
        <f>IF(R55=0,0,1000000*R55/TrRoad_act!R82)</f>
        <v>42773.580714964613</v>
      </c>
      <c r="S139" s="88">
        <f>IF(S55=0,0,1000000*S55/TrRoad_act!S82)</f>
        <v>43996.133109860602</v>
      </c>
      <c r="T139" s="88">
        <f>IF(T55=0,0,1000000*T55/TrRoad_act!T82)</f>
        <v>45582.096868418921</v>
      </c>
      <c r="U139" s="88">
        <f>IF(U55=0,0,1000000*U55/TrRoad_act!U82)</f>
        <v>42831.520924027449</v>
      </c>
      <c r="V139" s="88">
        <f>IF(V55=0,0,1000000*V55/TrRoad_act!V82)</f>
        <v>27798.320078176395</v>
      </c>
      <c r="W139" s="88">
        <f>IF(W55=0,0,1000000*W55/TrRoad_act!W82)</f>
        <v>35868.75754344953</v>
      </c>
      <c r="X139" s="88">
        <f>IF(X55=0,0,1000000*X55/TrRoad_act!X82)</f>
        <v>43234.164232217168</v>
      </c>
      <c r="Y139" s="88">
        <f>IF(Y55=0,0,1000000*Y55/TrRoad_act!Y82)</f>
        <v>27631.208302790084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0.66332886973972782</v>
      </c>
      <c r="C142" s="46">
        <f t="shared" si="42"/>
        <v>0.66039862748129863</v>
      </c>
      <c r="D142" s="46">
        <f t="shared" si="42"/>
        <v>0.6493591278593237</v>
      </c>
      <c r="E142" s="46">
        <f t="shared" si="42"/>
        <v>0.64954701832770856</v>
      </c>
      <c r="F142" s="46">
        <f t="shared" si="42"/>
        <v>0.63918790677420645</v>
      </c>
      <c r="G142" s="46">
        <f t="shared" si="42"/>
        <v>0.59671680207897426</v>
      </c>
      <c r="H142" s="46">
        <f t="shared" si="42"/>
        <v>0.59800441574165253</v>
      </c>
      <c r="I142" s="46">
        <f t="shared" si="42"/>
        <v>0.60982681401140248</v>
      </c>
      <c r="J142" s="46">
        <f t="shared" si="42"/>
        <v>0.59681913971320455</v>
      </c>
      <c r="K142" s="46">
        <f t="shared" si="42"/>
        <v>0.6093163937004914</v>
      </c>
      <c r="L142" s="46">
        <f t="shared" ref="L142" si="43">IF(L18=0,0,L18/L$17)</f>
        <v>0.61997844153632142</v>
      </c>
      <c r="M142" s="46">
        <f t="shared" ref="M142:V142" si="44">IF(M18=0,0,M18/M$17)</f>
        <v>0.6302940307696322</v>
      </c>
      <c r="N142" s="46">
        <f t="shared" si="44"/>
        <v>0.65417703279296635</v>
      </c>
      <c r="O142" s="46">
        <f t="shared" si="44"/>
        <v>0.67064225149130074</v>
      </c>
      <c r="P142" s="46">
        <f t="shared" si="44"/>
        <v>0.63736879433911153</v>
      </c>
      <c r="Q142" s="46">
        <f t="shared" si="44"/>
        <v>0.62013827666643428</v>
      </c>
      <c r="R142" s="46">
        <f t="shared" si="44"/>
        <v>0.63484053028834486</v>
      </c>
      <c r="S142" s="46">
        <f t="shared" si="44"/>
        <v>0.63242828570189591</v>
      </c>
      <c r="T142" s="46">
        <f t="shared" si="44"/>
        <v>0.63252718028853183</v>
      </c>
      <c r="U142" s="46">
        <f t="shared" si="44"/>
        <v>0.65009589951177726</v>
      </c>
      <c r="V142" s="46">
        <f t="shared" si="44"/>
        <v>0.66480063317818328</v>
      </c>
      <c r="W142" s="46">
        <f t="shared" ref="W142:Y142" si="45">IF(W18=0,0,W18/W$17)</f>
        <v>0.64008768825064832</v>
      </c>
      <c r="X142" s="46">
        <f t="shared" si="45"/>
        <v>0.6347914777256527</v>
      </c>
      <c r="Y142" s="46">
        <f t="shared" si="45"/>
        <v>0.66949150163303361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4.0876362687263636E-3</v>
      </c>
      <c r="C143" s="154">
        <f t="shared" si="46"/>
        <v>3.9374514642135528E-3</v>
      </c>
      <c r="D143" s="154">
        <f t="shared" si="46"/>
        <v>3.8370865475547992E-3</v>
      </c>
      <c r="E143" s="154">
        <f t="shared" si="46"/>
        <v>3.8498133588594683E-3</v>
      </c>
      <c r="F143" s="154">
        <f t="shared" si="46"/>
        <v>3.9834359357965058E-3</v>
      </c>
      <c r="G143" s="154">
        <f t="shared" si="46"/>
        <v>3.907006553236528E-3</v>
      </c>
      <c r="H143" s="154">
        <f t="shared" si="46"/>
        <v>3.8305579140639275E-3</v>
      </c>
      <c r="I143" s="154">
        <f t="shared" si="46"/>
        <v>3.8776915630584848E-3</v>
      </c>
      <c r="J143" s="154">
        <f t="shared" si="46"/>
        <v>3.8926717786005572E-3</v>
      </c>
      <c r="K143" s="154">
        <f t="shared" si="46"/>
        <v>3.8826367367624202E-3</v>
      </c>
      <c r="L143" s="154">
        <f t="shared" ref="L143" si="47">IF(L19=0,0,L19/L$17)</f>
        <v>4.249814289695608E-3</v>
      </c>
      <c r="M143" s="154">
        <f t="shared" ref="M143:V143" si="48">IF(M19=0,0,M19/M$17)</f>
        <v>4.7256096960723269E-3</v>
      </c>
      <c r="N143" s="154">
        <f t="shared" si="48"/>
        <v>4.9665362475398876E-3</v>
      </c>
      <c r="O143" s="154">
        <f t="shared" si="48"/>
        <v>5.4816317683683549E-3</v>
      </c>
      <c r="P143" s="154">
        <f t="shared" si="48"/>
        <v>4.9539055960549395E-3</v>
      </c>
      <c r="Q143" s="154">
        <f t="shared" si="48"/>
        <v>4.5243647511642709E-3</v>
      </c>
      <c r="R143" s="154">
        <f t="shared" si="48"/>
        <v>4.3732685931088108E-3</v>
      </c>
      <c r="S143" s="154">
        <f t="shared" si="48"/>
        <v>4.350617343231623E-3</v>
      </c>
      <c r="T143" s="154">
        <f t="shared" si="48"/>
        <v>4.2735885537257372E-3</v>
      </c>
      <c r="U143" s="154">
        <f t="shared" si="48"/>
        <v>4.0987484467053491E-3</v>
      </c>
      <c r="V143" s="154">
        <f t="shared" si="48"/>
        <v>4.2612547511017371E-3</v>
      </c>
      <c r="W143" s="154">
        <f t="shared" ref="W143:Y143" si="49">IF(W19=0,0,W19/W$17)</f>
        <v>3.896017169438467E-3</v>
      </c>
      <c r="X143" s="154">
        <f t="shared" si="49"/>
        <v>3.7170686463579403E-3</v>
      </c>
      <c r="Y143" s="154">
        <f t="shared" si="49"/>
        <v>3.9740787556423844E-3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0.52671057966895696</v>
      </c>
      <c r="C144" s="156">
        <f t="shared" si="50"/>
        <v>0.53053886858344035</v>
      </c>
      <c r="D144" s="156">
        <f t="shared" si="50"/>
        <v>0.52355082320001156</v>
      </c>
      <c r="E144" s="156">
        <f t="shared" si="50"/>
        <v>0.52892380574504294</v>
      </c>
      <c r="F144" s="156">
        <f t="shared" si="50"/>
        <v>0.52786905598687506</v>
      </c>
      <c r="G144" s="156">
        <f t="shared" si="50"/>
        <v>0.49100222823034162</v>
      </c>
      <c r="H144" s="156">
        <f t="shared" si="50"/>
        <v>0.49136743075031886</v>
      </c>
      <c r="I144" s="156">
        <f t="shared" si="50"/>
        <v>0.50648555384891569</v>
      </c>
      <c r="J144" s="156">
        <f t="shared" si="50"/>
        <v>0.50249948892644414</v>
      </c>
      <c r="K144" s="156">
        <f t="shared" si="50"/>
        <v>0.51795080371637836</v>
      </c>
      <c r="L144" s="156">
        <f t="shared" ref="L144" si="51">IF(L21=0,0,L21/L$17)</f>
        <v>0.51831199949336548</v>
      </c>
      <c r="M144" s="156">
        <f t="shared" ref="M144:V144" si="52">IF(M21=0,0,M21/M$17)</f>
        <v>0.52696328308512497</v>
      </c>
      <c r="N144" s="156">
        <f t="shared" si="52"/>
        <v>0.5495004686014191</v>
      </c>
      <c r="O144" s="156">
        <f t="shared" si="52"/>
        <v>0.56249311978643601</v>
      </c>
      <c r="P144" s="156">
        <f t="shared" si="52"/>
        <v>0.53154104646927469</v>
      </c>
      <c r="Q144" s="156">
        <f t="shared" si="52"/>
        <v>0.51850207979358898</v>
      </c>
      <c r="R144" s="156">
        <f t="shared" si="52"/>
        <v>0.53547751093679108</v>
      </c>
      <c r="S144" s="156">
        <f t="shared" si="52"/>
        <v>0.53352484859857952</v>
      </c>
      <c r="T144" s="156">
        <f t="shared" si="52"/>
        <v>0.53704840326685466</v>
      </c>
      <c r="U144" s="156">
        <f t="shared" si="52"/>
        <v>0.55930104143795412</v>
      </c>
      <c r="V144" s="156">
        <f t="shared" si="52"/>
        <v>0.58114876292755702</v>
      </c>
      <c r="W144" s="156">
        <f t="shared" ref="W144:Y144" si="53">IF(W21=0,0,W21/W$17)</f>
        <v>0.55873262394065459</v>
      </c>
      <c r="X144" s="156">
        <f t="shared" si="53"/>
        <v>0.55586872021308154</v>
      </c>
      <c r="Y144" s="156">
        <f t="shared" si="53"/>
        <v>0.59018354264334794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0.44983921350691147</v>
      </c>
      <c r="C145" s="103">
        <f t="shared" si="54"/>
        <v>0.44799363023732275</v>
      </c>
      <c r="D145" s="103">
        <f t="shared" si="54"/>
        <v>0.4340753686764417</v>
      </c>
      <c r="E145" s="103">
        <f t="shared" si="54"/>
        <v>0.41696209457729266</v>
      </c>
      <c r="F145" s="103">
        <f t="shared" si="54"/>
        <v>0.40473362507184424</v>
      </c>
      <c r="G145" s="103">
        <f t="shared" si="54"/>
        <v>0.38596654192835333</v>
      </c>
      <c r="H145" s="103">
        <f t="shared" si="54"/>
        <v>0.37076140743253655</v>
      </c>
      <c r="I145" s="103">
        <f t="shared" si="54"/>
        <v>0.37445435554363432</v>
      </c>
      <c r="J145" s="103">
        <f t="shared" si="54"/>
        <v>0.36186654841072485</v>
      </c>
      <c r="K145" s="103">
        <f t="shared" si="54"/>
        <v>0.36482906679014276</v>
      </c>
      <c r="L145" s="103">
        <f t="shared" ref="L145" si="55">IF(L22=0,0,L22/L$17)</f>
        <v>0.34718063255089754</v>
      </c>
      <c r="M145" s="103">
        <f t="shared" ref="M145:V145" si="56">IF(M22=0,0,M22/M$17)</f>
        <v>0.34699456389199324</v>
      </c>
      <c r="N145" s="103">
        <f t="shared" si="56"/>
        <v>0.35446923441012479</v>
      </c>
      <c r="O145" s="103">
        <f t="shared" si="56"/>
        <v>0.35425964022673445</v>
      </c>
      <c r="P145" s="103">
        <f t="shared" si="56"/>
        <v>0.3439614167111778</v>
      </c>
      <c r="Q145" s="103">
        <f t="shared" si="56"/>
        <v>0.32216513661365359</v>
      </c>
      <c r="R145" s="103">
        <f t="shared" si="56"/>
        <v>0.32305432892346181</v>
      </c>
      <c r="S145" s="103">
        <f t="shared" si="56"/>
        <v>0.31456534123742064</v>
      </c>
      <c r="T145" s="103">
        <f t="shared" si="56"/>
        <v>0.30905609144578333</v>
      </c>
      <c r="U145" s="103">
        <f t="shared" si="56"/>
        <v>0.31285455626692849</v>
      </c>
      <c r="V145" s="103">
        <f t="shared" si="56"/>
        <v>0.31854122467488249</v>
      </c>
      <c r="W145" s="103">
        <f t="shared" ref="W145:Y145" si="57">IF(W22=0,0,W22/W$17)</f>
        <v>0.30465080665644551</v>
      </c>
      <c r="X145" s="103">
        <f t="shared" si="57"/>
        <v>0.29881494869214564</v>
      </c>
      <c r="Y145" s="103">
        <f t="shared" si="57"/>
        <v>0.31182436498171873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7.6871366162045471E-2</v>
      </c>
      <c r="C146" s="103">
        <f t="shared" si="58"/>
        <v>8.1865149592834058E-2</v>
      </c>
      <c r="D146" s="103">
        <f t="shared" si="58"/>
        <v>8.8834674894615342E-2</v>
      </c>
      <c r="E146" s="103">
        <f t="shared" si="58"/>
        <v>9.9068786098044148E-2</v>
      </c>
      <c r="F146" s="103">
        <f t="shared" si="58"/>
        <v>0.11217761094212578</v>
      </c>
      <c r="G146" s="103">
        <f t="shared" si="58"/>
        <v>9.667812801006212E-2</v>
      </c>
      <c r="H146" s="103">
        <f t="shared" si="58"/>
        <v>0.11253304048771733</v>
      </c>
      <c r="I146" s="103">
        <f t="shared" si="58"/>
        <v>0.12437833531211021</v>
      </c>
      <c r="J146" s="103">
        <f t="shared" si="58"/>
        <v>0.13368052252232479</v>
      </c>
      <c r="K146" s="103">
        <f t="shared" si="58"/>
        <v>0.14690993890937651</v>
      </c>
      <c r="L146" s="103">
        <f t="shared" ref="L146" si="59">IF(L24=0,0,L24/L$17)</f>
        <v>0.16369654969123676</v>
      </c>
      <c r="M146" s="103">
        <f t="shared" ref="M146:V146" si="60">IF(M24=0,0,M24/M$17)</f>
        <v>0.17130337677028068</v>
      </c>
      <c r="N146" s="103">
        <f t="shared" si="60"/>
        <v>0.18831771362955976</v>
      </c>
      <c r="O146" s="103">
        <f t="shared" si="60"/>
        <v>0.19821985695010097</v>
      </c>
      <c r="P146" s="103">
        <f t="shared" si="60"/>
        <v>0.17924648467862547</v>
      </c>
      <c r="Q146" s="103">
        <f t="shared" si="60"/>
        <v>0.18855767998898318</v>
      </c>
      <c r="R146" s="103">
        <f t="shared" si="60"/>
        <v>0.20540771170854488</v>
      </c>
      <c r="S146" s="103">
        <f t="shared" si="60"/>
        <v>0.21248187317149159</v>
      </c>
      <c r="T146" s="103">
        <f t="shared" si="60"/>
        <v>0.2225280331297376</v>
      </c>
      <c r="U146" s="103">
        <f t="shared" si="60"/>
        <v>0.24182728375204945</v>
      </c>
      <c r="V146" s="103">
        <f t="shared" si="60"/>
        <v>0.25840161291479152</v>
      </c>
      <c r="W146" s="103">
        <f t="shared" ref="W146:Y146" si="61">IF(W24=0,0,W24/W$17)</f>
        <v>0.24977756007738655</v>
      </c>
      <c r="X146" s="103">
        <f t="shared" si="61"/>
        <v>0.25239410328496703</v>
      </c>
      <c r="Y146" s="103">
        <f t="shared" si="61"/>
        <v>0.27261884082408716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6.8008875328342785E-4</v>
      </c>
      <c r="D147" s="103">
        <f t="shared" si="62"/>
        <v>6.4077962895441802E-4</v>
      </c>
      <c r="E147" s="103">
        <f t="shared" si="62"/>
        <v>1.2892925069706124E-2</v>
      </c>
      <c r="F147" s="103">
        <f t="shared" si="62"/>
        <v>1.0957819972905023E-2</v>
      </c>
      <c r="G147" s="103">
        <f t="shared" si="62"/>
        <v>8.3575582919261544E-3</v>
      </c>
      <c r="H147" s="103">
        <f t="shared" si="62"/>
        <v>8.0729828300650421E-3</v>
      </c>
      <c r="I147" s="103">
        <f t="shared" si="62"/>
        <v>7.652862993171263E-3</v>
      </c>
      <c r="J147" s="103">
        <f t="shared" si="62"/>
        <v>6.9524179933945314E-3</v>
      </c>
      <c r="K147" s="103">
        <f t="shared" si="62"/>
        <v>6.2117980168590846E-3</v>
      </c>
      <c r="L147" s="103">
        <f t="shared" ref="L147" si="63">IF(L26=0,0,L26/L$17)</f>
        <v>7.4293488778491689E-3</v>
      </c>
      <c r="M147" s="103">
        <f t="shared" ref="M147:V147" si="64">IF(M26=0,0,M26/M$17)</f>
        <v>8.6495655384917509E-3</v>
      </c>
      <c r="N147" s="103">
        <f t="shared" si="64"/>
        <v>6.6968976890816982E-3</v>
      </c>
      <c r="O147" s="103">
        <f t="shared" si="64"/>
        <v>9.9285299644603902E-3</v>
      </c>
      <c r="P147" s="103">
        <f t="shared" si="64"/>
        <v>8.2144101994590449E-3</v>
      </c>
      <c r="Q147" s="103">
        <f t="shared" si="64"/>
        <v>7.5487096931796229E-3</v>
      </c>
      <c r="R147" s="103">
        <f t="shared" si="64"/>
        <v>6.7459115017568612E-3</v>
      </c>
      <c r="S147" s="103">
        <f t="shared" si="64"/>
        <v>6.1532713251884422E-3</v>
      </c>
      <c r="T147" s="103">
        <f t="shared" si="64"/>
        <v>5.0514413650711498E-3</v>
      </c>
      <c r="U147" s="103">
        <f t="shared" si="64"/>
        <v>4.0807810850566244E-3</v>
      </c>
      <c r="V147" s="103">
        <f t="shared" si="64"/>
        <v>3.3487097456644885E-3</v>
      </c>
      <c r="W147" s="103">
        <f t="shared" ref="W147:Y147" si="65">IF(W26=0,0,W26/W$17)</f>
        <v>3.0203310700979212E-3</v>
      </c>
      <c r="X147" s="103">
        <f t="shared" si="65"/>
        <v>2.7862787898771126E-3</v>
      </c>
      <c r="Y147" s="103">
        <f t="shared" si="65"/>
        <v>3.1808239965977485E-3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4.7618630248861631E-7</v>
      </c>
      <c r="M148" s="103">
        <f t="shared" ref="M148:V148" si="68">IF(M27=0,0,M27/M$17)</f>
        <v>5.8989849040632772E-7</v>
      </c>
      <c r="N148" s="103">
        <f t="shared" si="68"/>
        <v>4.0471754333560358E-7</v>
      </c>
      <c r="O148" s="103">
        <f t="shared" si="68"/>
        <v>6.7400173527135449E-5</v>
      </c>
      <c r="P148" s="103">
        <f t="shared" si="68"/>
        <v>1.0088547133668052E-4</v>
      </c>
      <c r="Q148" s="103">
        <f t="shared" si="68"/>
        <v>2.0791510642131602E-4</v>
      </c>
      <c r="R148" s="103">
        <f t="shared" si="68"/>
        <v>2.2876912963262154E-4</v>
      </c>
      <c r="S148" s="103">
        <f t="shared" si="68"/>
        <v>2.4114449245706378E-4</v>
      </c>
      <c r="T148" s="103">
        <f t="shared" si="68"/>
        <v>2.4863124987809074E-4</v>
      </c>
      <c r="U148" s="103">
        <f t="shared" si="68"/>
        <v>2.5247030955265535E-4</v>
      </c>
      <c r="V148" s="103">
        <f t="shared" si="68"/>
        <v>2.5883287759579759E-4</v>
      </c>
      <c r="W148" s="103">
        <f t="shared" ref="W148:Y148" si="69">IF(W27=0,0,W27/W$17)</f>
        <v>2.3769244513821705E-4</v>
      </c>
      <c r="X148" s="103">
        <f t="shared" si="69"/>
        <v>2.3278085334974609E-4</v>
      </c>
      <c r="Y148" s="103">
        <f t="shared" si="69"/>
        <v>2.4021445425092012E-4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8.8621094930405242E-7</v>
      </c>
      <c r="O149" s="103">
        <f t="shared" si="72"/>
        <v>9.4752090405311251E-7</v>
      </c>
      <c r="P149" s="103">
        <f t="shared" si="72"/>
        <v>2.1717084164665359E-6</v>
      </c>
      <c r="Q149" s="103">
        <f t="shared" si="72"/>
        <v>5.0300242661701112E-6</v>
      </c>
      <c r="R149" s="103">
        <f t="shared" si="72"/>
        <v>1.8235316830467976E-5</v>
      </c>
      <c r="S149" s="103">
        <f t="shared" si="72"/>
        <v>3.3562133572746629E-5</v>
      </c>
      <c r="T149" s="103">
        <f t="shared" si="72"/>
        <v>7.692614149215812E-5</v>
      </c>
      <c r="U149" s="103">
        <f t="shared" si="72"/>
        <v>1.251866739285778E-4</v>
      </c>
      <c r="V149" s="103">
        <f t="shared" si="72"/>
        <v>2.9892015014199074E-4</v>
      </c>
      <c r="W149" s="103">
        <f t="shared" ref="W149:Y149" si="73">IF(W29=0,0,W29/W$17)</f>
        <v>5.5985462924672399E-4</v>
      </c>
      <c r="X149" s="103">
        <f t="shared" si="73"/>
        <v>9.0195083920726856E-4</v>
      </c>
      <c r="Y149" s="103">
        <f t="shared" si="73"/>
        <v>1.2191888511531874E-3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4.9921870795987918E-6</v>
      </c>
      <c r="M150" s="103">
        <f t="shared" ref="M150:V150" si="76">IF(M32=0,0,M32/M$17)</f>
        <v>1.5186985868855507E-5</v>
      </c>
      <c r="N150" s="103">
        <f t="shared" si="76"/>
        <v>1.5331944160264131E-5</v>
      </c>
      <c r="O150" s="103">
        <f t="shared" si="76"/>
        <v>1.6744950709034305E-5</v>
      </c>
      <c r="P150" s="103">
        <f t="shared" si="76"/>
        <v>1.5677700259228464E-5</v>
      </c>
      <c r="Q150" s="103">
        <f t="shared" si="76"/>
        <v>1.7608367085049594E-5</v>
      </c>
      <c r="R150" s="103">
        <f t="shared" si="76"/>
        <v>2.2554356564382239E-5</v>
      </c>
      <c r="S150" s="103">
        <f t="shared" si="76"/>
        <v>4.965623844891449E-5</v>
      </c>
      <c r="T150" s="103">
        <f t="shared" si="76"/>
        <v>8.7279934892367625E-5</v>
      </c>
      <c r="U150" s="103">
        <f t="shared" si="76"/>
        <v>1.6076335043829347E-4</v>
      </c>
      <c r="V150" s="103">
        <f t="shared" si="76"/>
        <v>2.9946256448079047E-4</v>
      </c>
      <c r="W150" s="103">
        <f t="shared" ref="W150:Y150" si="77">IF(W32=0,0,W32/W$17)</f>
        <v>4.8637906233965129E-4</v>
      </c>
      <c r="X150" s="103">
        <f t="shared" si="77"/>
        <v>7.3865775353466943E-4</v>
      </c>
      <c r="Y150" s="103">
        <f t="shared" si="77"/>
        <v>1.100109535540156E-3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0.13253065380204443</v>
      </c>
      <c r="C151" s="156">
        <f t="shared" si="78"/>
        <v>0.12592230743364474</v>
      </c>
      <c r="D151" s="156">
        <f t="shared" si="78"/>
        <v>0.12197121811175747</v>
      </c>
      <c r="E151" s="156">
        <f t="shared" si="78"/>
        <v>0.11677339922380614</v>
      </c>
      <c r="F151" s="156">
        <f t="shared" si="78"/>
        <v>0.10733541485153493</v>
      </c>
      <c r="G151" s="156">
        <f t="shared" si="78"/>
        <v>0.10180756729539613</v>
      </c>
      <c r="H151" s="156">
        <f t="shared" si="78"/>
        <v>0.10280642707726967</v>
      </c>
      <c r="I151" s="156">
        <f t="shared" si="78"/>
        <v>9.9463568599428356E-2</v>
      </c>
      <c r="J151" s="156">
        <f t="shared" si="78"/>
        <v>9.0426979008159825E-2</v>
      </c>
      <c r="K151" s="156">
        <f t="shared" si="78"/>
        <v>8.7482953247350642E-2</v>
      </c>
      <c r="L151" s="156">
        <f t="shared" ref="L151" si="79">IF(L33=0,0,L33/L$17)</f>
        <v>9.7416627753260307E-2</v>
      </c>
      <c r="M151" s="156">
        <f t="shared" ref="M151:V151" si="80">IF(M33=0,0,M33/M$17)</f>
        <v>9.8605137988434927E-2</v>
      </c>
      <c r="N151" s="156">
        <f t="shared" si="80"/>
        <v>9.9710027944007407E-2</v>
      </c>
      <c r="O151" s="156">
        <f t="shared" si="80"/>
        <v>0.10266749993649633</v>
      </c>
      <c r="P151" s="156">
        <f t="shared" si="80"/>
        <v>0.10087384227378178</v>
      </c>
      <c r="Q151" s="156">
        <f t="shared" si="80"/>
        <v>9.7111832121680966E-2</v>
      </c>
      <c r="R151" s="156">
        <f t="shared" si="80"/>
        <v>9.4989750758445082E-2</v>
      </c>
      <c r="S151" s="156">
        <f t="shared" si="80"/>
        <v>9.4552819760084811E-2</v>
      </c>
      <c r="T151" s="156">
        <f t="shared" si="80"/>
        <v>9.1205188467951434E-2</v>
      </c>
      <c r="U151" s="156">
        <f t="shared" si="80"/>
        <v>8.6696109627117907E-2</v>
      </c>
      <c r="V151" s="156">
        <f t="shared" si="80"/>
        <v>7.9390615499524558E-2</v>
      </c>
      <c r="W151" s="156">
        <f t="shared" ref="W151:Y151" si="81">IF(W33=0,0,W33/W$17)</f>
        <v>7.7459047140555265E-2</v>
      </c>
      <c r="X151" s="156">
        <f t="shared" si="81"/>
        <v>7.5205688866213191E-2</v>
      </c>
      <c r="Y151" s="156">
        <f t="shared" si="81"/>
        <v>7.5333880234043235E-2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2.3855673290250038E-3</v>
      </c>
      <c r="C152" s="103">
        <f t="shared" si="82"/>
        <v>2.0722560863099125E-3</v>
      </c>
      <c r="D152" s="103">
        <f t="shared" si="82"/>
        <v>1.7584874879099334E-3</v>
      </c>
      <c r="E152" s="103">
        <f t="shared" si="82"/>
        <v>1.499595093388797E-3</v>
      </c>
      <c r="F152" s="103">
        <f t="shared" si="82"/>
        <v>1.2564658378674963E-3</v>
      </c>
      <c r="G152" s="103">
        <f t="shared" si="82"/>
        <v>1.0018234291224138E-3</v>
      </c>
      <c r="H152" s="103">
        <f t="shared" si="82"/>
        <v>7.9931044164761368E-4</v>
      </c>
      <c r="I152" s="103">
        <f t="shared" si="82"/>
        <v>6.6875754842820549E-4</v>
      </c>
      <c r="J152" s="103">
        <f t="shared" si="82"/>
        <v>5.4642598271566938E-4</v>
      </c>
      <c r="K152" s="103">
        <f t="shared" si="82"/>
        <v>4.4527026949575004E-4</v>
      </c>
      <c r="L152" s="103">
        <f t="shared" ref="L152" si="83">IF(L34=0,0,L34/L$17)</f>
        <v>3.9585843785286395E-4</v>
      </c>
      <c r="M152" s="103">
        <f t="shared" ref="M152:V152" si="84">IF(M34=0,0,M34/M$17)</f>
        <v>3.3215101327074094E-4</v>
      </c>
      <c r="N152" s="103">
        <f t="shared" si="84"/>
        <v>2.8465827321717683E-4</v>
      </c>
      <c r="O152" s="103">
        <f t="shared" si="84"/>
        <v>3.0692438382245497E-4</v>
      </c>
      <c r="P152" s="103">
        <f t="shared" si="84"/>
        <v>2.370612159754232E-4</v>
      </c>
      <c r="Q152" s="103">
        <f t="shared" si="84"/>
        <v>1.6616405408602627E-4</v>
      </c>
      <c r="R152" s="103">
        <f t="shared" si="84"/>
        <v>1.0682072713710115E-4</v>
      </c>
      <c r="S152" s="103">
        <f t="shared" si="84"/>
        <v>8.6715386072108933E-5</v>
      </c>
      <c r="T152" s="103">
        <f t="shared" si="84"/>
        <v>7.8247045476751161E-5</v>
      </c>
      <c r="U152" s="103">
        <f t="shared" si="84"/>
        <v>7.0696525104260518E-5</v>
      </c>
      <c r="V152" s="103">
        <f t="shared" si="84"/>
        <v>7.8660892246171501E-5</v>
      </c>
      <c r="W152" s="103">
        <f t="shared" ref="W152:Y152" si="85">IF(W34=0,0,W34/W$17)</f>
        <v>6.8426728234225891E-5</v>
      </c>
      <c r="X152" s="103">
        <f t="shared" si="85"/>
        <v>4.5039381310312149E-5</v>
      </c>
      <c r="Y152" s="103">
        <f t="shared" si="85"/>
        <v>3.4408172197704771E-5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0.1283209267408226</v>
      </c>
      <c r="C153" s="103">
        <f t="shared" si="86"/>
        <v>0.12209332819196007</v>
      </c>
      <c r="D153" s="103">
        <f t="shared" si="86"/>
        <v>0.11854497901243054</v>
      </c>
      <c r="E153" s="103">
        <f t="shared" si="86"/>
        <v>0.11365063485254069</v>
      </c>
      <c r="F153" s="103">
        <f t="shared" si="86"/>
        <v>0.10456328748892177</v>
      </c>
      <c r="G153" s="103">
        <f t="shared" si="86"/>
        <v>9.9618224334063823E-2</v>
      </c>
      <c r="H153" s="103">
        <f t="shared" si="86"/>
        <v>0.10094137407138458</v>
      </c>
      <c r="I153" s="103">
        <f t="shared" si="86"/>
        <v>9.7977674991186578E-2</v>
      </c>
      <c r="J153" s="103">
        <f t="shared" si="86"/>
        <v>8.9267389869851957E-2</v>
      </c>
      <c r="K153" s="103">
        <f t="shared" si="86"/>
        <v>8.6511919294561285E-2</v>
      </c>
      <c r="L153" s="103">
        <f t="shared" ref="L153" si="87">IF(L36=0,0,L36/L$17)</f>
        <v>9.6614205179613166E-2</v>
      </c>
      <c r="M153" s="103">
        <f t="shared" ref="M153:V153" si="88">IF(M36=0,0,M36/M$17)</f>
        <v>9.7896091233903554E-2</v>
      </c>
      <c r="N153" s="103">
        <f t="shared" si="88"/>
        <v>9.9000078404710534E-2</v>
      </c>
      <c r="O153" s="103">
        <f t="shared" si="88"/>
        <v>0.10202209694165583</v>
      </c>
      <c r="P153" s="103">
        <f t="shared" si="88"/>
        <v>0.10030578225405026</v>
      </c>
      <c r="Q153" s="103">
        <f t="shared" si="88"/>
        <v>9.6084394661232767E-2</v>
      </c>
      <c r="R153" s="103">
        <f t="shared" si="88"/>
        <v>9.3112772761617474E-2</v>
      </c>
      <c r="S153" s="103">
        <f t="shared" si="88"/>
        <v>9.2671514606801522E-2</v>
      </c>
      <c r="T153" s="103">
        <f t="shared" si="88"/>
        <v>8.9282467154183337E-2</v>
      </c>
      <c r="U153" s="103">
        <f t="shared" si="88"/>
        <v>8.4992329377142073E-2</v>
      </c>
      <c r="V153" s="103">
        <f t="shared" si="88"/>
        <v>7.7670454753811027E-2</v>
      </c>
      <c r="W153" s="103">
        <f t="shared" ref="W153:Y153" si="89">IF(W36=0,0,W36/W$17)</f>
        <v>7.5941091382036238E-2</v>
      </c>
      <c r="X153" s="103">
        <f t="shared" si="89"/>
        <v>7.3676894203582394E-2</v>
      </c>
      <c r="Y153" s="103">
        <f t="shared" si="89"/>
        <v>7.3212951786061228E-2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2.8167470141564183E-6</v>
      </c>
      <c r="Q154" s="103">
        <f t="shared" si="92"/>
        <v>2.6147006741825541E-6</v>
      </c>
      <c r="R154" s="103">
        <f t="shared" si="92"/>
        <v>5.1401006627001144E-6</v>
      </c>
      <c r="S154" s="103">
        <f t="shared" si="92"/>
        <v>4.9374981672713635E-6</v>
      </c>
      <c r="T154" s="103">
        <f t="shared" si="92"/>
        <v>4.524037042599871E-6</v>
      </c>
      <c r="U154" s="103">
        <f t="shared" si="92"/>
        <v>4.1316405347701717E-6</v>
      </c>
      <c r="V154" s="103">
        <f t="shared" si="92"/>
        <v>4.532784765296302E-6</v>
      </c>
      <c r="W154" s="103">
        <f t="shared" ref="W154:Y154" si="93">IF(W38=0,0,W38/W$17)</f>
        <v>4.0280396000890527E-6</v>
      </c>
      <c r="X154" s="103">
        <f t="shared" si="93"/>
        <v>3.8126539890535899E-6</v>
      </c>
      <c r="Y154" s="103">
        <f t="shared" si="93"/>
        <v>4.0548176685993392E-6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5.7741092444898794E-4</v>
      </c>
      <c r="C155" s="103">
        <f t="shared" si="94"/>
        <v>6.0358599412431457E-4</v>
      </c>
      <c r="D155" s="103">
        <f t="shared" si="94"/>
        <v>5.8585350030665321E-4</v>
      </c>
      <c r="E155" s="103">
        <f t="shared" si="94"/>
        <v>5.851715836065845E-4</v>
      </c>
      <c r="F155" s="103">
        <f t="shared" si="94"/>
        <v>5.4589465516974669E-4</v>
      </c>
      <c r="G155" s="103">
        <f t="shared" si="94"/>
        <v>6.861848468665419E-4</v>
      </c>
      <c r="H155" s="103">
        <f t="shared" si="94"/>
        <v>6.7161165083317079E-4</v>
      </c>
      <c r="I155" s="103">
        <f t="shared" si="94"/>
        <v>4.9611624181309895E-4</v>
      </c>
      <c r="J155" s="103">
        <f t="shared" si="94"/>
        <v>3.6052172584943707E-4</v>
      </c>
      <c r="K155" s="103">
        <f t="shared" si="94"/>
        <v>3.2261950392747967E-4</v>
      </c>
      <c r="L155" s="103">
        <f t="shared" ref="L155" si="95">IF(L39=0,0,L39/L$17)</f>
        <v>2.3479110311011084E-4</v>
      </c>
      <c r="M155" s="103">
        <f t="shared" ref="M155:V155" si="96">IF(M39=0,0,M39/M$17)</f>
        <v>2.3576433449786215E-4</v>
      </c>
      <c r="N155" s="103">
        <f t="shared" si="96"/>
        <v>3.1706381820576949E-4</v>
      </c>
      <c r="O155" s="103">
        <f t="shared" si="96"/>
        <v>2.5002105046957753E-4</v>
      </c>
      <c r="P155" s="103">
        <f t="shared" si="96"/>
        <v>2.6996889417741634E-4</v>
      </c>
      <c r="Q155" s="103">
        <f t="shared" si="96"/>
        <v>7.5277373817235851E-4</v>
      </c>
      <c r="R155" s="103">
        <f t="shared" si="96"/>
        <v>1.6543876582177462E-3</v>
      </c>
      <c r="S155" s="103">
        <f t="shared" si="96"/>
        <v>1.6880006530966543E-3</v>
      </c>
      <c r="T155" s="103">
        <f t="shared" si="96"/>
        <v>1.7417353217393471E-3</v>
      </c>
      <c r="U155" s="103">
        <f t="shared" si="96"/>
        <v>1.5364440304831682E-3</v>
      </c>
      <c r="V155" s="103">
        <f t="shared" si="96"/>
        <v>1.4723636258312462E-3</v>
      </c>
      <c r="W155" s="103">
        <f t="shared" ref="W155:Y155" si="97">IF(W39=0,0,W39/W$17)</f>
        <v>1.176748289249739E-3</v>
      </c>
      <c r="X155" s="103">
        <f t="shared" si="97"/>
        <v>1.1394790655879442E-3</v>
      </c>
      <c r="Y155" s="103">
        <f t="shared" si="97"/>
        <v>1.5844211077646613E-3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1.2467488077478577E-3</v>
      </c>
      <c r="C156" s="103">
        <f t="shared" si="98"/>
        <v>1.1531371612504358E-3</v>
      </c>
      <c r="D156" s="103">
        <f t="shared" si="98"/>
        <v>1.0818981111103401E-3</v>
      </c>
      <c r="E156" s="103">
        <f t="shared" si="98"/>
        <v>1.0379976942700524E-3</v>
      </c>
      <c r="F156" s="103">
        <f t="shared" si="98"/>
        <v>9.6976686957591968E-4</v>
      </c>
      <c r="G156" s="103">
        <f t="shared" si="98"/>
        <v>5.013346853433413E-4</v>
      </c>
      <c r="H156" s="103">
        <f t="shared" si="98"/>
        <v>3.9413091340430355E-4</v>
      </c>
      <c r="I156" s="103">
        <f t="shared" si="98"/>
        <v>3.2101981800047879E-4</v>
      </c>
      <c r="J156" s="103">
        <f t="shared" si="98"/>
        <v>2.5264142974275848E-4</v>
      </c>
      <c r="K156" s="103">
        <f t="shared" si="98"/>
        <v>2.031441793661324E-4</v>
      </c>
      <c r="L156" s="103">
        <f t="shared" ref="L156" si="99">IF(L41=0,0,L41/L$17)</f>
        <v>1.7177303268415677E-4</v>
      </c>
      <c r="M156" s="103">
        <f t="shared" ref="M156:V156" si="100">IF(M41=0,0,M41/M$17)</f>
        <v>1.4113140676278723E-4</v>
      </c>
      <c r="N156" s="103">
        <f t="shared" si="100"/>
        <v>1.0822744787394082E-4</v>
      </c>
      <c r="O156" s="103">
        <f t="shared" si="100"/>
        <v>8.8457560548480243E-5</v>
      </c>
      <c r="P156" s="103">
        <f t="shared" si="100"/>
        <v>5.8213162564538978E-5</v>
      </c>
      <c r="Q156" s="103">
        <f t="shared" si="100"/>
        <v>1.0588496751563169E-4</v>
      </c>
      <c r="R156" s="103">
        <f t="shared" si="100"/>
        <v>1.1062951081005836E-4</v>
      </c>
      <c r="S156" s="103">
        <f t="shared" si="100"/>
        <v>1.0165161594725402E-4</v>
      </c>
      <c r="T156" s="103">
        <f t="shared" si="100"/>
        <v>9.8214909509402191E-5</v>
      </c>
      <c r="U156" s="103">
        <f t="shared" si="100"/>
        <v>9.2508053853629892E-5</v>
      </c>
      <c r="V156" s="103">
        <f t="shared" si="100"/>
        <v>1.6460344287080736E-4</v>
      </c>
      <c r="W156" s="103">
        <f t="shared" ref="W156:Y156" si="101">IF(W41=0,0,W41/W$17)</f>
        <v>2.687527014349722E-4</v>
      </c>
      <c r="X156" s="103">
        <f t="shared" si="101"/>
        <v>3.4046356174346836E-4</v>
      </c>
      <c r="Y156" s="103">
        <f t="shared" si="101"/>
        <v>4.9804435035104917E-4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0.33667113026027229</v>
      </c>
      <c r="C157" s="46">
        <f t="shared" si="102"/>
        <v>0.33960137251870132</v>
      </c>
      <c r="D157" s="46">
        <f t="shared" si="102"/>
        <v>0.35064087214067619</v>
      </c>
      <c r="E157" s="46">
        <f t="shared" si="102"/>
        <v>0.35045298167229155</v>
      </c>
      <c r="F157" s="46">
        <f t="shared" si="102"/>
        <v>0.36081209322579361</v>
      </c>
      <c r="G157" s="46">
        <f t="shared" si="102"/>
        <v>0.40328319792102568</v>
      </c>
      <c r="H157" s="46">
        <f t="shared" si="102"/>
        <v>0.40199558425834742</v>
      </c>
      <c r="I157" s="46">
        <f t="shared" si="102"/>
        <v>0.39017318598859757</v>
      </c>
      <c r="J157" s="46">
        <f t="shared" si="102"/>
        <v>0.40318086028679545</v>
      </c>
      <c r="K157" s="46">
        <f t="shared" si="102"/>
        <v>0.3906836062995086</v>
      </c>
      <c r="L157" s="46">
        <f t="shared" ref="L157" si="103">IF(L42=0,0,L42/L$17)</f>
        <v>0.38002155846367863</v>
      </c>
      <c r="M157" s="46">
        <f t="shared" ref="M157:V157" si="104">IF(M42=0,0,M42/M$17)</f>
        <v>0.36970596923036775</v>
      </c>
      <c r="N157" s="46">
        <f t="shared" si="104"/>
        <v>0.34582296720703359</v>
      </c>
      <c r="O157" s="46">
        <f t="shared" si="104"/>
        <v>0.32935774850869926</v>
      </c>
      <c r="P157" s="46">
        <f t="shared" si="104"/>
        <v>0.36263120566088852</v>
      </c>
      <c r="Q157" s="46">
        <f t="shared" si="104"/>
        <v>0.37986172333356572</v>
      </c>
      <c r="R157" s="46">
        <f t="shared" si="104"/>
        <v>0.36515946971165508</v>
      </c>
      <c r="S157" s="46">
        <f t="shared" si="104"/>
        <v>0.36757171429810398</v>
      </c>
      <c r="T157" s="46">
        <f t="shared" si="104"/>
        <v>0.36747281971146811</v>
      </c>
      <c r="U157" s="46">
        <f t="shared" si="104"/>
        <v>0.34990410048822268</v>
      </c>
      <c r="V157" s="46">
        <f t="shared" si="104"/>
        <v>0.33519936682181672</v>
      </c>
      <c r="W157" s="46">
        <f t="shared" ref="W157:Y157" si="105">IF(W42=0,0,W42/W$17)</f>
        <v>0.35991231174935173</v>
      </c>
      <c r="X157" s="46">
        <f t="shared" si="105"/>
        <v>0.36520852227434725</v>
      </c>
      <c r="Y157" s="46">
        <f t="shared" si="105"/>
        <v>0.33050849836696633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0.11765426532151257</v>
      </c>
      <c r="C158" s="154">
        <f t="shared" si="106"/>
        <v>0.11555149217438158</v>
      </c>
      <c r="D158" s="154">
        <f t="shared" si="106"/>
        <v>0.11772006598692904</v>
      </c>
      <c r="E158" s="154">
        <f t="shared" si="106"/>
        <v>0.11721554737348774</v>
      </c>
      <c r="F158" s="154">
        <f t="shared" si="106"/>
        <v>0.11335498378583689</v>
      </c>
      <c r="G158" s="154">
        <f t="shared" si="106"/>
        <v>0.11219698520128928</v>
      </c>
      <c r="H158" s="154">
        <f t="shared" si="106"/>
        <v>0.10403449073352879</v>
      </c>
      <c r="I158" s="154">
        <f t="shared" si="106"/>
        <v>0.10352041296641233</v>
      </c>
      <c r="J158" s="154">
        <f t="shared" si="106"/>
        <v>0.11168985398159688</v>
      </c>
      <c r="K158" s="154">
        <f t="shared" si="106"/>
        <v>0.12754391348076533</v>
      </c>
      <c r="L158" s="154">
        <f t="shared" ref="L158" si="107">IF(L43=0,0,L43/L$17)</f>
        <v>0.11975372669367024</v>
      </c>
      <c r="M158" s="154">
        <f t="shared" ref="M158:V158" si="108">IF(M43=0,0,M43/M$17)</f>
        <v>0.12997555380690021</v>
      </c>
      <c r="N158" s="154">
        <f t="shared" si="108"/>
        <v>0.13567429716486243</v>
      </c>
      <c r="O158" s="154">
        <f t="shared" si="108"/>
        <v>0.1437038195841302</v>
      </c>
      <c r="P158" s="154">
        <f t="shared" si="108"/>
        <v>0.14110103794241857</v>
      </c>
      <c r="Q158" s="154">
        <f t="shared" si="108"/>
        <v>0.13849829840666744</v>
      </c>
      <c r="R158" s="154">
        <f t="shared" si="108"/>
        <v>0.13888290527786554</v>
      </c>
      <c r="S158" s="154">
        <f t="shared" si="108"/>
        <v>0.14019752223634624</v>
      </c>
      <c r="T158" s="154">
        <f t="shared" si="108"/>
        <v>0.13994682682053625</v>
      </c>
      <c r="U158" s="154">
        <f t="shared" si="108"/>
        <v>0.13846603477681521</v>
      </c>
      <c r="V158" s="154">
        <f t="shared" si="108"/>
        <v>0.15552633702249624</v>
      </c>
      <c r="W158" s="154">
        <f t="shared" ref="W158:Y158" si="109">IF(W43=0,0,W43/W$17)</f>
        <v>0.15180093917137502</v>
      </c>
      <c r="X158" s="154">
        <f t="shared" si="109"/>
        <v>0.1484243471722754</v>
      </c>
      <c r="Y158" s="154">
        <f t="shared" si="109"/>
        <v>0.15507063907953522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3.2717571294600976E-2</v>
      </c>
      <c r="C159" s="103">
        <f t="shared" si="110"/>
        <v>2.8428471204647403E-2</v>
      </c>
      <c r="D159" s="103">
        <f t="shared" si="110"/>
        <v>2.3801326866465709E-2</v>
      </c>
      <c r="E159" s="103">
        <f t="shared" si="110"/>
        <v>2.0326257838637802E-2</v>
      </c>
      <c r="F159" s="103">
        <f t="shared" si="110"/>
        <v>1.7397347960614453E-2</v>
      </c>
      <c r="G159" s="103">
        <f t="shared" si="110"/>
        <v>1.4399515140270151E-2</v>
      </c>
      <c r="H159" s="103">
        <f t="shared" si="110"/>
        <v>1.2068000182917482E-2</v>
      </c>
      <c r="I159" s="103">
        <f t="shared" si="110"/>
        <v>1.0474734234182359E-2</v>
      </c>
      <c r="J159" s="103">
        <f t="shared" si="110"/>
        <v>8.2754074461011407E-3</v>
      </c>
      <c r="K159" s="103">
        <f t="shared" si="110"/>
        <v>7.4516647629932018E-3</v>
      </c>
      <c r="L159" s="103">
        <f t="shared" ref="L159" si="111">IF(L44=0,0,L44/L$17)</f>
        <v>7.3562910003882502E-3</v>
      </c>
      <c r="M159" s="103">
        <f t="shared" ref="M159:V159" si="112">IF(M44=0,0,M44/M$17)</f>
        <v>7.009522942714487E-3</v>
      </c>
      <c r="N159" s="103">
        <f t="shared" si="112"/>
        <v>6.8586079576552269E-3</v>
      </c>
      <c r="O159" s="103">
        <f t="shared" si="112"/>
        <v>6.5880652210013125E-3</v>
      </c>
      <c r="P159" s="103">
        <f t="shared" si="112"/>
        <v>5.2130084792337064E-3</v>
      </c>
      <c r="Q159" s="103">
        <f t="shared" si="112"/>
        <v>4.2258206380839849E-3</v>
      </c>
      <c r="R159" s="103">
        <f t="shared" si="112"/>
        <v>3.8677492053957761E-3</v>
      </c>
      <c r="S159" s="103">
        <f t="shared" si="112"/>
        <v>3.5558634093001097E-3</v>
      </c>
      <c r="T159" s="103">
        <f t="shared" si="112"/>
        <v>3.3125633532335341E-3</v>
      </c>
      <c r="U159" s="103">
        <f t="shared" si="112"/>
        <v>3.1314290829645404E-3</v>
      </c>
      <c r="V159" s="103">
        <f t="shared" si="112"/>
        <v>3.377179255796199E-3</v>
      </c>
      <c r="W159" s="103">
        <f t="shared" ref="W159:Y159" si="113">IF(W44=0,0,W44/W$17)</f>
        <v>2.9537059767798658E-3</v>
      </c>
      <c r="X159" s="103">
        <f t="shared" si="113"/>
        <v>2.6727376979788892E-3</v>
      </c>
      <c r="Y159" s="103">
        <f t="shared" si="113"/>
        <v>2.995685059627618E-3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8.4934058965741563E-2</v>
      </c>
      <c r="C160" s="103">
        <f t="shared" si="114"/>
        <v>8.7060105236011473E-2</v>
      </c>
      <c r="D160" s="103">
        <f t="shared" si="114"/>
        <v>9.3862746219325513E-2</v>
      </c>
      <c r="E160" s="103">
        <f t="shared" si="114"/>
        <v>9.6836316194314265E-2</v>
      </c>
      <c r="F160" s="103">
        <f t="shared" si="114"/>
        <v>9.5908138922244326E-2</v>
      </c>
      <c r="G160" s="103">
        <f t="shared" si="114"/>
        <v>9.7753317707876292E-2</v>
      </c>
      <c r="H160" s="103">
        <f t="shared" si="114"/>
        <v>9.1926184353703311E-2</v>
      </c>
      <c r="I160" s="103">
        <f t="shared" si="114"/>
        <v>9.3007705563125917E-2</v>
      </c>
      <c r="J160" s="103">
        <f t="shared" si="114"/>
        <v>0.10337917297225738</v>
      </c>
      <c r="K160" s="103">
        <f t="shared" si="114"/>
        <v>0.12005901826161898</v>
      </c>
      <c r="L160" s="103">
        <f t="shared" ref="L160" si="115">IF(L46=0,0,L46/L$17)</f>
        <v>0.11236355560598542</v>
      </c>
      <c r="M160" s="103">
        <f t="shared" ref="M160:V160" si="116">IF(M46=0,0,M46/M$17)</f>
        <v>0.12293272183718203</v>
      </c>
      <c r="N160" s="103">
        <f t="shared" si="116"/>
        <v>0.1287839000982019</v>
      </c>
      <c r="O160" s="103">
        <f t="shared" si="116"/>
        <v>0.13706837103852346</v>
      </c>
      <c r="P160" s="103">
        <f t="shared" si="116"/>
        <v>0.13584455916205512</v>
      </c>
      <c r="Q160" s="103">
        <f t="shared" si="116"/>
        <v>0.13415616665263674</v>
      </c>
      <c r="R160" s="103">
        <f t="shared" si="116"/>
        <v>0.1348965419478716</v>
      </c>
      <c r="S160" s="103">
        <f t="shared" si="116"/>
        <v>0.13651296612899039</v>
      </c>
      <c r="T160" s="103">
        <f t="shared" si="116"/>
        <v>0.13649123739210856</v>
      </c>
      <c r="U160" s="103">
        <f t="shared" si="116"/>
        <v>0.13519447337454435</v>
      </c>
      <c r="V160" s="103">
        <f t="shared" si="116"/>
        <v>0.15198009768306073</v>
      </c>
      <c r="W160" s="103">
        <f t="shared" ref="W160:Y160" si="117">IF(W46=0,0,W46/W$17)</f>
        <v>0.14867484597848077</v>
      </c>
      <c r="X160" s="103">
        <f t="shared" si="117"/>
        <v>0.14554532801706896</v>
      </c>
      <c r="Y160" s="103">
        <f t="shared" si="117"/>
        <v>0.15170863188705672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6.0538829770402761E-5</v>
      </c>
      <c r="D161" s="103">
        <f t="shared" si="118"/>
        <v>5.3764692402779015E-5</v>
      </c>
      <c r="E161" s="103">
        <f t="shared" si="118"/>
        <v>5.0844647371486858E-5</v>
      </c>
      <c r="F161" s="103">
        <f t="shared" si="118"/>
        <v>4.746816879663942E-5</v>
      </c>
      <c r="G161" s="103">
        <f t="shared" si="118"/>
        <v>4.2551080373914521E-5</v>
      </c>
      <c r="H161" s="103">
        <f t="shared" si="118"/>
        <v>3.8812037933474409E-5</v>
      </c>
      <c r="I161" s="103">
        <f t="shared" si="118"/>
        <v>3.6508511611112216E-5</v>
      </c>
      <c r="J161" s="103">
        <f t="shared" si="118"/>
        <v>3.4082834859071269E-5</v>
      </c>
      <c r="K161" s="103">
        <f t="shared" si="118"/>
        <v>3.2033866334052941E-5</v>
      </c>
      <c r="L161" s="103">
        <f t="shared" ref="L161" si="119">IF(L48=0,0,L48/L$17)</f>
        <v>3.2824553541158077E-5</v>
      </c>
      <c r="M161" s="103">
        <f t="shared" ref="M161:V161" si="120">IF(M48=0,0,M48/M$17)</f>
        <v>3.2169283102153438E-5</v>
      </c>
      <c r="N161" s="103">
        <f t="shared" si="120"/>
        <v>3.0279421839260513E-5</v>
      </c>
      <c r="O161" s="103">
        <f t="shared" si="120"/>
        <v>2.8667676330678259E-5</v>
      </c>
      <c r="P161" s="103">
        <f t="shared" si="120"/>
        <v>2.2046488248836108E-5</v>
      </c>
      <c r="Q161" s="103">
        <f t="shared" si="120"/>
        <v>1.8023398613570889E-5</v>
      </c>
      <c r="R161" s="103">
        <f t="shared" si="120"/>
        <v>1.4703137399419651E-5</v>
      </c>
      <c r="S161" s="103">
        <f t="shared" si="120"/>
        <v>1.116272337232141E-5</v>
      </c>
      <c r="T161" s="103">
        <f t="shared" si="120"/>
        <v>8.5088065342193959E-6</v>
      </c>
      <c r="U161" s="103">
        <f t="shared" si="120"/>
        <v>6.0101212808587156E-6</v>
      </c>
      <c r="V161" s="103">
        <f t="shared" si="120"/>
        <v>5.5743055655671384E-6</v>
      </c>
      <c r="W161" s="103">
        <f t="shared" ref="W161:Y161" si="121">IF(W48=0,0,W48/W$17)</f>
        <v>3.9263803553893736E-6</v>
      </c>
      <c r="X161" s="103">
        <f t="shared" si="121"/>
        <v>1.2862890170765613E-5</v>
      </c>
      <c r="Y161" s="103">
        <f t="shared" si="121"/>
        <v>4.0459485010348879E-5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2.6350611700405982E-6</v>
      </c>
      <c r="C162" s="103">
        <f t="shared" si="122"/>
        <v>2.3769039523032209E-6</v>
      </c>
      <c r="D162" s="103">
        <f t="shared" si="122"/>
        <v>2.2282087350408415E-6</v>
      </c>
      <c r="E162" s="103">
        <f t="shared" si="122"/>
        <v>2.1286931641988056E-6</v>
      </c>
      <c r="F162" s="103">
        <f t="shared" si="122"/>
        <v>2.0287341814929727E-6</v>
      </c>
      <c r="G162" s="103">
        <f t="shared" si="122"/>
        <v>1.6012727689207944E-6</v>
      </c>
      <c r="H162" s="103">
        <f t="shared" si="122"/>
        <v>1.4941589745274892E-6</v>
      </c>
      <c r="I162" s="103">
        <f t="shared" si="122"/>
        <v>1.4646574929650188E-6</v>
      </c>
      <c r="J162" s="103">
        <f t="shared" si="122"/>
        <v>1.1907283792955372E-6</v>
      </c>
      <c r="K162" s="103">
        <f t="shared" si="122"/>
        <v>1.1965898190726436E-6</v>
      </c>
      <c r="L162" s="103">
        <f t="shared" ref="L162" si="123">IF(L49=0,0,L49/L$17)</f>
        <v>1.055533755422419E-6</v>
      </c>
      <c r="M162" s="103">
        <f t="shared" ref="M162:V162" si="124">IF(M49=0,0,M49/M$17)</f>
        <v>1.1397439015625135E-6</v>
      </c>
      <c r="N162" s="103">
        <f t="shared" si="124"/>
        <v>1.5096871660250147E-6</v>
      </c>
      <c r="O162" s="103">
        <f t="shared" si="124"/>
        <v>1.7894627682414225E-5</v>
      </c>
      <c r="P162" s="103">
        <f t="shared" si="124"/>
        <v>2.0657209043616932E-5</v>
      </c>
      <c r="Q162" s="103">
        <f t="shared" si="124"/>
        <v>9.6872513644675272E-5</v>
      </c>
      <c r="R162" s="103">
        <f t="shared" si="124"/>
        <v>1.008364786708773E-4</v>
      </c>
      <c r="S162" s="103">
        <f t="shared" si="124"/>
        <v>1.1160113168808195E-4</v>
      </c>
      <c r="T162" s="103">
        <f t="shared" si="124"/>
        <v>1.2179107252424723E-4</v>
      </c>
      <c r="U162" s="103">
        <f t="shared" si="124"/>
        <v>1.1734576416342742E-4</v>
      </c>
      <c r="V162" s="103">
        <f t="shared" si="124"/>
        <v>1.335025208596146E-4</v>
      </c>
      <c r="W162" s="103">
        <f t="shared" ref="W162:Y162" si="125">IF(W49=0,0,W49/W$17)</f>
        <v>1.2135767699571036E-4</v>
      </c>
      <c r="X162" s="103">
        <f t="shared" si="125"/>
        <v>1.1234681374120376E-4</v>
      </c>
      <c r="Y162" s="103">
        <f t="shared" si="125"/>
        <v>2.0046006224773601E-4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0</v>
      </c>
      <c r="O163" s="103">
        <f t="shared" si="128"/>
        <v>8.2102059234042519E-7</v>
      </c>
      <c r="P163" s="103">
        <f t="shared" si="128"/>
        <v>7.6660383728273276E-7</v>
      </c>
      <c r="Q163" s="103">
        <f t="shared" si="128"/>
        <v>1.4152036884425974E-6</v>
      </c>
      <c r="R163" s="103">
        <f t="shared" si="128"/>
        <v>3.0745085278605487E-6</v>
      </c>
      <c r="S163" s="103">
        <f t="shared" si="128"/>
        <v>5.9288429953957288E-6</v>
      </c>
      <c r="T163" s="103">
        <f t="shared" si="128"/>
        <v>1.2726196135681081E-5</v>
      </c>
      <c r="U163" s="103">
        <f t="shared" si="128"/>
        <v>1.6776433862000847E-5</v>
      </c>
      <c r="V163" s="103">
        <f t="shared" si="128"/>
        <v>2.9983257214143438E-5</v>
      </c>
      <c r="W163" s="103">
        <f t="shared" ref="W163:Y163" si="129">IF(W51=0,0,W51/W$17)</f>
        <v>4.7103158763278152E-5</v>
      </c>
      <c r="X163" s="103">
        <f t="shared" si="129"/>
        <v>8.107175331557238E-5</v>
      </c>
      <c r="Y163" s="103">
        <f t="shared" si="129"/>
        <v>1.2540258559283761E-4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0.21901686493875971</v>
      </c>
      <c r="C164" s="156">
        <f t="shared" si="130"/>
        <v>0.22404988034431972</v>
      </c>
      <c r="D164" s="156">
        <f t="shared" si="130"/>
        <v>0.23292080615374713</v>
      </c>
      <c r="E164" s="156">
        <f t="shared" si="130"/>
        <v>0.23323743429880381</v>
      </c>
      <c r="F164" s="156">
        <f t="shared" si="130"/>
        <v>0.24745710943995675</v>
      </c>
      <c r="G164" s="156">
        <f t="shared" si="130"/>
        <v>0.29108621271973639</v>
      </c>
      <c r="H164" s="156">
        <f t="shared" si="130"/>
        <v>0.29796109352481864</v>
      </c>
      <c r="I164" s="156">
        <f t="shared" si="130"/>
        <v>0.28665277302218523</v>
      </c>
      <c r="J164" s="156">
        <f t="shared" si="130"/>
        <v>0.29149100630519859</v>
      </c>
      <c r="K164" s="156">
        <f t="shared" si="130"/>
        <v>0.26313969281874333</v>
      </c>
      <c r="L164" s="156">
        <f t="shared" ref="L164" si="131">IF(L52=0,0,L52/L$17)</f>
        <v>0.2602678317700084</v>
      </c>
      <c r="M164" s="156">
        <f t="shared" ref="M164:V164" si="132">IF(M52=0,0,M52/M$17)</f>
        <v>0.23973041542346754</v>
      </c>
      <c r="N164" s="156">
        <f t="shared" si="132"/>
        <v>0.21014867004217119</v>
      </c>
      <c r="O164" s="156">
        <f t="shared" si="132"/>
        <v>0.18565392892456906</v>
      </c>
      <c r="P164" s="156">
        <f t="shared" si="132"/>
        <v>0.22153016771846995</v>
      </c>
      <c r="Q164" s="156">
        <f t="shared" si="132"/>
        <v>0.24136342492689833</v>
      </c>
      <c r="R164" s="156">
        <f t="shared" si="132"/>
        <v>0.22627656443378955</v>
      </c>
      <c r="S164" s="156">
        <f t="shared" si="132"/>
        <v>0.22737419206175771</v>
      </c>
      <c r="T164" s="156">
        <f t="shared" si="132"/>
        <v>0.22752599289093189</v>
      </c>
      <c r="U164" s="156">
        <f t="shared" si="132"/>
        <v>0.21143806571140744</v>
      </c>
      <c r="V164" s="156">
        <f t="shared" si="132"/>
        <v>0.17967302979932051</v>
      </c>
      <c r="W164" s="156">
        <f t="shared" ref="W164:Y164" si="133">IF(W52=0,0,W52/W$17)</f>
        <v>0.20811137257797671</v>
      </c>
      <c r="X164" s="156">
        <f t="shared" si="133"/>
        <v>0.21678417510207187</v>
      </c>
      <c r="Y164" s="156">
        <f t="shared" si="133"/>
        <v>0.17543785928743114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0.14013921519106518</v>
      </c>
      <c r="C165" s="104">
        <f t="shared" si="134"/>
        <v>0.13541639236251427</v>
      </c>
      <c r="D165" s="104">
        <f t="shared" si="134"/>
        <v>0.12768256218024429</v>
      </c>
      <c r="E165" s="104">
        <f t="shared" si="134"/>
        <v>0.12329217297395807</v>
      </c>
      <c r="F165" s="104">
        <f t="shared" si="134"/>
        <v>0.12452475285855465</v>
      </c>
      <c r="G165" s="104">
        <f t="shared" si="134"/>
        <v>0.1575337446784934</v>
      </c>
      <c r="H165" s="104">
        <f t="shared" si="134"/>
        <v>0.15877438336227395</v>
      </c>
      <c r="I165" s="104">
        <f t="shared" si="134"/>
        <v>0.15747260000306254</v>
      </c>
      <c r="J165" s="104">
        <f t="shared" si="134"/>
        <v>0.14715565770391986</v>
      </c>
      <c r="K165" s="104">
        <f t="shared" si="134"/>
        <v>0.15204690148223721</v>
      </c>
      <c r="L165" s="104">
        <f t="shared" ref="L165" si="135">IF(L53=0,0,L53/L$17)</f>
        <v>0.13943647471818726</v>
      </c>
      <c r="M165" s="104">
        <f t="shared" ref="M165:V165" si="136">IF(M53=0,0,M53/M$17)</f>
        <v>0.13240886011068537</v>
      </c>
      <c r="N165" s="104">
        <f t="shared" si="136"/>
        <v>0.11430725381629306</v>
      </c>
      <c r="O165" s="104">
        <f t="shared" si="136"/>
        <v>0.11364936130959261</v>
      </c>
      <c r="P165" s="104">
        <f t="shared" si="136"/>
        <v>0.11483163711983441</v>
      </c>
      <c r="Q165" s="104">
        <f t="shared" si="136"/>
        <v>0.11580217526007994</v>
      </c>
      <c r="R165" s="104">
        <f t="shared" si="136"/>
        <v>0.11452013216114854</v>
      </c>
      <c r="S165" s="104">
        <f t="shared" si="136"/>
        <v>0.10782752781319288</v>
      </c>
      <c r="T165" s="104">
        <f t="shared" si="136"/>
        <v>0.11124712612477927</v>
      </c>
      <c r="U165" s="104">
        <f t="shared" si="136"/>
        <v>0.10565194467197024</v>
      </c>
      <c r="V165" s="104">
        <f t="shared" si="136"/>
        <v>0.10579333137017409</v>
      </c>
      <c r="W165" s="104">
        <f t="shared" ref="W165:Y165" si="137">IF(W53=0,0,W53/W$17)</f>
        <v>0.11310356786914978</v>
      </c>
      <c r="X165" s="104">
        <f t="shared" si="137"/>
        <v>0.10414815909332907</v>
      </c>
      <c r="Y165" s="104">
        <f t="shared" si="137"/>
        <v>9.8531731351150328E-2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7.8877649747694553E-2</v>
      </c>
      <c r="C166" s="105">
        <f t="shared" si="138"/>
        <v>8.8633487981805453E-2</v>
      </c>
      <c r="D166" s="105">
        <f t="shared" si="138"/>
        <v>0.10523824397350286</v>
      </c>
      <c r="E166" s="105">
        <f t="shared" si="138"/>
        <v>0.10994526132484574</v>
      </c>
      <c r="F166" s="105">
        <f t="shared" si="138"/>
        <v>0.12293235658140209</v>
      </c>
      <c r="G166" s="105">
        <f t="shared" si="138"/>
        <v>0.13355246804124299</v>
      </c>
      <c r="H166" s="105">
        <f t="shared" si="138"/>
        <v>0.13918671016254469</v>
      </c>
      <c r="I166" s="105">
        <f t="shared" si="138"/>
        <v>0.12918017301912266</v>
      </c>
      <c r="J166" s="105">
        <f t="shared" si="138"/>
        <v>0.14433534860127875</v>
      </c>
      <c r="K166" s="105">
        <f t="shared" si="138"/>
        <v>0.11109279133650607</v>
      </c>
      <c r="L166" s="105">
        <f t="shared" ref="L166" si="139">IF(L55=0,0,L55/L$17)</f>
        <v>0.12083135705182116</v>
      </c>
      <c r="M166" s="105">
        <f t="shared" ref="M166:V166" si="140">IF(M55=0,0,M55/M$17)</f>
        <v>0.10732155531278215</v>
      </c>
      <c r="N166" s="105">
        <f t="shared" si="140"/>
        <v>9.584141622587812E-2</v>
      </c>
      <c r="O166" s="105">
        <f t="shared" si="140"/>
        <v>7.2004567614976464E-2</v>
      </c>
      <c r="P166" s="105">
        <f t="shared" si="140"/>
        <v>0.10669853059863554</v>
      </c>
      <c r="Q166" s="105">
        <f t="shared" si="140"/>
        <v>0.12556124966681839</v>
      </c>
      <c r="R166" s="105">
        <f t="shared" si="140"/>
        <v>0.11175643227264101</v>
      </c>
      <c r="S166" s="105">
        <f t="shared" si="140"/>
        <v>0.11954666424856485</v>
      </c>
      <c r="T166" s="105">
        <f t="shared" si="140"/>
        <v>0.11627886676615264</v>
      </c>
      <c r="U166" s="105">
        <f t="shared" si="140"/>
        <v>0.10578612103943723</v>
      </c>
      <c r="V166" s="105">
        <f t="shared" si="140"/>
        <v>7.387969842914642E-2</v>
      </c>
      <c r="W166" s="105">
        <f t="shared" ref="W166:Y166" si="141">IF(W55=0,0,W55/W$17)</f>
        <v>9.5007804708826943E-2</v>
      </c>
      <c r="X166" s="105">
        <f t="shared" si="141"/>
        <v>0.11263601600874282</v>
      </c>
      <c r="Y166" s="105">
        <f t="shared" si="141"/>
        <v>7.6906127936280794E-2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8671.4127342000029</v>
      </c>
      <c r="C4" s="146">
        <f t="shared" si="0"/>
        <v>9155.7065959200008</v>
      </c>
      <c r="D4" s="146">
        <f t="shared" si="0"/>
        <v>9776.4183536399996</v>
      </c>
      <c r="E4" s="146">
        <f t="shared" si="0"/>
        <v>10224.91576656</v>
      </c>
      <c r="F4" s="146">
        <f t="shared" si="0"/>
        <v>10739.045552400003</v>
      </c>
      <c r="G4" s="146">
        <f t="shared" si="0"/>
        <v>11677.341442679999</v>
      </c>
      <c r="H4" s="146">
        <f t="shared" si="0"/>
        <v>12502.605403439999</v>
      </c>
      <c r="I4" s="146">
        <f t="shared" si="0"/>
        <v>12699.123936840002</v>
      </c>
      <c r="J4" s="146">
        <f t="shared" si="0"/>
        <v>12612.743666640003</v>
      </c>
      <c r="K4" s="146">
        <f t="shared" si="0"/>
        <v>12528.74977092</v>
      </c>
      <c r="L4" s="146">
        <f t="shared" ref="L4" si="1">L5+L9+L10+L15</f>
        <v>11305.072830239998</v>
      </c>
      <c r="M4" s="146">
        <f t="shared" ref="M4:V4" si="2">M5+M9+M10+M15</f>
        <v>10470.508239959998</v>
      </c>
      <c r="N4" s="146">
        <f t="shared" si="2"/>
        <v>10133.603083440001</v>
      </c>
      <c r="O4" s="146">
        <f t="shared" si="2"/>
        <v>9467.2264035600001</v>
      </c>
      <c r="P4" s="146">
        <f t="shared" si="2"/>
        <v>10562.397957720001</v>
      </c>
      <c r="Q4" s="146">
        <f t="shared" si="2"/>
        <v>11602.930235760001</v>
      </c>
      <c r="R4" s="146">
        <f t="shared" si="2"/>
        <v>11775.141066600001</v>
      </c>
      <c r="S4" s="146">
        <f t="shared" si="2"/>
        <v>12501.006125729371</v>
      </c>
      <c r="T4" s="146">
        <f t="shared" si="2"/>
        <v>13275.492862533585</v>
      </c>
      <c r="U4" s="146">
        <f t="shared" si="2"/>
        <v>14091.408484552778</v>
      </c>
      <c r="V4" s="146">
        <f t="shared" si="2"/>
        <v>12082.919425884489</v>
      </c>
      <c r="W4" s="146">
        <f t="shared" ref="W4:Y4" si="3">W5+W9+W10+W15</f>
        <v>13486.055472806345</v>
      </c>
      <c r="X4" s="146">
        <f t="shared" si="3"/>
        <v>14579.510449371191</v>
      </c>
      <c r="Y4" s="146">
        <f t="shared" si="3"/>
        <v>13510.570794444253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8667.4745142000029</v>
      </c>
      <c r="C5" s="101">
        <f t="shared" si="4"/>
        <v>9151.3644559200002</v>
      </c>
      <c r="D5" s="101">
        <f t="shared" si="4"/>
        <v>9771.9247436400001</v>
      </c>
      <c r="E5" s="101">
        <f t="shared" si="4"/>
        <v>10220.22019656</v>
      </c>
      <c r="F5" s="101">
        <f t="shared" si="4"/>
        <v>10734.450962400002</v>
      </c>
      <c r="G5" s="101">
        <f t="shared" si="4"/>
        <v>11671.08068268</v>
      </c>
      <c r="H5" s="101">
        <f t="shared" si="4"/>
        <v>12496.041703439998</v>
      </c>
      <c r="I5" s="101">
        <f t="shared" si="4"/>
        <v>12694.175916840002</v>
      </c>
      <c r="J5" s="101">
        <f t="shared" si="4"/>
        <v>12609.057896640003</v>
      </c>
      <c r="K5" s="101">
        <f t="shared" si="4"/>
        <v>12525.46792092</v>
      </c>
      <c r="L5" s="101">
        <f t="shared" ref="L5" si="5">SUM(L6:L8)</f>
        <v>11302.901760239998</v>
      </c>
      <c r="M5" s="101">
        <f t="shared" ref="M5:V5" si="6">SUM(M6:M8)</f>
        <v>10468.488639959998</v>
      </c>
      <c r="N5" s="101">
        <f t="shared" si="6"/>
        <v>10130.97760344</v>
      </c>
      <c r="O5" s="101">
        <f t="shared" si="6"/>
        <v>9464.6514135600009</v>
      </c>
      <c r="P5" s="101">
        <f t="shared" si="6"/>
        <v>10559.01512772</v>
      </c>
      <c r="Q5" s="101">
        <f t="shared" si="6"/>
        <v>11592.983705760002</v>
      </c>
      <c r="R5" s="101">
        <f t="shared" si="6"/>
        <v>11756.156826600001</v>
      </c>
      <c r="S5" s="101">
        <f t="shared" si="6"/>
        <v>12480.468002640002</v>
      </c>
      <c r="T5" s="101">
        <f t="shared" si="6"/>
        <v>13252.835669760003</v>
      </c>
      <c r="U5" s="101">
        <f t="shared" si="6"/>
        <v>14069.711044080002</v>
      </c>
      <c r="V5" s="101">
        <f t="shared" si="6"/>
        <v>12064.249010880001</v>
      </c>
      <c r="W5" s="101">
        <f t="shared" ref="W5:Y5" si="7">SUM(W6:W8)</f>
        <v>13468.998648599998</v>
      </c>
      <c r="X5" s="101">
        <f t="shared" si="7"/>
        <v>14561.698084560001</v>
      </c>
      <c r="Y5" s="101">
        <f t="shared" si="7"/>
        <v>13487.878810800001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5.969310479999999</v>
      </c>
      <c r="D6" s="101">
        <v>5.969310479999999</v>
      </c>
      <c r="E6" s="101">
        <v>116.40064572000001</v>
      </c>
      <c r="F6" s="101">
        <v>103.79939904</v>
      </c>
      <c r="G6" s="101">
        <v>86.00527476000002</v>
      </c>
      <c r="H6" s="101">
        <v>88.971075720000002</v>
      </c>
      <c r="I6" s="101">
        <v>86.00527476000002</v>
      </c>
      <c r="J6" s="101">
        <v>80.073899999999995</v>
      </c>
      <c r="K6" s="101">
        <v>71.176724280000016</v>
      </c>
      <c r="L6" s="101">
        <v>77.108099039999999</v>
      </c>
      <c r="M6" s="101">
        <v>83.03970095999999</v>
      </c>
      <c r="N6" s="101">
        <v>62.279775719999996</v>
      </c>
      <c r="O6" s="101">
        <v>86.00527476000002</v>
      </c>
      <c r="P6" s="101">
        <v>80.073899999999995</v>
      </c>
      <c r="Q6" s="101">
        <v>80.073899999999995</v>
      </c>
      <c r="R6" s="101">
        <v>72.817500960000004</v>
      </c>
      <c r="S6" s="101">
        <v>69.874416000000011</v>
      </c>
      <c r="T6" s="101">
        <v>61.140114000000004</v>
      </c>
      <c r="U6" s="101">
        <v>52.405812000000005</v>
      </c>
      <c r="V6" s="101">
        <v>37.848717719999989</v>
      </c>
      <c r="W6" s="101">
        <v>37.848717719999989</v>
      </c>
      <c r="X6" s="101">
        <v>37.848717719999989</v>
      </c>
      <c r="Y6" s="101">
        <v>40.701847319999999</v>
      </c>
      <c r="DA6" s="175" t="s">
        <v>741</v>
      </c>
    </row>
    <row r="7" spans="1:105" ht="11.45" customHeight="1" x14ac:dyDescent="0.25">
      <c r="A7" s="128" t="s">
        <v>53</v>
      </c>
      <c r="B7" s="101">
        <v>4101.506584560002</v>
      </c>
      <c r="C7" s="101">
        <v>4270.3561454399996</v>
      </c>
      <c r="D7" s="101">
        <v>4374.7358331600017</v>
      </c>
      <c r="E7" s="101">
        <v>4371.6657322799992</v>
      </c>
      <c r="F7" s="101">
        <v>4426.9255522800013</v>
      </c>
      <c r="G7" s="101">
        <v>4549.7250968399994</v>
      </c>
      <c r="H7" s="101">
        <v>4635.684927719999</v>
      </c>
      <c r="I7" s="101">
        <v>4706.2947531600012</v>
      </c>
      <c r="J7" s="101">
        <v>4580.4251077200006</v>
      </c>
      <c r="K7" s="101">
        <v>4580.4251077200006</v>
      </c>
      <c r="L7" s="101">
        <v>3912.1235722799993</v>
      </c>
      <c r="M7" s="101">
        <v>3613.3019168399992</v>
      </c>
      <c r="N7" s="101">
        <v>3579.7608277200006</v>
      </c>
      <c r="O7" s="101">
        <v>3387.6612277200006</v>
      </c>
      <c r="P7" s="101">
        <v>3607.2036277200014</v>
      </c>
      <c r="Q7" s="101">
        <v>3723.0731168400016</v>
      </c>
      <c r="R7" s="101">
        <v>3790.1555445600002</v>
      </c>
      <c r="S7" s="101">
        <v>3881.6316277199999</v>
      </c>
      <c r="T7" s="101">
        <v>4052.3867168400011</v>
      </c>
      <c r="U7" s="101">
        <v>4372.5528831600004</v>
      </c>
      <c r="V7" s="101">
        <v>3796.2540831599995</v>
      </c>
      <c r="W7" s="101">
        <v>4027.9933108800005</v>
      </c>
      <c r="X7" s="101">
        <v>4271.9291168399986</v>
      </c>
      <c r="Y7" s="101">
        <v>4174.3547445600007</v>
      </c>
      <c r="DA7" s="175" t="s">
        <v>742</v>
      </c>
    </row>
    <row r="8" spans="1:105" ht="11.45" customHeight="1" x14ac:dyDescent="0.25">
      <c r="A8" s="128" t="s">
        <v>54</v>
      </c>
      <c r="B8" s="101">
        <v>4565.9679296400009</v>
      </c>
      <c r="C8" s="101">
        <v>4875.0390000000016</v>
      </c>
      <c r="D8" s="101">
        <v>5391.2195999999985</v>
      </c>
      <c r="E8" s="101">
        <v>5732.1538185600011</v>
      </c>
      <c r="F8" s="101">
        <v>6203.7260110799998</v>
      </c>
      <c r="G8" s="101">
        <v>7035.3503110800011</v>
      </c>
      <c r="H8" s="101">
        <v>7771.3856999999998</v>
      </c>
      <c r="I8" s="101">
        <v>7901.8758889200008</v>
      </c>
      <c r="J8" s="101">
        <v>7948.5588889200008</v>
      </c>
      <c r="K8" s="101">
        <v>7873.8660889199991</v>
      </c>
      <c r="L8" s="101">
        <v>7313.6700889199983</v>
      </c>
      <c r="M8" s="101">
        <v>6772.1470221599984</v>
      </c>
      <c r="N8" s="101">
        <v>6488.9369999999999</v>
      </c>
      <c r="O8" s="101">
        <v>5990.9849110799996</v>
      </c>
      <c r="P8" s="101">
        <v>6871.7375999999995</v>
      </c>
      <c r="Q8" s="101">
        <v>7789.8366889199997</v>
      </c>
      <c r="R8" s="101">
        <v>7893.1837810800007</v>
      </c>
      <c r="S8" s="101">
        <v>8528.9619589200011</v>
      </c>
      <c r="T8" s="101">
        <v>9139.308838920002</v>
      </c>
      <c r="U8" s="101">
        <v>9644.7523489200012</v>
      </c>
      <c r="V8" s="101">
        <v>8230.1462100000008</v>
      </c>
      <c r="W8" s="101">
        <v>9403.1566199999979</v>
      </c>
      <c r="X8" s="101">
        <v>10251.920250000001</v>
      </c>
      <c r="Y8" s="101">
        <v>9272.8222189200005</v>
      </c>
      <c r="DA8" s="175" t="s">
        <v>743</v>
      </c>
    </row>
    <row r="9" spans="1:105" ht="11.45" customHeight="1" x14ac:dyDescent="0.25">
      <c r="A9" s="92" t="s">
        <v>55</v>
      </c>
      <c r="B9" s="101">
        <v>3.9382199999999994</v>
      </c>
      <c r="C9" s="101">
        <v>4.3421399999999997</v>
      </c>
      <c r="D9" s="101">
        <v>4.4936099999999994</v>
      </c>
      <c r="E9" s="101">
        <v>4.6955700000000009</v>
      </c>
      <c r="F9" s="101">
        <v>4.5945900000000011</v>
      </c>
      <c r="G9" s="101">
        <v>6.2607600000000021</v>
      </c>
      <c r="H9" s="101">
        <v>6.5636999999999999</v>
      </c>
      <c r="I9" s="101">
        <v>4.9480199999999996</v>
      </c>
      <c r="J9" s="101">
        <v>3.6857699999999998</v>
      </c>
      <c r="K9" s="101">
        <v>3.2818499999999999</v>
      </c>
      <c r="L9" s="101">
        <v>2.1710700000000003</v>
      </c>
      <c r="M9" s="101">
        <v>2.0196000000000001</v>
      </c>
      <c r="N9" s="101">
        <v>2.6254800000000005</v>
      </c>
      <c r="O9" s="101">
        <v>2.5749899999999992</v>
      </c>
      <c r="P9" s="101">
        <v>3.3828299999999993</v>
      </c>
      <c r="Q9" s="101">
        <v>9.946530000000001</v>
      </c>
      <c r="R9" s="101">
        <v>18.98424</v>
      </c>
      <c r="S9" s="101">
        <v>20.538123089368263</v>
      </c>
      <c r="T9" s="101">
        <v>22.657192773581968</v>
      </c>
      <c r="U9" s="101">
        <v>21.697440472775856</v>
      </c>
      <c r="V9" s="101">
        <v>18.67041500448812</v>
      </c>
      <c r="W9" s="101">
        <v>17.056824206347237</v>
      </c>
      <c r="X9" s="101">
        <v>17.812364811190957</v>
      </c>
      <c r="Y9" s="101">
        <v>22.691983644251767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8671.4127342000029</v>
      </c>
      <c r="C17" s="79">
        <f t="shared" si="12"/>
        <v>9155.7065959200008</v>
      </c>
      <c r="D17" s="79">
        <f t="shared" si="12"/>
        <v>9776.4183536399996</v>
      </c>
      <c r="E17" s="79">
        <f t="shared" si="12"/>
        <v>10224.91576656</v>
      </c>
      <c r="F17" s="79">
        <f t="shared" si="12"/>
        <v>10739.045552400001</v>
      </c>
      <c r="G17" s="79">
        <f t="shared" si="12"/>
        <v>11677.341442680001</v>
      </c>
      <c r="H17" s="79">
        <f t="shared" si="12"/>
        <v>12502.60540344</v>
      </c>
      <c r="I17" s="79">
        <f t="shared" si="12"/>
        <v>12699.123936840002</v>
      </c>
      <c r="J17" s="79">
        <f t="shared" si="12"/>
        <v>12612.743666639999</v>
      </c>
      <c r="K17" s="79">
        <f t="shared" si="12"/>
        <v>12528.74977092</v>
      </c>
      <c r="L17" s="79">
        <f t="shared" ref="L17" si="13">SUM(L18,L33)</f>
        <v>11305.072830239998</v>
      </c>
      <c r="M17" s="79">
        <f t="shared" ref="M17:V17" si="14">SUM(M18,M33)</f>
        <v>10470.508239959996</v>
      </c>
      <c r="N17" s="79">
        <f t="shared" si="14"/>
        <v>10133.603083440001</v>
      </c>
      <c r="O17" s="79">
        <f t="shared" si="14"/>
        <v>9467.2264035599983</v>
      </c>
      <c r="P17" s="79">
        <f t="shared" si="14"/>
        <v>10562.397957720001</v>
      </c>
      <c r="Q17" s="79">
        <f t="shared" si="14"/>
        <v>11602.930235759999</v>
      </c>
      <c r="R17" s="79">
        <f t="shared" si="14"/>
        <v>11775.141066600001</v>
      </c>
      <c r="S17" s="79">
        <f t="shared" si="14"/>
        <v>12501.006125729369</v>
      </c>
      <c r="T17" s="79">
        <f t="shared" si="14"/>
        <v>13275.492862533585</v>
      </c>
      <c r="U17" s="79">
        <f t="shared" si="14"/>
        <v>14091.408484552778</v>
      </c>
      <c r="V17" s="79">
        <f t="shared" si="14"/>
        <v>12082.919425884489</v>
      </c>
      <c r="W17" s="79">
        <f t="shared" ref="W17:Y17" si="15">SUM(W18,W33)</f>
        <v>13486.055472806347</v>
      </c>
      <c r="X17" s="79">
        <f t="shared" si="15"/>
        <v>14579.510449371188</v>
      </c>
      <c r="Y17" s="79">
        <f t="shared" si="15"/>
        <v>13510.570794444255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5671.1768572694282</v>
      </c>
      <c r="C18" s="32">
        <f t="shared" si="16"/>
        <v>5958.9552071373228</v>
      </c>
      <c r="D18" s="32">
        <f t="shared" si="16"/>
        <v>6253.1058815798624</v>
      </c>
      <c r="E18" s="32">
        <f t="shared" si="16"/>
        <v>6537.955691997764</v>
      </c>
      <c r="F18" s="32">
        <f t="shared" si="16"/>
        <v>6755.2626633928194</v>
      </c>
      <c r="G18" s="32">
        <f t="shared" si="16"/>
        <v>6840.0468561658827</v>
      </c>
      <c r="H18" s="32">
        <f t="shared" si="16"/>
        <v>7335.9753565603087</v>
      </c>
      <c r="I18" s="32">
        <f t="shared" si="16"/>
        <v>7588.8257565485001</v>
      </c>
      <c r="J18" s="32">
        <f t="shared" si="16"/>
        <v>7430.932938224536</v>
      </c>
      <c r="K18" s="32">
        <f t="shared" si="16"/>
        <v>7544.5308611014643</v>
      </c>
      <c r="L18" s="32">
        <f t="shared" ref="L18" si="17">SUM(L19,L20,L27)</f>
        <v>6918.8315433257176</v>
      </c>
      <c r="M18" s="32">
        <f t="shared" ref="M18:V18" si="18">SUM(M19,M20,M27)</f>
        <v>6512.7190534452129</v>
      </c>
      <c r="N18" s="32">
        <f t="shared" si="18"/>
        <v>6554.4603765476813</v>
      </c>
      <c r="O18" s="32">
        <f t="shared" si="18"/>
        <v>6302.3807074832321</v>
      </c>
      <c r="P18" s="32">
        <f t="shared" si="18"/>
        <v>6653.2625248738641</v>
      </c>
      <c r="Q18" s="32">
        <f t="shared" si="18"/>
        <v>7123.2178957233946</v>
      </c>
      <c r="R18" s="32">
        <f t="shared" si="18"/>
        <v>7408.3761112318407</v>
      </c>
      <c r="S18" s="32">
        <f t="shared" si="18"/>
        <v>7818.1168348868587</v>
      </c>
      <c r="T18" s="32">
        <f t="shared" si="18"/>
        <v>8309.0523701686725</v>
      </c>
      <c r="U18" s="32">
        <f t="shared" si="18"/>
        <v>9082.9875317216029</v>
      </c>
      <c r="V18" s="32">
        <f t="shared" si="18"/>
        <v>7954.4026340816072</v>
      </c>
      <c r="W18" s="32">
        <f t="shared" ref="W18:Y18" si="19">SUM(W19,W20,W27)</f>
        <v>8530.9129147169715</v>
      </c>
      <c r="X18" s="32">
        <f t="shared" si="19"/>
        <v>9144.6929859219108</v>
      </c>
      <c r="Y18" s="32">
        <f t="shared" si="19"/>
        <v>8960.983514991065</v>
      </c>
      <c r="DA18" s="173" t="s">
        <v>403</v>
      </c>
    </row>
    <row r="19" spans="1:105" ht="11.45" customHeight="1" x14ac:dyDescent="0.25">
      <c r="A19" s="136" t="s">
        <v>173</v>
      </c>
      <c r="B19" s="141">
        <v>34.283106290364053</v>
      </c>
      <c r="C19" s="141">
        <v>34.853257484598608</v>
      </c>
      <c r="D19" s="141">
        <v>36.218434448720906</v>
      </c>
      <c r="E19" s="141">
        <v>38.0222805745031</v>
      </c>
      <c r="F19" s="141">
        <v>41.26246164539829</v>
      </c>
      <c r="G19" s="141">
        <v>43.861108439572341</v>
      </c>
      <c r="H19" s="141">
        <v>45.830002501491776</v>
      </c>
      <c r="I19" s="141">
        <v>46.856753853242211</v>
      </c>
      <c r="J19" s="141">
        <v>47.60008916252216</v>
      </c>
      <c r="K19" s="141">
        <v>47.221770751862202</v>
      </c>
      <c r="L19" s="141">
        <v>46.287873724326907</v>
      </c>
      <c r="M19" s="141">
        <v>47.554633525805073</v>
      </c>
      <c r="N19" s="141">
        <v>48.499732300143478</v>
      </c>
      <c r="O19" s="141">
        <v>50.649331547068648</v>
      </c>
      <c r="P19" s="141">
        <v>50.427278073202011</v>
      </c>
      <c r="Q19" s="141">
        <v>50.876923029649305</v>
      </c>
      <c r="R19" s="141">
        <v>50.014317886300191</v>
      </c>
      <c r="S19" s="141">
        <v>52.351610466557155</v>
      </c>
      <c r="T19" s="141">
        <v>54.671983914814945</v>
      </c>
      <c r="U19" s="141">
        <v>55.966345812090346</v>
      </c>
      <c r="V19" s="141">
        <v>49.559311519156495</v>
      </c>
      <c r="W19" s="141">
        <v>50.32336063482569</v>
      </c>
      <c r="X19" s="141">
        <v>51.941192469510177</v>
      </c>
      <c r="Y19" s="141">
        <v>51.936065235620802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4462.190706118</v>
      </c>
      <c r="C20" s="130">
        <f t="shared" si="20"/>
        <v>4745.8403519408484</v>
      </c>
      <c r="D20" s="130">
        <f t="shared" si="20"/>
        <v>4999.3578403258007</v>
      </c>
      <c r="E20" s="130">
        <f t="shared" si="20"/>
        <v>5280.2395566706</v>
      </c>
      <c r="F20" s="130">
        <f t="shared" si="20"/>
        <v>5538.2663426245808</v>
      </c>
      <c r="G20" s="130">
        <f t="shared" si="20"/>
        <v>5580.9383771809726</v>
      </c>
      <c r="H20" s="130">
        <f t="shared" si="20"/>
        <v>5973.8935520792338</v>
      </c>
      <c r="I20" s="130">
        <f t="shared" si="20"/>
        <v>6242.9308749325883</v>
      </c>
      <c r="J20" s="130">
        <f t="shared" si="20"/>
        <v>6224.5049179625748</v>
      </c>
      <c r="K20" s="130">
        <f t="shared" si="20"/>
        <v>6383.9197651520681</v>
      </c>
      <c r="L20" s="130">
        <f t="shared" ref="L20" si="21">SUM(L21:L26)</f>
        <v>5749.6943354104433</v>
      </c>
      <c r="M20" s="130">
        <f t="shared" ref="M20:V20" si="22">SUM(M21:M26)</f>
        <v>5410.5909576134618</v>
      </c>
      <c r="N20" s="130">
        <f t="shared" si="22"/>
        <v>5474.7748992908591</v>
      </c>
      <c r="O20" s="130">
        <f t="shared" si="22"/>
        <v>5265.8391611993275</v>
      </c>
      <c r="P20" s="130">
        <f t="shared" si="22"/>
        <v>5515.8736896271585</v>
      </c>
      <c r="Q20" s="130">
        <f t="shared" si="22"/>
        <v>5929.5792996169994</v>
      </c>
      <c r="R20" s="130">
        <f t="shared" si="22"/>
        <v>6227.1672245317677</v>
      </c>
      <c r="S20" s="130">
        <f t="shared" si="22"/>
        <v>6566.2967112434326</v>
      </c>
      <c r="T20" s="130">
        <f t="shared" si="22"/>
        <v>7027.2623467758031</v>
      </c>
      <c r="U20" s="130">
        <f t="shared" si="22"/>
        <v>7791.3088618911388</v>
      </c>
      <c r="V20" s="130">
        <f t="shared" si="22"/>
        <v>6931.7965267337349</v>
      </c>
      <c r="W20" s="130">
        <f t="shared" ref="W20:Y20" si="23">SUM(W21:W26)</f>
        <v>7420.3138596077497</v>
      </c>
      <c r="X20" s="130">
        <f t="shared" si="23"/>
        <v>7981.1752984821769</v>
      </c>
      <c r="Y20" s="130">
        <f t="shared" si="23"/>
        <v>7882.0071277198549</v>
      </c>
      <c r="DA20" s="176" t="s">
        <v>405</v>
      </c>
    </row>
    <row r="21" spans="1:105" ht="11.45" customHeight="1" x14ac:dyDescent="0.25">
      <c r="A21" s="111" t="s">
        <v>110</v>
      </c>
      <c r="B21" s="96">
        <v>3772.8125881015349</v>
      </c>
      <c r="C21" s="96">
        <v>3965.5186833496978</v>
      </c>
      <c r="D21" s="96">
        <v>4097.2571484556902</v>
      </c>
      <c r="E21" s="96">
        <v>4118.0826889870641</v>
      </c>
      <c r="F21" s="96">
        <v>4192.4373707269588</v>
      </c>
      <c r="G21" s="96">
        <v>4332.9644112172</v>
      </c>
      <c r="H21" s="96">
        <v>4435.9063643714917</v>
      </c>
      <c r="I21" s="96">
        <v>4524.7836971188945</v>
      </c>
      <c r="J21" s="96">
        <v>4424.9505093072885</v>
      </c>
      <c r="K21" s="96">
        <v>4437.1584888329271</v>
      </c>
      <c r="L21" s="96">
        <v>3781.4012998198355</v>
      </c>
      <c r="M21" s="96">
        <v>3491.8667394484992</v>
      </c>
      <c r="N21" s="96">
        <v>3461.4995483106645</v>
      </c>
      <c r="O21" s="96">
        <v>3273.2979393342193</v>
      </c>
      <c r="P21" s="96">
        <v>3501.2855353480818</v>
      </c>
      <c r="Q21" s="96">
        <v>3622.7783920629777</v>
      </c>
      <c r="R21" s="96">
        <v>3694.5688464649475</v>
      </c>
      <c r="S21" s="96">
        <v>3785.210445216655</v>
      </c>
      <c r="T21" s="96">
        <v>3953.752086304331</v>
      </c>
      <c r="U21" s="96">
        <v>4271.8714047936564</v>
      </c>
      <c r="V21" s="96">
        <v>3704.7031232466247</v>
      </c>
      <c r="W21" s="96">
        <v>3935.0577126107801</v>
      </c>
      <c r="X21" s="96">
        <v>4175.5496708389137</v>
      </c>
      <c r="Y21" s="96">
        <v>4075.14082068783</v>
      </c>
      <c r="DA21" s="171" t="s">
        <v>751</v>
      </c>
    </row>
    <row r="22" spans="1:105" ht="11.45" customHeight="1" x14ac:dyDescent="0.25">
      <c r="A22" s="111" t="s">
        <v>111</v>
      </c>
      <c r="B22" s="96">
        <v>689.37811801646478</v>
      </c>
      <c r="C22" s="96">
        <v>774.84028899472048</v>
      </c>
      <c r="D22" s="96">
        <v>896.59346585606204</v>
      </c>
      <c r="E22" s="96">
        <v>1046.2134573682758</v>
      </c>
      <c r="F22" s="96">
        <v>1242.4772819344937</v>
      </c>
      <c r="G22" s="96">
        <v>1162.4043542644174</v>
      </c>
      <c r="H22" s="96">
        <v>1449.4418067719439</v>
      </c>
      <c r="I22" s="96">
        <v>1632.5502491155585</v>
      </c>
      <c r="J22" s="96">
        <v>1719.8711398993544</v>
      </c>
      <c r="K22" s="96">
        <v>1875.9497229332869</v>
      </c>
      <c r="L22" s="96">
        <v>1891.5197444212754</v>
      </c>
      <c r="M22" s="96">
        <v>1835.9871959736834</v>
      </c>
      <c r="N22" s="96">
        <v>1951.2671824778579</v>
      </c>
      <c r="O22" s="96">
        <v>1906.2605353616095</v>
      </c>
      <c r="P22" s="96">
        <v>1933.8712605972232</v>
      </c>
      <c r="Q22" s="96">
        <v>2224.9603524307495</v>
      </c>
      <c r="R22" s="96">
        <v>2457.6876917556933</v>
      </c>
      <c r="S22" s="96">
        <v>2708.729424783734</v>
      </c>
      <c r="T22" s="96">
        <v>3009.2763704501294</v>
      </c>
      <c r="U22" s="96">
        <v>3463.2961752796023</v>
      </c>
      <c r="V22" s="96">
        <v>3184.9675145292076</v>
      </c>
      <c r="W22" s="96">
        <v>3441.290488541827</v>
      </c>
      <c r="X22" s="96">
        <v>3758.7483102693709</v>
      </c>
      <c r="Y22" s="96">
        <v>3756.3560450619134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5.4813795964304957</v>
      </c>
      <c r="D23" s="96">
        <v>5.507226014048646</v>
      </c>
      <c r="E23" s="96">
        <v>115.94341031526021</v>
      </c>
      <c r="F23" s="96">
        <v>103.35168996312902</v>
      </c>
      <c r="G23" s="96">
        <v>85.569611699354496</v>
      </c>
      <c r="H23" s="96">
        <v>88.54538093579761</v>
      </c>
      <c r="I23" s="96">
        <v>85.596928698135343</v>
      </c>
      <c r="J23" s="96">
        <v>79.683268755932147</v>
      </c>
      <c r="K23" s="96">
        <v>70.811553385854282</v>
      </c>
      <c r="L23" s="96">
        <v>76.768916501739994</v>
      </c>
      <c r="M23" s="96">
        <v>82.732005815677454</v>
      </c>
      <c r="N23" s="96">
        <v>61.999450767945589</v>
      </c>
      <c r="O23" s="96">
        <v>85.757657762879248</v>
      </c>
      <c r="P23" s="96">
        <v>79.832265075525314</v>
      </c>
      <c r="Q23" s="96">
        <v>79.855575628618595</v>
      </c>
      <c r="R23" s="96">
        <v>72.603934985145202</v>
      </c>
      <c r="S23" s="96">
        <v>69.69206459369731</v>
      </c>
      <c r="T23" s="96">
        <v>60.982776928232461</v>
      </c>
      <c r="U23" s="96">
        <v>52.275893328112815</v>
      </c>
      <c r="V23" s="96">
        <v>37.734826302997483</v>
      </c>
      <c r="W23" s="96">
        <v>37.749300212466402</v>
      </c>
      <c r="X23" s="96">
        <v>37.623545316701012</v>
      </c>
      <c r="Y23" s="96">
        <v>40.140103346786049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4.3746675919190438E-3</v>
      </c>
      <c r="M24" s="96">
        <v>5.0163756017158638E-3</v>
      </c>
      <c r="N24" s="96">
        <v>3.3311923490133635E-3</v>
      </c>
      <c r="O24" s="96">
        <v>0.51758594758209542</v>
      </c>
      <c r="P24" s="96">
        <v>0.87169427720598369</v>
      </c>
      <c r="Q24" s="96">
        <v>1.9554740983706835</v>
      </c>
      <c r="R24" s="96">
        <v>2.1890235893551577</v>
      </c>
      <c r="S24" s="96">
        <v>2.4268843822663966</v>
      </c>
      <c r="T24" s="96">
        <v>2.6670765667747878</v>
      </c>
      <c r="U24" s="96">
        <v>2.8736684467113269</v>
      </c>
      <c r="V24" s="96">
        <v>2.5915802918211415</v>
      </c>
      <c r="W24" s="96">
        <v>2.6398505310646403</v>
      </c>
      <c r="X24" s="96">
        <v>2.7929130251511802</v>
      </c>
      <c r="Y24" s="96">
        <v>2.6916963335781592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5.386542042448289E-3</v>
      </c>
      <c r="O25" s="96">
        <v>5.4427930378535558E-3</v>
      </c>
      <c r="P25" s="96">
        <v>1.2934329122290722E-2</v>
      </c>
      <c r="Q25" s="96">
        <v>2.9505396283731743E-2</v>
      </c>
      <c r="R25" s="96">
        <v>0.11772773662592009</v>
      </c>
      <c r="S25" s="96">
        <v>0.23789226707946409</v>
      </c>
      <c r="T25" s="96">
        <v>0.5840365263344911</v>
      </c>
      <c r="U25" s="96">
        <v>0.99172004305574979</v>
      </c>
      <c r="V25" s="96">
        <v>1.7994823630843217</v>
      </c>
      <c r="W25" s="96">
        <v>3.5765077116122175</v>
      </c>
      <c r="X25" s="96">
        <v>6.4608590320403101</v>
      </c>
      <c r="Y25" s="96">
        <v>7.6784622897477242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1174.703044861064</v>
      </c>
      <c r="C27" s="130">
        <f t="shared" si="24"/>
        <v>1178.2615977118755</v>
      </c>
      <c r="D27" s="130">
        <f t="shared" si="24"/>
        <v>1217.5296068053415</v>
      </c>
      <c r="E27" s="130">
        <f t="shared" si="24"/>
        <v>1219.6938547526609</v>
      </c>
      <c r="F27" s="130">
        <f t="shared" si="24"/>
        <v>1175.7338591228399</v>
      </c>
      <c r="G27" s="130">
        <f t="shared" si="24"/>
        <v>1215.2473705453376</v>
      </c>
      <c r="H27" s="130">
        <f t="shared" si="24"/>
        <v>1316.2518019795834</v>
      </c>
      <c r="I27" s="130">
        <f t="shared" si="24"/>
        <v>1299.0381277626698</v>
      </c>
      <c r="J27" s="130">
        <f t="shared" si="24"/>
        <v>1158.8279310994394</v>
      </c>
      <c r="K27" s="130">
        <f t="shared" si="24"/>
        <v>1113.3893251975344</v>
      </c>
      <c r="L27" s="130">
        <f t="shared" ref="L27" si="25">SUM(L28:L32)</f>
        <v>1122.8493341909473</v>
      </c>
      <c r="M27" s="130">
        <f t="shared" ref="M27:V27" si="26">SUM(M28:M32)</f>
        <v>1054.5734623059461</v>
      </c>
      <c r="N27" s="130">
        <f t="shared" si="26"/>
        <v>1031.1857449566789</v>
      </c>
      <c r="O27" s="130">
        <f t="shared" si="26"/>
        <v>985.89221473683574</v>
      </c>
      <c r="P27" s="130">
        <f t="shared" si="26"/>
        <v>1086.9615571735044</v>
      </c>
      <c r="Q27" s="130">
        <f t="shared" si="26"/>
        <v>1142.7616730767461</v>
      </c>
      <c r="R27" s="130">
        <f t="shared" si="26"/>
        <v>1131.1945688137732</v>
      </c>
      <c r="S27" s="130">
        <f t="shared" si="26"/>
        <v>1199.4685131768695</v>
      </c>
      <c r="T27" s="130">
        <f t="shared" si="26"/>
        <v>1227.118039478054</v>
      </c>
      <c r="U27" s="130">
        <f t="shared" si="26"/>
        <v>1235.7123240183739</v>
      </c>
      <c r="V27" s="130">
        <f t="shared" si="26"/>
        <v>973.04679582871529</v>
      </c>
      <c r="W27" s="130">
        <f t="shared" ref="W27:Y27" si="27">SUM(W28:W32)</f>
        <v>1060.275694474396</v>
      </c>
      <c r="X27" s="130">
        <f t="shared" si="27"/>
        <v>1111.5764949702236</v>
      </c>
      <c r="Y27" s="130">
        <f t="shared" si="27"/>
        <v>1027.0403220355884</v>
      </c>
      <c r="DA27" s="176" t="s">
        <v>406</v>
      </c>
    </row>
    <row r="28" spans="1:105" ht="11.45" customHeight="1" x14ac:dyDescent="0.25">
      <c r="A28" s="111" t="s">
        <v>110</v>
      </c>
      <c r="B28" s="97">
        <v>20.007812076994497</v>
      </c>
      <c r="C28" s="97">
        <v>18.343051490696102</v>
      </c>
      <c r="D28" s="97">
        <v>16.598443381567286</v>
      </c>
      <c r="E28" s="97">
        <v>14.810594715653687</v>
      </c>
      <c r="F28" s="97">
        <v>13.015114157570649</v>
      </c>
      <c r="G28" s="97">
        <v>11.2467397899914</v>
      </c>
      <c r="H28" s="97">
        <v>9.5632021136353131</v>
      </c>
      <c r="I28" s="97">
        <v>8.0810470158906522</v>
      </c>
      <c r="J28" s="97">
        <v>6.6817669141720977</v>
      </c>
      <c r="K28" s="97">
        <v>5.4155080720431625</v>
      </c>
      <c r="L28" s="97">
        <v>4.3115873153495112</v>
      </c>
      <c r="M28" s="97">
        <v>3.3424935039478871</v>
      </c>
      <c r="N28" s="97">
        <v>2.7797743457309383</v>
      </c>
      <c r="O28" s="97">
        <v>2.8359283390410046</v>
      </c>
      <c r="P28" s="97">
        <v>2.4131166059934523</v>
      </c>
      <c r="Q28" s="97">
        <v>1.8685309993748334</v>
      </c>
      <c r="R28" s="97">
        <v>1.221641362778237</v>
      </c>
      <c r="S28" s="97">
        <v>1.0434588369778566</v>
      </c>
      <c r="T28" s="97">
        <v>1.0010138219687099</v>
      </c>
      <c r="U28" s="97">
        <v>0.96532544583910262</v>
      </c>
      <c r="V28" s="97">
        <v>0.91484313680023444</v>
      </c>
      <c r="W28" s="97">
        <v>0.88384182415922585</v>
      </c>
      <c r="X28" s="97">
        <v>0.62936668539570118</v>
      </c>
      <c r="Y28" s="97">
        <v>0.44967027222630068</v>
      </c>
      <c r="DA28" s="175" t="s">
        <v>757</v>
      </c>
    </row>
    <row r="29" spans="1:105" ht="11.45" customHeight="1" x14ac:dyDescent="0.25">
      <c r="A29" s="111" t="s">
        <v>111</v>
      </c>
      <c r="B29" s="97">
        <v>1150.7749035218012</v>
      </c>
      <c r="C29" s="97">
        <v>1155.5934383691215</v>
      </c>
      <c r="D29" s="97">
        <v>1196.4545794609726</v>
      </c>
      <c r="E29" s="97">
        <v>1200.204709316848</v>
      </c>
      <c r="F29" s="97">
        <v>1158.1411668358412</v>
      </c>
      <c r="G29" s="97">
        <v>1197.7544467757318</v>
      </c>
      <c r="H29" s="97">
        <v>1300.139469954511</v>
      </c>
      <c r="I29" s="97">
        <v>1286.0236255232376</v>
      </c>
      <c r="J29" s="97">
        <v>1148.4725274443997</v>
      </c>
      <c r="K29" s="97">
        <v>1104.7040944668233</v>
      </c>
      <c r="L29" s="97">
        <v>1116.3807486077376</v>
      </c>
      <c r="M29" s="97">
        <v>1049.2260773256439</v>
      </c>
      <c r="N29" s="97">
        <v>1025.7962478975439</v>
      </c>
      <c r="O29" s="97">
        <v>981.13630050531526</v>
      </c>
      <c r="P29" s="97">
        <v>1082.1884173662795</v>
      </c>
      <c r="Q29" s="97">
        <v>1133.7855271715391</v>
      </c>
      <c r="R29" s="97">
        <v>1114.0872640954128</v>
      </c>
      <c r="S29" s="97">
        <v>1181.3810501007865</v>
      </c>
      <c r="T29" s="97">
        <v>1207.3787509995709</v>
      </c>
      <c r="U29" s="97">
        <v>1217.2059525002448</v>
      </c>
      <c r="V29" s="97">
        <v>957.33874273908702</v>
      </c>
      <c r="W29" s="97">
        <v>1046.2723528147187</v>
      </c>
      <c r="X29" s="97">
        <v>1097.224134753013</v>
      </c>
      <c r="Y29" s="97">
        <v>1008.7854279882873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2.7374734013117356E-2</v>
      </c>
      <c r="Q30" s="97">
        <v>2.7660148014704768E-2</v>
      </c>
      <c r="R30" s="97">
        <v>5.5321142922581966E-2</v>
      </c>
      <c r="S30" s="97">
        <v>5.5922195368851201E-2</v>
      </c>
      <c r="T30" s="97">
        <v>5.4615766440761715E-2</v>
      </c>
      <c r="U30" s="97">
        <v>5.2927416434237741E-2</v>
      </c>
      <c r="V30" s="97">
        <v>5.1077536955472597E-2</v>
      </c>
      <c r="W30" s="97">
        <v>5.034404262395481E-2</v>
      </c>
      <c r="X30" s="97">
        <v>5.1482845383316871E-2</v>
      </c>
      <c r="Y30" s="97">
        <v>5.116938266437962E-2</v>
      </c>
      <c r="DA30" s="175" t="s">
        <v>759</v>
      </c>
    </row>
    <row r="31" spans="1:105" ht="11.45" customHeight="1" x14ac:dyDescent="0.25">
      <c r="A31" s="111" t="s">
        <v>113</v>
      </c>
      <c r="B31" s="97">
        <v>3.9203292622682269</v>
      </c>
      <c r="C31" s="97">
        <v>4.3251078520579167</v>
      </c>
      <c r="D31" s="97">
        <v>4.4765839628015582</v>
      </c>
      <c r="E31" s="97">
        <v>4.6785507201590715</v>
      </c>
      <c r="F31" s="97">
        <v>4.5775781294281268</v>
      </c>
      <c r="G31" s="97">
        <v>6.2461839796143881</v>
      </c>
      <c r="H31" s="97">
        <v>6.5491299114370918</v>
      </c>
      <c r="I31" s="97">
        <v>4.9334552235416442</v>
      </c>
      <c r="J31" s="97">
        <v>3.6736367408676482</v>
      </c>
      <c r="K31" s="97">
        <v>3.2697226586678019</v>
      </c>
      <c r="L31" s="97">
        <v>2.1569982678602542</v>
      </c>
      <c r="M31" s="97">
        <v>2.0048914763541954</v>
      </c>
      <c r="N31" s="97">
        <v>2.6097227134040768</v>
      </c>
      <c r="O31" s="97">
        <v>1.9199858924794539</v>
      </c>
      <c r="P31" s="97">
        <v>2.3326484672180827</v>
      </c>
      <c r="Q31" s="97">
        <v>7.0799547578174691</v>
      </c>
      <c r="R31" s="97">
        <v>15.830342212659597</v>
      </c>
      <c r="S31" s="97">
        <v>16.988082043736291</v>
      </c>
      <c r="T31" s="97">
        <v>18.683658890073833</v>
      </c>
      <c r="U31" s="97">
        <v>17.4881186558557</v>
      </c>
      <c r="V31" s="97">
        <v>14.742132415872534</v>
      </c>
      <c r="W31" s="97">
        <v>13.069155792894259</v>
      </c>
      <c r="X31" s="97">
        <v>13.671510686431365</v>
      </c>
      <c r="Y31" s="97">
        <v>17.754054392410268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3000.2358769305756</v>
      </c>
      <c r="C33" s="32">
        <f t="shared" si="28"/>
        <v>3196.751388782679</v>
      </c>
      <c r="D33" s="32">
        <f t="shared" si="28"/>
        <v>3523.3124720601372</v>
      </c>
      <c r="E33" s="32">
        <f t="shared" si="28"/>
        <v>3686.9600745622365</v>
      </c>
      <c r="F33" s="32">
        <f t="shared" si="28"/>
        <v>3983.7828890071814</v>
      </c>
      <c r="G33" s="32">
        <f t="shared" si="28"/>
        <v>4837.2945865141191</v>
      </c>
      <c r="H33" s="32">
        <f t="shared" si="28"/>
        <v>5166.6300468796917</v>
      </c>
      <c r="I33" s="32">
        <f t="shared" si="28"/>
        <v>5110.2981802915019</v>
      </c>
      <c r="J33" s="32">
        <f t="shared" si="28"/>
        <v>5181.8107284154639</v>
      </c>
      <c r="K33" s="32">
        <f t="shared" si="28"/>
        <v>4984.2189098185354</v>
      </c>
      <c r="L33" s="32">
        <f t="shared" ref="L33" si="29">L34+L40</f>
        <v>4386.2412869142818</v>
      </c>
      <c r="M33" s="32">
        <f t="shared" ref="M33:V33" si="30">M34+M40</f>
        <v>3957.7891865147835</v>
      </c>
      <c r="N33" s="32">
        <f t="shared" si="30"/>
        <v>3579.1427068923194</v>
      </c>
      <c r="O33" s="32">
        <f t="shared" si="30"/>
        <v>3164.8456960767671</v>
      </c>
      <c r="P33" s="32">
        <f t="shared" si="30"/>
        <v>3909.1354328461362</v>
      </c>
      <c r="Q33" s="32">
        <f t="shared" si="30"/>
        <v>4479.7123400366054</v>
      </c>
      <c r="R33" s="32">
        <f t="shared" si="30"/>
        <v>4366.7649553681613</v>
      </c>
      <c r="S33" s="32">
        <f t="shared" si="30"/>
        <v>4682.8892908425105</v>
      </c>
      <c r="T33" s="32">
        <f t="shared" si="30"/>
        <v>4966.4404923649126</v>
      </c>
      <c r="U33" s="32">
        <f t="shared" si="30"/>
        <v>5008.4209528311749</v>
      </c>
      <c r="V33" s="32">
        <f t="shared" si="30"/>
        <v>4128.5167918028819</v>
      </c>
      <c r="W33" s="32">
        <f t="shared" ref="W33:Y33" si="31">W34+W40</f>
        <v>4955.1425580893747</v>
      </c>
      <c r="X33" s="32">
        <f t="shared" si="31"/>
        <v>5434.817463449278</v>
      </c>
      <c r="Y33" s="32">
        <f t="shared" si="31"/>
        <v>4549.5872794531897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1036.1048655593206</v>
      </c>
      <c r="C34" s="141">
        <f t="shared" si="32"/>
        <v>1076.1558130259677</v>
      </c>
      <c r="D34" s="141">
        <f t="shared" si="32"/>
        <v>1172.4818633241048</v>
      </c>
      <c r="E34" s="141">
        <f t="shared" si="32"/>
        <v>1223.8619370321649</v>
      </c>
      <c r="F34" s="141">
        <f t="shared" si="32"/>
        <v>1242.9522174487774</v>
      </c>
      <c r="G34" s="141">
        <f t="shared" si="32"/>
        <v>1337.4349171528752</v>
      </c>
      <c r="H34" s="141">
        <f t="shared" si="32"/>
        <v>1328.8481485624989</v>
      </c>
      <c r="I34" s="141">
        <f t="shared" si="32"/>
        <v>1347.7855623768501</v>
      </c>
      <c r="J34" s="141">
        <f t="shared" si="32"/>
        <v>1431.6236418800293</v>
      </c>
      <c r="K34" s="141">
        <f t="shared" si="32"/>
        <v>1624.0865899720297</v>
      </c>
      <c r="L34" s="141">
        <f t="shared" ref="L34" si="33">SUM(L35:L39)</f>
        <v>1378.8367719183218</v>
      </c>
      <c r="M34" s="141">
        <f t="shared" ref="M34:V34" si="34">SUM(M35:M39)</f>
        <v>1388.4179254148198</v>
      </c>
      <c r="N34" s="141">
        <f t="shared" si="34"/>
        <v>1401.6725401650453</v>
      </c>
      <c r="O34" s="141">
        <f t="shared" si="34"/>
        <v>1379.4304335038262</v>
      </c>
      <c r="P34" s="141">
        <f t="shared" si="34"/>
        <v>1519.070012739639</v>
      </c>
      <c r="Q34" s="141">
        <f t="shared" si="34"/>
        <v>1631.6498743729373</v>
      </c>
      <c r="R34" s="141">
        <f t="shared" si="34"/>
        <v>1659.3830235214684</v>
      </c>
      <c r="S34" s="141">
        <f t="shared" si="34"/>
        <v>1784.3118485350931</v>
      </c>
      <c r="T34" s="141">
        <f t="shared" si="34"/>
        <v>1889.5760432431225</v>
      </c>
      <c r="U34" s="141">
        <f t="shared" si="34"/>
        <v>1980.3397829758774</v>
      </c>
      <c r="V34" s="141">
        <f t="shared" si="34"/>
        <v>1913.9301385199722</v>
      </c>
      <c r="W34" s="141">
        <f t="shared" ref="W34:Y34" si="35">SUM(W35:W39)</f>
        <v>2087.9046573424462</v>
      </c>
      <c r="X34" s="141">
        <f t="shared" si="35"/>
        <v>2206.3856528294573</v>
      </c>
      <c r="Y34" s="141">
        <f t="shared" si="35"/>
        <v>2132.2669604503621</v>
      </c>
      <c r="DA34" s="174" t="s">
        <v>412</v>
      </c>
    </row>
    <row r="35" spans="1:105" ht="11.45" customHeight="1" x14ac:dyDescent="0.25">
      <c r="A35" s="111" t="s">
        <v>110</v>
      </c>
      <c r="B35" s="96">
        <v>274.4030780911088</v>
      </c>
      <c r="C35" s="96">
        <v>251.64115311500746</v>
      </c>
      <c r="D35" s="96">
        <v>224.661806874023</v>
      </c>
      <c r="E35" s="96">
        <v>200.75016800277857</v>
      </c>
      <c r="F35" s="96">
        <v>180.21060575007422</v>
      </c>
      <c r="G35" s="96">
        <v>161.65283739323627</v>
      </c>
      <c r="H35" s="96">
        <v>144.38535873338088</v>
      </c>
      <c r="I35" s="96">
        <v>126.57325517197401</v>
      </c>
      <c r="J35" s="96">
        <v>101.19274233601774</v>
      </c>
      <c r="K35" s="96">
        <v>90.62934006316911</v>
      </c>
      <c r="L35" s="96">
        <v>80.12281142048738</v>
      </c>
      <c r="M35" s="96">
        <v>70.538050361747096</v>
      </c>
      <c r="N35" s="96">
        <v>66.976386221419773</v>
      </c>
      <c r="O35" s="96">
        <v>60.87258570663348</v>
      </c>
      <c r="P35" s="96">
        <v>53.064763363601791</v>
      </c>
      <c r="Q35" s="96">
        <v>47.519765351716302</v>
      </c>
      <c r="R35" s="96">
        <v>44.233011109349057</v>
      </c>
      <c r="S35" s="96">
        <v>42.78822093273039</v>
      </c>
      <c r="T35" s="96">
        <v>42.377596272552125</v>
      </c>
      <c r="U35" s="96">
        <v>42.758087065358552</v>
      </c>
      <c r="V35" s="96">
        <v>39.2773228943338</v>
      </c>
      <c r="W35" s="96">
        <v>38.151888098623751</v>
      </c>
      <c r="X35" s="96">
        <v>37.348027814138113</v>
      </c>
      <c r="Y35" s="96">
        <v>39.149726074576847</v>
      </c>
      <c r="DA35" s="171" t="s">
        <v>762</v>
      </c>
    </row>
    <row r="36" spans="1:105" ht="11.45" customHeight="1" x14ac:dyDescent="0.25">
      <c r="A36" s="111" t="s">
        <v>111</v>
      </c>
      <c r="B36" s="96">
        <v>761.68389673048011</v>
      </c>
      <c r="C36" s="96">
        <v>824.0096968794486</v>
      </c>
      <c r="D36" s="96">
        <v>947.3409459469317</v>
      </c>
      <c r="E36" s="96">
        <v>1022.6375143448055</v>
      </c>
      <c r="F36" s="96">
        <v>1062.2768907512605</v>
      </c>
      <c r="G36" s="96">
        <v>1175.3318406786077</v>
      </c>
      <c r="H36" s="96">
        <v>1184.0225249563528</v>
      </c>
      <c r="I36" s="96">
        <v>1220.7893963665529</v>
      </c>
      <c r="J36" s="96">
        <v>1330.0281350408113</v>
      </c>
      <c r="K36" s="96">
        <v>1533.0799516733828</v>
      </c>
      <c r="L36" s="96">
        <v>1298.3650808950265</v>
      </c>
      <c r="M36" s="96">
        <v>1317.5624877607063</v>
      </c>
      <c r="N36" s="96">
        <v>1334.4034028973244</v>
      </c>
      <c r="O36" s="96">
        <v>1318.1728126401333</v>
      </c>
      <c r="P36" s="96">
        <v>1465.6125019299998</v>
      </c>
      <c r="Q36" s="96">
        <v>1583.0283436540424</v>
      </c>
      <c r="R36" s="96">
        <v>1614.0268933822019</v>
      </c>
      <c r="S36" s="96">
        <v>1740.2740417280634</v>
      </c>
      <c r="T36" s="96">
        <v>1845.7892683485104</v>
      </c>
      <c r="U36" s="96">
        <v>1936.1690512848572</v>
      </c>
      <c r="V36" s="96">
        <v>1873.2532994487967</v>
      </c>
      <c r="W36" s="96">
        <v>2048.3558778965244</v>
      </c>
      <c r="X36" s="96">
        <v>2167.5159943577951</v>
      </c>
      <c r="Y36" s="96">
        <v>2090.3604268669724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0.48793088356950309</v>
      </c>
      <c r="D37" s="96">
        <v>0.46208446595135266</v>
      </c>
      <c r="E37" s="96">
        <v>0.45723540473980184</v>
      </c>
      <c r="F37" s="96">
        <v>0.44770907687098527</v>
      </c>
      <c r="G37" s="96">
        <v>0.43566306064551963</v>
      </c>
      <c r="H37" s="96">
        <v>0.4256947842023876</v>
      </c>
      <c r="I37" s="96">
        <v>0.40834606186467809</v>
      </c>
      <c r="J37" s="96">
        <v>0.39063124406785255</v>
      </c>
      <c r="K37" s="96">
        <v>0.36517089414573095</v>
      </c>
      <c r="L37" s="96">
        <v>0.33918253826001271</v>
      </c>
      <c r="M37" s="96">
        <v>0.30769514432254519</v>
      </c>
      <c r="N37" s="96">
        <v>0.28032495205440588</v>
      </c>
      <c r="O37" s="96">
        <v>0.24761699712077334</v>
      </c>
      <c r="P37" s="96">
        <v>0.21426019046156755</v>
      </c>
      <c r="Q37" s="96">
        <v>0.19066422336669694</v>
      </c>
      <c r="R37" s="96">
        <v>0.15824483193221658</v>
      </c>
      <c r="S37" s="96">
        <v>0.12642921093383994</v>
      </c>
      <c r="T37" s="96">
        <v>0.10272130532677767</v>
      </c>
      <c r="U37" s="96">
        <v>7.6991255452957333E-2</v>
      </c>
      <c r="V37" s="96">
        <v>6.2813880047035558E-2</v>
      </c>
      <c r="W37" s="96">
        <v>4.907346490963279E-2</v>
      </c>
      <c r="X37" s="96">
        <v>0.17368955791566437</v>
      </c>
      <c r="Y37" s="96">
        <v>0.51057459054957088</v>
      </c>
      <c r="DA37" s="171" t="s">
        <v>764</v>
      </c>
    </row>
    <row r="38" spans="1:105" ht="11.45" customHeight="1" x14ac:dyDescent="0.25">
      <c r="A38" s="111" t="s">
        <v>113</v>
      </c>
      <c r="B38" s="96">
        <v>1.7890737731772084E-2</v>
      </c>
      <c r="C38" s="96">
        <v>1.7032147942082323E-2</v>
      </c>
      <c r="D38" s="96">
        <v>1.7026037198441396E-2</v>
      </c>
      <c r="E38" s="96">
        <v>1.7019279840928953E-2</v>
      </c>
      <c r="F38" s="96">
        <v>1.7011870571873974E-2</v>
      </c>
      <c r="G38" s="96">
        <v>1.4576020385613566E-2</v>
      </c>
      <c r="H38" s="96">
        <v>1.457008856290801E-2</v>
      </c>
      <c r="I38" s="96">
        <v>1.4564776458356413E-2</v>
      </c>
      <c r="J38" s="96">
        <v>1.2133259132351689E-2</v>
      </c>
      <c r="K38" s="96">
        <v>1.2127341332198277E-2</v>
      </c>
      <c r="L38" s="96">
        <v>9.6970645478267337E-3</v>
      </c>
      <c r="M38" s="96">
        <v>9.6921480440888275E-3</v>
      </c>
      <c r="N38" s="96">
        <v>1.2426094246910258E-2</v>
      </c>
      <c r="O38" s="96">
        <v>0.13741815993844972</v>
      </c>
      <c r="P38" s="96">
        <v>0.17848725557593312</v>
      </c>
      <c r="Q38" s="96">
        <v>0.91110114381184804</v>
      </c>
      <c r="R38" s="96">
        <v>0.96487419798524665</v>
      </c>
      <c r="S38" s="96">
        <v>1.1231566633655778</v>
      </c>
      <c r="T38" s="96">
        <v>1.306457316733346</v>
      </c>
      <c r="U38" s="96">
        <v>1.3356533702088278</v>
      </c>
      <c r="V38" s="96">
        <v>1.3367022967944449</v>
      </c>
      <c r="W38" s="96">
        <v>1.3478178823883347</v>
      </c>
      <c r="X38" s="96">
        <v>1.3479410996084136</v>
      </c>
      <c r="Y38" s="96">
        <v>2.2462329182633427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1964.1310113712548</v>
      </c>
      <c r="C40" s="130">
        <f t="shared" si="36"/>
        <v>2120.5955757567112</v>
      </c>
      <c r="D40" s="130">
        <f t="shared" si="36"/>
        <v>2350.8306087360324</v>
      </c>
      <c r="E40" s="130">
        <f t="shared" si="36"/>
        <v>2463.0981375300717</v>
      </c>
      <c r="F40" s="130">
        <f t="shared" si="36"/>
        <v>2740.830671558404</v>
      </c>
      <c r="G40" s="130">
        <f t="shared" si="36"/>
        <v>3499.8596693612444</v>
      </c>
      <c r="H40" s="130">
        <f t="shared" si="36"/>
        <v>3837.7818983171928</v>
      </c>
      <c r="I40" s="130">
        <f t="shared" si="36"/>
        <v>3762.5126179146514</v>
      </c>
      <c r="J40" s="130">
        <f t="shared" si="36"/>
        <v>3750.1870865354349</v>
      </c>
      <c r="K40" s="130">
        <f t="shared" si="36"/>
        <v>3360.1323198465057</v>
      </c>
      <c r="L40" s="130">
        <f t="shared" ref="L40" si="37">SUM(L41:L42)</f>
        <v>3007.4045149959597</v>
      </c>
      <c r="M40" s="130">
        <f t="shared" ref="M40:V40" si="38">SUM(M41:M42)</f>
        <v>2569.3712610999637</v>
      </c>
      <c r="N40" s="130">
        <f t="shared" si="38"/>
        <v>2177.4701667272739</v>
      </c>
      <c r="O40" s="130">
        <f t="shared" si="38"/>
        <v>1785.4152625729407</v>
      </c>
      <c r="P40" s="130">
        <f t="shared" si="38"/>
        <v>2390.0654201064972</v>
      </c>
      <c r="Q40" s="130">
        <f t="shared" si="38"/>
        <v>2848.0624656636683</v>
      </c>
      <c r="R40" s="130">
        <f t="shared" si="38"/>
        <v>2707.3819318466926</v>
      </c>
      <c r="S40" s="130">
        <f t="shared" si="38"/>
        <v>2898.5774423074176</v>
      </c>
      <c r="T40" s="130">
        <f t="shared" si="38"/>
        <v>3076.8644491217906</v>
      </c>
      <c r="U40" s="130">
        <f t="shared" si="38"/>
        <v>3028.0811698552975</v>
      </c>
      <c r="V40" s="130">
        <f t="shared" si="38"/>
        <v>2214.5866532829095</v>
      </c>
      <c r="W40" s="130">
        <f t="shared" ref="W40:Y40" si="39">SUM(W41:W42)</f>
        <v>2867.2379007469285</v>
      </c>
      <c r="X40" s="130">
        <f t="shared" si="39"/>
        <v>3228.4318106198207</v>
      </c>
      <c r="Y40" s="130">
        <f t="shared" si="39"/>
        <v>2417.3203190028271</v>
      </c>
      <c r="DA40" s="176" t="s">
        <v>413</v>
      </c>
    </row>
    <row r="41" spans="1:105" ht="11.45" customHeight="1" x14ac:dyDescent="0.25">
      <c r="A41" s="128" t="s">
        <v>27</v>
      </c>
      <c r="B41" s="97">
        <v>1256.7606542216058</v>
      </c>
      <c r="C41" s="97">
        <v>1281.6940678011972</v>
      </c>
      <c r="D41" s="97">
        <v>1288.6786729435812</v>
      </c>
      <c r="E41" s="97">
        <v>1302.0239334100283</v>
      </c>
      <c r="F41" s="97">
        <v>1379.2340126149027</v>
      </c>
      <c r="G41" s="97">
        <v>1894.0986397543929</v>
      </c>
      <c r="H41" s="97">
        <v>2045.0369784048817</v>
      </c>
      <c r="I41" s="97">
        <v>2066.9349828389563</v>
      </c>
      <c r="J41" s="97">
        <v>1893.2359328234506</v>
      </c>
      <c r="K41" s="97">
        <v>1941.5455810952133</v>
      </c>
      <c r="L41" s="97">
        <v>1611.1936721905661</v>
      </c>
      <c r="M41" s="97">
        <v>1419.1253925057731</v>
      </c>
      <c r="N41" s="97">
        <v>1184.4026182775879</v>
      </c>
      <c r="O41" s="97">
        <v>1092.9545387981304</v>
      </c>
      <c r="P41" s="97">
        <v>1238.9063207098875</v>
      </c>
      <c r="Q41" s="97">
        <v>1366.4532184208504</v>
      </c>
      <c r="R41" s="97">
        <v>1370.2246957020247</v>
      </c>
      <c r="S41" s="97">
        <v>1374.5906558040895</v>
      </c>
      <c r="T41" s="97">
        <v>1504.4097735434757</v>
      </c>
      <c r="U41" s="97">
        <v>1513.0797907338517</v>
      </c>
      <c r="V41" s="97">
        <v>1303.9714414589882</v>
      </c>
      <c r="W41" s="97">
        <v>1558.2754199683134</v>
      </c>
      <c r="X41" s="97">
        <v>1551.0137198717694</v>
      </c>
      <c r="Y41" s="97">
        <v>1357.6474156096115</v>
      </c>
      <c r="DA41" s="175" t="s">
        <v>767</v>
      </c>
    </row>
    <row r="42" spans="1:105" ht="11.45" customHeight="1" x14ac:dyDescent="0.25">
      <c r="A42" s="138" t="s">
        <v>116</v>
      </c>
      <c r="B42" s="98">
        <v>707.37035714964907</v>
      </c>
      <c r="C42" s="98">
        <v>838.90150795551392</v>
      </c>
      <c r="D42" s="98">
        <v>1062.1519357924512</v>
      </c>
      <c r="E42" s="98">
        <v>1161.0742041200435</v>
      </c>
      <c r="F42" s="98">
        <v>1361.5966589435016</v>
      </c>
      <c r="G42" s="98">
        <v>1605.7610296068515</v>
      </c>
      <c r="H42" s="98">
        <v>1792.7449199123112</v>
      </c>
      <c r="I42" s="98">
        <v>1695.5776350756951</v>
      </c>
      <c r="J42" s="98">
        <v>1856.9511537119845</v>
      </c>
      <c r="K42" s="98">
        <v>1418.5867387512924</v>
      </c>
      <c r="L42" s="98">
        <v>1396.2108428053937</v>
      </c>
      <c r="M42" s="98">
        <v>1150.2458685941908</v>
      </c>
      <c r="N42" s="98">
        <v>993.06754844968577</v>
      </c>
      <c r="O42" s="98">
        <v>692.46072377481016</v>
      </c>
      <c r="P42" s="98">
        <v>1151.1590993966099</v>
      </c>
      <c r="Q42" s="98">
        <v>1481.6092472428179</v>
      </c>
      <c r="R42" s="98">
        <v>1337.1572361446679</v>
      </c>
      <c r="S42" s="98">
        <v>1523.9867865033282</v>
      </c>
      <c r="T42" s="98">
        <v>1572.4546755783149</v>
      </c>
      <c r="U42" s="98">
        <v>1515.0013791214458</v>
      </c>
      <c r="V42" s="98">
        <v>910.61521182392153</v>
      </c>
      <c r="W42" s="98">
        <v>1308.9624807786151</v>
      </c>
      <c r="X42" s="98">
        <v>1677.4180907480516</v>
      </c>
      <c r="Y42" s="98">
        <v>1059.6729033932154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2.9998351302234574</v>
      </c>
      <c r="C47" s="145">
        <f>IF(C4=0,0,C4/TrRoad_ene!C4)</f>
        <v>3.0010909389580291</v>
      </c>
      <c r="D47" s="145">
        <f>IF(D4=0,0,D4/TrRoad_ene!D4)</f>
        <v>3.0051568819554046</v>
      </c>
      <c r="E47" s="145">
        <f>IF(E4=0,0,E4/TrRoad_ene!E4)</f>
        <v>3.0038393482937593</v>
      </c>
      <c r="F47" s="145">
        <f>IF(F4=0,0,F4/TrRoad_ene!F4)</f>
        <v>3.0080415991981129</v>
      </c>
      <c r="G47" s="145">
        <f>IF(G4=0,0,G4/TrRoad_ene!G4)</f>
        <v>3.0131129148251259</v>
      </c>
      <c r="H47" s="145">
        <f>IF(H4=0,0,H4/TrRoad_ene!H4)</f>
        <v>3.0114816238028088</v>
      </c>
      <c r="I47" s="145">
        <f>IF(I4=0,0,I4/TrRoad_ene!I4)</f>
        <v>2.999515377486289</v>
      </c>
      <c r="J47" s="145">
        <f>IF(J4=0,0,J4/TrRoad_ene!J4)</f>
        <v>2.9073001973763479</v>
      </c>
      <c r="K47" s="145">
        <f>IF(K4=0,0,K4/TrRoad_ene!K4)</f>
        <v>2.9035714291901171</v>
      </c>
      <c r="L47" s="145">
        <f>IF(L4=0,0,L4/TrRoad_ene!L4)</f>
        <v>2.8903489710906878</v>
      </c>
      <c r="M47" s="145">
        <f>IF(M4=0,0,M4/TrRoad_ene!M4)</f>
        <v>2.8920119126062778</v>
      </c>
      <c r="N47" s="145">
        <f>IF(N4=0,0,N4/TrRoad_ene!N4)</f>
        <v>2.8917536091677687</v>
      </c>
      <c r="O47" s="145">
        <f>IF(O4=0,0,O4/TrRoad_ene!O4)</f>
        <v>2.8956520716316119</v>
      </c>
      <c r="P47" s="145">
        <f>IF(P4=0,0,P4/TrRoad_ene!P4)</f>
        <v>2.8712567925873902</v>
      </c>
      <c r="Q47" s="145">
        <f>IF(Q4=0,0,Q4/TrRoad_ene!Q4)</f>
        <v>2.8976553902948661</v>
      </c>
      <c r="R47" s="145">
        <f>IF(R4=0,0,R4/TrRoad_ene!R4)</f>
        <v>2.8904014983396982</v>
      </c>
      <c r="S47" s="145">
        <f>IF(S4=0,0,S4/TrRoad_ene!S4)</f>
        <v>2.9159446616270466</v>
      </c>
      <c r="T47" s="145">
        <f>IF(T4=0,0,T4/TrRoad_ene!T4)</f>
        <v>2.905161953428288</v>
      </c>
      <c r="U47" s="145">
        <f>IF(U4=0,0,U4/TrRoad_ene!U4)</f>
        <v>2.906081659950555</v>
      </c>
      <c r="V47" s="145">
        <f>IF(V4=0,0,V4/TrRoad_ene!V4)</f>
        <v>2.8328175544227063</v>
      </c>
      <c r="W47" s="145">
        <f>IF(W4=0,0,W4/TrRoad_ene!W4)</f>
        <v>2.850638600004233</v>
      </c>
      <c r="X47" s="145">
        <f>IF(X4=0,0,X4/TrRoad_ene!X4)</f>
        <v>2.8524587184117234</v>
      </c>
      <c r="Y47" s="145">
        <f>IF(Y4=0,0,Y4/TrRoad_ene!Y4)</f>
        <v>2.82843644782763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2.9014524000000006</v>
      </c>
      <c r="G48" s="97">
        <f>IF(G7=0,0,(G7+G12)/(TrRoad_ene!G7+TrRoad_ene!G12))</f>
        <v>2.8967224887117373</v>
      </c>
      <c r="H48" s="97">
        <f>IF(H7=0,0,(H7+H12)/(TrRoad_ene!H7+TrRoad_ene!H12))</f>
        <v>2.8818245782411482</v>
      </c>
      <c r="I48" s="97">
        <f>IF(I7=0,0,(I7+I12)/(TrRoad_ene!I7+TrRoad_ene!I12))</f>
        <v>2.8541465417396519</v>
      </c>
      <c r="J48" s="97">
        <f>IF(J7=0,0,(J7+J12)/(TrRoad_ene!J7+TrRoad_ene!J12))</f>
        <v>2.8186443949225786</v>
      </c>
      <c r="K48" s="97">
        <f>IF(K7=0,0,(K7+K12)/(TrRoad_ene!K7+TrRoad_ene!K12))</f>
        <v>2.8186443949225786</v>
      </c>
      <c r="L48" s="97">
        <f>IF(L7=0,0,(L7+L12)/(TrRoad_ene!L7+TrRoad_ene!L12))</f>
        <v>2.7846729472241707</v>
      </c>
      <c r="M48" s="97">
        <f>IF(M7=0,0,(M7+M12)/(TrRoad_ene!M7+TrRoad_ene!M12))</f>
        <v>2.7795040096728192</v>
      </c>
      <c r="N48" s="97">
        <f>IF(N7=0,0,(N7+N12)/(TrRoad_ene!N7+TrRoad_ene!N12))</f>
        <v>2.7866545131448195</v>
      </c>
      <c r="O48" s="97">
        <f>IF(O7=0,0,(O7+O12)/(TrRoad_ene!O7+TrRoad_ene!O12))</f>
        <v>2.8260996710326025</v>
      </c>
      <c r="P48" s="97">
        <f>IF(P7=0,0,(P7+P12)/(TrRoad_ene!P7+TrRoad_ene!P12))</f>
        <v>2.7671156453199903</v>
      </c>
      <c r="Q48" s="97">
        <f>IF(Q7=0,0,(Q7+Q12)/(TrRoad_ene!Q7+TrRoad_ene!Q12))</f>
        <v>2.808292121106116</v>
      </c>
      <c r="R48" s="97">
        <f>IF(R7=0,0,(R7+R12)/(TrRoad_ene!R7+TrRoad_ene!R12))</f>
        <v>2.8072445920761835</v>
      </c>
      <c r="S48" s="97">
        <f>IF(S7=0,0,(S7+S12)/(TrRoad_ene!S7+TrRoad_ene!S12))</f>
        <v>2.8068129343975876</v>
      </c>
      <c r="T48" s="97">
        <f>IF(T7=0,0,(T7+T12)/(TrRoad_ene!T7+TrRoad_ene!T12))</f>
        <v>2.7995731558968746</v>
      </c>
      <c r="U48" s="97">
        <f>IF(U7=0,0,(U7+U12)/(TrRoad_ene!U7+TrRoad_ene!U12))</f>
        <v>2.8159769506326686</v>
      </c>
      <c r="V48" s="97">
        <f>IF(V7=0,0,(V7+V12)/(TrRoad_ene!V7+TrRoad_ene!V12))</f>
        <v>2.7266820026649459</v>
      </c>
      <c r="W48" s="97">
        <f>IF(W7=0,0,(W7+W12)/(TrRoad_ene!W7+TrRoad_ene!W12))</f>
        <v>2.730272492759541</v>
      </c>
      <c r="X48" s="97">
        <f>IF(X7=0,0,(X7+X12)/(TrRoad_ene!X7+TrRoad_ene!X12))</f>
        <v>2.7339323297604108</v>
      </c>
      <c r="Y48" s="97">
        <f>IF(Y7=0,0,(Y7+Y12)/(TrRoad_ene!Y7+TrRoad_ene!Y12))</f>
        <v>2.7359320172015442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3.1024188000000006</v>
      </c>
      <c r="C49" s="97">
        <f>IF(C8=0,0,(C8+C13+C14)/(TrRoad_ene!C8+TrRoad_ene!C13+TrRoad_ene!C14))</f>
        <v>3.1024188000000006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3.1002673648376375</v>
      </c>
      <c r="J49" s="97">
        <f>IF(J8=0,0,(J8+J13+J14)/(TrRoad_ene!J8+TrRoad_ene!J13+TrRoad_ene!J14))</f>
        <v>2.9655693382756723</v>
      </c>
      <c r="K49" s="97">
        <f>IF(K8=0,0,(K8+K13+K14)/(TrRoad_ene!K8+TrRoad_ene!K13+TrRoad_ene!K14))</f>
        <v>2.9593395310568242</v>
      </c>
      <c r="L49" s="97">
        <f>IF(L8=0,0,(L8+L13+L14)/(TrRoad_ene!L8+TrRoad_ene!L13+TrRoad_ene!L14))</f>
        <v>2.9542569776921774</v>
      </c>
      <c r="M49" s="97">
        <f>IF(M8=0,0,(M8+M13+M14)/(TrRoad_ene!M8+TrRoad_ene!M13+TrRoad_ene!M14))</f>
        <v>2.9603021380203494</v>
      </c>
      <c r="N49" s="97">
        <f>IF(N8=0,0,(N8+N13+N14)/(TrRoad_ene!N8+TrRoad_ene!N13+TrRoad_ene!N14))</f>
        <v>2.9568069084736672</v>
      </c>
      <c r="O49" s="97">
        <f>IF(O8=0,0,(O8+O13+O14)/(TrRoad_ene!O8+TrRoad_ene!O13+TrRoad_ene!O14))</f>
        <v>2.941431325207827</v>
      </c>
      <c r="P49" s="97">
        <f>IF(P8=0,0,(P8+P13+P14)/(TrRoad_ene!P8+TrRoad_ene!P13+TrRoad_ene!P14))</f>
        <v>2.9328268358455247</v>
      </c>
      <c r="Q49" s="97">
        <f>IF(Q8=0,0,(Q8+Q13+Q14)/(TrRoad_ene!Q8+TrRoad_ene!Q13+TrRoad_ene!Q14))</f>
        <v>2.9468437187762264</v>
      </c>
      <c r="R49" s="97">
        <f>IF(R8=0,0,(R8+R13+R14)/(TrRoad_ene!R8+TrRoad_ene!R13+TrRoad_ene!R14))</f>
        <v>2.9369868703825825</v>
      </c>
      <c r="S49" s="97">
        <f>IF(S8=0,0,(S8+S13+S14)/(TrRoad_ene!S8+TrRoad_ene!S13+TrRoad_ene!S14))</f>
        <v>2.9735691946377454</v>
      </c>
      <c r="T49" s="97">
        <f>IF(T8=0,0,(T8+T13+T14)/(TrRoad_ene!T8+TrRoad_ene!T13+TrRoad_ene!T14))</f>
        <v>2.9593548253416611</v>
      </c>
      <c r="U49" s="97">
        <f>IF(U8=0,0,(U8+U13+U14)/(TrRoad_ene!U8+TrRoad_ene!U13+TrRoad_ene!U14))</f>
        <v>2.9535052325951887</v>
      </c>
      <c r="V49" s="97">
        <f>IF(V8=0,0,(V8+V13+V14)/(TrRoad_ene!V8+TrRoad_ene!V13+TrRoad_ene!V14))</f>
        <v>2.8897249818895183</v>
      </c>
      <c r="W49" s="97">
        <f>IF(W8=0,0,(W8+W13+W14)/(TrRoad_ene!W8+TrRoad_ene!W13+TrRoad_ene!W14))</f>
        <v>2.9122264030946443</v>
      </c>
      <c r="X49" s="97">
        <f>IF(X8=0,0,(X8+X13+X14)/(TrRoad_ene!X8+TrRoad_ene!X13+TrRoad_ene!X14))</f>
        <v>2.913670709183755</v>
      </c>
      <c r="Y49" s="97">
        <f>IF(Y8=0,0,(Y8+Y13+Y14)/(TrRoad_ene!Y8+TrRoad_ene!Y13+TrRoad_ene!Y14))</f>
        <v>2.8845867925625472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2.3475024228929033</v>
      </c>
      <c r="T51" s="97">
        <f>IF(T9=0,0,(T9+T11)/(TrRoad_ene!T9+TrRoad_ene!T11))</f>
        <v>2.3474668325769112</v>
      </c>
      <c r="U51" s="97">
        <f>IF(U9=0,0,(U9+U11)/(TrRoad_ene!U9+TrRoad_ene!U11))</f>
        <v>2.3473603041710067</v>
      </c>
      <c r="V51" s="97">
        <f>IF(V9=0,0,(V9+V11)/(TrRoad_ene!V9+TrRoad_ene!V11))</f>
        <v>2.3474262324561823</v>
      </c>
      <c r="W51" s="97">
        <f>IF(W9=0,0,(W9+W11)/(TrRoad_ene!W9+TrRoad_ene!W11))</f>
        <v>2.3475842073351285</v>
      </c>
      <c r="X51" s="97">
        <f>IF(X9=0,0,(X9+X11)/(TrRoad_ene!X9+TrRoad_ene!X11))</f>
        <v>2.3473971983473181</v>
      </c>
      <c r="Y51" s="97">
        <f>IF(Y9=0,0,(Y9+Y11)/(TrRoad_ene!Y9+TrRoad_ene!Y11))</f>
        <v>2.3458468425124273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336.81106233649535</v>
      </c>
      <c r="C54" s="62">
        <f>IF(TrRoad_act!C30=0,0,C17/TrRoad_act!C30*1000
)</f>
        <v>333.78779794827113</v>
      </c>
      <c r="D54" s="62">
        <f>IF(TrRoad_act!D30=0,0,D17/TrRoad_act!D30*1000
)</f>
        <v>338.82297522266282</v>
      </c>
      <c r="E54" s="62">
        <f>IF(TrRoad_act!E30=0,0,E17/TrRoad_act!E30*1000
)</f>
        <v>337.65120825616168</v>
      </c>
      <c r="F54" s="62">
        <f>IF(TrRoad_act!F30=0,0,F17/TrRoad_act!F30*1000
)</f>
        <v>339.48292443586672</v>
      </c>
      <c r="G54" s="62">
        <f>IF(TrRoad_act!G30=0,0,G17/TrRoad_act!G30*1000
)</f>
        <v>342.61766642760705</v>
      </c>
      <c r="H54" s="62">
        <f>IF(TrRoad_act!H30=0,0,H17/TrRoad_act!H30*1000
)</f>
        <v>357.27870591635053</v>
      </c>
      <c r="I54" s="62">
        <f>IF(TrRoad_act!I30=0,0,I17/TrRoad_act!I30*1000
)</f>
        <v>343.6500718603026</v>
      </c>
      <c r="J54" s="62">
        <f>IF(TrRoad_act!J30=0,0,J17/TrRoad_act!J30*1000
)</f>
        <v>331.02577854100582</v>
      </c>
      <c r="K54" s="62">
        <f>IF(TrRoad_act!K30=0,0,K17/TrRoad_act!K30*1000
)</f>
        <v>304.10115758186726</v>
      </c>
      <c r="L54" s="62">
        <f>IF(TrRoad_act!L30=0,0,L17/TrRoad_act!L30*1000
)</f>
        <v>306.16752125018354</v>
      </c>
      <c r="M54" s="62">
        <f>IF(TrRoad_act!M30=0,0,M17/TrRoad_act!M30*1000
)</f>
        <v>304.656585358521</v>
      </c>
      <c r="N54" s="62">
        <f>IF(TrRoad_act!N30=0,0,N17/TrRoad_act!N30*1000
)</f>
        <v>291.09928177130359</v>
      </c>
      <c r="O54" s="62">
        <f>IF(TrRoad_act!O30=0,0,O17/TrRoad_act!O30*1000
)</f>
        <v>274.19928979414732</v>
      </c>
      <c r="P54" s="62">
        <f>IF(TrRoad_act!P30=0,0,P17/TrRoad_act!P30*1000
)</f>
        <v>292.74003815497417</v>
      </c>
      <c r="Q54" s="62">
        <f>IF(TrRoad_act!Q30=0,0,Q17/TrRoad_act!Q30*1000
)</f>
        <v>302.29269907130896</v>
      </c>
      <c r="R54" s="62">
        <f>IF(TrRoad_act!R30=0,0,R17/TrRoad_act!R30*1000
)</f>
        <v>291.40781965811448</v>
      </c>
      <c r="S54" s="62">
        <f>IF(TrRoad_act!S30=0,0,S17/TrRoad_act!S30*1000
)</f>
        <v>292.23687171460318</v>
      </c>
      <c r="T54" s="62">
        <f>IF(TrRoad_act!T30=0,0,T17/TrRoad_act!T30*1000
)</f>
        <v>285.35222917741868</v>
      </c>
      <c r="U54" s="62">
        <f>IF(TrRoad_act!U30=0,0,U17/TrRoad_act!U30*1000
)</f>
        <v>272.8896963845371</v>
      </c>
      <c r="V54" s="62">
        <f>IF(TrRoad_act!V30=0,0,V17/TrRoad_act!V30*1000
)</f>
        <v>242.03052759314414</v>
      </c>
      <c r="W54" s="62">
        <f>IF(TrRoad_act!W30=0,0,W17/TrRoad_act!W30*1000
)</f>
        <v>257.01925968276186</v>
      </c>
      <c r="X54" s="62">
        <f>IF(TrRoad_act!X30=0,0,X17/TrRoad_act!X30*1000
)</f>
        <v>256.52716070901494</v>
      </c>
      <c r="Y54" s="62">
        <f>IF(TrRoad_act!Y30=0,0,Y17/TrRoad_act!Y30*1000
)</f>
        <v>235.91140818867765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275.57548037459946</v>
      </c>
      <c r="C55" s="29">
        <f>IF(TrRoad_act!C31=0,0,C18/TrRoad_act!C31*1000
)</f>
        <v>270.02452135259182</v>
      </c>
      <c r="D55" s="29">
        <f>IF(TrRoad_act!D31=0,0,D18/TrRoad_act!D31*1000
)</f>
        <v>268.46149150262693</v>
      </c>
      <c r="E55" s="29">
        <f>IF(TrRoad_act!E31=0,0,E18/TrRoad_act!E31*1000
)</f>
        <v>265.87869597729906</v>
      </c>
      <c r="F55" s="29">
        <f>IF(TrRoad_act!F31=0,0,F18/TrRoad_act!F31*1000
)</f>
        <v>262.7654362006171</v>
      </c>
      <c r="G55" s="29">
        <f>IF(TrRoad_act!G31=0,0,G18/TrRoad_act!G31*1000
)</f>
        <v>248.01552076817791</v>
      </c>
      <c r="H55" s="29">
        <f>IF(TrRoad_act!H31=0,0,H18/TrRoad_act!H31*1000
)</f>
        <v>259.13615986455983</v>
      </c>
      <c r="I55" s="29">
        <f>IF(TrRoad_act!I31=0,0,I18/TrRoad_act!I31*1000
)</f>
        <v>253.7394825778083</v>
      </c>
      <c r="J55" s="29">
        <f>IF(TrRoad_act!J31=0,0,J18/TrRoad_act!J31*1000
)</f>
        <v>242.33562346496754</v>
      </c>
      <c r="K55" s="29">
        <f>IF(TrRoad_act!K31=0,0,K18/TrRoad_act!K31*1000
)</f>
        <v>226.94239786662669</v>
      </c>
      <c r="L55" s="29">
        <f>IF(TrRoad_act!L31=0,0,L18/TrRoad_act!L31*1000
)</f>
        <v>229.63627517561002</v>
      </c>
      <c r="M55" s="29">
        <f>IF(TrRoad_act!M31=0,0,M18/TrRoad_act!M31*1000
)</f>
        <v>237.81041076398606</v>
      </c>
      <c r="N55" s="29">
        <f>IF(TrRoad_act!N31=0,0,N18/TrRoad_act!N31*1000
)</f>
        <v>235.39713336545441</v>
      </c>
      <c r="O55" s="29">
        <f>IF(TrRoad_act!O31=0,0,O18/TrRoad_act!O31*1000
)</f>
        <v>231.10300270432609</v>
      </c>
      <c r="P55" s="29">
        <f>IF(TrRoad_act!P31=0,0,P18/TrRoad_act!P31*1000
)</f>
        <v>232.21180850356816</v>
      </c>
      <c r="Q55" s="29">
        <f>IF(TrRoad_act!Q31=0,0,Q18/TrRoad_act!Q31*1000
)</f>
        <v>232.30336764518256</v>
      </c>
      <c r="R55" s="29">
        <f>IF(TrRoad_act!R31=0,0,R18/TrRoad_act!R31*1000
)</f>
        <v>230.10425745451852</v>
      </c>
      <c r="S55" s="29">
        <f>IF(TrRoad_act!S31=0,0,S18/TrRoad_act!S31*1000
)</f>
        <v>229.12013290178058</v>
      </c>
      <c r="T55" s="29">
        <f>IF(TrRoad_act!T31=0,0,T18/TrRoad_act!T31*1000
)</f>
        <v>222.67279392216844</v>
      </c>
      <c r="U55" s="29">
        <f>IF(TrRoad_act!U31=0,0,U18/TrRoad_act!U31*1000
)</f>
        <v>216.84470747346964</v>
      </c>
      <c r="V55" s="29">
        <f>IF(TrRoad_act!V31=0,0,V18/TrRoad_act!V31*1000
)</f>
        <v>199.25005690250981</v>
      </c>
      <c r="W55" s="29">
        <f>IF(TrRoad_act!W31=0,0,W18/TrRoad_act!W31*1000
)</f>
        <v>203.92555300387806</v>
      </c>
      <c r="X55" s="29">
        <f>IF(TrRoad_act!X31=0,0,X18/TrRoad_act!X31*1000
)</f>
        <v>198.87714742481984</v>
      </c>
      <c r="Y55" s="29">
        <f>IF(TrRoad_act!Y31=0,0,Y18/TrRoad_act!Y31*1000
)</f>
        <v>194.16300113277183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140.55691238463262</v>
      </c>
      <c r="C56" s="152">
        <f>IF(TrRoad_act!C32=0,0,C19/TrRoad_act!C32*1000
)</f>
        <v>140.01434834363167</v>
      </c>
      <c r="D56" s="152">
        <f>IF(TrRoad_act!D32=0,0,D19/TrRoad_act!D32*1000
)</f>
        <v>138.84783855726528</v>
      </c>
      <c r="E56" s="152">
        <f>IF(TrRoad_act!E32=0,0,E19/TrRoad_act!E32*1000
)</f>
        <v>137.53404845971107</v>
      </c>
      <c r="F56" s="152">
        <f>IF(TrRoad_act!F32=0,0,F19/TrRoad_act!F32*1000
)</f>
        <v>135.58447656259355</v>
      </c>
      <c r="G56" s="152">
        <f>IF(TrRoad_act!G32=0,0,G19/TrRoad_act!G32*1000
)</f>
        <v>134.04169064943213</v>
      </c>
      <c r="H56" s="152">
        <f>IF(TrRoad_act!H32=0,0,H19/TrRoad_act!H32*1000
)</f>
        <v>132.08654077093863</v>
      </c>
      <c r="I56" s="152">
        <f>IF(TrRoad_act!I32=0,0,I19/TrRoad_act!I32*1000
)</f>
        <v>129.45821432409193</v>
      </c>
      <c r="J56" s="152">
        <f>IF(TrRoad_act!J32=0,0,J19/TrRoad_act!J32*1000
)</f>
        <v>126.29067897670495</v>
      </c>
      <c r="K56" s="152">
        <f>IF(TrRoad_act!K32=0,0,K19/TrRoad_act!K32*1000
)</f>
        <v>124.92345411697173</v>
      </c>
      <c r="L56" s="152">
        <f>IF(TrRoad_act!L32=0,0,L19/TrRoad_act!L32*1000
)</f>
        <v>122.20145812548124</v>
      </c>
      <c r="M56" s="152">
        <f>IF(TrRoad_act!M32=0,0,M19/TrRoad_act!M32*1000
)</f>
        <v>121.21790371245159</v>
      </c>
      <c r="N56" s="152">
        <f>IF(TrRoad_act!N32=0,0,N19/TrRoad_act!N32*1000
)</f>
        <v>120.3744892403962</v>
      </c>
      <c r="O56" s="152">
        <f>IF(TrRoad_act!O32=0,0,O19/TrRoad_act!O32*1000
)</f>
        <v>121.13783528139214</v>
      </c>
      <c r="P56" s="152">
        <f>IF(TrRoad_act!P32=0,0,P19/TrRoad_act!P32*1000
)</f>
        <v>117.38218254036029</v>
      </c>
      <c r="Q56" s="152">
        <f>IF(TrRoad_act!Q32=0,0,Q19/TrRoad_act!Q32*1000
)</f>
        <v>117.50138116272731</v>
      </c>
      <c r="R56" s="152">
        <f>IF(TrRoad_act!R32=0,0,R19/TrRoad_act!R32*1000
)</f>
        <v>115.52785245842232</v>
      </c>
      <c r="S56" s="152">
        <f>IF(TrRoad_act!S32=0,0,S19/TrRoad_act!S32*1000
)</f>
        <v>114.76589456891693</v>
      </c>
      <c r="T56" s="152">
        <f>IF(TrRoad_act!T32=0,0,T19/TrRoad_act!T32*1000
)</f>
        <v>113.51920415858255</v>
      </c>
      <c r="U56" s="152">
        <f>IF(TrRoad_act!U32=0,0,U19/TrRoad_act!U32*1000
)</f>
        <v>113.28761145720893</v>
      </c>
      <c r="V56" s="152">
        <f>IF(TrRoad_act!V32=0,0,V19/TrRoad_act!V32*1000
)</f>
        <v>108.76857062408151</v>
      </c>
      <c r="W56" s="152">
        <f>IF(TrRoad_act!W32=0,0,W19/TrRoad_act!W32*1000
)</f>
        <v>108.37610508426087</v>
      </c>
      <c r="X56" s="152">
        <f>IF(TrRoad_act!X32=0,0,X19/TrRoad_act!X32*1000
)</f>
        <v>108.01054808690175</v>
      </c>
      <c r="Y56" s="152">
        <f>IF(TrRoad_act!Y32=0,0,Y19/TrRoad_act!Y32*1000
)</f>
        <v>107.52140702569365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227.04831550099317</v>
      </c>
      <c r="C57" s="116">
        <f>IF(TrRoad_act!C33=0,0,C20/TrRoad_act!C33*1000
)</f>
        <v>224.55485041435938</v>
      </c>
      <c r="D57" s="116">
        <f>IF(TrRoad_act!D33=0,0,D20/TrRoad_act!D33*1000
)</f>
        <v>223.72115966294757</v>
      </c>
      <c r="E57" s="116">
        <f>IF(TrRoad_act!E33=0,0,E20/TrRoad_act!E33*1000
)</f>
        <v>223.42703135463788</v>
      </c>
      <c r="F57" s="116">
        <f>IF(TrRoad_act!F33=0,0,F20/TrRoad_act!F33*1000
)</f>
        <v>223.79186807162188</v>
      </c>
      <c r="G57" s="116">
        <f>IF(TrRoad_act!G33=0,0,G20/TrRoad_act!G33*1000
)</f>
        <v>209.77553462917365</v>
      </c>
      <c r="H57" s="116">
        <f>IF(TrRoad_act!H33=0,0,H20/TrRoad_act!H33*1000
)</f>
        <v>219.15444416117683</v>
      </c>
      <c r="I57" s="116">
        <f>IF(TrRoad_act!I33=0,0,I20/TrRoad_act!I33*1000
)</f>
        <v>216.56653537002737</v>
      </c>
      <c r="J57" s="116">
        <f>IF(TrRoad_act!J33=0,0,J20/TrRoad_act!J33*1000
)</f>
        <v>210.11718550747008</v>
      </c>
      <c r="K57" s="116">
        <f>IF(TrRoad_act!K33=0,0,K20/TrRoad_act!K33*1000
)</f>
        <v>198.13871768318359</v>
      </c>
      <c r="L57" s="116">
        <f>IF(TrRoad_act!L33=0,0,L20/TrRoad_act!L33*1000
)</f>
        <v>197.54952469505591</v>
      </c>
      <c r="M57" s="116">
        <f>IF(TrRoad_act!M33=0,0,M20/TrRoad_act!M33*1000
)</f>
        <v>205.29518092063114</v>
      </c>
      <c r="N57" s="116">
        <f>IF(TrRoad_act!N33=0,0,N20/TrRoad_act!N33*1000
)</f>
        <v>204.27921161716222</v>
      </c>
      <c r="O57" s="116">
        <f>IF(TrRoad_act!O33=0,0,O20/TrRoad_act!O33*1000
)</f>
        <v>201.02517379447528</v>
      </c>
      <c r="P57" s="116">
        <f>IF(TrRoad_act!P33=0,0,P20/TrRoad_act!P33*1000
)</f>
        <v>200.16242230566371</v>
      </c>
      <c r="Q57" s="116">
        <f>IF(TrRoad_act!Q33=0,0,Q20/TrRoad_act!Q33*1000
)</f>
        <v>200.57003579976876</v>
      </c>
      <c r="R57" s="116">
        <f>IF(TrRoad_act!R33=0,0,R20/TrRoad_act!R33*1000
)</f>
        <v>200.3857993034392</v>
      </c>
      <c r="S57" s="116">
        <f>IF(TrRoad_act!S33=0,0,S20/TrRoad_act!S33*1000
)</f>
        <v>199.27980627248797</v>
      </c>
      <c r="T57" s="116">
        <f>IF(TrRoad_act!T33=0,0,T20/TrRoad_act!T33*1000
)</f>
        <v>194.64275412864075</v>
      </c>
      <c r="U57" s="116">
        <f>IF(TrRoad_act!U33=0,0,U20/TrRoad_act!U33*1000
)</f>
        <v>191.62745831757783</v>
      </c>
      <c r="V57" s="116">
        <f>IF(TrRoad_act!V33=0,0,V20/TrRoad_act!V33*1000
)</f>
        <v>178.49628091280974</v>
      </c>
      <c r="W57" s="116">
        <f>IF(TrRoad_act!W33=0,0,W20/TrRoad_act!W33*1000
)</f>
        <v>182.29568980689734</v>
      </c>
      <c r="X57" s="116">
        <f>IF(TrRoad_act!X33=0,0,X20/TrRoad_act!X33*1000
)</f>
        <v>178.09062064380865</v>
      </c>
      <c r="Y57" s="116">
        <f>IF(TrRoad_act!Y33=0,0,Y20/TrRoad_act!Y33*1000
)</f>
        <v>175.23710446565181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223.72456330328546</v>
      </c>
      <c r="C58" s="87">
        <f>IF(TrRoad_act!C34=0,0,C21/TrRoad_act!C34*1000
)</f>
        <v>221.16896131176048</v>
      </c>
      <c r="D58" s="87">
        <f>IF(TrRoad_act!D34=0,0,D21/TrRoad_act!D34*1000
)</f>
        <v>220.16142385710398</v>
      </c>
      <c r="E58" s="87">
        <f>IF(TrRoad_act!E34=0,0,E21/TrRoad_act!E34*1000
)</f>
        <v>218.68324486409705</v>
      </c>
      <c r="F58" s="87">
        <f>IF(TrRoad_act!F34=0,0,F21/TrRoad_act!F34*1000
)</f>
        <v>219.85491873879508</v>
      </c>
      <c r="G58" s="87">
        <f>IF(TrRoad_act!G34=0,0,G21/TrRoad_act!G34*1000
)</f>
        <v>201.16289796350938</v>
      </c>
      <c r="H58" s="87">
        <f>IF(TrRoad_act!H34=0,0,H21/TrRoad_act!H34*1000
)</f>
        <v>214.63668987611572</v>
      </c>
      <c r="I58" s="87">
        <f>IF(TrRoad_act!I34=0,0,I21/TrRoad_act!I34*1000
)</f>
        <v>211.74739371469144</v>
      </c>
      <c r="J58" s="87">
        <f>IF(TrRoad_act!J34=0,0,J21/TrRoad_act!J34*1000
)</f>
        <v>206.36664990728329</v>
      </c>
      <c r="K58" s="87">
        <f>IF(TrRoad_act!K34=0,0,K21/TrRoad_act!K34*1000
)</f>
        <v>191.17863384942004</v>
      </c>
      <c r="L58" s="87">
        <f>IF(TrRoad_act!L34=0,0,L21/TrRoad_act!L34*1000
)</f>
        <v>189.94255122215253</v>
      </c>
      <c r="M58" s="87">
        <f>IF(TrRoad_act!M34=0,0,M21/TrRoad_act!M34*1000
)</f>
        <v>204.40184571718814</v>
      </c>
      <c r="N58" s="87">
        <f>IF(TrRoad_act!N34=0,0,N21/TrRoad_act!N34*1000
)</f>
        <v>203.72063728882719</v>
      </c>
      <c r="O58" s="87">
        <f>IF(TrRoad_act!O34=0,0,O21/TrRoad_act!O34*1000
)</f>
        <v>204.50997575927519</v>
      </c>
      <c r="P58" s="87">
        <f>IF(TrRoad_act!P34=0,0,P21/TrRoad_act!P34*1000
)</f>
        <v>199.59056158441723</v>
      </c>
      <c r="Q58" s="87">
        <f>IF(TrRoad_act!Q34=0,0,Q21/TrRoad_act!Q34*1000
)</f>
        <v>200.02553765855035</v>
      </c>
      <c r="R58" s="87">
        <f>IF(TrRoad_act!R34=0,0,R21/TrRoad_act!R34*1000
)</f>
        <v>203.89349488829421</v>
      </c>
      <c r="S58" s="87">
        <f>IF(TrRoad_act!S34=0,0,S21/TrRoad_act!S34*1000
)</f>
        <v>203.06953469062671</v>
      </c>
      <c r="T58" s="87">
        <f>IF(TrRoad_act!T34=0,0,T21/TrRoad_act!T34*1000
)</f>
        <v>197.88737857117502</v>
      </c>
      <c r="U58" s="87">
        <f>IF(TrRoad_act!U34=0,0,U21/TrRoad_act!U34*1000
)</f>
        <v>194.15713397867205</v>
      </c>
      <c r="V58" s="87">
        <f>IF(TrRoad_act!V34=0,0,V21/TrRoad_act!V34*1000
)</f>
        <v>176.15100072044888</v>
      </c>
      <c r="W58" s="87">
        <f>IF(TrRoad_act!W34=0,0,W21/TrRoad_act!W34*1000
)</f>
        <v>181.84444065449972</v>
      </c>
      <c r="X58" s="87">
        <f>IF(TrRoad_act!X34=0,0,X21/TrRoad_act!X34*1000
)</f>
        <v>176.1803419306506</v>
      </c>
      <c r="Y58" s="87">
        <f>IF(TrRoad_act!Y34=0,0,Y21/TrRoad_act!Y34*1000
)</f>
        <v>173.63556616000844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247.14248775423391</v>
      </c>
      <c r="C59" s="87">
        <f>IF(TrRoad_act!C35=0,0,C22/TrRoad_act!C35*1000
)</f>
        <v>243.74318348615233</v>
      </c>
      <c r="D59" s="87">
        <f>IF(TrRoad_act!D35=0,0,D22/TrRoad_act!D35*1000
)</f>
        <v>241.6549215107747</v>
      </c>
      <c r="E59" s="87">
        <f>IF(TrRoad_act!E35=0,0,E22/TrRoad_act!E35*1000
)</f>
        <v>240.22996225588091</v>
      </c>
      <c r="F59" s="87">
        <f>IF(TrRoad_act!F35=0,0,F22/TrRoad_act!F35*1000
)</f>
        <v>236.18497952163389</v>
      </c>
      <c r="G59" s="87">
        <f>IF(TrRoad_act!G35=0,0,G22/TrRoad_act!G35*1000
)</f>
        <v>251.23520263037656</v>
      </c>
      <c r="H59" s="87">
        <f>IF(TrRoad_act!H35=0,0,H22/TrRoad_act!H35*1000
)</f>
        <v>234.60328945731652</v>
      </c>
      <c r="I59" s="87">
        <f>IF(TrRoad_act!I35=0,0,I22/TrRoad_act!I35*1000
)</f>
        <v>232.77834438352133</v>
      </c>
      <c r="J59" s="87">
        <f>IF(TrRoad_act!J35=0,0,J22/TrRoad_act!J35*1000
)</f>
        <v>221.66861881653648</v>
      </c>
      <c r="K59" s="87">
        <f>IF(TrRoad_act!K35=0,0,K22/TrRoad_act!K35*1000
)</f>
        <v>217.4042674001164</v>
      </c>
      <c r="L59" s="87">
        <f>IF(TrRoad_act!L35=0,0,L22/TrRoad_act!L35*1000
)</f>
        <v>213.66181994539929</v>
      </c>
      <c r="M59" s="87">
        <f>IF(TrRoad_act!M35=0,0,M22/TrRoad_act!M35*1000
)</f>
        <v>205.33530160467654</v>
      </c>
      <c r="N59" s="87">
        <f>IF(TrRoad_act!N35=0,0,N22/TrRoad_act!N35*1000
)</f>
        <v>206.2402853546356</v>
      </c>
      <c r="O59" s="87">
        <f>IF(TrRoad_act!O35=0,0,O22/TrRoad_act!O35*1000
)</f>
        <v>194.27464315687592</v>
      </c>
      <c r="P59" s="87">
        <f>IF(TrRoad_act!P35=0,0,P22/TrRoad_act!P35*1000
)</f>
        <v>201.60827486640497</v>
      </c>
      <c r="Q59" s="87">
        <f>IF(TrRoad_act!Q35=0,0,Q22/TrRoad_act!Q35*1000
)</f>
        <v>202.60119497187731</v>
      </c>
      <c r="R59" s="87">
        <f>IF(TrRoad_act!R35=0,0,R22/TrRoad_act!R35*1000
)</f>
        <v>197.13455984287407</v>
      </c>
      <c r="S59" s="87">
        <f>IF(TrRoad_act!S35=0,0,S22/TrRoad_act!S35*1000
)</f>
        <v>196.03809683535866</v>
      </c>
      <c r="T59" s="87">
        <f>IF(TrRoad_act!T35=0,0,T22/TrRoad_act!T35*1000
)</f>
        <v>192.53936595620348</v>
      </c>
      <c r="U59" s="87">
        <f>IF(TrRoad_act!U35=0,0,U22/TrRoad_act!U35*1000
)</f>
        <v>190.71268948607181</v>
      </c>
      <c r="V59" s="87">
        <f>IF(TrRoad_act!V35=0,0,V22/TrRoad_act!V35*1000
)</f>
        <v>183.37220977381654</v>
      </c>
      <c r="W59" s="87">
        <f>IF(TrRoad_act!W35=0,0,W22/TrRoad_act!W35*1000
)</f>
        <v>184.96572408495896</v>
      </c>
      <c r="X59" s="87">
        <f>IF(TrRoad_act!X35=0,0,X22/TrRoad_act!X35*1000
)</f>
        <v>183.30593530259554</v>
      </c>
      <c r="Y59" s="87">
        <f>IF(TrRoad_act!Y35=0,0,Y22/TrRoad_act!Y35*1000
)</f>
        <v>180.78707902712492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213.27789454087551</v>
      </c>
      <c r="D60" s="87">
        <f>IF(TrRoad_act!D36=0,0,D23/TrRoad_act!D36*1000
)</f>
        <v>212.50405054809568</v>
      </c>
      <c r="E60" s="87">
        <f>IF(TrRoad_act!E36=0,0,E23/TrRoad_act!E36*1000
)</f>
        <v>259.59536996092947</v>
      </c>
      <c r="F60" s="87">
        <f>IF(TrRoad_act!F36=0,0,F23/TrRoad_act!F36*1000
)</f>
        <v>247.443534646339</v>
      </c>
      <c r="G60" s="87">
        <f>IF(TrRoad_act!G36=0,0,G23/TrRoad_act!G36*1000
)</f>
        <v>195.36616021634984</v>
      </c>
      <c r="H60" s="87">
        <f>IF(TrRoad_act!H36=0,0,H23/TrRoad_act!H36*1000
)</f>
        <v>214.1281363799377</v>
      </c>
      <c r="I60" s="87">
        <f>IF(TrRoad_act!I36=0,0,I23/TrRoad_act!I36*1000
)</f>
        <v>192.4638315359191</v>
      </c>
      <c r="J60" s="87">
        <f>IF(TrRoad_act!J36=0,0,J23/TrRoad_act!J36*1000
)</f>
        <v>188.35805064275542</v>
      </c>
      <c r="K60" s="87">
        <f>IF(TrRoad_act!K36=0,0,K23/TrRoad_act!K36*1000
)</f>
        <v>185.80705973292106</v>
      </c>
      <c r="L60" s="87">
        <f>IF(TrRoad_act!L36=0,0,L23/TrRoad_act!L36*1000
)</f>
        <v>224.02269565751419</v>
      </c>
      <c r="M60" s="87">
        <f>IF(TrRoad_act!M36=0,0,M23/TrRoad_act!M36*1000
)</f>
        <v>253.36849354618403</v>
      </c>
      <c r="N60" s="87">
        <f>IF(TrRoad_act!N36=0,0,N23/TrRoad_act!N36*1000
)</f>
        <v>180.24026858766379</v>
      </c>
      <c r="O60" s="87">
        <f>IF(TrRoad_act!O36=0,0,O23/TrRoad_act!O36*1000
)</f>
        <v>231.72090707049998</v>
      </c>
      <c r="P60" s="87">
        <f>IF(TrRoad_act!P36=0,0,P23/TrRoad_act!P36*1000
)</f>
        <v>193.37777058713141</v>
      </c>
      <c r="Q60" s="87">
        <f>IF(TrRoad_act!Q36=0,0,Q23/TrRoad_act!Q36*1000
)</f>
        <v>177.39683539192637</v>
      </c>
      <c r="R60" s="87">
        <f>IF(TrRoad_act!R36=0,0,R23/TrRoad_act!R36*1000
)</f>
        <v>156.42468847806916</v>
      </c>
      <c r="S60" s="87">
        <f>IF(TrRoad_act!S36=0,0,S23/TrRoad_act!S36*1000
)</f>
        <v>153.17065342754745</v>
      </c>
      <c r="T60" s="87">
        <f>IF(TrRoad_act!T36=0,0,T23/TrRoad_act!T36*1000
)</f>
        <v>140.57116093913427</v>
      </c>
      <c r="U60" s="87">
        <f>IF(TrRoad_act!U36=0,0,U23/TrRoad_act!U36*1000
)</f>
        <v>129.0215061034593</v>
      </c>
      <c r="V60" s="87">
        <f>IF(TrRoad_act!V36=0,0,V23/TrRoad_act!V36*1000
)</f>
        <v>128.20823569042338</v>
      </c>
      <c r="W60" s="87">
        <f>IF(TrRoad_act!W36=0,0,W23/TrRoad_act!W36*1000
)</f>
        <v>177.45900362027172</v>
      </c>
      <c r="X60" s="87">
        <f>IF(TrRoad_act!X36=0,0,X23/TrRoad_act!X36*1000
)</f>
        <v>170.40595520262389</v>
      </c>
      <c r="Y60" s="87">
        <f>IF(TrRoad_act!Y36=0,0,Y23/TrRoad_act!Y36*1000
)</f>
        <v>189.82880842255901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248.82881137066045</v>
      </c>
      <c r="M61" s="87">
        <f>IF(TrRoad_act!M37=0,0,M24/TrRoad_act!M37*1000
)</f>
        <v>179.39987080186253</v>
      </c>
      <c r="N61" s="87">
        <f>IF(TrRoad_act!N37=0,0,N24/TrRoad_act!N37*1000
)</f>
        <v>155.03833333407891</v>
      </c>
      <c r="O61" s="87">
        <f>IF(TrRoad_act!O37=0,0,O24/TrRoad_act!O37*1000
)</f>
        <v>167.4559214659329</v>
      </c>
      <c r="P61" s="87">
        <f>IF(TrRoad_act!P37=0,0,P24/TrRoad_act!P37*1000
)</f>
        <v>167.47655907322411</v>
      </c>
      <c r="Q61" s="87">
        <f>IF(TrRoad_act!Q37=0,0,Q24/TrRoad_act!Q37*1000
)</f>
        <v>139.09508121491717</v>
      </c>
      <c r="R61" s="87">
        <f>IF(TrRoad_act!R37=0,0,R24/TrRoad_act!R37*1000
)</f>
        <v>140.44995948132515</v>
      </c>
      <c r="S61" s="87">
        <f>IF(TrRoad_act!S37=0,0,S24/TrRoad_act!S37*1000
)</f>
        <v>138.76666611302321</v>
      </c>
      <c r="T61" s="87">
        <f>IF(TrRoad_act!T37=0,0,T24/TrRoad_act!T37*1000
)</f>
        <v>140.02649145849867</v>
      </c>
      <c r="U61" s="87">
        <f>IF(TrRoad_act!U37=0,0,U24/TrRoad_act!U37*1000
)</f>
        <v>140.20408635978342</v>
      </c>
      <c r="V61" s="87">
        <f>IF(TrRoad_act!V37=0,0,V24/TrRoad_act!V37*1000
)</f>
        <v>140.12682831850077</v>
      </c>
      <c r="W61" s="87">
        <f>IF(TrRoad_act!W37=0,0,W24/TrRoad_act!W37*1000
)</f>
        <v>139.98510799011123</v>
      </c>
      <c r="X61" s="87">
        <f>IF(TrRoad_act!X37=0,0,X24/TrRoad_act!X37*1000
)</f>
        <v>139.76835510413031</v>
      </c>
      <c r="Y61" s="87">
        <f>IF(TrRoad_act!Y37=0,0,Y24/TrRoad_act!Y37*1000
)</f>
        <v>139.60165513502449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43.062349794916777</v>
      </c>
      <c r="O62" s="87">
        <f>IF(TrRoad_act!O38=0,0,O25/TrRoad_act!O38*1000
)</f>
        <v>43.534280532820716</v>
      </c>
      <c r="P62" s="87">
        <f>IF(TrRoad_act!P38=0,0,P25/TrRoad_act!P38*1000
)</f>
        <v>39.639574241904846</v>
      </c>
      <c r="Q62" s="87">
        <f>IF(TrRoad_act!Q38=0,0,Q25/TrRoad_act!Q38*1000
)</f>
        <v>32.81841729671013</v>
      </c>
      <c r="R62" s="87">
        <f>IF(TrRoad_act!R38=0,0,R25/TrRoad_act!R38*1000
)</f>
        <v>46.302302345709784</v>
      </c>
      <c r="S62" s="87">
        <f>IF(TrRoad_act!S38=0,0,S25/TrRoad_act!S38*1000
)</f>
        <v>52.662184814641165</v>
      </c>
      <c r="T62" s="87">
        <f>IF(TrRoad_act!T38=0,0,T25/TrRoad_act!T38*1000
)</f>
        <v>53.292076367792433</v>
      </c>
      <c r="U62" s="87">
        <f>IF(TrRoad_act!U38=0,0,U25/TrRoad_act!U38*1000
)</f>
        <v>51.954103093493174</v>
      </c>
      <c r="V62" s="87">
        <f>IF(TrRoad_act!V38=0,0,V25/TrRoad_act!V38*1000
)</f>
        <v>46.226560273136926</v>
      </c>
      <c r="W62" s="87">
        <f>IF(TrRoad_act!W38=0,0,W25/TrRoad_act!W38*1000
)</f>
        <v>44.341868782620075</v>
      </c>
      <c r="X62" s="87">
        <f>IF(TrRoad_act!X38=0,0,X25/TrRoad_act!X38*1000
)</f>
        <v>48.300697159480791</v>
      </c>
      <c r="Y62" s="87">
        <f>IF(TrRoad_act!Y38=0,0,Y25/TrRoad_act!Y38*1000
)</f>
        <v>43.534307760014343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1721.3232151462257</v>
      </c>
      <c r="C64" s="116">
        <f>IF(TrRoad_act!C40=0,0,C27/TrRoad_act!C40*1000
)</f>
        <v>1720.4996874896613</v>
      </c>
      <c r="D64" s="116">
        <f>IF(TrRoad_act!D40=0,0,D27/TrRoad_act!D40*1000
)</f>
        <v>1777.0350297691377</v>
      </c>
      <c r="E64" s="116">
        <f>IF(TrRoad_act!E40=0,0,E27/TrRoad_act!E40*1000
)</f>
        <v>1792.115889207982</v>
      </c>
      <c r="F64" s="116">
        <f>IF(TrRoad_act!F40=0,0,F27/TrRoad_act!F40*1000
)</f>
        <v>1790.6117371642229</v>
      </c>
      <c r="G64" s="116">
        <f>IF(TrRoad_act!G40=0,0,G27/TrRoad_act!G40*1000
)</f>
        <v>1876.6726871574967</v>
      </c>
      <c r="H64" s="116">
        <f>IF(TrRoad_act!H40=0,0,H27/TrRoad_act!H40*1000
)</f>
        <v>1870.8773200042222</v>
      </c>
      <c r="I64" s="116">
        <f>IF(TrRoad_act!I40=0,0,I27/TrRoad_act!I40*1000
)</f>
        <v>1806.3575832478214</v>
      </c>
      <c r="J64" s="116">
        <f>IF(TrRoad_act!J40=0,0,J27/TrRoad_act!J40*1000
)</f>
        <v>1748.0396589375041</v>
      </c>
      <c r="K64" s="116">
        <f>IF(TrRoad_act!K40=0,0,K27/TrRoad_act!K40*1000
)</f>
        <v>1721.3738736842211</v>
      </c>
      <c r="L64" s="116">
        <f>IF(TrRoad_act!L40=0,0,L27/TrRoad_act!L40*1000
)</f>
        <v>1739.0664981181353</v>
      </c>
      <c r="M64" s="116">
        <f>IF(TrRoad_act!M40=0,0,M27/TrRoad_act!M40*1000
)</f>
        <v>1651.1331754514829</v>
      </c>
      <c r="N64" s="116">
        <f>IF(TrRoad_act!N40=0,0,N27/TrRoad_act!N40*1000
)</f>
        <v>1608.9441674548102</v>
      </c>
      <c r="O64" s="116">
        <f>IF(TrRoad_act!O40=0,0,O27/TrRoad_act!O40*1000
)</f>
        <v>1498.6899257084608</v>
      </c>
      <c r="P64" s="116">
        <f>IF(TrRoad_act!P40=0,0,P27/TrRoad_act!P40*1000
)</f>
        <v>1634.2596727037626</v>
      </c>
      <c r="Q64" s="116">
        <f>IF(TrRoad_act!Q40=0,0,Q27/TrRoad_act!Q40*1000
)</f>
        <v>1713.7882404997431</v>
      </c>
      <c r="R64" s="116">
        <f>IF(TrRoad_act!R40=0,0,R27/TrRoad_act!R40*1000
)</f>
        <v>1646.7488762699386</v>
      </c>
      <c r="S64" s="116">
        <f>IF(TrRoad_act!S40=0,0,S27/TrRoad_act!S40*1000
)</f>
        <v>1675.1143628411132</v>
      </c>
      <c r="T64" s="116">
        <f>IF(TrRoad_act!T40=0,0,T27/TrRoad_act!T40*1000
)</f>
        <v>1680.7963242317476</v>
      </c>
      <c r="U64" s="116">
        <f>IF(TrRoad_act!U40=0,0,U27/TrRoad_act!U40*1000
)</f>
        <v>1682.5764545093382</v>
      </c>
      <c r="V64" s="116">
        <f>IF(TrRoad_act!V40=0,0,V27/TrRoad_act!V40*1000
)</f>
        <v>1540.4472791488092</v>
      </c>
      <c r="W64" s="116">
        <f>IF(TrRoad_act!W40=0,0,W27/TrRoad_act!W40*1000
)</f>
        <v>1596.070700342397</v>
      </c>
      <c r="X64" s="116">
        <f>IF(TrRoad_act!X40=0,0,X27/TrRoad_act!X40*1000
)</f>
        <v>1621.6031028917303</v>
      </c>
      <c r="Y64" s="116">
        <f>IF(TrRoad_act!Y40=0,0,Y27/TrRoad_act!Y40*1000
)</f>
        <v>1489.046905362371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598.11485212926095</v>
      </c>
      <c r="C65" s="101">
        <f>IF(TrRoad_act!C41=0,0,C28/TrRoad_act!C41*1000
)</f>
        <v>597.73840382277024</v>
      </c>
      <c r="D65" s="101">
        <f>IF(TrRoad_act!D41=0,0,D28/TrRoad_act!D41*1000
)</f>
        <v>597.70031806236727</v>
      </c>
      <c r="E65" s="101">
        <f>IF(TrRoad_act!E41=0,0,E28/TrRoad_act!E41*1000
)</f>
        <v>597.65345202651861</v>
      </c>
      <c r="F65" s="101">
        <f>IF(TrRoad_act!F41=0,0,F28/TrRoad_act!F41*1000
)</f>
        <v>597.3922186605331</v>
      </c>
      <c r="G65" s="101">
        <f>IF(TrRoad_act!G41=0,0,G28/TrRoad_act!G41*1000
)</f>
        <v>596.19556799593636</v>
      </c>
      <c r="H65" s="101">
        <f>IF(TrRoad_act!H41=0,0,H28/TrRoad_act!H41*1000
)</f>
        <v>592.9872085592965</v>
      </c>
      <c r="I65" s="101">
        <f>IF(TrRoad_act!I41=0,0,I28/TrRoad_act!I41*1000
)</f>
        <v>586.92591942722743</v>
      </c>
      <c r="J65" s="101">
        <f>IF(TrRoad_act!J41=0,0,J28/TrRoad_act!J41*1000
)</f>
        <v>577.52017435714833</v>
      </c>
      <c r="K65" s="101">
        <f>IF(TrRoad_act!K41=0,0,K28/TrRoad_act!K41*1000
)</f>
        <v>576.75942502693169</v>
      </c>
      <c r="L65" s="101">
        <f>IF(TrRoad_act!L41=0,0,L28/TrRoad_act!L41*1000
)</f>
        <v>566.7893560651562</v>
      </c>
      <c r="M65" s="101">
        <f>IF(TrRoad_act!M41=0,0,M28/TrRoad_act!M41*1000
)</f>
        <v>559.00901834663546</v>
      </c>
      <c r="N65" s="101">
        <f>IF(TrRoad_act!N41=0,0,N28/TrRoad_act!N41*1000
)</f>
        <v>553.1180782624923</v>
      </c>
      <c r="O65" s="101">
        <f>IF(TrRoad_act!O41=0,0,O28/TrRoad_act!O41*1000
)</f>
        <v>560.43159710971133</v>
      </c>
      <c r="P65" s="101">
        <f>IF(TrRoad_act!P41=0,0,P28/TrRoad_act!P41*1000
)</f>
        <v>545.82950748634198</v>
      </c>
      <c r="Q65" s="101">
        <f>IF(TrRoad_act!Q41=0,0,Q28/TrRoad_act!Q41*1000
)</f>
        <v>547.16467905343723</v>
      </c>
      <c r="R65" s="101">
        <f>IF(TrRoad_act!R41=0,0,R28/TrRoad_act!R41*1000
)</f>
        <v>534.17442724737441</v>
      </c>
      <c r="S65" s="101">
        <f>IF(TrRoad_act!S41=0,0,S28/TrRoad_act!S41*1000
)</f>
        <v>526.28417274749734</v>
      </c>
      <c r="T65" s="101">
        <f>IF(TrRoad_act!T41=0,0,T28/TrRoad_act!T41*1000
)</f>
        <v>522.02138549407812</v>
      </c>
      <c r="U65" s="101">
        <f>IF(TrRoad_act!U41=0,0,U28/TrRoad_act!U41*1000
)</f>
        <v>524.61186718472629</v>
      </c>
      <c r="V65" s="101">
        <f>IF(TrRoad_act!V41=0,0,V28/TrRoad_act!V41*1000
)</f>
        <v>495.55722654604307</v>
      </c>
      <c r="W65" s="101">
        <f>IF(TrRoad_act!W41=0,0,W28/TrRoad_act!W41*1000
)</f>
        <v>495.17152545562124</v>
      </c>
      <c r="X65" s="101">
        <f>IF(TrRoad_act!X41=0,0,X28/TrRoad_act!X41*1000
)</f>
        <v>486.50216100801288</v>
      </c>
      <c r="Y65" s="101">
        <f>IF(TrRoad_act!Y41=0,0,Y28/TrRoad_act!Y41*1000
)</f>
        <v>472.77735335226185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1814.447545363143</v>
      </c>
      <c r="C66" s="101">
        <f>IF(TrRoad_act!C42=0,0,C29/TrRoad_act!C42*1000
)</f>
        <v>1807.4681874704381</v>
      </c>
      <c r="D66" s="101">
        <f>IF(TrRoad_act!D42=0,0,D29/TrRoad_act!D42*1000
)</f>
        <v>1862.6636908307794</v>
      </c>
      <c r="E66" s="101">
        <f>IF(TrRoad_act!E42=0,0,E29/TrRoad_act!E42*1000
)</f>
        <v>1873.9443185324938</v>
      </c>
      <c r="F66" s="101">
        <f>IF(TrRoad_act!F42=0,0,F29/TrRoad_act!F42*1000
)</f>
        <v>1868.8866077128268</v>
      </c>
      <c r="G66" s="101">
        <f>IF(TrRoad_act!G42=0,0,G29/TrRoad_act!G42*1000
)</f>
        <v>1939.6330529524539</v>
      </c>
      <c r="H66" s="101">
        <f>IF(TrRoad_act!H42=0,0,H29/TrRoad_act!H42*1000
)</f>
        <v>1919.8151644116065</v>
      </c>
      <c r="I66" s="101">
        <f>IF(TrRoad_act!I42=0,0,I29/TrRoad_act!I42*1000
)</f>
        <v>1845.4960555499438</v>
      </c>
      <c r="J66" s="101">
        <f>IF(TrRoad_act!J42=0,0,J29/TrRoad_act!J42*1000
)</f>
        <v>1781.4010273987894</v>
      </c>
      <c r="K66" s="101">
        <f>IF(TrRoad_act!K42=0,0,K29/TrRoad_act!K42*1000
)</f>
        <v>1749.2534253016709</v>
      </c>
      <c r="L66" s="101">
        <f>IF(TrRoad_act!L42=0,0,L29/TrRoad_act!L42*1000
)</f>
        <v>1761.205788433756</v>
      </c>
      <c r="M66" s="101">
        <f>IF(TrRoad_act!M42=0,0,M29/TrRoad_act!M42*1000
)</f>
        <v>1666.7616972169626</v>
      </c>
      <c r="N66" s="101">
        <f>IF(TrRoad_act!N42=0,0,N29/TrRoad_act!N42*1000
)</f>
        <v>1622.4267130862663</v>
      </c>
      <c r="O66" s="101">
        <f>IF(TrRoad_act!O42=0,0,O29/TrRoad_act!O42*1000
)</f>
        <v>1511.8924522123882</v>
      </c>
      <c r="P66" s="101">
        <f>IF(TrRoad_act!P42=0,0,P29/TrRoad_act!P42*1000
)</f>
        <v>1656.52561205078</v>
      </c>
      <c r="Q66" s="101">
        <f>IF(TrRoad_act!Q42=0,0,Q29/TrRoad_act!Q42*1000
)</f>
        <v>1741.118445604146</v>
      </c>
      <c r="R66" s="101">
        <f>IF(TrRoad_act!R42=0,0,R29/TrRoad_act!R42*1000
)</f>
        <v>1682.0022098869879</v>
      </c>
      <c r="S66" s="101">
        <f>IF(TrRoad_act!S42=0,0,S29/TrRoad_act!S42*1000
)</f>
        <v>1718.4726666866604</v>
      </c>
      <c r="T66" s="101">
        <f>IF(TrRoad_act!T42=0,0,T29/TrRoad_act!T42*1000
)</f>
        <v>1719.7643865138464</v>
      </c>
      <c r="U66" s="101">
        <f>IF(TrRoad_act!U42=0,0,U29/TrRoad_act!U42*1000
)</f>
        <v>1692.5093479198688</v>
      </c>
      <c r="V66" s="101">
        <f>IF(TrRoad_act!V42=0,0,V29/TrRoad_act!V42*1000
)</f>
        <v>1551.9785299505297</v>
      </c>
      <c r="W66" s="101">
        <f>IF(TrRoad_act!W42=0,0,W29/TrRoad_act!W42*1000
)</f>
        <v>1613.1275325892721</v>
      </c>
      <c r="X66" s="101">
        <f>IF(TrRoad_act!X42=0,0,X29/TrRoad_act!X42*1000
)</f>
        <v>1654.2762224024946</v>
      </c>
      <c r="Y66" s="101">
        <f>IF(TrRoad_act!Y42=0,0,Y29/TrRoad_act!Y42*1000
)</f>
        <v>1519.2550979489322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1222.9706271778673</v>
      </c>
      <c r="Q67" s="101">
        <f>IF(TrRoad_act!Q43=0,0,Q30/TrRoad_act!Q43*1000
)</f>
        <v>1222.9706271778675</v>
      </c>
      <c r="R67" s="101">
        <f>IF(TrRoad_act!R43=0,0,R30/TrRoad_act!R43*1000
)</f>
        <v>1233.9074214847562</v>
      </c>
      <c r="S67" s="101">
        <f>IF(TrRoad_act!S43=0,0,S30/TrRoad_act!S43*1000
)</f>
        <v>1233.9074214847565</v>
      </c>
      <c r="T67" s="101">
        <f>IF(TrRoad_act!T43=0,0,T30/TrRoad_act!T43*1000
)</f>
        <v>1233.9074214847562</v>
      </c>
      <c r="U67" s="101">
        <f>IF(TrRoad_act!U43=0,0,U30/TrRoad_act!U43*1000
)</f>
        <v>1233.9074214847565</v>
      </c>
      <c r="V67" s="101">
        <f>IF(TrRoad_act!V43=0,0,V30/TrRoad_act!V43*1000
)</f>
        <v>1233.9074214847562</v>
      </c>
      <c r="W67" s="101">
        <f>IF(TrRoad_act!W43=0,0,W30/TrRoad_act!W43*1000
)</f>
        <v>1233.9074214847567</v>
      </c>
      <c r="X67" s="101">
        <f>IF(TrRoad_act!X43=0,0,X30/TrRoad_act!X43*1000
)</f>
        <v>1233.9074214847565</v>
      </c>
      <c r="Y67" s="101">
        <f>IF(TrRoad_act!Y43=0,0,Y30/TrRoad_act!Y43*1000
)</f>
        <v>1233.9074214847562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1070.0496217240454</v>
      </c>
      <c r="C68" s="101">
        <f>IF(TrRoad_act!C44=0,0,C31/TrRoad_act!C44*1000
)</f>
        <v>1088.808686350164</v>
      </c>
      <c r="D68" s="101">
        <f>IF(TrRoad_act!D44=0,0,D31/TrRoad_act!D44*1000
)</f>
        <v>1065.2513536244551</v>
      </c>
      <c r="E68" s="101">
        <f>IF(TrRoad_act!E44=0,0,E31/TrRoad_act!E44*1000
)</f>
        <v>1051.6229572972256</v>
      </c>
      <c r="F68" s="101">
        <f>IF(TrRoad_act!F44=0,0,F31/TrRoad_act!F44*1000
)</f>
        <v>1026.8180774585064</v>
      </c>
      <c r="G68" s="101">
        <f>IF(TrRoad_act!G44=0,0,G31/TrRoad_act!G44*1000
)</f>
        <v>1205.0500698733281</v>
      </c>
      <c r="H68" s="101">
        <f>IF(TrRoad_act!H44=0,0,H31/TrRoad_act!H44*1000
)</f>
        <v>1270.8503816675343</v>
      </c>
      <c r="I68" s="101">
        <f>IF(TrRoad_act!I44=0,0,I31/TrRoad_act!I44*1000
)</f>
        <v>1136.0625003134512</v>
      </c>
      <c r="J68" s="101">
        <f>IF(TrRoad_act!J44=0,0,J31/TrRoad_act!J44*1000
)</f>
        <v>1121.214485126105</v>
      </c>
      <c r="K68" s="101">
        <f>IF(TrRoad_act!K44=0,0,K31/TrRoad_act!K44*1000
)</f>
        <v>1028.6751236964444</v>
      </c>
      <c r="L68" s="101">
        <f>IF(TrRoad_act!L44=0,0,L31/TrRoad_act!L44*1000
)</f>
        <v>1023.8594432820016</v>
      </c>
      <c r="M68" s="101">
        <f>IF(TrRoad_act!M44=0,0,M31/TrRoad_act!M44*1000
)</f>
        <v>1224.0457899615633</v>
      </c>
      <c r="N68" s="101">
        <f>IF(TrRoad_act!N44=0,0,N31/TrRoad_act!N44*1000
)</f>
        <v>1066.0125727887742</v>
      </c>
      <c r="O68" s="101">
        <f>IF(TrRoad_act!O44=0,0,O31/TrRoad_act!O44*1000
)</f>
        <v>656.12175889404966</v>
      </c>
      <c r="P68" s="101">
        <f>IF(TrRoad_act!P44=0,0,P31/TrRoad_act!P44*1000
)</f>
        <v>348.15968382566882</v>
      </c>
      <c r="Q68" s="101">
        <f>IF(TrRoad_act!Q44=0,0,Q31/TrRoad_act!Q44*1000
)</f>
        <v>656.60612750753091</v>
      </c>
      <c r="R68" s="101">
        <f>IF(TrRoad_act!R44=0,0,R31/TrRoad_act!R44*1000
)</f>
        <v>763.10069484783071</v>
      </c>
      <c r="S68" s="101">
        <f>IF(TrRoad_act!S44=0,0,S31/TrRoad_act!S44*1000
)</f>
        <v>676.29001364144881</v>
      </c>
      <c r="T68" s="101">
        <f>IF(TrRoad_act!T44=0,0,T31/TrRoad_act!T44*1000
)</f>
        <v>760.43255315552278</v>
      </c>
      <c r="U68" s="101">
        <f>IF(TrRoad_act!U44=0,0,U31/TrRoad_act!U44*1000
)</f>
        <v>1472.927533248185</v>
      </c>
      <c r="V68" s="101">
        <f>IF(TrRoad_act!V44=0,0,V31/TrRoad_act!V44*1000
)</f>
        <v>1401.5844293807993</v>
      </c>
      <c r="W68" s="101">
        <f>IF(TrRoad_act!W44=0,0,W31/TrRoad_act!W44*1000
)</f>
        <v>1394.612368090128</v>
      </c>
      <c r="X68" s="101">
        <f>IF(TrRoad_act!X44=0,0,X31/TrRoad_act!X44*1000
)</f>
        <v>938.02253246277326</v>
      </c>
      <c r="Y68" s="101">
        <f>IF(TrRoad_act!Y44=0,0,Y31/TrRoad_act!Y44*1000
)</f>
        <v>1115.4074123409589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580.73949964000747</v>
      </c>
      <c r="C70" s="29">
        <f>IF(TrRoad_act!C46=0,0,C33/TrRoad_act!C46*1000
)</f>
        <v>596.23953225237528</v>
      </c>
      <c r="D70" s="29">
        <f>IF(TrRoad_act!D46=0,0,D33/TrRoad_act!D46*1000
)</f>
        <v>633.49740493609625</v>
      </c>
      <c r="E70" s="29">
        <f>IF(TrRoad_act!E46=0,0,E33/TrRoad_act!E46*1000
)</f>
        <v>647.68904494428693</v>
      </c>
      <c r="F70" s="29">
        <f>IF(TrRoad_act!F46=0,0,F33/TrRoad_act!F46*1000
)</f>
        <v>672.34587770814323</v>
      </c>
      <c r="G70" s="29">
        <f>IF(TrRoad_act!G46=0,0,G33/TrRoad_act!G46*1000
)</f>
        <v>743.78604511944559</v>
      </c>
      <c r="H70" s="29">
        <f>IF(TrRoad_act!H46=0,0,H33/TrRoad_act!H46*1000
)</f>
        <v>772.91100847343796</v>
      </c>
      <c r="I70" s="29">
        <f>IF(TrRoad_act!I46=0,0,I33/TrRoad_act!I46*1000
)</f>
        <v>725.30672629825574</v>
      </c>
      <c r="J70" s="29">
        <f>IF(TrRoad_act!J46=0,0,J33/TrRoad_act!J46*1000
)</f>
        <v>696.64934945424488</v>
      </c>
      <c r="K70" s="29">
        <f>IF(TrRoad_act!K46=0,0,K33/TrRoad_act!K46*1000
)</f>
        <v>626.5494518535113</v>
      </c>
      <c r="L70" s="29">
        <f>IF(TrRoad_act!L46=0,0,L33/TrRoad_act!L46*1000
)</f>
        <v>645.51539644466391</v>
      </c>
      <c r="M70" s="29">
        <f>IF(TrRoad_act!M46=0,0,M33/TrRoad_act!M46*1000
)</f>
        <v>566.85196984928893</v>
      </c>
      <c r="N70" s="29">
        <f>IF(TrRoad_act!N46=0,0,N33/TrRoad_act!N46*1000
)</f>
        <v>513.71059054326781</v>
      </c>
      <c r="O70" s="29">
        <f>IF(TrRoad_act!O46=0,0,O33/TrRoad_act!O46*1000
)</f>
        <v>436.17336119414273</v>
      </c>
      <c r="P70" s="29">
        <f>IF(TrRoad_act!P46=0,0,P33/TrRoad_act!P46*1000
)</f>
        <v>526.16719637226265</v>
      </c>
      <c r="Q70" s="29">
        <f>IF(TrRoad_act!Q46=0,0,Q33/TrRoad_act!Q46*1000
)</f>
        <v>580.29853854103089</v>
      </c>
      <c r="R70" s="29">
        <f>IF(TrRoad_act!R46=0,0,R33/TrRoad_act!R46*1000
)</f>
        <v>531.75178249570456</v>
      </c>
      <c r="S70" s="29">
        <f>IF(TrRoad_act!S46=0,0,S33/TrRoad_act!S46*1000
)</f>
        <v>541.08572171094124</v>
      </c>
      <c r="T70" s="29">
        <f>IF(TrRoad_act!T46=0,0,T33/TrRoad_act!T46*1000
)</f>
        <v>539.35547700603252</v>
      </c>
      <c r="U70" s="29">
        <f>IF(TrRoad_act!U46=0,0,U33/TrRoad_act!U46*1000
)</f>
        <v>513.64818976578113</v>
      </c>
      <c r="V70" s="29">
        <f>IF(TrRoad_act!V46=0,0,V33/TrRoad_act!V46*1000
)</f>
        <v>412.793341521478</v>
      </c>
      <c r="W70" s="29">
        <f>IF(TrRoad_act!W46=0,0,W33/TrRoad_act!W46*1000
)</f>
        <v>465.81725476401857</v>
      </c>
      <c r="X70" s="29">
        <f>IF(TrRoad_act!X46=0,0,X33/TrRoad_act!X46*1000
)</f>
        <v>500.78664462158628</v>
      </c>
      <c r="Y70" s="29">
        <f>IF(TrRoad_act!Y46=0,0,Y33/TrRoad_act!Y46*1000
)</f>
        <v>409.21575543286559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300.09970350598979</v>
      </c>
      <c r="C71" s="152">
        <f>IF(TrRoad_act!C47=0,0,C34/TrRoad_act!C47*1000
)</f>
        <v>298.13861529867006</v>
      </c>
      <c r="D71" s="152">
        <f>IF(TrRoad_act!D47=0,0,D34/TrRoad_act!D47*1000
)</f>
        <v>306.43459743351622</v>
      </c>
      <c r="E71" s="152">
        <f>IF(TrRoad_act!E47=0,0,E34/TrRoad_act!E47*1000
)</f>
        <v>309.65380663455892</v>
      </c>
      <c r="F71" s="152">
        <f>IF(TrRoad_act!F47=0,0,F34/TrRoad_act!F47*1000
)</f>
        <v>310.04218746331605</v>
      </c>
      <c r="G71" s="152">
        <f>IF(TrRoad_act!G47=0,0,G34/TrRoad_act!G47*1000
)</f>
        <v>321.64645039707142</v>
      </c>
      <c r="H71" s="152">
        <f>IF(TrRoad_act!H47=0,0,H34/TrRoad_act!H47*1000
)</f>
        <v>319.81974413899923</v>
      </c>
      <c r="I71" s="152">
        <f>IF(TrRoad_act!I47=0,0,I34/TrRoad_act!I47*1000
)</f>
        <v>310.21115378768462</v>
      </c>
      <c r="J71" s="152">
        <f>IF(TrRoad_act!J47=0,0,J34/TrRoad_act!J47*1000
)</f>
        <v>301.87645228961532</v>
      </c>
      <c r="K71" s="152">
        <f>IF(TrRoad_act!K47=0,0,K34/TrRoad_act!K47*1000
)</f>
        <v>297.98429887527112</v>
      </c>
      <c r="L71" s="152">
        <f>IF(TrRoad_act!L47=0,0,L34/TrRoad_act!L47*1000
)</f>
        <v>296.36904651145278</v>
      </c>
      <c r="M71" s="152">
        <f>IF(TrRoad_act!M47=0,0,M34/TrRoad_act!M47*1000
)</f>
        <v>284.14346275979472</v>
      </c>
      <c r="N71" s="152">
        <f>IF(TrRoad_act!N47=0,0,N34/TrRoad_act!N47*1000
)</f>
        <v>277.70743460885467</v>
      </c>
      <c r="O71" s="152">
        <f>IF(TrRoad_act!O47=0,0,O34/TrRoad_act!O47*1000
)</f>
        <v>259.72877324389412</v>
      </c>
      <c r="P71" s="152">
        <f>IF(TrRoad_act!P47=0,0,P34/TrRoad_act!P47*1000
)</f>
        <v>278.96857633587041</v>
      </c>
      <c r="Q71" s="152">
        <f>IF(TrRoad_act!Q47=0,0,Q34/TrRoad_act!Q47*1000
)</f>
        <v>289.48301885702563</v>
      </c>
      <c r="R71" s="152">
        <f>IF(TrRoad_act!R47=0,0,R34/TrRoad_act!R47*1000
)</f>
        <v>277.10574005158691</v>
      </c>
      <c r="S71" s="152">
        <f>IF(TrRoad_act!S47=0,0,S34/TrRoad_act!S47*1000
)</f>
        <v>280.22347781070425</v>
      </c>
      <c r="T71" s="152">
        <f>IF(TrRoad_act!T47=0,0,T34/TrRoad_act!T47*1000
)</f>
        <v>278.31867741341642</v>
      </c>
      <c r="U71" s="152">
        <f>IF(TrRoad_act!U47=0,0,U34/TrRoad_act!U47*1000
)</f>
        <v>272.97088320402793</v>
      </c>
      <c r="V71" s="152">
        <f>IF(TrRoad_act!V47=0,0,V34/TrRoad_act!V47*1000
)</f>
        <v>252.40289239849855</v>
      </c>
      <c r="W71" s="152">
        <f>IF(TrRoad_act!W47=0,0,W34/TrRoad_act!W47*1000
)</f>
        <v>263.24525904543606</v>
      </c>
      <c r="X71" s="152">
        <f>IF(TrRoad_act!X47=0,0,X34/TrRoad_act!X47*1000
)</f>
        <v>270.30186621088382</v>
      </c>
      <c r="Y71" s="152">
        <f>IF(TrRoad_act!Y47=0,0,Y34/TrRoad_act!Y47*1000
)</f>
        <v>252.82521179481765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255.42152462923272</v>
      </c>
      <c r="C72" s="87">
        <f>IF(TrRoad_act!C48=0,0,C35/TrRoad_act!C48*1000
)</f>
        <v>253.65040027003744</v>
      </c>
      <c r="D72" s="87">
        <f>IF(TrRoad_act!D48=0,0,D35/TrRoad_act!D48*1000
)</f>
        <v>252.86468336341906</v>
      </c>
      <c r="E72" s="87">
        <f>IF(TrRoad_act!E48=0,0,E35/TrRoad_act!E48*1000
)</f>
        <v>252.14369561690526</v>
      </c>
      <c r="F72" s="87">
        <f>IF(TrRoad_act!F48=0,0,F35/TrRoad_act!F48*1000
)</f>
        <v>251.29718994877791</v>
      </c>
      <c r="G72" s="87">
        <f>IF(TrRoad_act!G48=0,0,G35/TrRoad_act!G48*1000
)</f>
        <v>250.0660493509711</v>
      </c>
      <c r="H72" s="87">
        <f>IF(TrRoad_act!H48=0,0,H35/TrRoad_act!H48*1000
)</f>
        <v>248.22861754104704</v>
      </c>
      <c r="I72" s="87">
        <f>IF(TrRoad_act!I48=0,0,I35/TrRoad_act!I48*1000
)</f>
        <v>244.84904141365178</v>
      </c>
      <c r="J72" s="87">
        <f>IF(TrRoad_act!J48=0,0,J35/TrRoad_act!J48*1000
)</f>
        <v>240.07015284145615</v>
      </c>
      <c r="K72" s="87">
        <f>IF(TrRoad_act!K48=0,0,K35/TrRoad_act!K48*1000
)</f>
        <v>238.74098866300372</v>
      </c>
      <c r="L72" s="87">
        <f>IF(TrRoad_act!L48=0,0,L35/TrRoad_act!L48*1000
)</f>
        <v>234.86728110090198</v>
      </c>
      <c r="M72" s="87">
        <f>IF(TrRoad_act!M48=0,0,M35/TrRoad_act!M48*1000
)</f>
        <v>234.17631968764644</v>
      </c>
      <c r="N72" s="87">
        <f>IF(TrRoad_act!N48=0,0,N35/TrRoad_act!N48*1000
)</f>
        <v>234.15624554882476</v>
      </c>
      <c r="O72" s="87">
        <f>IF(TrRoad_act!O48=0,0,O35/TrRoad_act!O48*1000
)</f>
        <v>224.05978889031076</v>
      </c>
      <c r="P72" s="87">
        <f>IF(TrRoad_act!P48=0,0,P35/TrRoad_act!P48*1000
)</f>
        <v>213.0779324931558</v>
      </c>
      <c r="Q72" s="87">
        <f>IF(TrRoad_act!Q48=0,0,Q35/TrRoad_act!Q48*1000
)</f>
        <v>212.14962953642183</v>
      </c>
      <c r="R72" s="87">
        <f>IF(TrRoad_act!R48=0,0,R35/TrRoad_act!R48*1000
)</f>
        <v>208.75591183158636</v>
      </c>
      <c r="S72" s="87">
        <f>IF(TrRoad_act!S48=0,0,S35/TrRoad_act!S48*1000
)</f>
        <v>206.42513084634351</v>
      </c>
      <c r="T72" s="87">
        <f>IF(TrRoad_act!T48=0,0,T35/TrRoad_act!T48*1000
)</f>
        <v>205.7408315817683</v>
      </c>
      <c r="U72" s="87">
        <f>IF(TrRoad_act!U48=0,0,U35/TrRoad_act!U48*1000
)</f>
        <v>207.47776869552641</v>
      </c>
      <c r="V72" s="87">
        <f>IF(TrRoad_act!V48=0,0,V35/TrRoad_act!V48*1000
)</f>
        <v>200.19624071560204</v>
      </c>
      <c r="W72" s="87">
        <f>IF(TrRoad_act!W48=0,0,W35/TrRoad_act!W48*1000
)</f>
        <v>200.32188731396502</v>
      </c>
      <c r="X72" s="87">
        <f>IF(TrRoad_act!X48=0,0,X35/TrRoad_act!X48*1000
)</f>
        <v>200.70508581473283</v>
      </c>
      <c r="Y72" s="87">
        <f>IF(TrRoad_act!Y48=0,0,Y35/TrRoad_act!Y48*1000
)</f>
        <v>208.83796156799372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320.28385646706113</v>
      </c>
      <c r="C73" s="87">
        <f>IF(TrRoad_act!C49=0,0,C36/TrRoad_act!C49*1000
)</f>
        <v>315.02370401863226</v>
      </c>
      <c r="D73" s="87">
        <f>IF(TrRoad_act!D49=0,0,D36/TrRoad_act!D49*1000
)</f>
        <v>322.6600215335298</v>
      </c>
      <c r="E73" s="87">
        <f>IF(TrRoad_act!E49=0,0,E36/TrRoad_act!E49*1000
)</f>
        <v>324.18430786583542</v>
      </c>
      <c r="F73" s="87">
        <f>IF(TrRoad_act!F49=0,0,F36/TrRoad_act!F49*1000
)</f>
        <v>322.8606582295086</v>
      </c>
      <c r="G73" s="87">
        <f>IF(TrRoad_act!G49=0,0,G36/TrRoad_act!G49*1000
)</f>
        <v>334.84779500612609</v>
      </c>
      <c r="H73" s="87">
        <f>IF(TrRoad_act!H49=0,0,H36/TrRoad_act!H49*1000
)</f>
        <v>331.49536105343481</v>
      </c>
      <c r="I73" s="87">
        <f>IF(TrRoad_act!I49=0,0,I36/TrRoad_act!I49*1000
)</f>
        <v>319.05325492673421</v>
      </c>
      <c r="J73" s="87">
        <f>IF(TrRoad_act!J49=0,0,J36/TrRoad_act!J49*1000
)</f>
        <v>307.91463727889447</v>
      </c>
      <c r="K73" s="87">
        <f>IF(TrRoad_act!K49=0,0,K36/TrRoad_act!K49*1000
)</f>
        <v>302.425194080381</v>
      </c>
      <c r="L73" s="87">
        <f>IF(TrRoad_act!L49=0,0,L36/TrRoad_act!L49*1000
)</f>
        <v>301.24125083305296</v>
      </c>
      <c r="M73" s="87">
        <f>IF(TrRoad_act!M49=0,0,M36/TrRoad_act!M49*1000
)</f>
        <v>287.42757497167025</v>
      </c>
      <c r="N73" s="87">
        <f>IF(TrRoad_act!N49=0,0,N36/TrRoad_act!N49*1000
)</f>
        <v>280.32479413836313</v>
      </c>
      <c r="O73" s="87">
        <f>IF(TrRoad_act!O49=0,0,O36/TrRoad_act!O49*1000
)</f>
        <v>261.66806171362452</v>
      </c>
      <c r="P73" s="87">
        <f>IF(TrRoad_act!P49=0,0,P36/TrRoad_act!P49*1000
)</f>
        <v>282.15497821527748</v>
      </c>
      <c r="Q73" s="87">
        <f>IF(TrRoad_act!Q49=0,0,Q36/TrRoad_act!Q49*1000
)</f>
        <v>292.75841649658258</v>
      </c>
      <c r="R73" s="87">
        <f>IF(TrRoad_act!R49=0,0,R36/TrRoad_act!R49*1000
)</f>
        <v>279.68964811943539</v>
      </c>
      <c r="S73" s="87">
        <f>IF(TrRoad_act!S49=0,0,S36/TrRoad_act!S49*1000
)</f>
        <v>282.82344970494853</v>
      </c>
      <c r="T73" s="87">
        <f>IF(TrRoad_act!T49=0,0,T36/TrRoad_act!T49*1000
)</f>
        <v>280.75941152301607</v>
      </c>
      <c r="U73" s="87">
        <f>IF(TrRoad_act!U49=0,0,U36/TrRoad_act!U49*1000
)</f>
        <v>275.0743114778187</v>
      </c>
      <c r="V73" s="87">
        <f>IF(TrRoad_act!V49=0,0,V36/TrRoad_act!V49*1000
)</f>
        <v>253.99708490985284</v>
      </c>
      <c r="W73" s="87">
        <f>IF(TrRoad_act!W49=0,0,W36/TrRoad_act!W49*1000
)</f>
        <v>265.10187194515947</v>
      </c>
      <c r="X73" s="87">
        <f>IF(TrRoad_act!X49=0,0,X36/TrRoad_act!X49*1000
)</f>
        <v>272.42165826426162</v>
      </c>
      <c r="Y73" s="87">
        <f>IF(TrRoad_act!Y49=0,0,Y36/TrRoad_act!Y49*1000
)</f>
        <v>254.45551861062782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282.31841042062752</v>
      </c>
      <c r="D74" s="87">
        <f>IF(TrRoad_act!D50=0,0,D37/TrRoad_act!D50*1000
)</f>
        <v>282.31841042062752</v>
      </c>
      <c r="E74" s="87">
        <f>IF(TrRoad_act!E50=0,0,E37/TrRoad_act!E50*1000
)</f>
        <v>282.31841042062752</v>
      </c>
      <c r="F74" s="87">
        <f>IF(TrRoad_act!F50=0,0,F37/TrRoad_act!F50*1000
)</f>
        <v>282.31841042062752</v>
      </c>
      <c r="G74" s="87">
        <f>IF(TrRoad_act!G50=0,0,G37/TrRoad_act!G50*1000
)</f>
        <v>282.31841042062752</v>
      </c>
      <c r="H74" s="87">
        <f>IF(TrRoad_act!H50=0,0,H37/TrRoad_act!H50*1000
)</f>
        <v>282.31841042062752</v>
      </c>
      <c r="I74" s="87">
        <f>IF(TrRoad_act!I50=0,0,I37/TrRoad_act!I50*1000
)</f>
        <v>282.31841042062752</v>
      </c>
      <c r="J74" s="87">
        <f>IF(TrRoad_act!J50=0,0,J37/TrRoad_act!J50*1000
)</f>
        <v>282.31841042062752</v>
      </c>
      <c r="K74" s="87">
        <f>IF(TrRoad_act!K50=0,0,K37/TrRoad_act!K50*1000
)</f>
        <v>282.31841042062752</v>
      </c>
      <c r="L74" s="87">
        <f>IF(TrRoad_act!L50=0,0,L37/TrRoad_act!L50*1000
)</f>
        <v>282.31841042062752</v>
      </c>
      <c r="M74" s="87">
        <f>IF(TrRoad_act!M50=0,0,M37/TrRoad_act!M50*1000
)</f>
        <v>282.31841042062752</v>
      </c>
      <c r="N74" s="87">
        <f>IF(TrRoad_act!N50=0,0,N37/TrRoad_act!N50*1000
)</f>
        <v>282.05686939129941</v>
      </c>
      <c r="O74" s="87">
        <f>IF(TrRoad_act!O50=0,0,O37/TrRoad_act!O50*1000
)</f>
        <v>282.01969555620411</v>
      </c>
      <c r="P74" s="87">
        <f>IF(TrRoad_act!P50=0,0,P37/TrRoad_act!P50*1000
)</f>
        <v>281.97020357432785</v>
      </c>
      <c r="Q74" s="87">
        <f>IF(TrRoad_act!Q50=0,0,Q37/TrRoad_act!Q50*1000
)</f>
        <v>278.32706309155213</v>
      </c>
      <c r="R74" s="87">
        <f>IF(TrRoad_act!R50=0,0,R37/TrRoad_act!R50*1000
)</f>
        <v>277.61076671494482</v>
      </c>
      <c r="S74" s="87">
        <f>IF(TrRoad_act!S50=0,0,S37/TrRoad_act!S50*1000
)</f>
        <v>276.58114361054805</v>
      </c>
      <c r="T74" s="87">
        <f>IF(TrRoad_act!T50=0,0,T37/TrRoad_act!T50*1000
)</f>
        <v>275.45536550597728</v>
      </c>
      <c r="U74" s="87">
        <f>IF(TrRoad_act!U50=0,0,U37/TrRoad_act!U50*1000
)</f>
        <v>273.54186350939676</v>
      </c>
      <c r="V74" s="87">
        <f>IF(TrRoad_act!V50=0,0,V37/TrRoad_act!V50*1000
)</f>
        <v>257.48032360599046</v>
      </c>
      <c r="W74" s="87">
        <f>IF(TrRoad_act!W50=0,0,W37/TrRoad_act!W50*1000
)</f>
        <v>247.21700661226063</v>
      </c>
      <c r="X74" s="87">
        <f>IF(TrRoad_act!X50=0,0,X37/TrRoad_act!X50*1000
)</f>
        <v>286.15663411065589</v>
      </c>
      <c r="Y74" s="87">
        <f>IF(TrRoad_act!Y50=0,0,Y37/TrRoad_act!Y50*1000
)</f>
        <v>292.68781071622499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262.33125606214884</v>
      </c>
      <c r="C75" s="87">
        <f>IF(TrRoad_act!C51=0,0,C38/TrRoad_act!C51*1000
)</f>
        <v>249.8392914877607</v>
      </c>
      <c r="D75" s="87">
        <f>IF(TrRoad_act!D51=0,0,D38/TrRoad_act!D51*1000
)</f>
        <v>249.8392914877607</v>
      </c>
      <c r="E75" s="87">
        <f>IF(TrRoad_act!E51=0,0,E38/TrRoad_act!E51*1000
)</f>
        <v>249.83929148776076</v>
      </c>
      <c r="F75" s="87">
        <f>IF(TrRoad_act!F51=0,0,F38/TrRoad_act!F51*1000
)</f>
        <v>249.8392914877607</v>
      </c>
      <c r="G75" s="87">
        <f>IF(TrRoad_act!G51=0,0,G38/TrRoad_act!G51*1000
)</f>
        <v>249.83929148776076</v>
      </c>
      <c r="H75" s="87">
        <f>IF(TrRoad_act!H51=0,0,H38/TrRoad_act!H51*1000
)</f>
        <v>249.83929148776076</v>
      </c>
      <c r="I75" s="87">
        <f>IF(TrRoad_act!I51=0,0,I38/TrRoad_act!I51*1000
)</f>
        <v>249.83929148776076</v>
      </c>
      <c r="J75" s="87">
        <f>IF(TrRoad_act!J51=0,0,J38/TrRoad_act!J51*1000
)</f>
        <v>249.83929148776082</v>
      </c>
      <c r="K75" s="87">
        <f>IF(TrRoad_act!K51=0,0,K38/TrRoad_act!K51*1000
)</f>
        <v>249.83929148776073</v>
      </c>
      <c r="L75" s="87">
        <f>IF(TrRoad_act!L51=0,0,L38/TrRoad_act!L51*1000
)</f>
        <v>249.83929148776076</v>
      </c>
      <c r="M75" s="87">
        <f>IF(TrRoad_act!M51=0,0,M38/TrRoad_act!M51*1000
)</f>
        <v>249.83929148776079</v>
      </c>
      <c r="N75" s="87">
        <f>IF(TrRoad_act!N51=0,0,N38/TrRoad_act!N51*1000
)</f>
        <v>183.12802232242032</v>
      </c>
      <c r="O75" s="87">
        <f>IF(TrRoad_act!O51=0,0,O38/TrRoad_act!O51*1000
)</f>
        <v>181.82962744501427</v>
      </c>
      <c r="P75" s="87">
        <f>IF(TrRoad_act!P51=0,0,P38/TrRoad_act!P51*1000
)</f>
        <v>178.92287581827614</v>
      </c>
      <c r="Q75" s="87">
        <f>IF(TrRoad_act!Q51=0,0,Q38/TrRoad_act!Q51*1000
)</f>
        <v>219.36960948634095</v>
      </c>
      <c r="R75" s="87">
        <f>IF(TrRoad_act!R51=0,0,R38/TrRoad_act!R51*1000
)</f>
        <v>221.83319640115033</v>
      </c>
      <c r="S75" s="87">
        <f>IF(TrRoad_act!S51=0,0,S38/TrRoad_act!S51*1000
)</f>
        <v>218.62501141020462</v>
      </c>
      <c r="T75" s="87">
        <f>IF(TrRoad_act!T51=0,0,T38/TrRoad_act!T51*1000
)</f>
        <v>223.37942317027515</v>
      </c>
      <c r="U75" s="87">
        <f>IF(TrRoad_act!U51=0,0,U38/TrRoad_act!U51*1000
)</f>
        <v>221.97031695352328</v>
      </c>
      <c r="V75" s="87">
        <f>IF(TrRoad_act!V51=0,0,V38/TrRoad_act!V51*1000
)</f>
        <v>218.49235489488461</v>
      </c>
      <c r="W75" s="87">
        <f>IF(TrRoad_act!W51=0,0,W38/TrRoad_act!W51*1000
)</f>
        <v>220.18156770711897</v>
      </c>
      <c r="X75" s="87">
        <f>IF(TrRoad_act!X51=0,0,X38/TrRoad_act!X51*1000
)</f>
        <v>220.08216862836719</v>
      </c>
      <c r="Y75" s="87">
        <f>IF(TrRoad_act!Y51=0,0,Y38/TrRoad_act!Y51*1000
)</f>
        <v>223.11477154910418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1146.1359696373877</v>
      </c>
      <c r="C77" s="116">
        <f>IF(TrRoad_act!C53=0,0,C40/TrRoad_act!C53*1000
)</f>
        <v>1210.427111356086</v>
      </c>
      <c r="D77" s="116">
        <f>IF(TrRoad_act!D53=0,0,D40/TrRoad_act!D53*1000
)</f>
        <v>1354.5722116935685</v>
      </c>
      <c r="E77" s="116">
        <f>IF(TrRoad_act!E53=0,0,E40/TrRoad_act!E53*1000
)</f>
        <v>1415.468448905496</v>
      </c>
      <c r="F77" s="116">
        <f>IF(TrRoad_act!F53=0,0,F40/TrRoad_act!F53*1000
)</f>
        <v>1430.3312338113903</v>
      </c>
      <c r="G77" s="116">
        <f>IF(TrRoad_act!G53=0,0,G40/TrRoad_act!G53*1000
)</f>
        <v>1492.1464526694294</v>
      </c>
      <c r="H77" s="116">
        <f>IF(TrRoad_act!H53=0,0,H40/TrRoad_act!H53*1000
)</f>
        <v>1517.121694735873</v>
      </c>
      <c r="I77" s="116">
        <f>IF(TrRoad_act!I53=0,0,I40/TrRoad_act!I53*1000
)</f>
        <v>1393.0225656539853</v>
      </c>
      <c r="J77" s="116">
        <f>IF(TrRoad_act!J53=0,0,J40/TrRoad_act!J53*1000
)</f>
        <v>1391.1350627547333</v>
      </c>
      <c r="K77" s="116">
        <f>IF(TrRoad_act!K53=0,0,K40/TrRoad_act!K53*1000
)</f>
        <v>1341.4844696654193</v>
      </c>
      <c r="L77" s="116">
        <f>IF(TrRoad_act!L53=0,0,L40/TrRoad_act!L53*1000
)</f>
        <v>1403.6810637511819</v>
      </c>
      <c r="M77" s="116">
        <f>IF(TrRoad_act!M53=0,0,M40/TrRoad_act!M53*1000
)</f>
        <v>1226.006795123471</v>
      </c>
      <c r="N77" s="116">
        <f>IF(TrRoad_act!N53=0,0,N40/TrRoad_act!N53*1000
)</f>
        <v>1134.1366810000391</v>
      </c>
      <c r="O77" s="116">
        <f>IF(TrRoad_act!O53=0,0,O40/TrRoad_act!O53*1000
)</f>
        <v>918.00166234014284</v>
      </c>
      <c r="P77" s="116">
        <f>IF(TrRoad_act!P53=0,0,P40/TrRoad_act!P53*1000
)</f>
        <v>1204.581324973034</v>
      </c>
      <c r="Q77" s="116">
        <f>IF(TrRoad_act!Q53=0,0,Q40/TrRoad_act!Q53*1000
)</f>
        <v>1367.1301901793599</v>
      </c>
      <c r="R77" s="116">
        <f>IF(TrRoad_act!R53=0,0,R40/TrRoad_act!R53*1000
)</f>
        <v>1217.4739996345218</v>
      </c>
      <c r="S77" s="116">
        <f>IF(TrRoad_act!S53=0,0,S40/TrRoad_act!S53*1000
)</f>
        <v>1267.3282374484916</v>
      </c>
      <c r="T77" s="116">
        <f>IF(TrRoad_act!T53=0,0,T40/TrRoad_act!T53*1000
)</f>
        <v>1272.0365978977009</v>
      </c>
      <c r="U77" s="116">
        <f>IF(TrRoad_act!U53=0,0,U40/TrRoad_act!U53*1000
)</f>
        <v>1213.2134458921773</v>
      </c>
      <c r="V77" s="116">
        <f>IF(TrRoad_act!V53=0,0,V40/TrRoad_act!V53*1000
)</f>
        <v>915.65738108857761</v>
      </c>
      <c r="W77" s="116">
        <f>IF(TrRoad_act!W53=0,0,W40/TrRoad_act!W53*1000
)</f>
        <v>1059.5382980115578</v>
      </c>
      <c r="X77" s="116">
        <f>IF(TrRoad_act!X53=0,0,X40/TrRoad_act!X53*1000
)</f>
        <v>1200.2104730089416</v>
      </c>
      <c r="Y77" s="116">
        <f>IF(TrRoad_act!Y53=0,0,Y40/TrRoad_act!Y53*1000
)</f>
        <v>900.6204189494573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1077.6195011175721</v>
      </c>
      <c r="C78" s="101">
        <f>IF(TrRoad_act!C54=0,0,C41/TrRoad_act!C54*1000
)</f>
        <v>1100.1665818036029</v>
      </c>
      <c r="D78" s="101">
        <f>IF(TrRoad_act!D54=0,0,D41/TrRoad_act!D54*1000
)</f>
        <v>1152.6642870693929</v>
      </c>
      <c r="E78" s="101">
        <f>IF(TrRoad_act!E54=0,0,E41/TrRoad_act!E54*1000
)</f>
        <v>1174.0522393237407</v>
      </c>
      <c r="F78" s="101">
        <f>IF(TrRoad_act!F54=0,0,F41/TrRoad_act!F54*1000
)</f>
        <v>1178.8324894144466</v>
      </c>
      <c r="G78" s="101">
        <f>IF(TrRoad_act!G54=0,0,G41/TrRoad_act!G54*1000
)</f>
        <v>1204.131366658864</v>
      </c>
      <c r="H78" s="101">
        <f>IF(TrRoad_act!H54=0,0,H41/TrRoad_act!H54*1000
)</f>
        <v>1210.0810523105808</v>
      </c>
      <c r="I78" s="101">
        <f>IF(TrRoad_act!I54=0,0,I41/TrRoad_act!I54*1000
)</f>
        <v>1159.8961744326355</v>
      </c>
      <c r="J78" s="101">
        <f>IF(TrRoad_act!J54=0,0,J41/TrRoad_act!J54*1000
)</f>
        <v>1128.2693282618895</v>
      </c>
      <c r="K78" s="101">
        <f>IF(TrRoad_act!K54=0,0,K41/TrRoad_act!K54*1000
)</f>
        <v>1100.6494223895766</v>
      </c>
      <c r="L78" s="101">
        <f>IF(TrRoad_act!L54=0,0,L41/TrRoad_act!L54*1000
)</f>
        <v>1119.6620376584895</v>
      </c>
      <c r="M78" s="101">
        <f>IF(TrRoad_act!M54=0,0,M41/TrRoad_act!M54*1000
)</f>
        <v>1051.2039944487208</v>
      </c>
      <c r="N78" s="101">
        <f>IF(TrRoad_act!N54=0,0,N41/TrRoad_act!N54*1000
)</f>
        <v>1013.1758924530263</v>
      </c>
      <c r="O78" s="101">
        <f>IF(TrRoad_act!O54=0,0,O41/TrRoad_act!O54*1000
)</f>
        <v>927.01826870070431</v>
      </c>
      <c r="P78" s="101">
        <f>IF(TrRoad_act!P54=0,0,P41/TrRoad_act!P54*1000
)</f>
        <v>1034.1455097745304</v>
      </c>
      <c r="Q78" s="101">
        <f>IF(TrRoad_act!Q54=0,0,Q41/TrRoad_act!Q54*1000
)</f>
        <v>1098.4350630392687</v>
      </c>
      <c r="R78" s="101">
        <f>IF(TrRoad_act!R54=0,0,R41/TrRoad_act!R54*1000
)</f>
        <v>1038.8360088718914</v>
      </c>
      <c r="S78" s="101">
        <f>IF(TrRoad_act!S54=0,0,S41/TrRoad_act!S54*1000
)</f>
        <v>1059.8231733262062</v>
      </c>
      <c r="T78" s="101">
        <f>IF(TrRoad_act!T54=0,0,T41/TrRoad_act!T54*1000
)</f>
        <v>1053.5082447783443</v>
      </c>
      <c r="U78" s="101">
        <f>IF(TrRoad_act!U54=0,0,U41/TrRoad_act!U54*1000
)</f>
        <v>1023.734635137924</v>
      </c>
      <c r="V78" s="101">
        <f>IF(TrRoad_act!V54=0,0,V41/TrRoad_act!V54*1000
)</f>
        <v>896.20030340823928</v>
      </c>
      <c r="W78" s="101">
        <f>IF(TrRoad_act!W54=0,0,W41/TrRoad_act!W54*1000
)</f>
        <v>949.58892137008729</v>
      </c>
      <c r="X78" s="101">
        <f>IF(TrRoad_act!X54=0,0,X41/TrRoad_act!X54*1000
)</f>
        <v>995.51586641320239</v>
      </c>
      <c r="Y78" s="101">
        <f>IF(TrRoad_act!Y54=0,0,Y41/TrRoad_act!Y54*1000
)</f>
        <v>873.64698559177054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1292.0945165371945</v>
      </c>
      <c r="C79" s="88">
        <f>IF(TrRoad_act!C55=0,0,C42/TrRoad_act!C55*1000
)</f>
        <v>1429.2800343050747</v>
      </c>
      <c r="D79" s="88">
        <f>IF(TrRoad_act!D55=0,0,D42/TrRoad_act!D55*1000
)</f>
        <v>1720.1447002174846</v>
      </c>
      <c r="E79" s="88">
        <f>IF(TrRoad_act!E55=0,0,E42/TrRoad_act!E55*1000
)</f>
        <v>1839.6771990331472</v>
      </c>
      <c r="F79" s="88">
        <f>IF(TrRoad_act!F55=0,0,F42/TrRoad_act!F55*1000
)</f>
        <v>1824.6561748058671</v>
      </c>
      <c r="G79" s="88">
        <f>IF(TrRoad_act!G55=0,0,G42/TrRoad_act!G55*1000
)</f>
        <v>2078.6006594981332</v>
      </c>
      <c r="H79" s="88">
        <f>IF(TrRoad_act!H55=0,0,H42/TrRoad_act!H55*1000
)</f>
        <v>2135.1181469760513</v>
      </c>
      <c r="I79" s="88">
        <f>IF(TrRoad_act!I55=0,0,I42/TrRoad_act!I55*1000
)</f>
        <v>1845.0842001798765</v>
      </c>
      <c r="J79" s="88">
        <f>IF(TrRoad_act!J55=0,0,J42/TrRoad_act!J55*1000
)</f>
        <v>1824.5203533026649</v>
      </c>
      <c r="K79" s="88">
        <f>IF(TrRoad_act!K55=0,0,K42/TrRoad_act!K55*1000
)</f>
        <v>1914.973548778222</v>
      </c>
      <c r="L79" s="88">
        <f>IF(TrRoad_act!L55=0,0,L42/TrRoad_act!L55*1000
)</f>
        <v>1984.6277542039493</v>
      </c>
      <c r="M79" s="88">
        <f>IF(TrRoad_act!M55=0,0,M42/TrRoad_act!M55*1000
)</f>
        <v>1542.4562277679247</v>
      </c>
      <c r="N79" s="88">
        <f>IF(TrRoad_act!N55=0,0,N42/TrRoad_act!N55*1000
)</f>
        <v>1322.4391568764675</v>
      </c>
      <c r="O79" s="88">
        <f>IF(TrRoad_act!O55=0,0,O42/TrRoad_act!O55*1000
)</f>
        <v>904.12168819752424</v>
      </c>
      <c r="P79" s="88">
        <f>IF(TrRoad_act!P55=0,0,P42/TrRoad_act!P55*1000
)</f>
        <v>1464.3066978029431</v>
      </c>
      <c r="Q79" s="88">
        <f>IF(TrRoad_act!Q55=0,0,Q42/TrRoad_act!Q55*1000
)</f>
        <v>1765.4144789187692</v>
      </c>
      <c r="R79" s="88">
        <f>IF(TrRoad_act!R55=0,0,R42/TrRoad_act!R55*1000
)</f>
        <v>1477.8977070951892</v>
      </c>
      <c r="S79" s="88">
        <f>IF(TrRoad_act!S55=0,0,S42/TrRoad_act!S55*1000
)</f>
        <v>1539.1379879178687</v>
      </c>
      <c r="T79" s="88">
        <f>IF(TrRoad_act!T55=0,0,T42/TrRoad_act!T55*1000
)</f>
        <v>1586.9771076647919</v>
      </c>
      <c r="U79" s="88">
        <f>IF(TrRoad_act!U55=0,0,U42/TrRoad_act!U55*1000
)</f>
        <v>1488.3335505496443</v>
      </c>
      <c r="V79" s="88">
        <f>IF(TrRoad_act!V55=0,0,V42/TrRoad_act!V55*1000
)</f>
        <v>945.03758364950193</v>
      </c>
      <c r="W79" s="88">
        <f>IF(TrRoad_act!W55=0,0,W42/TrRoad_act!W55*1000
)</f>
        <v>1228.9341478749698</v>
      </c>
      <c r="X79" s="88">
        <f>IF(TrRoad_act!X55=0,0,X42/TrRoad_act!X55*1000
)</f>
        <v>1481.9646594378644</v>
      </c>
      <c r="Y79" s="88">
        <f>IF(TrRoad_act!Y55=0,0,Y42/TrRoad_act!Y55*1000
)</f>
        <v>937.71284861520815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86.989642756805665</v>
      </c>
      <c r="C82" s="29">
        <f>IF(TrRoad_act!C4=0,0,C18/TrRoad_act!C4*1000)</f>
        <v>91.557221868044948</v>
      </c>
      <c r="D82" s="29">
        <f>IF(TrRoad_act!D4=0,0,D18/TrRoad_act!D4*1000)</f>
        <v>95.468417304469568</v>
      </c>
      <c r="E82" s="29">
        <f>IF(TrRoad_act!E4=0,0,E18/TrRoad_act!E4*1000)</f>
        <v>98.251051721988773</v>
      </c>
      <c r="F82" s="29">
        <f>IF(TrRoad_act!F4=0,0,F18/TrRoad_act!F4*1000)</f>
        <v>99.788781523124797</v>
      </c>
      <c r="G82" s="29">
        <f>IF(TrRoad_act!G4=0,0,G18/TrRoad_act!G4*1000)</f>
        <v>101.14564818329259</v>
      </c>
      <c r="H82" s="29">
        <f>IF(TrRoad_act!H4=0,0,H18/TrRoad_act!H4*1000)</f>
        <v>103.84189218071248</v>
      </c>
      <c r="I82" s="29">
        <f>IF(TrRoad_act!I4=0,0,I18/TrRoad_act!I4*1000)</f>
        <v>106.12319388345689</v>
      </c>
      <c r="J82" s="29">
        <f>IF(TrRoad_act!J4=0,0,J18/TrRoad_act!J4*1000)</f>
        <v>103.07123046235286</v>
      </c>
      <c r="K82" s="29">
        <f>IF(TrRoad_act!K4=0,0,K18/TrRoad_act!K4*1000)</f>
        <v>106.07633423351432</v>
      </c>
      <c r="L82" s="29">
        <f>IF(TrRoad_act!L4=0,0,L18/TrRoad_act!L4*1000)</f>
        <v>99.560489374404838</v>
      </c>
      <c r="M82" s="29">
        <f>IF(TrRoad_act!M4=0,0,M18/TrRoad_act!M4*1000)</f>
        <v>94.169300082497003</v>
      </c>
      <c r="N82" s="29">
        <f>IF(TrRoad_act!N4=0,0,N18/TrRoad_act!N4*1000)</f>
        <v>94.540442990833824</v>
      </c>
      <c r="O82" s="29">
        <f>IF(TrRoad_act!O4=0,0,O18/TrRoad_act!O4*1000)</f>
        <v>90.742598503011408</v>
      </c>
      <c r="P82" s="29">
        <f>IF(TrRoad_act!P4=0,0,P18/TrRoad_act!P4*1000)</f>
        <v>93.910480154157227</v>
      </c>
      <c r="Q82" s="29">
        <f>IF(TrRoad_act!Q4=0,0,Q18/TrRoad_act!Q4*1000)</f>
        <v>97.692442595822726</v>
      </c>
      <c r="R82" s="29">
        <f>IF(TrRoad_act!R4=0,0,R18/TrRoad_act!R4*1000)</f>
        <v>98.784949989065097</v>
      </c>
      <c r="S82" s="29">
        <f>IF(TrRoad_act!S4=0,0,S18/TrRoad_act!S4*1000)</f>
        <v>98.365221647763818</v>
      </c>
      <c r="T82" s="29">
        <f>IF(TrRoad_act!T4=0,0,T18/TrRoad_act!T4*1000)</f>
        <v>99.667434837454167</v>
      </c>
      <c r="U82" s="29">
        <f>IF(TrRoad_act!U4=0,0,U18/TrRoad_act!U4*1000)</f>
        <v>105.15209118836795</v>
      </c>
      <c r="V82" s="29">
        <f>IF(TrRoad_act!V4=0,0,V18/TrRoad_act!V4*1000)</f>
        <v>103.53511380140228</v>
      </c>
      <c r="W82" s="29">
        <f>IF(TrRoad_act!W4=0,0,W18/TrRoad_act!W4*1000)</f>
        <v>106.48165238667221</v>
      </c>
      <c r="X82" s="29">
        <f>IF(TrRoad_act!X4=0,0,X18/TrRoad_act!X4*1000)</f>
        <v>103.91297211828487</v>
      </c>
      <c r="Y82" s="29">
        <f>IF(TrRoad_act!Y4=0,0,Y18/TrRoad_act!Y4*1000)</f>
        <v>95.382994111905361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121.69985263295149</v>
      </c>
      <c r="C83" s="152">
        <f>IF(TrRoad_act!C5=0,0,C19/TrRoad_act!C5*1000)</f>
        <v>121.23240403415585</v>
      </c>
      <c r="D83" s="152">
        <f>IF(TrRoad_act!D5=0,0,D19/TrRoad_act!D5*1000)</f>
        <v>120.24326721471152</v>
      </c>
      <c r="E83" s="152">
        <f>IF(TrRoad_act!E5=0,0,E19/TrRoad_act!E5*1000)</f>
        <v>119.05551546965451</v>
      </c>
      <c r="F83" s="152">
        <f>IF(TrRoad_act!F5=0,0,F19/TrRoad_act!F5*1000)</f>
        <v>117.35216478205189</v>
      </c>
      <c r="G83" s="152">
        <f>IF(TrRoad_act!G5=0,0,G19/TrRoad_act!G5*1000)</f>
        <v>116.12199188395526</v>
      </c>
      <c r="H83" s="152">
        <f>IF(TrRoad_act!H5=0,0,H19/TrRoad_act!H5*1000)</f>
        <v>114.39631084472116</v>
      </c>
      <c r="I83" s="152">
        <f>IF(TrRoad_act!I5=0,0,I19/TrRoad_act!I5*1000)</f>
        <v>111.94032192778222</v>
      </c>
      <c r="J83" s="152">
        <f>IF(TrRoad_act!J5=0,0,J19/TrRoad_act!J5*1000)</f>
        <v>109.14396800435024</v>
      </c>
      <c r="K83" s="152">
        <f>IF(TrRoad_act!K5=0,0,K19/TrRoad_act!K5*1000)</f>
        <v>107.91058840925977</v>
      </c>
      <c r="L83" s="152">
        <f>IF(TrRoad_act!L5=0,0,L19/TrRoad_act!L5*1000)</f>
        <v>105.74095309264641</v>
      </c>
      <c r="M83" s="152">
        <f>IF(TrRoad_act!M5=0,0,M19/TrRoad_act!M5*1000)</f>
        <v>104.98184753638999</v>
      </c>
      <c r="N83" s="152">
        <f>IF(TrRoad_act!N5=0,0,N19/TrRoad_act!N5*1000)</f>
        <v>104.89881514910034</v>
      </c>
      <c r="O83" s="152">
        <f>IF(TrRoad_act!O5=0,0,O19/TrRoad_act!O5*1000)</f>
        <v>105.61835740778308</v>
      </c>
      <c r="P83" s="152">
        <f>IF(TrRoad_act!P5=0,0,P19/TrRoad_act!P5*1000)</f>
        <v>102.12212166891337</v>
      </c>
      <c r="Q83" s="152">
        <f>IF(TrRoad_act!Q5=0,0,Q19/TrRoad_act!Q5*1000)</f>
        <v>102.04944948329613</v>
      </c>
      <c r="R83" s="152">
        <f>IF(TrRoad_act!R5=0,0,R19/TrRoad_act!R5*1000)</f>
        <v>100.8242970045979</v>
      </c>
      <c r="S83" s="152">
        <f>IF(TrRoad_act!S5=0,0,S19/TrRoad_act!S5*1000)</f>
        <v>99.853624021236755</v>
      </c>
      <c r="T83" s="152">
        <f>IF(TrRoad_act!T5=0,0,T19/TrRoad_act!T5*1000)</f>
        <v>98.815050116452383</v>
      </c>
      <c r="U83" s="152">
        <f>IF(TrRoad_act!U5=0,0,U19/TrRoad_act!U5*1000)</f>
        <v>98.659183968979065</v>
      </c>
      <c r="V83" s="152">
        <f>IF(TrRoad_act!V5=0,0,V19/TrRoad_act!V5*1000)</f>
        <v>94.849313215667223</v>
      </c>
      <c r="W83" s="152">
        <f>IF(TrRoad_act!W5=0,0,W19/TrRoad_act!W5*1000)</f>
        <v>94.536281997363673</v>
      </c>
      <c r="X83" s="152">
        <f>IF(TrRoad_act!X5=0,0,X19/TrRoad_act!X5*1000)</f>
        <v>95.920050743151165</v>
      </c>
      <c r="Y83" s="152">
        <f>IF(TrRoad_act!Y5=0,0,Y19/TrRoad_act!Y5*1000)</f>
        <v>94.384289609086721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96.626043874361187</v>
      </c>
      <c r="C84" s="116">
        <f>IF(TrRoad_act!C6=0,0,C20/TrRoad_act!C6*1000)</f>
        <v>102.76830558555324</v>
      </c>
      <c r="D84" s="116">
        <f>IF(TrRoad_act!D6=0,0,D20/TrRoad_act!D6*1000)</f>
        <v>107.97749115174516</v>
      </c>
      <c r="E84" s="116">
        <f>IF(TrRoad_act!E6=0,0,E20/TrRoad_act!E6*1000)</f>
        <v>111.12316763833155</v>
      </c>
      <c r="F84" s="116">
        <f>IF(TrRoad_act!F6=0,0,F20/TrRoad_act!F6*1000)</f>
        <v>112.7474266123365</v>
      </c>
      <c r="G84" s="116">
        <f>IF(TrRoad_act!G6=0,0,G20/TrRoad_act!G6*1000)</f>
        <v>112.96760069592884</v>
      </c>
      <c r="H84" s="116">
        <f>IF(TrRoad_act!H6=0,0,H20/TrRoad_act!H6*1000)</f>
        <v>114.19083536422123</v>
      </c>
      <c r="I84" s="116">
        <f>IF(TrRoad_act!I6=0,0,I20/TrRoad_act!I6*1000)</f>
        <v>115.72555657384399</v>
      </c>
      <c r="J84" s="116">
        <f>IF(TrRoad_act!J6=0,0,J20/TrRoad_act!J6*1000)</f>
        <v>115.25793756064392</v>
      </c>
      <c r="K84" s="116">
        <f>IF(TrRoad_act!K6=0,0,K20/TrRoad_act!K6*1000)</f>
        <v>117.36009568997846</v>
      </c>
      <c r="L84" s="116">
        <f>IF(TrRoad_act!L6=0,0,L20/TrRoad_act!L6*1000)</f>
        <v>109.32016989087258</v>
      </c>
      <c r="M84" s="116">
        <f>IF(TrRoad_act!M6=0,0,M20/TrRoad_act!M6*1000)</f>
        <v>103.54999823187042</v>
      </c>
      <c r="N84" s="116">
        <f>IF(TrRoad_act!N6=0,0,N20/TrRoad_act!N6*1000)</f>
        <v>105.7049195700357</v>
      </c>
      <c r="O84" s="116">
        <f>IF(TrRoad_act!O6=0,0,O20/TrRoad_act!O6*1000)</f>
        <v>101.61004864926147</v>
      </c>
      <c r="P84" s="116">
        <f>IF(TrRoad_act!P6=0,0,P20/TrRoad_act!P6*1000)</f>
        <v>104.61987537938202</v>
      </c>
      <c r="Q84" s="116">
        <f>IF(TrRoad_act!Q6=0,0,Q20/TrRoad_act!Q6*1000)</f>
        <v>108.59438674829221</v>
      </c>
      <c r="R84" s="116">
        <f>IF(TrRoad_act!R6=0,0,R20/TrRoad_act!R6*1000)</f>
        <v>109.87115098773346</v>
      </c>
      <c r="S84" s="116">
        <f>IF(TrRoad_act!S6=0,0,S20/TrRoad_act!S6*1000)</f>
        <v>108.2743294788265</v>
      </c>
      <c r="T84" s="116">
        <f>IF(TrRoad_act!T6=0,0,T20/TrRoad_act!T6*1000)</f>
        <v>109.89197846303664</v>
      </c>
      <c r="U84" s="116">
        <f>IF(TrRoad_act!U6=0,0,U20/TrRoad_act!U6*1000)</f>
        <v>116.22920998136976</v>
      </c>
      <c r="V84" s="116">
        <f>IF(TrRoad_act!V6=0,0,V20/TrRoad_act!V6*1000)</f>
        <v>108.4431802808738</v>
      </c>
      <c r="W84" s="116">
        <f>IF(TrRoad_act!W6=0,0,W20/TrRoad_act!W6*1000)</f>
        <v>110.1022340520729</v>
      </c>
      <c r="X84" s="116">
        <f>IF(TrRoad_act!X6=0,0,X20/TrRoad_act!X6*1000)</f>
        <v>109.97948245575272</v>
      </c>
      <c r="Y84" s="116">
        <f>IF(TrRoad_act!Y6=0,0,Y20/TrRoad_act!Y6*1000)</f>
        <v>100.62933657494987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95.676704655315703</v>
      </c>
      <c r="C85" s="87">
        <f>IF(TrRoad_act!C7=0,0,C21/TrRoad_act!C7*1000)</f>
        <v>101.73973217598574</v>
      </c>
      <c r="D85" s="87">
        <f>IF(TrRoad_act!D7=0,0,D21/TrRoad_act!D7*1000)</f>
        <v>106.8636847789414</v>
      </c>
      <c r="E85" s="87">
        <f>IF(TrRoad_act!E7=0,0,E21/TrRoad_act!E7*1000)</f>
        <v>109.40379436970818</v>
      </c>
      <c r="F85" s="87">
        <f>IF(TrRoad_act!F7=0,0,F21/TrRoad_act!F7*1000)</f>
        <v>111.53092735136295</v>
      </c>
      <c r="G85" s="87">
        <f>IF(TrRoad_act!G7=0,0,G21/TrRoad_act!G7*1000)</f>
        <v>108.93420431632924</v>
      </c>
      <c r="H85" s="87">
        <f>IF(TrRoad_act!H7=0,0,H21/TrRoad_act!H7*1000)</f>
        <v>112.67075937193835</v>
      </c>
      <c r="I85" s="87">
        <f>IF(TrRoad_act!I7=0,0,I21/TrRoad_act!I7*1000)</f>
        <v>114.05919735903039</v>
      </c>
      <c r="J85" s="87">
        <f>IF(TrRoad_act!J7=0,0,J21/TrRoad_act!J7*1000)</f>
        <v>114.18632433248462</v>
      </c>
      <c r="K85" s="87">
        <f>IF(TrRoad_act!K7=0,0,K21/TrRoad_act!K7*1000)</f>
        <v>114.25292805849304</v>
      </c>
      <c r="L85" s="87">
        <f>IF(TrRoad_act!L7=0,0,L21/TrRoad_act!L7*1000)</f>
        <v>106.1853369748856</v>
      </c>
      <c r="M85" s="87">
        <f>IF(TrRoad_act!M7=0,0,M21/TrRoad_act!M7*1000)</f>
        <v>104.27637820549614</v>
      </c>
      <c r="N85" s="87">
        <f>IF(TrRoad_act!N7=0,0,N21/TrRoad_act!N7*1000)</f>
        <v>106.66904679172013</v>
      </c>
      <c r="O85" s="87">
        <f>IF(TrRoad_act!O7=0,0,O21/TrRoad_act!O7*1000)</f>
        <v>104.67529079458558</v>
      </c>
      <c r="P85" s="87">
        <f>IF(TrRoad_act!P7=0,0,P21/TrRoad_act!P7*1000)</f>
        <v>105.53841529260721</v>
      </c>
      <c r="Q85" s="87">
        <f>IF(TrRoad_act!Q7=0,0,Q21/TrRoad_act!Q7*1000)</f>
        <v>109.65036979067841</v>
      </c>
      <c r="R85" s="87">
        <f>IF(TrRoad_act!R7=0,0,R21/TrRoad_act!R7*1000)</f>
        <v>113.30435537231283</v>
      </c>
      <c r="S85" s="87">
        <f>IF(TrRoad_act!S7=0,0,S21/TrRoad_act!S7*1000)</f>
        <v>111.88971852874812</v>
      </c>
      <c r="T85" s="87">
        <f>IF(TrRoad_act!T7=0,0,T21/TrRoad_act!T7*1000)</f>
        <v>113.34758995381611</v>
      </c>
      <c r="U85" s="87">
        <f>IF(TrRoad_act!U7=0,0,U21/TrRoad_act!U7*1000)</f>
        <v>119.52483925996859</v>
      </c>
      <c r="V85" s="87">
        <f>IF(TrRoad_act!V7=0,0,V21/TrRoad_act!V7*1000)</f>
        <v>108.60610510526855</v>
      </c>
      <c r="W85" s="87">
        <f>IF(TrRoad_act!W7=0,0,W21/TrRoad_act!W7*1000)</f>
        <v>111.4654282649426</v>
      </c>
      <c r="X85" s="87">
        <f>IF(TrRoad_act!X7=0,0,X21/TrRoad_act!X7*1000)</f>
        <v>110.38537140659209</v>
      </c>
      <c r="Y85" s="87">
        <f>IF(TrRoad_act!Y7=0,0,Y21/TrRoad_act!Y7*1000)</f>
        <v>101.13753397897123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102.17440972254377</v>
      </c>
      <c r="C86" s="87">
        <f>IF(TrRoad_act!C8=0,0,C22/TrRoad_act!C8*1000)</f>
        <v>108.3929595795464</v>
      </c>
      <c r="D86" s="87">
        <f>IF(TrRoad_act!D8=0,0,D22/TrRoad_act!D8*1000)</f>
        <v>113.39313117917607</v>
      </c>
      <c r="E86" s="87">
        <f>IF(TrRoad_act!E8=0,0,E22/TrRoad_act!E8*1000)</f>
        <v>116.18397527613168</v>
      </c>
      <c r="F86" s="87">
        <f>IF(TrRoad_act!F8=0,0,F22/TrRoad_act!F8*1000)</f>
        <v>115.82800741597859</v>
      </c>
      <c r="G86" s="87">
        <f>IF(TrRoad_act!G8=0,0,G22/TrRoad_act!G8*1000)</f>
        <v>131.52219785674586</v>
      </c>
      <c r="H86" s="87">
        <f>IF(TrRoad_act!H8=0,0,H22/TrRoad_act!H8*1000)</f>
        <v>119.05387630517995</v>
      </c>
      <c r="I86" s="87">
        <f>IF(TrRoad_act!I8=0,0,I22/TrRoad_act!I8*1000)</f>
        <v>121.21517596422849</v>
      </c>
      <c r="J86" s="87">
        <f>IF(TrRoad_act!J8=0,0,J22/TrRoad_act!J8*1000)</f>
        <v>118.57168133657581</v>
      </c>
      <c r="K86" s="87">
        <f>IF(TrRoad_act!K8=0,0,K22/TrRoad_act!K8*1000)</f>
        <v>125.60248543569658</v>
      </c>
      <c r="L86" s="87">
        <f>IF(TrRoad_act!L8=0,0,L22/TrRoad_act!L8*1000)</f>
        <v>115.47059129135496</v>
      </c>
      <c r="M86" s="87">
        <f>IF(TrRoad_act!M8=0,0,M22/TrRoad_act!M8*1000)</f>
        <v>101.2667633982106</v>
      </c>
      <c r="N86" s="87">
        <f>IF(TrRoad_act!N8=0,0,N22/TrRoad_act!N8*1000)</f>
        <v>104.39484955005945</v>
      </c>
      <c r="O86" s="87">
        <f>IF(TrRoad_act!O8=0,0,O22/TrRoad_act!O8*1000)</f>
        <v>96.127574096679581</v>
      </c>
      <c r="P86" s="87">
        <f>IF(TrRoad_act!P8=0,0,P22/TrRoad_act!P8*1000)</f>
        <v>103.05785661048284</v>
      </c>
      <c r="Q86" s="87">
        <f>IF(TrRoad_act!Q8=0,0,Q22/TrRoad_act!Q8*1000)</f>
        <v>107.36651101627568</v>
      </c>
      <c r="R86" s="87">
        <f>IF(TrRoad_act!R8=0,0,R22/TrRoad_act!R8*1000)</f>
        <v>105.90298111875057</v>
      </c>
      <c r="S86" s="87">
        <f>IF(TrRoad_act!S8=0,0,S22/TrRoad_act!S8*1000)</f>
        <v>104.42105315550964</v>
      </c>
      <c r="T86" s="87">
        <f>IF(TrRoad_act!T8=0,0,T22/TrRoad_act!T8*1000)</f>
        <v>106.61441200170626</v>
      </c>
      <c r="U86" s="87">
        <f>IF(TrRoad_act!U8=0,0,U22/TrRoad_act!U8*1000)</f>
        <v>113.49757702137488</v>
      </c>
      <c r="V86" s="87">
        <f>IF(TrRoad_act!V8=0,0,V22/TrRoad_act!V8*1000)</f>
        <v>109.2961405836531</v>
      </c>
      <c r="W86" s="87">
        <f>IF(TrRoad_act!W8=0,0,W22/TrRoad_act!W8*1000)</f>
        <v>109.60581641048915</v>
      </c>
      <c r="X86" s="87">
        <f>IF(TrRoad_act!X8=0,0,X22/TrRoad_act!X8*1000)</f>
        <v>111.02806876899764</v>
      </c>
      <c r="Y86" s="87">
        <f>IF(TrRoad_act!Y8=0,0,Y22/TrRoad_act!Y8*1000)</f>
        <v>101.79893728909508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100.62615221114616</v>
      </c>
      <c r="D87" s="87">
        <f>IF(TrRoad_act!D9=0,0,D23/TrRoad_act!D9*1000)</f>
        <v>105.73570100754421</v>
      </c>
      <c r="E87" s="87">
        <f>IF(TrRoad_act!E9=0,0,E23/TrRoad_act!E9*1000)</f>
        <v>133.10491904964661</v>
      </c>
      <c r="F87" s="87">
        <f>IF(TrRoad_act!F9=0,0,F23/TrRoad_act!F9*1000)</f>
        <v>128.51881519702633</v>
      </c>
      <c r="G87" s="87">
        <f>IF(TrRoad_act!G9=0,0,G23/TrRoad_act!G9*1000)</f>
        <v>108.46176686409184</v>
      </c>
      <c r="H87" s="87">
        <f>IF(TrRoad_act!H9=0,0,H23/TrRoad_act!H9*1000)</f>
        <v>115.02254457754405</v>
      </c>
      <c r="I87" s="87">
        <f>IF(TrRoad_act!I9=0,0,I23/TrRoad_act!I9*1000)</f>
        <v>106.02671904789736</v>
      </c>
      <c r="J87" s="87">
        <f>IF(TrRoad_act!J9=0,0,J23/TrRoad_act!J9*1000)</f>
        <v>106.5176857184267</v>
      </c>
      <c r="K87" s="87">
        <f>IF(TrRoad_act!K9=0,0,K23/TrRoad_act!K9*1000)</f>
        <v>113.45968765527999</v>
      </c>
      <c r="L87" s="87">
        <f>IF(TrRoad_act!L9=0,0,L23/TrRoad_act!L9*1000)</f>
        <v>127.80404320037728</v>
      </c>
      <c r="M87" s="87">
        <f>IF(TrRoad_act!M9=0,0,M23/TrRoad_act!M9*1000)</f>
        <v>131.75048296067749</v>
      </c>
      <c r="N87" s="87">
        <f>IF(TrRoad_act!N9=0,0,N23/TrRoad_act!N9*1000)</f>
        <v>96.150405162360684</v>
      </c>
      <c r="O87" s="87">
        <f>IF(TrRoad_act!O9=0,0,O23/TrRoad_act!O9*1000)</f>
        <v>120.74793120679642</v>
      </c>
      <c r="P87" s="87">
        <f>IF(TrRoad_act!P9=0,0,P23/TrRoad_act!P9*1000)</f>
        <v>104.19969915074459</v>
      </c>
      <c r="Q87" s="87">
        <f>IF(TrRoad_act!Q9=0,0,Q23/TrRoad_act!Q9*1000)</f>
        <v>99.018298426735157</v>
      </c>
      <c r="R87" s="87">
        <f>IF(TrRoad_act!R9=0,0,R23/TrRoad_act!R9*1000)</f>
        <v>88.419956593037625</v>
      </c>
      <c r="S87" s="87">
        <f>IF(TrRoad_act!S9=0,0,S23/TrRoad_act!S9*1000)</f>
        <v>85.795802611455784</v>
      </c>
      <c r="T87" s="87">
        <f>IF(TrRoad_act!T9=0,0,T23/TrRoad_act!T9*1000)</f>
        <v>81.818638541591568</v>
      </c>
      <c r="U87" s="87">
        <f>IF(TrRoad_act!U9=0,0,U23/TrRoad_act!U9*1000)</f>
        <v>80.67666173608275</v>
      </c>
      <c r="V87" s="87">
        <f>IF(TrRoad_act!V9=0,0,V23/TrRoad_act!V9*1000)</f>
        <v>80.300317658815658</v>
      </c>
      <c r="W87" s="87">
        <f>IF(TrRoad_act!W9=0,0,W23/TrRoad_act!W9*1000)</f>
        <v>110.49586736497804</v>
      </c>
      <c r="X87" s="87">
        <f>IF(TrRoad_act!X9=0,0,X23/TrRoad_act!X9*1000)</f>
        <v>108.48848837484232</v>
      </c>
      <c r="Y87" s="87">
        <f>IF(TrRoad_act!Y9=0,0,Y23/TrRoad_act!Y9*1000)</f>
        <v>112.37997428239026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141.95583204003702</v>
      </c>
      <c r="M88" s="87">
        <f>IF(TrRoad_act!M10=0,0,M24/TrRoad_act!M10*1000)</f>
        <v>93.287130102149646</v>
      </c>
      <c r="N88" s="87">
        <f>IF(TrRoad_act!N10=0,0,N24/TrRoad_act!N10*1000)</f>
        <v>82.706260274564968</v>
      </c>
      <c r="O88" s="87">
        <f>IF(TrRoad_act!O10=0,0,O24/TrRoad_act!O10*1000)</f>
        <v>87.259955698288991</v>
      </c>
      <c r="P88" s="87">
        <f>IF(TrRoad_act!P10=0,0,P24/TrRoad_act!P10*1000)</f>
        <v>90.243087492669432</v>
      </c>
      <c r="Q88" s="87">
        <f>IF(TrRoad_act!Q10=0,0,Q24/TrRoad_act!Q10*1000)</f>
        <v>77.639255689092536</v>
      </c>
      <c r="R88" s="87">
        <f>IF(TrRoad_act!R10=0,0,R24/TrRoad_act!R10*1000)</f>
        <v>79.390148969826825</v>
      </c>
      <c r="S88" s="87">
        <f>IF(TrRoad_act!S10=0,0,S24/TrRoad_act!S10*1000)</f>
        <v>77.727666680708495</v>
      </c>
      <c r="T88" s="87">
        <f>IF(TrRoad_act!T10=0,0,T24/TrRoad_act!T10*1000)</f>
        <v>81.501616792158472</v>
      </c>
      <c r="U88" s="87">
        <f>IF(TrRoad_act!U10=0,0,U24/TrRoad_act!U10*1000)</f>
        <v>87.66908704502795</v>
      </c>
      <c r="V88" s="87">
        <f>IF(TrRoad_act!V10=0,0,V24/TrRoad_act!V10*1000)</f>
        <v>87.765257558555035</v>
      </c>
      <c r="W88" s="87">
        <f>IF(TrRoad_act!W10=0,0,W24/TrRoad_act!W10*1000)</f>
        <v>87.162531119838476</v>
      </c>
      <c r="X88" s="87">
        <f>IF(TrRoad_act!X10=0,0,X24/TrRoad_act!X10*1000)</f>
        <v>88.983143516640368</v>
      </c>
      <c r="Y88" s="87">
        <f>IF(TrRoad_act!Y10=0,0,Y24/TrRoad_act!Y10*1000)</f>
        <v>82.645150355317583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23.476484888053129</v>
      </c>
      <c r="O89" s="87">
        <f>IF(TrRoad_act!O11=0,0,O25/TrRoad_act!O11*1000)</f>
        <v>23.183654931909249</v>
      </c>
      <c r="P89" s="87">
        <f>IF(TrRoad_act!P11=0,0,P25/TrRoad_act!P11*1000)</f>
        <v>21.828553173145675</v>
      </c>
      <c r="Q89" s="87">
        <f>IF(TrRoad_act!Q11=0,0,Q25/TrRoad_act!Q11*1000)</f>
        <v>18.720751459971925</v>
      </c>
      <c r="R89" s="87">
        <f>IF(TrRoad_act!R11=0,0,R25/TrRoad_act!R11*1000)</f>
        <v>26.747527267576874</v>
      </c>
      <c r="S89" s="87">
        <f>IF(TrRoad_act!S11=0,0,S25/TrRoad_act!S11*1000)</f>
        <v>30.145702089777402</v>
      </c>
      <c r="T89" s="87">
        <f>IF(TrRoad_act!T11=0,0,T25/TrRoad_act!T11*1000)</f>
        <v>31.699667900506885</v>
      </c>
      <c r="U89" s="87">
        <f>IF(TrRoad_act!U11=0,0,U25/TrRoad_act!U11*1000)</f>
        <v>33.200277822039503</v>
      </c>
      <c r="V89" s="87">
        <f>IF(TrRoad_act!V11=0,0,V25/TrRoad_act!V11*1000)</f>
        <v>29.588910352363968</v>
      </c>
      <c r="W89" s="87">
        <f>IF(TrRoad_act!W11=0,0,W25/TrRoad_act!W11*1000)</f>
        <v>28.216168674866438</v>
      </c>
      <c r="X89" s="87">
        <f>IF(TrRoad_act!X11=0,0,X25/TrRoad_act!X11*1000)</f>
        <v>31.42594477887539</v>
      </c>
      <c r="Y89" s="87">
        <f>IF(TrRoad_act!Y11=0,0,Y25/TrRoad_act!Y11*1000)</f>
        <v>26.338710188755961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62.711031649640397</v>
      </c>
      <c r="C91" s="116">
        <f>IF(TrRoad_act!C13=0,0,C27/TrRoad_act!C13*1000)</f>
        <v>63.289552436583534</v>
      </c>
      <c r="D91" s="116">
        <f>IF(TrRoad_act!D13=0,0,D27/TrRoad_act!D13*1000)</f>
        <v>64.426373521290145</v>
      </c>
      <c r="E91" s="116">
        <f>IF(TrRoad_act!E13=0,0,E27/TrRoad_act!E13*1000)</f>
        <v>65.199863941447646</v>
      </c>
      <c r="F91" s="116">
        <f>IF(TrRoad_act!F13=0,0,F27/TrRoad_act!F13*1000)</f>
        <v>64.519226204403225</v>
      </c>
      <c r="G91" s="116">
        <f>IF(TrRoad_act!G13=0,0,G27/TrRoad_act!G13*1000)</f>
        <v>68.100160859923648</v>
      </c>
      <c r="H91" s="116">
        <f>IF(TrRoad_act!H13=0,0,H27/TrRoad_act!H13*1000)</f>
        <v>73.410585721114501</v>
      </c>
      <c r="I91" s="116">
        <f>IF(TrRoad_act!I13=0,0,I27/TrRoad_act!I13*1000)</f>
        <v>75.767753150345271</v>
      </c>
      <c r="J91" s="116">
        <f>IF(TrRoad_act!J13=0,0,J27/TrRoad_act!J13*1000)</f>
        <v>65.641097264044376</v>
      </c>
      <c r="K91" s="116">
        <f>IF(TrRoad_act!K13=0,0,K27/TrRoad_act!K13*1000)</f>
        <v>68.348024874004565</v>
      </c>
      <c r="L91" s="116">
        <f>IF(TrRoad_act!L13=0,0,L27/TrRoad_act!L13*1000)</f>
        <v>68.212704829047269</v>
      </c>
      <c r="M91" s="116">
        <f>IF(TrRoad_act!M13=0,0,M27/TrRoad_act!M13*1000)</f>
        <v>64.085585390609538</v>
      </c>
      <c r="N91" s="116">
        <f>IF(TrRoad_act!N13=0,0,N27/TrRoad_act!N13*1000)</f>
        <v>60.393849300215777</v>
      </c>
      <c r="O91" s="116">
        <f>IF(TrRoad_act!O13=0,0,O27/TrRoad_act!O13*1000)</f>
        <v>57.486978256178233</v>
      </c>
      <c r="P91" s="116">
        <f>IF(TrRoad_act!P13=0,0,P27/TrRoad_act!P13*1000)</f>
        <v>61.653860229039999</v>
      </c>
      <c r="Q91" s="116">
        <f>IF(TrRoad_act!Q13=0,0,Q27/TrRoad_act!Q13*1000)</f>
        <v>64.152604847133588</v>
      </c>
      <c r="R91" s="116">
        <f>IF(TrRoad_act!R13=0,0,R27/TrRoad_act!R13*1000)</f>
        <v>63.472045208437869</v>
      </c>
      <c r="S91" s="116">
        <f>IF(TrRoad_act!S13=0,0,S27/TrRoad_act!S13*1000)</f>
        <v>65.504584282243755</v>
      </c>
      <c r="T91" s="116">
        <f>IF(TrRoad_act!T13=0,0,T27/TrRoad_act!T13*1000)</f>
        <v>65.038719463524799</v>
      </c>
      <c r="U91" s="116">
        <f>IF(TrRoad_act!U13=0,0,U27/TrRoad_act!U13*1000)</f>
        <v>65.805496294723355</v>
      </c>
      <c r="V91" s="116">
        <f>IF(TrRoad_act!V13=0,0,V27/TrRoad_act!V13*1000)</f>
        <v>78.569340958368684</v>
      </c>
      <c r="W91" s="116">
        <f>IF(TrRoad_act!W13=0,0,W27/TrRoad_act!W13*1000)</f>
        <v>86.984911014553461</v>
      </c>
      <c r="X91" s="116">
        <f>IF(TrRoad_act!X13=0,0,X27/TrRoad_act!X13*1000)</f>
        <v>74.641513388699906</v>
      </c>
      <c r="Y91" s="116">
        <f>IF(TrRoad_act!Y13=0,0,Y27/TrRoad_act!Y13*1000)</f>
        <v>68.151315330828709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56.655157868715868</v>
      </c>
      <c r="C92" s="101">
        <f>IF(TrRoad_act!C14=0,0,C28/TrRoad_act!C14*1000)</f>
        <v>57.169176170544091</v>
      </c>
      <c r="D92" s="101">
        <f>IF(TrRoad_act!D14=0,0,D28/TrRoad_act!D14*1000)</f>
        <v>56.340997549572783</v>
      </c>
      <c r="E92" s="101">
        <f>IF(TrRoad_act!E14=0,0,E28/TrRoad_act!E14*1000)</f>
        <v>56.533175324429287</v>
      </c>
      <c r="F92" s="101">
        <f>IF(TrRoad_act!F14=0,0,F28/TrRoad_act!F14*1000)</f>
        <v>55.965531505355699</v>
      </c>
      <c r="G92" s="101">
        <f>IF(TrRoad_act!G14=0,0,G28/TrRoad_act!G14*1000)</f>
        <v>56.249892345149547</v>
      </c>
      <c r="H92" s="101">
        <f>IF(TrRoad_act!H14=0,0,H28/TrRoad_act!H14*1000)</f>
        <v>60.496751114582885</v>
      </c>
      <c r="I92" s="101">
        <f>IF(TrRoad_act!I14=0,0,I28/TrRoad_act!I14*1000)</f>
        <v>64.008451229205761</v>
      </c>
      <c r="J92" s="101">
        <f>IF(TrRoad_act!J14=0,0,J28/TrRoad_act!J14*1000)</f>
        <v>56.385191338230385</v>
      </c>
      <c r="K92" s="101">
        <f>IF(TrRoad_act!K14=0,0,K28/TrRoad_act!K14*1000)</f>
        <v>59.541368170986239</v>
      </c>
      <c r="L92" s="101">
        <f>IF(TrRoad_act!L14=0,0,L28/TrRoad_act!L14*1000)</f>
        <v>57.80216640773849</v>
      </c>
      <c r="M92" s="101">
        <f>IF(TrRoad_act!M14=0,0,M28/TrRoad_act!M14*1000)</f>
        <v>56.411859352837318</v>
      </c>
      <c r="N92" s="101">
        <f>IF(TrRoad_act!N14=0,0,N28/TrRoad_act!N14*1000)</f>
        <v>53.98125019048878</v>
      </c>
      <c r="O92" s="101">
        <f>IF(TrRoad_act!O14=0,0,O28/TrRoad_act!O14*1000)</f>
        <v>55.892515229204264</v>
      </c>
      <c r="P92" s="101">
        <f>IF(TrRoad_act!P14=0,0,P28/TrRoad_act!P14*1000)</f>
        <v>53.538915195900323</v>
      </c>
      <c r="Q92" s="101">
        <f>IF(TrRoad_act!Q14=0,0,Q28/TrRoad_act!Q14*1000)</f>
        <v>53.253546961909855</v>
      </c>
      <c r="R92" s="101">
        <f>IF(TrRoad_act!R14=0,0,R28/TrRoad_act!R14*1000)</f>
        <v>53.531764374306007</v>
      </c>
      <c r="S92" s="101">
        <f>IF(TrRoad_act!S14=0,0,S28/TrRoad_act!S14*1000)</f>
        <v>53.50826753008392</v>
      </c>
      <c r="T92" s="101">
        <f>IF(TrRoad_act!T14=0,0,T28/TrRoad_act!T14*1000)</f>
        <v>52.519252383321174</v>
      </c>
      <c r="U92" s="101">
        <f>IF(TrRoad_act!U14=0,0,U28/TrRoad_act!U14*1000)</f>
        <v>53.345626520059035</v>
      </c>
      <c r="V92" s="101">
        <f>IF(TrRoad_act!V14=0,0,V28/TrRoad_act!V14*1000)</f>
        <v>65.716349778503343</v>
      </c>
      <c r="W92" s="101">
        <f>IF(TrRoad_act!W14=0,0,W28/TrRoad_act!W14*1000)</f>
        <v>70.165045182892129</v>
      </c>
      <c r="X92" s="101">
        <f>IF(TrRoad_act!X14=0,0,X28/TrRoad_act!X14*1000)</f>
        <v>58.222921194072519</v>
      </c>
      <c r="Y92" s="101">
        <f>IF(TrRoad_act!Y14=0,0,Y28/TrRoad_act!Y14*1000)</f>
        <v>56.259501142130368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64.071425892584529</v>
      </c>
      <c r="C93" s="101">
        <f>IF(TrRoad_act!C15=0,0,C29/TrRoad_act!C15*1000)</f>
        <v>64.62313948501631</v>
      </c>
      <c r="D93" s="101">
        <f>IF(TrRoad_act!D15=0,0,D29/TrRoad_act!D15*1000)</f>
        <v>65.819749345719941</v>
      </c>
      <c r="E93" s="101">
        <f>IF(TrRoad_act!E15=0,0,E29/TrRoad_act!E15*1000)</f>
        <v>66.627563029953578</v>
      </c>
      <c r="F93" s="101">
        <f>IF(TrRoad_act!F15=0,0,F29/TrRoad_act!F15*1000)</f>
        <v>65.946862669481874</v>
      </c>
      <c r="G93" s="101">
        <f>IF(TrRoad_act!G15=0,0,G29/TrRoad_act!G15*1000)</f>
        <v>69.108759371784714</v>
      </c>
      <c r="H93" s="101">
        <f>IF(TrRoad_act!H15=0,0,H29/TrRoad_act!H15*1000)</f>
        <v>74.25875157929346</v>
      </c>
      <c r="I93" s="101">
        <f>IF(TrRoad_act!I15=0,0,I29/TrRoad_act!I15*1000)</f>
        <v>76.490627829583516</v>
      </c>
      <c r="J93" s="101">
        <f>IF(TrRoad_act!J15=0,0,J29/TrRoad_act!J15*1000)</f>
        <v>66.170565569889675</v>
      </c>
      <c r="K93" s="101">
        <f>IF(TrRoad_act!K15=0,0,K29/TrRoad_act!K15*1000)</f>
        <v>68.831039980715545</v>
      </c>
      <c r="L93" s="101">
        <f>IF(TrRoad_act!L15=0,0,L29/TrRoad_act!L15*1000)</f>
        <v>68.5779511828094</v>
      </c>
      <c r="M93" s="101">
        <f>IF(TrRoad_act!M15=0,0,M29/TrRoad_act!M15*1000)</f>
        <v>64.318133258603922</v>
      </c>
      <c r="N93" s="101">
        <f>IF(TrRoad_act!N15=0,0,N29/TrRoad_act!N15*1000)</f>
        <v>60.605172830189524</v>
      </c>
      <c r="O93" s="101">
        <f>IF(TrRoad_act!O15=0,0,O29/TrRoad_act!O15*1000)</f>
        <v>57.718064250664071</v>
      </c>
      <c r="P93" s="101">
        <f>IF(TrRoad_act!P15=0,0,P29/TrRoad_act!P15*1000)</f>
        <v>62.237576639497846</v>
      </c>
      <c r="Q93" s="101">
        <f>IF(TrRoad_act!Q15=0,0,Q29/TrRoad_act!Q15*1000)</f>
        <v>64.969849630245321</v>
      </c>
      <c r="R93" s="101">
        <f>IF(TrRoad_act!R15=0,0,R29/TrRoad_act!R15*1000)</f>
        <v>64.697849435740252</v>
      </c>
      <c r="S93" s="101">
        <f>IF(TrRoad_act!S15=0,0,S29/TrRoad_act!S15*1000)</f>
        <v>67.085463229625674</v>
      </c>
      <c r="T93" s="101">
        <f>IF(TrRoad_act!T15=0,0,T29/TrRoad_act!T15*1000)</f>
        <v>66.438926405342755</v>
      </c>
      <c r="U93" s="101">
        <f>IF(TrRoad_act!U15=0,0,U29/TrRoad_act!U15*1000)</f>
        <v>66.091812297329525</v>
      </c>
      <c r="V93" s="101">
        <f>IF(TrRoad_act!V15=0,0,V29/TrRoad_act!V15*1000)</f>
        <v>79.014957988829167</v>
      </c>
      <c r="W93" s="101">
        <f>IF(TrRoad_act!W15=0,0,W29/TrRoad_act!W15*1000)</f>
        <v>87.768983095292299</v>
      </c>
      <c r="X93" s="101">
        <f>IF(TrRoad_act!X15=0,0,X29/TrRoad_act!X15*1000)</f>
        <v>76.056942090481954</v>
      </c>
      <c r="Y93" s="101">
        <f>IF(TrRoad_act!Y15=0,0,Y29/TrRoad_act!Y15*1000)</f>
        <v>69.474858348259886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45.948416120537487</v>
      </c>
      <c r="Q94" s="101">
        <f>IF(TrRoad_act!Q16=0,0,Q30/TrRoad_act!Q16*1000)</f>
        <v>45.63515937158575</v>
      </c>
      <c r="R94" s="101">
        <f>IF(TrRoad_act!R16=0,0,R30/TrRoad_act!R16*1000)</f>
        <v>47.461980789090056</v>
      </c>
      <c r="S94" s="101">
        <f>IF(TrRoad_act!S16=0,0,S30/TrRoad_act!S16*1000)</f>
        <v>48.169082091004917</v>
      </c>
      <c r="T94" s="101">
        <f>IF(TrRoad_act!T16=0,0,T30/TrRoad_act!T16*1000)</f>
        <v>47.669020832099868</v>
      </c>
      <c r="U94" s="101">
        <f>IF(TrRoad_act!U16=0,0,U30/TrRoad_act!U16*1000)</f>
        <v>48.183590710019175</v>
      </c>
      <c r="V94" s="101">
        <f>IF(TrRoad_act!V16=0,0,V30/TrRoad_act!V16*1000)</f>
        <v>62.821193199000177</v>
      </c>
      <c r="W94" s="101">
        <f>IF(TrRoad_act!W16=0,0,W30/TrRoad_act!W16*1000)</f>
        <v>67.13591915675643</v>
      </c>
      <c r="X94" s="101">
        <f>IF(TrRoad_act!X16=0,0,X30/TrRoad_act!X16*1000)</f>
        <v>56.730081729995696</v>
      </c>
      <c r="Y94" s="101">
        <f>IF(TrRoad_act!Y16=0,0,Y30/TrRoad_act!Y16*1000)</f>
        <v>56.426036310987989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37.78538829347022</v>
      </c>
      <c r="C95" s="101">
        <f>IF(TrRoad_act!C17=0,0,C31/TrRoad_act!C17*1000)</f>
        <v>38.928616336521181</v>
      </c>
      <c r="D95" s="101">
        <f>IF(TrRoad_act!D17=0,0,D31/TrRoad_act!D17*1000)</f>
        <v>37.642102238261934</v>
      </c>
      <c r="E95" s="101">
        <f>IF(TrRoad_act!E17=0,0,E31/TrRoad_act!E17*1000)</f>
        <v>37.390158383114262</v>
      </c>
      <c r="F95" s="101">
        <f>IF(TrRoad_act!F17=0,0,F31/TrRoad_act!F17*1000)</f>
        <v>36.233033326494187</v>
      </c>
      <c r="G95" s="101">
        <f>IF(TrRoad_act!G17=0,0,G31/TrRoad_act!G17*1000)</f>
        <v>42.935706412644656</v>
      </c>
      <c r="H95" s="101">
        <f>IF(TrRoad_act!H17=0,0,H31/TrRoad_act!H17*1000)</f>
        <v>49.156692027496931</v>
      </c>
      <c r="I95" s="101">
        <f>IF(TrRoad_act!I17=0,0,I31/TrRoad_act!I17*1000)</f>
        <v>47.086599638776974</v>
      </c>
      <c r="J95" s="101">
        <f>IF(TrRoad_act!J17=0,0,J31/TrRoad_act!J17*1000)</f>
        <v>41.647779172038348</v>
      </c>
      <c r="K95" s="101">
        <f>IF(TrRoad_act!K17=0,0,K31/TrRoad_act!K17*1000)</f>
        <v>40.477141586335151</v>
      </c>
      <c r="L95" s="101">
        <f>IF(TrRoad_act!L17=0,0,L31/TrRoad_act!L17*1000)</f>
        <v>39.867108875387665</v>
      </c>
      <c r="M95" s="101">
        <f>IF(TrRoad_act!M17=0,0,M31/TrRoad_act!M17*1000)</f>
        <v>47.234310918492902</v>
      </c>
      <c r="N95" s="101">
        <f>IF(TrRoad_act!N17=0,0,N31/TrRoad_act!N17*1000)</f>
        <v>39.82052051529768</v>
      </c>
      <c r="O95" s="101">
        <f>IF(TrRoad_act!O17=0,0,O31/TrRoad_act!O17*1000)</f>
        <v>25.048129435853252</v>
      </c>
      <c r="P95" s="101">
        <f>IF(TrRoad_act!P17=0,0,P31/TrRoad_act!P17*1000)</f>
        <v>13.080760627695726</v>
      </c>
      <c r="Q95" s="101">
        <f>IF(TrRoad_act!Q17=0,0,Q31/TrRoad_act!Q17*1000)</f>
        <v>24.501263241547946</v>
      </c>
      <c r="R95" s="101">
        <f>IF(TrRoad_act!R17=0,0,R31/TrRoad_act!R17*1000)</f>
        <v>29.352502374471261</v>
      </c>
      <c r="S95" s="101">
        <f>IF(TrRoad_act!S17=0,0,S31/TrRoad_act!S17*1000)</f>
        <v>26.400902221029568</v>
      </c>
      <c r="T95" s="101">
        <f>IF(TrRoad_act!T17=0,0,T31/TrRoad_act!T17*1000)</f>
        <v>29.377467536550775</v>
      </c>
      <c r="U95" s="101">
        <f>IF(TrRoad_act!U17=0,0,U31/TrRoad_act!U17*1000)</f>
        <v>57.517230362509395</v>
      </c>
      <c r="V95" s="101">
        <f>IF(TrRoad_act!V17=0,0,V31/TrRoad_act!V17*1000)</f>
        <v>71.358032774365142</v>
      </c>
      <c r="W95" s="101">
        <f>IF(TrRoad_act!W17=0,0,W31/TrRoad_act!W17*1000)</f>
        <v>75.879747190796948</v>
      </c>
      <c r="X95" s="101">
        <f>IF(TrRoad_act!X17=0,0,X31/TrRoad_act!X17*1000)</f>
        <v>43.126489074162734</v>
      </c>
      <c r="Y95" s="101">
        <f>IF(TrRoad_act!Y17=0,0,Y31/TrRoad_act!Y17*1000)</f>
        <v>51.007083719913943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146.53770509912076</v>
      </c>
      <c r="C97" s="29">
        <f>IF(TrRoad_act!C19=0,0,C33/TrRoad_act!C19*1000)</f>
        <v>154.0652704515029</v>
      </c>
      <c r="D97" s="29">
        <f>IF(TrRoad_act!D19=0,0,D33/TrRoad_act!D19*1000)</f>
        <v>170.92431485132664</v>
      </c>
      <c r="E97" s="29">
        <f>IF(TrRoad_act!E19=0,0,E33/TrRoad_act!E19*1000)</f>
        <v>181.75922806835644</v>
      </c>
      <c r="F97" s="29">
        <f>IF(TrRoad_act!F19=0,0,F33/TrRoad_act!F19*1000)</f>
        <v>180.66213858709057</v>
      </c>
      <c r="G97" s="29">
        <f>IF(TrRoad_act!G19=0,0,G33/TrRoad_act!G19*1000)</f>
        <v>211.52123438194579</v>
      </c>
      <c r="H97" s="29">
        <f>IF(TrRoad_act!H19=0,0,H33/TrRoad_act!H19*1000)</f>
        <v>207.34495542248794</v>
      </c>
      <c r="I97" s="29">
        <f>IF(TrRoad_act!I19=0,0,I33/TrRoad_act!I19*1000)</f>
        <v>190.28610725031064</v>
      </c>
      <c r="J97" s="29">
        <f>IF(TrRoad_act!J19=0,0,J33/TrRoad_act!J19*1000)</f>
        <v>185.23265163019138</v>
      </c>
      <c r="K97" s="29">
        <f>IF(TrRoad_act!K19=0,0,K33/TrRoad_act!K19*1000)</f>
        <v>214.53447030885013</v>
      </c>
      <c r="L97" s="29">
        <f>IF(TrRoad_act!L19=0,0,L33/TrRoad_act!L19*1000)</f>
        <v>198.79468430820333</v>
      </c>
      <c r="M97" s="29">
        <f>IF(TrRoad_act!M19=0,0,M33/TrRoad_act!M19*1000)</f>
        <v>180.92043143325091</v>
      </c>
      <c r="N97" s="29">
        <f>IF(TrRoad_act!N19=0,0,N33/TrRoad_act!N19*1000)</f>
        <v>173.82415030707989</v>
      </c>
      <c r="O97" s="29">
        <f>IF(TrRoad_act!O19=0,0,O33/TrRoad_act!O19*1000)</f>
        <v>151.23344425885236</v>
      </c>
      <c r="P97" s="29">
        <f>IF(TrRoad_act!P19=0,0,P33/TrRoad_act!P19*1000)</f>
        <v>180.58188490473549</v>
      </c>
      <c r="Q97" s="29">
        <f>IF(TrRoad_act!Q19=0,0,Q33/TrRoad_act!Q19*1000)</f>
        <v>194.37139256886266</v>
      </c>
      <c r="R97" s="29">
        <f>IF(TrRoad_act!R19=0,0,R33/TrRoad_act!R19*1000)</f>
        <v>172.46089137643767</v>
      </c>
      <c r="S97" s="29">
        <f>IF(TrRoad_act!S19=0,0,S33/TrRoad_act!S19*1000)</f>
        <v>174.28750917808111</v>
      </c>
      <c r="T97" s="29">
        <f>IF(TrRoad_act!T19=0,0,T33/TrRoad_act!T19*1000)</f>
        <v>176.62833587981123</v>
      </c>
      <c r="U97" s="29">
        <f>IF(TrRoad_act!U19=0,0,U33/TrRoad_act!U19*1000)</f>
        <v>173.34832110836922</v>
      </c>
      <c r="V97" s="29">
        <f>IF(TrRoad_act!V19=0,0,V33/TrRoad_act!V19*1000)</f>
        <v>150.31874112662572</v>
      </c>
      <c r="W97" s="29">
        <f>IF(TrRoad_act!W19=0,0,W33/TrRoad_act!W19*1000)</f>
        <v>159.62756888115911</v>
      </c>
      <c r="X97" s="29">
        <f>IF(TrRoad_act!X19=0,0,X33/TrRoad_act!X19*1000)</f>
        <v>174.73459076753051</v>
      </c>
      <c r="Y97" s="29">
        <f>IF(TrRoad_act!Y19=0,0,Y33/TrRoad_act!Y19*1000)</f>
        <v>146.44613470155934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1978.1116516704672</v>
      </c>
      <c r="C98" s="152">
        <f>IF(TrRoad_act!C20=0,0,C34/TrRoad_act!C20*1000)</f>
        <v>1944.8427743358286</v>
      </c>
      <c r="D98" s="152">
        <f>IF(TrRoad_act!D20=0,0,D34/TrRoad_act!D20*1000)</f>
        <v>1975.4910807561498</v>
      </c>
      <c r="E98" s="152">
        <f>IF(TrRoad_act!E20=0,0,E34/TrRoad_act!E20*1000)</f>
        <v>1978.2968401694427</v>
      </c>
      <c r="F98" s="152">
        <f>IF(TrRoad_act!F20=0,0,F34/TrRoad_act!F20*1000)</f>
        <v>1966.5756805404631</v>
      </c>
      <c r="G98" s="152">
        <f>IF(TrRoad_act!G20=0,0,G34/TrRoad_act!G20*1000)</f>
        <v>2025.6468062871224</v>
      </c>
      <c r="H98" s="152">
        <f>IF(TrRoad_act!H20=0,0,H34/TrRoad_act!H20*1000)</f>
        <v>2003.1325447980039</v>
      </c>
      <c r="I98" s="152">
        <f>IF(TrRoad_act!I20=0,0,I34/TrRoad_act!I20*1000)</f>
        <v>1929.9326370380672</v>
      </c>
      <c r="J98" s="152">
        <f>IF(TrRoad_act!J20=0,0,J34/TrRoad_act!J20*1000)</f>
        <v>1862.1225693414485</v>
      </c>
      <c r="K98" s="152">
        <f>IF(TrRoad_act!K20=0,0,K34/TrRoad_act!K20*1000)</f>
        <v>1826.0808366489498</v>
      </c>
      <c r="L98" s="152">
        <f>IF(TrRoad_act!L20=0,0,L34/TrRoad_act!L20*1000)</f>
        <v>1813.5855130813766</v>
      </c>
      <c r="M98" s="152">
        <f>IF(TrRoad_act!M20=0,0,M34/TrRoad_act!M20*1000)</f>
        <v>1730.3462346106655</v>
      </c>
      <c r="N98" s="152">
        <f>IF(TrRoad_act!N20=0,0,N34/TrRoad_act!N20*1000)</f>
        <v>1685.5400760515972</v>
      </c>
      <c r="O98" s="152">
        <f>IF(TrRoad_act!O20=0,0,O34/TrRoad_act!O20*1000)</f>
        <v>1571.3947612381769</v>
      </c>
      <c r="P98" s="152">
        <f>IF(TrRoad_act!P20=0,0,P34/TrRoad_act!P20*1000)</f>
        <v>1682.7350545271604</v>
      </c>
      <c r="Q98" s="152">
        <f>IF(TrRoad_act!Q20=0,0,Q34/TrRoad_act!Q20*1000)</f>
        <v>1741.1062098902173</v>
      </c>
      <c r="R98" s="152">
        <f>IF(TrRoad_act!R20=0,0,R34/TrRoad_act!R20*1000)</f>
        <v>1669.5550864934833</v>
      </c>
      <c r="S98" s="152">
        <f>IF(TrRoad_act!S20=0,0,S34/TrRoad_act!S20*1000)</f>
        <v>1691.8426163529948</v>
      </c>
      <c r="T98" s="152">
        <f>IF(TrRoad_act!T20=0,0,T34/TrRoad_act!T20*1000)</f>
        <v>1684.0721065040968</v>
      </c>
      <c r="U98" s="152">
        <f>IF(TrRoad_act!U20=0,0,U34/TrRoad_act!U20*1000)</f>
        <v>1655.4730408237635</v>
      </c>
      <c r="V98" s="152">
        <f>IF(TrRoad_act!V20=0,0,V34/TrRoad_act!V20*1000)</f>
        <v>1533.4951419629554</v>
      </c>
      <c r="W98" s="152">
        <f>IF(TrRoad_act!W20=0,0,W34/TrRoad_act!W20*1000)</f>
        <v>1602.509324902546</v>
      </c>
      <c r="X98" s="152">
        <f>IF(TrRoad_act!X20=0,0,X34/TrRoad_act!X20*1000)</f>
        <v>1648.6828086495357</v>
      </c>
      <c r="Y98" s="152">
        <f>IF(TrRoad_act!Y20=0,0,Y34/TrRoad_act!Y20*1000)</f>
        <v>1545.5399754891989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2025.0894703169972</v>
      </c>
      <c r="C99" s="87">
        <f>IF(TrRoad_act!C21=0,0,C35/TrRoad_act!C21*1000)</f>
        <v>2007.7528497564647</v>
      </c>
      <c r="D99" s="87">
        <f>IF(TrRoad_act!D21=0,0,D35/TrRoad_act!D21*1000)</f>
        <v>1998.5192527829875</v>
      </c>
      <c r="E99" s="87">
        <f>IF(TrRoad_act!E21=0,0,E35/TrRoad_act!E21*1000)</f>
        <v>1989.5011691239599</v>
      </c>
      <c r="F99" s="87">
        <f>IF(TrRoad_act!F21=0,0,F35/TrRoad_act!F21*1000)</f>
        <v>1979.1989764602185</v>
      </c>
      <c r="G99" s="87">
        <f>IF(TrRoad_act!G21=0,0,G35/TrRoad_act!G21*1000)</f>
        <v>1966.3374143358553</v>
      </c>
      <c r="H99" s="87">
        <f>IF(TrRoad_act!H21=0,0,H35/TrRoad_act!H21*1000)</f>
        <v>1946.3099800385664</v>
      </c>
      <c r="I99" s="87">
        <f>IF(TrRoad_act!I21=0,0,I35/TrRoad_act!I21*1000)</f>
        <v>1911.173937279053</v>
      </c>
      <c r="J99" s="87">
        <f>IF(TrRoad_act!J21=0,0,J35/TrRoad_act!J21*1000)</f>
        <v>1865.680740825831</v>
      </c>
      <c r="K99" s="87">
        <f>IF(TrRoad_act!K21=0,0,K35/TrRoad_act!K21*1000)</f>
        <v>1846.0483761067578</v>
      </c>
      <c r="L99" s="87">
        <f>IF(TrRoad_act!L21=0,0,L35/TrRoad_act!L21*1000)</f>
        <v>1806.9291909911724</v>
      </c>
      <c r="M99" s="87">
        <f>IF(TrRoad_act!M21=0,0,M35/TrRoad_act!M21*1000)</f>
        <v>1792.4347008935981</v>
      </c>
      <c r="N99" s="87">
        <f>IF(TrRoad_act!N21=0,0,N35/TrRoad_act!N21*1000)</f>
        <v>1783.1971481680428</v>
      </c>
      <c r="O99" s="87">
        <f>IF(TrRoad_act!O21=0,0,O35/TrRoad_act!O21*1000)</f>
        <v>1697.9983445279393</v>
      </c>
      <c r="P99" s="87">
        <f>IF(TrRoad_act!P21=0,0,P35/TrRoad_act!P21*1000)</f>
        <v>1607.1611038842027</v>
      </c>
      <c r="Q99" s="87">
        <f>IF(TrRoad_act!Q21=0,0,Q35/TrRoad_act!Q21*1000)</f>
        <v>1592.761075362765</v>
      </c>
      <c r="R99" s="87">
        <f>IF(TrRoad_act!R21=0,0,R35/TrRoad_act!R21*1000)</f>
        <v>1575.9892569099563</v>
      </c>
      <c r="S99" s="87">
        <f>IF(TrRoad_act!S21=0,0,S35/TrRoad_act!S21*1000)</f>
        <v>1567.0788215790492</v>
      </c>
      <c r="T99" s="87">
        <f>IF(TrRoad_act!T21=0,0,T35/TrRoad_act!T21*1000)</f>
        <v>1570.6394333081546</v>
      </c>
      <c r="U99" s="87">
        <f>IF(TrRoad_act!U21=0,0,U35/TrRoad_act!U21*1000)</f>
        <v>1592.8136394617779</v>
      </c>
      <c r="V99" s="87">
        <f>IF(TrRoad_act!V21=0,0,V35/TrRoad_act!V21*1000)</f>
        <v>1535.9943330652288</v>
      </c>
      <c r="W99" s="87">
        <f>IF(TrRoad_act!W21=0,0,W35/TrRoad_act!W21*1000)</f>
        <v>1536.0555748186666</v>
      </c>
      <c r="X99" s="87">
        <f>IF(TrRoad_act!X21=0,0,X35/TrRoad_act!X21*1000)</f>
        <v>1537.8519454794662</v>
      </c>
      <c r="Y99" s="87">
        <f>IF(TrRoad_act!Y21=0,0,Y35/TrRoad_act!Y21*1000)</f>
        <v>1599.0549156402906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1961.7172539050753</v>
      </c>
      <c r="C100" s="87">
        <f>IF(TrRoad_act!C22=0,0,C36/TrRoad_act!C22*1000)</f>
        <v>1926.3383588275738</v>
      </c>
      <c r="D100" s="87">
        <f>IF(TrRoad_act!D22=0,0,D36/TrRoad_act!D22*1000)</f>
        <v>1970.0622883085728</v>
      </c>
      <c r="E100" s="87">
        <f>IF(TrRoad_act!E22=0,0,E36/TrRoad_act!E22*1000)</f>
        <v>1976.0717701116128</v>
      </c>
      <c r="F100" s="87">
        <f>IF(TrRoad_act!F22=0,0,F36/TrRoad_act!F22*1000)</f>
        <v>1964.4075445167507</v>
      </c>
      <c r="G100" s="87">
        <f>IF(TrRoad_act!G22=0,0,G36/TrRoad_act!G22*1000)</f>
        <v>2034.0676526758816</v>
      </c>
      <c r="H100" s="87">
        <f>IF(TrRoad_act!H22=0,0,H36/TrRoad_act!H22*1000)</f>
        <v>2010.2633199770898</v>
      </c>
      <c r="I100" s="87">
        <f>IF(TrRoad_act!I22=0,0,I36/TrRoad_act!I22*1000)</f>
        <v>1931.8505522285523</v>
      </c>
      <c r="J100" s="87">
        <f>IF(TrRoad_act!J22=0,0,J36/TrRoad_act!J22*1000)</f>
        <v>1861.7923559170436</v>
      </c>
      <c r="K100" s="87">
        <f>IF(TrRoad_act!K22=0,0,K36/TrRoad_act!K22*1000)</f>
        <v>1824.8577451571355</v>
      </c>
      <c r="L100" s="87">
        <f>IF(TrRoad_act!L22=0,0,L36/TrRoad_act!L22*1000)</f>
        <v>1813.9329169784687</v>
      </c>
      <c r="M100" s="87">
        <f>IF(TrRoad_act!M22=0,0,M36/TrRoad_act!M22*1000)</f>
        <v>1727.0709209249046</v>
      </c>
      <c r="N100" s="87">
        <f>IF(TrRoad_act!N22=0,0,N36/TrRoad_act!N22*1000)</f>
        <v>1680.8529072219485</v>
      </c>
      <c r="O100" s="87">
        <f>IF(TrRoad_act!O22=0,0,O36/TrRoad_act!O22*1000)</f>
        <v>1566.0003283113156</v>
      </c>
      <c r="P100" s="87">
        <f>IF(TrRoad_act!P22=0,0,P36/TrRoad_act!P22*1000)</f>
        <v>1685.6587371897535</v>
      </c>
      <c r="Q100" s="87">
        <f>IF(TrRoad_act!Q22=0,0,Q36/TrRoad_act!Q22*1000)</f>
        <v>1746.1114233750634</v>
      </c>
      <c r="R100" s="87">
        <f>IF(TrRoad_act!R22=0,0,R36/TrRoad_act!R22*1000)</f>
        <v>1672.4450664979197</v>
      </c>
      <c r="S100" s="87">
        <f>IF(TrRoad_act!S22=0,0,S36/TrRoad_act!S22*1000)</f>
        <v>1695.5534283410361</v>
      </c>
      <c r="T100" s="87">
        <f>IF(TrRoad_act!T22=0,0,T36/TrRoad_act!T22*1000)</f>
        <v>1687.5821081691524</v>
      </c>
      <c r="U100" s="87">
        <f>IF(TrRoad_act!U22=0,0,U36/TrRoad_act!U22*1000)</f>
        <v>1657.7720233409716</v>
      </c>
      <c r="V100" s="87">
        <f>IF(TrRoad_act!V22=0,0,V36/TrRoad_act!V22*1000)</f>
        <v>1534.4634773039718</v>
      </c>
      <c r="W100" s="87">
        <f>IF(TrRoad_act!W22=0,0,W36/TrRoad_act!W22*1000)</f>
        <v>1605.4552410205408</v>
      </c>
      <c r="X100" s="87">
        <f>IF(TrRoad_act!X22=0,0,X36/TrRoad_act!X22*1000)</f>
        <v>1653.5503257013363</v>
      </c>
      <c r="Y100" s="87">
        <f>IF(TrRoad_act!Y22=0,0,Y36/TrRoad_act!Y22*1000)</f>
        <v>1548.0971017124998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2077.8376848863991</v>
      </c>
      <c r="D101" s="87">
        <f>IF(TrRoad_act!D23=0,0,D37/TrRoad_act!D23*1000)</f>
        <v>2077.6885673936276</v>
      </c>
      <c r="E101" s="87">
        <f>IF(TrRoad_act!E23=0,0,E37/TrRoad_act!E23*1000)</f>
        <v>2077.5236210392213</v>
      </c>
      <c r="F101" s="87">
        <f>IF(TrRoad_act!F23=0,0,F37/TrRoad_act!F23*1000)</f>
        <v>2077.3427013667233</v>
      </c>
      <c r="G101" s="87">
        <f>IF(TrRoad_act!G23=0,0,G37/TrRoad_act!G23*1000)</f>
        <v>2079.2024254593653</v>
      </c>
      <c r="H101" s="87">
        <f>IF(TrRoad_act!H23=0,0,H37/TrRoad_act!H23*1000)</f>
        <v>2083.2163676127079</v>
      </c>
      <c r="I101" s="87">
        <f>IF(TrRoad_act!I23=0,0,I37/TrRoad_act!I23*1000)</f>
        <v>2087.2557520442615</v>
      </c>
      <c r="J101" s="87">
        <f>IF(TrRoad_act!J23=0,0,J37/TrRoad_act!J23*1000)</f>
        <v>2091.3157430559181</v>
      </c>
      <c r="K101" s="87">
        <f>IF(TrRoad_act!K23=0,0,K37/TrRoad_act!K23*1000)</f>
        <v>2095.319204432165</v>
      </c>
      <c r="L101" s="87">
        <f>IF(TrRoad_act!L23=0,0,L37/TrRoad_act!L23*1000)</f>
        <v>2099.3270136787355</v>
      </c>
      <c r="M101" s="87">
        <f>IF(TrRoad_act!M23=0,0,M37/TrRoad_act!M23*1000)</f>
        <v>2103.3376985214177</v>
      </c>
      <c r="N101" s="87">
        <f>IF(TrRoad_act!N23=0,0,N37/TrRoad_act!N23*1000)</f>
        <v>2105.4064352787768</v>
      </c>
      <c r="O101" s="87">
        <f>IF(TrRoad_act!O23=0,0,O37/TrRoad_act!O23*1000)</f>
        <v>2109.1733786771806</v>
      </c>
      <c r="P101" s="87">
        <f>IF(TrRoad_act!P23=0,0,P37/TrRoad_act!P23*1000)</f>
        <v>2112.8704471964002</v>
      </c>
      <c r="Q101" s="87">
        <f>IF(TrRoad_act!Q23=0,0,Q37/TrRoad_act!Q23*1000)</f>
        <v>2089.6030470614305</v>
      </c>
      <c r="R101" s="87">
        <f>IF(TrRoad_act!R23=0,0,R37/TrRoad_act!R23*1000)</f>
        <v>2080.2939014222279</v>
      </c>
      <c r="S101" s="87">
        <f>IF(TrRoad_act!S23=0,0,S37/TrRoad_act!S23*1000)</f>
        <v>2068.6706792843747</v>
      </c>
      <c r="T101" s="87">
        <f>IF(TrRoad_act!T23=0,0,T37/TrRoad_act!T23*1000)</f>
        <v>2056.3692030959787</v>
      </c>
      <c r="U101" s="87">
        <f>IF(TrRoad_act!U23=0,0,U37/TrRoad_act!U23*1000)</f>
        <v>2038.2393410857048</v>
      </c>
      <c r="V101" s="87">
        <f>IF(TrRoad_act!V23=0,0,V37/TrRoad_act!V23*1000)</f>
        <v>1914.9287043669785</v>
      </c>
      <c r="W101" s="87">
        <f>IF(TrRoad_act!W23=0,0,W37/TrRoad_act!W23*1000)</f>
        <v>1835.119315929401</v>
      </c>
      <c r="X101" s="87">
        <f>IF(TrRoad_act!X23=0,0,X37/TrRoad_act!X23*1000)</f>
        <v>2120.1372745694885</v>
      </c>
      <c r="Y101" s="87">
        <f>IF(TrRoad_act!Y23=0,0,Y37/TrRoad_act!Y23*1000)</f>
        <v>2164.4121274154877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1972.0043164868673</v>
      </c>
      <c r="C102" s="87">
        <f>IF(TrRoad_act!C24=0,0,C38/TrRoad_act!C24*1000)</f>
        <v>1877.9527293166939</v>
      </c>
      <c r="D102" s="87">
        <f>IF(TrRoad_act!D24=0,0,D38/TrRoad_act!D24*1000)</f>
        <v>1877.817956709298</v>
      </c>
      <c r="E102" s="87">
        <f>IF(TrRoad_act!E24=0,0,E38/TrRoad_act!E24*1000)</f>
        <v>1877.6688779536762</v>
      </c>
      <c r="F102" s="87">
        <f>IF(TrRoad_act!F24=0,0,F38/TrRoad_act!F24*1000)</f>
        <v>1877.5053624898708</v>
      </c>
      <c r="G102" s="87">
        <f>IF(TrRoad_act!G24=0,0,G38/TrRoad_act!G24*1000)</f>
        <v>1877.3615697121377</v>
      </c>
      <c r="H102" s="87">
        <f>IF(TrRoad_act!H24=0,0,H38/TrRoad_act!H24*1000)</f>
        <v>1877.2087435097233</v>
      </c>
      <c r="I102" s="87">
        <f>IF(TrRoad_act!I24=0,0,I38/TrRoad_act!I24*1000)</f>
        <v>1877.0718413398979</v>
      </c>
      <c r="J102" s="87">
        <f>IF(TrRoad_act!J24=0,0,J38/TrRoad_act!J24*1000)</f>
        <v>1876.946413904579</v>
      </c>
      <c r="K102" s="87">
        <f>IF(TrRoad_act!K24=0,0,K38/TrRoad_act!K24*1000)</f>
        <v>1876.7632881463676</v>
      </c>
      <c r="L102" s="87">
        <f>IF(TrRoad_act!L24=0,0,L38/TrRoad_act!L24*1000)</f>
        <v>1876.5772160445522</v>
      </c>
      <c r="M102" s="87">
        <f>IF(TrRoad_act!M24=0,0,M38/TrRoad_act!M24*1000)</f>
        <v>1876.3868889506325</v>
      </c>
      <c r="N102" s="87">
        <f>IF(TrRoad_act!N24=0,0,N38/TrRoad_act!N24*1000)</f>
        <v>1375.2224496148983</v>
      </c>
      <c r="O102" s="87">
        <f>IF(TrRoad_act!O24=0,0,O38/TrRoad_act!O24*1000)</f>
        <v>1365.3481707009641</v>
      </c>
      <c r="P102" s="87">
        <f>IF(TrRoad_act!P24=0,0,P38/TrRoad_act!P24*1000)</f>
        <v>1343.4097063505255</v>
      </c>
      <c r="Q102" s="87">
        <f>IF(TrRoad_act!Q24=0,0,Q38/TrRoad_act!Q24*1000)</f>
        <v>1646.9666992625539</v>
      </c>
      <c r="R102" s="87">
        <f>IF(TrRoad_act!R24=0,0,R38/TrRoad_act!R24*1000)</f>
        <v>1665.6658754485491</v>
      </c>
      <c r="S102" s="87">
        <f>IF(TrRoad_act!S24=0,0,S38/TrRoad_act!S24*1000)</f>
        <v>1641.7784780341772</v>
      </c>
      <c r="T102" s="87">
        <f>IF(TrRoad_act!T24=0,0,T38/TrRoad_act!T24*1000)</f>
        <v>1677.6907235591661</v>
      </c>
      <c r="U102" s="87">
        <f>IF(TrRoad_act!U24=0,0,U38/TrRoad_act!U24*1000)</f>
        <v>1667.3167960000364</v>
      </c>
      <c r="V102" s="87">
        <f>IF(TrRoad_act!V24=0,0,V38/TrRoad_act!V24*1000)</f>
        <v>1641.3818008560743</v>
      </c>
      <c r="W102" s="87">
        <f>IF(TrRoad_act!W24=0,0,W38/TrRoad_act!W24*1000)</f>
        <v>1654.2635059347747</v>
      </c>
      <c r="X102" s="87">
        <f>IF(TrRoad_act!X24=0,0,X38/TrRoad_act!X24*1000)</f>
        <v>1653.6962709638178</v>
      </c>
      <c r="Y102" s="87">
        <f>IF(TrRoad_act!Y24=0,0,Y38/TrRoad_act!Y24*1000)</f>
        <v>1676.6690022134173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98.450849127926219</v>
      </c>
      <c r="C104" s="116">
        <f>IF(TrRoad_act!C26=0,0,C40/TrRoad_act!C26*1000)</f>
        <v>105.00080543876916</v>
      </c>
      <c r="D104" s="116">
        <f>IF(TrRoad_act!D26=0,0,D40/TrRoad_act!D26*1000)</f>
        <v>117.42542085577412</v>
      </c>
      <c r="E104" s="116">
        <f>IF(TrRoad_act!E26=0,0,E40/TrRoad_act!E26*1000)</f>
        <v>125.24516444018974</v>
      </c>
      <c r="F104" s="116">
        <f>IF(TrRoad_act!F26=0,0,F40/TrRoad_act!F26*1000)</f>
        <v>127.96275153320231</v>
      </c>
      <c r="G104" s="116">
        <f>IF(TrRoad_act!G26=0,0,G40/TrRoad_act!G26*1000)</f>
        <v>157.58871002593784</v>
      </c>
      <c r="H104" s="116">
        <f>IF(TrRoad_act!H26=0,0,H40/TrRoad_act!H26*1000)</f>
        <v>158.22866934456309</v>
      </c>
      <c r="I104" s="116">
        <f>IF(TrRoad_act!I26=0,0,I40/TrRoad_act!I26*1000)</f>
        <v>143.84064244346638</v>
      </c>
      <c r="J104" s="116">
        <f>IF(TrRoad_act!J26=0,0,J40/TrRoad_act!J26*1000)</f>
        <v>137.84515850124382</v>
      </c>
      <c r="K104" s="116">
        <f>IF(TrRoad_act!K26=0,0,K40/TrRoad_act!K26*1000)</f>
        <v>150.3863406253802</v>
      </c>
      <c r="L104" s="116">
        <f>IF(TrRoad_act!L26=0,0,L40/TrRoad_act!L26*1000)</f>
        <v>141.16688100712628</v>
      </c>
      <c r="M104" s="116">
        <f>IF(TrRoad_act!M26=0,0,M40/TrRoad_act!M26*1000)</f>
        <v>121.92449606998133</v>
      </c>
      <c r="N104" s="116">
        <f>IF(TrRoad_act!N26=0,0,N40/TrRoad_act!N26*1000)</f>
        <v>110.20138792717978</v>
      </c>
      <c r="O104" s="116">
        <f>IF(TrRoad_act!O26=0,0,O40/TrRoad_act!O26*1000)</f>
        <v>89.052353169989317</v>
      </c>
      <c r="P104" s="116">
        <f>IF(TrRoad_act!P26=0,0,P40/TrRoad_act!P26*1000)</f>
        <v>115.21329891898299</v>
      </c>
      <c r="Q104" s="116">
        <f>IF(TrRoad_act!Q26=0,0,Q40/TrRoad_act!Q26*1000)</f>
        <v>128.81305431127515</v>
      </c>
      <c r="R104" s="116">
        <f>IF(TrRoad_act!R26=0,0,R40/TrRoad_act!R26*1000)</f>
        <v>111.29392437469014</v>
      </c>
      <c r="S104" s="116">
        <f>IF(TrRoad_act!S26=0,0,S40/TrRoad_act!S26*1000)</f>
        <v>112.28657835500179</v>
      </c>
      <c r="T104" s="116">
        <f>IF(TrRoad_act!T26=0,0,T40/TrRoad_act!T26*1000)</f>
        <v>113.97482771972849</v>
      </c>
      <c r="U104" s="116">
        <f>IF(TrRoad_act!U26=0,0,U40/TrRoad_act!U26*1000)</f>
        <v>109.33279787172506</v>
      </c>
      <c r="V104" s="116">
        <f>IF(TrRoad_act!V26=0,0,V40/TrRoad_act!V26*1000)</f>
        <v>84.471398454548947</v>
      </c>
      <c r="W104" s="116">
        <f>IF(TrRoad_act!W26=0,0,W40/TrRoad_act!W26*1000)</f>
        <v>96.413393212513142</v>
      </c>
      <c r="X104" s="116">
        <f>IF(TrRoad_act!X26=0,0,X40/TrRoad_act!X26*1000)</f>
        <v>108.46402857785388</v>
      </c>
      <c r="Y104" s="116">
        <f>IF(TrRoad_act!Y26=0,0,Y40/TrRoad_act!Y26*1000)</f>
        <v>81.426897935218349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103.47967511087738</v>
      </c>
      <c r="C105" s="101">
        <f>IF(TrRoad_act!C27=0,0,C41/TrRoad_act!C27*1000)</f>
        <v>108.29692165620592</v>
      </c>
      <c r="D105" s="101">
        <f>IF(TrRoad_act!D27=0,0,D41/TrRoad_act!D27*1000)</f>
        <v>115.41095046960247</v>
      </c>
      <c r="E105" s="101">
        <f>IF(TrRoad_act!E27=0,0,E41/TrRoad_act!E27*1000)</f>
        <v>122.0266104414272</v>
      </c>
      <c r="F105" s="101">
        <f>IF(TrRoad_act!F27=0,0,F41/TrRoad_act!F27*1000)</f>
        <v>125.647628005366</v>
      </c>
      <c r="G105" s="101">
        <f>IF(TrRoad_act!G27=0,0,G41/TrRoad_act!G27*1000)</f>
        <v>166.23649638005904</v>
      </c>
      <c r="H105" s="101">
        <f>IF(TrRoad_act!H27=0,0,H41/TrRoad_act!H27*1000)</f>
        <v>164.59050128007095</v>
      </c>
      <c r="I105" s="101">
        <f>IF(TrRoad_act!I27=0,0,I41/TrRoad_act!I27*1000)</f>
        <v>156.75223591983593</v>
      </c>
      <c r="J105" s="101">
        <f>IF(TrRoad_act!J27=0,0,J41/TrRoad_act!J27*1000)</f>
        <v>145.15341047484861</v>
      </c>
      <c r="K105" s="101">
        <f>IF(TrRoad_act!K27=0,0,K41/TrRoad_act!K27*1000)</f>
        <v>159.5222727052184</v>
      </c>
      <c r="L105" s="101">
        <f>IF(TrRoad_act!L27=0,0,L41/TrRoad_act!L27*1000)</f>
        <v>142.21852521763319</v>
      </c>
      <c r="M105" s="101">
        <f>IF(TrRoad_act!M27=0,0,M41/TrRoad_act!M27*1000)</f>
        <v>134.71856773360292</v>
      </c>
      <c r="N105" s="101">
        <f>IF(TrRoad_act!N27=0,0,N41/TrRoad_act!N27*1000)</f>
        <v>129.00584013479883</v>
      </c>
      <c r="O105" s="101">
        <f>IF(TrRoad_act!O27=0,0,O41/TrRoad_act!O27*1000)</f>
        <v>118.20836456825984</v>
      </c>
      <c r="P105" s="101">
        <f>IF(TrRoad_act!P27=0,0,P41/TrRoad_act!P27*1000)</f>
        <v>128.65070827724691</v>
      </c>
      <c r="Q105" s="101">
        <f>IF(TrRoad_act!Q27=0,0,Q41/TrRoad_act!Q27*1000)</f>
        <v>131.94797396879591</v>
      </c>
      <c r="R105" s="101">
        <f>IF(TrRoad_act!R27=0,0,R41/TrRoad_act!R27*1000)</f>
        <v>116.91336994044578</v>
      </c>
      <c r="S105" s="101">
        <f>IF(TrRoad_act!S27=0,0,S41/TrRoad_act!S27*1000)</f>
        <v>115.1248455447311</v>
      </c>
      <c r="T105" s="101">
        <f>IF(TrRoad_act!T27=0,0,T41/TrRoad_act!T27*1000)</f>
        <v>115.91106969284812</v>
      </c>
      <c r="U105" s="101">
        <f>IF(TrRoad_act!U27=0,0,U41/TrRoad_act!U27*1000)</f>
        <v>113.06828506455325</v>
      </c>
      <c r="V105" s="101">
        <f>IF(TrRoad_act!V27=0,0,V41/TrRoad_act!V27*1000)</f>
        <v>101.39746823164761</v>
      </c>
      <c r="W105" s="101">
        <f>IF(TrRoad_act!W27=0,0,W41/TrRoad_act!W27*1000)</f>
        <v>105.44562322156675</v>
      </c>
      <c r="X105" s="101">
        <f>IF(TrRoad_act!X27=0,0,X41/TrRoad_act!X27*1000)</f>
        <v>111.37539278125588</v>
      </c>
      <c r="Y105" s="101">
        <f>IF(TrRoad_act!Y27=0,0,Y41/TrRoad_act!Y27*1000)</f>
        <v>96.629709296057769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90.62609769630393</v>
      </c>
      <c r="C106" s="88">
        <f>IF(TrRoad_act!C28=0,0,C42/TrRoad_act!C28*1000)</f>
        <v>100.33514748727092</v>
      </c>
      <c r="D106" s="88">
        <f>IF(TrRoad_act!D28=0,0,D42/TrRoad_act!D28*1000)</f>
        <v>119.96598395835568</v>
      </c>
      <c r="E106" s="88">
        <f>IF(TrRoad_act!E28=0,0,E42/TrRoad_act!E28*1000)</f>
        <v>129.06254509212334</v>
      </c>
      <c r="F106" s="88">
        <f>IF(TrRoad_act!F28=0,0,F42/TrRoad_act!F28*1000)</f>
        <v>130.39649771203193</v>
      </c>
      <c r="G106" s="88">
        <f>IF(TrRoad_act!G28=0,0,G42/TrRoad_act!G28*1000)</f>
        <v>148.47779962010102</v>
      </c>
      <c r="H106" s="88">
        <f>IF(TrRoad_act!H28=0,0,H42/TrRoad_act!H28*1000)</f>
        <v>151.54666914606847</v>
      </c>
      <c r="I106" s="88">
        <f>IF(TrRoad_act!I28=0,0,I42/TrRoad_act!I28*1000)</f>
        <v>130.71554672381222</v>
      </c>
      <c r="J106" s="88">
        <f>IF(TrRoad_act!J28=0,0,J42/TrRoad_act!J28*1000)</f>
        <v>131.11474036574006</v>
      </c>
      <c r="K106" s="88">
        <f>IF(TrRoad_act!K28=0,0,K42/TrRoad_act!K28*1000)</f>
        <v>139.45537597481152</v>
      </c>
      <c r="L106" s="88">
        <f>IF(TrRoad_act!L28=0,0,L42/TrRoad_act!L28*1000)</f>
        <v>139.97247481274508</v>
      </c>
      <c r="M106" s="88">
        <f>IF(TrRoad_act!M28=0,0,M42/TrRoad_act!M28*1000)</f>
        <v>109.13705510323759</v>
      </c>
      <c r="N106" s="88">
        <f>IF(TrRoad_act!N28=0,0,N42/TrRoad_act!N28*1000)</f>
        <v>93.880388106171893</v>
      </c>
      <c r="O106" s="88">
        <f>IF(TrRoad_act!O28=0,0,O42/TrRoad_act!O28*1000)</f>
        <v>64.098619678101386</v>
      </c>
      <c r="P106" s="88">
        <f>IF(TrRoad_act!P28=0,0,P42/TrRoad_act!P28*1000)</f>
        <v>103.57085762818306</v>
      </c>
      <c r="Q106" s="88">
        <f>IF(TrRoad_act!Q28=0,0,Q42/TrRoad_act!Q28*1000)</f>
        <v>126.05100710514033</v>
      </c>
      <c r="R106" s="88">
        <f>IF(TrRoad_act!R28=0,0,R42/TrRoad_act!R28*1000)</f>
        <v>106.06960689738754</v>
      </c>
      <c r="S106" s="88">
        <f>IF(TrRoad_act!S28=0,0,S42/TrRoad_act!S28*1000)</f>
        <v>109.84397668686245</v>
      </c>
      <c r="T106" s="88">
        <f>IF(TrRoad_act!T28=0,0,T42/TrRoad_act!T28*1000)</f>
        <v>112.18197014898445</v>
      </c>
      <c r="U106" s="88">
        <f>IF(TrRoad_act!U28=0,0,U42/TrRoad_act!U28*1000)</f>
        <v>105.84053228457773</v>
      </c>
      <c r="V106" s="88">
        <f>IF(TrRoad_act!V28=0,0,V42/TrRoad_act!V28*1000)</f>
        <v>68.175130030989109</v>
      </c>
      <c r="W106" s="88">
        <f>IF(TrRoad_act!W28=0,0,W42/TrRoad_act!W28*1000)</f>
        <v>87.491643658753773</v>
      </c>
      <c r="X106" s="88">
        <f>IF(TrRoad_act!X28=0,0,X42/TrRoad_act!X28*1000)</f>
        <v>105.90429261620378</v>
      </c>
      <c r="Y106" s="88">
        <f>IF(TrRoad_act!Y28=0,0,Y42/TrRoad_act!Y28*1000)</f>
        <v>67.767020745233438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375.94010823598359</v>
      </c>
      <c r="C110" s="152">
        <f>IF(C19=0,0,1000000*C19/TrRoad_act!C59)</f>
        <v>374.41192725806343</v>
      </c>
      <c r="D110" s="152">
        <f>IF(D19=0,0,1000000*D19/TrRoad_act!D59)</f>
        <v>371.11713390018662</v>
      </c>
      <c r="E110" s="152">
        <f>IF(E19=0,0,1000000*E19/TrRoad_act!E59)</f>
        <v>367.38987732989767</v>
      </c>
      <c r="F110" s="152">
        <f>IF(F19=0,0,1000000*F19/TrRoad_act!F59)</f>
        <v>361.83080767286594</v>
      </c>
      <c r="G110" s="152">
        <f>IF(G19=0,0,1000000*G19/TrRoad_act!G59)</f>
        <v>357.45168036813772</v>
      </c>
      <c r="H110" s="152">
        <f>IF(H19=0,0,1000000*H19/TrRoad_act!H59)</f>
        <v>352.02939212133055</v>
      </c>
      <c r="I110" s="152">
        <f>IF(I19=0,0,1000000*I19/TrRoad_act!I59)</f>
        <v>344.87729623701625</v>
      </c>
      <c r="J110" s="152">
        <f>IF(J19=0,0,1000000*J19/TrRoad_act!J59)</f>
        <v>336.30132232953343</v>
      </c>
      <c r="K110" s="152">
        <f>IF(K19=0,0,1000000*K19/TrRoad_act!K59)</f>
        <v>332.65075623335542</v>
      </c>
      <c r="L110" s="152">
        <f>IF(L19=0,0,1000000*L19/TrRoad_act!L59)</f>
        <v>325.39577032377213</v>
      </c>
      <c r="M110" s="152">
        <f>IF(M19=0,0,1000000*M19/TrRoad_act!M59)</f>
        <v>322.66242503022806</v>
      </c>
      <c r="N110" s="152">
        <f>IF(N19=0,0,1000000*N19/TrRoad_act!N59)</f>
        <v>320.33111390075283</v>
      </c>
      <c r="O110" s="152">
        <f>IF(O19=0,0,1000000*O19/TrRoad_act!O59)</f>
        <v>322.24186302834141</v>
      </c>
      <c r="P110" s="152">
        <f>IF(P19=0,0,1000000*P19/TrRoad_act!P59)</f>
        <v>312.16589125419102</v>
      </c>
      <c r="Q110" s="152">
        <f>IF(Q19=0,0,1000000*Q19/TrRoad_act!Q59)</f>
        <v>312.45807250380341</v>
      </c>
      <c r="R110" s="152">
        <f>IF(R19=0,0,1000000*R19/TrRoad_act!R59)</f>
        <v>308.44856480684433</v>
      </c>
      <c r="S110" s="152">
        <f>IF(S19=0,0,1000000*S19/TrRoad_act!S59)</f>
        <v>312.73363480619565</v>
      </c>
      <c r="T110" s="152">
        <f>IF(T19=0,0,1000000*T19/TrRoad_act!T59)</f>
        <v>310.5127728449761</v>
      </c>
      <c r="U110" s="152">
        <f>IF(U19=0,0,1000000*U19/TrRoad_act!U59)</f>
        <v>300.98657014294889</v>
      </c>
      <c r="V110" s="152">
        <f>IF(V19=0,0,1000000*V19/TrRoad_act!V59)</f>
        <v>254.68057349741767</v>
      </c>
      <c r="W110" s="152">
        <f>IF(W19=0,0,1000000*W19/TrRoad_act!W59)</f>
        <v>248.48465410908346</v>
      </c>
      <c r="X110" s="152">
        <f>IF(X19=0,0,1000000*X19/TrRoad_act!X59)</f>
        <v>246.46347958922198</v>
      </c>
      <c r="Y110" s="152">
        <f>IF(Y19=0,0,1000000*Y19/TrRoad_act!Y59)</f>
        <v>234.58977661973975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1888.3583182894627</v>
      </c>
      <c r="C111" s="116">
        <f>IF(C20=0,0,1000000*C20/TrRoad_act!C60)</f>
        <v>1911.4871725232997</v>
      </c>
      <c r="D111" s="116">
        <f>IF(D20=0,0,1000000*D20/TrRoad_act!D60)</f>
        <v>1901.2579731225712</v>
      </c>
      <c r="E111" s="116">
        <f>IF(E20=0,0,1000000*E20/TrRoad_act!E60)</f>
        <v>1900.7341816668827</v>
      </c>
      <c r="F111" s="116">
        <f>IF(F20=0,0,1000000*F20/TrRoad_act!F60)</f>
        <v>1957.6763317867021</v>
      </c>
      <c r="G111" s="116">
        <f>IF(G20=0,0,1000000*G20/TrRoad_act!G60)</f>
        <v>1915.8731126608211</v>
      </c>
      <c r="H111" s="116">
        <f>IF(H20=0,0,1000000*H20/TrRoad_act!H60)</f>
        <v>1858.7098793028108</v>
      </c>
      <c r="I111" s="116">
        <f>IF(I20=0,0,1000000*I20/TrRoad_act!I60)</f>
        <v>1913.8353387285679</v>
      </c>
      <c r="J111" s="116">
        <f>IF(J20=0,0,1000000*J20/TrRoad_act!J60)</f>
        <v>2036.8144365060782</v>
      </c>
      <c r="K111" s="116">
        <f>IF(K20=0,0,1000000*K20/TrRoad_act!K60)</f>
        <v>2118.2785999913954</v>
      </c>
      <c r="L111" s="116">
        <f>IF(L20=0,0,1000000*L20/TrRoad_act!L60)</f>
        <v>1926.8025225399099</v>
      </c>
      <c r="M111" s="116">
        <f>IF(M20=0,0,1000000*M20/TrRoad_act!M60)</f>
        <v>1823.0920974096932</v>
      </c>
      <c r="N111" s="116">
        <f>IF(N20=0,0,1000000*N20/TrRoad_act!N60)</f>
        <v>1833.4627914960195</v>
      </c>
      <c r="O111" s="116">
        <f>IF(O20=0,0,1000000*O20/TrRoad_act!O60)</f>
        <v>1726.0960392980178</v>
      </c>
      <c r="P111" s="116">
        <f>IF(P20=0,0,1000000*P20/TrRoad_act!P60)</f>
        <v>1768.0878761166305</v>
      </c>
      <c r="Q111" s="116">
        <f>IF(Q20=0,0,1000000*Q20/TrRoad_act!Q60)</f>
        <v>1854.8158877400169</v>
      </c>
      <c r="R111" s="116">
        <f>IF(R20=0,0,1000000*R20/TrRoad_act!R60)</f>
        <v>1879.4989579675298</v>
      </c>
      <c r="S111" s="116">
        <f>IF(S20=0,0,1000000*S20/TrRoad_act!S60)</f>
        <v>1891.21612468082</v>
      </c>
      <c r="T111" s="116">
        <f>IF(T20=0,0,1000000*T20/TrRoad_act!T60)</f>
        <v>1929.6001883605554</v>
      </c>
      <c r="U111" s="116">
        <f>IF(U20=0,0,1000000*U20/TrRoad_act!U60)</f>
        <v>2043.8830774950502</v>
      </c>
      <c r="V111" s="116">
        <f>IF(V20=0,0,1000000*V20/TrRoad_act!V60)</f>
        <v>1767.95508434218</v>
      </c>
      <c r="W111" s="116">
        <f>IF(W20=0,0,1000000*W20/TrRoad_act!W60)</f>
        <v>1845.7762142262904</v>
      </c>
      <c r="X111" s="116">
        <f>IF(X20=0,0,1000000*X20/TrRoad_act!X60)</f>
        <v>1949.4195953479182</v>
      </c>
      <c r="Y111" s="116">
        <f>IF(Y20=0,0,1000000*Y20/TrRoad_act!Y60)</f>
        <v>1890.78124499265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1769.9373374942929</v>
      </c>
      <c r="C112" s="87">
        <f>IF(C21=0,0,1000000*C21/TrRoad_act!C61)</f>
        <v>1783.9978924809252</v>
      </c>
      <c r="D112" s="87">
        <f>IF(D21=0,0,1000000*D21/TrRoad_act!D61)</f>
        <v>1757.6014164836495</v>
      </c>
      <c r="E112" s="87">
        <f>IF(E21=0,0,1000000*E21/TrRoad_act!E61)</f>
        <v>1726.3546723983163</v>
      </c>
      <c r="F112" s="87">
        <f>IF(F21=0,0,1000000*F21/TrRoad_act!F61)</f>
        <v>1753.7095624202175</v>
      </c>
      <c r="G112" s="87">
        <f>IF(G21=0,0,1000000*G21/TrRoad_act!G61)</f>
        <v>1730.4751482147167</v>
      </c>
      <c r="H112" s="87">
        <f>IF(H21=0,0,1000000*H21/TrRoad_act!H61)</f>
        <v>1659.7576105464525</v>
      </c>
      <c r="I112" s="87">
        <f>IF(I21=0,0,1000000*I21/TrRoad_act!I61)</f>
        <v>1694.702200228953</v>
      </c>
      <c r="J112" s="87">
        <f>IF(J21=0,0,1000000*J21/TrRoad_act!J61)</f>
        <v>1821.8699756205494</v>
      </c>
      <c r="K112" s="87">
        <f>IF(K21=0,0,1000000*K21/TrRoad_act!K61)</f>
        <v>1865.265345781833</v>
      </c>
      <c r="L112" s="87">
        <f>IF(L21=0,0,1000000*L21/TrRoad_act!L61)</f>
        <v>1621.7781997212414</v>
      </c>
      <c r="M112" s="87">
        <f>IF(M21=0,0,1000000*M21/TrRoad_act!M61)</f>
        <v>1527.5401856165577</v>
      </c>
      <c r="N112" s="87">
        <f>IF(N21=0,0,1000000*N21/TrRoad_act!N61)</f>
        <v>1531.4878853875573</v>
      </c>
      <c r="O112" s="87">
        <f>IF(O21=0,0,1000000*O21/TrRoad_act!O61)</f>
        <v>1448.1972356834729</v>
      </c>
      <c r="P112" s="87">
        <f>IF(P21=0,0,1000000*P21/TrRoad_act!P61)</f>
        <v>1552.1272451469863</v>
      </c>
      <c r="Q112" s="87">
        <f>IF(Q21=0,0,1000000*Q21/TrRoad_act!Q61)</f>
        <v>1607.020394865461</v>
      </c>
      <c r="R112" s="87">
        <f>IF(R21=0,0,1000000*R21/TrRoad_act!R61)</f>
        <v>1614.9108620193538</v>
      </c>
      <c r="S112" s="87">
        <f>IF(S21=0,0,1000000*S21/TrRoad_act!S61)</f>
        <v>1603.1840154780843</v>
      </c>
      <c r="T112" s="87">
        <f>IF(T21=0,0,1000000*T21/TrRoad_act!T61)</f>
        <v>1611.3291145587989</v>
      </c>
      <c r="U112" s="87">
        <f>IF(U21=0,0,1000000*U21/TrRoad_act!U61)</f>
        <v>1671.8488515452373</v>
      </c>
      <c r="V112" s="87">
        <f>IF(V21=0,0,1000000*V21/TrRoad_act!V61)</f>
        <v>1415.0906678833569</v>
      </c>
      <c r="W112" s="87">
        <f>IF(W21=0,0,1000000*W21/TrRoad_act!W61)</f>
        <v>1469.8275947813033</v>
      </c>
      <c r="X112" s="87">
        <f>IF(X21=0,0,1000000*X21/TrRoad_act!X61)</f>
        <v>1540.7915307986427</v>
      </c>
      <c r="Y112" s="87">
        <f>IF(Y21=0,0,1000000*Y21/TrRoad_act!Y61)</f>
        <v>1485.5687255711057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2979.2651345615441</v>
      </c>
      <c r="C113" s="87">
        <f>IF(C22=0,0,1000000*C22/TrRoad_act!C62)</f>
        <v>3019.960358240035</v>
      </c>
      <c r="D113" s="87">
        <f>IF(D22=0,0,1000000*D22/TrRoad_act!D62)</f>
        <v>3039.7223541443454</v>
      </c>
      <c r="E113" s="87">
        <f>IF(E22=0,0,1000000*E22/TrRoad_act!E62)</f>
        <v>3082.8560911357267</v>
      </c>
      <c r="F113" s="87">
        <f>IF(F22=0,0,1000000*F22/TrRoad_act!F62)</f>
        <v>3203.0287721915142</v>
      </c>
      <c r="G113" s="87">
        <f>IF(G22=0,0,1000000*G22/TrRoad_act!G62)</f>
        <v>3239.3839905929394</v>
      </c>
      <c r="H113" s="87">
        <f>IF(H22=0,0,1000000*H22/TrRoad_act!H62)</f>
        <v>2949.0529015042785</v>
      </c>
      <c r="I113" s="87">
        <f>IF(I22=0,0,1000000*I22/TrRoad_act!I62)</f>
        <v>3008.3443266409636</v>
      </c>
      <c r="J113" s="87">
        <f>IF(J22=0,0,1000000*J22/TrRoad_act!J62)</f>
        <v>2947.4932260834212</v>
      </c>
      <c r="K113" s="87">
        <f>IF(K22=0,0,1000000*K22/TrRoad_act!K62)</f>
        <v>3136.9714754249271</v>
      </c>
      <c r="L113" s="87">
        <f>IF(L22=0,0,1000000*L22/TrRoad_act!L62)</f>
        <v>3084.0264009164353</v>
      </c>
      <c r="M113" s="87">
        <f>IF(M22=0,0,1000000*M22/TrRoad_act!M62)</f>
        <v>2888.3209330374984</v>
      </c>
      <c r="N113" s="87">
        <f>IF(N22=0,0,1000000*N22/TrRoad_act!N62)</f>
        <v>2880.7539757787863</v>
      </c>
      <c r="O113" s="87">
        <f>IF(O22=0,0,1000000*O22/TrRoad_act!O62)</f>
        <v>2590.6157176446413</v>
      </c>
      <c r="P113" s="87">
        <f>IF(P22=0,0,1000000*P22/TrRoad_act!P62)</f>
        <v>2401.6264347968704</v>
      </c>
      <c r="Q113" s="87">
        <f>IF(Q22=0,0,1000000*Q22/TrRoad_act!Q62)</f>
        <v>2525.895548022103</v>
      </c>
      <c r="R113" s="87">
        <f>IF(R22=0,0,1000000*R22/TrRoad_act!R62)</f>
        <v>2550.4792269921209</v>
      </c>
      <c r="S113" s="87">
        <f>IF(S22=0,0,1000000*S22/TrRoad_act!S62)</f>
        <v>2580.649223187705</v>
      </c>
      <c r="T113" s="87">
        <f>IF(T22=0,0,1000000*T22/TrRoad_act!T62)</f>
        <v>2664.5973767771247</v>
      </c>
      <c r="U113" s="87">
        <f>IF(U22=0,0,1000000*U22/TrRoad_act!U62)</f>
        <v>2881.5369228513064</v>
      </c>
      <c r="V113" s="87">
        <f>IF(V22=0,0,1000000*V22/TrRoad_act!V62)</f>
        <v>2547.6886704922708</v>
      </c>
      <c r="W113" s="87">
        <f>IF(W22=0,0,1000000*W22/TrRoad_act!W62)</f>
        <v>2671.4713033535563</v>
      </c>
      <c r="X113" s="87">
        <f>IF(X22=0,0,1000000*X22/TrRoad_act!X62)</f>
        <v>2860.0884870262989</v>
      </c>
      <c r="Y113" s="87">
        <f>IF(Y22=0,0,1000000*Y22/TrRoad_act!Y62)</f>
        <v>2803.1838381933517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1612.170469538381</v>
      </c>
      <c r="D114" s="87">
        <f>IF(D23=0,0,1000000*D23/TrRoad_act!D63)</f>
        <v>1630.8042682998657</v>
      </c>
      <c r="E114" s="87">
        <f>IF(E23=0,0,1000000*E23/TrRoad_act!E63)</f>
        <v>2178.8140398252376</v>
      </c>
      <c r="F114" s="87">
        <f>IF(F23=0,0,1000000*F23/TrRoad_act!F63)</f>
        <v>2047.2978480077852</v>
      </c>
      <c r="G114" s="87">
        <f>IF(G23=0,0,1000000*G23/TrRoad_act!G63)</f>
        <v>1702.9117335539911</v>
      </c>
      <c r="H114" s="87">
        <f>IF(H23=0,0,1000000*H23/TrRoad_act!H63)</f>
        <v>1775.0612620691943</v>
      </c>
      <c r="I114" s="87">
        <f>IF(I23=0,0,1000000*I23/TrRoad_act!I63)</f>
        <v>1733.8544947766843</v>
      </c>
      <c r="J114" s="87">
        <f>IF(J23=0,0,1000000*J23/TrRoad_act!J63)</f>
        <v>1823.3740361989921</v>
      </c>
      <c r="K114" s="87">
        <f>IF(K23=0,0,1000000*K23/TrRoad_act!K63)</f>
        <v>1919.9488472928335</v>
      </c>
      <c r="L114" s="87">
        <f>IF(L23=0,0,1000000*L23/TrRoad_act!L63)</f>
        <v>1972.7839980916892</v>
      </c>
      <c r="M114" s="87">
        <f>IF(M23=0,0,1000000*M23/TrRoad_act!M63)</f>
        <v>1809.8135282234255</v>
      </c>
      <c r="N114" s="87">
        <f>IF(N23=0,0,1000000*N23/TrRoad_act!N63)</f>
        <v>1292.6785948864849</v>
      </c>
      <c r="O114" s="87">
        <f>IF(O23=0,0,1000000*O23/TrRoad_act!O63)</f>
        <v>1597.4230746554765</v>
      </c>
      <c r="P114" s="87">
        <f>IF(P23=0,0,1000000*P23/TrRoad_act!P63)</f>
        <v>1390.7817821209615</v>
      </c>
      <c r="Q114" s="87">
        <f>IF(Q23=0,0,1000000*Q23/TrRoad_act!Q63)</f>
        <v>1349.3220173130107</v>
      </c>
      <c r="R114" s="87">
        <f>IF(R23=0,0,1000000*R23/TrRoad_act!R63)</f>
        <v>1234.6978042811625</v>
      </c>
      <c r="S114" s="87">
        <f>IF(S23=0,0,1000000*S23/TrRoad_act!S63)</f>
        <v>1230.1566482568851</v>
      </c>
      <c r="T114" s="87">
        <f>IF(T23=0,0,1000000*T23/TrRoad_act!T63)</f>
        <v>1186.8740765697917</v>
      </c>
      <c r="U114" s="87">
        <f>IF(U23=0,0,1000000*U23/TrRoad_act!U63)</f>
        <v>1189.3318771468539</v>
      </c>
      <c r="V114" s="87">
        <f>IF(V23=0,0,1000000*V23/TrRoad_act!V63)</f>
        <v>1086.738654580465</v>
      </c>
      <c r="W114" s="87">
        <f>IF(W23=0,0,1000000*W23/TrRoad_act!W63)</f>
        <v>1563.7007668475376</v>
      </c>
      <c r="X114" s="87">
        <f>IF(X23=0,0,1000000*X23/TrRoad_act!X63)</f>
        <v>1622.124054354618</v>
      </c>
      <c r="Y114" s="87">
        <f>IF(Y23=0,0,1000000*Y23/TrRoad_act!Y63)</f>
        <v>1795.7367398911131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2187.3337959595219</v>
      </c>
      <c r="M115" s="87">
        <f>IF(M24=0,0,1000000*M24/TrRoad_act!M64)</f>
        <v>1254.093900428966</v>
      </c>
      <c r="N115" s="87">
        <f>IF(N24=0,0,1000000*N24/TrRoad_act!N64)</f>
        <v>1110.3974496711212</v>
      </c>
      <c r="O115" s="87">
        <f>IF(O24=0,0,1000000*O24/TrRoad_act!O64)</f>
        <v>1176.3316990502169</v>
      </c>
      <c r="P115" s="87">
        <f>IF(P24=0,0,1000000*P24/TrRoad_act!P64)</f>
        <v>1252.4343063304364</v>
      </c>
      <c r="Q115" s="87">
        <f>IF(Q24=0,0,1000000*Q24/TrRoad_act!Q64)</f>
        <v>1122.5454066421835</v>
      </c>
      <c r="R115" s="87">
        <f>IF(R24=0,0,1000000*R24/TrRoad_act!R64)</f>
        <v>1152.7243756477924</v>
      </c>
      <c r="S115" s="87">
        <f>IF(S24=0,0,1000000*S24/TrRoad_act!S64)</f>
        <v>1135.6501554826377</v>
      </c>
      <c r="T115" s="87">
        <f>IF(T24=0,0,1000000*T24/TrRoad_act!T64)</f>
        <v>1180.6447838755148</v>
      </c>
      <c r="U115" s="87">
        <f>IF(U24=0,0,1000000*U24/TrRoad_act!U64)</f>
        <v>1264.8188585877319</v>
      </c>
      <c r="V115" s="87">
        <f>IF(V24=0,0,1000000*V24/TrRoad_act!V64)</f>
        <v>1139.156172229073</v>
      </c>
      <c r="W115" s="87">
        <f>IF(W24=0,0,1000000*W24/TrRoad_act!W64)</f>
        <v>1159.3546469322091</v>
      </c>
      <c r="X115" s="87">
        <f>IF(X24=0,0,1000000*X24/TrRoad_act!X64)</f>
        <v>1225.4993528526459</v>
      </c>
      <c r="Y115" s="87">
        <f>IF(Y24=0,0,1000000*Y24/TrRoad_act!Y64)</f>
        <v>1192.0710068990961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316.85541426166407</v>
      </c>
      <c r="O116" s="87">
        <f>IF(O25=0,0,1000000*O25/TrRoad_act!O65)</f>
        <v>320.16429634432683</v>
      </c>
      <c r="P116" s="87">
        <f>IF(P25=0,0,1000000*P25/TrRoad_act!P65)</f>
        <v>323.35822805726809</v>
      </c>
      <c r="Q116" s="87">
        <f>IF(Q25=0,0,1000000*Q25/TrRoad_act!Q65)</f>
        <v>298.03430589628022</v>
      </c>
      <c r="R116" s="87">
        <f>IF(R25=0,0,1000000*R25/TrRoad_act!R65)</f>
        <v>414.53428389408481</v>
      </c>
      <c r="S116" s="87">
        <f>IF(S25=0,0,1000000*S25/TrRoad_act!S65)</f>
        <v>455.73231241276648</v>
      </c>
      <c r="T116" s="87">
        <f>IF(T25=0,0,1000000*T25/TrRoad_act!T65)</f>
        <v>460.59662960133369</v>
      </c>
      <c r="U116" s="87">
        <f>IF(U25=0,0,1000000*U25/TrRoad_act!U65)</f>
        <v>467.35157542683777</v>
      </c>
      <c r="V116" s="87">
        <f>IF(V25=0,0,1000000*V25/TrRoad_act!V65)</f>
        <v>386.81908062861606</v>
      </c>
      <c r="W116" s="87">
        <f>IF(W25=0,0,1000000*W25/TrRoad_act!W65)</f>
        <v>375.24999597232375</v>
      </c>
      <c r="X116" s="87">
        <f>IF(X25=0,0,1000000*X25/TrRoad_act!X65)</f>
        <v>442.22169966052775</v>
      </c>
      <c r="Y116" s="87">
        <f>IF(Y25=0,0,1000000*Y25/TrRoad_act!Y65)</f>
        <v>390.88079259558765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64736.19777697917</v>
      </c>
      <c r="C118" s="116">
        <f>IF(C27=0,0,1000000*C27/TrRoad_act!C67)</f>
        <v>64105.63643698996</v>
      </c>
      <c r="D118" s="116">
        <f>IF(D27=0,0,1000000*D27/TrRoad_act!D67)</f>
        <v>65589.053860116444</v>
      </c>
      <c r="E118" s="116">
        <f>IF(E27=0,0,1000000*E27/TrRoad_act!E67)</f>
        <v>65500.985701770085</v>
      </c>
      <c r="F118" s="116">
        <f>IF(F27=0,0,1000000*F27/TrRoad_act!F67)</f>
        <v>64718.107509376336</v>
      </c>
      <c r="G118" s="116">
        <f>IF(G27=0,0,1000000*G27/TrRoad_act!G67)</f>
        <v>67144.448342192263</v>
      </c>
      <c r="H118" s="116">
        <f>IF(H27=0,0,1000000*H27/TrRoad_act!H67)</f>
        <v>66568.138470620717</v>
      </c>
      <c r="I118" s="116">
        <f>IF(I27=0,0,1000000*I27/TrRoad_act!I67)</f>
        <v>64958.402228356324</v>
      </c>
      <c r="J118" s="116">
        <f>IF(J27=0,0,1000000*J27/TrRoad_act!J67)</f>
        <v>63220.290840122172</v>
      </c>
      <c r="K118" s="116">
        <f>IF(K27=0,0,1000000*K27/TrRoad_act!K67)</f>
        <v>61982.370717448888</v>
      </c>
      <c r="L118" s="116">
        <f>IF(L27=0,0,1000000*L27/TrRoad_act!L67)</f>
        <v>63216.37958512258</v>
      </c>
      <c r="M118" s="116">
        <f>IF(M27=0,0,1000000*M27/TrRoad_act!M67)</f>
        <v>60565.900660805542</v>
      </c>
      <c r="N118" s="116">
        <f>IF(N27=0,0,1000000*N27/TrRoad_act!N67)</f>
        <v>59595.777897282496</v>
      </c>
      <c r="O118" s="116">
        <f>IF(O27=0,0,1000000*O27/TrRoad_act!O67)</f>
        <v>56115.442810452259</v>
      </c>
      <c r="P118" s="116">
        <f>IF(P27=0,0,1000000*P27/TrRoad_act!P67)</f>
        <v>60646.184074848206</v>
      </c>
      <c r="Q118" s="116">
        <f>IF(Q27=0,0,1000000*Q27/TrRoad_act!Q67)</f>
        <v>63014.153464391835</v>
      </c>
      <c r="R118" s="116">
        <f>IF(R27=0,0,1000000*R27/TrRoad_act!R67)</f>
        <v>61205.203377003199</v>
      </c>
      <c r="S118" s="116">
        <f>IF(S27=0,0,1000000*S27/TrRoad_act!S67)</f>
        <v>64125.555368985268</v>
      </c>
      <c r="T118" s="116">
        <f>IF(T27=0,0,1000000*T27/TrRoad_act!T67)</f>
        <v>64132.854577090729</v>
      </c>
      <c r="U118" s="116">
        <f>IF(U27=0,0,1000000*U27/TrRoad_act!U67)</f>
        <v>63519.704123489973</v>
      </c>
      <c r="V118" s="116">
        <f>IF(V27=0,0,1000000*V27/TrRoad_act!V67)</f>
        <v>57308.840086501878</v>
      </c>
      <c r="W118" s="116">
        <f>IF(W27=0,0,1000000*W27/TrRoad_act!W67)</f>
        <v>59703.569709690637</v>
      </c>
      <c r="X118" s="116">
        <f>IF(X27=0,0,1000000*X27/TrRoad_act!X67)</f>
        <v>63168.522757869163</v>
      </c>
      <c r="Y118" s="116">
        <f>IF(Y27=0,0,1000000*Y27/TrRoad_act!Y67)</f>
        <v>58788.799200663329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8495.8862322694258</v>
      </c>
      <c r="C119" s="101">
        <f>IF(C28=0,0,1000000*C28/TrRoad_act!C68)</f>
        <v>8579.5376476595429</v>
      </c>
      <c r="D119" s="101">
        <f>IF(D28=0,0,1000000*D28/TrRoad_act!D68)</f>
        <v>8667.5944551265202</v>
      </c>
      <c r="E119" s="101">
        <f>IF(E28=0,0,1000000*E28/TrRoad_act!E68)</f>
        <v>8753.3065695352761</v>
      </c>
      <c r="F119" s="101">
        <f>IF(F28=0,0,1000000*F28/TrRoad_act!F68)</f>
        <v>8823.8062085224738</v>
      </c>
      <c r="G119" s="101">
        <f>IF(G28=0,0,1000000*G28/TrRoad_act!G68)</f>
        <v>8890.7033912975494</v>
      </c>
      <c r="H119" s="101">
        <f>IF(H28=0,0,1000000*H28/TrRoad_act!H68)</f>
        <v>8971.1089246109877</v>
      </c>
      <c r="I119" s="101">
        <f>IF(I28=0,0,1000000*I28/TrRoad_act!I68)</f>
        <v>9162.1848252728487</v>
      </c>
      <c r="J119" s="101">
        <f>IF(J28=0,0,1000000*J28/TrRoad_act!J68)</f>
        <v>9254.5248118727122</v>
      </c>
      <c r="K119" s="101">
        <f>IF(K28=0,0,1000000*K28/TrRoad_act!K68)</f>
        <v>9418.2749079011519</v>
      </c>
      <c r="L119" s="101">
        <f>IF(L28=0,0,1000000*L28/TrRoad_act!L68)</f>
        <v>9538.9099897113065</v>
      </c>
      <c r="M119" s="101">
        <f>IF(M28=0,0,1000000*M28/TrRoad_act!M68)</f>
        <v>9495.7201816701345</v>
      </c>
      <c r="N119" s="101">
        <f>IF(N28=0,0,1000000*N28/TrRoad_act!N68)</f>
        <v>9685.6248980172077</v>
      </c>
      <c r="O119" s="101">
        <f>IF(O28=0,0,1000000*O28/TrRoad_act!O68)</f>
        <v>10128.315496575016</v>
      </c>
      <c r="P119" s="101">
        <f>IF(P28=0,0,1000000*P28/TrRoad_act!P68)</f>
        <v>9971.5562231134409</v>
      </c>
      <c r="Q119" s="101">
        <f>IF(Q28=0,0,1000000*Q28/TrRoad_act!Q68)</f>
        <v>10100.167564188288</v>
      </c>
      <c r="R119" s="101">
        <f>IF(R28=0,0,1000000*R28/TrRoad_act!R68)</f>
        <v>9773.1309022258974</v>
      </c>
      <c r="S119" s="101">
        <f>IF(S28=0,0,1000000*S28/TrRoad_act!S68)</f>
        <v>10130.668320173365</v>
      </c>
      <c r="T119" s="101">
        <f>IF(T28=0,0,1000000*T28/TrRoad_act!T68)</f>
        <v>9813.8609996932355</v>
      </c>
      <c r="U119" s="101">
        <f>IF(U28=0,0,1000000*U28/TrRoad_act!U68)</f>
        <v>9557.6776815752728</v>
      </c>
      <c r="V119" s="101">
        <f>IF(V28=0,0,1000000*V28/TrRoad_act!V68)</f>
        <v>8712.7917790498523</v>
      </c>
      <c r="W119" s="101">
        <f>IF(W28=0,0,1000000*W28/TrRoad_act!W68)</f>
        <v>8580.9885840701536</v>
      </c>
      <c r="X119" s="101">
        <f>IF(X28=0,0,1000000*X28/TrRoad_act!X68)</f>
        <v>8621.4614437767286</v>
      </c>
      <c r="Y119" s="101">
        <f>IF(Y28=0,0,1000000*Y28/TrRoad_act!Y68)</f>
        <v>8327.2272634500132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74488.633796478811</v>
      </c>
      <c r="C120" s="101">
        <f>IF(C29=0,0,1000000*C29/TrRoad_act!C69)</f>
        <v>72697.121185777651</v>
      </c>
      <c r="D120" s="101">
        <f>IF(D29=0,0,1000000*D29/TrRoad_act!D69)</f>
        <v>73393.116148998437</v>
      </c>
      <c r="E120" s="101">
        <f>IF(E29=0,0,1000000*E29/TrRoad_act!E69)</f>
        <v>72423.648884675844</v>
      </c>
      <c r="F120" s="101">
        <f>IF(F29=0,0,1000000*F29/TrRoad_act!F69)</f>
        <v>70877.672388974373</v>
      </c>
      <c r="G120" s="101">
        <f>IF(G29=0,0,1000000*G29/TrRoad_act!G69)</f>
        <v>72236.562739022484</v>
      </c>
      <c r="H120" s="101">
        <f>IF(H29=0,0,1000000*H29/TrRoad_act!H69)</f>
        <v>70372.907710663654</v>
      </c>
      <c r="I120" s="101">
        <f>IF(I29=0,0,1000000*I29/TrRoad_act!I69)</f>
        <v>67960.874360473361</v>
      </c>
      <c r="J120" s="101">
        <f>IF(J29=0,0,1000000*J29/TrRoad_act!J69)</f>
        <v>65784.885292954496</v>
      </c>
      <c r="K120" s="101">
        <f>IF(K29=0,0,1000000*K29/TrRoad_act!K69)</f>
        <v>64029.681473762437</v>
      </c>
      <c r="L120" s="101">
        <f>IF(L29=0,0,1000000*L29/TrRoad_act!L69)</f>
        <v>64871.91287162168</v>
      </c>
      <c r="M120" s="101">
        <f>IF(M29=0,0,1000000*M29/TrRoad_act!M69)</f>
        <v>61791.877345444278</v>
      </c>
      <c r="N120" s="101">
        <f>IF(N29=0,0,1000000*N29/TrRoad_act!N69)</f>
        <v>60572.556710808618</v>
      </c>
      <c r="O120" s="101">
        <f>IF(O29=0,0,1000000*O29/TrRoad_act!O69)</f>
        <v>57072.671776238458</v>
      </c>
      <c r="P120" s="101">
        <f>IF(P29=0,0,1000000*P29/TrRoad_act!P69)</f>
        <v>61878.233024545691</v>
      </c>
      <c r="Q120" s="101">
        <f>IF(Q29=0,0,1000000*Q29/TrRoad_act!Q69)</f>
        <v>64229.862178310621</v>
      </c>
      <c r="R120" s="101">
        <f>IF(R29=0,0,1000000*R29/TrRoad_act!R69)</f>
        <v>62371.92162666066</v>
      </c>
      <c r="S120" s="101">
        <f>IF(S29=0,0,1000000*S29/TrRoad_act!S69)</f>
        <v>65530.344469757401</v>
      </c>
      <c r="T120" s="101">
        <f>IF(T29=0,0,1000000*T29/TrRoad_act!T69)</f>
        <v>65380.340661697672</v>
      </c>
      <c r="U120" s="101">
        <f>IF(U29=0,0,1000000*U29/TrRoad_act!U69)</f>
        <v>63865.153077299168</v>
      </c>
      <c r="V120" s="101">
        <f>IF(V29=0,0,1000000*V29/TrRoad_act!V69)</f>
        <v>57723.168087976301</v>
      </c>
      <c r="W120" s="101">
        <f>IF(W29=0,0,1000000*W29/TrRoad_act!W69)</f>
        <v>60380.445107035936</v>
      </c>
      <c r="X120" s="101">
        <f>IF(X29=0,0,1000000*X29/TrRoad_act!X69)</f>
        <v>64519.82445919163</v>
      </c>
      <c r="Y120" s="101">
        <f>IF(Y29=0,0,1000000*Y29/TrRoad_act!Y69)</f>
        <v>59914.796459481338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27374.734013117355</v>
      </c>
      <c r="Q121" s="101">
        <f>IF(Q30=0,0,1000000*Q30/TrRoad_act!Q70)</f>
        <v>27660.148014704766</v>
      </c>
      <c r="R121" s="101">
        <f>IF(R30=0,0,1000000*R30/TrRoad_act!R70)</f>
        <v>27660.571461290983</v>
      </c>
      <c r="S121" s="101">
        <f>IF(S30=0,0,1000000*S30/TrRoad_act!S70)</f>
        <v>27961.0976844256</v>
      </c>
      <c r="T121" s="101">
        <f>IF(T30=0,0,1000000*T30/TrRoad_act!T70)</f>
        <v>27307.883220380856</v>
      </c>
      <c r="U121" s="101">
        <f>IF(U30=0,0,1000000*U30/TrRoad_act!U70)</f>
        <v>26463.70821711887</v>
      </c>
      <c r="V121" s="101">
        <f>IF(V30=0,0,1000000*V30/TrRoad_act!V70)</f>
        <v>25538.768477736299</v>
      </c>
      <c r="W121" s="101">
        <f>IF(W30=0,0,1000000*W30/TrRoad_act!W70)</f>
        <v>25172.021311977405</v>
      </c>
      <c r="X121" s="101">
        <f>IF(X30=0,0,1000000*X30/TrRoad_act!X70)</f>
        <v>25741.422691658434</v>
      </c>
      <c r="Y121" s="101">
        <f>IF(Y30=0,0,1000000*Y30/TrRoad_act!Y70)</f>
        <v>25584.69133218981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41266.623813349761</v>
      </c>
      <c r="C122" s="101">
        <f>IF(C31=0,0,1000000*C31/TrRoad_act!C71)</f>
        <v>41191.503352932545</v>
      </c>
      <c r="D122" s="101">
        <f>IF(D31=0,0,1000000*D31/TrRoad_act!D71)</f>
        <v>42634.132979062459</v>
      </c>
      <c r="E122" s="101">
        <f>IF(E31=0,0,1000000*E31/TrRoad_act!E71)</f>
        <v>40683.049740513663</v>
      </c>
      <c r="F122" s="101">
        <f>IF(F31=0,0,1000000*F31/TrRoad_act!F71)</f>
        <v>39805.027212418492</v>
      </c>
      <c r="G122" s="101">
        <f>IF(G31=0,0,1000000*G31/TrRoad_act!G71)</f>
        <v>52051.533163453234</v>
      </c>
      <c r="H122" s="101">
        <f>IF(H31=0,0,1000000*H31/TrRoad_act!H71)</f>
        <v>54576.082595309097</v>
      </c>
      <c r="I122" s="101">
        <f>IF(I31=0,0,1000000*I31/TrRoad_act!I71)</f>
        <v>49334.552235416442</v>
      </c>
      <c r="J122" s="101">
        <f>IF(J31=0,0,1000000*J31/TrRoad_act!J71)</f>
        <v>48981.823211568641</v>
      </c>
      <c r="K122" s="101">
        <f>IF(K31=0,0,1000000*K31/TrRoad_act!K71)</f>
        <v>43596.302115570688</v>
      </c>
      <c r="L122" s="101">
        <f>IF(L31=0,0,1000000*L31/TrRoad_act!L71)</f>
        <v>39218.150324731898</v>
      </c>
      <c r="M122" s="101">
        <f>IF(M31=0,0,1000000*M31/TrRoad_act!M71)</f>
        <v>44553.143918982125</v>
      </c>
      <c r="N122" s="101">
        <f>IF(N31=0,0,1000000*N31/TrRoad_act!N71)</f>
        <v>47449.503880074124</v>
      </c>
      <c r="O122" s="101">
        <f>IF(O31=0,0,1000000*O31/TrRoad_act!O71)</f>
        <v>24615.203749736589</v>
      </c>
      <c r="P122" s="101">
        <f>IF(P31=0,0,1000000*P31/TrRoad_act!P71)</f>
        <v>13253.684472830017</v>
      </c>
      <c r="Q122" s="101">
        <f>IF(Q31=0,0,1000000*Q31/TrRoad_act!Q71)</f>
        <v>26616.371269990486</v>
      </c>
      <c r="R122" s="101">
        <f>IF(R31=0,0,1000000*R31/TrRoad_act!R71)</f>
        <v>34413.78741882521</v>
      </c>
      <c r="S122" s="101">
        <f>IF(S31=0,0,1000000*S31/TrRoad_act!S71)</f>
        <v>31459.411192104242</v>
      </c>
      <c r="T122" s="101">
        <f>IF(T31=0,0,1000000*T31/TrRoad_act!T71)</f>
        <v>35252.186585044969</v>
      </c>
      <c r="U122" s="101">
        <f>IF(U31=0,0,1000000*U31/TrRoad_act!U71)</f>
        <v>67521.693651952504</v>
      </c>
      <c r="V122" s="101">
        <f>IF(V31=0,0,1000000*V31/TrRoad_act!V71)</f>
        <v>63270.954574560237</v>
      </c>
      <c r="W122" s="101">
        <f>IF(W31=0,0,1000000*W31/TrRoad_act!W71)</f>
        <v>57828.122977408224</v>
      </c>
      <c r="X122" s="101">
        <f>IF(X31=0,0,1000000*X31/TrRoad_act!X71)</f>
        <v>36360.400761785546</v>
      </c>
      <c r="Y122" s="101">
        <f>IF(Y31=0,0,1000000*Y31/TrRoad_act!Y71)</f>
        <v>46598.567959082065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4698.8030401231754</v>
      </c>
      <c r="C125" s="152">
        <f>IF(C34=0,0,1000000*C34/TrRoad_act!C74)</f>
        <v>4670.8759794006337</v>
      </c>
      <c r="D125" s="152">
        <f>IF(D34=0,0,1000000*D34/TrRoad_act!D74)</f>
        <v>4817.6332761814365</v>
      </c>
      <c r="E125" s="152">
        <f>IF(E34=0,0,1000000*E34/TrRoad_act!E74)</f>
        <v>4866.675959854002</v>
      </c>
      <c r="F125" s="152">
        <f>IF(F34=0,0,1000000*F34/TrRoad_act!F74)</f>
        <v>4857.1035132267471</v>
      </c>
      <c r="G125" s="152">
        <f>IF(G34=0,0,1000000*G34/TrRoad_act!G74)</f>
        <v>5029.5958345506806</v>
      </c>
      <c r="H125" s="152">
        <f>IF(H34=0,0,1000000*H34/TrRoad_act!H74)</f>
        <v>4973.9600786136407</v>
      </c>
      <c r="I125" s="152">
        <f>IF(I34=0,0,1000000*I34/TrRoad_act!I74)</f>
        <v>4804.7683233284024</v>
      </c>
      <c r="J125" s="152">
        <f>IF(J34=0,0,1000000*J34/TrRoad_act!J74)</f>
        <v>4676.3843936252133</v>
      </c>
      <c r="K125" s="152">
        <f>IF(K34=0,0,1000000*K34/TrRoad_act!K74)</f>
        <v>4590.7200883384676</v>
      </c>
      <c r="L125" s="152">
        <f>IF(L34=0,0,1000000*L34/TrRoad_act!L74)</f>
        <v>4506.5032451916941</v>
      </c>
      <c r="M125" s="152">
        <f>IF(M34=0,0,1000000*M34/TrRoad_act!M74)</f>
        <v>4287.3577242305455</v>
      </c>
      <c r="N125" s="152">
        <f>IF(N34=0,0,1000000*N34/TrRoad_act!N74)</f>
        <v>4149.4400208557936</v>
      </c>
      <c r="O125" s="152">
        <f>IF(O34=0,0,1000000*O34/TrRoad_act!O74)</f>
        <v>3848.0519799255908</v>
      </c>
      <c r="P125" s="152">
        <f>IF(P34=0,0,1000000*P34/TrRoad_act!P74)</f>
        <v>4102.4346455828327</v>
      </c>
      <c r="Q125" s="152">
        <f>IF(Q34=0,0,1000000*Q34/TrRoad_act!Q74)</f>
        <v>4228.1566369948187</v>
      </c>
      <c r="R125" s="152">
        <f>IF(R34=0,0,1000000*R34/TrRoad_act!R74)</f>
        <v>4110.6193080728599</v>
      </c>
      <c r="S125" s="152">
        <f>IF(S34=0,0,1000000*S34/TrRoad_act!S74)</f>
        <v>4218.2811818936234</v>
      </c>
      <c r="T125" s="152">
        <f>IF(T34=0,0,1000000*T34/TrRoad_act!T74)</f>
        <v>4250.1732913239284</v>
      </c>
      <c r="U125" s="152">
        <f>IF(U34=0,0,1000000*U34/TrRoad_act!U74)</f>
        <v>4229.0192984788337</v>
      </c>
      <c r="V125" s="152">
        <f>IF(V34=0,0,1000000*V34/TrRoad_act!V74)</f>
        <v>3958.7934102919398</v>
      </c>
      <c r="W125" s="152">
        <f>IF(W34=0,0,1000000*W34/TrRoad_act!W74)</f>
        <v>4178.8097000495281</v>
      </c>
      <c r="X125" s="152">
        <f>IF(X34=0,0,1000000*X34/TrRoad_act!X74)</f>
        <v>4336.3986525895079</v>
      </c>
      <c r="Y125" s="152">
        <f>IF(Y34=0,0,1000000*Y34/TrRoad_act!Y74)</f>
        <v>4097.0860154493112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3404.5469309930495</v>
      </c>
      <c r="C126" s="87">
        <f>IF(C35=0,0,1000000*C35/TrRoad_act!C75)</f>
        <v>3353.3375058634824</v>
      </c>
      <c r="D126" s="87">
        <f>IF(D35=0,0,1000000*D35/TrRoad_act!D75)</f>
        <v>3317.8533940901007</v>
      </c>
      <c r="E126" s="87">
        <f>IF(E35=0,0,1000000*E35/TrRoad_act!E75)</f>
        <v>3280.9284325555845</v>
      </c>
      <c r="F126" s="87">
        <f>IF(F35=0,0,1000000*F35/TrRoad_act!F75)</f>
        <v>3240.1489760522531</v>
      </c>
      <c r="G126" s="87">
        <f>IF(G35=0,0,1000000*G35/TrRoad_act!G75)</f>
        <v>3198.4495240148844</v>
      </c>
      <c r="H126" s="87">
        <f>IF(H35=0,0,1000000*H35/TrRoad_act!H75)</f>
        <v>3129.8308925123752</v>
      </c>
      <c r="I126" s="87">
        <f>IF(I35=0,0,1000000*I35/TrRoad_act!I75)</f>
        <v>3018.3921202836368</v>
      </c>
      <c r="J126" s="87">
        <f>IF(J35=0,0,1000000*J35/TrRoad_act!J75)</f>
        <v>2895.3574345069455</v>
      </c>
      <c r="K126" s="87">
        <f>IF(K35=0,0,1000000*K35/TrRoad_act!K75)</f>
        <v>2807.8613273590827</v>
      </c>
      <c r="L126" s="87">
        <f>IF(L35=0,0,1000000*L35/TrRoad_act!L75)</f>
        <v>2693.2942761265044</v>
      </c>
      <c r="M126" s="87">
        <f>IF(M35=0,0,1000000*M35/TrRoad_act!M75)</f>
        <v>2617.6587509461942</v>
      </c>
      <c r="N126" s="87">
        <f>IF(N35=0,0,1000000*N35/TrRoad_act!N75)</f>
        <v>2551.7730110648749</v>
      </c>
      <c r="O126" s="87">
        <f>IF(O35=0,0,1000000*O35/TrRoad_act!O75)</f>
        <v>2382.86172812313</v>
      </c>
      <c r="P126" s="87">
        <f>IF(P35=0,0,1000000*P35/TrRoad_act!P75)</f>
        <v>2213.1527448639026</v>
      </c>
      <c r="Q126" s="87">
        <f>IF(Q35=0,0,1000000*Q35/TrRoad_act!Q75)</f>
        <v>2153.0408840431473</v>
      </c>
      <c r="R126" s="87">
        <f>IF(R35=0,0,1000000*R35/TrRoad_act!R75)</f>
        <v>2178.1076969346591</v>
      </c>
      <c r="S126" s="87">
        <f>IF(S35=0,0,1000000*S35/TrRoad_act!S75)</f>
        <v>2214.4819859605832</v>
      </c>
      <c r="T126" s="87">
        <f>IF(T35=0,0,1000000*T35/TrRoad_act!T75)</f>
        <v>2269.7014767581877</v>
      </c>
      <c r="U126" s="87">
        <f>IF(U35=0,0,1000000*U35/TrRoad_act!U75)</f>
        <v>2354.0017102707857</v>
      </c>
      <c r="V126" s="87">
        <f>IF(V35=0,0,1000000*V35/TrRoad_act!V75)</f>
        <v>2264.6057941843751</v>
      </c>
      <c r="W126" s="87">
        <f>IF(W35=0,0,1000000*W35/TrRoad_act!W75)</f>
        <v>2259.3798471292048</v>
      </c>
      <c r="X126" s="87">
        <f>IF(X35=0,0,1000000*X35/TrRoad_act!X75)</f>
        <v>2255.315689259548</v>
      </c>
      <c r="Y126" s="87">
        <f>IF(Y35=0,0,1000000*Y35/TrRoad_act!Y75)</f>
        <v>2338.5536153501494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5444.5660176019674</v>
      </c>
      <c r="C127" s="87">
        <f>IF(C36=0,0,1000000*C36/TrRoad_act!C76)</f>
        <v>5311.4284408140356</v>
      </c>
      <c r="D127" s="87">
        <f>IF(D36=0,0,1000000*D36/TrRoad_act!D76)</f>
        <v>5399.3385537427357</v>
      </c>
      <c r="E127" s="87">
        <f>IF(E36=0,0,1000000*E36/TrRoad_act!E76)</f>
        <v>5379.8110051387011</v>
      </c>
      <c r="F127" s="87">
        <f>IF(F36=0,0,1000000*F36/TrRoad_act!F76)</f>
        <v>5309.0750061286362</v>
      </c>
      <c r="G127" s="87">
        <f>IF(G36=0,0,1000000*G36/TrRoad_act!G76)</f>
        <v>5462.0868141955934</v>
      </c>
      <c r="H127" s="87">
        <f>IF(H36=0,0,1000000*H36/TrRoad_act!H76)</f>
        <v>5361.3767470843659</v>
      </c>
      <c r="I127" s="87">
        <f>IF(I36=0,0,1000000*I36/TrRoad_act!I76)</f>
        <v>5120.7823705911214</v>
      </c>
      <c r="J127" s="87">
        <f>IF(J36=0,0,1000000*J36/TrRoad_act!J76)</f>
        <v>4907.4545056888792</v>
      </c>
      <c r="K127" s="87">
        <f>IF(K36=0,0,1000000*K36/TrRoad_act!K76)</f>
        <v>4770.8373321841473</v>
      </c>
      <c r="L127" s="87">
        <f>IF(L36=0,0,1000000*L36/TrRoad_act!L76)</f>
        <v>4702.9433338586487</v>
      </c>
      <c r="M127" s="87">
        <f>IF(M36=0,0,1000000*M36/TrRoad_act!M76)</f>
        <v>4439.7502662399747</v>
      </c>
      <c r="N127" s="87">
        <f>IF(N36=0,0,1000000*N36/TrRoad_act!N76)</f>
        <v>4284.7343975484991</v>
      </c>
      <c r="O127" s="87">
        <f>IF(O36=0,0,1000000*O36/TrRoad_act!O76)</f>
        <v>3961.6652820892891</v>
      </c>
      <c r="P127" s="87">
        <f>IF(P36=0,0,1000000*P36/TrRoad_act!P76)</f>
        <v>4234.6626310102019</v>
      </c>
      <c r="Q127" s="87">
        <f>IF(Q36=0,0,1000000*Q36/TrRoad_act!Q76)</f>
        <v>4357.5624063169553</v>
      </c>
      <c r="R127" s="87">
        <f>IF(R36=0,0,1000000*R36/TrRoad_act!R76)</f>
        <v>4216.7236900216367</v>
      </c>
      <c r="S127" s="87">
        <f>IF(S36=0,0,1000000*S36/TrRoad_act!S76)</f>
        <v>4319.3375123244632</v>
      </c>
      <c r="T127" s="87">
        <f>IF(T36=0,0,1000000*T36/TrRoad_act!T76)</f>
        <v>4344.1886156754863</v>
      </c>
      <c r="U127" s="87">
        <f>IF(U36=0,0,1000000*U36/TrRoad_act!U76)</f>
        <v>4312.6607668668166</v>
      </c>
      <c r="V127" s="87">
        <f>IF(V36=0,0,1000000*V36/TrRoad_act!V76)</f>
        <v>4030.7814945846721</v>
      </c>
      <c r="W127" s="87">
        <f>IF(W36=0,0,1000000*W36/TrRoad_act!W76)</f>
        <v>4258.5449822068749</v>
      </c>
      <c r="X127" s="87">
        <f>IF(X36=0,0,1000000*X36/TrRoad_act!X76)</f>
        <v>4426.3113820359358</v>
      </c>
      <c r="Y127" s="87">
        <f>IF(Y36=0,0,1000000*Y36/TrRoad_act!Y76)</f>
        <v>4182.7787808941448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2334.5975290406845</v>
      </c>
      <c r="D128" s="87">
        <f>IF(D37=0,0,1000000*D37/TrRoad_act!D77)</f>
        <v>2333.7599290472358</v>
      </c>
      <c r="E128" s="87">
        <f>IF(E37=0,0,1000000*E37/TrRoad_act!E77)</f>
        <v>2332.83369765205</v>
      </c>
      <c r="F128" s="87">
        <f>IF(F37=0,0,1000000*F37/TrRoad_act!F77)</f>
        <v>2331.8181087030484</v>
      </c>
      <c r="G128" s="87">
        <f>IF(G37=0,0,1000000*G37/TrRoad_act!G77)</f>
        <v>2342.2745195995681</v>
      </c>
      <c r="H128" s="87">
        <f>IF(H37=0,0,1000000*H37/TrRoad_act!H77)</f>
        <v>2364.971023346598</v>
      </c>
      <c r="I128" s="87">
        <f>IF(I37=0,0,1000000*I37/TrRoad_act!I77)</f>
        <v>2387.9886658753107</v>
      </c>
      <c r="J128" s="87">
        <f>IF(J37=0,0,1000000*J37/TrRoad_act!J77)</f>
        <v>2411.3039757274851</v>
      </c>
      <c r="K128" s="87">
        <f>IF(K37=0,0,1000000*K37/TrRoad_act!K77)</f>
        <v>2434.4726276382062</v>
      </c>
      <c r="L128" s="87">
        <f>IF(L37=0,0,1000000*L37/TrRoad_act!L77)</f>
        <v>2457.8444801450196</v>
      </c>
      <c r="M128" s="87">
        <f>IF(M37=0,0,1000000*M37/TrRoad_act!M77)</f>
        <v>2481.4124542140744</v>
      </c>
      <c r="N128" s="87">
        <f>IF(N37=0,0,1000000*N37/TrRoad_act!N77)</f>
        <v>2502.9013576286238</v>
      </c>
      <c r="O128" s="87">
        <f>IF(O37=0,0,1000000*O37/TrRoad_act!O77)</f>
        <v>2526.7040522527891</v>
      </c>
      <c r="P128" s="87">
        <f>IF(P37=0,0,1000000*P37/TrRoad_act!P77)</f>
        <v>2550.7165531138994</v>
      </c>
      <c r="Q128" s="87">
        <f>IF(Q37=0,0,1000000*Q37/TrRoad_act!Q77)</f>
        <v>2542.1896448892926</v>
      </c>
      <c r="R128" s="87">
        <f>IF(R37=0,0,1000000*R37/TrRoad_act!R77)</f>
        <v>2511.8227290828031</v>
      </c>
      <c r="S128" s="87">
        <f>IF(S37=0,0,1000000*S37/TrRoad_act!S77)</f>
        <v>2479.0041359576458</v>
      </c>
      <c r="T128" s="87">
        <f>IF(T37=0,0,1000000*T37/TrRoad_act!T77)</f>
        <v>2445.745364923278</v>
      </c>
      <c r="U128" s="87">
        <f>IF(U37=0,0,1000000*U37/TrRoad_act!U77)</f>
        <v>2405.9767329049168</v>
      </c>
      <c r="V128" s="87">
        <f>IF(V37=0,0,1000000*V37/TrRoad_act!V77)</f>
        <v>2243.3528588226986</v>
      </c>
      <c r="W128" s="87">
        <f>IF(W37=0,0,1000000*W37/TrRoad_act!W77)</f>
        <v>2133.628909114469</v>
      </c>
      <c r="X128" s="87">
        <f>IF(X37=0,0,1000000*X37/TrRoad_act!X77)</f>
        <v>2446.3318016290755</v>
      </c>
      <c r="Y128" s="87">
        <f>IF(Y37=0,0,1000000*Y37/TrRoad_act!Y77)</f>
        <v>2478.5174298522857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2555.8196759674406</v>
      </c>
      <c r="C129" s="87">
        <f>IF(C38=0,0,1000000*C38/TrRoad_act!C78)</f>
        <v>2433.1639917260463</v>
      </c>
      <c r="D129" s="87">
        <f>IF(D38=0,0,1000000*D38/TrRoad_act!D78)</f>
        <v>2432.2910283487713</v>
      </c>
      <c r="E129" s="87">
        <f>IF(E38=0,0,1000000*E38/TrRoad_act!E78)</f>
        <v>2431.3256915612792</v>
      </c>
      <c r="F129" s="87">
        <f>IF(F38=0,0,1000000*F38/TrRoad_act!F78)</f>
        <v>2430.2672245534245</v>
      </c>
      <c r="G129" s="87">
        <f>IF(G38=0,0,1000000*G38/TrRoad_act!G78)</f>
        <v>2429.336730935594</v>
      </c>
      <c r="H129" s="87">
        <f>IF(H38=0,0,1000000*H38/TrRoad_act!H78)</f>
        <v>2428.3480938180014</v>
      </c>
      <c r="I129" s="87">
        <f>IF(I38=0,0,1000000*I38/TrRoad_act!I78)</f>
        <v>2427.4627430594023</v>
      </c>
      <c r="J129" s="87">
        <f>IF(J38=0,0,1000000*J38/TrRoad_act!J78)</f>
        <v>2426.6518264703382</v>
      </c>
      <c r="K129" s="87">
        <f>IF(K38=0,0,1000000*K38/TrRoad_act!K78)</f>
        <v>2425.4682664396555</v>
      </c>
      <c r="L129" s="87">
        <f>IF(L38=0,0,1000000*L38/TrRoad_act!L78)</f>
        <v>2424.2661369566836</v>
      </c>
      <c r="M129" s="87">
        <f>IF(M38=0,0,1000000*M38/TrRoad_act!M78)</f>
        <v>2423.037011022207</v>
      </c>
      <c r="N129" s="87">
        <f>IF(N38=0,0,1000000*N38/TrRoad_act!N78)</f>
        <v>1775.1563209871797</v>
      </c>
      <c r="O129" s="87">
        <f>IF(O38=0,0,1000000*O38/TrRoad_act!O78)</f>
        <v>1761.7712812621758</v>
      </c>
      <c r="P129" s="87">
        <f>IF(P38=0,0,1000000*P38/TrRoad_act!P78)</f>
        <v>1732.88597646537</v>
      </c>
      <c r="Q129" s="87">
        <f>IF(Q38=0,0,1000000*Q38/TrRoad_act!Q78)</f>
        <v>2123.7788900043079</v>
      </c>
      <c r="R129" s="87">
        <f>IF(R38=0,0,1000000*R38/TrRoad_act!R78)</f>
        <v>2148.9403073168078</v>
      </c>
      <c r="S129" s="87">
        <f>IF(S38=0,0,1000000*S38/TrRoad_act!S78)</f>
        <v>2119.1635157841092</v>
      </c>
      <c r="T129" s="87">
        <f>IF(T38=0,0,1000000*T38/TrRoad_act!T78)</f>
        <v>2166.5958818131776</v>
      </c>
      <c r="U129" s="87">
        <f>IF(U38=0,0,1000000*U38/TrRoad_act!U78)</f>
        <v>2154.2796293690772</v>
      </c>
      <c r="V129" s="87">
        <f>IF(V38=0,0,1000000*V38/TrRoad_act!V78)</f>
        <v>2121.7496774514998</v>
      </c>
      <c r="W129" s="87">
        <f>IF(W38=0,0,1000000*W38/TrRoad_act!W78)</f>
        <v>2139.3934641084679</v>
      </c>
      <c r="X129" s="87">
        <f>IF(X38=0,0,1000000*X38/TrRoad_act!X78)</f>
        <v>2139.589046997482</v>
      </c>
      <c r="Y129" s="87">
        <f>IF(Y38=0,0,1000000*Y38/TrRoad_act!Y78)</f>
        <v>2170.2733509790751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15175.94118070261</v>
      </c>
      <c r="C131" s="116">
        <f>IF(C40=0,0,1000000*C40/TrRoad_act!C80)</f>
        <v>15795.870210478297</v>
      </c>
      <c r="D131" s="116">
        <f>IF(D40=0,0,1000000*D40/TrRoad_act!D80)</f>
        <v>16939.016650113361</v>
      </c>
      <c r="E131" s="116">
        <f>IF(E40=0,0,1000000*E40/TrRoad_act!E80)</f>
        <v>17334.286722381465</v>
      </c>
      <c r="F131" s="116">
        <f>IF(F40=0,0,1000000*F40/TrRoad_act!F80)</f>
        <v>19381.744758674267</v>
      </c>
      <c r="G131" s="116">
        <f>IF(G40=0,0,1000000*G40/TrRoad_act!G80)</f>
        <v>24087.790918960221</v>
      </c>
      <c r="H131" s="116">
        <f>IF(H40=0,0,1000000*H40/TrRoad_act!H80)</f>
        <v>24295.602096182582</v>
      </c>
      <c r="I131" s="116">
        <f>IF(I40=0,0,1000000*I40/TrRoad_act!I80)</f>
        <v>24035.931555572493</v>
      </c>
      <c r="J131" s="116">
        <f>IF(J40=0,0,1000000*J40/TrRoad_act!J80)</f>
        <v>26279.849522329292</v>
      </c>
      <c r="K131" s="116">
        <f>IF(K40=0,0,1000000*K40/TrRoad_act!K80)</f>
        <v>38120.942093012636</v>
      </c>
      <c r="L131" s="116">
        <f>IF(L40=0,0,1000000*L40/TrRoad_act!L80)</f>
        <v>22264.041893972859</v>
      </c>
      <c r="M131" s="116">
        <f>IF(M40=0,0,1000000*M40/TrRoad_act!M80)</f>
        <v>21848.023512354925</v>
      </c>
      <c r="N131" s="116">
        <f>IF(N40=0,0,1000000*N40/TrRoad_act!N80)</f>
        <v>20825.874810888654</v>
      </c>
      <c r="O131" s="116">
        <f>IF(O40=0,0,1000000*O40/TrRoad_act!O80)</f>
        <v>19643.476940213452</v>
      </c>
      <c r="P131" s="116">
        <f>IF(P40=0,0,1000000*P40/TrRoad_act!P80)</f>
        <v>25426.498368136865</v>
      </c>
      <c r="Q131" s="116">
        <f>IF(Q40=0,0,1000000*Q40/TrRoad_act!Q80)</f>
        <v>29433.687456477419</v>
      </c>
      <c r="R131" s="116">
        <f>IF(R40=0,0,1000000*R40/TrRoad_act!R80)</f>
        <v>27252.047710493553</v>
      </c>
      <c r="S131" s="116">
        <f>IF(S40=0,0,1000000*S40/TrRoad_act!S80)</f>
        <v>27160.074233123611</v>
      </c>
      <c r="T131" s="116">
        <f>IF(T40=0,0,1000000*T40/TrRoad_act!T80)</f>
        <v>26626.609168903306</v>
      </c>
      <c r="U131" s="116">
        <f>IF(U40=0,0,1000000*U40/TrRoad_act!U80)</f>
        <v>25004.799090464883</v>
      </c>
      <c r="V131" s="116">
        <f>IF(V40=0,0,1000000*V40/TrRoad_act!V80)</f>
        <v>17561.450008190866</v>
      </c>
      <c r="W131" s="116">
        <f>IF(W40=0,0,1000000*W40/TrRoad_act!W80)</f>
        <v>21903.530864433425</v>
      </c>
      <c r="X131" s="116">
        <f>IF(X40=0,0,1000000*X40/TrRoad_act!X80)</f>
        <v>23750.344367917933</v>
      </c>
      <c r="Y131" s="116">
        <f>IF(Y40=0,0,1000000*Y40/TrRoad_act!Y80)</f>
        <v>16813.21731179153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10218.978673650876</v>
      </c>
      <c r="C132" s="101">
        <f>IF(C41=0,0,1000000*C41/TrRoad_act!C81)</f>
        <v>10064.738056470198</v>
      </c>
      <c r="D132" s="101">
        <f>IF(D41=0,0,1000000*D41/TrRoad_act!D81)</f>
        <v>9798.4965779861395</v>
      </c>
      <c r="E132" s="101">
        <f>IF(E41=0,0,1000000*E41/TrRoad_act!E81)</f>
        <v>9668.3270345070396</v>
      </c>
      <c r="F132" s="101">
        <f>IF(F41=0,0,1000000*F41/TrRoad_act!F81)</f>
        <v>10398.7967837425</v>
      </c>
      <c r="G132" s="101">
        <f>IF(G41=0,0,1000000*G41/TrRoad_act!G81)</f>
        <v>13905.927990678909</v>
      </c>
      <c r="H132" s="101">
        <f>IF(H41=0,0,1000000*H41/TrRoad_act!H81)</f>
        <v>13809.979325280798</v>
      </c>
      <c r="I132" s="101">
        <f>IF(I41=0,0,1000000*I41/TrRoad_act!I81)</f>
        <v>14183.707662592511</v>
      </c>
      <c r="J132" s="101">
        <f>IF(J41=0,0,1000000*J41/TrRoad_act!J81)</f>
        <v>14482.252714211574</v>
      </c>
      <c r="K132" s="101">
        <f>IF(K41=0,0,1000000*K41/TrRoad_act!K81)</f>
        <v>24443.78729551188</v>
      </c>
      <c r="L132" s="101">
        <f>IF(L41=0,0,1000000*L41/TrRoad_act!L81)</f>
        <v>12706.374285820146</v>
      </c>
      <c r="M132" s="101">
        <f>IF(M41=0,0,1000000*M41/TrRoad_act!M81)</f>
        <v>13039.956192795791</v>
      </c>
      <c r="N132" s="101">
        <f>IF(N41=0,0,1000000*N41/TrRoad_act!N81)</f>
        <v>12373.487722418151</v>
      </c>
      <c r="O132" s="101">
        <f>IF(O41=0,0,1000000*O41/TrRoad_act!O81)</f>
        <v>13348.247909112488</v>
      </c>
      <c r="P132" s="101">
        <f>IF(P41=0,0,1000000*P41/TrRoad_act!P81)</f>
        <v>14618.363666193363</v>
      </c>
      <c r="Q132" s="101">
        <f>IF(Q41=0,0,1000000*Q41/TrRoad_act!Q81)</f>
        <v>15726.423579749453</v>
      </c>
      <c r="R132" s="101">
        <f>IF(R41=0,0,1000000*R41/TrRoad_act!R81)</f>
        <v>15447.506208451046</v>
      </c>
      <c r="S132" s="101">
        <f>IF(S41=0,0,1000000*S41/TrRoad_act!S81)</f>
        <v>14458.265288821112</v>
      </c>
      <c r="T132" s="101">
        <f>IF(T41=0,0,1000000*T41/TrRoad_act!T81)</f>
        <v>14479.540453165821</v>
      </c>
      <c r="U132" s="101">
        <f>IF(U41=0,0,1000000*U41/TrRoad_act!U81)</f>
        <v>13865.692155106592</v>
      </c>
      <c r="V132" s="101">
        <f>IF(V41=0,0,1000000*V41/TrRoad_act!V81)</f>
        <v>11361.704305683488</v>
      </c>
      <c r="W132" s="101">
        <f>IF(W41=0,0,1000000*W41/TrRoad_act!W81)</f>
        <v>13164.223126823181</v>
      </c>
      <c r="X132" s="101">
        <f>IF(X41=0,0,1000000*X41/TrRoad_act!X81)</f>
        <v>12649.358320869784</v>
      </c>
      <c r="Y132" s="101">
        <f>IF(Y41=0,0,1000000*Y41/TrRoad_act!Y81)</f>
        <v>10405.023111661645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109823.06429896739</v>
      </c>
      <c r="C133" s="88">
        <f>IF(C42=0,0,1000000*C42/TrRoad_act!C82)</f>
        <v>121491.89108696798</v>
      </c>
      <c r="D133" s="88">
        <f>IF(D42=0,0,1000000*D42/TrRoad_act!D82)</f>
        <v>146221.3567996216</v>
      </c>
      <c r="E133" s="88">
        <f>IF(E42=0,0,1000000*E42/TrRoad_act!E82)</f>
        <v>156373.63018451765</v>
      </c>
      <c r="F133" s="88">
        <f>IF(F42=0,0,1000000*F42/TrRoad_act!F82)</f>
        <v>155097.01092875059</v>
      </c>
      <c r="G133" s="88">
        <f>IF(G42=0,0,1000000*G42/TrRoad_act!G82)</f>
        <v>176690.25413807787</v>
      </c>
      <c r="H133" s="88">
        <f>IF(H42=0,0,1000000*H42/TrRoad_act!H82)</f>
        <v>181488.65356472071</v>
      </c>
      <c r="I133" s="88">
        <f>IF(I42=0,0,1000000*I42/TrRoad_act!I82)</f>
        <v>156838.18657623671</v>
      </c>
      <c r="J133" s="88">
        <f>IF(J42=0,0,1000000*J42/TrRoad_act!J82)</f>
        <v>155081.94034674999</v>
      </c>
      <c r="K133" s="88">
        <f>IF(K42=0,0,1000000*K42/TrRoad_act!K82)</f>
        <v>162775.29991408979</v>
      </c>
      <c r="L133" s="88">
        <f>IF(L42=0,0,1000000*L42/TrRoad_act!L82)</f>
        <v>168685.61590013214</v>
      </c>
      <c r="M133" s="88">
        <f>IF(M42=0,0,1000000*M42/TrRoad_act!M82)</f>
        <v>131112.03335166886</v>
      </c>
      <c r="N133" s="88">
        <f>IF(N42=0,0,1000000*N42/TrRoad_act!N82)</f>
        <v>112401.53349741775</v>
      </c>
      <c r="O133" s="88">
        <f>IF(O42=0,0,1000000*O42/TrRoad_act!O82)</f>
        <v>76846.15733823218</v>
      </c>
      <c r="P133" s="88">
        <f>IF(P42=0,0,1000000*P42/TrRoad_act!P82)</f>
        <v>124463.08783615634</v>
      </c>
      <c r="Q133" s="88">
        <f>IF(Q42=0,0,1000000*Q42/TrRoad_act!Q82)</f>
        <v>150066.77273805509</v>
      </c>
      <c r="R133" s="88">
        <f>IF(R42=0,0,1000000*R42/TrRoad_act!R82)</f>
        <v>125625.4449591007</v>
      </c>
      <c r="S133" s="88">
        <f>IF(S42=0,0,1000000*S42/TrRoad_act!S82)</f>
        <v>130825.54609866324</v>
      </c>
      <c r="T133" s="88">
        <f>IF(T42=0,0,1000000*T42/TrRoad_act!T82)</f>
        <v>134893.59831674656</v>
      </c>
      <c r="U133" s="88">
        <f>IF(U42=0,0,1000000*U42/TrRoad_act!U82)</f>
        <v>126503.12116912541</v>
      </c>
      <c r="V133" s="88">
        <f>IF(V42=0,0,1000000*V42/TrRoad_act!V82)</f>
        <v>80329.499984467315</v>
      </c>
      <c r="W133" s="88">
        <f>IF(W42=0,0,1000000*W42/TrRoad_act!W82)</f>
        <v>104457.94276423391</v>
      </c>
      <c r="X133" s="88">
        <f>IF(X42=0,0,1000000*X42/TrRoad_act!X82)</f>
        <v>125970.11795945116</v>
      </c>
      <c r="Y133" s="88">
        <f>IF(Y42=0,0,1000000*Y42/TrRoad_act!Y82)</f>
        <v>79704.618532772874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0.65400841029078671</v>
      </c>
      <c r="C136" s="46">
        <f t="shared" si="40"/>
        <v>0.65084602097152977</v>
      </c>
      <c r="D136" s="46">
        <f t="shared" si="40"/>
        <v>0.63961111885639366</v>
      </c>
      <c r="E136" s="46">
        <f t="shared" si="40"/>
        <v>0.63941413711981598</v>
      </c>
      <c r="F136" s="46">
        <f t="shared" si="40"/>
        <v>0.62903752763048193</v>
      </c>
      <c r="G136" s="46">
        <f t="shared" si="40"/>
        <v>0.58575377706828979</v>
      </c>
      <c r="H136" s="46">
        <f t="shared" si="40"/>
        <v>0.58675572969309808</v>
      </c>
      <c r="I136" s="46">
        <f t="shared" si="40"/>
        <v>0.59758655748948242</v>
      </c>
      <c r="J136" s="46">
        <f t="shared" si="40"/>
        <v>0.58916070401707576</v>
      </c>
      <c r="K136" s="46">
        <f t="shared" si="40"/>
        <v>0.60217747173886305</v>
      </c>
      <c r="L136" s="46">
        <f t="shared" si="41"/>
        <v>0.61201123134903646</v>
      </c>
      <c r="M136" s="46">
        <f t="shared" si="40"/>
        <v>0.62200601004160005</v>
      </c>
      <c r="N136" s="46">
        <f t="shared" si="40"/>
        <v>0.64680452969968438</v>
      </c>
      <c r="O136" s="46">
        <f t="shared" si="40"/>
        <v>0.6657050796961318</v>
      </c>
      <c r="P136" s="46">
        <f t="shared" si="40"/>
        <v>0.62990076226118996</v>
      </c>
      <c r="Q136" s="46">
        <f t="shared" si="40"/>
        <v>0.61391542920509679</v>
      </c>
      <c r="R136" s="46">
        <f t="shared" si="40"/>
        <v>0.62915391580705393</v>
      </c>
      <c r="S136" s="46">
        <f t="shared" si="40"/>
        <v>0.62539900838827178</v>
      </c>
      <c r="T136" s="46">
        <f t="shared" si="40"/>
        <v>0.62589407837494904</v>
      </c>
      <c r="U136" s="46">
        <f t="shared" si="40"/>
        <v>0.64457627083045077</v>
      </c>
      <c r="V136" s="46">
        <f t="shared" si="40"/>
        <v>0.65831794069911476</v>
      </c>
      <c r="W136" s="46">
        <f t="shared" si="42"/>
        <v>0.6325728773635062</v>
      </c>
      <c r="X136" s="46">
        <f t="shared" si="42"/>
        <v>0.6272290841093584</v>
      </c>
      <c r="Y136" s="46">
        <f t="shared" si="42"/>
        <v>0.66325721180306851</v>
      </c>
      <c r="DA136" s="211"/>
    </row>
    <row r="137" spans="1:105" ht="11.45" customHeight="1" x14ac:dyDescent="0.25">
      <c r="A137" s="153" t="s">
        <v>173</v>
      </c>
      <c r="B137" s="154">
        <f t="shared" si="40"/>
        <v>3.9535779625794621E-3</v>
      </c>
      <c r="C137" s="154">
        <f t="shared" si="40"/>
        <v>3.8067250320286631E-3</v>
      </c>
      <c r="D137" s="154">
        <f t="shared" si="40"/>
        <v>3.7046731367869398E-3</v>
      </c>
      <c r="E137" s="154">
        <f t="shared" si="40"/>
        <v>3.7185910810974879E-3</v>
      </c>
      <c r="F137" s="154">
        <f t="shared" si="40"/>
        <v>3.842283883056703E-3</v>
      </c>
      <c r="G137" s="154">
        <f t="shared" si="40"/>
        <v>3.7560868331949727E-3</v>
      </c>
      <c r="H137" s="154">
        <f t="shared" si="40"/>
        <v>3.6656361632337836E-3</v>
      </c>
      <c r="I137" s="154">
        <f t="shared" si="40"/>
        <v>3.6897627022373838E-3</v>
      </c>
      <c r="J137" s="154">
        <f t="shared" si="40"/>
        <v>3.7739678551005308E-3</v>
      </c>
      <c r="K137" s="154">
        <f t="shared" si="40"/>
        <v>3.7690728616407393E-3</v>
      </c>
      <c r="L137" s="154">
        <f t="shared" si="41"/>
        <v>4.0944339253181309E-3</v>
      </c>
      <c r="M137" s="154">
        <f t="shared" si="40"/>
        <v>4.5417693617121647E-3</v>
      </c>
      <c r="N137" s="154">
        <f t="shared" si="40"/>
        <v>4.7860303882831306E-3</v>
      </c>
      <c r="O137" s="154">
        <f t="shared" si="40"/>
        <v>5.3499651733292007E-3</v>
      </c>
      <c r="P137" s="154">
        <f t="shared" si="40"/>
        <v>4.7742262954923965E-3</v>
      </c>
      <c r="Q137" s="154">
        <f t="shared" si="40"/>
        <v>4.384834002780405E-3</v>
      </c>
      <c r="R137" s="154">
        <f t="shared" si="40"/>
        <v>4.2474495722318777E-3</v>
      </c>
      <c r="S137" s="154">
        <f t="shared" si="40"/>
        <v>4.187791761721316E-3</v>
      </c>
      <c r="T137" s="154">
        <f t="shared" si="40"/>
        <v>4.118263968120651E-3</v>
      </c>
      <c r="U137" s="154">
        <f t="shared" si="40"/>
        <v>3.9716644275440268E-3</v>
      </c>
      <c r="V137" s="154">
        <f t="shared" si="40"/>
        <v>4.1016007615666669E-3</v>
      </c>
      <c r="W137" s="154">
        <f t="shared" si="42"/>
        <v>3.7315107250077014E-3</v>
      </c>
      <c r="X137" s="154">
        <f t="shared" si="42"/>
        <v>3.5626156756004379E-3</v>
      </c>
      <c r="Y137" s="154">
        <f t="shared" si="42"/>
        <v>3.8441059245977733E-3</v>
      </c>
      <c r="DA137" s="212"/>
    </row>
    <row r="138" spans="1:105" ht="11.45" customHeight="1" x14ac:dyDescent="0.25">
      <c r="A138" s="155" t="s">
        <v>20</v>
      </c>
      <c r="B138" s="156">
        <f t="shared" si="40"/>
        <v>0.51458635898152383</v>
      </c>
      <c r="C138" s="156">
        <f t="shared" si="40"/>
        <v>0.51834779787020557</v>
      </c>
      <c r="D138" s="156">
        <f t="shared" si="40"/>
        <v>0.51136905761243512</v>
      </c>
      <c r="E138" s="156">
        <f t="shared" si="40"/>
        <v>0.5164091007907684</v>
      </c>
      <c r="F138" s="156">
        <f t="shared" si="40"/>
        <v>0.51571308787184245</v>
      </c>
      <c r="G138" s="156">
        <f t="shared" si="40"/>
        <v>0.47792885089263287</v>
      </c>
      <c r="H138" s="156">
        <f t="shared" si="40"/>
        <v>0.47781189274641594</v>
      </c>
      <c r="I138" s="156">
        <f t="shared" si="40"/>
        <v>0.49160327168883855</v>
      </c>
      <c r="J138" s="156">
        <f t="shared" si="40"/>
        <v>0.49350919058365089</v>
      </c>
      <c r="K138" s="156">
        <f t="shared" si="40"/>
        <v>0.50954164476726471</v>
      </c>
      <c r="L138" s="156">
        <f t="shared" si="41"/>
        <v>0.50859418791452238</v>
      </c>
      <c r="M138" s="156">
        <f t="shared" si="40"/>
        <v>0.51674578097024004</v>
      </c>
      <c r="N138" s="156">
        <f t="shared" si="40"/>
        <v>0.54025945699783284</v>
      </c>
      <c r="O138" s="156">
        <f t="shared" si="40"/>
        <v>0.55621772805805014</v>
      </c>
      <c r="P138" s="156">
        <f t="shared" si="40"/>
        <v>0.52221793873952982</v>
      </c>
      <c r="Q138" s="156">
        <f t="shared" si="40"/>
        <v>0.51104153684748999</v>
      </c>
      <c r="R138" s="156">
        <f t="shared" si="40"/>
        <v>0.52884013782179029</v>
      </c>
      <c r="S138" s="156">
        <f t="shared" si="40"/>
        <v>0.52526145857402518</v>
      </c>
      <c r="T138" s="156">
        <f t="shared" si="40"/>
        <v>0.52934097585245299</v>
      </c>
      <c r="U138" s="156">
        <f t="shared" si="40"/>
        <v>0.55291200098500393</v>
      </c>
      <c r="V138" s="156">
        <f t="shared" si="40"/>
        <v>0.57368557071432402</v>
      </c>
      <c r="W138" s="156">
        <f t="shared" si="42"/>
        <v>0.55022121735820195</v>
      </c>
      <c r="X138" s="156">
        <f t="shared" si="42"/>
        <v>0.54742409398433567</v>
      </c>
      <c r="Y138" s="156">
        <f t="shared" si="42"/>
        <v>0.58339556837680406</v>
      </c>
      <c r="DA138" s="213"/>
    </row>
    <row r="139" spans="1:105" ht="11.45" customHeight="1" x14ac:dyDescent="0.25">
      <c r="A139" s="157" t="s">
        <v>110</v>
      </c>
      <c r="B139" s="103">
        <f t="shared" si="40"/>
        <v>0.43508626607306827</v>
      </c>
      <c r="C139" s="103">
        <f t="shared" si="40"/>
        <v>0.43311989542312623</v>
      </c>
      <c r="D139" s="103">
        <f t="shared" si="40"/>
        <v>0.41909593066157824</v>
      </c>
      <c r="E139" s="103">
        <f t="shared" si="40"/>
        <v>0.40274979109901493</v>
      </c>
      <c r="F139" s="103">
        <f t="shared" si="40"/>
        <v>0.39039199063551955</v>
      </c>
      <c r="G139" s="103">
        <f t="shared" si="40"/>
        <v>0.3710574391000051</v>
      </c>
      <c r="H139" s="103">
        <f t="shared" si="40"/>
        <v>0.35479855767910456</v>
      </c>
      <c r="I139" s="103">
        <f t="shared" si="40"/>
        <v>0.35630675939720163</v>
      </c>
      <c r="J139" s="103">
        <f t="shared" si="40"/>
        <v>0.35083171641797772</v>
      </c>
      <c r="K139" s="103">
        <f t="shared" si="40"/>
        <v>0.35415812191666923</v>
      </c>
      <c r="L139" s="103">
        <f t="shared" si="41"/>
        <v>0.33448712419657706</v>
      </c>
      <c r="M139" s="103">
        <f t="shared" si="40"/>
        <v>0.33349543875263121</v>
      </c>
      <c r="N139" s="103">
        <f t="shared" si="40"/>
        <v>0.3415862571100039</v>
      </c>
      <c r="O139" s="103">
        <f t="shared" si="40"/>
        <v>0.34575046584957009</v>
      </c>
      <c r="P139" s="103">
        <f t="shared" si="40"/>
        <v>0.33148585665521252</v>
      </c>
      <c r="Q139" s="103">
        <f t="shared" si="40"/>
        <v>0.31222961083551526</v>
      </c>
      <c r="R139" s="103">
        <f t="shared" si="40"/>
        <v>0.31376004971562782</v>
      </c>
      <c r="S139" s="103">
        <f t="shared" si="40"/>
        <v>0.30279246383425057</v>
      </c>
      <c r="T139" s="103">
        <f t="shared" si="40"/>
        <v>0.29782337478879634</v>
      </c>
      <c r="U139" s="103">
        <f t="shared" si="40"/>
        <v>0.30315432339333209</v>
      </c>
      <c r="V139" s="103">
        <f t="shared" si="40"/>
        <v>0.3066066231733921</v>
      </c>
      <c r="W139" s="103">
        <f t="shared" si="42"/>
        <v>0.29178715159117791</v>
      </c>
      <c r="X139" s="103">
        <f t="shared" si="42"/>
        <v>0.28639848267463636</v>
      </c>
      <c r="Y139" s="103">
        <f t="shared" si="42"/>
        <v>0.30162610319643846</v>
      </c>
      <c r="DA139" s="191"/>
    </row>
    <row r="140" spans="1:105" ht="11.45" customHeight="1" x14ac:dyDescent="0.25">
      <c r="A140" s="157" t="s">
        <v>111</v>
      </c>
      <c r="B140" s="103">
        <f t="shared" si="40"/>
        <v>7.9500092908455541E-2</v>
      </c>
      <c r="C140" s="103">
        <f t="shared" si="40"/>
        <v>8.462921795025713E-2</v>
      </c>
      <c r="D140" s="103">
        <f t="shared" si="40"/>
        <v>9.1709809607547974E-2</v>
      </c>
      <c r="E140" s="103">
        <f t="shared" si="40"/>
        <v>0.1023200074459153</v>
      </c>
      <c r="F140" s="103">
        <f t="shared" si="40"/>
        <v>0.11569717959309897</v>
      </c>
      <c r="G140" s="103">
        <f t="shared" si="40"/>
        <v>9.9543578473769503E-2</v>
      </c>
      <c r="H140" s="103">
        <f t="shared" si="40"/>
        <v>0.11593118074198683</v>
      </c>
      <c r="I140" s="103">
        <f t="shared" si="40"/>
        <v>0.12855613168555277</v>
      </c>
      <c r="J140" s="103">
        <f t="shared" si="40"/>
        <v>0.13635979493092509</v>
      </c>
      <c r="K140" s="103">
        <f t="shared" si="40"/>
        <v>0.149731597903526</v>
      </c>
      <c r="L140" s="103">
        <f t="shared" si="41"/>
        <v>0.16731601581209096</v>
      </c>
      <c r="M140" s="103">
        <f t="shared" si="40"/>
        <v>0.17534843141298154</v>
      </c>
      <c r="N140" s="103">
        <f t="shared" si="40"/>
        <v>0.19255413562295076</v>
      </c>
      <c r="O140" s="103">
        <f t="shared" si="40"/>
        <v>0.20135364404560885</v>
      </c>
      <c r="P140" s="103">
        <f t="shared" si="40"/>
        <v>0.18309017216907331</v>
      </c>
      <c r="Q140" s="103">
        <f t="shared" si="40"/>
        <v>0.19175848748736471</v>
      </c>
      <c r="R140" s="103">
        <f t="shared" si="40"/>
        <v>0.2087183225963114</v>
      </c>
      <c r="S140" s="103">
        <f t="shared" si="40"/>
        <v>0.21668091332334211</v>
      </c>
      <c r="T140" s="103">
        <f t="shared" si="40"/>
        <v>0.2266790695916821</v>
      </c>
      <c r="U140" s="103">
        <f t="shared" si="40"/>
        <v>0.24577359879078955</v>
      </c>
      <c r="V140" s="103">
        <f t="shared" si="40"/>
        <v>0.26359254765088058</v>
      </c>
      <c r="W140" s="103">
        <f t="shared" si="42"/>
        <v>0.25517398289521648</v>
      </c>
      <c r="X140" s="103">
        <f t="shared" si="42"/>
        <v>0.25781032383233998</v>
      </c>
      <c r="Y140" s="103">
        <f t="shared" si="42"/>
        <v>0.27803089167828365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5.9868449682224723E-4</v>
      </c>
      <c r="D141" s="103">
        <f t="shared" si="40"/>
        <v>5.6331734330887864E-4</v>
      </c>
      <c r="E141" s="103">
        <f t="shared" si="40"/>
        <v>1.1339302245838198E-2</v>
      </c>
      <c r="F141" s="103">
        <f t="shared" si="40"/>
        <v>9.6239176432240392E-3</v>
      </c>
      <c r="G141" s="103">
        <f t="shared" si="40"/>
        <v>7.327833318858226E-3</v>
      </c>
      <c r="H141" s="103">
        <f t="shared" si="40"/>
        <v>7.0821543253244638E-3</v>
      </c>
      <c r="I141" s="103">
        <f t="shared" si="40"/>
        <v>6.7403806060841497E-3</v>
      </c>
      <c r="J141" s="103">
        <f t="shared" si="40"/>
        <v>6.3176792347481008E-3</v>
      </c>
      <c r="K141" s="103">
        <f t="shared" si="40"/>
        <v>5.65192494706952E-3</v>
      </c>
      <c r="L141" s="103">
        <f t="shared" si="41"/>
        <v>6.7906609408468748E-3</v>
      </c>
      <c r="M141" s="103">
        <f t="shared" si="40"/>
        <v>7.9014317089151683E-3</v>
      </c>
      <c r="N141" s="103">
        <f t="shared" si="40"/>
        <v>6.1182039850428962E-3</v>
      </c>
      <c r="O141" s="103">
        <f t="shared" si="40"/>
        <v>9.0583719145695581E-3</v>
      </c>
      <c r="P141" s="103">
        <f t="shared" si="40"/>
        <v>7.5581572854085026E-3</v>
      </c>
      <c r="Q141" s="103">
        <f t="shared" si="40"/>
        <v>6.8823628174980583E-3</v>
      </c>
      <c r="R141" s="103">
        <f t="shared" si="40"/>
        <v>6.1658654087028393E-3</v>
      </c>
      <c r="S141" s="103">
        <f t="shared" si="40"/>
        <v>5.5749164421460629E-3</v>
      </c>
      <c r="T141" s="103">
        <f t="shared" si="40"/>
        <v>4.5936356231518543E-3</v>
      </c>
      <c r="U141" s="103">
        <f t="shared" si="40"/>
        <v>3.7097706297719258E-3</v>
      </c>
      <c r="V141" s="103">
        <f t="shared" si="40"/>
        <v>3.122989152949287E-3</v>
      </c>
      <c r="W141" s="103">
        <f t="shared" si="42"/>
        <v>2.799135765723723E-3</v>
      </c>
      <c r="X141" s="103">
        <f t="shared" si="42"/>
        <v>2.5805767242564519E-3</v>
      </c>
      <c r="Y141" s="103">
        <f t="shared" si="42"/>
        <v>2.9710146194039597E-3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3.8696500744490763E-7</v>
      </c>
      <c r="M142" s="103">
        <f t="shared" si="40"/>
        <v>4.7909571214233913E-7</v>
      </c>
      <c r="N142" s="103">
        <f t="shared" si="40"/>
        <v>3.2872733632690705E-7</v>
      </c>
      <c r="O142" s="103">
        <f t="shared" si="40"/>
        <v>5.4671339367934158E-5</v>
      </c>
      <c r="P142" s="103">
        <f t="shared" si="40"/>
        <v>8.2528066135670162E-5</v>
      </c>
      <c r="Q142" s="103">
        <f t="shared" si="40"/>
        <v>1.6853278082668734E-4</v>
      </c>
      <c r="R142" s="103">
        <f t="shared" si="40"/>
        <v>1.8590211165828732E-4</v>
      </c>
      <c r="S142" s="103">
        <f t="shared" si="40"/>
        <v>1.9413512463380226E-4</v>
      </c>
      <c r="T142" s="103">
        <f t="shared" si="40"/>
        <v>2.0090226362155453E-4</v>
      </c>
      <c r="U142" s="103">
        <f t="shared" si="40"/>
        <v>2.0393053326510881E-4</v>
      </c>
      <c r="V142" s="103">
        <f t="shared" si="40"/>
        <v>2.1448295734467613E-4</v>
      </c>
      <c r="W142" s="103">
        <f t="shared" si="42"/>
        <v>1.9574667599341465E-4</v>
      </c>
      <c r="X142" s="103">
        <f t="shared" si="42"/>
        <v>1.91564252781316E-4</v>
      </c>
      <c r="Y142" s="103">
        <f t="shared" si="42"/>
        <v>1.9922891301417289E-4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5.3155249895772986E-7</v>
      </c>
      <c r="O143" s="103">
        <f t="shared" si="40"/>
        <v>5.7490893381475284E-7</v>
      </c>
      <c r="P143" s="103">
        <f t="shared" si="40"/>
        <v>1.2245636998402516E-6</v>
      </c>
      <c r="Q143" s="103">
        <f t="shared" si="40"/>
        <v>2.5429262853616668E-6</v>
      </c>
      <c r="R143" s="103">
        <f t="shared" si="40"/>
        <v>9.997989489896892E-6</v>
      </c>
      <c r="S143" s="103">
        <f t="shared" si="40"/>
        <v>1.9029849652648203E-5</v>
      </c>
      <c r="T143" s="103">
        <f t="shared" si="40"/>
        <v>4.3993585201101875E-5</v>
      </c>
      <c r="U143" s="103">
        <f t="shared" si="40"/>
        <v>7.0377637845279192E-5</v>
      </c>
      <c r="V143" s="103">
        <f t="shared" si="40"/>
        <v>1.4892777975738234E-4</v>
      </c>
      <c r="W143" s="103">
        <f t="shared" si="42"/>
        <v>2.6520043009047278E-4</v>
      </c>
      <c r="X143" s="103">
        <f t="shared" si="42"/>
        <v>4.4314650032154998E-4</v>
      </c>
      <c r="Y143" s="103">
        <f t="shared" si="42"/>
        <v>5.6832996966384435E-4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0.13546847334668338</v>
      </c>
      <c r="C145" s="156">
        <f t="shared" si="40"/>
        <v>0.12869149806929558</v>
      </c>
      <c r="D145" s="156">
        <f t="shared" si="40"/>
        <v>0.12453738810717173</v>
      </c>
      <c r="E145" s="156">
        <f t="shared" si="40"/>
        <v>0.11928644524795007</v>
      </c>
      <c r="F145" s="156">
        <f t="shared" si="40"/>
        <v>0.10948215587558269</v>
      </c>
      <c r="G145" s="156">
        <f t="shared" si="40"/>
        <v>0.10406883934246193</v>
      </c>
      <c r="H145" s="156">
        <f t="shared" si="40"/>
        <v>0.10527820078344842</v>
      </c>
      <c r="I145" s="156">
        <f t="shared" si="40"/>
        <v>0.10229352309840652</v>
      </c>
      <c r="J145" s="156">
        <f t="shared" si="40"/>
        <v>9.1877545578324435E-2</v>
      </c>
      <c r="K145" s="156">
        <f t="shared" si="40"/>
        <v>8.8866754109957535E-2</v>
      </c>
      <c r="L145" s="156">
        <f t="shared" si="41"/>
        <v>9.9322609509195886E-2</v>
      </c>
      <c r="M145" s="156">
        <f t="shared" si="40"/>
        <v>0.1007184597096478</v>
      </c>
      <c r="N145" s="156">
        <f t="shared" si="40"/>
        <v>0.10175904231356847</v>
      </c>
      <c r="O145" s="156">
        <f t="shared" si="40"/>
        <v>0.10413738646475243</v>
      </c>
      <c r="P145" s="156">
        <f t="shared" si="40"/>
        <v>0.10290859722616776</v>
      </c>
      <c r="Q145" s="156">
        <f t="shared" si="40"/>
        <v>9.8489058354826395E-2</v>
      </c>
      <c r="R145" s="156">
        <f t="shared" si="40"/>
        <v>9.6066328413031796E-2</v>
      </c>
      <c r="S145" s="156">
        <f t="shared" si="40"/>
        <v>9.5949758052525286E-2</v>
      </c>
      <c r="T145" s="156">
        <f t="shared" si="40"/>
        <v>9.2434838554375329E-2</v>
      </c>
      <c r="U145" s="156">
        <f t="shared" si="40"/>
        <v>8.7692605417902761E-2</v>
      </c>
      <c r="V145" s="156">
        <f t="shared" si="40"/>
        <v>8.0530769223224108E-2</v>
      </c>
      <c r="W145" s="156">
        <f t="shared" si="42"/>
        <v>7.8620149280296606E-2</v>
      </c>
      <c r="X145" s="156">
        <f t="shared" si="42"/>
        <v>7.624237444942232E-2</v>
      </c>
      <c r="Y145" s="156">
        <f t="shared" si="42"/>
        <v>7.6017537501666649E-2</v>
      </c>
      <c r="DA145" s="213"/>
    </row>
    <row r="146" spans="1:105" ht="11.45" customHeight="1" x14ac:dyDescent="0.25">
      <c r="A146" s="157" t="s">
        <v>110</v>
      </c>
      <c r="B146" s="103">
        <f t="shared" si="40"/>
        <v>2.3073301537226798E-3</v>
      </c>
      <c r="C146" s="103">
        <f t="shared" si="40"/>
        <v>2.0034555824309836E-3</v>
      </c>
      <c r="D146" s="103">
        <f t="shared" si="40"/>
        <v>1.6978041222414832E-3</v>
      </c>
      <c r="E146" s="103">
        <f t="shared" si="40"/>
        <v>1.4484808534160143E-3</v>
      </c>
      <c r="F146" s="103">
        <f t="shared" si="40"/>
        <v>1.2119432862133623E-3</v>
      </c>
      <c r="G146" s="103">
        <f t="shared" si="40"/>
        <v>9.6312502680492179E-4</v>
      </c>
      <c r="H146" s="103">
        <f t="shared" si="40"/>
        <v>7.6489673992302979E-4</v>
      </c>
      <c r="I146" s="103">
        <f t="shared" si="40"/>
        <v>6.3634681069988101E-4</v>
      </c>
      <c r="J146" s="103">
        <f t="shared" si="40"/>
        <v>5.2976315786429536E-4</v>
      </c>
      <c r="K146" s="103">
        <f t="shared" si="40"/>
        <v>4.3224648676541455E-4</v>
      </c>
      <c r="L146" s="103">
        <f t="shared" si="41"/>
        <v>3.8138518699467586E-4</v>
      </c>
      <c r="M146" s="103">
        <f t="shared" si="40"/>
        <v>3.1922934659384382E-4</v>
      </c>
      <c r="N146" s="103">
        <f t="shared" si="40"/>
        <v>2.7431253452916006E-4</v>
      </c>
      <c r="O146" s="103">
        <f t="shared" si="40"/>
        <v>2.9955218330625317E-4</v>
      </c>
      <c r="P146" s="103">
        <f t="shared" si="40"/>
        <v>2.2846295089930011E-4</v>
      </c>
      <c r="Q146" s="103">
        <f t="shared" si="40"/>
        <v>1.6103957891740642E-4</v>
      </c>
      <c r="R146" s="103">
        <f t="shared" si="40"/>
        <v>1.0374749277895304E-4</v>
      </c>
      <c r="S146" s="103">
        <f t="shared" si="40"/>
        <v>8.3469988453987426E-5</v>
      </c>
      <c r="T146" s="103">
        <f t="shared" si="40"/>
        <v>7.540313812331557E-5</v>
      </c>
      <c r="U146" s="103">
        <f t="shared" si="40"/>
        <v>6.8504539265702751E-5</v>
      </c>
      <c r="V146" s="103">
        <f t="shared" si="40"/>
        <v>7.5713749678775708E-5</v>
      </c>
      <c r="W146" s="103">
        <f t="shared" si="42"/>
        <v>6.5537460226337406E-5</v>
      </c>
      <c r="X146" s="103">
        <f t="shared" si="42"/>
        <v>4.3167888769738885E-5</v>
      </c>
      <c r="Y146" s="103">
        <f t="shared" si="42"/>
        <v>3.3282847858005501E-5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0.13270904508825321</v>
      </c>
      <c r="C147" s="103">
        <f t="shared" si="40"/>
        <v>0.12621564772336427</v>
      </c>
      <c r="D147" s="103">
        <f t="shared" si="40"/>
        <v>0.12238168787197035</v>
      </c>
      <c r="E147" s="103">
        <f t="shared" si="40"/>
        <v>0.11738040065249718</v>
      </c>
      <c r="F147" s="103">
        <f t="shared" si="40"/>
        <v>0.10784395700575231</v>
      </c>
      <c r="G147" s="103">
        <f t="shared" si="40"/>
        <v>0.10257081653860092</v>
      </c>
      <c r="H147" s="103">
        <f t="shared" si="40"/>
        <v>0.10398948283185737</v>
      </c>
      <c r="I147" s="103">
        <f t="shared" si="40"/>
        <v>0.10126868844806679</v>
      </c>
      <c r="J147" s="103">
        <f t="shared" si="40"/>
        <v>9.1056518533873421E-2</v>
      </c>
      <c r="K147" s="103">
        <f t="shared" si="40"/>
        <v>8.817353005412476E-2</v>
      </c>
      <c r="L147" s="103">
        <f t="shared" si="41"/>
        <v>9.8750425173867507E-2</v>
      </c>
      <c r="M147" s="103">
        <f t="shared" si="40"/>
        <v>0.10020775050071998</v>
      </c>
      <c r="N147" s="103">
        <f t="shared" si="40"/>
        <v>0.10122719820888448</v>
      </c>
      <c r="O147" s="103">
        <f t="shared" si="40"/>
        <v>0.10363503086145429</v>
      </c>
      <c r="P147" s="103">
        <f t="shared" si="40"/>
        <v>0.10245669796746426</v>
      </c>
      <c r="Q147" s="103">
        <f t="shared" si="40"/>
        <v>9.7715448092347806E-2</v>
      </c>
      <c r="R147" s="103">
        <f t="shared" ref="R147:V147" si="43">IF(R29=0,0,R29/R$17)</f>
        <v>9.4613496160611057E-2</v>
      </c>
      <c r="S147" s="103">
        <f t="shared" si="43"/>
        <v>9.4502877465941493E-2</v>
      </c>
      <c r="T147" s="103">
        <f t="shared" si="43"/>
        <v>9.094794170746491E-2</v>
      </c>
      <c r="U147" s="103">
        <f t="shared" si="43"/>
        <v>8.6379296564609923E-2</v>
      </c>
      <c r="V147" s="103">
        <f t="shared" si="43"/>
        <v>7.9230747884343214E-2</v>
      </c>
      <c r="W147" s="103">
        <f t="shared" ref="W147:Y147" si="44">IF(W29=0,0,W29/W$17)</f>
        <v>7.7581792164836558E-2</v>
      </c>
      <c r="X147" s="103">
        <f t="shared" si="44"/>
        <v>7.5257954549518918E-2</v>
      </c>
      <c r="Y147" s="103">
        <f t="shared" si="44"/>
        <v>7.4666381112714703E-2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2.5917158322092294E-6</v>
      </c>
      <c r="Q148" s="103">
        <f t="shared" si="47"/>
        <v>2.3838933314842096E-6</v>
      </c>
      <c r="R148" s="103">
        <f t="shared" si="47"/>
        <v>4.6981299510287397E-6</v>
      </c>
      <c r="S148" s="103">
        <f t="shared" si="47"/>
        <v>4.473415564028326E-6</v>
      </c>
      <c r="T148" s="103">
        <f t="shared" si="47"/>
        <v>4.1140292873720448E-6</v>
      </c>
      <c r="U148" s="103">
        <f t="shared" si="47"/>
        <v>3.7560061148080123E-6</v>
      </c>
      <c r="V148" s="103">
        <f t="shared" si="47"/>
        <v>4.2272513086574392E-6</v>
      </c>
      <c r="W148" s="103">
        <f t="shared" ref="W148:Y148" si="48">IF(W30=0,0,W30/W$17)</f>
        <v>3.7330443082834654E-6</v>
      </c>
      <c r="X148" s="103">
        <f t="shared" si="48"/>
        <v>3.5311779200060395E-6</v>
      </c>
      <c r="Y148" s="103">
        <f t="shared" si="48"/>
        <v>3.7873590570593228E-6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4.5209810470749138E-4</v>
      </c>
      <c r="C149" s="103">
        <f t="shared" si="49"/>
        <v>4.7239476350031652E-4</v>
      </c>
      <c r="D149" s="103">
        <f t="shared" si="49"/>
        <v>4.5789611295989768E-4</v>
      </c>
      <c r="E149" s="103">
        <f t="shared" si="49"/>
        <v>4.5756374203687853E-4</v>
      </c>
      <c r="F149" s="103">
        <f t="shared" si="49"/>
        <v>4.2625558361702944E-4</v>
      </c>
      <c r="G149" s="103">
        <f t="shared" si="49"/>
        <v>5.3489777705608148E-4</v>
      </c>
      <c r="H149" s="103">
        <f t="shared" si="49"/>
        <v>5.2382121166802138E-4</v>
      </c>
      <c r="I149" s="103">
        <f t="shared" si="49"/>
        <v>3.8848783963984726E-4</v>
      </c>
      <c r="J149" s="103">
        <f t="shared" si="49"/>
        <v>2.9126388658672352E-4</v>
      </c>
      <c r="K149" s="103">
        <f t="shared" si="49"/>
        <v>2.609775690673486E-4</v>
      </c>
      <c r="L149" s="103">
        <f t="shared" si="46"/>
        <v>1.9079914833370097E-4</v>
      </c>
      <c r="M149" s="103">
        <f t="shared" ref="M149:V149" si="50">IF(M31=0,0,M31/M$17)</f>
        <v>1.9147986233396589E-4</v>
      </c>
      <c r="N149" s="103">
        <f t="shared" si="50"/>
        <v>2.5753157015482475E-4</v>
      </c>
      <c r="O149" s="103">
        <f t="shared" si="50"/>
        <v>2.0280341999188634E-4</v>
      </c>
      <c r="P149" s="103">
        <f t="shared" si="50"/>
        <v>2.2084459197195484E-4</v>
      </c>
      <c r="Q149" s="103">
        <f t="shared" si="50"/>
        <v>6.101867902296947E-4</v>
      </c>
      <c r="R149" s="103">
        <f t="shared" si="50"/>
        <v>1.3443866296907567E-3</v>
      </c>
      <c r="S149" s="103">
        <f t="shared" si="50"/>
        <v>1.3589371825657851E-3</v>
      </c>
      <c r="T149" s="103">
        <f t="shared" si="50"/>
        <v>1.4073796794997573E-3</v>
      </c>
      <c r="U149" s="103">
        <f t="shared" si="50"/>
        <v>1.2410483079123317E-3</v>
      </c>
      <c r="V149" s="103">
        <f t="shared" si="50"/>
        <v>1.2200803378934547E-3</v>
      </c>
      <c r="W149" s="103">
        <f t="shared" ref="W149:Y149" si="51">IF(W31=0,0,W31/W$17)</f>
        <v>9.6908661092543066E-4</v>
      </c>
      <c r="X149" s="103">
        <f t="shared" si="51"/>
        <v>9.3772083321364301E-4</v>
      </c>
      <c r="Y149" s="103">
        <f t="shared" si="51"/>
        <v>1.3140861820368831E-3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0.3459915897092134</v>
      </c>
      <c r="C151" s="46">
        <f t="shared" si="55"/>
        <v>0.34915397902847028</v>
      </c>
      <c r="D151" s="46">
        <f t="shared" si="55"/>
        <v>0.36038888114360634</v>
      </c>
      <c r="E151" s="46">
        <f t="shared" si="55"/>
        <v>0.36058586288018413</v>
      </c>
      <c r="F151" s="46">
        <f t="shared" si="55"/>
        <v>0.37096247236951807</v>
      </c>
      <c r="G151" s="46">
        <f t="shared" si="55"/>
        <v>0.41424622293171032</v>
      </c>
      <c r="H151" s="46">
        <f t="shared" si="55"/>
        <v>0.41324427030690192</v>
      </c>
      <c r="I151" s="46">
        <f t="shared" si="55"/>
        <v>0.40241344251051758</v>
      </c>
      <c r="J151" s="46">
        <f t="shared" si="55"/>
        <v>0.41083929598292424</v>
      </c>
      <c r="K151" s="46">
        <f t="shared" si="55"/>
        <v>0.39782252826113701</v>
      </c>
      <c r="L151" s="46">
        <f t="shared" ref="L151" si="56">IF(L33=0,0,L33/L$17)</f>
        <v>0.38798876865096366</v>
      </c>
      <c r="M151" s="46">
        <f t="shared" ref="M151:V151" si="57">IF(M33=0,0,M33/M$17)</f>
        <v>0.37799398995840006</v>
      </c>
      <c r="N151" s="46">
        <f t="shared" si="57"/>
        <v>0.35319547030031562</v>
      </c>
      <c r="O151" s="46">
        <f t="shared" si="57"/>
        <v>0.33429492030386826</v>
      </c>
      <c r="P151" s="46">
        <f t="shared" si="57"/>
        <v>0.37009923773881004</v>
      </c>
      <c r="Q151" s="46">
        <f t="shared" si="57"/>
        <v>0.38608457079490333</v>
      </c>
      <c r="R151" s="46">
        <f t="shared" si="57"/>
        <v>0.37084608419294612</v>
      </c>
      <c r="S151" s="46">
        <f t="shared" si="57"/>
        <v>0.37460099161172822</v>
      </c>
      <c r="T151" s="46">
        <f t="shared" si="57"/>
        <v>0.37410592162505096</v>
      </c>
      <c r="U151" s="46">
        <f t="shared" si="57"/>
        <v>0.35542372916954923</v>
      </c>
      <c r="V151" s="46">
        <f t="shared" si="57"/>
        <v>0.34168205930088519</v>
      </c>
      <c r="W151" s="46">
        <f t="shared" ref="W151:Y151" si="58">IF(W33=0,0,W33/W$17)</f>
        <v>0.36742712263649369</v>
      </c>
      <c r="X151" s="46">
        <f t="shared" si="58"/>
        <v>0.37277091589064165</v>
      </c>
      <c r="Y151" s="46">
        <f t="shared" si="58"/>
        <v>0.33674278819693149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0.11948512858498003</v>
      </c>
      <c r="C152" s="154">
        <f t="shared" si="59"/>
        <v>0.11753935119606478</v>
      </c>
      <c r="D152" s="154">
        <f t="shared" si="59"/>
        <v>0.1199295918926752</v>
      </c>
      <c r="E152" s="154">
        <f t="shared" si="59"/>
        <v>0.11969408501483554</v>
      </c>
      <c r="F152" s="154">
        <f t="shared" si="59"/>
        <v>0.11574140470714346</v>
      </c>
      <c r="G152" s="154">
        <f t="shared" si="59"/>
        <v>0.11453248358951197</v>
      </c>
      <c r="H152" s="154">
        <f t="shared" si="59"/>
        <v>0.10628569851503719</v>
      </c>
      <c r="I152" s="154">
        <f t="shared" si="59"/>
        <v>0.10613216857163987</v>
      </c>
      <c r="J152" s="154">
        <f t="shared" si="59"/>
        <v>0.11350612362531347</v>
      </c>
      <c r="K152" s="154">
        <f t="shared" si="59"/>
        <v>0.12962878337163655</v>
      </c>
      <c r="L152" s="154">
        <f t="shared" ref="L152" si="60">IF(L34=0,0,L34/L$17)</f>
        <v>0.12196619983111158</v>
      </c>
      <c r="M152" s="154">
        <f t="shared" ref="M152:V152" si="61">IF(M34=0,0,M34/M$17)</f>
        <v>0.13260272506314597</v>
      </c>
      <c r="N152" s="154">
        <f t="shared" si="61"/>
        <v>0.138319265973187</v>
      </c>
      <c r="O152" s="154">
        <f t="shared" si="61"/>
        <v>0.14570586724165735</v>
      </c>
      <c r="P152" s="154">
        <f t="shared" si="61"/>
        <v>0.14381866871711255</v>
      </c>
      <c r="Q152" s="154">
        <f t="shared" si="61"/>
        <v>0.14062394940066303</v>
      </c>
      <c r="R152" s="154">
        <f t="shared" si="61"/>
        <v>0.14092256000467646</v>
      </c>
      <c r="S152" s="154">
        <f t="shared" si="61"/>
        <v>0.1427334592583433</v>
      </c>
      <c r="T152" s="154">
        <f t="shared" si="61"/>
        <v>0.14233566036376166</v>
      </c>
      <c r="U152" s="154">
        <f t="shared" si="61"/>
        <v>0.14053526197517849</v>
      </c>
      <c r="V152" s="154">
        <f t="shared" si="61"/>
        <v>0.15839964424656167</v>
      </c>
      <c r="W152" s="154">
        <f t="shared" ref="W152:Y152" si="62">IF(W34=0,0,W34/W$17)</f>
        <v>0.15481952165720766</v>
      </c>
      <c r="X152" s="154">
        <f t="shared" si="62"/>
        <v>0.15133468716191484</v>
      </c>
      <c r="Y152" s="154">
        <f t="shared" si="62"/>
        <v>0.15782212260988868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3.1644564329046936E-2</v>
      </c>
      <c r="C153" s="103">
        <f t="shared" si="63"/>
        <v>2.7484623986000677E-2</v>
      </c>
      <c r="D153" s="103">
        <f t="shared" si="63"/>
        <v>2.2979970654628944E-2</v>
      </c>
      <c r="E153" s="103">
        <f t="shared" si="63"/>
        <v>1.9633430004315583E-2</v>
      </c>
      <c r="F153" s="103">
        <f t="shared" si="63"/>
        <v>1.6780877301502843E-2</v>
      </c>
      <c r="G153" s="103">
        <f t="shared" si="63"/>
        <v>1.3843291145226309E-2</v>
      </c>
      <c r="H153" s="103">
        <f t="shared" si="63"/>
        <v>1.1548421634874144E-2</v>
      </c>
      <c r="I153" s="103">
        <f t="shared" si="63"/>
        <v>9.967085588068525E-3</v>
      </c>
      <c r="J153" s="103">
        <f t="shared" si="63"/>
        <v>8.023055491381062E-3</v>
      </c>
      <c r="K153" s="103">
        <f t="shared" si="63"/>
        <v>7.2337098050697284E-3</v>
      </c>
      <c r="L153" s="103">
        <f t="shared" ref="L153" si="64">IF(L35=0,0,L35/L$17)</f>
        <v>7.0873326181646931E-3</v>
      </c>
      <c r="M153" s="103">
        <f t="shared" ref="M153:V153" si="65">IF(M35=0,0,M35/M$17)</f>
        <v>6.7368315601475139E-3</v>
      </c>
      <c r="N153" s="103">
        <f t="shared" si="65"/>
        <v>6.6093358571415106E-3</v>
      </c>
      <c r="O153" s="103">
        <f t="shared" si="65"/>
        <v>6.429822538493779E-3</v>
      </c>
      <c r="P153" s="103">
        <f t="shared" si="65"/>
        <v>5.0239314572328754E-3</v>
      </c>
      <c r="Q153" s="103">
        <f t="shared" si="65"/>
        <v>4.0954969465610792E-3</v>
      </c>
      <c r="R153" s="103">
        <f t="shared" si="65"/>
        <v>3.7564739869499555E-3</v>
      </c>
      <c r="S153" s="103">
        <f t="shared" si="65"/>
        <v>3.4227821746814734E-3</v>
      </c>
      <c r="T153" s="103">
        <f t="shared" si="65"/>
        <v>3.1921674555790841E-3</v>
      </c>
      <c r="U153" s="103">
        <f t="shared" si="65"/>
        <v>3.0343373490471612E-3</v>
      </c>
      <c r="V153" s="103">
        <f t="shared" si="65"/>
        <v>3.2506484161594611E-3</v>
      </c>
      <c r="W153" s="103">
        <f t="shared" ref="W153:Y153" si="66">IF(W35=0,0,W35/W$17)</f>
        <v>2.8289879257544408E-3</v>
      </c>
      <c r="X153" s="103">
        <f t="shared" si="66"/>
        <v>2.5616791416853729E-3</v>
      </c>
      <c r="Y153" s="103">
        <f t="shared" si="66"/>
        <v>2.8977107385185969E-3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8.7838501069889469E-2</v>
      </c>
      <c r="C154" s="103">
        <f t="shared" si="67"/>
        <v>8.9999574390757217E-2</v>
      </c>
      <c r="D154" s="103">
        <f t="shared" si="67"/>
        <v>9.6900614486716746E-2</v>
      </c>
      <c r="E154" s="103">
        <f t="shared" si="67"/>
        <v>0.10001427275218079</v>
      </c>
      <c r="F154" s="103">
        <f t="shared" si="67"/>
        <v>9.8917253453111476E-2</v>
      </c>
      <c r="G154" s="103">
        <f t="shared" si="67"/>
        <v>0.10065063580164219</v>
      </c>
      <c r="H154" s="103">
        <f t="shared" si="67"/>
        <v>9.4702063030044734E-2</v>
      </c>
      <c r="I154" s="103">
        <f t="shared" si="67"/>
        <v>9.6131780620319629E-2</v>
      </c>
      <c r="J154" s="103">
        <f t="shared" si="67"/>
        <v>0.10545113499441532</v>
      </c>
      <c r="K154" s="103">
        <f t="shared" si="67"/>
        <v>0.12236495897074709</v>
      </c>
      <c r="L154" s="103">
        <f t="shared" ref="L154" si="68">IF(L36=0,0,L36/L$17)</f>
        <v>0.1148480067657789</v>
      </c>
      <c r="M154" s="103">
        <f t="shared" ref="M154:V154" si="69">IF(M36=0,0,M36/M$17)</f>
        <v>0.12583558100191516</v>
      </c>
      <c r="N154" s="103">
        <f t="shared" si="69"/>
        <v>0.13168104097919153</v>
      </c>
      <c r="O154" s="103">
        <f t="shared" si="69"/>
        <v>0.13923537438002492</v>
      </c>
      <c r="P154" s="103">
        <f t="shared" si="69"/>
        <v>0.13875755371049917</v>
      </c>
      <c r="Q154" s="103">
        <f t="shared" si="69"/>
        <v>0.13643349666752116</v>
      </c>
      <c r="R154" s="103">
        <f t="shared" si="69"/>
        <v>0.13707070550181036</v>
      </c>
      <c r="S154" s="103">
        <f t="shared" si="69"/>
        <v>0.13921071825940948</v>
      </c>
      <c r="T154" s="103">
        <f t="shared" si="69"/>
        <v>0.13903734403396362</v>
      </c>
      <c r="U154" s="103">
        <f t="shared" si="69"/>
        <v>0.13740067597978697</v>
      </c>
      <c r="V154" s="103">
        <f t="shared" si="69"/>
        <v>0.15503316983442283</v>
      </c>
      <c r="W154" s="103">
        <f t="shared" ref="W154:Y154" si="70">IF(W36=0,0,W36/W$17)</f>
        <v>0.15188695330720575</v>
      </c>
      <c r="X154" s="103">
        <f t="shared" si="70"/>
        <v>0.14866864027325963</v>
      </c>
      <c r="Y154" s="103">
        <f t="shared" si="70"/>
        <v>0.15472036368193706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5.3292542575243358E-5</v>
      </c>
      <c r="D155" s="103">
        <f t="shared" si="71"/>
        <v>4.7265209940540988E-5</v>
      </c>
      <c r="E155" s="103">
        <f t="shared" si="71"/>
        <v>4.4717767381044253E-5</v>
      </c>
      <c r="F155" s="103">
        <f t="shared" si="71"/>
        <v>4.1689838699951286E-5</v>
      </c>
      <c r="G155" s="103">
        <f t="shared" si="71"/>
        <v>3.7308411575017973E-5</v>
      </c>
      <c r="H155" s="103">
        <f t="shared" si="71"/>
        <v>3.4048485932800918E-5</v>
      </c>
      <c r="I155" s="103">
        <f t="shared" si="71"/>
        <v>3.2155451344172743E-5</v>
      </c>
      <c r="J155" s="103">
        <f t="shared" si="71"/>
        <v>3.0971155395875548E-5</v>
      </c>
      <c r="K155" s="103">
        <f t="shared" si="71"/>
        <v>2.9146634805758122E-5</v>
      </c>
      <c r="L155" s="103">
        <f t="shared" ref="L155" si="72">IF(L37=0,0,L37/L$17)</f>
        <v>3.000268493208921E-5</v>
      </c>
      <c r="M155" s="103">
        <f t="shared" ref="M155:V155" si="73">IF(M37=0,0,M37/M$17)</f>
        <v>2.9386839422774837E-5</v>
      </c>
      <c r="N155" s="103">
        <f t="shared" si="73"/>
        <v>2.7662910195535845E-5</v>
      </c>
      <c r="O155" s="103">
        <f t="shared" si="73"/>
        <v>2.6155178567152566E-5</v>
      </c>
      <c r="P155" s="103">
        <f t="shared" si="73"/>
        <v>2.0285184417328823E-5</v>
      </c>
      <c r="Q155" s="103">
        <f t="shared" si="73"/>
        <v>1.6432420043264037E-5</v>
      </c>
      <c r="R155" s="103">
        <f t="shared" si="73"/>
        <v>1.3438890543831829E-5</v>
      </c>
      <c r="S155" s="103">
        <f t="shared" si="73"/>
        <v>1.0113522836663952E-5</v>
      </c>
      <c r="T155" s="103">
        <f t="shared" si="73"/>
        <v>7.7376641598505318E-6</v>
      </c>
      <c r="U155" s="103">
        <f t="shared" si="73"/>
        <v>5.4637019100933983E-6</v>
      </c>
      <c r="V155" s="103">
        <f t="shared" si="73"/>
        <v>5.1985681467405371E-6</v>
      </c>
      <c r="W155" s="103">
        <f t="shared" ref="W155:Y155" si="74">IF(W37=0,0,W37/W$17)</f>
        <v>3.6388301240926876E-6</v>
      </c>
      <c r="X155" s="103">
        <f t="shared" si="74"/>
        <v>1.1913264064580136E-5</v>
      </c>
      <c r="Y155" s="103">
        <f t="shared" si="74"/>
        <v>3.7790749059952868E-5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2.0631860436317505E-6</v>
      </c>
      <c r="C156" s="103">
        <f t="shared" si="75"/>
        <v>1.8602767316366659E-6</v>
      </c>
      <c r="D156" s="103">
        <f t="shared" si="75"/>
        <v>1.7415413889384333E-6</v>
      </c>
      <c r="E156" s="103">
        <f t="shared" si="75"/>
        <v>1.664490958115228E-6</v>
      </c>
      <c r="F156" s="103">
        <f t="shared" si="75"/>
        <v>1.5841138291914685E-6</v>
      </c>
      <c r="G156" s="103">
        <f t="shared" si="75"/>
        <v>1.2482310684467152E-6</v>
      </c>
      <c r="H156" s="103">
        <f t="shared" si="75"/>
        <v>1.1653641855240153E-6</v>
      </c>
      <c r="I156" s="103">
        <f t="shared" si="75"/>
        <v>1.146911907529635E-6</v>
      </c>
      <c r="J156" s="103">
        <f t="shared" si="75"/>
        <v>9.6198412122205261E-7</v>
      </c>
      <c r="K156" s="103">
        <f t="shared" si="75"/>
        <v>9.6796101398294215E-7</v>
      </c>
      <c r="L156" s="103">
        <f t="shared" ref="L156" si="76">IF(L38=0,0,L38/L$17)</f>
        <v>8.5776223589537659E-7</v>
      </c>
      <c r="M156" s="103">
        <f t="shared" ref="M156:V156" si="77">IF(M38=0,0,M38/M$17)</f>
        <v>9.2566166053901675E-7</v>
      </c>
      <c r="N156" s="103">
        <f t="shared" si="77"/>
        <v>1.2262266584347053E-6</v>
      </c>
      <c r="O156" s="103">
        <f t="shared" si="77"/>
        <v>1.4515144571463488E-5</v>
      </c>
      <c r="P156" s="103">
        <f t="shared" si="77"/>
        <v>1.6898364963183169E-5</v>
      </c>
      <c r="Q156" s="103">
        <f t="shared" si="77"/>
        <v>7.8523366537519337E-5</v>
      </c>
      <c r="R156" s="103">
        <f t="shared" si="77"/>
        <v>8.1941625372293576E-5</v>
      </c>
      <c r="S156" s="103">
        <f t="shared" si="77"/>
        <v>8.9845301415692852E-5</v>
      </c>
      <c r="T156" s="103">
        <f t="shared" si="77"/>
        <v>9.8411210059135441E-5</v>
      </c>
      <c r="U156" s="103">
        <f t="shared" si="77"/>
        <v>9.4784944434262328E-5</v>
      </c>
      <c r="V156" s="103">
        <f t="shared" si="77"/>
        <v>1.1062742783262383E-4</v>
      </c>
      <c r="W156" s="103">
        <f t="shared" ref="W156:Y156" si="78">IF(W38=0,0,W38/W$17)</f>
        <v>9.9941594123360356E-5</v>
      </c>
      <c r="X156" s="103">
        <f t="shared" si="78"/>
        <v>9.2454482905257631E-5</v>
      </c>
      <c r="Y156" s="103">
        <f t="shared" si="78"/>
        <v>1.6625744037306156E-4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0.22650646112423334</v>
      </c>
      <c r="C158" s="156">
        <f t="shared" si="83"/>
        <v>0.2316146278324055</v>
      </c>
      <c r="D158" s="156">
        <f t="shared" si="83"/>
        <v>0.24045928925093113</v>
      </c>
      <c r="E158" s="156">
        <f t="shared" si="83"/>
        <v>0.24089177786534857</v>
      </c>
      <c r="F158" s="156">
        <f t="shared" si="83"/>
        <v>0.25522106766237462</v>
      </c>
      <c r="G158" s="156">
        <f t="shared" si="83"/>
        <v>0.29971373934219836</v>
      </c>
      <c r="H158" s="156">
        <f t="shared" si="83"/>
        <v>0.3069585717918647</v>
      </c>
      <c r="I158" s="156">
        <f t="shared" si="83"/>
        <v>0.29628127393887765</v>
      </c>
      <c r="J158" s="156">
        <f t="shared" si="83"/>
        <v>0.29733317235761081</v>
      </c>
      <c r="K158" s="156">
        <f t="shared" si="83"/>
        <v>0.26819374488950043</v>
      </c>
      <c r="L158" s="156">
        <f t="shared" ref="L158" si="84">IF(L40=0,0,L40/L$17)</f>
        <v>0.26602256881985209</v>
      </c>
      <c r="M158" s="156">
        <f t="shared" ref="M158:V158" si="85">IF(M40=0,0,M40/M$17)</f>
        <v>0.24539126489525406</v>
      </c>
      <c r="N158" s="156">
        <f t="shared" si="85"/>
        <v>0.21487620432712859</v>
      </c>
      <c r="O158" s="156">
        <f t="shared" si="85"/>
        <v>0.18858905306221091</v>
      </c>
      <c r="P158" s="156">
        <f t="shared" si="85"/>
        <v>0.22628056902169749</v>
      </c>
      <c r="Q158" s="156">
        <f t="shared" si="85"/>
        <v>0.24546062139424027</v>
      </c>
      <c r="R158" s="156">
        <f t="shared" si="85"/>
        <v>0.22992352418826964</v>
      </c>
      <c r="S158" s="156">
        <f t="shared" si="85"/>
        <v>0.23186753235338492</v>
      </c>
      <c r="T158" s="156">
        <f t="shared" si="85"/>
        <v>0.23177026126128933</v>
      </c>
      <c r="U158" s="156">
        <f t="shared" si="85"/>
        <v>0.21488846719437077</v>
      </c>
      <c r="V158" s="156">
        <f t="shared" si="85"/>
        <v>0.18328241505432352</v>
      </c>
      <c r="W158" s="156">
        <f t="shared" ref="W158:Y158" si="86">IF(W40=0,0,W40/W$17)</f>
        <v>0.21260760097928605</v>
      </c>
      <c r="X158" s="156">
        <f t="shared" si="86"/>
        <v>0.22143622872872679</v>
      </c>
      <c r="Y158" s="156">
        <f t="shared" si="86"/>
        <v>0.17892066558704275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0.14493147688207123</v>
      </c>
      <c r="C159" s="103">
        <f t="shared" si="87"/>
        <v>0.13998854751116099</v>
      </c>
      <c r="D159" s="103">
        <f t="shared" si="87"/>
        <v>0.13181500896632298</v>
      </c>
      <c r="E159" s="103">
        <f t="shared" si="87"/>
        <v>0.12733835301296301</v>
      </c>
      <c r="F159" s="103">
        <f t="shared" si="87"/>
        <v>0.12843171265873496</v>
      </c>
      <c r="G159" s="103">
        <f t="shared" si="87"/>
        <v>0.16220289944007057</v>
      </c>
      <c r="H159" s="103">
        <f t="shared" si="87"/>
        <v>0.16356886524165634</v>
      </c>
      <c r="I159" s="103">
        <f t="shared" si="87"/>
        <v>0.16276201359393017</v>
      </c>
      <c r="J159" s="103">
        <f t="shared" si="87"/>
        <v>0.15010500354740053</v>
      </c>
      <c r="K159" s="103">
        <f t="shared" si="87"/>
        <v>0.15496722471077362</v>
      </c>
      <c r="L159" s="103">
        <f t="shared" ref="L159" si="88">IF(L41=0,0,L41/L$17)</f>
        <v>0.14251953051383939</v>
      </c>
      <c r="M159" s="103">
        <f t="shared" ref="M159:V159" si="89">IF(M41=0,0,M41/M$17)</f>
        <v>0.13553548309047461</v>
      </c>
      <c r="N159" s="103">
        <f t="shared" si="89"/>
        <v>0.11687872600941905</v>
      </c>
      <c r="O159" s="103">
        <f t="shared" si="89"/>
        <v>0.11544611824083371</v>
      </c>
      <c r="P159" s="103">
        <f t="shared" si="89"/>
        <v>0.11729403925785407</v>
      </c>
      <c r="Q159" s="103">
        <f t="shared" si="89"/>
        <v>0.11776794229180736</v>
      </c>
      <c r="R159" s="103">
        <f t="shared" si="89"/>
        <v>0.11636588368258663</v>
      </c>
      <c r="S159" s="103">
        <f t="shared" si="89"/>
        <v>0.10995840190614171</v>
      </c>
      <c r="T159" s="103">
        <f t="shared" si="89"/>
        <v>0.11332232928159354</v>
      </c>
      <c r="U159" s="103">
        <f t="shared" si="89"/>
        <v>0.10737605061924885</v>
      </c>
      <c r="V159" s="103">
        <f t="shared" si="89"/>
        <v>0.10791857460090076</v>
      </c>
      <c r="W159" s="103">
        <f t="shared" ref="W159:Y159" si="90">IF(W41=0,0,W41/W$17)</f>
        <v>0.11554716077732757</v>
      </c>
      <c r="X159" s="103">
        <f t="shared" si="90"/>
        <v>0.10638311384033229</v>
      </c>
      <c r="Y159" s="103">
        <f t="shared" si="90"/>
        <v>0.10048779109820409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8.1574984242162113E-2</v>
      </c>
      <c r="C160" s="105">
        <f t="shared" si="91"/>
        <v>9.1626080321244488E-2</v>
      </c>
      <c r="D160" s="105">
        <f t="shared" si="91"/>
        <v>0.10864428028460812</v>
      </c>
      <c r="E160" s="105">
        <f t="shared" si="91"/>
        <v>0.11355342485238559</v>
      </c>
      <c r="F160" s="105">
        <f t="shared" si="91"/>
        <v>0.12678935500363969</v>
      </c>
      <c r="G160" s="105">
        <f t="shared" si="91"/>
        <v>0.13751083990212778</v>
      </c>
      <c r="H160" s="105">
        <f t="shared" si="91"/>
        <v>0.14338970655020836</v>
      </c>
      <c r="I160" s="105">
        <f t="shared" si="91"/>
        <v>0.13351926034494752</v>
      </c>
      <c r="J160" s="105">
        <f t="shared" si="91"/>
        <v>0.14722816881021028</v>
      </c>
      <c r="K160" s="105">
        <f t="shared" si="91"/>
        <v>0.11322652017872682</v>
      </c>
      <c r="L160" s="105">
        <f t="shared" ref="L160" si="92">IF(L42=0,0,L42/L$17)</f>
        <v>0.12350303830601268</v>
      </c>
      <c r="M160" s="105">
        <f t="shared" ref="M160:V160" si="93">IF(M42=0,0,M42/M$17)</f>
        <v>0.10985578180477946</v>
      </c>
      <c r="N160" s="105">
        <f t="shared" si="93"/>
        <v>9.799747831770951E-2</v>
      </c>
      <c r="O160" s="105">
        <f t="shared" si="93"/>
        <v>7.3142934821377195E-2</v>
      </c>
      <c r="P160" s="105">
        <f t="shared" si="93"/>
        <v>0.10898652976384343</v>
      </c>
      <c r="Q160" s="105">
        <f t="shared" si="93"/>
        <v>0.12769267910243293</v>
      </c>
      <c r="R160" s="105">
        <f t="shared" si="93"/>
        <v>0.11355764050568302</v>
      </c>
      <c r="S160" s="105">
        <f t="shared" si="93"/>
        <v>0.12190913044724322</v>
      </c>
      <c r="T160" s="105">
        <f t="shared" si="93"/>
        <v>0.11844793197969578</v>
      </c>
      <c r="U160" s="105">
        <f t="shared" si="93"/>
        <v>0.10751241657512192</v>
      </c>
      <c r="V160" s="105">
        <f t="shared" si="93"/>
        <v>7.5363840453422787E-2</v>
      </c>
      <c r="W160" s="105">
        <f t="shared" ref="W160:Y160" si="94">IF(W42=0,0,W42/W$17)</f>
        <v>9.7060440201958462E-2</v>
      </c>
      <c r="X160" s="105">
        <f t="shared" si="94"/>
        <v>0.11505311488839451</v>
      </c>
      <c r="Y160" s="105">
        <f t="shared" si="94"/>
        <v>7.843287448883865E-2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2822267</v>
      </c>
      <c r="C3" s="54">
        <f>TrRoad_act!C57</f>
        <v>2958915</v>
      </c>
      <c r="D3" s="54">
        <f>TrRoad_act!D57</f>
        <v>3127811</v>
      </c>
      <c r="E3" s="54">
        <f>TrRoad_act!E57</f>
        <v>3293686</v>
      </c>
      <c r="F3" s="54">
        <f>TrRoad_act!F57</f>
        <v>3358522</v>
      </c>
      <c r="G3" s="54">
        <f>TrRoad_act!G57</f>
        <v>3465013</v>
      </c>
      <c r="H3" s="54">
        <f>TrRoad_act!H57</f>
        <v>3789084</v>
      </c>
      <c r="I3" s="54">
        <f>TrRoad_act!I57</f>
        <v>3854910</v>
      </c>
      <c r="J3" s="54">
        <f>TrRoad_act!J57</f>
        <v>3664711</v>
      </c>
      <c r="K3" s="54">
        <f>TrRoad_act!K57</f>
        <v>3615569</v>
      </c>
      <c r="L3" s="54">
        <f>TrRoad_act!L57</f>
        <v>3585118</v>
      </c>
      <c r="M3" s="54">
        <f>TrRoad_act!M57</f>
        <v>3574046</v>
      </c>
      <c r="N3" s="54">
        <f>TrRoad_act!N57</f>
        <v>3597092</v>
      </c>
      <c r="O3" s="54">
        <f>TrRoad_act!O57</f>
        <v>3674835</v>
      </c>
      <c r="P3" s="54">
        <f>TrRoad_act!P57</f>
        <v>3763430</v>
      </c>
      <c r="Q3" s="54">
        <f>TrRoad_act!Q57</f>
        <v>3860482</v>
      </c>
      <c r="R3" s="54">
        <f>TrRoad_act!R57</f>
        <v>3996864</v>
      </c>
      <c r="S3" s="54">
        <f>TrRoad_act!S57</f>
        <v>4187819</v>
      </c>
      <c r="T3" s="54">
        <f>TrRoad_act!T57</f>
        <v>4397171</v>
      </c>
      <c r="U3" s="54">
        <f>TrRoad_act!U57</f>
        <v>4606784</v>
      </c>
      <c r="V3" s="54">
        <f>TrRoad_act!V57</f>
        <v>4741940</v>
      </c>
      <c r="W3" s="54">
        <f>TrRoad_act!W57</f>
        <v>4870983</v>
      </c>
      <c r="X3" s="54">
        <f>TrRoad_act!X57</f>
        <v>4967210</v>
      </c>
      <c r="Y3" s="54">
        <f>TrRoad_act!Y57</f>
        <v>5071722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2472339</v>
      </c>
      <c r="C4" s="28">
        <f>TrRoad_act!C58</f>
        <v>2594268</v>
      </c>
      <c r="D4" s="28">
        <f>TrRoad_act!D58</f>
        <v>2745656</v>
      </c>
      <c r="E4" s="28">
        <f>TrRoad_act!E58</f>
        <v>2900114</v>
      </c>
      <c r="F4" s="28">
        <f>TrRoad_act!F58</f>
        <v>2961205</v>
      </c>
      <c r="G4" s="28">
        <f>TrRoad_act!G58</f>
        <v>3053804</v>
      </c>
      <c r="H4" s="28">
        <f>TrRoad_act!H58</f>
        <v>3363961</v>
      </c>
      <c r="I4" s="28">
        <f>TrRoad_act!I58</f>
        <v>3417863</v>
      </c>
      <c r="J4" s="28">
        <f>TrRoad_act!J58</f>
        <v>3215870</v>
      </c>
      <c r="K4" s="28">
        <f>TrRoad_act!K58</f>
        <v>3173649</v>
      </c>
      <c r="L4" s="28">
        <f>TrRoad_act!L58</f>
        <v>3144073</v>
      </c>
      <c r="M4" s="28">
        <f>TrRoad_act!M58</f>
        <v>3132604</v>
      </c>
      <c r="N4" s="28">
        <f>TrRoad_act!N58</f>
        <v>3154738</v>
      </c>
      <c r="O4" s="28">
        <f>TrRoad_act!O58</f>
        <v>3225469</v>
      </c>
      <c r="P4" s="28">
        <f>TrRoad_act!P58</f>
        <v>3299146</v>
      </c>
      <c r="Q4" s="28">
        <f>TrRoad_act!Q58</f>
        <v>3377819</v>
      </c>
      <c r="R4" s="28">
        <f>TrRoad_act!R58</f>
        <v>3493836</v>
      </c>
      <c r="S4" s="28">
        <f>TrRoad_act!S58</f>
        <v>3658102</v>
      </c>
      <c r="T4" s="28">
        <f>TrRoad_act!T58</f>
        <v>3837027</v>
      </c>
      <c r="U4" s="28">
        <f>TrRoad_act!U58</f>
        <v>4017410</v>
      </c>
      <c r="V4" s="28">
        <f>TrRoad_act!V58</f>
        <v>4132372</v>
      </c>
      <c r="W4" s="28">
        <f>TrRoad_act!W58</f>
        <v>4240439</v>
      </c>
      <c r="X4" s="28">
        <f>TrRoad_act!X58</f>
        <v>4322472</v>
      </c>
      <c r="Y4" s="28">
        <f>TrRoad_act!Y58</f>
        <v>4407512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91193</v>
      </c>
      <c r="C5" s="137">
        <f>TrRoad_act!C59</f>
        <v>93088</v>
      </c>
      <c r="D5" s="137">
        <f>TrRoad_act!D59</f>
        <v>97593</v>
      </c>
      <c r="E5" s="137">
        <f>TrRoad_act!E59</f>
        <v>103493</v>
      </c>
      <c r="F5" s="137">
        <f>TrRoad_act!F59</f>
        <v>114038</v>
      </c>
      <c r="G5" s="137">
        <f>TrRoad_act!G59</f>
        <v>122705</v>
      </c>
      <c r="H5" s="137">
        <f>TrRoad_act!H59</f>
        <v>130187.99999999999</v>
      </c>
      <c r="I5" s="137">
        <f>TrRoad_act!I59</f>
        <v>135865</v>
      </c>
      <c r="J5" s="137">
        <f>TrRoad_act!J59</f>
        <v>141540</v>
      </c>
      <c r="K5" s="137">
        <f>TrRoad_act!K59</f>
        <v>141956</v>
      </c>
      <c r="L5" s="137">
        <f>TrRoad_act!L59</f>
        <v>142251</v>
      </c>
      <c r="M5" s="137">
        <f>TrRoad_act!M59</f>
        <v>147382</v>
      </c>
      <c r="N5" s="137">
        <f>TrRoad_act!N59</f>
        <v>151405</v>
      </c>
      <c r="O5" s="137">
        <f>TrRoad_act!O59</f>
        <v>157178</v>
      </c>
      <c r="P5" s="137">
        <f>TrRoad_act!P59</f>
        <v>161540</v>
      </c>
      <c r="Q5" s="137">
        <f>TrRoad_act!Q59</f>
        <v>162828</v>
      </c>
      <c r="R5" s="137">
        <f>TrRoad_act!R59</f>
        <v>162148</v>
      </c>
      <c r="S5" s="137">
        <f>TrRoad_act!S59</f>
        <v>167400</v>
      </c>
      <c r="T5" s="137">
        <f>TrRoad_act!T59</f>
        <v>176070</v>
      </c>
      <c r="U5" s="137">
        <f>TrRoad_act!U59</f>
        <v>185943</v>
      </c>
      <c r="V5" s="137">
        <f>TrRoad_act!V59</f>
        <v>194594</v>
      </c>
      <c r="W5" s="137">
        <f>TrRoad_act!W59</f>
        <v>202521</v>
      </c>
      <c r="X5" s="137">
        <f>TrRoad_act!X59</f>
        <v>210746</v>
      </c>
      <c r="Y5" s="137">
        <f>TrRoad_act!Y59</f>
        <v>221391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2363000</v>
      </c>
      <c r="C6" s="110">
        <f>TrRoad_act!C60</f>
        <v>2482800</v>
      </c>
      <c r="D6" s="110">
        <f>TrRoad_act!D60</f>
        <v>2629500</v>
      </c>
      <c r="E6" s="110">
        <f>TrRoad_act!E60</f>
        <v>2778000</v>
      </c>
      <c r="F6" s="110">
        <f>TrRoad_act!F60</f>
        <v>2829000</v>
      </c>
      <c r="G6" s="110">
        <f>TrRoad_act!G60</f>
        <v>2913000</v>
      </c>
      <c r="H6" s="110">
        <f>TrRoad_act!H60</f>
        <v>3214000</v>
      </c>
      <c r="I6" s="110">
        <f>TrRoad_act!I60</f>
        <v>3262000</v>
      </c>
      <c r="J6" s="110">
        <f>TrRoad_act!J60</f>
        <v>3056000</v>
      </c>
      <c r="K6" s="110">
        <f>TrRoad_act!K60</f>
        <v>3013730</v>
      </c>
      <c r="L6" s="110">
        <f>TrRoad_act!L60</f>
        <v>2984060</v>
      </c>
      <c r="M6" s="110">
        <f>TrRoad_act!M60</f>
        <v>2967810</v>
      </c>
      <c r="N6" s="110">
        <f>TrRoad_act!N60</f>
        <v>2986030</v>
      </c>
      <c r="O6" s="110">
        <f>TrRoad_act!O60</f>
        <v>3050722</v>
      </c>
      <c r="P6" s="110">
        <f>TrRoad_act!P60</f>
        <v>3119683</v>
      </c>
      <c r="Q6" s="110">
        <f>TrRoad_act!Q60</f>
        <v>3196856</v>
      </c>
      <c r="R6" s="110">
        <f>TrRoad_act!R60</f>
        <v>3313206</v>
      </c>
      <c r="S6" s="110">
        <f>TrRoad_act!S60</f>
        <v>3471997</v>
      </c>
      <c r="T6" s="110">
        <f>TrRoad_act!T60</f>
        <v>3641823</v>
      </c>
      <c r="U6" s="110">
        <f>TrRoad_act!U60</f>
        <v>3812013</v>
      </c>
      <c r="V6" s="110">
        <f>TrRoad_act!V60</f>
        <v>3920799</v>
      </c>
      <c r="W6" s="110">
        <f>TrRoad_act!W60</f>
        <v>4020159</v>
      </c>
      <c r="X6" s="110">
        <f>TrRoad_act!X60</f>
        <v>4094129</v>
      </c>
      <c r="Y6" s="110">
        <f>TrRoad_act!Y60</f>
        <v>4168651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2131608</v>
      </c>
      <c r="C7" s="84">
        <f>TrRoad_act!C61</f>
        <v>2222827</v>
      </c>
      <c r="D7" s="84">
        <f>TrRoad_act!D61</f>
        <v>2331164</v>
      </c>
      <c r="E7" s="84">
        <f>TrRoad_act!E61</f>
        <v>2385421</v>
      </c>
      <c r="F7" s="84">
        <f>TrRoad_act!F61</f>
        <v>2390611</v>
      </c>
      <c r="G7" s="84">
        <f>TrRoad_act!G61</f>
        <v>2503916</v>
      </c>
      <c r="H7" s="84">
        <f>TrRoad_act!H61</f>
        <v>2672623</v>
      </c>
      <c r="I7" s="84">
        <f>TrRoad_act!I61</f>
        <v>2669958</v>
      </c>
      <c r="J7" s="84">
        <f>TrRoad_act!J61</f>
        <v>2428796</v>
      </c>
      <c r="K7" s="84">
        <f>TrRoad_act!K61</f>
        <v>2378835</v>
      </c>
      <c r="L7" s="84">
        <f>TrRoad_act!L61</f>
        <v>2331639</v>
      </c>
      <c r="M7" s="84">
        <f>TrRoad_act!M61</f>
        <v>2285941</v>
      </c>
      <c r="N7" s="84">
        <f>TrRoad_act!N61</f>
        <v>2260220</v>
      </c>
      <c r="O7" s="84">
        <f>TrRoad_act!O61</f>
        <v>2260257</v>
      </c>
      <c r="P7" s="84">
        <f>TrRoad_act!P61</f>
        <v>2255798</v>
      </c>
      <c r="Q7" s="84">
        <f>TrRoad_act!Q61</f>
        <v>2254345</v>
      </c>
      <c r="R7" s="84">
        <f>TrRoad_act!R61</f>
        <v>2287785</v>
      </c>
      <c r="S7" s="84">
        <f>TrRoad_act!S61</f>
        <v>2361058</v>
      </c>
      <c r="T7" s="84">
        <f>TrRoad_act!T61</f>
        <v>2453721</v>
      </c>
      <c r="U7" s="84">
        <f>TrRoad_act!U61</f>
        <v>2555178</v>
      </c>
      <c r="V7" s="84">
        <f>TrRoad_act!V61</f>
        <v>2617997</v>
      </c>
      <c r="W7" s="84">
        <f>TrRoad_act!W61</f>
        <v>2677224</v>
      </c>
      <c r="X7" s="84">
        <f>TrRoad_act!X61</f>
        <v>2710003</v>
      </c>
      <c r="Y7" s="84">
        <f>TrRoad_act!Y61</f>
        <v>2743152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231392</v>
      </c>
      <c r="C8" s="84">
        <f>TrRoad_act!C62</f>
        <v>256573</v>
      </c>
      <c r="D8" s="84">
        <f>TrRoad_act!D62</f>
        <v>294959</v>
      </c>
      <c r="E8" s="84">
        <f>TrRoad_act!E62</f>
        <v>339365</v>
      </c>
      <c r="F8" s="84">
        <f>TrRoad_act!F62</f>
        <v>387907</v>
      </c>
      <c r="G8" s="84">
        <f>TrRoad_act!G62</f>
        <v>358835</v>
      </c>
      <c r="H8" s="84">
        <f>TrRoad_act!H62</f>
        <v>491494</v>
      </c>
      <c r="I8" s="84">
        <f>TrRoad_act!I62</f>
        <v>542674</v>
      </c>
      <c r="J8" s="84">
        <f>TrRoad_act!J62</f>
        <v>583503</v>
      </c>
      <c r="K8" s="84">
        <f>TrRoad_act!K62</f>
        <v>598013</v>
      </c>
      <c r="L8" s="84">
        <f>TrRoad_act!L62</f>
        <v>613328</v>
      </c>
      <c r="M8" s="84">
        <f>TrRoad_act!M62</f>
        <v>635659</v>
      </c>
      <c r="N8" s="84">
        <f>TrRoad_act!N62</f>
        <v>677346</v>
      </c>
      <c r="O8" s="84">
        <f>TrRoad_act!O62</f>
        <v>735833</v>
      </c>
      <c r="P8" s="84">
        <f>TrRoad_act!P62</f>
        <v>805234</v>
      </c>
      <c r="Q8" s="84">
        <f>TrRoad_act!Q62</f>
        <v>880860</v>
      </c>
      <c r="R8" s="84">
        <f>TrRoad_act!R62</f>
        <v>963618</v>
      </c>
      <c r="S8" s="84">
        <f>TrRoad_act!S62</f>
        <v>1049631</v>
      </c>
      <c r="T8" s="84">
        <f>TrRoad_act!T62</f>
        <v>1129355</v>
      </c>
      <c r="U8" s="84">
        <f>TrRoad_act!U62</f>
        <v>1201892</v>
      </c>
      <c r="V8" s="84">
        <f>TrRoad_act!V62</f>
        <v>1250140</v>
      </c>
      <c r="W8" s="84">
        <f>TrRoad_act!W62</f>
        <v>1288163</v>
      </c>
      <c r="X8" s="84">
        <f>TrRoad_act!X62</f>
        <v>1314207</v>
      </c>
      <c r="Y8" s="84">
        <f>TrRoad_act!Y62</f>
        <v>1340032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3400</v>
      </c>
      <c r="D9" s="84">
        <f>TrRoad_act!D63</f>
        <v>3377</v>
      </c>
      <c r="E9" s="84">
        <f>TrRoad_act!E63</f>
        <v>53214</v>
      </c>
      <c r="F9" s="84">
        <f>TrRoad_act!F63</f>
        <v>50482</v>
      </c>
      <c r="G9" s="84">
        <f>TrRoad_act!G63</f>
        <v>50249</v>
      </c>
      <c r="H9" s="84">
        <f>TrRoad_act!H63</f>
        <v>49883</v>
      </c>
      <c r="I9" s="84">
        <f>TrRoad_act!I63</f>
        <v>49368</v>
      </c>
      <c r="J9" s="84">
        <f>TrRoad_act!J63</f>
        <v>43701</v>
      </c>
      <c r="K9" s="84">
        <f>TrRoad_act!K63</f>
        <v>36882</v>
      </c>
      <c r="L9" s="84">
        <f>TrRoad_act!L63</f>
        <v>38914</v>
      </c>
      <c r="M9" s="84">
        <f>TrRoad_act!M63</f>
        <v>45713</v>
      </c>
      <c r="N9" s="84">
        <f>TrRoad_act!N63</f>
        <v>47962</v>
      </c>
      <c r="O9" s="84">
        <f>TrRoad_act!O63</f>
        <v>53685</v>
      </c>
      <c r="P9" s="84">
        <f>TrRoad_act!P63</f>
        <v>57401</v>
      </c>
      <c r="Q9" s="84">
        <f>TrRoad_act!Q63</f>
        <v>59182</v>
      </c>
      <c r="R9" s="84">
        <f>TrRoad_act!R63</f>
        <v>58803</v>
      </c>
      <c r="S9" s="84">
        <f>TrRoad_act!S63</f>
        <v>56653</v>
      </c>
      <c r="T9" s="84">
        <f>TrRoad_act!T63</f>
        <v>51381</v>
      </c>
      <c r="U9" s="84">
        <f>TrRoad_act!U63</f>
        <v>43954</v>
      </c>
      <c r="V9" s="84">
        <f>TrRoad_act!V63</f>
        <v>34723</v>
      </c>
      <c r="W9" s="84">
        <f>TrRoad_act!W63</f>
        <v>24141</v>
      </c>
      <c r="X9" s="84">
        <f>TrRoad_act!X63</f>
        <v>23194</v>
      </c>
      <c r="Y9" s="84">
        <f>TrRoad_act!Y63</f>
        <v>22353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4</v>
      </c>
      <c r="N10" s="84">
        <f>TrRoad_act!N64</f>
        <v>3</v>
      </c>
      <c r="O10" s="84">
        <f>TrRoad_act!O64</f>
        <v>440</v>
      </c>
      <c r="P10" s="84">
        <f>TrRoad_act!P64</f>
        <v>696</v>
      </c>
      <c r="Q10" s="84">
        <f>TrRoad_act!Q64</f>
        <v>1742</v>
      </c>
      <c r="R10" s="84">
        <f>TrRoad_act!R64</f>
        <v>1899</v>
      </c>
      <c r="S10" s="84">
        <f>TrRoad_act!S64</f>
        <v>2137</v>
      </c>
      <c r="T10" s="84">
        <f>TrRoad_act!T64</f>
        <v>2259</v>
      </c>
      <c r="U10" s="84">
        <f>TrRoad_act!U64</f>
        <v>2272</v>
      </c>
      <c r="V10" s="84">
        <f>TrRoad_act!V64</f>
        <v>2275</v>
      </c>
      <c r="W10" s="84">
        <f>TrRoad_act!W64</f>
        <v>2277</v>
      </c>
      <c r="X10" s="84">
        <f>TrRoad_act!X64</f>
        <v>2279</v>
      </c>
      <c r="Y10" s="84">
        <f>TrRoad_act!Y64</f>
        <v>2258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17</v>
      </c>
      <c r="O11" s="84">
        <f>TrRoad_act!O65</f>
        <v>17</v>
      </c>
      <c r="P11" s="84">
        <f>TrRoad_act!P65</f>
        <v>40</v>
      </c>
      <c r="Q11" s="84">
        <f>TrRoad_act!Q65</f>
        <v>99</v>
      </c>
      <c r="R11" s="84">
        <f>TrRoad_act!R65</f>
        <v>284</v>
      </c>
      <c r="S11" s="84">
        <f>TrRoad_act!S65</f>
        <v>522</v>
      </c>
      <c r="T11" s="84">
        <f>TrRoad_act!T65</f>
        <v>1268</v>
      </c>
      <c r="U11" s="84">
        <f>TrRoad_act!U65</f>
        <v>2122</v>
      </c>
      <c r="V11" s="84">
        <f>TrRoad_act!V65</f>
        <v>4652</v>
      </c>
      <c r="W11" s="84">
        <f>TrRoad_act!W65</f>
        <v>9531</v>
      </c>
      <c r="X11" s="84">
        <f>TrRoad_act!X65</f>
        <v>14610</v>
      </c>
      <c r="Y11" s="84">
        <f>TrRoad_act!Y65</f>
        <v>19644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177</v>
      </c>
      <c r="M12" s="84">
        <f>TrRoad_act!M66</f>
        <v>493</v>
      </c>
      <c r="N12" s="84">
        <f>TrRoad_act!N66</f>
        <v>482</v>
      </c>
      <c r="O12" s="84">
        <f>TrRoad_act!O66</f>
        <v>490</v>
      </c>
      <c r="P12" s="84">
        <f>TrRoad_act!P66</f>
        <v>514</v>
      </c>
      <c r="Q12" s="84">
        <f>TrRoad_act!Q66</f>
        <v>628</v>
      </c>
      <c r="R12" s="84">
        <f>TrRoad_act!R66</f>
        <v>817</v>
      </c>
      <c r="S12" s="84">
        <f>TrRoad_act!S66</f>
        <v>1996</v>
      </c>
      <c r="T12" s="84">
        <f>TrRoad_act!T66</f>
        <v>3839</v>
      </c>
      <c r="U12" s="84">
        <f>TrRoad_act!U66</f>
        <v>6595</v>
      </c>
      <c r="V12" s="84">
        <f>TrRoad_act!V66</f>
        <v>11012</v>
      </c>
      <c r="W12" s="84">
        <f>TrRoad_act!W66</f>
        <v>18823</v>
      </c>
      <c r="X12" s="84">
        <f>TrRoad_act!X66</f>
        <v>29836</v>
      </c>
      <c r="Y12" s="84">
        <f>TrRoad_act!Y66</f>
        <v>41212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18146</v>
      </c>
      <c r="C13" s="110">
        <f>TrRoad_act!C67</f>
        <v>18380</v>
      </c>
      <c r="D13" s="110">
        <f>TrRoad_act!D67</f>
        <v>18563</v>
      </c>
      <c r="E13" s="110">
        <f>TrRoad_act!E67</f>
        <v>18621</v>
      </c>
      <c r="F13" s="110">
        <f>TrRoad_act!F67</f>
        <v>18167</v>
      </c>
      <c r="G13" s="110">
        <f>TrRoad_act!G67</f>
        <v>18099</v>
      </c>
      <c r="H13" s="110">
        <f>TrRoad_act!H67</f>
        <v>19773</v>
      </c>
      <c r="I13" s="110">
        <f>TrRoad_act!I67</f>
        <v>19998</v>
      </c>
      <c r="J13" s="110">
        <f>TrRoad_act!J67</f>
        <v>18330</v>
      </c>
      <c r="K13" s="110">
        <f>TrRoad_act!K67</f>
        <v>17963</v>
      </c>
      <c r="L13" s="110">
        <f>TrRoad_act!L67</f>
        <v>17762</v>
      </c>
      <c r="M13" s="110">
        <f>TrRoad_act!M67</f>
        <v>17412</v>
      </c>
      <c r="N13" s="110">
        <f>TrRoad_act!N67</f>
        <v>17303</v>
      </c>
      <c r="O13" s="110">
        <f>TrRoad_act!O67</f>
        <v>17569</v>
      </c>
      <c r="P13" s="110">
        <f>TrRoad_act!P67</f>
        <v>17923</v>
      </c>
      <c r="Q13" s="110">
        <f>TrRoad_act!Q67</f>
        <v>18135</v>
      </c>
      <c r="R13" s="110">
        <f>TrRoad_act!R67</f>
        <v>18482</v>
      </c>
      <c r="S13" s="110">
        <f>TrRoad_act!S67</f>
        <v>18705</v>
      </c>
      <c r="T13" s="110">
        <f>TrRoad_act!T67</f>
        <v>19134</v>
      </c>
      <c r="U13" s="110">
        <f>TrRoad_act!U67</f>
        <v>19454</v>
      </c>
      <c r="V13" s="110">
        <f>TrRoad_act!V67</f>
        <v>16979</v>
      </c>
      <c r="W13" s="110">
        <f>TrRoad_act!W67</f>
        <v>17759</v>
      </c>
      <c r="X13" s="110">
        <f>TrRoad_act!X67</f>
        <v>17597</v>
      </c>
      <c r="Y13" s="110">
        <f>TrRoad_act!Y67</f>
        <v>17470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2355</v>
      </c>
      <c r="C14" s="102">
        <f>TrRoad_act!C68</f>
        <v>2138</v>
      </c>
      <c r="D14" s="102">
        <f>TrRoad_act!D68</f>
        <v>1915</v>
      </c>
      <c r="E14" s="102">
        <f>TrRoad_act!E68</f>
        <v>1692</v>
      </c>
      <c r="F14" s="102">
        <f>TrRoad_act!F68</f>
        <v>1475</v>
      </c>
      <c r="G14" s="102">
        <f>TrRoad_act!G68</f>
        <v>1265</v>
      </c>
      <c r="H14" s="102">
        <f>TrRoad_act!H68</f>
        <v>1066</v>
      </c>
      <c r="I14" s="102">
        <f>TrRoad_act!I68</f>
        <v>882</v>
      </c>
      <c r="J14" s="102">
        <f>TrRoad_act!J68</f>
        <v>722</v>
      </c>
      <c r="K14" s="102">
        <f>TrRoad_act!K68</f>
        <v>575</v>
      </c>
      <c r="L14" s="102">
        <f>TrRoad_act!L68</f>
        <v>452</v>
      </c>
      <c r="M14" s="102">
        <f>TrRoad_act!M68</f>
        <v>352</v>
      </c>
      <c r="N14" s="102">
        <f>TrRoad_act!N68</f>
        <v>287</v>
      </c>
      <c r="O14" s="102">
        <f>TrRoad_act!O68</f>
        <v>280</v>
      </c>
      <c r="P14" s="102">
        <f>TrRoad_act!P68</f>
        <v>242</v>
      </c>
      <c r="Q14" s="102">
        <f>TrRoad_act!Q68</f>
        <v>185</v>
      </c>
      <c r="R14" s="102">
        <f>TrRoad_act!R68</f>
        <v>125</v>
      </c>
      <c r="S14" s="102">
        <f>TrRoad_act!S68</f>
        <v>103</v>
      </c>
      <c r="T14" s="102">
        <f>TrRoad_act!T68</f>
        <v>102</v>
      </c>
      <c r="U14" s="102">
        <f>TrRoad_act!U68</f>
        <v>101</v>
      </c>
      <c r="V14" s="102">
        <f>TrRoad_act!V68</f>
        <v>105</v>
      </c>
      <c r="W14" s="102">
        <f>TrRoad_act!W68</f>
        <v>103</v>
      </c>
      <c r="X14" s="102">
        <f>TrRoad_act!X68</f>
        <v>73</v>
      </c>
      <c r="Y14" s="102">
        <f>TrRoad_act!Y68</f>
        <v>54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15449</v>
      </c>
      <c r="C15" s="102">
        <f>TrRoad_act!C69</f>
        <v>15896</v>
      </c>
      <c r="D15" s="102">
        <f>TrRoad_act!D69</f>
        <v>16302</v>
      </c>
      <c r="E15" s="102">
        <f>TrRoad_act!E69</f>
        <v>16572</v>
      </c>
      <c r="F15" s="102">
        <f>TrRoad_act!F69</f>
        <v>16340</v>
      </c>
      <c r="G15" s="102">
        <f>TrRoad_act!G69</f>
        <v>16581</v>
      </c>
      <c r="H15" s="102">
        <f>TrRoad_act!H69</f>
        <v>18475</v>
      </c>
      <c r="I15" s="102">
        <f>TrRoad_act!I69</f>
        <v>18923</v>
      </c>
      <c r="J15" s="102">
        <f>TrRoad_act!J69</f>
        <v>17458</v>
      </c>
      <c r="K15" s="102">
        <f>TrRoad_act!K69</f>
        <v>17253</v>
      </c>
      <c r="L15" s="102">
        <f>TrRoad_act!L69</f>
        <v>17209</v>
      </c>
      <c r="M15" s="102">
        <f>TrRoad_act!M69</f>
        <v>16980</v>
      </c>
      <c r="N15" s="102">
        <f>TrRoad_act!N69</f>
        <v>16935</v>
      </c>
      <c r="O15" s="102">
        <f>TrRoad_act!O69</f>
        <v>17191</v>
      </c>
      <c r="P15" s="102">
        <f>TrRoad_act!P69</f>
        <v>17489</v>
      </c>
      <c r="Q15" s="102">
        <f>TrRoad_act!Q69</f>
        <v>17652</v>
      </c>
      <c r="R15" s="102">
        <f>TrRoad_act!R69</f>
        <v>17862</v>
      </c>
      <c r="S15" s="102">
        <f>TrRoad_act!S69</f>
        <v>18028</v>
      </c>
      <c r="T15" s="102">
        <f>TrRoad_act!T69</f>
        <v>18467</v>
      </c>
      <c r="U15" s="102">
        <f>TrRoad_act!U69</f>
        <v>19059</v>
      </c>
      <c r="V15" s="102">
        <f>TrRoad_act!V69</f>
        <v>16585</v>
      </c>
      <c r="W15" s="102">
        <f>TrRoad_act!W69</f>
        <v>17328</v>
      </c>
      <c r="X15" s="102">
        <f>TrRoad_act!X69</f>
        <v>17006</v>
      </c>
      <c r="Y15" s="102">
        <f>TrRoad_act!Y69</f>
        <v>16837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1</v>
      </c>
      <c r="Q16" s="102">
        <f>TrRoad_act!Q70</f>
        <v>1</v>
      </c>
      <c r="R16" s="102">
        <f>TrRoad_act!R70</f>
        <v>2</v>
      </c>
      <c r="S16" s="102">
        <f>TrRoad_act!S70</f>
        <v>2</v>
      </c>
      <c r="T16" s="102">
        <f>TrRoad_act!T70</f>
        <v>2</v>
      </c>
      <c r="U16" s="102">
        <f>TrRoad_act!U70</f>
        <v>2</v>
      </c>
      <c r="V16" s="102">
        <f>TrRoad_act!V70</f>
        <v>2</v>
      </c>
      <c r="W16" s="102">
        <f>TrRoad_act!W70</f>
        <v>2</v>
      </c>
      <c r="X16" s="102">
        <f>TrRoad_act!X70</f>
        <v>2</v>
      </c>
      <c r="Y16" s="102">
        <f>TrRoad_act!Y70</f>
        <v>2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95</v>
      </c>
      <c r="C17" s="102">
        <f>TrRoad_act!C71</f>
        <v>105</v>
      </c>
      <c r="D17" s="102">
        <f>TrRoad_act!D71</f>
        <v>105</v>
      </c>
      <c r="E17" s="102">
        <f>TrRoad_act!E71</f>
        <v>115</v>
      </c>
      <c r="F17" s="102">
        <f>TrRoad_act!F71</f>
        <v>115</v>
      </c>
      <c r="G17" s="102">
        <f>TrRoad_act!G71</f>
        <v>120</v>
      </c>
      <c r="H17" s="102">
        <f>TrRoad_act!H71</f>
        <v>120</v>
      </c>
      <c r="I17" s="102">
        <f>TrRoad_act!I71</f>
        <v>100</v>
      </c>
      <c r="J17" s="102">
        <f>TrRoad_act!J71</f>
        <v>75</v>
      </c>
      <c r="K17" s="102">
        <f>TrRoad_act!K71</f>
        <v>75</v>
      </c>
      <c r="L17" s="102">
        <f>TrRoad_act!L71</f>
        <v>55</v>
      </c>
      <c r="M17" s="102">
        <f>TrRoad_act!M71</f>
        <v>45</v>
      </c>
      <c r="N17" s="102">
        <f>TrRoad_act!N71</f>
        <v>55</v>
      </c>
      <c r="O17" s="102">
        <f>TrRoad_act!O71</f>
        <v>78</v>
      </c>
      <c r="P17" s="102">
        <f>TrRoad_act!P71</f>
        <v>176</v>
      </c>
      <c r="Q17" s="102">
        <f>TrRoad_act!Q71</f>
        <v>266</v>
      </c>
      <c r="R17" s="102">
        <f>TrRoad_act!R71</f>
        <v>460</v>
      </c>
      <c r="S17" s="102">
        <f>TrRoad_act!S71</f>
        <v>540</v>
      </c>
      <c r="T17" s="102">
        <f>TrRoad_act!T71</f>
        <v>530</v>
      </c>
      <c r="U17" s="102">
        <f>TrRoad_act!U71</f>
        <v>259</v>
      </c>
      <c r="V17" s="102">
        <f>TrRoad_act!V71</f>
        <v>233</v>
      </c>
      <c r="W17" s="102">
        <f>TrRoad_act!W71</f>
        <v>226</v>
      </c>
      <c r="X17" s="102">
        <f>TrRoad_act!X71</f>
        <v>376</v>
      </c>
      <c r="Y17" s="102">
        <f>TrRoad_act!Y71</f>
        <v>381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247</v>
      </c>
      <c r="C18" s="102">
        <f>TrRoad_act!C72</f>
        <v>241</v>
      </c>
      <c r="D18" s="102">
        <f>TrRoad_act!D72</f>
        <v>241</v>
      </c>
      <c r="E18" s="102">
        <f>TrRoad_act!E72</f>
        <v>242</v>
      </c>
      <c r="F18" s="102">
        <f>TrRoad_act!F72</f>
        <v>237</v>
      </c>
      <c r="G18" s="102">
        <f>TrRoad_act!G72</f>
        <v>133</v>
      </c>
      <c r="H18" s="102">
        <f>TrRoad_act!H72</f>
        <v>112</v>
      </c>
      <c r="I18" s="102">
        <f>TrRoad_act!I72</f>
        <v>93</v>
      </c>
      <c r="J18" s="102">
        <f>TrRoad_act!J72</f>
        <v>75</v>
      </c>
      <c r="K18" s="102">
        <f>TrRoad_act!K72</f>
        <v>60</v>
      </c>
      <c r="L18" s="102">
        <f>TrRoad_act!L72</f>
        <v>46</v>
      </c>
      <c r="M18" s="102">
        <f>TrRoad_act!M72</f>
        <v>35</v>
      </c>
      <c r="N18" s="102">
        <f>TrRoad_act!N72</f>
        <v>26</v>
      </c>
      <c r="O18" s="102">
        <f>TrRoad_act!O72</f>
        <v>20</v>
      </c>
      <c r="P18" s="102">
        <f>TrRoad_act!P72</f>
        <v>15</v>
      </c>
      <c r="Q18" s="102">
        <f>TrRoad_act!Q72</f>
        <v>31</v>
      </c>
      <c r="R18" s="102">
        <f>TrRoad_act!R72</f>
        <v>33</v>
      </c>
      <c r="S18" s="102">
        <f>TrRoad_act!S72</f>
        <v>32</v>
      </c>
      <c r="T18" s="102">
        <f>TrRoad_act!T72</f>
        <v>33</v>
      </c>
      <c r="U18" s="102">
        <f>TrRoad_act!U72</f>
        <v>33</v>
      </c>
      <c r="V18" s="102">
        <f>TrRoad_act!V72</f>
        <v>54</v>
      </c>
      <c r="W18" s="102">
        <f>TrRoad_act!W72</f>
        <v>100</v>
      </c>
      <c r="X18" s="102">
        <f>TrRoad_act!X72</f>
        <v>140</v>
      </c>
      <c r="Y18" s="102">
        <f>TrRoad_act!Y72</f>
        <v>196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349928</v>
      </c>
      <c r="C19" s="28">
        <f>TrRoad_act!C73</f>
        <v>364647</v>
      </c>
      <c r="D19" s="28">
        <f>TrRoad_act!D73</f>
        <v>382155</v>
      </c>
      <c r="E19" s="28">
        <f>TrRoad_act!E73</f>
        <v>393572</v>
      </c>
      <c r="F19" s="28">
        <f>TrRoad_act!F73</f>
        <v>397317</v>
      </c>
      <c r="G19" s="28">
        <f>TrRoad_act!G73</f>
        <v>411209</v>
      </c>
      <c r="H19" s="28">
        <f>TrRoad_act!H73</f>
        <v>425123</v>
      </c>
      <c r="I19" s="28">
        <f>TrRoad_act!I73</f>
        <v>437047</v>
      </c>
      <c r="J19" s="28">
        <f>TrRoad_act!J73</f>
        <v>448841</v>
      </c>
      <c r="K19" s="28">
        <f>TrRoad_act!K73</f>
        <v>441920</v>
      </c>
      <c r="L19" s="28">
        <f>TrRoad_act!L73</f>
        <v>441045</v>
      </c>
      <c r="M19" s="28">
        <f>TrRoad_act!M73</f>
        <v>441442</v>
      </c>
      <c r="N19" s="28">
        <f>TrRoad_act!N73</f>
        <v>442354</v>
      </c>
      <c r="O19" s="28">
        <f>TrRoad_act!O73</f>
        <v>449366</v>
      </c>
      <c r="P19" s="28">
        <f>TrRoad_act!P73</f>
        <v>464284</v>
      </c>
      <c r="Q19" s="28">
        <f>TrRoad_act!Q73</f>
        <v>482663</v>
      </c>
      <c r="R19" s="28">
        <f>TrRoad_act!R73</f>
        <v>503028</v>
      </c>
      <c r="S19" s="28">
        <f>TrRoad_act!S73</f>
        <v>529717</v>
      </c>
      <c r="T19" s="28">
        <f>TrRoad_act!T73</f>
        <v>560144</v>
      </c>
      <c r="U19" s="28">
        <f>TrRoad_act!U73</f>
        <v>589374</v>
      </c>
      <c r="V19" s="28">
        <f>TrRoad_act!V73</f>
        <v>609568</v>
      </c>
      <c r="W19" s="28">
        <f>TrRoad_act!W73</f>
        <v>630544</v>
      </c>
      <c r="X19" s="28">
        <f>TrRoad_act!X73</f>
        <v>644738</v>
      </c>
      <c r="Y19" s="28">
        <f>TrRoad_act!Y73</f>
        <v>664210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220504</v>
      </c>
      <c r="C20" s="137">
        <f>TrRoad_act!C74</f>
        <v>230397</v>
      </c>
      <c r="D20" s="137">
        <f>TrRoad_act!D74</f>
        <v>243373</v>
      </c>
      <c r="E20" s="137">
        <f>TrRoad_act!E74</f>
        <v>251478</v>
      </c>
      <c r="F20" s="137">
        <f>TrRoad_act!F74</f>
        <v>255904</v>
      </c>
      <c r="G20" s="137">
        <f>TrRoad_act!G74</f>
        <v>265913</v>
      </c>
      <c r="H20" s="137">
        <f>TrRoad_act!H74</f>
        <v>267161</v>
      </c>
      <c r="I20" s="137">
        <f>TrRoad_act!I74</f>
        <v>280510</v>
      </c>
      <c r="J20" s="137">
        <f>TrRoad_act!J74</f>
        <v>306139</v>
      </c>
      <c r="K20" s="137">
        <f>TrRoad_act!K74</f>
        <v>353776</v>
      </c>
      <c r="L20" s="137">
        <f>TrRoad_act!L74</f>
        <v>305966</v>
      </c>
      <c r="M20" s="137">
        <f>TrRoad_act!M74</f>
        <v>323840</v>
      </c>
      <c r="N20" s="137">
        <f>TrRoad_act!N74</f>
        <v>337798</v>
      </c>
      <c r="O20" s="137">
        <f>TrRoad_act!O74</f>
        <v>358475</v>
      </c>
      <c r="P20" s="137">
        <f>TrRoad_act!P74</f>
        <v>370285</v>
      </c>
      <c r="Q20" s="137">
        <f>TrRoad_act!Q74</f>
        <v>385901</v>
      </c>
      <c r="R20" s="137">
        <f>TrRoad_act!R74</f>
        <v>403682</v>
      </c>
      <c r="S20" s="137">
        <f>TrRoad_act!S74</f>
        <v>422995</v>
      </c>
      <c r="T20" s="137">
        <f>TrRoad_act!T74</f>
        <v>444588</v>
      </c>
      <c r="U20" s="137">
        <f>TrRoad_act!U74</f>
        <v>468274</v>
      </c>
      <c r="V20" s="137">
        <f>TrRoad_act!V74</f>
        <v>483463</v>
      </c>
      <c r="W20" s="137">
        <f>TrRoad_act!W74</f>
        <v>499641</v>
      </c>
      <c r="X20" s="137">
        <f>TrRoad_act!X74</f>
        <v>508806</v>
      </c>
      <c r="Y20" s="137">
        <f>TrRoad_act!Y74</f>
        <v>520435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80599</v>
      </c>
      <c r="C21" s="84">
        <f>TrRoad_act!C75</f>
        <v>75042</v>
      </c>
      <c r="D21" s="84">
        <f>TrRoad_act!D75</f>
        <v>67713</v>
      </c>
      <c r="E21" s="84">
        <f>TrRoad_act!E75</f>
        <v>61187</v>
      </c>
      <c r="F21" s="84">
        <f>TrRoad_act!F75</f>
        <v>55618</v>
      </c>
      <c r="G21" s="84">
        <f>TrRoad_act!G75</f>
        <v>50541</v>
      </c>
      <c r="H21" s="84">
        <f>TrRoad_act!H75</f>
        <v>46132</v>
      </c>
      <c r="I21" s="84">
        <f>TrRoad_act!I75</f>
        <v>41934</v>
      </c>
      <c r="J21" s="84">
        <f>TrRoad_act!J75</f>
        <v>34950</v>
      </c>
      <c r="K21" s="84">
        <f>TrRoad_act!K75</f>
        <v>32277</v>
      </c>
      <c r="L21" s="84">
        <f>TrRoad_act!L75</f>
        <v>29749</v>
      </c>
      <c r="M21" s="84">
        <f>TrRoad_act!M75</f>
        <v>26947</v>
      </c>
      <c r="N21" s="84">
        <f>TrRoad_act!N75</f>
        <v>26247</v>
      </c>
      <c r="O21" s="84">
        <f>TrRoad_act!O75</f>
        <v>25546</v>
      </c>
      <c r="P21" s="84">
        <f>TrRoad_act!P75</f>
        <v>23977</v>
      </c>
      <c r="Q21" s="84">
        <f>TrRoad_act!Q75</f>
        <v>22071</v>
      </c>
      <c r="R21" s="84">
        <f>TrRoad_act!R75</f>
        <v>20308</v>
      </c>
      <c r="S21" s="84">
        <f>TrRoad_act!S75</f>
        <v>19322</v>
      </c>
      <c r="T21" s="84">
        <f>TrRoad_act!T75</f>
        <v>18671</v>
      </c>
      <c r="U21" s="84">
        <f>TrRoad_act!U75</f>
        <v>18164</v>
      </c>
      <c r="V21" s="84">
        <f>TrRoad_act!V75</f>
        <v>17344</v>
      </c>
      <c r="W21" s="84">
        <f>TrRoad_act!W75</f>
        <v>16886</v>
      </c>
      <c r="X21" s="84">
        <f>TrRoad_act!X75</f>
        <v>16560</v>
      </c>
      <c r="Y21" s="84">
        <f>TrRoad_act!Y75</f>
        <v>16741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139898</v>
      </c>
      <c r="C22" s="84">
        <f>TrRoad_act!C76</f>
        <v>155139</v>
      </c>
      <c r="D22" s="84">
        <f>TrRoad_act!D76</f>
        <v>175455</v>
      </c>
      <c r="E22" s="84">
        <f>TrRoad_act!E76</f>
        <v>190088</v>
      </c>
      <c r="F22" s="84">
        <f>TrRoad_act!F76</f>
        <v>200087</v>
      </c>
      <c r="G22" s="84">
        <f>TrRoad_act!G76</f>
        <v>215180</v>
      </c>
      <c r="H22" s="84">
        <f>TrRoad_act!H76</f>
        <v>220843</v>
      </c>
      <c r="I22" s="84">
        <f>TrRoad_act!I76</f>
        <v>238399</v>
      </c>
      <c r="J22" s="84">
        <f>TrRoad_act!J76</f>
        <v>271022</v>
      </c>
      <c r="K22" s="84">
        <f>TrRoad_act!K76</f>
        <v>321344</v>
      </c>
      <c r="L22" s="84">
        <f>TrRoad_act!L76</f>
        <v>276075</v>
      </c>
      <c r="M22" s="84">
        <f>TrRoad_act!M76</f>
        <v>296765</v>
      </c>
      <c r="N22" s="84">
        <f>TrRoad_act!N76</f>
        <v>311432</v>
      </c>
      <c r="O22" s="84">
        <f>TrRoad_act!O76</f>
        <v>332732</v>
      </c>
      <c r="P22" s="84">
        <f>TrRoad_act!P76</f>
        <v>346099</v>
      </c>
      <c r="Q22" s="84">
        <f>TrRoad_act!Q76</f>
        <v>363283</v>
      </c>
      <c r="R22" s="84">
        <f>TrRoad_act!R76</f>
        <v>382768</v>
      </c>
      <c r="S22" s="84">
        <f>TrRoad_act!S76</f>
        <v>402903</v>
      </c>
      <c r="T22" s="84">
        <f>TrRoad_act!T76</f>
        <v>424887</v>
      </c>
      <c r="U22" s="84">
        <f>TrRoad_act!U76</f>
        <v>448950</v>
      </c>
      <c r="V22" s="84">
        <f>TrRoad_act!V76</f>
        <v>464737</v>
      </c>
      <c r="W22" s="84">
        <f>TrRoad_act!W76</f>
        <v>480999</v>
      </c>
      <c r="X22" s="84">
        <f>TrRoad_act!X76</f>
        <v>489689</v>
      </c>
      <c r="Y22" s="84">
        <f>TrRoad_act!Y76</f>
        <v>499754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209</v>
      </c>
      <c r="D23" s="84">
        <f>TrRoad_act!D77</f>
        <v>198</v>
      </c>
      <c r="E23" s="84">
        <f>TrRoad_act!E77</f>
        <v>196</v>
      </c>
      <c r="F23" s="84">
        <f>TrRoad_act!F77</f>
        <v>192</v>
      </c>
      <c r="G23" s="84">
        <f>TrRoad_act!G77</f>
        <v>186</v>
      </c>
      <c r="H23" s="84">
        <f>TrRoad_act!H77</f>
        <v>180</v>
      </c>
      <c r="I23" s="84">
        <f>TrRoad_act!I77</f>
        <v>171</v>
      </c>
      <c r="J23" s="84">
        <f>TrRoad_act!J77</f>
        <v>162</v>
      </c>
      <c r="K23" s="84">
        <f>TrRoad_act!K77</f>
        <v>150</v>
      </c>
      <c r="L23" s="84">
        <f>TrRoad_act!L77</f>
        <v>138</v>
      </c>
      <c r="M23" s="84">
        <f>TrRoad_act!M77</f>
        <v>124</v>
      </c>
      <c r="N23" s="84">
        <f>TrRoad_act!N77</f>
        <v>112</v>
      </c>
      <c r="O23" s="84">
        <f>TrRoad_act!O77</f>
        <v>98</v>
      </c>
      <c r="P23" s="84">
        <f>TrRoad_act!P77</f>
        <v>84</v>
      </c>
      <c r="Q23" s="84">
        <f>TrRoad_act!Q77</f>
        <v>75</v>
      </c>
      <c r="R23" s="84">
        <f>TrRoad_act!R77</f>
        <v>63</v>
      </c>
      <c r="S23" s="84">
        <f>TrRoad_act!S77</f>
        <v>51</v>
      </c>
      <c r="T23" s="84">
        <f>TrRoad_act!T77</f>
        <v>42</v>
      </c>
      <c r="U23" s="84">
        <f>TrRoad_act!U77</f>
        <v>32</v>
      </c>
      <c r="V23" s="84">
        <f>TrRoad_act!V77</f>
        <v>28</v>
      </c>
      <c r="W23" s="84">
        <f>TrRoad_act!W77</f>
        <v>23</v>
      </c>
      <c r="X23" s="84">
        <f>TrRoad_act!X77</f>
        <v>71</v>
      </c>
      <c r="Y23" s="84">
        <f>TrRoad_act!Y77</f>
        <v>206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7</v>
      </c>
      <c r="C24" s="84">
        <f>TrRoad_act!C78</f>
        <v>7</v>
      </c>
      <c r="D24" s="84">
        <f>TrRoad_act!D78</f>
        <v>7</v>
      </c>
      <c r="E24" s="84">
        <f>TrRoad_act!E78</f>
        <v>7</v>
      </c>
      <c r="F24" s="84">
        <f>TrRoad_act!F78</f>
        <v>7</v>
      </c>
      <c r="G24" s="84">
        <f>TrRoad_act!G78</f>
        <v>6</v>
      </c>
      <c r="H24" s="84">
        <f>TrRoad_act!H78</f>
        <v>6</v>
      </c>
      <c r="I24" s="84">
        <f>TrRoad_act!I78</f>
        <v>6</v>
      </c>
      <c r="J24" s="84">
        <f>TrRoad_act!J78</f>
        <v>5</v>
      </c>
      <c r="K24" s="84">
        <f>TrRoad_act!K78</f>
        <v>5</v>
      </c>
      <c r="L24" s="84">
        <f>TrRoad_act!L78</f>
        <v>4</v>
      </c>
      <c r="M24" s="84">
        <f>TrRoad_act!M78</f>
        <v>4</v>
      </c>
      <c r="N24" s="84">
        <f>TrRoad_act!N78</f>
        <v>7</v>
      </c>
      <c r="O24" s="84">
        <f>TrRoad_act!O78</f>
        <v>78</v>
      </c>
      <c r="P24" s="84">
        <f>TrRoad_act!P78</f>
        <v>103</v>
      </c>
      <c r="Q24" s="84">
        <f>TrRoad_act!Q78</f>
        <v>429</v>
      </c>
      <c r="R24" s="84">
        <f>TrRoad_act!R78</f>
        <v>449</v>
      </c>
      <c r="S24" s="84">
        <f>TrRoad_act!S78</f>
        <v>530</v>
      </c>
      <c r="T24" s="84">
        <f>TrRoad_act!T78</f>
        <v>603</v>
      </c>
      <c r="U24" s="84">
        <f>TrRoad_act!U78</f>
        <v>620</v>
      </c>
      <c r="V24" s="84">
        <f>TrRoad_act!V78</f>
        <v>630</v>
      </c>
      <c r="W24" s="84">
        <f>TrRoad_act!W78</f>
        <v>630</v>
      </c>
      <c r="X24" s="84">
        <f>TrRoad_act!X78</f>
        <v>630</v>
      </c>
      <c r="Y24" s="84">
        <f>TrRoad_act!Y78</f>
        <v>1035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21</v>
      </c>
      <c r="P25" s="84">
        <f>TrRoad_act!P79</f>
        <v>22</v>
      </c>
      <c r="Q25" s="84">
        <f>TrRoad_act!Q79</f>
        <v>43</v>
      </c>
      <c r="R25" s="84">
        <f>TrRoad_act!R79</f>
        <v>94</v>
      </c>
      <c r="S25" s="84">
        <f>TrRoad_act!S79</f>
        <v>189</v>
      </c>
      <c r="T25" s="84">
        <f>TrRoad_act!T79</f>
        <v>385</v>
      </c>
      <c r="U25" s="84">
        <f>TrRoad_act!U79</f>
        <v>508</v>
      </c>
      <c r="V25" s="84">
        <f>TrRoad_act!V79</f>
        <v>724</v>
      </c>
      <c r="W25" s="84">
        <f>TrRoad_act!W79</f>
        <v>1103</v>
      </c>
      <c r="X25" s="84">
        <f>TrRoad_act!X79</f>
        <v>1856</v>
      </c>
      <c r="Y25" s="84">
        <f>TrRoad_act!Y79</f>
        <v>2699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129424</v>
      </c>
      <c r="C26" s="110">
        <f>TrRoad_act!C80</f>
        <v>134250</v>
      </c>
      <c r="D26" s="110">
        <f>TrRoad_act!D80</f>
        <v>138782</v>
      </c>
      <c r="E26" s="110">
        <f>TrRoad_act!E80</f>
        <v>142094</v>
      </c>
      <c r="F26" s="110">
        <f>TrRoad_act!F80</f>
        <v>141413</v>
      </c>
      <c r="G26" s="110">
        <f>TrRoad_act!G80</f>
        <v>145296</v>
      </c>
      <c r="H26" s="110">
        <f>TrRoad_act!H80</f>
        <v>157962</v>
      </c>
      <c r="I26" s="110">
        <f>TrRoad_act!I80</f>
        <v>156537</v>
      </c>
      <c r="J26" s="110">
        <f>TrRoad_act!J80</f>
        <v>142702</v>
      </c>
      <c r="K26" s="110">
        <f>TrRoad_act!K80</f>
        <v>88144</v>
      </c>
      <c r="L26" s="110">
        <f>TrRoad_act!L80</f>
        <v>135079</v>
      </c>
      <c r="M26" s="110">
        <f>TrRoad_act!M80</f>
        <v>117602</v>
      </c>
      <c r="N26" s="110">
        <f>TrRoad_act!N80</f>
        <v>104556</v>
      </c>
      <c r="O26" s="110">
        <f>TrRoad_act!O80</f>
        <v>90891</v>
      </c>
      <c r="P26" s="110">
        <f>TrRoad_act!P80</f>
        <v>93999</v>
      </c>
      <c r="Q26" s="110">
        <f>TrRoad_act!Q80</f>
        <v>96762</v>
      </c>
      <c r="R26" s="110">
        <f>TrRoad_act!R80</f>
        <v>99346</v>
      </c>
      <c r="S26" s="110">
        <f>TrRoad_act!S80</f>
        <v>106722</v>
      </c>
      <c r="T26" s="110">
        <f>TrRoad_act!T80</f>
        <v>115556</v>
      </c>
      <c r="U26" s="110">
        <f>TrRoad_act!U80</f>
        <v>121100</v>
      </c>
      <c r="V26" s="110">
        <f>TrRoad_act!V80</f>
        <v>126105</v>
      </c>
      <c r="W26" s="110">
        <f>TrRoad_act!W80</f>
        <v>130903</v>
      </c>
      <c r="X26" s="110">
        <f>TrRoad_act!X80</f>
        <v>135932</v>
      </c>
      <c r="Y26" s="110">
        <f>TrRoad_act!Y80</f>
        <v>143775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122983</v>
      </c>
      <c r="C27" s="102">
        <f>TrRoad_act!C81</f>
        <v>127345</v>
      </c>
      <c r="D27" s="102">
        <f>TrRoad_act!D81</f>
        <v>131518</v>
      </c>
      <c r="E27" s="102">
        <f>TrRoad_act!E81</f>
        <v>134669</v>
      </c>
      <c r="F27" s="102">
        <f>TrRoad_act!F81</f>
        <v>132634</v>
      </c>
      <c r="G27" s="102">
        <f>TrRoad_act!G81</f>
        <v>136208</v>
      </c>
      <c r="H27" s="102">
        <f>TrRoad_act!H81</f>
        <v>148084</v>
      </c>
      <c r="I27" s="102">
        <f>TrRoad_act!I81</f>
        <v>145726</v>
      </c>
      <c r="J27" s="102">
        <f>TrRoad_act!J81</f>
        <v>130728</v>
      </c>
      <c r="K27" s="102">
        <f>TrRoad_act!K81</f>
        <v>79429</v>
      </c>
      <c r="L27" s="102">
        <f>TrRoad_act!L81</f>
        <v>126802</v>
      </c>
      <c r="M27" s="102">
        <f>TrRoad_act!M81</f>
        <v>108829</v>
      </c>
      <c r="N27" s="102">
        <f>TrRoad_act!N81</f>
        <v>95721</v>
      </c>
      <c r="O27" s="102">
        <f>TrRoad_act!O81</f>
        <v>81880</v>
      </c>
      <c r="P27" s="102">
        <f>TrRoad_act!P81</f>
        <v>84750</v>
      </c>
      <c r="Q27" s="102">
        <f>TrRoad_act!Q81</f>
        <v>86889</v>
      </c>
      <c r="R27" s="102">
        <f>TrRoad_act!R81</f>
        <v>88702</v>
      </c>
      <c r="S27" s="102">
        <f>TrRoad_act!S81</f>
        <v>95073</v>
      </c>
      <c r="T27" s="102">
        <f>TrRoad_act!T81</f>
        <v>103899</v>
      </c>
      <c r="U27" s="102">
        <f>TrRoad_act!U81</f>
        <v>109124</v>
      </c>
      <c r="V27" s="102">
        <f>TrRoad_act!V81</f>
        <v>114769</v>
      </c>
      <c r="W27" s="102">
        <f>TrRoad_act!W81</f>
        <v>118372</v>
      </c>
      <c r="X27" s="102">
        <f>TrRoad_act!X81</f>
        <v>122616</v>
      </c>
      <c r="Y27" s="102">
        <f>TrRoad_act!Y81</f>
        <v>130480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6441</v>
      </c>
      <c r="C28" s="86">
        <f>TrRoad_act!C82</f>
        <v>6905</v>
      </c>
      <c r="D28" s="86">
        <f>TrRoad_act!D82</f>
        <v>7264</v>
      </c>
      <c r="E28" s="86">
        <f>TrRoad_act!E82</f>
        <v>7425</v>
      </c>
      <c r="F28" s="86">
        <f>TrRoad_act!F82</f>
        <v>8779</v>
      </c>
      <c r="G28" s="86">
        <f>TrRoad_act!G82</f>
        <v>9088</v>
      </c>
      <c r="H28" s="86">
        <f>TrRoad_act!H82</f>
        <v>9878</v>
      </c>
      <c r="I28" s="86">
        <f>TrRoad_act!I82</f>
        <v>10811</v>
      </c>
      <c r="J28" s="86">
        <f>TrRoad_act!J82</f>
        <v>11974</v>
      </c>
      <c r="K28" s="86">
        <f>TrRoad_act!K82</f>
        <v>8715</v>
      </c>
      <c r="L28" s="86">
        <f>TrRoad_act!L82</f>
        <v>8277</v>
      </c>
      <c r="M28" s="86">
        <f>TrRoad_act!M82</f>
        <v>8773</v>
      </c>
      <c r="N28" s="86">
        <f>TrRoad_act!N82</f>
        <v>8835</v>
      </c>
      <c r="O28" s="86">
        <f>TrRoad_act!O82</f>
        <v>9011</v>
      </c>
      <c r="P28" s="86">
        <f>TrRoad_act!P82</f>
        <v>9249</v>
      </c>
      <c r="Q28" s="86">
        <f>TrRoad_act!Q82</f>
        <v>9873</v>
      </c>
      <c r="R28" s="86">
        <f>TrRoad_act!R82</f>
        <v>10644</v>
      </c>
      <c r="S28" s="86">
        <f>TrRoad_act!S82</f>
        <v>11649</v>
      </c>
      <c r="T28" s="86">
        <f>TrRoad_act!T82</f>
        <v>11657</v>
      </c>
      <c r="U28" s="86">
        <f>TrRoad_act!U82</f>
        <v>11976</v>
      </c>
      <c r="V28" s="86">
        <f>TrRoad_act!V82</f>
        <v>11336</v>
      </c>
      <c r="W28" s="86">
        <f>TrRoad_act!W82</f>
        <v>12531</v>
      </c>
      <c r="X28" s="86">
        <f>TrRoad_act!X82</f>
        <v>13316</v>
      </c>
      <c r="Y28" s="86">
        <f>TrRoad_act!Y82</f>
        <v>13295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172685</v>
      </c>
      <c r="C30" s="54">
        <f>TrRoad_act!C111</f>
        <v>227436</v>
      </c>
      <c r="D30" s="54">
        <f>TrRoad_act!D111</f>
        <v>286215</v>
      </c>
      <c r="E30" s="54">
        <f>TrRoad_act!E111</f>
        <v>319488</v>
      </c>
      <c r="F30" s="54">
        <f>TrRoad_act!F111</f>
        <v>303378</v>
      </c>
      <c r="G30" s="54">
        <f>TrRoad_act!G111</f>
        <v>288934</v>
      </c>
      <c r="H30" s="54">
        <f>TrRoad_act!H111</f>
        <v>366496</v>
      </c>
      <c r="I30" s="54">
        <f>TrRoad_act!I111</f>
        <v>253606</v>
      </c>
      <c r="J30" s="54">
        <f>TrRoad_act!J111</f>
        <v>240613</v>
      </c>
      <c r="K30" s="54">
        <f>TrRoad_act!K111</f>
        <v>136191</v>
      </c>
      <c r="L30" s="54">
        <f>TrRoad_act!L111</f>
        <v>127405</v>
      </c>
      <c r="M30" s="54">
        <f>TrRoad_act!M111</f>
        <v>117921</v>
      </c>
      <c r="N30" s="54">
        <f>TrRoad_act!N111</f>
        <v>135627</v>
      </c>
      <c r="O30" s="54">
        <f>TrRoad_act!O111</f>
        <v>184310</v>
      </c>
      <c r="P30" s="54">
        <f>TrRoad_act!P111</f>
        <v>215820</v>
      </c>
      <c r="Q30" s="54">
        <f>TrRoad_act!Q111</f>
        <v>253980</v>
      </c>
      <c r="R30" s="54">
        <f>TrRoad_act!R111</f>
        <v>296267</v>
      </c>
      <c r="S30" s="54">
        <f>TrRoad_act!S111</f>
        <v>337511</v>
      </c>
      <c r="T30" s="54">
        <f>TrRoad_act!T111</f>
        <v>372022</v>
      </c>
      <c r="U30" s="54">
        <f>TrRoad_act!U111</f>
        <v>394569</v>
      </c>
      <c r="V30" s="54">
        <f>TrRoad_act!V111</f>
        <v>324654</v>
      </c>
      <c r="W30" s="54">
        <f>TrRoad_act!W111</f>
        <v>327482</v>
      </c>
      <c r="X30" s="54">
        <f>TrRoad_act!X111</f>
        <v>307462</v>
      </c>
      <c r="Y30" s="54">
        <f>TrRoad_act!Y111</f>
        <v>288475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150084</v>
      </c>
      <c r="C31" s="28">
        <f>TrRoad_act!C112</f>
        <v>195593</v>
      </c>
      <c r="D31" s="28">
        <f>TrRoad_act!D112</f>
        <v>248365</v>
      </c>
      <c r="E31" s="28">
        <f>TrRoad_act!E112</f>
        <v>284964</v>
      </c>
      <c r="F31" s="28">
        <f>TrRoad_act!F112</f>
        <v>273171</v>
      </c>
      <c r="G31" s="28">
        <f>TrRoad_act!G112</f>
        <v>254013</v>
      </c>
      <c r="H31" s="28">
        <f>TrRoad_act!H112</f>
        <v>316660</v>
      </c>
      <c r="I31" s="28">
        <f>TrRoad_act!I112</f>
        <v>210059</v>
      </c>
      <c r="J31" s="28">
        <f>TrRoad_act!J112</f>
        <v>189966</v>
      </c>
      <c r="K31" s="28">
        <f>TrRoad_act!K112</f>
        <v>83855</v>
      </c>
      <c r="L31" s="28">
        <f>TrRoad_act!L112</f>
        <v>68038</v>
      </c>
      <c r="M31" s="28">
        <f>TrRoad_act!M112</f>
        <v>83324</v>
      </c>
      <c r="N31" s="28">
        <f>TrRoad_act!N112</f>
        <v>114903</v>
      </c>
      <c r="O31" s="28">
        <f>TrRoad_act!O112</f>
        <v>135852</v>
      </c>
      <c r="P31" s="28">
        <f>TrRoad_act!P112</f>
        <v>173942</v>
      </c>
      <c r="Q31" s="28">
        <f>TrRoad_act!Q112</f>
        <v>209711</v>
      </c>
      <c r="R31" s="28">
        <f>TrRoad_act!R112</f>
        <v>248701</v>
      </c>
      <c r="S31" s="28">
        <f>TrRoad_act!S112</f>
        <v>280714</v>
      </c>
      <c r="T31" s="28">
        <f>TrRoad_act!T112</f>
        <v>308171</v>
      </c>
      <c r="U31" s="28">
        <f>TrRoad_act!U112</f>
        <v>328773</v>
      </c>
      <c r="V31" s="28">
        <f>TrRoad_act!V112</f>
        <v>270651</v>
      </c>
      <c r="W31" s="28">
        <f>TrRoad_act!W112</f>
        <v>266123</v>
      </c>
      <c r="X31" s="28">
        <f>TrRoad_act!X112</f>
        <v>249719</v>
      </c>
      <c r="Y31" s="28">
        <f>TrRoad_act!Y112</f>
        <v>228090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3263</v>
      </c>
      <c r="D32" s="137">
        <f>TrRoad_act!D113</f>
        <v>7438</v>
      </c>
      <c r="E32" s="137">
        <f>TrRoad_act!E113</f>
        <v>8875</v>
      </c>
      <c r="F32" s="137">
        <f>TrRoad_act!F113</f>
        <v>16152.000000000002</v>
      </c>
      <c r="G32" s="137">
        <f>TrRoad_act!G113</f>
        <v>12537</v>
      </c>
      <c r="H32" s="137">
        <f>TrRoad_act!H113</f>
        <v>12005</v>
      </c>
      <c r="I32" s="137">
        <f>TrRoad_act!I113</f>
        <v>12642</v>
      </c>
      <c r="J32" s="137">
        <f>TrRoad_act!J113</f>
        <v>12165</v>
      </c>
      <c r="K32" s="137">
        <f>TrRoad_act!K113</f>
        <v>7344</v>
      </c>
      <c r="L32" s="137">
        <f>TrRoad_act!L113</f>
        <v>6057</v>
      </c>
      <c r="M32" s="137">
        <f>TrRoad_act!M113</f>
        <v>6076</v>
      </c>
      <c r="N32" s="137">
        <f>TrRoad_act!N113</f>
        <v>7070</v>
      </c>
      <c r="O32" s="137">
        <f>TrRoad_act!O113</f>
        <v>7467</v>
      </c>
      <c r="P32" s="137">
        <f>TrRoad_act!P113</f>
        <v>7969</v>
      </c>
      <c r="Q32" s="137">
        <f>TrRoad_act!Q113</f>
        <v>8380</v>
      </c>
      <c r="R32" s="137">
        <f>TrRoad_act!R113</f>
        <v>8650</v>
      </c>
      <c r="S32" s="137">
        <f>TrRoad_act!S113</f>
        <v>7684</v>
      </c>
      <c r="T32" s="137">
        <f>TrRoad_act!T113</f>
        <v>11181</v>
      </c>
      <c r="U32" s="137">
        <f>TrRoad_act!U113</f>
        <v>12514</v>
      </c>
      <c r="V32" s="137">
        <f>TrRoad_act!V113</f>
        <v>11440</v>
      </c>
      <c r="W32" s="137">
        <f>TrRoad_act!W113</f>
        <v>10846</v>
      </c>
      <c r="X32" s="137">
        <f>TrRoad_act!X113</f>
        <v>11263</v>
      </c>
      <c r="Y32" s="137">
        <f>TrRoad_act!Y113</f>
        <v>13806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149137</v>
      </c>
      <c r="C33" s="110">
        <f>TrRoad_act!C114</f>
        <v>190518</v>
      </c>
      <c r="D33" s="110">
        <f>TrRoad_act!D114</f>
        <v>239127</v>
      </c>
      <c r="E33" s="110">
        <f>TrRoad_act!E114</f>
        <v>274389</v>
      </c>
      <c r="F33" s="110">
        <f>TrRoad_act!F114</f>
        <v>255822</v>
      </c>
      <c r="G33" s="110">
        <f>TrRoad_act!G114</f>
        <v>239810</v>
      </c>
      <c r="H33" s="110">
        <f>TrRoad_act!H114</f>
        <v>301366</v>
      </c>
      <c r="I33" s="110">
        <f>TrRoad_act!I114</f>
        <v>195611</v>
      </c>
      <c r="J33" s="110">
        <f>TrRoad_act!J114</f>
        <v>176678</v>
      </c>
      <c r="K33" s="110">
        <f>TrRoad_act!K114</f>
        <v>75837</v>
      </c>
      <c r="L33" s="110">
        <f>TrRoad_act!L114</f>
        <v>61324</v>
      </c>
      <c r="M33" s="110">
        <f>TrRoad_act!M114</f>
        <v>76528</v>
      </c>
      <c r="N33" s="110">
        <f>TrRoad_act!N114</f>
        <v>106671</v>
      </c>
      <c r="O33" s="110">
        <f>TrRoad_act!O114</f>
        <v>126937</v>
      </c>
      <c r="P33" s="110">
        <f>TrRoad_act!P114</f>
        <v>164420</v>
      </c>
      <c r="Q33" s="110">
        <f>TrRoad_act!Q114</f>
        <v>199906</v>
      </c>
      <c r="R33" s="110">
        <f>TrRoad_act!R114</f>
        <v>238655</v>
      </c>
      <c r="S33" s="110">
        <f>TrRoad_act!S114</f>
        <v>271720</v>
      </c>
      <c r="T33" s="110">
        <f>TrRoad_act!T114</f>
        <v>295431</v>
      </c>
      <c r="U33" s="110">
        <f>TrRoad_act!U114</f>
        <v>314498</v>
      </c>
      <c r="V33" s="110">
        <f>TrRoad_act!V114</f>
        <v>258511</v>
      </c>
      <c r="W33" s="110">
        <f>TrRoad_act!W114</f>
        <v>254191</v>
      </c>
      <c r="X33" s="110">
        <f>TrRoad_act!X114</f>
        <v>237688</v>
      </c>
      <c r="Y33" s="110">
        <f>TrRoad_act!Y114</f>
        <v>213422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141705</v>
      </c>
      <c r="C34" s="84">
        <f>TrRoad_act!C115</f>
        <v>161937</v>
      </c>
      <c r="D34" s="84">
        <f>TrRoad_act!D115</f>
        <v>200741</v>
      </c>
      <c r="E34" s="84">
        <f>TrRoad_act!E115</f>
        <v>176886</v>
      </c>
      <c r="F34" s="84">
        <f>TrRoad_act!F115</f>
        <v>201848</v>
      </c>
      <c r="G34" s="84">
        <f>TrRoad_act!G115</f>
        <v>226731</v>
      </c>
      <c r="H34" s="84">
        <f>TrRoad_act!H115</f>
        <v>168707</v>
      </c>
      <c r="I34" s="84">
        <f>TrRoad_act!I115</f>
        <v>124450</v>
      </c>
      <c r="J34" s="84">
        <f>TrRoad_act!J115</f>
        <v>111339</v>
      </c>
      <c r="K34" s="84">
        <f>TrRoad_act!K115</f>
        <v>42308</v>
      </c>
      <c r="L34" s="84">
        <f>TrRoad_act!L115</f>
        <v>28710</v>
      </c>
      <c r="M34" s="84">
        <f>TrRoad_act!M115</f>
        <v>47069</v>
      </c>
      <c r="N34" s="84">
        <f>TrRoad_act!N115</f>
        <v>62709</v>
      </c>
      <c r="O34" s="84">
        <f>TrRoad_act!O115</f>
        <v>60019</v>
      </c>
      <c r="P34" s="84">
        <f>TrRoad_act!P115</f>
        <v>84946</v>
      </c>
      <c r="Q34" s="84">
        <f>TrRoad_act!Q115</f>
        <v>106093</v>
      </c>
      <c r="R34" s="84">
        <f>TrRoad_act!R115</f>
        <v>121766</v>
      </c>
      <c r="S34" s="84">
        <f>TrRoad_act!S115</f>
        <v>148776</v>
      </c>
      <c r="T34" s="84">
        <f>TrRoad_act!T115</f>
        <v>177297</v>
      </c>
      <c r="U34" s="84">
        <f>TrRoad_act!U115</f>
        <v>207156</v>
      </c>
      <c r="V34" s="84">
        <f>TrRoad_act!V115</f>
        <v>197435</v>
      </c>
      <c r="W34" s="84">
        <f>TrRoad_act!W115</f>
        <v>167283</v>
      </c>
      <c r="X34" s="84">
        <f>TrRoad_act!X115</f>
        <v>151231</v>
      </c>
      <c r="Y34" s="84">
        <f>TrRoad_act!Y115</f>
        <v>124809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7432</v>
      </c>
      <c r="C35" s="84">
        <f>TrRoad_act!C116</f>
        <v>25181</v>
      </c>
      <c r="D35" s="84">
        <f>TrRoad_act!D116</f>
        <v>38386</v>
      </c>
      <c r="E35" s="84">
        <f>TrRoad_act!E116</f>
        <v>47666</v>
      </c>
      <c r="F35" s="84">
        <f>TrRoad_act!F116</f>
        <v>53974</v>
      </c>
      <c r="G35" s="84">
        <f>TrRoad_act!G116</f>
        <v>13079</v>
      </c>
      <c r="H35" s="84">
        <f>TrRoad_act!H116</f>
        <v>132659</v>
      </c>
      <c r="I35" s="84">
        <f>TrRoad_act!I116</f>
        <v>71161</v>
      </c>
      <c r="J35" s="84">
        <f>TrRoad_act!J116</f>
        <v>65339</v>
      </c>
      <c r="K35" s="84">
        <f>TrRoad_act!K116</f>
        <v>33529</v>
      </c>
      <c r="L35" s="84">
        <f>TrRoad_act!L116</f>
        <v>30403</v>
      </c>
      <c r="M35" s="84">
        <f>TrRoad_act!M116</f>
        <v>22331</v>
      </c>
      <c r="N35" s="84">
        <f>TrRoad_act!N116</f>
        <v>41687</v>
      </c>
      <c r="O35" s="84">
        <f>TrRoad_act!O116</f>
        <v>60747</v>
      </c>
      <c r="P35" s="84">
        <f>TrRoad_act!P116</f>
        <v>75438</v>
      </c>
      <c r="Q35" s="84">
        <f>TrRoad_act!Q116</f>
        <v>90794</v>
      </c>
      <c r="R35" s="84">
        <f>TrRoad_act!R116</f>
        <v>116239</v>
      </c>
      <c r="S35" s="84">
        <f>TrRoad_act!S116</f>
        <v>121155</v>
      </c>
      <c r="T35" s="84">
        <f>TrRoad_act!T116</f>
        <v>115389</v>
      </c>
      <c r="U35" s="84">
        <f>TrRoad_act!U116</f>
        <v>103509</v>
      </c>
      <c r="V35" s="84">
        <f>TrRoad_act!V116</f>
        <v>53307</v>
      </c>
      <c r="W35" s="84">
        <f>TrRoad_act!W116</f>
        <v>73545</v>
      </c>
      <c r="X35" s="84">
        <f>TrRoad_act!X116</f>
        <v>69466</v>
      </c>
      <c r="Y35" s="84">
        <f>TrRoad_act!Y116</f>
        <v>71057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3400</v>
      </c>
      <c r="D36" s="84">
        <f>TrRoad_act!D117</f>
        <v>0</v>
      </c>
      <c r="E36" s="84">
        <f>TrRoad_act!E117</f>
        <v>49837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2032</v>
      </c>
      <c r="M36" s="84">
        <f>TrRoad_act!M117</f>
        <v>6799</v>
      </c>
      <c r="N36" s="84">
        <f>TrRoad_act!N117</f>
        <v>2249</v>
      </c>
      <c r="O36" s="84">
        <f>TrRoad_act!O117</f>
        <v>5723</v>
      </c>
      <c r="P36" s="84">
        <f>TrRoad_act!P117</f>
        <v>3716</v>
      </c>
      <c r="Q36" s="84">
        <f>TrRoad_act!Q117</f>
        <v>1781</v>
      </c>
      <c r="R36" s="84">
        <f>TrRoad_act!R117</f>
        <v>7</v>
      </c>
      <c r="S36" s="84">
        <f>TrRoad_act!S117</f>
        <v>0</v>
      </c>
      <c r="T36" s="84">
        <f>TrRoad_act!T117</f>
        <v>29</v>
      </c>
      <c r="U36" s="84">
        <f>TrRoad_act!U117</f>
        <v>10</v>
      </c>
      <c r="V36" s="84">
        <f>TrRoad_act!V117</f>
        <v>322</v>
      </c>
      <c r="W36" s="84">
        <f>TrRoad_act!W117</f>
        <v>595</v>
      </c>
      <c r="X36" s="84">
        <f>TrRoad_act!X117</f>
        <v>772</v>
      </c>
      <c r="Y36" s="84">
        <f>TrRoad_act!Y117</f>
        <v>559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4</v>
      </c>
      <c r="N37" s="84">
        <f>TrRoad_act!N118</f>
        <v>3</v>
      </c>
      <c r="O37" s="84">
        <f>TrRoad_act!O118</f>
        <v>437</v>
      </c>
      <c r="P37" s="84">
        <f>TrRoad_act!P118</f>
        <v>268</v>
      </c>
      <c r="Q37" s="84">
        <f>TrRoad_act!Q118</f>
        <v>1047</v>
      </c>
      <c r="R37" s="84">
        <f>TrRoad_act!R118</f>
        <v>158</v>
      </c>
      <c r="S37" s="84">
        <f>TrRoad_act!S118</f>
        <v>241</v>
      </c>
      <c r="T37" s="84">
        <f>TrRoad_act!T118</f>
        <v>126</v>
      </c>
      <c r="U37" s="84">
        <f>TrRoad_act!U118</f>
        <v>19</v>
      </c>
      <c r="V37" s="84">
        <f>TrRoad_act!V118</f>
        <v>11</v>
      </c>
      <c r="W37" s="84">
        <f>TrRoad_act!W118</f>
        <v>11</v>
      </c>
      <c r="X37" s="84">
        <f>TrRoad_act!X118</f>
        <v>13</v>
      </c>
      <c r="Y37" s="84">
        <f>TrRoad_act!Y118</f>
        <v>3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17</v>
      </c>
      <c r="O38" s="84">
        <f>TrRoad_act!O119</f>
        <v>0</v>
      </c>
      <c r="P38" s="84">
        <f>TrRoad_act!P119</f>
        <v>23</v>
      </c>
      <c r="Q38" s="84">
        <f>TrRoad_act!Q119</f>
        <v>70</v>
      </c>
      <c r="R38" s="84">
        <f>TrRoad_act!R119</f>
        <v>284</v>
      </c>
      <c r="S38" s="84">
        <f>TrRoad_act!S119</f>
        <v>369</v>
      </c>
      <c r="T38" s="84">
        <f>TrRoad_act!T119</f>
        <v>747</v>
      </c>
      <c r="U38" s="84">
        <f>TrRoad_act!U119</f>
        <v>1035</v>
      </c>
      <c r="V38" s="84">
        <f>TrRoad_act!V119</f>
        <v>2982</v>
      </c>
      <c r="W38" s="84">
        <f>TrRoad_act!W119</f>
        <v>4885</v>
      </c>
      <c r="X38" s="84">
        <f>TrRoad_act!X119</f>
        <v>5090</v>
      </c>
      <c r="Y38" s="84">
        <f>TrRoad_act!Y119</f>
        <v>5447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177</v>
      </c>
      <c r="M39" s="84">
        <f>TrRoad_act!M120</f>
        <v>325</v>
      </c>
      <c r="N39" s="84">
        <f>TrRoad_act!N120</f>
        <v>6</v>
      </c>
      <c r="O39" s="84">
        <f>TrRoad_act!O120</f>
        <v>11</v>
      </c>
      <c r="P39" s="84">
        <f>TrRoad_act!P120</f>
        <v>29</v>
      </c>
      <c r="Q39" s="84">
        <f>TrRoad_act!Q120</f>
        <v>121</v>
      </c>
      <c r="R39" s="84">
        <f>TrRoad_act!R120</f>
        <v>201</v>
      </c>
      <c r="S39" s="84">
        <f>TrRoad_act!S120</f>
        <v>1179</v>
      </c>
      <c r="T39" s="84">
        <f>TrRoad_act!T120</f>
        <v>1843</v>
      </c>
      <c r="U39" s="84">
        <f>TrRoad_act!U120</f>
        <v>2769</v>
      </c>
      <c r="V39" s="84">
        <f>TrRoad_act!V120</f>
        <v>4454</v>
      </c>
      <c r="W39" s="84">
        <f>TrRoad_act!W120</f>
        <v>7872</v>
      </c>
      <c r="X39" s="84">
        <f>TrRoad_act!X120</f>
        <v>11116</v>
      </c>
      <c r="Y39" s="84">
        <f>TrRoad_act!Y120</f>
        <v>11547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947</v>
      </c>
      <c r="C40" s="110">
        <f>TrRoad_act!C121</f>
        <v>1812</v>
      </c>
      <c r="D40" s="110">
        <f>TrRoad_act!D121</f>
        <v>1800</v>
      </c>
      <c r="E40" s="110">
        <f>TrRoad_act!E121</f>
        <v>1700</v>
      </c>
      <c r="F40" s="110">
        <f>TrRoad_act!F121</f>
        <v>1197</v>
      </c>
      <c r="G40" s="110">
        <f>TrRoad_act!G121</f>
        <v>1666</v>
      </c>
      <c r="H40" s="110">
        <f>TrRoad_act!H121</f>
        <v>3289</v>
      </c>
      <c r="I40" s="110">
        <f>TrRoad_act!I121</f>
        <v>1806</v>
      </c>
      <c r="J40" s="110">
        <f>TrRoad_act!J121</f>
        <v>1123</v>
      </c>
      <c r="K40" s="110">
        <f>TrRoad_act!K121</f>
        <v>674</v>
      </c>
      <c r="L40" s="110">
        <f>TrRoad_act!L121</f>
        <v>657</v>
      </c>
      <c r="M40" s="110">
        <f>TrRoad_act!M121</f>
        <v>720</v>
      </c>
      <c r="N40" s="110">
        <f>TrRoad_act!N121</f>
        <v>1162</v>
      </c>
      <c r="O40" s="110">
        <f>TrRoad_act!O121</f>
        <v>1448</v>
      </c>
      <c r="P40" s="110">
        <f>TrRoad_act!P121</f>
        <v>1553</v>
      </c>
      <c r="Q40" s="110">
        <f>TrRoad_act!Q121</f>
        <v>1425</v>
      </c>
      <c r="R40" s="110">
        <f>TrRoad_act!R121</f>
        <v>1396</v>
      </c>
      <c r="S40" s="110">
        <f>TrRoad_act!S121</f>
        <v>1310</v>
      </c>
      <c r="T40" s="110">
        <f>TrRoad_act!T121</f>
        <v>1559</v>
      </c>
      <c r="U40" s="110">
        <f>TrRoad_act!U121</f>
        <v>1761</v>
      </c>
      <c r="V40" s="110">
        <f>TrRoad_act!V121</f>
        <v>700</v>
      </c>
      <c r="W40" s="110">
        <f>TrRoad_act!W121</f>
        <v>1086</v>
      </c>
      <c r="X40" s="110">
        <f>TrRoad_act!X121</f>
        <v>768</v>
      </c>
      <c r="Y40" s="110">
        <f>TrRoad_act!Y121</f>
        <v>862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6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2</v>
      </c>
      <c r="G41" s="102">
        <f>TrRoad_act!G122</f>
        <v>1</v>
      </c>
      <c r="H41" s="102">
        <f>TrRoad_act!H122</f>
        <v>0</v>
      </c>
      <c r="I41" s="102">
        <f>TrRoad_act!I122</f>
        <v>1</v>
      </c>
      <c r="J41" s="102">
        <f>TrRoad_act!J122</f>
        <v>7</v>
      </c>
      <c r="K41" s="102">
        <f>TrRoad_act!K122</f>
        <v>0</v>
      </c>
      <c r="L41" s="102">
        <f>TrRoad_act!L122</f>
        <v>4</v>
      </c>
      <c r="M41" s="102">
        <f>TrRoad_act!M122</f>
        <v>7</v>
      </c>
      <c r="N41" s="102">
        <f>TrRoad_act!N122</f>
        <v>5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6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941</v>
      </c>
      <c r="C42" s="102">
        <f>TrRoad_act!C123</f>
        <v>1793</v>
      </c>
      <c r="D42" s="102">
        <f>TrRoad_act!D123</f>
        <v>1791</v>
      </c>
      <c r="E42" s="102">
        <f>TrRoad_act!E123</f>
        <v>1680</v>
      </c>
      <c r="F42" s="102">
        <f>TrRoad_act!F123</f>
        <v>1186</v>
      </c>
      <c r="G42" s="102">
        <f>TrRoad_act!G123</f>
        <v>1650</v>
      </c>
      <c r="H42" s="102">
        <f>TrRoad_act!H123</f>
        <v>3280</v>
      </c>
      <c r="I42" s="102">
        <f>TrRoad_act!I123</f>
        <v>1805</v>
      </c>
      <c r="J42" s="102">
        <f>TrRoad_act!J123</f>
        <v>1116</v>
      </c>
      <c r="K42" s="102">
        <f>TrRoad_act!K123</f>
        <v>674</v>
      </c>
      <c r="L42" s="102">
        <f>TrRoad_act!L123</f>
        <v>653</v>
      </c>
      <c r="M42" s="102">
        <f>TrRoad_act!M123</f>
        <v>713</v>
      </c>
      <c r="N42" s="102">
        <f>TrRoad_act!N123</f>
        <v>1147</v>
      </c>
      <c r="O42" s="102">
        <f>TrRoad_act!O123</f>
        <v>1424</v>
      </c>
      <c r="P42" s="102">
        <f>TrRoad_act!P123</f>
        <v>1453</v>
      </c>
      <c r="Q42" s="102">
        <f>TrRoad_act!Q123</f>
        <v>1315</v>
      </c>
      <c r="R42" s="102">
        <f>TrRoad_act!R123</f>
        <v>1198</v>
      </c>
      <c r="S42" s="102">
        <f>TrRoad_act!S123</f>
        <v>1222</v>
      </c>
      <c r="T42" s="102">
        <f>TrRoad_act!T123</f>
        <v>1556</v>
      </c>
      <c r="U42" s="102">
        <f>TrRoad_act!U123</f>
        <v>1761</v>
      </c>
      <c r="V42" s="102">
        <f>TrRoad_act!V123</f>
        <v>672</v>
      </c>
      <c r="W42" s="102">
        <f>TrRoad_act!W123</f>
        <v>1039</v>
      </c>
      <c r="X42" s="102">
        <f>TrRoad_act!X123</f>
        <v>574</v>
      </c>
      <c r="Y42" s="102">
        <f>TrRoad_act!Y123</f>
        <v>797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1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19</v>
      </c>
      <c r="D44" s="102">
        <f>TrRoad_act!D125</f>
        <v>9</v>
      </c>
      <c r="E44" s="102">
        <f>TrRoad_act!E125</f>
        <v>19</v>
      </c>
      <c r="F44" s="102">
        <f>TrRoad_act!F125</f>
        <v>9</v>
      </c>
      <c r="G44" s="102">
        <f>TrRoad_act!G125</f>
        <v>15</v>
      </c>
      <c r="H44" s="102">
        <f>TrRoad_act!H125</f>
        <v>9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10</v>
      </c>
      <c r="O44" s="102">
        <f>TrRoad_act!O125</f>
        <v>23</v>
      </c>
      <c r="P44" s="102">
        <f>TrRoad_act!P125</f>
        <v>98</v>
      </c>
      <c r="Q44" s="102">
        <f>TrRoad_act!Q125</f>
        <v>90</v>
      </c>
      <c r="R44" s="102">
        <f>TrRoad_act!R125</f>
        <v>195</v>
      </c>
      <c r="S44" s="102">
        <f>TrRoad_act!S125</f>
        <v>88</v>
      </c>
      <c r="T44" s="102">
        <f>TrRoad_act!T125</f>
        <v>1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X44" s="102">
        <f>TrRoad_act!X125</f>
        <v>150</v>
      </c>
      <c r="Y44" s="102">
        <f>TrRoad_act!Y125</f>
        <v>5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1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20</v>
      </c>
      <c r="R45" s="102">
        <f>TrRoad_act!R126</f>
        <v>2</v>
      </c>
      <c r="S45" s="102">
        <f>TrRoad_act!S126</f>
        <v>0</v>
      </c>
      <c r="T45" s="102">
        <f>TrRoad_act!T126</f>
        <v>1</v>
      </c>
      <c r="U45" s="102">
        <f>TrRoad_act!U126</f>
        <v>0</v>
      </c>
      <c r="V45" s="102">
        <f>TrRoad_act!V126</f>
        <v>22</v>
      </c>
      <c r="W45" s="102">
        <f>TrRoad_act!W126</f>
        <v>47</v>
      </c>
      <c r="X45" s="102">
        <f>TrRoad_act!X126</f>
        <v>44</v>
      </c>
      <c r="Y45" s="102">
        <f>TrRoad_act!Y126</f>
        <v>60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22601</v>
      </c>
      <c r="C46" s="28">
        <f>TrRoad_act!C127</f>
        <v>31843</v>
      </c>
      <c r="D46" s="28">
        <f>TrRoad_act!D127</f>
        <v>37850</v>
      </c>
      <c r="E46" s="28">
        <f>TrRoad_act!E127</f>
        <v>34524</v>
      </c>
      <c r="F46" s="28">
        <f>TrRoad_act!F127</f>
        <v>30207</v>
      </c>
      <c r="G46" s="28">
        <f>TrRoad_act!G127</f>
        <v>34921</v>
      </c>
      <c r="H46" s="28">
        <f>TrRoad_act!H127</f>
        <v>49836</v>
      </c>
      <c r="I46" s="28">
        <f>TrRoad_act!I127</f>
        <v>43547</v>
      </c>
      <c r="J46" s="28">
        <f>TrRoad_act!J127</f>
        <v>50647</v>
      </c>
      <c r="K46" s="28">
        <f>TrRoad_act!K127</f>
        <v>52336</v>
      </c>
      <c r="L46" s="28">
        <f>TrRoad_act!L127</f>
        <v>59367</v>
      </c>
      <c r="M46" s="28">
        <f>TrRoad_act!M127</f>
        <v>34597</v>
      </c>
      <c r="N46" s="28">
        <f>TrRoad_act!N127</f>
        <v>20724</v>
      </c>
      <c r="O46" s="28">
        <f>TrRoad_act!O127</f>
        <v>48458</v>
      </c>
      <c r="P46" s="28">
        <f>TrRoad_act!P127</f>
        <v>41878</v>
      </c>
      <c r="Q46" s="28">
        <f>TrRoad_act!Q127</f>
        <v>44269</v>
      </c>
      <c r="R46" s="28">
        <f>TrRoad_act!R127</f>
        <v>47566</v>
      </c>
      <c r="S46" s="28">
        <f>TrRoad_act!S127</f>
        <v>56797</v>
      </c>
      <c r="T46" s="28">
        <f>TrRoad_act!T127</f>
        <v>63851</v>
      </c>
      <c r="U46" s="28">
        <f>TrRoad_act!U127</f>
        <v>65796</v>
      </c>
      <c r="V46" s="28">
        <f>TrRoad_act!V127</f>
        <v>54003</v>
      </c>
      <c r="W46" s="28">
        <f>TrRoad_act!W127</f>
        <v>61359</v>
      </c>
      <c r="X46" s="28">
        <f>TrRoad_act!X127</f>
        <v>57743</v>
      </c>
      <c r="Y46" s="28">
        <f>TrRoad_act!Y127</f>
        <v>60385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21957</v>
      </c>
      <c r="C47" s="137">
        <f>TrRoad_act!C128</f>
        <v>23068</v>
      </c>
      <c r="D47" s="137">
        <f>TrRoad_act!D128</f>
        <v>29516</v>
      </c>
      <c r="E47" s="137">
        <f>TrRoad_act!E128</f>
        <v>25194</v>
      </c>
      <c r="F47" s="137">
        <f>TrRoad_act!F128</f>
        <v>21741</v>
      </c>
      <c r="G47" s="137">
        <f>TrRoad_act!G128</f>
        <v>19942</v>
      </c>
      <c r="H47" s="137">
        <f>TrRoad_act!H128</f>
        <v>26247</v>
      </c>
      <c r="I47" s="137">
        <f>TrRoad_act!I128</f>
        <v>31793</v>
      </c>
      <c r="J47" s="137">
        <f>TrRoad_act!J128</f>
        <v>47306</v>
      </c>
      <c r="K47" s="137">
        <f>TrRoad_act!K128</f>
        <v>51029</v>
      </c>
      <c r="L47" s="137">
        <f>TrRoad_act!L128</f>
        <v>11915</v>
      </c>
      <c r="M47" s="137">
        <f>TrRoad_act!M128</f>
        <v>32283</v>
      </c>
      <c r="N47" s="137">
        <f>TrRoad_act!N128</f>
        <v>18998</v>
      </c>
      <c r="O47" s="137">
        <f>TrRoad_act!O128</f>
        <v>46712</v>
      </c>
      <c r="P47" s="137">
        <f>TrRoad_act!P128</f>
        <v>37633</v>
      </c>
      <c r="Q47" s="137">
        <f>TrRoad_act!Q128</f>
        <v>40818</v>
      </c>
      <c r="R47" s="137">
        <f>TrRoad_act!R128</f>
        <v>43474</v>
      </c>
      <c r="S47" s="137">
        <f>TrRoad_act!S128</f>
        <v>45748</v>
      </c>
      <c r="T47" s="137">
        <f>TrRoad_act!T128</f>
        <v>49010</v>
      </c>
      <c r="U47" s="137">
        <f>TrRoad_act!U128</f>
        <v>52274</v>
      </c>
      <c r="V47" s="137">
        <f>TrRoad_act!V128</f>
        <v>45067</v>
      </c>
      <c r="W47" s="137">
        <f>TrRoad_act!W128</f>
        <v>47126</v>
      </c>
      <c r="X47" s="137">
        <f>TrRoad_act!X128</f>
        <v>42708</v>
      </c>
      <c r="Y47" s="137">
        <f>TrRoad_act!Y128</f>
        <v>45945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2668</v>
      </c>
      <c r="C48" s="84">
        <f>TrRoad_act!C129</f>
        <v>1647</v>
      </c>
      <c r="D48" s="84">
        <f>TrRoad_act!D129</f>
        <v>1345</v>
      </c>
      <c r="E48" s="84">
        <f>TrRoad_act!E129</f>
        <v>956</v>
      </c>
      <c r="F48" s="84">
        <f>TrRoad_act!F129</f>
        <v>960</v>
      </c>
      <c r="G48" s="84">
        <f>TrRoad_act!G129</f>
        <v>723</v>
      </c>
      <c r="H48" s="84">
        <f>TrRoad_act!H129</f>
        <v>340</v>
      </c>
      <c r="I48" s="84">
        <f>TrRoad_act!I129</f>
        <v>629</v>
      </c>
      <c r="J48" s="84">
        <f>TrRoad_act!J129</f>
        <v>644</v>
      </c>
      <c r="K48" s="84">
        <f>TrRoad_act!K129</f>
        <v>707</v>
      </c>
      <c r="L48" s="84">
        <f>TrRoad_act!L129</f>
        <v>323</v>
      </c>
      <c r="M48" s="84">
        <f>TrRoad_act!M129</f>
        <v>159</v>
      </c>
      <c r="N48" s="84">
        <f>TrRoad_act!N129</f>
        <v>240</v>
      </c>
      <c r="O48" s="84">
        <f>TrRoad_act!O129</f>
        <v>7294</v>
      </c>
      <c r="P48" s="84">
        <f>TrRoad_act!P129</f>
        <v>2882</v>
      </c>
      <c r="Q48" s="84">
        <f>TrRoad_act!Q129</f>
        <v>1317</v>
      </c>
      <c r="R48" s="84">
        <f>TrRoad_act!R129</f>
        <v>764</v>
      </c>
      <c r="S48" s="84">
        <f>TrRoad_act!S129</f>
        <v>986</v>
      </c>
      <c r="T48" s="84">
        <f>TrRoad_act!T129</f>
        <v>1079</v>
      </c>
      <c r="U48" s="84">
        <f>TrRoad_act!U129</f>
        <v>1057</v>
      </c>
      <c r="V48" s="84">
        <f>TrRoad_act!V129</f>
        <v>471</v>
      </c>
      <c r="W48" s="84">
        <f>TrRoad_act!W129</f>
        <v>703</v>
      </c>
      <c r="X48" s="84">
        <f>TrRoad_act!X129</f>
        <v>1133</v>
      </c>
      <c r="Y48" s="84">
        <f>TrRoad_act!Y129</f>
        <v>1534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19282</v>
      </c>
      <c r="C49" s="84">
        <f>TrRoad_act!C130</f>
        <v>21212</v>
      </c>
      <c r="D49" s="84">
        <f>TrRoad_act!D130</f>
        <v>28171</v>
      </c>
      <c r="E49" s="84">
        <f>TrRoad_act!E130</f>
        <v>24238</v>
      </c>
      <c r="F49" s="84">
        <f>TrRoad_act!F130</f>
        <v>20781</v>
      </c>
      <c r="G49" s="84">
        <f>TrRoad_act!G130</f>
        <v>19219</v>
      </c>
      <c r="H49" s="84">
        <f>TrRoad_act!H130</f>
        <v>25907</v>
      </c>
      <c r="I49" s="84">
        <f>TrRoad_act!I130</f>
        <v>31164</v>
      </c>
      <c r="J49" s="84">
        <f>TrRoad_act!J130</f>
        <v>46662</v>
      </c>
      <c r="K49" s="84">
        <f>TrRoad_act!K130</f>
        <v>50322</v>
      </c>
      <c r="L49" s="84">
        <f>TrRoad_act!L130</f>
        <v>11592</v>
      </c>
      <c r="M49" s="84">
        <f>TrRoad_act!M130</f>
        <v>32124</v>
      </c>
      <c r="N49" s="84">
        <f>TrRoad_act!N130</f>
        <v>18750</v>
      </c>
      <c r="O49" s="84">
        <f>TrRoad_act!O130</f>
        <v>39326</v>
      </c>
      <c r="P49" s="84">
        <f>TrRoad_act!P130</f>
        <v>34724</v>
      </c>
      <c r="Q49" s="84">
        <f>TrRoad_act!Q130</f>
        <v>39149</v>
      </c>
      <c r="R49" s="84">
        <f>TrRoad_act!R130</f>
        <v>42638</v>
      </c>
      <c r="S49" s="84">
        <f>TrRoad_act!S130</f>
        <v>44584</v>
      </c>
      <c r="T49" s="84">
        <f>TrRoad_act!T130</f>
        <v>47659</v>
      </c>
      <c r="U49" s="84">
        <f>TrRoad_act!U130</f>
        <v>51073</v>
      </c>
      <c r="V49" s="84">
        <f>TrRoad_act!V130</f>
        <v>44294</v>
      </c>
      <c r="W49" s="84">
        <f>TrRoad_act!W130</f>
        <v>45963</v>
      </c>
      <c r="X49" s="84">
        <f>TrRoad_act!X130</f>
        <v>40761</v>
      </c>
      <c r="Y49" s="84">
        <f>TrRoad_act!Y130</f>
        <v>43013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209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</v>
      </c>
      <c r="O50" s="84">
        <f>TrRoad_act!O131</f>
        <v>0</v>
      </c>
      <c r="P50" s="84">
        <f>TrRoad_act!P131</f>
        <v>0</v>
      </c>
      <c r="Q50" s="84">
        <f>TrRoad_act!Q131</f>
        <v>5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3</v>
      </c>
      <c r="W50" s="84">
        <f>TrRoad_act!W131</f>
        <v>1</v>
      </c>
      <c r="X50" s="84">
        <f>TrRoad_act!X131</f>
        <v>53</v>
      </c>
      <c r="Y50" s="84">
        <f>TrRoad_act!Y131</f>
        <v>141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7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7</v>
      </c>
      <c r="O51" s="84">
        <f>TrRoad_act!O132</f>
        <v>71</v>
      </c>
      <c r="P51" s="84">
        <f>TrRoad_act!P132</f>
        <v>25</v>
      </c>
      <c r="Q51" s="84">
        <f>TrRoad_act!Q132</f>
        <v>326</v>
      </c>
      <c r="R51" s="84">
        <f>TrRoad_act!R132</f>
        <v>21</v>
      </c>
      <c r="S51" s="84">
        <f>TrRoad_act!S132</f>
        <v>83</v>
      </c>
      <c r="T51" s="84">
        <f>TrRoad_act!T132</f>
        <v>76</v>
      </c>
      <c r="U51" s="84">
        <f>TrRoad_act!U132</f>
        <v>21</v>
      </c>
      <c r="V51" s="84">
        <f>TrRoad_act!V132</f>
        <v>83</v>
      </c>
      <c r="W51" s="84">
        <f>TrRoad_act!W132</f>
        <v>80</v>
      </c>
      <c r="X51" s="84">
        <f>TrRoad_act!X132</f>
        <v>8</v>
      </c>
      <c r="Y51" s="84">
        <f>TrRoad_act!Y132</f>
        <v>414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21</v>
      </c>
      <c r="P52" s="84">
        <f>TrRoad_act!P133</f>
        <v>2</v>
      </c>
      <c r="Q52" s="84">
        <f>TrRoad_act!Q133</f>
        <v>21</v>
      </c>
      <c r="R52" s="84">
        <f>TrRoad_act!R133</f>
        <v>51</v>
      </c>
      <c r="S52" s="84">
        <f>TrRoad_act!S133</f>
        <v>95</v>
      </c>
      <c r="T52" s="84">
        <f>TrRoad_act!T133</f>
        <v>196</v>
      </c>
      <c r="U52" s="84">
        <f>TrRoad_act!U133</f>
        <v>123</v>
      </c>
      <c r="V52" s="84">
        <f>TrRoad_act!V133</f>
        <v>216</v>
      </c>
      <c r="W52" s="84">
        <f>TrRoad_act!W133</f>
        <v>379</v>
      </c>
      <c r="X52" s="84">
        <f>TrRoad_act!X133</f>
        <v>753</v>
      </c>
      <c r="Y52" s="84">
        <f>TrRoad_act!Y133</f>
        <v>843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644</v>
      </c>
      <c r="C53" s="110">
        <f>TrRoad_act!C134</f>
        <v>8775</v>
      </c>
      <c r="D53" s="110">
        <f>TrRoad_act!D134</f>
        <v>8334</v>
      </c>
      <c r="E53" s="110">
        <f>TrRoad_act!E134</f>
        <v>9330</v>
      </c>
      <c r="F53" s="110">
        <f>TrRoad_act!F134</f>
        <v>8466</v>
      </c>
      <c r="G53" s="110">
        <f>TrRoad_act!G134</f>
        <v>14979</v>
      </c>
      <c r="H53" s="110">
        <f>TrRoad_act!H134</f>
        <v>23589</v>
      </c>
      <c r="I53" s="110">
        <f>TrRoad_act!I134</f>
        <v>11754</v>
      </c>
      <c r="J53" s="110">
        <f>TrRoad_act!J134</f>
        <v>3341</v>
      </c>
      <c r="K53" s="110">
        <f>TrRoad_act!K134</f>
        <v>1307</v>
      </c>
      <c r="L53" s="110">
        <f>TrRoad_act!L134</f>
        <v>47452</v>
      </c>
      <c r="M53" s="110">
        <f>TrRoad_act!M134</f>
        <v>2314</v>
      </c>
      <c r="N53" s="110">
        <f>TrRoad_act!N134</f>
        <v>1726</v>
      </c>
      <c r="O53" s="110">
        <f>TrRoad_act!O134</f>
        <v>1746</v>
      </c>
      <c r="P53" s="110">
        <f>TrRoad_act!P134</f>
        <v>4245</v>
      </c>
      <c r="Q53" s="110">
        <f>TrRoad_act!Q134</f>
        <v>3451</v>
      </c>
      <c r="R53" s="110">
        <f>TrRoad_act!R134</f>
        <v>4092</v>
      </c>
      <c r="S53" s="110">
        <f>TrRoad_act!S134</f>
        <v>11049</v>
      </c>
      <c r="T53" s="110">
        <f>TrRoad_act!T134</f>
        <v>14841</v>
      </c>
      <c r="U53" s="110">
        <f>TrRoad_act!U134</f>
        <v>13522</v>
      </c>
      <c r="V53" s="110">
        <f>TrRoad_act!V134</f>
        <v>8936</v>
      </c>
      <c r="W53" s="110">
        <f>TrRoad_act!W134</f>
        <v>14233</v>
      </c>
      <c r="X53" s="110">
        <f>TrRoad_act!X134</f>
        <v>15035</v>
      </c>
      <c r="Y53" s="110">
        <f>TrRoad_act!Y134</f>
        <v>14440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8030</v>
      </c>
      <c r="D54" s="102">
        <f>TrRoad_act!D135</f>
        <v>7633</v>
      </c>
      <c r="E54" s="102">
        <f>TrRoad_act!E135</f>
        <v>8766</v>
      </c>
      <c r="F54" s="102">
        <f>TrRoad_act!F135</f>
        <v>6650</v>
      </c>
      <c r="G54" s="102">
        <f>TrRoad_act!G135</f>
        <v>14139</v>
      </c>
      <c r="H54" s="102">
        <f>TrRoad_act!H135</f>
        <v>22204</v>
      </c>
      <c r="I54" s="102">
        <f>TrRoad_act!I135</f>
        <v>10162</v>
      </c>
      <c r="J54" s="102">
        <f>TrRoad_act!J135</f>
        <v>1457</v>
      </c>
      <c r="K54" s="102">
        <f>TrRoad_act!K135</f>
        <v>1307</v>
      </c>
      <c r="L54" s="102">
        <f>TrRoad_act!L135</f>
        <v>47373</v>
      </c>
      <c r="M54" s="102">
        <f>TrRoad_act!M135</f>
        <v>1268</v>
      </c>
      <c r="N54" s="102">
        <f>TrRoad_act!N135</f>
        <v>1088</v>
      </c>
      <c r="O54" s="102">
        <f>TrRoad_act!O135</f>
        <v>957</v>
      </c>
      <c r="P54" s="102">
        <f>TrRoad_act!P135</f>
        <v>3353</v>
      </c>
      <c r="Q54" s="102">
        <f>TrRoad_act!Q135</f>
        <v>2139</v>
      </c>
      <c r="R54" s="102">
        <f>TrRoad_act!R135</f>
        <v>2596</v>
      </c>
      <c r="S54" s="102">
        <f>TrRoad_act!S135</f>
        <v>9276</v>
      </c>
      <c r="T54" s="102">
        <f>TrRoad_act!T135</f>
        <v>14016</v>
      </c>
      <c r="U54" s="102">
        <f>TrRoad_act!U135</f>
        <v>12349</v>
      </c>
      <c r="V54" s="102">
        <f>TrRoad_act!V135</f>
        <v>8689</v>
      </c>
      <c r="W54" s="102">
        <f>TrRoad_act!W135</f>
        <v>12126</v>
      </c>
      <c r="X54" s="102">
        <f>TrRoad_act!X135</f>
        <v>13315</v>
      </c>
      <c r="Y54" s="102">
        <f>TrRoad_act!Y135</f>
        <v>13496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644</v>
      </c>
      <c r="C55" s="86">
        <f>TrRoad_act!C136</f>
        <v>745</v>
      </c>
      <c r="D55" s="86">
        <f>TrRoad_act!D136</f>
        <v>701</v>
      </c>
      <c r="E55" s="86">
        <f>TrRoad_act!E136</f>
        <v>564</v>
      </c>
      <c r="F55" s="86">
        <f>TrRoad_act!F136</f>
        <v>1816</v>
      </c>
      <c r="G55" s="86">
        <f>TrRoad_act!G136</f>
        <v>840</v>
      </c>
      <c r="H55" s="86">
        <f>TrRoad_act!H136</f>
        <v>1385</v>
      </c>
      <c r="I55" s="86">
        <f>TrRoad_act!I136</f>
        <v>1592</v>
      </c>
      <c r="J55" s="86">
        <f>TrRoad_act!J136</f>
        <v>1884</v>
      </c>
      <c r="K55" s="86">
        <f>TrRoad_act!K136</f>
        <v>0</v>
      </c>
      <c r="L55" s="86">
        <f>TrRoad_act!L136</f>
        <v>79</v>
      </c>
      <c r="M55" s="86">
        <f>TrRoad_act!M136</f>
        <v>1046</v>
      </c>
      <c r="N55" s="86">
        <f>TrRoad_act!N136</f>
        <v>638</v>
      </c>
      <c r="O55" s="86">
        <f>TrRoad_act!O136</f>
        <v>789</v>
      </c>
      <c r="P55" s="86">
        <f>TrRoad_act!P136</f>
        <v>892</v>
      </c>
      <c r="Q55" s="86">
        <f>TrRoad_act!Q136</f>
        <v>1312</v>
      </c>
      <c r="R55" s="86">
        <f>TrRoad_act!R136</f>
        <v>1496</v>
      </c>
      <c r="S55" s="86">
        <f>TrRoad_act!S136</f>
        <v>1773</v>
      </c>
      <c r="T55" s="86">
        <f>TrRoad_act!T136</f>
        <v>825</v>
      </c>
      <c r="U55" s="86">
        <f>TrRoad_act!U136</f>
        <v>1173</v>
      </c>
      <c r="V55" s="86">
        <f>TrRoad_act!V136</f>
        <v>247</v>
      </c>
      <c r="W55" s="86">
        <f>TrRoad_act!W136</f>
        <v>2107</v>
      </c>
      <c r="X55" s="86">
        <f>TrRoad_act!X136</f>
        <v>1720</v>
      </c>
      <c r="Y55" s="86">
        <f>TrRoad_act!Y136</f>
        <v>944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388766</v>
      </c>
      <c r="C59" s="54">
        <f t="shared" si="0"/>
        <v>82751</v>
      </c>
      <c r="D59" s="54">
        <f t="shared" si="0"/>
        <v>118293</v>
      </c>
      <c r="E59" s="54">
        <f t="shared" si="0"/>
        <v>125463</v>
      </c>
      <c r="F59" s="54">
        <f t="shared" si="0"/>
        <v>155279</v>
      </c>
      <c r="G59" s="54">
        <f t="shared" si="0"/>
        <v>153008</v>
      </c>
      <c r="H59" s="54">
        <f t="shared" si="0"/>
        <v>205277</v>
      </c>
      <c r="I59" s="54">
        <f t="shared" si="0"/>
        <v>146088</v>
      </c>
      <c r="J59" s="54">
        <f t="shared" si="0"/>
        <v>149482</v>
      </c>
      <c r="K59" s="54">
        <f t="shared" si="0"/>
        <v>88002</v>
      </c>
      <c r="L59" s="54">
        <f t="shared" ref="L59" si="1">L60+L75</f>
        <v>94486</v>
      </c>
      <c r="M59" s="54">
        <f t="shared" ref="M59:V59" si="2">M60+M75</f>
        <v>88945</v>
      </c>
      <c r="N59" s="54">
        <f t="shared" si="2"/>
        <v>111991</v>
      </c>
      <c r="O59" s="54">
        <f t="shared" si="2"/>
        <v>154544</v>
      </c>
      <c r="P59" s="54">
        <f t="shared" si="2"/>
        <v>190318</v>
      </c>
      <c r="Q59" s="54">
        <f t="shared" si="2"/>
        <v>230981</v>
      </c>
      <c r="R59" s="54">
        <f t="shared" si="2"/>
        <v>276394</v>
      </c>
      <c r="S59" s="54">
        <f t="shared" si="2"/>
        <v>321508</v>
      </c>
      <c r="T59" s="54">
        <f t="shared" si="2"/>
        <v>360350</v>
      </c>
      <c r="U59" s="54">
        <f t="shared" si="2"/>
        <v>386968</v>
      </c>
      <c r="V59" s="54">
        <f t="shared" si="2"/>
        <v>321264</v>
      </c>
      <c r="W59" s="54">
        <f t="shared" ref="W59:Y59" si="3">W60+W75</f>
        <v>325970</v>
      </c>
      <c r="X59" s="54">
        <f t="shared" si="3"/>
        <v>307119</v>
      </c>
      <c r="Y59" s="54">
        <f t="shared" si="3"/>
        <v>288475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388766</v>
      </c>
      <c r="C60" s="28">
        <f t="shared" si="4"/>
        <v>82749</v>
      </c>
      <c r="D60" s="28">
        <f t="shared" si="4"/>
        <v>118293</v>
      </c>
      <c r="E60" s="28">
        <f t="shared" si="4"/>
        <v>125463</v>
      </c>
      <c r="F60" s="28">
        <f t="shared" si="4"/>
        <v>155279</v>
      </c>
      <c r="G60" s="28">
        <f t="shared" si="4"/>
        <v>153008</v>
      </c>
      <c r="H60" s="28">
        <f t="shared" si="4"/>
        <v>205277</v>
      </c>
      <c r="I60" s="28">
        <f t="shared" si="4"/>
        <v>144838</v>
      </c>
      <c r="J60" s="28">
        <f t="shared" si="4"/>
        <v>138292</v>
      </c>
      <c r="K60" s="28">
        <f t="shared" si="4"/>
        <v>64324</v>
      </c>
      <c r="L60" s="28">
        <f t="shared" ref="L60" si="5">L61+L62+L69</f>
        <v>54156</v>
      </c>
      <c r="M60" s="28">
        <f t="shared" ref="M60:V60" si="6">M61+M62+M69</f>
        <v>68050</v>
      </c>
      <c r="N60" s="28">
        <f t="shared" si="6"/>
        <v>98147</v>
      </c>
      <c r="O60" s="28">
        <f t="shared" si="6"/>
        <v>119599</v>
      </c>
      <c r="P60" s="28">
        <f t="shared" si="6"/>
        <v>157441</v>
      </c>
      <c r="Q60" s="28">
        <f t="shared" si="6"/>
        <v>194430</v>
      </c>
      <c r="R60" s="28">
        <f t="shared" si="6"/>
        <v>235089</v>
      </c>
      <c r="S60" s="28">
        <f t="shared" si="6"/>
        <v>269606</v>
      </c>
      <c r="T60" s="28">
        <f t="shared" si="6"/>
        <v>299956</v>
      </c>
      <c r="U60" s="28">
        <f t="shared" si="6"/>
        <v>323546</v>
      </c>
      <c r="V60" s="28">
        <f t="shared" si="6"/>
        <v>268340</v>
      </c>
      <c r="W60" s="28">
        <f t="shared" ref="W60:Y60" si="7">W61+W62+W69</f>
        <v>265232</v>
      </c>
      <c r="X60" s="28">
        <f t="shared" si="7"/>
        <v>249541</v>
      </c>
      <c r="Y60" s="28">
        <f t="shared" si="7"/>
        <v>228090</v>
      </c>
      <c r="DA60" s="173" t="s">
        <v>839</v>
      </c>
    </row>
    <row r="61" spans="1:105" ht="11.45" customHeight="1" x14ac:dyDescent="0.25">
      <c r="A61" s="136" t="s">
        <v>173</v>
      </c>
      <c r="B61" s="137">
        <v>19713</v>
      </c>
      <c r="C61" s="137">
        <v>2305</v>
      </c>
      <c r="D61" s="137">
        <v>5441</v>
      </c>
      <c r="E61" s="137">
        <v>6711</v>
      </c>
      <c r="F61" s="137">
        <v>12598</v>
      </c>
      <c r="G61" s="137">
        <v>10064</v>
      </c>
      <c r="H61" s="137">
        <v>9898</v>
      </c>
      <c r="I61" s="137">
        <v>10683</v>
      </c>
      <c r="J61" s="137">
        <v>10516</v>
      </c>
      <c r="K61" s="137">
        <v>6482</v>
      </c>
      <c r="L61" s="137">
        <v>5448</v>
      </c>
      <c r="M61" s="137">
        <v>5560</v>
      </c>
      <c r="N61" s="137">
        <v>6571</v>
      </c>
      <c r="O61" s="137">
        <v>7036</v>
      </c>
      <c r="P61" s="137">
        <v>7602</v>
      </c>
      <c r="Q61" s="137">
        <v>8080</v>
      </c>
      <c r="R61" s="137">
        <v>8418</v>
      </c>
      <c r="S61" s="137">
        <v>7536</v>
      </c>
      <c r="T61" s="137">
        <v>11035</v>
      </c>
      <c r="U61" s="137">
        <v>12413</v>
      </c>
      <c r="V61" s="137">
        <v>11391</v>
      </c>
      <c r="W61" s="137">
        <v>10826</v>
      </c>
      <c r="X61" s="137">
        <v>11258</v>
      </c>
      <c r="Y61" s="137">
        <v>13806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369025</v>
      </c>
      <c r="C62" s="110">
        <f t="shared" si="8"/>
        <v>80444</v>
      </c>
      <c r="D62" s="110">
        <f t="shared" si="8"/>
        <v>112852</v>
      </c>
      <c r="E62" s="110">
        <f t="shared" si="8"/>
        <v>118737</v>
      </c>
      <c r="F62" s="110">
        <f t="shared" si="8"/>
        <v>142431</v>
      </c>
      <c r="G62" s="110">
        <f t="shared" si="8"/>
        <v>142469</v>
      </c>
      <c r="H62" s="110">
        <f t="shared" si="8"/>
        <v>194240</v>
      </c>
      <c r="I62" s="110">
        <f t="shared" si="8"/>
        <v>133423</v>
      </c>
      <c r="J62" s="110">
        <f t="shared" si="8"/>
        <v>127254</v>
      </c>
      <c r="K62" s="110">
        <f t="shared" si="8"/>
        <v>57489</v>
      </c>
      <c r="L62" s="110">
        <f t="shared" ref="L62" si="9">SUM(L63:L68)</f>
        <v>48324</v>
      </c>
      <c r="M62" s="110">
        <f t="shared" ref="M62:V62" si="10">SUM(M63:M68)</f>
        <v>62028</v>
      </c>
      <c r="N62" s="110">
        <f t="shared" si="10"/>
        <v>90773</v>
      </c>
      <c r="O62" s="110">
        <f t="shared" si="10"/>
        <v>111496</v>
      </c>
      <c r="P62" s="110">
        <f t="shared" si="10"/>
        <v>148678</v>
      </c>
      <c r="Q62" s="110">
        <f t="shared" si="10"/>
        <v>185225</v>
      </c>
      <c r="R62" s="110">
        <f t="shared" si="10"/>
        <v>225476</v>
      </c>
      <c r="S62" s="110">
        <f t="shared" si="10"/>
        <v>260867</v>
      </c>
      <c r="T62" s="110">
        <f t="shared" si="10"/>
        <v>287454</v>
      </c>
      <c r="U62" s="110">
        <f t="shared" si="10"/>
        <v>309437</v>
      </c>
      <c r="V62" s="110">
        <f t="shared" si="10"/>
        <v>256262</v>
      </c>
      <c r="W62" s="110">
        <f t="shared" ref="W62:Y62" si="11">SUM(W63:W68)</f>
        <v>253329</v>
      </c>
      <c r="X62" s="110">
        <f t="shared" si="11"/>
        <v>237516</v>
      </c>
      <c r="Y62" s="110">
        <f t="shared" si="11"/>
        <v>213422</v>
      </c>
      <c r="DA62" s="176" t="s">
        <v>841</v>
      </c>
    </row>
    <row r="63" spans="1:105" ht="11.45" customHeight="1" x14ac:dyDescent="0.25">
      <c r="A63" s="111" t="s">
        <v>110</v>
      </c>
      <c r="B63" s="84">
        <v>330071</v>
      </c>
      <c r="C63" s="84">
        <v>69002</v>
      </c>
      <c r="D63" s="84">
        <v>93832</v>
      </c>
      <c r="E63" s="84">
        <v>90072</v>
      </c>
      <c r="F63" s="84">
        <v>111236</v>
      </c>
      <c r="G63" s="84">
        <v>134378</v>
      </c>
      <c r="H63" s="84">
        <v>106895</v>
      </c>
      <c r="I63" s="84">
        <v>83822</v>
      </c>
      <c r="J63" s="84">
        <v>79287</v>
      </c>
      <c r="K63" s="84">
        <v>31691</v>
      </c>
      <c r="L63" s="84">
        <v>22510</v>
      </c>
      <c r="M63" s="84">
        <v>38450</v>
      </c>
      <c r="N63" s="84">
        <v>53134</v>
      </c>
      <c r="O63" s="84">
        <v>52528</v>
      </c>
      <c r="P63" s="84">
        <v>76482</v>
      </c>
      <c r="Q63" s="84">
        <v>97896</v>
      </c>
      <c r="R63" s="84">
        <v>114732</v>
      </c>
      <c r="S63" s="84">
        <v>142652</v>
      </c>
      <c r="T63" s="84">
        <v>172426</v>
      </c>
      <c r="U63" s="84">
        <v>203704</v>
      </c>
      <c r="V63" s="84">
        <v>195719</v>
      </c>
      <c r="W63" s="84">
        <v>166706</v>
      </c>
      <c r="X63" s="84">
        <v>151118</v>
      </c>
      <c r="Y63" s="84">
        <v>124809</v>
      </c>
      <c r="DA63" s="171" t="s">
        <v>842</v>
      </c>
    </row>
    <row r="64" spans="1:105" ht="11.45" customHeight="1" x14ac:dyDescent="0.25">
      <c r="A64" s="111" t="s">
        <v>111</v>
      </c>
      <c r="B64" s="84">
        <v>38954</v>
      </c>
      <c r="C64" s="84">
        <v>11442</v>
      </c>
      <c r="D64" s="84">
        <v>19020</v>
      </c>
      <c r="E64" s="84">
        <v>25587</v>
      </c>
      <c r="F64" s="84">
        <v>31195</v>
      </c>
      <c r="G64" s="84">
        <v>8091</v>
      </c>
      <c r="H64" s="84">
        <v>87345</v>
      </c>
      <c r="I64" s="84">
        <v>49601</v>
      </c>
      <c r="J64" s="84">
        <v>47967</v>
      </c>
      <c r="K64" s="84">
        <v>25798</v>
      </c>
      <c r="L64" s="84">
        <v>24405</v>
      </c>
      <c r="M64" s="84">
        <v>18618</v>
      </c>
      <c r="N64" s="84">
        <v>35947</v>
      </c>
      <c r="O64" s="84">
        <v>53962</v>
      </c>
      <c r="P64" s="84">
        <v>68768</v>
      </c>
      <c r="Q64" s="84">
        <v>84627</v>
      </c>
      <c r="R64" s="84">
        <v>110397</v>
      </c>
      <c r="S64" s="84">
        <v>116860</v>
      </c>
      <c r="T64" s="84">
        <v>112684</v>
      </c>
      <c r="U64" s="84">
        <v>102044</v>
      </c>
      <c r="V64" s="84">
        <v>52914</v>
      </c>
      <c r="W64" s="84">
        <v>73328</v>
      </c>
      <c r="X64" s="84">
        <v>69421</v>
      </c>
      <c r="Y64" s="84">
        <v>71057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3078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1282</v>
      </c>
      <c r="M65" s="84">
        <v>4712</v>
      </c>
      <c r="N65" s="84">
        <v>1687</v>
      </c>
      <c r="O65" s="84">
        <v>4587</v>
      </c>
      <c r="P65" s="84">
        <v>3146</v>
      </c>
      <c r="Q65" s="84">
        <v>1577</v>
      </c>
      <c r="R65" s="84">
        <v>6</v>
      </c>
      <c r="S65" s="84">
        <v>0</v>
      </c>
      <c r="T65" s="84">
        <v>28</v>
      </c>
      <c r="U65" s="84">
        <v>10</v>
      </c>
      <c r="V65" s="84">
        <v>318</v>
      </c>
      <c r="W65" s="84">
        <v>592</v>
      </c>
      <c r="X65" s="84">
        <v>771</v>
      </c>
      <c r="Y65" s="84">
        <v>559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410</v>
      </c>
      <c r="P66" s="84">
        <v>257</v>
      </c>
      <c r="Q66" s="84">
        <v>1016</v>
      </c>
      <c r="R66" s="84">
        <v>155</v>
      </c>
      <c r="S66" s="84">
        <v>238</v>
      </c>
      <c r="T66" s="84">
        <v>125</v>
      </c>
      <c r="U66" s="84">
        <v>19</v>
      </c>
      <c r="V66" s="84">
        <v>11</v>
      </c>
      <c r="W66" s="84">
        <v>11</v>
      </c>
      <c r="X66" s="84">
        <v>13</v>
      </c>
      <c r="Y66" s="84">
        <v>3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412</v>
      </c>
      <c r="U67" s="84">
        <v>949</v>
      </c>
      <c r="V67" s="84">
        <v>2894</v>
      </c>
      <c r="W67" s="84">
        <v>4854</v>
      </c>
      <c r="X67" s="84">
        <v>5088</v>
      </c>
      <c r="Y67" s="84">
        <v>5447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127</v>
      </c>
      <c r="M68" s="84">
        <v>248</v>
      </c>
      <c r="N68" s="84">
        <v>5</v>
      </c>
      <c r="O68" s="84">
        <v>9</v>
      </c>
      <c r="P68" s="84">
        <v>25</v>
      </c>
      <c r="Q68" s="84">
        <v>109</v>
      </c>
      <c r="R68" s="84">
        <v>186</v>
      </c>
      <c r="S68" s="84">
        <v>1117</v>
      </c>
      <c r="T68" s="84">
        <v>1779</v>
      </c>
      <c r="U68" s="84">
        <v>2711</v>
      </c>
      <c r="V68" s="84">
        <v>4406</v>
      </c>
      <c r="W68" s="84">
        <v>7838</v>
      </c>
      <c r="X68" s="84">
        <v>11105</v>
      </c>
      <c r="Y68" s="84">
        <v>11547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28</v>
      </c>
      <c r="C69" s="110">
        <f t="shared" si="12"/>
        <v>0</v>
      </c>
      <c r="D69" s="110">
        <f t="shared" si="12"/>
        <v>0</v>
      </c>
      <c r="E69" s="110">
        <f t="shared" si="12"/>
        <v>15</v>
      </c>
      <c r="F69" s="110">
        <f t="shared" si="12"/>
        <v>250</v>
      </c>
      <c r="G69" s="110">
        <f t="shared" si="12"/>
        <v>475</v>
      </c>
      <c r="H69" s="110">
        <f t="shared" si="12"/>
        <v>1139</v>
      </c>
      <c r="I69" s="110">
        <f t="shared" si="12"/>
        <v>732</v>
      </c>
      <c r="J69" s="110">
        <f t="shared" si="12"/>
        <v>522</v>
      </c>
      <c r="K69" s="110">
        <f t="shared" si="12"/>
        <v>353</v>
      </c>
      <c r="L69" s="110">
        <f t="shared" ref="L69" si="13">SUM(L70:L74)</f>
        <v>384</v>
      </c>
      <c r="M69" s="110">
        <f t="shared" ref="M69:V69" si="14">SUM(M70:M74)</f>
        <v>462</v>
      </c>
      <c r="N69" s="110">
        <f t="shared" si="14"/>
        <v>803</v>
      </c>
      <c r="O69" s="110">
        <f t="shared" si="14"/>
        <v>1067</v>
      </c>
      <c r="P69" s="110">
        <f t="shared" si="14"/>
        <v>1161</v>
      </c>
      <c r="Q69" s="110">
        <f t="shared" si="14"/>
        <v>1125</v>
      </c>
      <c r="R69" s="110">
        <f t="shared" si="14"/>
        <v>1195</v>
      </c>
      <c r="S69" s="110">
        <f t="shared" si="14"/>
        <v>1203</v>
      </c>
      <c r="T69" s="110">
        <f t="shared" si="14"/>
        <v>1467</v>
      </c>
      <c r="U69" s="110">
        <f t="shared" si="14"/>
        <v>1696</v>
      </c>
      <c r="V69" s="110">
        <f t="shared" si="14"/>
        <v>687</v>
      </c>
      <c r="W69" s="110">
        <f t="shared" ref="W69:Y69" si="15">SUM(W70:W74)</f>
        <v>1077</v>
      </c>
      <c r="X69" s="110">
        <f t="shared" si="15"/>
        <v>767</v>
      </c>
      <c r="Y69" s="110">
        <f t="shared" si="15"/>
        <v>862</v>
      </c>
      <c r="DA69" s="176" t="s">
        <v>848</v>
      </c>
    </row>
    <row r="70" spans="1:105" ht="11.45" customHeight="1" x14ac:dyDescent="0.25">
      <c r="A70" s="111" t="s">
        <v>110</v>
      </c>
      <c r="B70" s="102">
        <v>28</v>
      </c>
      <c r="C70" s="102">
        <v>0</v>
      </c>
      <c r="D70" s="102">
        <v>0</v>
      </c>
      <c r="E70" s="102">
        <v>0</v>
      </c>
      <c r="F70" s="102">
        <v>1</v>
      </c>
      <c r="G70" s="102">
        <v>1</v>
      </c>
      <c r="H70" s="102">
        <v>0</v>
      </c>
      <c r="I70" s="102">
        <v>1</v>
      </c>
      <c r="J70" s="102">
        <v>4</v>
      </c>
      <c r="K70" s="102">
        <v>0</v>
      </c>
      <c r="L70" s="102">
        <v>3</v>
      </c>
      <c r="M70" s="102">
        <v>5</v>
      </c>
      <c r="N70" s="102">
        <v>4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6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15</v>
      </c>
      <c r="F71" s="102">
        <v>249</v>
      </c>
      <c r="G71" s="102">
        <v>474</v>
      </c>
      <c r="H71" s="102">
        <v>1139</v>
      </c>
      <c r="I71" s="102">
        <v>731</v>
      </c>
      <c r="J71" s="102">
        <v>518</v>
      </c>
      <c r="K71" s="102">
        <v>353</v>
      </c>
      <c r="L71" s="102">
        <v>381</v>
      </c>
      <c r="M71" s="102">
        <v>457</v>
      </c>
      <c r="N71" s="102">
        <v>799</v>
      </c>
      <c r="O71" s="102">
        <v>1067</v>
      </c>
      <c r="P71" s="102">
        <v>1159</v>
      </c>
      <c r="Q71" s="102">
        <v>1106</v>
      </c>
      <c r="R71" s="102">
        <v>1054</v>
      </c>
      <c r="S71" s="102">
        <v>1116</v>
      </c>
      <c r="T71" s="102">
        <v>1464</v>
      </c>
      <c r="U71" s="102">
        <v>1696</v>
      </c>
      <c r="V71" s="102">
        <v>659</v>
      </c>
      <c r="W71" s="102">
        <v>1030</v>
      </c>
      <c r="X71" s="102">
        <v>573</v>
      </c>
      <c r="Y71" s="102">
        <v>797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1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138</v>
      </c>
      <c r="S73" s="102">
        <v>87</v>
      </c>
      <c r="T73" s="102">
        <v>1</v>
      </c>
      <c r="U73" s="102">
        <v>0</v>
      </c>
      <c r="V73" s="102">
        <v>0</v>
      </c>
      <c r="W73" s="102">
        <v>0</v>
      </c>
      <c r="X73" s="102">
        <v>150</v>
      </c>
      <c r="Y73" s="102">
        <v>5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1</v>
      </c>
      <c r="Q74" s="102">
        <v>19</v>
      </c>
      <c r="R74" s="102">
        <v>2</v>
      </c>
      <c r="S74" s="102">
        <v>0</v>
      </c>
      <c r="T74" s="102">
        <v>1</v>
      </c>
      <c r="U74" s="102">
        <v>0</v>
      </c>
      <c r="V74" s="102">
        <v>22</v>
      </c>
      <c r="W74" s="102">
        <v>47</v>
      </c>
      <c r="X74" s="102">
        <v>44</v>
      </c>
      <c r="Y74" s="102">
        <v>60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2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1250</v>
      </c>
      <c r="J75" s="28">
        <f t="shared" si="16"/>
        <v>11190</v>
      </c>
      <c r="K75" s="28">
        <f t="shared" si="16"/>
        <v>23678</v>
      </c>
      <c r="L75" s="28">
        <f t="shared" ref="L75" si="17">L76+L82</f>
        <v>40330</v>
      </c>
      <c r="M75" s="28">
        <f t="shared" ref="M75:V75" si="18">M76+M82</f>
        <v>20895</v>
      </c>
      <c r="N75" s="28">
        <f t="shared" si="18"/>
        <v>13844</v>
      </c>
      <c r="O75" s="28">
        <f t="shared" si="18"/>
        <v>34945</v>
      </c>
      <c r="P75" s="28">
        <f t="shared" si="18"/>
        <v>32877</v>
      </c>
      <c r="Q75" s="28">
        <f t="shared" si="18"/>
        <v>36551</v>
      </c>
      <c r="R75" s="28">
        <f t="shared" si="18"/>
        <v>41305</v>
      </c>
      <c r="S75" s="28">
        <f t="shared" si="18"/>
        <v>51902</v>
      </c>
      <c r="T75" s="28">
        <f t="shared" si="18"/>
        <v>60394</v>
      </c>
      <c r="U75" s="28">
        <f t="shared" si="18"/>
        <v>63422</v>
      </c>
      <c r="V75" s="28">
        <f t="shared" si="18"/>
        <v>52924</v>
      </c>
      <c r="W75" s="28">
        <f t="shared" ref="W75:Y75" si="19">W76+W82</f>
        <v>60738</v>
      </c>
      <c r="X75" s="28">
        <f t="shared" si="19"/>
        <v>57578</v>
      </c>
      <c r="Y75" s="28">
        <f t="shared" si="19"/>
        <v>60385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2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9611</v>
      </c>
      <c r="K76" s="137">
        <f t="shared" si="20"/>
        <v>22853</v>
      </c>
      <c r="L76" s="137">
        <f t="shared" ref="L76" si="21">SUM(L77:L81)</f>
        <v>6296</v>
      </c>
      <c r="M76" s="137">
        <f t="shared" ref="M76:V76" si="22">SUM(M77:M81)</f>
        <v>19193</v>
      </c>
      <c r="N76" s="137">
        <f t="shared" si="22"/>
        <v>12477</v>
      </c>
      <c r="O76" s="137">
        <f t="shared" si="22"/>
        <v>33522</v>
      </c>
      <c r="P76" s="137">
        <f t="shared" si="22"/>
        <v>29080</v>
      </c>
      <c r="Q76" s="137">
        <f t="shared" si="22"/>
        <v>33495</v>
      </c>
      <c r="R76" s="137">
        <f t="shared" si="22"/>
        <v>37587</v>
      </c>
      <c r="S76" s="137">
        <f t="shared" si="22"/>
        <v>41276</v>
      </c>
      <c r="T76" s="137">
        <f t="shared" si="22"/>
        <v>45747</v>
      </c>
      <c r="U76" s="137">
        <f t="shared" si="22"/>
        <v>50078</v>
      </c>
      <c r="V76" s="137">
        <f t="shared" si="22"/>
        <v>44017</v>
      </c>
      <c r="W76" s="137">
        <f t="shared" ref="W76:Y76" si="23">SUM(W77:W81)</f>
        <v>46651</v>
      </c>
      <c r="X76" s="137">
        <f t="shared" si="23"/>
        <v>42605</v>
      </c>
      <c r="Y76" s="137">
        <f t="shared" si="23"/>
        <v>45945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32</v>
      </c>
      <c r="L77" s="84">
        <v>153</v>
      </c>
      <c r="M77" s="84">
        <v>90</v>
      </c>
      <c r="N77" s="84">
        <v>156</v>
      </c>
      <c r="O77" s="84">
        <v>5326</v>
      </c>
      <c r="P77" s="84">
        <v>2304</v>
      </c>
      <c r="Q77" s="84">
        <v>1130</v>
      </c>
      <c r="R77" s="84">
        <v>693</v>
      </c>
      <c r="S77" s="84">
        <v>929</v>
      </c>
      <c r="T77" s="84">
        <v>1046</v>
      </c>
      <c r="U77" s="84">
        <v>1043</v>
      </c>
      <c r="V77" s="84">
        <v>469</v>
      </c>
      <c r="W77" s="84">
        <v>703</v>
      </c>
      <c r="X77" s="84">
        <v>1133</v>
      </c>
      <c r="Y77" s="84">
        <v>1534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9611</v>
      </c>
      <c r="K78" s="84">
        <v>22821</v>
      </c>
      <c r="L78" s="84">
        <v>6143</v>
      </c>
      <c r="M78" s="84">
        <v>19103</v>
      </c>
      <c r="N78" s="84">
        <v>12320</v>
      </c>
      <c r="O78" s="84">
        <v>28160</v>
      </c>
      <c r="P78" s="84">
        <v>26760</v>
      </c>
      <c r="Q78" s="84">
        <v>32103</v>
      </c>
      <c r="R78" s="84">
        <v>36824</v>
      </c>
      <c r="S78" s="84">
        <v>40177</v>
      </c>
      <c r="T78" s="84">
        <v>44433</v>
      </c>
      <c r="U78" s="84">
        <v>48892</v>
      </c>
      <c r="V78" s="84">
        <v>43247</v>
      </c>
      <c r="W78" s="84">
        <v>45489</v>
      </c>
      <c r="X78" s="84">
        <v>40658</v>
      </c>
      <c r="Y78" s="84">
        <v>43013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2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</v>
      </c>
      <c r="O79" s="84">
        <v>0</v>
      </c>
      <c r="P79" s="84">
        <v>0</v>
      </c>
      <c r="Q79" s="84">
        <v>5</v>
      </c>
      <c r="R79" s="84">
        <v>0</v>
      </c>
      <c r="S79" s="84">
        <v>0</v>
      </c>
      <c r="T79" s="84">
        <v>0</v>
      </c>
      <c r="U79" s="84">
        <v>0</v>
      </c>
      <c r="V79" s="84">
        <v>3</v>
      </c>
      <c r="W79" s="84">
        <v>1</v>
      </c>
      <c r="X79" s="84">
        <v>53</v>
      </c>
      <c r="Y79" s="84">
        <v>141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16</v>
      </c>
      <c r="P80" s="84">
        <v>14</v>
      </c>
      <c r="Q80" s="84">
        <v>236</v>
      </c>
      <c r="R80" s="84">
        <v>19</v>
      </c>
      <c r="S80" s="84">
        <v>75</v>
      </c>
      <c r="T80" s="84">
        <v>72</v>
      </c>
      <c r="U80" s="84">
        <v>20</v>
      </c>
      <c r="V80" s="84">
        <v>82</v>
      </c>
      <c r="W80" s="84">
        <v>79</v>
      </c>
      <c r="X80" s="84">
        <v>8</v>
      </c>
      <c r="Y80" s="84">
        <v>414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20</v>
      </c>
      <c r="P81" s="84">
        <v>2</v>
      </c>
      <c r="Q81" s="84">
        <v>21</v>
      </c>
      <c r="R81" s="84">
        <v>51</v>
      </c>
      <c r="S81" s="84">
        <v>95</v>
      </c>
      <c r="T81" s="84">
        <v>196</v>
      </c>
      <c r="U81" s="84">
        <v>123</v>
      </c>
      <c r="V81" s="84">
        <v>216</v>
      </c>
      <c r="W81" s="84">
        <v>379</v>
      </c>
      <c r="X81" s="84">
        <v>753</v>
      </c>
      <c r="Y81" s="84">
        <v>843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1250</v>
      </c>
      <c r="J82" s="110">
        <f t="shared" si="24"/>
        <v>1579</v>
      </c>
      <c r="K82" s="110">
        <f t="shared" si="24"/>
        <v>825</v>
      </c>
      <c r="L82" s="110">
        <f t="shared" ref="L82" si="25">SUM(L83:L84)</f>
        <v>34034</v>
      </c>
      <c r="M82" s="110">
        <f t="shared" ref="M82:V82" si="26">SUM(M83:M84)</f>
        <v>1702</v>
      </c>
      <c r="N82" s="110">
        <f t="shared" si="26"/>
        <v>1367</v>
      </c>
      <c r="O82" s="110">
        <f t="shared" si="26"/>
        <v>1423</v>
      </c>
      <c r="P82" s="110">
        <f t="shared" si="26"/>
        <v>3797</v>
      </c>
      <c r="Q82" s="110">
        <f t="shared" si="26"/>
        <v>3056</v>
      </c>
      <c r="R82" s="110">
        <f t="shared" si="26"/>
        <v>3718</v>
      </c>
      <c r="S82" s="110">
        <f t="shared" si="26"/>
        <v>10626</v>
      </c>
      <c r="T82" s="110">
        <f t="shared" si="26"/>
        <v>14647</v>
      </c>
      <c r="U82" s="110">
        <f t="shared" si="26"/>
        <v>13344</v>
      </c>
      <c r="V82" s="110">
        <f t="shared" si="26"/>
        <v>8907</v>
      </c>
      <c r="W82" s="110">
        <f t="shared" ref="W82:Y82" si="27">SUM(W83:W84)</f>
        <v>14087</v>
      </c>
      <c r="X82" s="110">
        <f t="shared" si="27"/>
        <v>14973</v>
      </c>
      <c r="Y82" s="110">
        <f t="shared" si="27"/>
        <v>14440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1250</v>
      </c>
      <c r="J83" s="102">
        <v>779</v>
      </c>
      <c r="K83" s="102">
        <v>825</v>
      </c>
      <c r="L83" s="102">
        <v>33981</v>
      </c>
      <c r="M83" s="102">
        <v>1001</v>
      </c>
      <c r="N83" s="102">
        <v>926</v>
      </c>
      <c r="O83" s="102">
        <v>862</v>
      </c>
      <c r="P83" s="102">
        <v>3142</v>
      </c>
      <c r="Q83" s="102">
        <v>2062</v>
      </c>
      <c r="R83" s="102">
        <v>2547</v>
      </c>
      <c r="S83" s="102">
        <v>9195</v>
      </c>
      <c r="T83" s="102">
        <v>13959</v>
      </c>
      <c r="U83" s="102">
        <v>12330</v>
      </c>
      <c r="V83" s="102">
        <v>8685</v>
      </c>
      <c r="W83" s="102">
        <v>12125</v>
      </c>
      <c r="X83" s="102">
        <v>13315</v>
      </c>
      <c r="Y83" s="102">
        <v>13496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800</v>
      </c>
      <c r="K84" s="86">
        <v>0</v>
      </c>
      <c r="L84" s="86">
        <v>53</v>
      </c>
      <c r="M84" s="86">
        <v>701</v>
      </c>
      <c r="N84" s="86">
        <v>441</v>
      </c>
      <c r="O84" s="86">
        <v>561</v>
      </c>
      <c r="P84" s="86">
        <v>655</v>
      </c>
      <c r="Q84" s="86">
        <v>994</v>
      </c>
      <c r="R84" s="86">
        <v>1171</v>
      </c>
      <c r="S84" s="86">
        <v>1431</v>
      </c>
      <c r="T84" s="86">
        <v>688</v>
      </c>
      <c r="U84" s="86">
        <v>1014</v>
      </c>
      <c r="V84" s="86">
        <v>222</v>
      </c>
      <c r="W84" s="86">
        <v>1962</v>
      </c>
      <c r="X84" s="86">
        <v>1658</v>
      </c>
      <c r="Y84" s="86">
        <v>944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4.2965533402436868</v>
      </c>
      <c r="C90" s="141">
        <v>4.2794826209293433</v>
      </c>
      <c r="D90" s="141">
        <v>4.241398464250083</v>
      </c>
      <c r="E90" s="141">
        <v>4.1967404809963362</v>
      </c>
      <c r="F90" s="141">
        <v>4.1262925453832793</v>
      </c>
      <c r="G90" s="141">
        <v>4.075708454798753</v>
      </c>
      <c r="H90" s="141">
        <v>4.0250734898021392</v>
      </c>
      <c r="I90" s="141">
        <v>3.9676559358058654</v>
      </c>
      <c r="J90" s="141">
        <v>3.9025531917265193</v>
      </c>
      <c r="K90" s="141">
        <v>3.847136809496511</v>
      </c>
      <c r="L90" s="141">
        <v>3.7966805167482067</v>
      </c>
      <c r="M90" s="141">
        <v>3.7633412599659595</v>
      </c>
      <c r="N90" s="141">
        <v>3.7126534832273355</v>
      </c>
      <c r="O90" s="141">
        <v>3.6697573029559036</v>
      </c>
      <c r="P90" s="141">
        <v>3.6120452070269837</v>
      </c>
      <c r="Q90" s="141">
        <v>3.5368303342410248</v>
      </c>
      <c r="R90" s="141">
        <v>3.4483310929084974</v>
      </c>
      <c r="S90" s="141">
        <v>3.4081764107241197</v>
      </c>
      <c r="T90" s="141">
        <v>3.353335150516866</v>
      </c>
      <c r="U90" s="141">
        <v>3.2968704873627956</v>
      </c>
      <c r="V90" s="141">
        <v>3.2375408607666785</v>
      </c>
      <c r="W90" s="141">
        <v>3.1955076806034164</v>
      </c>
      <c r="X90" s="141">
        <v>3.154836760177107</v>
      </c>
      <c r="Y90" s="141">
        <v>3.1097055061959398</v>
      </c>
      <c r="DA90" s="174" t="s">
        <v>864</v>
      </c>
    </row>
    <row r="91" spans="1:105" ht="11.45" customHeight="1" x14ac:dyDescent="0.25">
      <c r="A91" s="109" t="s">
        <v>20</v>
      </c>
      <c r="B91" s="130">
        <v>8.3964586322938377</v>
      </c>
      <c r="C91" s="130">
        <v>8.2736627833894083</v>
      </c>
      <c r="D91" s="130">
        <v>8.1913351351753825</v>
      </c>
      <c r="E91" s="130">
        <v>8.0929664573773117</v>
      </c>
      <c r="F91" s="130">
        <v>8.0004889381990747</v>
      </c>
      <c r="G91" s="130">
        <v>7.9353170321641118</v>
      </c>
      <c r="H91" s="130">
        <v>7.8580141718817771</v>
      </c>
      <c r="I91" s="130">
        <v>7.7954463232738807</v>
      </c>
      <c r="J91" s="130">
        <v>7.6697083932962649</v>
      </c>
      <c r="K91" s="130">
        <v>7.6265844557701978</v>
      </c>
      <c r="L91" s="130">
        <v>7.5804369356637897</v>
      </c>
      <c r="M91" s="130">
        <v>7.5460284846910328</v>
      </c>
      <c r="N91" s="130">
        <v>7.4809543211771619</v>
      </c>
      <c r="O91" s="130">
        <v>7.4226488781171964</v>
      </c>
      <c r="P91" s="130">
        <v>7.3212617787978367</v>
      </c>
      <c r="Q91" s="130">
        <v>7.2129845043355738</v>
      </c>
      <c r="R91" s="130">
        <v>7.0668895553699009</v>
      </c>
      <c r="S91" s="130">
        <v>6.9350227719324682</v>
      </c>
      <c r="T91" s="130">
        <v>6.7928655993675751</v>
      </c>
      <c r="U91" s="130">
        <v>6.6468318115606619</v>
      </c>
      <c r="V91" s="130">
        <v>6.505581887919071</v>
      </c>
      <c r="W91" s="130">
        <v>6.3661292833770524</v>
      </c>
      <c r="X91" s="130">
        <v>6.2362253665521576</v>
      </c>
      <c r="Y91" s="130">
        <v>6.1313187711702488</v>
      </c>
      <c r="DA91" s="176" t="s">
        <v>865</v>
      </c>
    </row>
    <row r="92" spans="1:105" ht="11.45" customHeight="1" x14ac:dyDescent="0.25">
      <c r="A92" s="111" t="s">
        <v>110</v>
      </c>
      <c r="B92" s="96">
        <v>8.4711826846869833</v>
      </c>
      <c r="C92" s="96">
        <v>8.3182466049927388</v>
      </c>
      <c r="D92" s="96">
        <v>8.2275800506567762</v>
      </c>
      <c r="E92" s="96">
        <v>8.1473822337798989</v>
      </c>
      <c r="F92" s="96">
        <v>8.0555100824326882</v>
      </c>
      <c r="G92" s="96">
        <v>7.9674983453895161</v>
      </c>
      <c r="H92" s="96">
        <v>7.9136233041122175</v>
      </c>
      <c r="I92" s="96">
        <v>7.8569972452132069</v>
      </c>
      <c r="J92" s="96">
        <v>7.7491657057528238</v>
      </c>
      <c r="K92" s="96">
        <v>7.7080441691338262</v>
      </c>
      <c r="L92" s="96">
        <v>7.6657329208375105</v>
      </c>
      <c r="M92" s="96">
        <v>7.6290221386995487</v>
      </c>
      <c r="N92" s="96">
        <v>7.5589438899612835</v>
      </c>
      <c r="O92" s="96">
        <v>7.4998148977466927</v>
      </c>
      <c r="P92" s="96">
        <v>7.3902688209778882</v>
      </c>
      <c r="Q92" s="96">
        <v>7.2662384496286929</v>
      </c>
      <c r="R92" s="96">
        <v>7.1062848774501148</v>
      </c>
      <c r="S92" s="96">
        <v>6.9411393569792184</v>
      </c>
      <c r="T92" s="96">
        <v>6.7571934600485841</v>
      </c>
      <c r="U92" s="96">
        <v>6.5636596149408533</v>
      </c>
      <c r="V92" s="96">
        <v>6.370562080352312</v>
      </c>
      <c r="W92" s="96">
        <v>6.2159872223711989</v>
      </c>
      <c r="X92" s="96">
        <v>6.079225831271768</v>
      </c>
      <c r="Y92" s="96">
        <v>5.9742542449598703</v>
      </c>
      <c r="DA92" s="171" t="s">
        <v>866</v>
      </c>
    </row>
    <row r="93" spans="1:105" ht="11.45" customHeight="1" x14ac:dyDescent="0.25">
      <c r="A93" s="111" t="s">
        <v>111</v>
      </c>
      <c r="B93" s="96">
        <v>7.7080926219147132</v>
      </c>
      <c r="C93" s="96">
        <v>7.5632930844144761</v>
      </c>
      <c r="D93" s="96">
        <v>7.4395864225289481</v>
      </c>
      <c r="E93" s="96">
        <v>7.3295985617739214</v>
      </c>
      <c r="F93" s="96">
        <v>7.2357704023800746</v>
      </c>
      <c r="G93" s="96">
        <v>7.180607635925635</v>
      </c>
      <c r="H93" s="96">
        <v>7.0721015258059552</v>
      </c>
      <c r="I93" s="96">
        <v>7.0183094750244051</v>
      </c>
      <c r="J93" s="96">
        <v>6.957415243626472</v>
      </c>
      <c r="K93" s="96">
        <v>6.9223692833114665</v>
      </c>
      <c r="L93" s="96">
        <v>6.8765036656115113</v>
      </c>
      <c r="M93" s="96">
        <v>6.8300295447411896</v>
      </c>
      <c r="N93" s="96">
        <v>6.7872131947571397</v>
      </c>
      <c r="O93" s="96">
        <v>6.7106964538894278</v>
      </c>
      <c r="P93" s="96">
        <v>6.6117549851880515</v>
      </c>
      <c r="Q93" s="96">
        <v>6.4916227574434995</v>
      </c>
      <c r="R93" s="96">
        <v>6.3280273837709133</v>
      </c>
      <c r="S93" s="96">
        <v>6.2103932504957839</v>
      </c>
      <c r="T93" s="96">
        <v>6.0992733901654121</v>
      </c>
      <c r="U93" s="96">
        <v>6.0101081787750363</v>
      </c>
      <c r="V93" s="96">
        <v>5.9670187166171322</v>
      </c>
      <c r="W93" s="96">
        <v>5.8820502613295327</v>
      </c>
      <c r="X93" s="96">
        <v>5.8098547358545121</v>
      </c>
      <c r="Y93" s="96">
        <v>5.76060410521462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6.8515146341446824</v>
      </c>
      <c r="D94" s="96">
        <v>6.8515146341446824</v>
      </c>
      <c r="E94" s="96">
        <v>7.0943356590142317</v>
      </c>
      <c r="F94" s="96">
        <v>7.1043128812314951</v>
      </c>
      <c r="G94" s="96">
        <v>7.1048003909217572</v>
      </c>
      <c r="H94" s="96">
        <v>7.1047649595646769</v>
      </c>
      <c r="I94" s="96">
        <v>7.1047142129736054</v>
      </c>
      <c r="J94" s="96">
        <v>7.1094852972120544</v>
      </c>
      <c r="K94" s="96">
        <v>7.1096224862376536</v>
      </c>
      <c r="L94" s="96">
        <v>7.2070225916042503</v>
      </c>
      <c r="M94" s="96">
        <v>7.4748385422591728</v>
      </c>
      <c r="N94" s="96">
        <v>7.5352896274628742</v>
      </c>
      <c r="O94" s="96">
        <v>7.608208635720378</v>
      </c>
      <c r="P94" s="96">
        <v>7.6041732062879044</v>
      </c>
      <c r="Q94" s="96">
        <v>7.5636744375028711</v>
      </c>
      <c r="R94" s="96">
        <v>7.5647111270023579</v>
      </c>
      <c r="S94" s="96">
        <v>7.5734934626158568</v>
      </c>
      <c r="T94" s="96">
        <v>7.5941937807131064</v>
      </c>
      <c r="U94" s="96">
        <v>7.6300657811366959</v>
      </c>
      <c r="V94" s="96">
        <v>7.6829783200503741</v>
      </c>
      <c r="W94" s="96">
        <v>7.724040669360182</v>
      </c>
      <c r="X94" s="96">
        <v>7.5919918694113537</v>
      </c>
      <c r="Y94" s="96">
        <v>7.4531208691339979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10.036319824087437</v>
      </c>
      <c r="M95" s="96">
        <v>7.2031003522158645</v>
      </c>
      <c r="N95" s="96">
        <v>6.1946663029056417</v>
      </c>
      <c r="O95" s="96">
        <v>6.6563276092077954</v>
      </c>
      <c r="P95" s="96">
        <v>6.6425998918628411</v>
      </c>
      <c r="Q95" s="96">
        <v>5.4898172455152805</v>
      </c>
      <c r="R95" s="96">
        <v>5.5385240915531524</v>
      </c>
      <c r="S95" s="96">
        <v>5.4683063482767436</v>
      </c>
      <c r="T95" s="96">
        <v>5.5132016523010146</v>
      </c>
      <c r="U95" s="96">
        <v>5.519573309274918</v>
      </c>
      <c r="V95" s="96">
        <v>5.5158629146453491</v>
      </c>
      <c r="W95" s="96">
        <v>5.5094738467982856</v>
      </c>
      <c r="X95" s="96">
        <v>5.5008249179538851</v>
      </c>
      <c r="Y95" s="96">
        <v>5.4976088213137562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2.428065157458271</v>
      </c>
      <c r="O96" s="96">
        <v>2.428065157458271</v>
      </c>
      <c r="P96" s="96">
        <v>2.3639563398584369</v>
      </c>
      <c r="Q96" s="96">
        <v>2.1354287140311592</v>
      </c>
      <c r="R96" s="96">
        <v>2.7100841805240727</v>
      </c>
      <c r="S96" s="96">
        <v>2.9197890494465266</v>
      </c>
      <c r="T96" s="96">
        <v>2.9347389926828327</v>
      </c>
      <c r="U96" s="96">
        <v>2.9045258299715497</v>
      </c>
      <c r="V96" s="96">
        <v>3.0474472023397641</v>
      </c>
      <c r="W96" s="96">
        <v>2.9723024429419351</v>
      </c>
      <c r="X96" s="96">
        <v>3.1390222764082352</v>
      </c>
      <c r="Y96" s="96">
        <v>3.0063375728846817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1.3424803607346911</v>
      </c>
      <c r="M97" s="96">
        <v>1.3424803607346911</v>
      </c>
      <c r="N97" s="96">
        <v>1.3411242520511029</v>
      </c>
      <c r="O97" s="96">
        <v>1.3398639541749084</v>
      </c>
      <c r="P97" s="96">
        <v>1.3378749348138996</v>
      </c>
      <c r="Q97" s="96">
        <v>1.330368085242488</v>
      </c>
      <c r="R97" s="96">
        <v>1.3255926200420833</v>
      </c>
      <c r="S97" s="96">
        <v>1.2432273086997643</v>
      </c>
      <c r="T97" s="96">
        <v>1.2070854655816556</v>
      </c>
      <c r="U97" s="96">
        <v>1.3724174530798401</v>
      </c>
      <c r="V97" s="96">
        <v>1.4157844148785528</v>
      </c>
      <c r="W97" s="96">
        <v>1.4186351504102539</v>
      </c>
      <c r="X97" s="96">
        <v>1.4633119618692261</v>
      </c>
      <c r="Y97" s="96">
        <v>1.4728612431938595</v>
      </c>
      <c r="DA97" s="171" t="s">
        <v>871</v>
      </c>
    </row>
    <row r="98" spans="1:105" ht="11.45" customHeight="1" x14ac:dyDescent="0.25">
      <c r="A98" s="109" t="s">
        <v>21</v>
      </c>
      <c r="B98" s="130">
        <v>48.044728777551995</v>
      </c>
      <c r="C98" s="130">
        <v>47.663104849914269</v>
      </c>
      <c r="D98" s="130">
        <v>47.568852234840755</v>
      </c>
      <c r="E98" s="130">
        <v>47.457700471340132</v>
      </c>
      <c r="F98" s="130">
        <v>47.364213345891898</v>
      </c>
      <c r="G98" s="130">
        <v>47.341371265846753</v>
      </c>
      <c r="H98" s="130">
        <v>47.164445562087849</v>
      </c>
      <c r="I98" s="130">
        <v>47.048443275736304</v>
      </c>
      <c r="J98" s="130">
        <v>46.447148466979748</v>
      </c>
      <c r="K98" s="130">
        <v>46.34342937812837</v>
      </c>
      <c r="L98" s="130">
        <v>46.439837817383058</v>
      </c>
      <c r="M98" s="130">
        <v>46.41972603020961</v>
      </c>
      <c r="N98" s="130">
        <v>46.065356274046813</v>
      </c>
      <c r="O98" s="130">
        <v>45.621519661112231</v>
      </c>
      <c r="P98" s="130">
        <v>45.401907116601762</v>
      </c>
      <c r="Q98" s="130">
        <v>45.073995804357466</v>
      </c>
      <c r="R98" s="130">
        <v>44.777835495363469</v>
      </c>
      <c r="S98" s="130">
        <v>44.510692970172592</v>
      </c>
      <c r="T98" s="130">
        <v>44.067457616844912</v>
      </c>
      <c r="U98" s="130">
        <v>43.591827577685756</v>
      </c>
      <c r="V98" s="130">
        <v>42.795427489958819</v>
      </c>
      <c r="W98" s="130">
        <v>42.357011198220199</v>
      </c>
      <c r="X98" s="130">
        <v>41.964254890183533</v>
      </c>
      <c r="Y98" s="130">
        <v>41.386521547151766</v>
      </c>
      <c r="DA98" s="176" t="s">
        <v>872</v>
      </c>
    </row>
    <row r="99" spans="1:105" ht="11.45" customHeight="1" x14ac:dyDescent="0.25">
      <c r="A99" s="111" t="s">
        <v>110</v>
      </c>
      <c r="B99" s="97">
        <v>18.740296227490674</v>
      </c>
      <c r="C99" s="97">
        <v>18.728501247391353</v>
      </c>
      <c r="D99" s="97">
        <v>18.727307934051176</v>
      </c>
      <c r="E99" s="97">
        <v>18.725839514747289</v>
      </c>
      <c r="F99" s="97">
        <v>18.716889152390696</v>
      </c>
      <c r="G99" s="97">
        <v>18.709174014661855</v>
      </c>
      <c r="H99" s="97">
        <v>18.704465806464778</v>
      </c>
      <c r="I99" s="97">
        <v>18.691079925329113</v>
      </c>
      <c r="J99" s="97">
        <v>18.608287314670978</v>
      </c>
      <c r="K99" s="97">
        <v>18.578814230326309</v>
      </c>
      <c r="L99" s="97">
        <v>18.458091843855424</v>
      </c>
      <c r="M99" s="97">
        <v>18.18392093201372</v>
      </c>
      <c r="N99" s="97">
        <v>17.881853075828523</v>
      </c>
      <c r="O99" s="97">
        <v>17.86138273164762</v>
      </c>
      <c r="P99" s="97">
        <v>17.740744255236791</v>
      </c>
      <c r="Q99" s="97">
        <v>17.468931657183774</v>
      </c>
      <c r="R99" s="97">
        <v>16.956677372480303</v>
      </c>
      <c r="S99" s="97">
        <v>16.643811053120547</v>
      </c>
      <c r="T99" s="97">
        <v>16.506412124328396</v>
      </c>
      <c r="U99" s="97">
        <v>16.487536088210806</v>
      </c>
      <c r="V99" s="97">
        <v>15.846888880358438</v>
      </c>
      <c r="W99" s="97">
        <v>15.801794416531155</v>
      </c>
      <c r="X99" s="97">
        <v>15.352011200390757</v>
      </c>
      <c r="Y99" s="97">
        <v>14.706939553234889</v>
      </c>
      <c r="DA99" s="175" t="s">
        <v>873</v>
      </c>
    </row>
    <row r="100" spans="1:105" ht="11.45" customHeight="1" x14ac:dyDescent="0.25">
      <c r="A100" s="111" t="s">
        <v>111</v>
      </c>
      <c r="B100" s="97">
        <v>52.837604796860752</v>
      </c>
      <c r="C100" s="97">
        <v>51.43099966724845</v>
      </c>
      <c r="D100" s="97">
        <v>50.662356190874746</v>
      </c>
      <c r="E100" s="97">
        <v>50.010596283578387</v>
      </c>
      <c r="F100" s="97">
        <v>49.546049819849848</v>
      </c>
      <c r="G100" s="97">
        <v>49.013662225341569</v>
      </c>
      <c r="H100" s="97">
        <v>48.302394119243111</v>
      </c>
      <c r="I100" s="97">
        <v>47.91521488822935</v>
      </c>
      <c r="J100" s="97">
        <v>47.36509690755944</v>
      </c>
      <c r="K100" s="97">
        <v>47.115218000581606</v>
      </c>
      <c r="L100" s="97">
        <v>46.984050209610949</v>
      </c>
      <c r="M100" s="97">
        <v>46.788528880100984</v>
      </c>
      <c r="N100" s="97">
        <v>46.37179830204694</v>
      </c>
      <c r="O100" s="97">
        <v>45.924426196757537</v>
      </c>
      <c r="P100" s="97">
        <v>45.634750142228306</v>
      </c>
      <c r="Q100" s="97">
        <v>45.279191020769048</v>
      </c>
      <c r="R100" s="97">
        <v>44.96410519808213</v>
      </c>
      <c r="S100" s="97">
        <v>44.63972014204559</v>
      </c>
      <c r="T100" s="97">
        <v>44.107298589885204</v>
      </c>
      <c r="U100" s="97">
        <v>43.429057631979973</v>
      </c>
      <c r="V100" s="97">
        <v>42.732981633021097</v>
      </c>
      <c r="W100" s="97">
        <v>42.23596541370879</v>
      </c>
      <c r="X100" s="97">
        <v>41.84010036582238</v>
      </c>
      <c r="Y100" s="97">
        <v>41.189621230190035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36.24100278196628</v>
      </c>
      <c r="Q101" s="97">
        <v>36.24100278196628</v>
      </c>
      <c r="R101" s="97">
        <v>35.985793133504131</v>
      </c>
      <c r="S101" s="97">
        <v>35.985793133504124</v>
      </c>
      <c r="T101" s="97">
        <v>35.985793133504124</v>
      </c>
      <c r="U101" s="97">
        <v>35.985793133504124</v>
      </c>
      <c r="V101" s="97">
        <v>35.985793133504124</v>
      </c>
      <c r="W101" s="97">
        <v>35.985793133504124</v>
      </c>
      <c r="X101" s="97">
        <v>35.985793133504131</v>
      </c>
      <c r="Y101" s="97">
        <v>35.985793133504124</v>
      </c>
      <c r="DA101" s="175" t="s">
        <v>875</v>
      </c>
    </row>
    <row r="102" spans="1:105" ht="11.45" customHeight="1" x14ac:dyDescent="0.25">
      <c r="A102" s="111" t="s">
        <v>113</v>
      </c>
      <c r="B102" s="97">
        <v>43.224293078703184</v>
      </c>
      <c r="C102" s="97">
        <v>42.215760703906454</v>
      </c>
      <c r="D102" s="97">
        <v>41.79623163039868</v>
      </c>
      <c r="E102" s="97">
        <v>41.134431450553869</v>
      </c>
      <c r="F102" s="97">
        <v>40.821557760882172</v>
      </c>
      <c r="G102" s="97">
        <v>40.409063457332941</v>
      </c>
      <c r="H102" s="97">
        <v>40.135459012369331</v>
      </c>
      <c r="I102" s="97">
        <v>39.750324866408356</v>
      </c>
      <c r="J102" s="97">
        <v>39.07522917306035</v>
      </c>
      <c r="K102" s="97">
        <v>39.07522917306035</v>
      </c>
      <c r="L102" s="97">
        <v>39.02133584787039</v>
      </c>
      <c r="M102" s="97">
        <v>38.991195138288944</v>
      </c>
      <c r="N102" s="97">
        <v>38.442893434257435</v>
      </c>
      <c r="O102" s="97">
        <v>37.916590728299049</v>
      </c>
      <c r="P102" s="97">
        <v>36.896513956415355</v>
      </c>
      <c r="Q102" s="97">
        <v>36.567400409282044</v>
      </c>
      <c r="R102" s="97">
        <v>36.225471244389432</v>
      </c>
      <c r="S102" s="97">
        <v>36.104135585674179</v>
      </c>
      <c r="T102" s="97">
        <v>36.082489606144208</v>
      </c>
      <c r="U102" s="97">
        <v>35.769435851644062</v>
      </c>
      <c r="V102" s="97">
        <v>35.764458896695054</v>
      </c>
      <c r="W102" s="97">
        <v>35.762754093442439</v>
      </c>
      <c r="X102" s="97">
        <v>35.492303727019383</v>
      </c>
      <c r="Y102" s="97">
        <v>35.485849902402101</v>
      </c>
      <c r="DA102" s="175" t="s">
        <v>876</v>
      </c>
    </row>
    <row r="103" spans="1:105" ht="11.45" customHeight="1" x14ac:dyDescent="0.25">
      <c r="A103" s="111" t="s">
        <v>115</v>
      </c>
      <c r="B103" s="97">
        <v>29.521402560888433</v>
      </c>
      <c r="C103" s="97">
        <v>29.521402560888433</v>
      </c>
      <c r="D103" s="97">
        <v>29.521402560888433</v>
      </c>
      <c r="E103" s="97">
        <v>29.496297509756744</v>
      </c>
      <c r="F103" s="97">
        <v>29.495835620795212</v>
      </c>
      <c r="G103" s="97">
        <v>29.479419364563203</v>
      </c>
      <c r="H103" s="97">
        <v>29.473203863590268</v>
      </c>
      <c r="I103" s="97">
        <v>29.465486136202692</v>
      </c>
      <c r="J103" s="97">
        <v>29.455457506465095</v>
      </c>
      <c r="K103" s="97">
        <v>29.443141424178304</v>
      </c>
      <c r="L103" s="97">
        <v>29.419340193302663</v>
      </c>
      <c r="M103" s="97">
        <v>29.389499199522813</v>
      </c>
      <c r="N103" s="97">
        <v>29.346589355865039</v>
      </c>
      <c r="O103" s="97">
        <v>28.785367380821647</v>
      </c>
      <c r="P103" s="97">
        <v>27.915802475605712</v>
      </c>
      <c r="Q103" s="97">
        <v>24.097163112298617</v>
      </c>
      <c r="R103" s="97">
        <v>23.994101968278361</v>
      </c>
      <c r="S103" s="97">
        <v>23.893083757275416</v>
      </c>
      <c r="T103" s="97">
        <v>23.813872151703507</v>
      </c>
      <c r="U103" s="97">
        <v>23.81387215170351</v>
      </c>
      <c r="V103" s="97">
        <v>22.346167690524624</v>
      </c>
      <c r="W103" s="97">
        <v>21.174439202331609</v>
      </c>
      <c r="X103" s="97">
        <v>20.516535923853191</v>
      </c>
      <c r="Y103" s="97">
        <v>19.925608962965001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8.8457711066082734</v>
      </c>
      <c r="C105" s="141">
        <v>8.7017817867449825</v>
      </c>
      <c r="D105" s="141">
        <v>8.6502463033744448</v>
      </c>
      <c r="E105" s="141">
        <v>8.6044416237991577</v>
      </c>
      <c r="F105" s="141">
        <v>8.5602937439311511</v>
      </c>
      <c r="G105" s="141">
        <v>8.5377878037429742</v>
      </c>
      <c r="H105" s="141">
        <v>8.4747246889594106</v>
      </c>
      <c r="I105" s="141">
        <v>8.427246921798778</v>
      </c>
      <c r="J105" s="141">
        <v>8.3578493124757731</v>
      </c>
      <c r="K105" s="141">
        <v>8.3139090891963772</v>
      </c>
      <c r="L105" s="141">
        <v>8.1676092049411917</v>
      </c>
      <c r="M105" s="141">
        <v>8.1818954005885676</v>
      </c>
      <c r="N105" s="141">
        <v>8.1548754709490368</v>
      </c>
      <c r="O105" s="141">
        <v>8.0592181146041071</v>
      </c>
      <c r="P105" s="141">
        <v>7.9554207955727207</v>
      </c>
      <c r="Q105" s="141">
        <v>7.8421726108641323</v>
      </c>
      <c r="R105" s="141">
        <v>7.6979158405985277</v>
      </c>
      <c r="S105" s="141">
        <v>7.5646159030284119</v>
      </c>
      <c r="T105" s="141">
        <v>7.4464480435308094</v>
      </c>
      <c r="U105" s="141">
        <v>7.3056812297122971</v>
      </c>
      <c r="V105" s="141">
        <v>7.2187457936650681</v>
      </c>
      <c r="W105" s="141">
        <v>7.117722156402821</v>
      </c>
      <c r="X105" s="141">
        <v>7.0105071744326164</v>
      </c>
      <c r="Y105" s="141">
        <v>6.9650070040170684</v>
      </c>
      <c r="DA105" s="174" t="s">
        <v>878</v>
      </c>
    </row>
    <row r="106" spans="1:105" ht="11.45" customHeight="1" x14ac:dyDescent="0.25">
      <c r="A106" s="111" t="s">
        <v>110</v>
      </c>
      <c r="B106" s="96">
        <v>8.0029362544480982</v>
      </c>
      <c r="C106" s="96">
        <v>7.9474158491461768</v>
      </c>
      <c r="D106" s="96">
        <v>7.9227387097613713</v>
      </c>
      <c r="E106" s="96">
        <v>7.9000663790113634</v>
      </c>
      <c r="F106" s="96">
        <v>7.8734003009371847</v>
      </c>
      <c r="G106" s="96">
        <v>7.8474508456803855</v>
      </c>
      <c r="H106" s="96">
        <v>7.8296594979314893</v>
      </c>
      <c r="I106" s="96">
        <v>7.7963595087650948</v>
      </c>
      <c r="J106" s="96">
        <v>7.7370214435734077</v>
      </c>
      <c r="K106" s="96">
        <v>7.688502638869827</v>
      </c>
      <c r="L106" s="96">
        <v>7.651789847491874</v>
      </c>
      <c r="M106" s="96">
        <v>7.6396961194660973</v>
      </c>
      <c r="N106" s="96">
        <v>7.611450030619527</v>
      </c>
      <c r="O106" s="96">
        <v>7.0282349065546956</v>
      </c>
      <c r="P106" s="96">
        <v>6.7544919264902177</v>
      </c>
      <c r="Q106" s="96">
        <v>6.5742560047778618</v>
      </c>
      <c r="R106" s="96">
        <v>6.4265695880698832</v>
      </c>
      <c r="S106" s="96">
        <v>6.2969782329868504</v>
      </c>
      <c r="T106" s="96">
        <v>6.231914937516656</v>
      </c>
      <c r="U106" s="96">
        <v>6.168872571413714</v>
      </c>
      <c r="V106" s="96">
        <v>6.1012933678041037</v>
      </c>
      <c r="W106" s="96">
        <v>6.0554209636898797</v>
      </c>
      <c r="X106" s="96">
        <v>5.9716030203193542</v>
      </c>
      <c r="Y106" s="96">
        <v>6.0933561612655369</v>
      </c>
      <c r="DA106" s="171" t="s">
        <v>879</v>
      </c>
    </row>
    <row r="107" spans="1:105" ht="11.45" customHeight="1" x14ac:dyDescent="0.25">
      <c r="A107" s="111" t="s">
        <v>111</v>
      </c>
      <c r="B107" s="96">
        <v>9.3312855008040554</v>
      </c>
      <c r="C107" s="96">
        <v>8.9870045742376696</v>
      </c>
      <c r="D107" s="96">
        <v>8.8337764122146147</v>
      </c>
      <c r="E107" s="96">
        <v>8.7301662124193786</v>
      </c>
      <c r="F107" s="96">
        <v>8.6510036585351813</v>
      </c>
      <c r="G107" s="96">
        <v>8.601542110964207</v>
      </c>
      <c r="H107" s="96">
        <v>8.5224771603727643</v>
      </c>
      <c r="I107" s="96">
        <v>8.4610823218027811</v>
      </c>
      <c r="J107" s="96">
        <v>8.3764649269496605</v>
      </c>
      <c r="K107" s="96">
        <v>8.3145755441898253</v>
      </c>
      <c r="L107" s="96">
        <v>8.2086638219652936</v>
      </c>
      <c r="M107" s="96">
        <v>8.2199471885265289</v>
      </c>
      <c r="N107" s="96">
        <v>8.1834722742601276</v>
      </c>
      <c r="O107" s="96">
        <v>8.1024887812195008</v>
      </c>
      <c r="P107" s="96">
        <v>7.9905706585591725</v>
      </c>
      <c r="Q107" s="96">
        <v>7.8605259066891486</v>
      </c>
      <c r="R107" s="96">
        <v>7.6934766055272918</v>
      </c>
      <c r="S107" s="96">
        <v>7.5490496392917166</v>
      </c>
      <c r="T107" s="96">
        <v>7.4150084715586866</v>
      </c>
      <c r="U107" s="96">
        <v>7.267266544891732</v>
      </c>
      <c r="V107" s="96">
        <v>7.1898804080708212</v>
      </c>
      <c r="W107" s="96">
        <v>7.0960447595463094</v>
      </c>
      <c r="X107" s="96">
        <v>7.0023036022508514</v>
      </c>
      <c r="Y107" s="96">
        <v>6.9570097128561663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9.6796254322255102</v>
      </c>
      <c r="D108" s="96">
        <v>9.6796254322255102</v>
      </c>
      <c r="E108" s="96">
        <v>9.679625432225512</v>
      </c>
      <c r="F108" s="96">
        <v>9.679625432225512</v>
      </c>
      <c r="G108" s="96">
        <v>9.679625432225512</v>
      </c>
      <c r="H108" s="96">
        <v>9.679625432225512</v>
      </c>
      <c r="I108" s="96">
        <v>9.679625432225512</v>
      </c>
      <c r="J108" s="96">
        <v>9.6796254322255137</v>
      </c>
      <c r="K108" s="96">
        <v>9.679625432225512</v>
      </c>
      <c r="L108" s="96">
        <v>9.679625432225512</v>
      </c>
      <c r="M108" s="96">
        <v>9.679625432225512</v>
      </c>
      <c r="N108" s="96">
        <v>9.657844357419167</v>
      </c>
      <c r="O108" s="96">
        <v>9.6547485292612301</v>
      </c>
      <c r="P108" s="96">
        <v>9.6506268487649436</v>
      </c>
      <c r="Q108" s="96">
        <v>9.3883620433594075</v>
      </c>
      <c r="R108" s="96">
        <v>9.3360912453350604</v>
      </c>
      <c r="S108" s="96">
        <v>9.2609558361821449</v>
      </c>
      <c r="T108" s="96">
        <v>9.1788036407417888</v>
      </c>
      <c r="U108" s="96">
        <v>9.0391683170840018</v>
      </c>
      <c r="V108" s="96">
        <v>8.2706315144171008</v>
      </c>
      <c r="W108" s="96">
        <v>7.7722217436188439</v>
      </c>
      <c r="X108" s="96">
        <v>8.0919214261793648</v>
      </c>
      <c r="Y108" s="96">
        <v>8.1480894885381527</v>
      </c>
      <c r="DA108" s="171" t="s">
        <v>881</v>
      </c>
    </row>
    <row r="109" spans="1:105" ht="11.45" customHeight="1" x14ac:dyDescent="0.25">
      <c r="A109" s="111" t="s">
        <v>113</v>
      </c>
      <c r="B109" s="96">
        <v>10.153418257526786</v>
      </c>
      <c r="C109" s="96">
        <v>9.6699221500255081</v>
      </c>
      <c r="D109" s="96">
        <v>9.6699221500255081</v>
      </c>
      <c r="E109" s="96">
        <v>9.6699221500255081</v>
      </c>
      <c r="F109" s="96">
        <v>9.6699221500255099</v>
      </c>
      <c r="G109" s="96">
        <v>9.6699221500255099</v>
      </c>
      <c r="H109" s="96">
        <v>9.6699221500255099</v>
      </c>
      <c r="I109" s="96">
        <v>9.6699221500255117</v>
      </c>
      <c r="J109" s="96">
        <v>9.6699221500255099</v>
      </c>
      <c r="K109" s="96">
        <v>9.6699221500255099</v>
      </c>
      <c r="L109" s="96">
        <v>9.6699221500255099</v>
      </c>
      <c r="M109" s="96">
        <v>9.6699221500255099</v>
      </c>
      <c r="N109" s="96">
        <v>6.3079937999327305</v>
      </c>
      <c r="O109" s="96">
        <v>6.1722530157738049</v>
      </c>
      <c r="P109" s="96">
        <v>6.047436372663169</v>
      </c>
      <c r="Q109" s="96">
        <v>7.227174023532001</v>
      </c>
      <c r="R109" s="96">
        <v>7.2997523988097228</v>
      </c>
      <c r="S109" s="96">
        <v>7.1669739347457586</v>
      </c>
      <c r="T109" s="96">
        <v>7.2876599161150182</v>
      </c>
      <c r="U109" s="96">
        <v>7.2338782663038055</v>
      </c>
      <c r="V109" s="96">
        <v>7.0758016638157804</v>
      </c>
      <c r="W109" s="96">
        <v>7.080484316215208</v>
      </c>
      <c r="X109" s="96">
        <v>7.0729857101684415</v>
      </c>
      <c r="Y109" s="96">
        <v>7.0848688851127015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1.4067222365919505</v>
      </c>
      <c r="P110" s="96">
        <v>1.407852280826998</v>
      </c>
      <c r="Q110" s="96">
        <v>1.422574696367529</v>
      </c>
      <c r="R110" s="96">
        <v>1.4158636456515312</v>
      </c>
      <c r="S110" s="96">
        <v>1.4131039468325515</v>
      </c>
      <c r="T110" s="96">
        <v>1.5715133023950301</v>
      </c>
      <c r="U110" s="96">
        <v>1.6605133513396739</v>
      </c>
      <c r="V110" s="96">
        <v>1.8380317468082765</v>
      </c>
      <c r="W110" s="96">
        <v>2.0760096455597035</v>
      </c>
      <c r="X110" s="96">
        <v>2.2857278308950169</v>
      </c>
      <c r="Y110" s="96">
        <v>2.268733969617506</v>
      </c>
      <c r="DA110" s="171" t="s">
        <v>883</v>
      </c>
    </row>
    <row r="111" spans="1:105" ht="11.45" customHeight="1" x14ac:dyDescent="0.25">
      <c r="A111" s="109" t="s">
        <v>154</v>
      </c>
      <c r="B111" s="130">
        <v>31.660370742084151</v>
      </c>
      <c r="C111" s="130">
        <v>31.558171507046389</v>
      </c>
      <c r="D111" s="130">
        <v>31.455850033839305</v>
      </c>
      <c r="E111" s="130">
        <v>31.330355658831181</v>
      </c>
      <c r="F111" s="130">
        <v>31.23338382164026</v>
      </c>
      <c r="G111" s="130">
        <v>30.995919030191871</v>
      </c>
      <c r="H111" s="130">
        <v>30.641990381745376</v>
      </c>
      <c r="I111" s="130">
        <v>30.42646177891659</v>
      </c>
      <c r="J111" s="130">
        <v>30.279182292540266</v>
      </c>
      <c r="K111" s="130">
        <v>29.405987887263432</v>
      </c>
      <c r="L111" s="130">
        <v>28.606529121806883</v>
      </c>
      <c r="M111" s="130">
        <v>28.403672453275437</v>
      </c>
      <c r="N111" s="130">
        <v>28.239349509164736</v>
      </c>
      <c r="O111" s="130">
        <v>28.073522464466244</v>
      </c>
      <c r="P111" s="130">
        <v>27.946579220024571</v>
      </c>
      <c r="Q111" s="130">
        <v>27.839842786095566</v>
      </c>
      <c r="R111" s="130">
        <v>27.695763466687126</v>
      </c>
      <c r="S111" s="130">
        <v>27.261673311303543</v>
      </c>
      <c r="T111" s="130">
        <v>26.586798270375471</v>
      </c>
      <c r="U111" s="130">
        <v>25.942049119698016</v>
      </c>
      <c r="V111" s="130">
        <v>25.545765692632383</v>
      </c>
      <c r="W111" s="130">
        <v>24.895922398145654</v>
      </c>
      <c r="X111" s="130">
        <v>24.244773354913963</v>
      </c>
      <c r="Y111" s="130">
        <v>23.727016414575591</v>
      </c>
      <c r="DA111" s="176" t="s">
        <v>884</v>
      </c>
    </row>
    <row r="112" spans="1:105" ht="11.45" customHeight="1" x14ac:dyDescent="0.25">
      <c r="A112" s="128" t="s">
        <v>27</v>
      </c>
      <c r="B112" s="97">
        <v>31.394216066207214</v>
      </c>
      <c r="C112" s="97">
        <v>31.297037378700242</v>
      </c>
      <c r="D112" s="97">
        <v>31.201892912053005</v>
      </c>
      <c r="E112" s="97">
        <v>31.084164365230773</v>
      </c>
      <c r="F112" s="97">
        <v>30.97497888816596</v>
      </c>
      <c r="G112" s="97">
        <v>30.739716393050742</v>
      </c>
      <c r="H112" s="97">
        <v>30.391725276877899</v>
      </c>
      <c r="I112" s="97">
        <v>30.166497424795285</v>
      </c>
      <c r="J112" s="97">
        <v>29.989812977645865</v>
      </c>
      <c r="K112" s="97">
        <v>29.036184968090978</v>
      </c>
      <c r="L112" s="97">
        <v>28.344433091818981</v>
      </c>
      <c r="M112" s="97">
        <v>28.100170182651581</v>
      </c>
      <c r="N112" s="97">
        <v>27.901432596323254</v>
      </c>
      <c r="O112" s="97">
        <v>27.686005295934798</v>
      </c>
      <c r="P112" s="97">
        <v>27.588537730312424</v>
      </c>
      <c r="Q112" s="97">
        <v>27.514228528857121</v>
      </c>
      <c r="R112" s="97">
        <v>27.405778070372047</v>
      </c>
      <c r="S112" s="97">
        <v>26.990816457830025</v>
      </c>
      <c r="T112" s="97">
        <v>26.304345432685256</v>
      </c>
      <c r="U112" s="97">
        <v>25.650714735910221</v>
      </c>
      <c r="V112" s="97">
        <v>25.266563742339848</v>
      </c>
      <c r="W112" s="97">
        <v>24.60906700293371</v>
      </c>
      <c r="X112" s="97">
        <v>23.939681695269286</v>
      </c>
      <c r="Y112" s="97">
        <v>23.425332370792933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36.374120178189095</v>
      </c>
      <c r="D113" s="98">
        <v>36.053858396048966</v>
      </c>
      <c r="E113" s="98">
        <v>35.795586004672757</v>
      </c>
      <c r="F113" s="98">
        <v>35.137391105662417</v>
      </c>
      <c r="G113" s="98">
        <v>34.835801160442593</v>
      </c>
      <c r="H113" s="98">
        <v>34.393788092739037</v>
      </c>
      <c r="I113" s="98">
        <v>33.930630261821157</v>
      </c>
      <c r="J113" s="98">
        <v>33.438416616702227</v>
      </c>
      <c r="K113" s="98">
        <v>32.776392484733194</v>
      </c>
      <c r="L113" s="98">
        <v>32.621788369665467</v>
      </c>
      <c r="M113" s="98">
        <v>32.168615871686896</v>
      </c>
      <c r="N113" s="98">
        <v>31.900441168938297</v>
      </c>
      <c r="O113" s="98">
        <v>31.594763809417401</v>
      </c>
      <c r="P113" s="98">
        <v>31.227368089427134</v>
      </c>
      <c r="Q113" s="98">
        <v>30.705465919610358</v>
      </c>
      <c r="R113" s="98">
        <v>30.112362924028346</v>
      </c>
      <c r="S113" s="98">
        <v>29.472264231578887</v>
      </c>
      <c r="T113" s="98">
        <v>29.104304265329198</v>
      </c>
      <c r="U113" s="98">
        <v>28.596656108380365</v>
      </c>
      <c r="V113" s="98">
        <v>28.372488401976423</v>
      </c>
      <c r="W113" s="98">
        <v>27.605654011107777</v>
      </c>
      <c r="X113" s="98">
        <v>27.054109412212838</v>
      </c>
      <c r="Y113" s="98">
        <v>26.687808744982583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1.1276279352174923</v>
      </c>
      <c r="D117" s="150">
        <f>IF(TrRoad_act!D59=0,0,TrRoad_ene!D62/TrRoad_tech!D90)</f>
        <v>1.1282740473511248</v>
      </c>
      <c r="E117" s="150">
        <f>IF(TrRoad_act!E59=0,0,TrRoad_ene!E62/TrRoad_tech!E90)</f>
        <v>1.1294907092846351</v>
      </c>
      <c r="F117" s="150">
        <f>IF(TrRoad_act!F59=0,0,TrRoad_ene!F62/TrRoad_tech!F90)</f>
        <v>1.1324903326936908</v>
      </c>
      <c r="G117" s="150">
        <f>IF(TrRoad_act!G59=0,0,TrRoad_ene!G62/TrRoad_tech!G90)</f>
        <v>1.1353503432169032</v>
      </c>
      <c r="H117" s="150">
        <f>IF(TrRoad_act!H59=0,0,TrRoad_ene!H62/TrRoad_tech!H90)</f>
        <v>1.1387206893856541</v>
      </c>
      <c r="I117" s="150">
        <f>IF(TrRoad_act!I59=0,0,TrRoad_ene!I62/TrRoad_tech!I90)</f>
        <v>1.1431924313188029</v>
      </c>
      <c r="J117" s="150">
        <f>IF(TrRoad_act!J59=0,0,TrRoad_ene!J62/TrRoad_tech!J90)</f>
        <v>1.1481065086309661</v>
      </c>
      <c r="K117" s="150">
        <f>IF(TrRoad_act!K59=0,0,TrRoad_ene!K62/TrRoad_tech!K90)</f>
        <v>1.1520360388824842</v>
      </c>
      <c r="L117" s="150">
        <f>IF(TrRoad_act!L59=0,0,TrRoad_ene!L62/TrRoad_tech!L90)</f>
        <v>1.1558411142750902</v>
      </c>
      <c r="M117" s="150">
        <f>IF(TrRoad_act!M59=0,0,TrRoad_ene!M62/TrRoad_tech!M90)</f>
        <v>1.1588463638772071</v>
      </c>
      <c r="N117" s="150">
        <f>IF(TrRoad_act!N59=0,0,TrRoad_ene!N62/TrRoad_tech!N90)</f>
        <v>1.1635014050662149</v>
      </c>
      <c r="O117" s="150">
        <f>IF(TrRoad_act!O59=0,0,TrRoad_ene!O62/TrRoad_tech!O90)</f>
        <v>1.1680326712857227</v>
      </c>
      <c r="P117" s="150">
        <f>IF(TrRoad_act!P59=0,0,TrRoad_ene!P62/TrRoad_tech!P90)</f>
        <v>1.1744152804671852</v>
      </c>
      <c r="Q117" s="150">
        <f>IF(TrRoad_act!Q59=0,0,TrRoad_ene!Q62/TrRoad_tech!Q90)</f>
        <v>1.1830046815837723</v>
      </c>
      <c r="R117" s="150">
        <f>IF(TrRoad_act!R59=0,0,TrRoad_ene!R62/TrRoad_tech!R90)</f>
        <v>1.1934314772289174</v>
      </c>
      <c r="S117" s="150">
        <f>IF(TrRoad_act!S59=0,0,TrRoad_ene!S62/TrRoad_tech!S90)</f>
        <v>1.1997128507972068</v>
      </c>
      <c r="T117" s="150">
        <f>IF(TrRoad_act!T59=0,0,TrRoad_ene!T62/TrRoad_tech!T90)</f>
        <v>1.2092067306459087</v>
      </c>
      <c r="U117" s="150">
        <f>IF(TrRoad_act!U59=0,0,TrRoad_ene!U62/TrRoad_tech!U90)</f>
        <v>1.2202573654194764</v>
      </c>
      <c r="V117" s="150">
        <f>IF(TrRoad_act!V59=0,0,TrRoad_ene!V62/TrRoad_tech!V90)</f>
        <v>1.2321218843785633</v>
      </c>
      <c r="W117" s="150">
        <f>IF(TrRoad_act!W59=0,0,TrRoad_ene!W62/TrRoad_tech!W90)</f>
        <v>1.2421890012126857</v>
      </c>
      <c r="X117" s="150">
        <f>IF(TrRoad_act!X59=0,0,TrRoad_ene!X62/TrRoad_tech!X90)</f>
        <v>1.2522802075563984</v>
      </c>
      <c r="Y117" s="150">
        <f>IF(TrRoad_act!Y59=0,0,TrRoad_ene!Y62/TrRoad_tech!Y90)</f>
        <v>1.2637767885177935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0.92265325280020316</v>
      </c>
      <c r="C118" s="151">
        <f>IF(TrRoad_act!C60=0,0,TrRoad_ene!C63/TrRoad_tech!C91)</f>
        <v>0.92563851675422293</v>
      </c>
      <c r="D118" s="151">
        <f>IF(TrRoad_act!D60=0,0,TrRoad_ene!D63/TrRoad_tech!D91)</f>
        <v>0.93048551999831219</v>
      </c>
      <c r="E118" s="151">
        <f>IF(TrRoad_act!E60=0,0,TrRoad_ene!E63/TrRoad_tech!E91)</f>
        <v>0.94134864021250353</v>
      </c>
      <c r="F118" s="151">
        <f>IF(TrRoad_act!F60=0,0,TrRoad_ene!F63/TrRoad_tech!F91)</f>
        <v>0.95183569085275965</v>
      </c>
      <c r="G118" s="151">
        <f>IF(TrRoad_act!G60=0,0,TrRoad_ene!G63/TrRoad_tech!G91)</f>
        <v>0.90135394138779013</v>
      </c>
      <c r="H118" s="151">
        <f>IF(TrRoad_act!H60=0,0,TrRoad_ene!H63/TrRoad_tech!H91)</f>
        <v>0.95237210955858143</v>
      </c>
      <c r="I118" s="151">
        <f>IF(TrRoad_act!I60=0,0,TrRoad_ene!I63/TrRoad_tech!I91)</f>
        <v>0.95422670984141078</v>
      </c>
      <c r="J118" s="151">
        <f>IF(TrRoad_act!J60=0,0,TrRoad_ene!J63/TrRoad_tech!J91)</f>
        <v>0.95947403042872748</v>
      </c>
      <c r="K118" s="151">
        <f>IF(TrRoad_act!K60=0,0,TrRoad_ene!K63/TrRoad_tech!K91)</f>
        <v>0.90952695904542968</v>
      </c>
      <c r="L118" s="151">
        <f>IF(TrRoad_act!L60=0,0,TrRoad_ene!L63/TrRoad_tech!L91)</f>
        <v>0.91886421716671318</v>
      </c>
      <c r="M118" s="151">
        <f>IF(TrRoad_act!M60=0,0,TrRoad_ene!M63/TrRoad_tech!M91)</f>
        <v>0.95932034249837894</v>
      </c>
      <c r="N118" s="151">
        <f>IF(TrRoad_act!N60=0,0,TrRoad_ene!N63/TrRoad_tech!N91)</f>
        <v>0.96044295047441786</v>
      </c>
      <c r="O118" s="151">
        <f>IF(TrRoad_act!O60=0,0,TrRoad_ene!O63/TrRoad_tech!O91)</f>
        <v>0.94583970080328439</v>
      </c>
      <c r="P118" s="151">
        <f>IF(TrRoad_act!P60=0,0,TrRoad_ene!P63/TrRoad_tech!P91)</f>
        <v>0.96919150210016003</v>
      </c>
      <c r="Q118" s="151">
        <f>IF(TrRoad_act!Q60=0,0,TrRoad_ene!Q63/TrRoad_tech!Q91)</f>
        <v>0.97364047652207875</v>
      </c>
      <c r="R118" s="151">
        <f>IF(TrRoad_act!R60=0,0,TrRoad_ene!R63/TrRoad_tech!R91)</f>
        <v>0.99333854920524012</v>
      </c>
      <c r="S118" s="151">
        <f>IF(TrRoad_act!S60=0,0,TrRoad_ene!S63/TrRoad_tech!S91)</f>
        <v>1.0009565804662821</v>
      </c>
      <c r="T118" s="151">
        <f>IF(TrRoad_act!T60=0,0,TrRoad_ene!T63/TrRoad_tech!T91)</f>
        <v>1.0006743948969785</v>
      </c>
      <c r="U118" s="151">
        <f>IF(TrRoad_act!U60=0,0,TrRoad_ene!U63/TrRoad_tech!U91)</f>
        <v>1.0035172621922912</v>
      </c>
      <c r="V118" s="151">
        <f>IF(TrRoad_act!V60=0,0,TrRoad_ene!V63/TrRoad_tech!V91)</f>
        <v>0.98115542585854054</v>
      </c>
      <c r="W118" s="151">
        <f>IF(TrRoad_act!W60=0,0,TrRoad_ene!W63/TrRoad_tech!W91)</f>
        <v>1.0200594451830234</v>
      </c>
      <c r="X118" s="151">
        <f>IF(TrRoad_act!X60=0,0,TrRoad_ene!X63/TrRoad_tech!X91)</f>
        <v>1.0165955538384164</v>
      </c>
      <c r="Y118" s="151">
        <f>IF(TrRoad_act!Y60=0,0,TrRoad_ene!Y63/TrRoad_tech!Y91)</f>
        <v>1.0222325759324995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0.91023634248135843</v>
      </c>
      <c r="C119" s="91">
        <f>IF(TrRoad_act!C61=0,0,TrRoad_ene!C64/TrRoad_tech!C92)</f>
        <v>0.91638281620095574</v>
      </c>
      <c r="D119" s="91">
        <f>IF(TrRoad_act!D61=0,0,TrRoad_ene!D64/TrRoad_tech!D92)</f>
        <v>0.92226060683046662</v>
      </c>
      <c r="E119" s="91">
        <f>IF(TrRoad_act!E61=0,0,TrRoad_ene!E64/TrRoad_tech!E92)</f>
        <v>0.92508569990138168</v>
      </c>
      <c r="F119" s="91">
        <f>IF(TrRoad_act!F61=0,0,TrRoad_ene!F64/TrRoad_tech!F92)</f>
        <v>0.94064920053258361</v>
      </c>
      <c r="G119" s="91">
        <f>IF(TrRoad_act!G61=0,0,TrRoad_ene!G64/TrRoad_tech!G92)</f>
        <v>0.87160359028834289</v>
      </c>
      <c r="H119" s="91">
        <f>IF(TrRoad_act!H61=0,0,TrRoad_ene!H64/TrRoad_tech!H92)</f>
        <v>0.94115476942976972</v>
      </c>
      <c r="I119" s="91">
        <f>IF(TrRoad_act!I61=0,0,TrRoad_ene!I64/TrRoad_tech!I92)</f>
        <v>0.94424611171371475</v>
      </c>
      <c r="J119" s="91">
        <f>IF(TrRoad_act!J61=0,0,TrRoad_ene!J64/TrRoad_tech!J92)</f>
        <v>0.94480955830591995</v>
      </c>
      <c r="K119" s="91">
        <f>IF(TrRoad_act!K61=0,0,TrRoad_ene!K64/TrRoad_tech!K92)</f>
        <v>0.87994366953144088</v>
      </c>
      <c r="L119" s="91">
        <f>IF(TrRoad_act!L61=0,0,TrRoad_ene!L64/TrRoad_tech!L92)</f>
        <v>0.88980406848303917</v>
      </c>
      <c r="M119" s="91">
        <f>IF(TrRoad_act!M61=0,0,TrRoad_ene!M64/TrRoad_tech!M92)</f>
        <v>0.96393696087457548</v>
      </c>
      <c r="N119" s="91">
        <f>IF(TrRoad_act!N61=0,0,TrRoad_ene!N64/TrRoad_tech!N92)</f>
        <v>0.96714318496756513</v>
      </c>
      <c r="O119" s="91">
        <f>IF(TrRoad_act!O61=0,0,TrRoad_ene!O64/TrRoad_tech!O92)</f>
        <v>0.96488705074235348</v>
      </c>
      <c r="P119" s="91">
        <f>IF(TrRoad_act!P61=0,0,TrRoad_ene!P64/TrRoad_tech!P92)</f>
        <v>0.97600592498120387</v>
      </c>
      <c r="Q119" s="91">
        <f>IF(TrRoad_act!Q61=0,0,TrRoad_ene!Q64/TrRoad_tech!Q92)</f>
        <v>0.98024248011842963</v>
      </c>
      <c r="R119" s="91">
        <f>IF(TrRoad_act!R61=0,0,TrRoad_ene!R64/TrRoad_tech!R92)</f>
        <v>1.0220696744634779</v>
      </c>
      <c r="S119" s="91">
        <f>IF(TrRoad_act!S61=0,0,TrRoad_ene!S64/TrRoad_tech!S92)</f>
        <v>1.0423187270822869</v>
      </c>
      <c r="T119" s="91">
        <f>IF(TrRoad_act!T61=0,0,TrRoad_ene!T64/TrRoad_tech!T92)</f>
        <v>1.046068011753349</v>
      </c>
      <c r="U119" s="91">
        <f>IF(TrRoad_act!U61=0,0,TrRoad_ene!U64/TrRoad_tech!U92)</f>
        <v>1.0504568224237552</v>
      </c>
      <c r="V119" s="91">
        <f>IF(TrRoad_act!V61=0,0,TrRoad_ene!V64/TrRoad_tech!V92)</f>
        <v>1.0140815257670421</v>
      </c>
      <c r="W119" s="91">
        <f>IF(TrRoad_act!W61=0,0,TrRoad_ene!W64/TrRoad_tech!W92)</f>
        <v>1.0714796364606136</v>
      </c>
      <c r="X119" s="91">
        <f>IF(TrRoad_act!X61=0,0,TrRoad_ene!X64/TrRoad_tech!X92)</f>
        <v>1.0600379436430905</v>
      </c>
      <c r="Y119" s="91">
        <f>IF(TrRoad_act!Y61=0,0,TrRoad_ene!Y64/TrRoad_tech!Y92)</f>
        <v>1.06230612336104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1.0334752154557552</v>
      </c>
      <c r="C120" s="91">
        <f>IF(TrRoad_act!C62=0,0,TrRoad_ene!C65/TrRoad_tech!C93)</f>
        <v>1.0387741307367535</v>
      </c>
      <c r="D120" s="91">
        <f>IF(TrRoad_act!D62=0,0,TrRoad_ene!D65/TrRoad_tech!D93)</f>
        <v>1.0469993877515522</v>
      </c>
      <c r="E120" s="91">
        <f>IF(TrRoad_act!E62=0,0,TrRoad_ene!E65/TrRoad_tech!E93)</f>
        <v>1.0564441932784994</v>
      </c>
      <c r="F120" s="91">
        <f>IF(TrRoad_act!F62=0,0,TrRoad_ene!F65/TrRoad_tech!F93)</f>
        <v>1.0521243535336311</v>
      </c>
      <c r="G120" s="91">
        <f>IF(TrRoad_act!G62=0,0,TrRoad_ene!G65/TrRoad_tech!G93)</f>
        <v>1.1277656742372206</v>
      </c>
      <c r="H120" s="91">
        <f>IF(TrRoad_act!H62=0,0,TrRoad_ene!H65/TrRoad_tech!H93)</f>
        <v>1.0692645953513149</v>
      </c>
      <c r="I120" s="91">
        <f>IF(TrRoad_act!I62=0,0,TrRoad_ene!I65/TrRoad_tech!I93)</f>
        <v>1.0698204900825943</v>
      </c>
      <c r="J120" s="91">
        <f>IF(TrRoad_act!J62=0,0,TrRoad_ene!J65/TrRoad_tech!J93)</f>
        <v>1.0743559864082781</v>
      </c>
      <c r="K120" s="91">
        <f>IF(TrRoad_act!K62=0,0,TrRoad_ene!K65/TrRoad_tech!K93)</f>
        <v>1.0612519601963109</v>
      </c>
      <c r="L120" s="91">
        <f>IF(TrRoad_act!L62=0,0,TrRoad_ene!L65/TrRoad_tech!L93)</f>
        <v>1.0517462556325938</v>
      </c>
      <c r="M120" s="91">
        <f>IF(TrRoad_act!M62=0,0,TrRoad_ene!M65/TrRoad_tech!M93)</f>
        <v>1.0155586259362215</v>
      </c>
      <c r="N120" s="91">
        <f>IF(TrRoad_act!N62=0,0,TrRoad_ene!N65/TrRoad_tech!N93)</f>
        <v>1.0276826996056632</v>
      </c>
      <c r="O120" s="91">
        <f>IF(TrRoad_act!O62=0,0,TrRoad_ene!O65/TrRoad_tech!O93)</f>
        <v>0.98421462004898752</v>
      </c>
      <c r="P120" s="91">
        <f>IF(TrRoad_act!P62=0,0,TrRoad_ene!P65/TrRoad_tech!P93)</f>
        <v>1.0396931450974929</v>
      </c>
      <c r="Q120" s="91">
        <f>IF(TrRoad_act!Q62=0,0,TrRoad_ene!Q65/TrRoad_tech!Q93)</f>
        <v>1.0590869681255244</v>
      </c>
      <c r="R120" s="91">
        <f>IF(TrRoad_act!R62=0,0,TrRoad_ene!R65/TrRoad_tech!R93)</f>
        <v>1.0606996184571151</v>
      </c>
      <c r="S120" s="91">
        <f>IF(TrRoad_act!S62=0,0,TrRoad_ene!S65/TrRoad_tech!S93)</f>
        <v>1.0615570223032134</v>
      </c>
      <c r="T120" s="91">
        <f>IF(TrRoad_act!T62=0,0,TrRoad_ene!T65/TrRoad_tech!T93)</f>
        <v>1.066705162591546</v>
      </c>
      <c r="U120" s="91">
        <f>IF(TrRoad_act!U62=0,0,TrRoad_ene!U65/TrRoad_tech!U93)</f>
        <v>1.0743840615909703</v>
      </c>
      <c r="V120" s="91">
        <f>IF(TrRoad_act!V62=0,0,TrRoad_ene!V65/TrRoad_tech!V93)</f>
        <v>1.0634561962885332</v>
      </c>
      <c r="W120" s="91">
        <f>IF(TrRoad_act!W62=0,0,TrRoad_ene!W65/TrRoad_tech!W93)</f>
        <v>1.079785250290316</v>
      </c>
      <c r="X120" s="91">
        <f>IF(TrRoad_act!X62=0,0,TrRoad_ene!X65/TrRoad_tech!X93)</f>
        <v>1.0828561948320972</v>
      </c>
      <c r="Y120" s="91">
        <f>IF(TrRoad_act!Y62=0,0,TrRoad_ene!Y65/TrRoad_tech!Y93)</f>
        <v>1.0879670626897109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1.1782777597733491</v>
      </c>
      <c r="D121" s="91">
        <f>IF(TrRoad_act!D63=0,0,TrRoad_ene!D66/TrRoad_tech!D94)</f>
        <v>1.1740025714412927</v>
      </c>
      <c r="E121" s="91">
        <f>IF(TrRoad_act!E63=0,0,TrRoad_ene!E66/TrRoad_tech!E94)</f>
        <v>1.3850760982335466</v>
      </c>
      <c r="F121" s="91">
        <f>IF(TrRoad_act!F63=0,0,TrRoad_ene!F66/TrRoad_tech!F94)</f>
        <v>1.3183856159734866</v>
      </c>
      <c r="G121" s="91">
        <f>IF(TrRoad_act!G63=0,0,TrRoad_ene!G66/TrRoad_tech!G94)</f>
        <v>1.040844580242192</v>
      </c>
      <c r="H121" s="91">
        <f>IF(TrRoad_act!H63=0,0,TrRoad_ene!H66/TrRoad_tech!H94)</f>
        <v>1.140807709234164</v>
      </c>
      <c r="I121" s="91">
        <f>IF(TrRoad_act!I63=0,0,TrRoad_ene!I66/TrRoad_tech!I94)</f>
        <v>1.0253943958534655</v>
      </c>
      <c r="J121" s="91">
        <f>IF(TrRoad_act!J63=0,0,TrRoad_ene!J66/TrRoad_tech!J94)</f>
        <v>1.0028464743988035</v>
      </c>
      <c r="K121" s="91">
        <f>IF(TrRoad_act!K63=0,0,TrRoad_ene!K66/TrRoad_tech!K94)</f>
        <v>0.98924552760698647</v>
      </c>
      <c r="L121" s="91">
        <f>IF(TrRoad_act!L63=0,0,TrRoad_ene!L66/TrRoad_tech!L94)</f>
        <v>1.1765883952627334</v>
      </c>
      <c r="M121" s="91">
        <f>IF(TrRoad_act!M63=0,0,TrRoad_ene!M66/TrRoad_tech!M94)</f>
        <v>1.2830371110098853</v>
      </c>
      <c r="N121" s="91">
        <f>IF(TrRoad_act!N63=0,0,TrRoad_ene!N66/TrRoad_tech!N94)</f>
        <v>0.90539960683828213</v>
      </c>
      <c r="O121" s="91">
        <f>IF(TrRoad_act!O63=0,0,TrRoad_ene!O66/TrRoad_tech!O94)</f>
        <v>1.1528458263338492</v>
      </c>
      <c r="P121" s="91">
        <f>IF(TrRoad_act!P63=0,0,TrRoad_ene!P66/TrRoad_tech!P94)</f>
        <v>0.96259360855749154</v>
      </c>
      <c r="Q121" s="91">
        <f>IF(TrRoad_act!Q63=0,0,TrRoad_ene!Q66/TrRoad_tech!Q94)</f>
        <v>0.8877720463687967</v>
      </c>
      <c r="R121" s="91">
        <f>IF(TrRoad_act!R63=0,0,TrRoad_ene!R66/TrRoad_tech!R94)</f>
        <v>0.78271088895119156</v>
      </c>
      <c r="S121" s="91">
        <f>IF(TrRoad_act!S63=0,0,TrRoad_ene!S66/TrRoad_tech!S94)</f>
        <v>0.76553973142695031</v>
      </c>
      <c r="T121" s="91">
        <f>IF(TrRoad_act!T63=0,0,TrRoad_ene!T66/TrRoad_tech!T94)</f>
        <v>0.70065299376423051</v>
      </c>
      <c r="U121" s="91">
        <f>IF(TrRoad_act!U63=0,0,TrRoad_ene!U66/TrRoad_tech!U94)</f>
        <v>0.64006230375773465</v>
      </c>
      <c r="V121" s="91">
        <f>IF(TrRoad_act!V63=0,0,TrRoad_ene!V66/TrRoad_tech!V94)</f>
        <v>0.63164744148086294</v>
      </c>
      <c r="W121" s="91">
        <f>IF(TrRoad_act!W63=0,0,TrRoad_ene!W66/TrRoad_tech!W94)</f>
        <v>0.86964481552688178</v>
      </c>
      <c r="X121" s="91">
        <f>IF(TrRoad_act!X63=0,0,TrRoad_ene!X66/TrRoad_tech!X94)</f>
        <v>0.84960578132171005</v>
      </c>
      <c r="Y121" s="91">
        <f>IF(TrRoad_act!Y63=0,0,TrRoad_ene!Y66/TrRoad_tech!Y94)</f>
        <v>0.96407846628023119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1.0655555555606802</v>
      </c>
      <c r="O122" s="91">
        <f>IF(TrRoad_act!O64=0,0,TrRoad_ene!O67/TrRoad_tech!O95)</f>
        <v>1.0710771241657626</v>
      </c>
      <c r="P122" s="91">
        <f>IF(TrRoad_act!P64=0,0,TrRoad_ene!P67/TrRoad_tech!P95)</f>
        <v>1.0734229060792733</v>
      </c>
      <c r="Q122" s="91">
        <f>IF(TrRoad_act!Q64=0,0,TrRoad_ene!Q67/TrRoad_tech!Q95)</f>
        <v>1.0787201929288925</v>
      </c>
      <c r="R122" s="91">
        <f>IF(TrRoad_act!R64=0,0,TrRoad_ene!R67/TrRoad_tech!R95)</f>
        <v>1.0796487650835982</v>
      </c>
      <c r="S122" s="91">
        <f>IF(TrRoad_act!S64=0,0,TrRoad_ene!S67/TrRoad_tech!S95)</f>
        <v>1.0810014298715465</v>
      </c>
      <c r="T122" s="91">
        <f>IF(TrRoad_act!T64=0,0,TrRoad_ene!T67/TrRoad_tech!T95)</f>
        <v>1.0819491864523454</v>
      </c>
      <c r="U122" s="91">
        <f>IF(TrRoad_act!U64=0,0,TrRoad_ene!U67/TrRoad_tech!U95)</f>
        <v>1.0821199649142579</v>
      </c>
      <c r="V122" s="91">
        <f>IF(TrRoad_act!V64=0,0,TrRoad_ene!V67/TrRoad_tech!V95)</f>
        <v>1.0822207944694222</v>
      </c>
      <c r="W122" s="91">
        <f>IF(TrRoad_act!W64=0,0,TrRoad_ene!W67/TrRoad_tech!W95)</f>
        <v>1.0823071600950864</v>
      </c>
      <c r="X122" s="91">
        <f>IF(TrRoad_act!X64=0,0,TrRoad_ene!X67/TrRoad_tech!X95)</f>
        <v>1.0824166146691838</v>
      </c>
      <c r="Y122" s="91">
        <f>IF(TrRoad_act!Y64=0,0,TrRoad_ene!Y67/TrRoad_tech!Y95)</f>
        <v>1.0824730148205668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1.0225087862087259</v>
      </c>
      <c r="O123" s="91">
        <f>IF(TrRoad_act!O65=0,0,TrRoad_ene!O68/TrRoad_tech!O96)</f>
        <v>1.0205032671094734</v>
      </c>
      <c r="P123" s="91">
        <f>IF(TrRoad_act!P65=0,0,TrRoad_ene!P68/TrRoad_tech!P96)</f>
        <v>1.035708707329779</v>
      </c>
      <c r="Q123" s="91">
        <f>IF(TrRoad_act!Q65=0,0,TrRoad_ene!Q68/TrRoad_tech!Q96)</f>
        <v>1.049112663148547</v>
      </c>
      <c r="R123" s="91">
        <f>IF(TrRoad_act!R65=0,0,TrRoad_ene!R68/TrRoad_tech!R96)</f>
        <v>1.078108001270194</v>
      </c>
      <c r="S123" s="91">
        <f>IF(TrRoad_act!S65=0,0,TrRoad_ene!S68/TrRoad_tech!S96)</f>
        <v>1.0908934247096345</v>
      </c>
      <c r="T123" s="91">
        <f>IF(TrRoad_act!T65=0,0,TrRoad_ene!T68/TrRoad_tech!T96)</f>
        <v>1.0929678945901109</v>
      </c>
      <c r="U123" s="91">
        <f>IF(TrRoad_act!U65=0,0,TrRoad_ene!U68/TrRoad_tech!U96)</f>
        <v>1.0948640853252167</v>
      </c>
      <c r="V123" s="91">
        <f>IF(TrRoad_act!V65=0,0,TrRoad_ene!V68/TrRoad_tech!V96)</f>
        <v>1.0747717937414707</v>
      </c>
      <c r="W123" s="91">
        <f>IF(TrRoad_act!W65=0,0,TrRoad_ene!W68/TrRoad_tech!W96)</f>
        <v>1.1047903750556745</v>
      </c>
      <c r="X123" s="91">
        <f>IF(TrRoad_act!X65=0,0,TrRoad_ene!X68/TrRoad_tech!X96)</f>
        <v>1.0979313267077311</v>
      </c>
      <c r="Y123" s="91">
        <f>IF(TrRoad_act!Y65=0,0,TrRoad_ene!Y68/TrRoad_tech!Y96)</f>
        <v>1.0982921963419343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1.0587691701039932</v>
      </c>
      <c r="N124" s="91">
        <f>IF(TrRoad_act!N66=0,0,TrRoad_ene!N69/TrRoad_tech!N97)</f>
        <v>1.0589418578023</v>
      </c>
      <c r="O124" s="91">
        <f>IF(TrRoad_act!O66=0,0,TrRoad_ene!O69/TrRoad_tech!O97)</f>
        <v>1.0592379851137455</v>
      </c>
      <c r="P124" s="91">
        <f>IF(TrRoad_act!P66=0,0,TrRoad_ene!P69/TrRoad_tech!P97)</f>
        <v>1.0603532636902555</v>
      </c>
      <c r="Q124" s="91">
        <f>IF(TrRoad_act!Q66=0,0,TrRoad_ene!Q69/TrRoad_tech!Q97)</f>
        <v>1.0652646195755473</v>
      </c>
      <c r="R124" s="91">
        <f>IF(TrRoad_act!R66=0,0,TrRoad_ene!R69/TrRoad_tech!R97)</f>
        <v>1.0716790127486326</v>
      </c>
      <c r="S124" s="91">
        <f>IF(TrRoad_act!S66=0,0,TrRoad_ene!S69/TrRoad_tech!S97)</f>
        <v>1.0838201776233276</v>
      </c>
      <c r="T124" s="91">
        <f>IF(TrRoad_act!T66=0,0,TrRoad_ene!T69/TrRoad_tech!T97)</f>
        <v>1.0890272992356917</v>
      </c>
      <c r="U124" s="91">
        <f>IF(TrRoad_act!U66=0,0,TrRoad_ene!U69/TrRoad_tech!U97)</f>
        <v>1.0928150373243608</v>
      </c>
      <c r="V124" s="91">
        <f>IF(TrRoad_act!V66=0,0,TrRoad_ene!V69/TrRoad_tech!V97)</f>
        <v>1.0951028741038729</v>
      </c>
      <c r="W124" s="91">
        <f>IF(TrRoad_act!W66=0,0,TrRoad_ene!W69/TrRoad_tech!W97)</f>
        <v>1.0968469003381518</v>
      </c>
      <c r="X124" s="91">
        <f>IF(TrRoad_act!X66=0,0,TrRoad_ene!X69/TrRoad_tech!X97)</f>
        <v>1.0980964994761899</v>
      </c>
      <c r="Y124" s="91">
        <f>IF(TrRoad_act!Y66=0,0,TrRoad_ene!Y69/TrRoad_tech!Y97)</f>
        <v>1.0988317790665827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1.1684157354631137</v>
      </c>
      <c r="C125" s="151">
        <f>IF(TrRoad_act!C67=0,0,TrRoad_ene!C70/TrRoad_tech!C98)</f>
        <v>1.1769172537111527</v>
      </c>
      <c r="D125" s="151">
        <f>IF(TrRoad_act!D67=0,0,TrRoad_ene!D70/TrRoad_tech!D98)</f>
        <v>1.2174854374604398</v>
      </c>
      <c r="E125" s="151">
        <f>IF(TrRoad_act!E67=0,0,TrRoad_ene!E70/TrRoad_tech!E98)</f>
        <v>1.2306527407227772</v>
      </c>
      <c r="F125" s="151">
        <f>IF(TrRoad_act!F67=0,0,TrRoad_ene!F70/TrRoad_tech!F98)</f>
        <v>1.2321595818928417</v>
      </c>
      <c r="G125" s="151">
        <f>IF(TrRoad_act!G67=0,0,TrRoad_ene!G70/TrRoad_tech!G98)</f>
        <v>1.2870388074516137</v>
      </c>
      <c r="H125" s="151">
        <f>IF(TrRoad_act!H67=0,0,TrRoad_ene!H70/TrRoad_tech!H98)</f>
        <v>1.286270090343534</v>
      </c>
      <c r="I125" s="151">
        <f>IF(TrRoad_act!I67=0,0,TrRoad_ene!I70/TrRoad_tech!I98)</f>
        <v>1.2445813139455988</v>
      </c>
      <c r="J125" s="151">
        <f>IF(TrRoad_act!J67=0,0,TrRoad_ene!J70/TrRoad_tech!J98)</f>
        <v>1.2740632374609515</v>
      </c>
      <c r="K125" s="151">
        <f>IF(TrRoad_act!K67=0,0,TrRoad_ene!K70/TrRoad_tech!K98)</f>
        <v>1.2593273704793253</v>
      </c>
      <c r="L125" s="151">
        <f>IF(TrRoad_act!L67=0,0,TrRoad_ene!L70/TrRoad_tech!L98)</f>
        <v>1.2707501908112866</v>
      </c>
      <c r="M125" s="151">
        <f>IF(TrRoad_act!M67=0,0,TrRoad_ene!M70/TrRoad_tech!M98)</f>
        <v>1.2041204238888221</v>
      </c>
      <c r="N125" s="151">
        <f>IF(TrRoad_act!N67=0,0,TrRoad_ene!N70/TrRoad_tech!N98)</f>
        <v>1.1835076786564489</v>
      </c>
      <c r="O125" s="151">
        <f>IF(TrRoad_act!O67=0,0,TrRoad_ene!O70/TrRoad_tech!O98)</f>
        <v>1.1184639102323215</v>
      </c>
      <c r="P125" s="151">
        <f>IF(TrRoad_act!P67=0,0,TrRoad_ene!P70/TrRoad_tech!P98)</f>
        <v>1.2288583865083744</v>
      </c>
      <c r="Q125" s="151">
        <f>IF(TrRoad_act!Q67=0,0,TrRoad_ene!Q70/TrRoad_tech!Q98)</f>
        <v>1.2938041092549353</v>
      </c>
      <c r="R125" s="151">
        <f>IF(TrRoad_act!R67=0,0,TrRoad_ene!R70/TrRoad_tech!R98)</f>
        <v>1.258089857365938</v>
      </c>
      <c r="S125" s="151">
        <f>IF(TrRoad_act!S67=0,0,TrRoad_ene!S70/TrRoad_tech!S98)</f>
        <v>1.271836925879585</v>
      </c>
      <c r="T125" s="151">
        <f>IF(TrRoad_act!T67=0,0,TrRoad_ene!T70/TrRoad_tech!T98)</f>
        <v>1.2954200192918417</v>
      </c>
      <c r="U125" s="151">
        <f>IF(TrRoad_act!U67=0,0,TrRoad_ene!U70/TrRoad_tech!U98)</f>
        <v>1.3131022711174798</v>
      </c>
      <c r="V125" s="151">
        <f>IF(TrRoad_act!V67=0,0,TrRoad_ene!V70/TrRoad_tech!V98)</f>
        <v>1.2526743562442768</v>
      </c>
      <c r="W125" s="151">
        <f>IF(TrRoad_act!W67=0,0,TrRoad_ene!W70/TrRoad_tech!W98)</f>
        <v>1.3023356887510915</v>
      </c>
      <c r="X125" s="151">
        <f>IF(TrRoad_act!X67=0,0,TrRoad_ene!X70/TrRoad_tech!X98)</f>
        <v>1.3362876753759458</v>
      </c>
      <c r="Y125" s="151">
        <f>IF(TrRoad_act!Y67=0,0,TrRoad_ene!Y70/TrRoad_tech!Y98)</f>
        <v>1.2606065728256717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1.1000000000067303</v>
      </c>
      <c r="E126" s="93">
        <f>IF(TrRoad_act!E68=0,0,TrRoad_ene!E71/TrRoad_tech!E99)</f>
        <v>1.1000000000067303</v>
      </c>
      <c r="F126" s="93">
        <f>IF(TrRoad_act!F68=0,0,TrRoad_ene!F71/TrRoad_tech!F99)</f>
        <v>1.1000449786729312</v>
      </c>
      <c r="G126" s="93">
        <f>IF(TrRoad_act!G68=0,0,TrRoad_ene!G71/TrRoad_tech!G99)</f>
        <v>1.1000875200627178</v>
      </c>
      <c r="H126" s="93">
        <f>IF(TrRoad_act!H68=0,0,TrRoad_ene!H71/TrRoad_tech!H99)</f>
        <v>1.1001007855717531</v>
      </c>
      <c r="I126" s="93">
        <f>IF(TrRoad_act!I68=0,0,TrRoad_ene!I71/TrRoad_tech!I99)</f>
        <v>1.100202498416232</v>
      </c>
      <c r="J126" s="93">
        <f>IF(TrRoad_act!J68=0,0,TrRoad_ene!J71/TrRoad_tech!J99)</f>
        <v>1.1010840432096287</v>
      </c>
      <c r="K126" s="93">
        <f>IF(TrRoad_act!K68=0,0,TrRoad_ene!K71/TrRoad_tech!K99)</f>
        <v>1.1013780577717054</v>
      </c>
      <c r="L126" s="93">
        <f>IF(TrRoad_act!L68=0,0,TrRoad_ene!L71/TrRoad_tech!L99)</f>
        <v>1.1027084118643351</v>
      </c>
      <c r="M126" s="93">
        <f>IF(TrRoad_act!M68=0,0,TrRoad_ene!M71/TrRoad_tech!M99)</f>
        <v>1.106022533440695</v>
      </c>
      <c r="N126" s="93">
        <f>IF(TrRoad_act!N68=0,0,TrRoad_ene!N71/TrRoad_tech!N99)</f>
        <v>1.1099980157876199</v>
      </c>
      <c r="O126" s="93">
        <f>IF(TrRoad_act!O68=0,0,TrRoad_ene!O71/TrRoad_tech!O99)</f>
        <v>1.1102481590428768</v>
      </c>
      <c r="P126" s="93">
        <f>IF(TrRoad_act!P68=0,0,TrRoad_ene!P71/TrRoad_tech!P99)</f>
        <v>1.1118798625519093</v>
      </c>
      <c r="Q126" s="93">
        <f>IF(TrRoad_act!Q68=0,0,TrRoad_ene!Q71/TrRoad_tech!Q99)</f>
        <v>1.115345520707451</v>
      </c>
      <c r="R126" s="93">
        <f>IF(TrRoad_act!R68=0,0,TrRoad_ene!R71/TrRoad_tech!R99)</f>
        <v>1.122178857385387</v>
      </c>
      <c r="S126" s="93">
        <f>IF(TrRoad_act!S68=0,0,TrRoad_ene!S71/TrRoad_tech!S99)</f>
        <v>1.1265593161972007</v>
      </c>
      <c r="T126" s="93">
        <f>IF(TrRoad_act!T68=0,0,TrRoad_ene!T71/TrRoad_tech!T99)</f>
        <v>1.1296496971931254</v>
      </c>
      <c r="U126" s="93">
        <f>IF(TrRoad_act!U68=0,0,TrRoad_ene!U71/TrRoad_tech!U99)</f>
        <v>1.1299344651482535</v>
      </c>
      <c r="V126" s="93">
        <f>IF(TrRoad_act!V68=0,0,TrRoad_ene!V71/TrRoad_tech!V99)</f>
        <v>1.1468729494872001</v>
      </c>
      <c r="W126" s="93">
        <f>IF(TrRoad_act!W68=0,0,TrRoad_ene!W71/TrRoad_tech!W99)</f>
        <v>1.1477393246115755</v>
      </c>
      <c r="X126" s="93">
        <f>IF(TrRoad_act!X68=0,0,TrRoad_ene!X71/TrRoad_tech!X99)</f>
        <v>1.1591289010738379</v>
      </c>
      <c r="Y126" s="93">
        <f>IF(TrRoad_act!Y68=0,0,TrRoad_ene!Y71/TrRoad_tech!Y99)</f>
        <v>1.1749761625159889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1.1068808448824052</v>
      </c>
      <c r="C127" s="93">
        <f>IF(TrRoad_act!C69=0,0,TrRoad_ene!C72/TrRoad_tech!C100)</f>
        <v>1.1327792181690723</v>
      </c>
      <c r="D127" s="93">
        <f>IF(TrRoad_act!D69=0,0,TrRoad_ene!D72/TrRoad_tech!D100)</f>
        <v>1.185082654041492</v>
      </c>
      <c r="E127" s="93">
        <f>IF(TrRoad_act!E69=0,0,TrRoad_ene!E72/TrRoad_tech!E100)</f>
        <v>1.2077977775082986</v>
      </c>
      <c r="F127" s="93">
        <f>IF(TrRoad_act!F69=0,0,TrRoad_ene!F72/TrRoad_tech!F100)</f>
        <v>1.2158317868258401</v>
      </c>
      <c r="G127" s="93">
        <f>IF(TrRoad_act!G69=0,0,TrRoad_ene!G72/TrRoad_tech!G100)</f>
        <v>1.275563252497292</v>
      </c>
      <c r="H127" s="93">
        <f>IF(TrRoad_act!H69=0,0,TrRoad_ene!H72/TrRoad_tech!H100)</f>
        <v>1.2811215515487633</v>
      </c>
      <c r="I127" s="93">
        <f>IF(TrRoad_act!I69=0,0,TrRoad_ene!I72/TrRoad_tech!I100)</f>
        <v>1.242340182647909</v>
      </c>
      <c r="J127" s="93">
        <f>IF(TrRoad_act!J69=0,0,TrRoad_ene!J72/TrRoad_tech!J100)</f>
        <v>1.2682217161911966</v>
      </c>
      <c r="K127" s="93">
        <f>IF(TrRoad_act!K69=0,0,TrRoad_ene!K72/TrRoad_tech!K100)</f>
        <v>1.25457529896117</v>
      </c>
      <c r="L127" s="93">
        <f>IF(TrRoad_act!L69=0,0,TrRoad_ene!L72/TrRoad_tech!L100)</f>
        <v>1.2688532086265387</v>
      </c>
      <c r="M127" s="93">
        <f>IF(TrRoad_act!M69=0,0,TrRoad_ene!M72/TrRoad_tech!M100)</f>
        <v>1.203366957968764</v>
      </c>
      <c r="N127" s="93">
        <f>IF(TrRoad_act!N69=0,0,TrRoad_ene!N72/TrRoad_tech!N100)</f>
        <v>1.1832818031844217</v>
      </c>
      <c r="O127" s="93">
        <f>IF(TrRoad_act!O69=0,0,TrRoad_ene!O72/TrRoad_tech!O100)</f>
        <v>1.1192276921489162</v>
      </c>
      <c r="P127" s="93">
        <f>IF(TrRoad_act!P69=0,0,TrRoad_ene!P72/TrRoad_tech!P100)</f>
        <v>1.2377018967525091</v>
      </c>
      <c r="Q127" s="93">
        <f>IF(TrRoad_act!Q69=0,0,TrRoad_ene!Q72/TrRoad_tech!Q100)</f>
        <v>1.3048859446593013</v>
      </c>
      <c r="R127" s="93">
        <f>IF(TrRoad_act!R69=0,0,TrRoad_ene!R72/TrRoad_tech!R100)</f>
        <v>1.2736749335466162</v>
      </c>
      <c r="S127" s="93">
        <f>IF(TrRoad_act!S69=0,0,TrRoad_ene!S72/TrRoad_tech!S100)</f>
        <v>1.2946223987744359</v>
      </c>
      <c r="T127" s="93">
        <f>IF(TrRoad_act!T69=0,0,TrRoad_ene!T72/TrRoad_tech!T100)</f>
        <v>1.3175328477683852</v>
      </c>
      <c r="U127" s="93">
        <f>IF(TrRoad_act!U69=0,0,TrRoad_ene!U72/TrRoad_tech!U100)</f>
        <v>1.3195107286011403</v>
      </c>
      <c r="V127" s="93">
        <f>IF(TrRoad_act!V69=0,0,TrRoad_ene!V72/TrRoad_tech!V100)</f>
        <v>1.2567995030753356</v>
      </c>
      <c r="W127" s="93">
        <f>IF(TrRoad_act!W69=0,0,TrRoad_ene!W72/TrRoad_tech!W100)</f>
        <v>1.3114784029892468</v>
      </c>
      <c r="X127" s="93">
        <f>IF(TrRoad_act!X69=0,0,TrRoad_ene!X72/TrRoad_tech!X100)</f>
        <v>1.3569843586818413</v>
      </c>
      <c r="Y127" s="93">
        <f>IF(TrRoad_act!Y69=0,0,TrRoad_ene!Y72/TrRoad_tech!Y100)</f>
        <v>1.2786724065456441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1.2773333333398111</v>
      </c>
      <c r="Q128" s="93">
        <f>IF(TrRoad_act!Q70=0,0,TrRoad_ene!Q73/TrRoad_tech!Q101)</f>
        <v>1.2773333333398114</v>
      </c>
      <c r="R128" s="93">
        <f>IF(TrRoad_act!R70=0,0,TrRoad_ene!R73/TrRoad_tech!R101)</f>
        <v>1.2978960854005999</v>
      </c>
      <c r="S128" s="93">
        <f>IF(TrRoad_act!S70=0,0,TrRoad_ene!S73/TrRoad_tech!S101)</f>
        <v>1.2978960854006003</v>
      </c>
      <c r="T128" s="93">
        <f>IF(TrRoad_act!T70=0,0,TrRoad_ene!T73/TrRoad_tech!T101)</f>
        <v>1.2978960854006001</v>
      </c>
      <c r="U128" s="93">
        <f>IF(TrRoad_act!U70=0,0,TrRoad_ene!U73/TrRoad_tech!U101)</f>
        <v>1.2978960854006003</v>
      </c>
      <c r="V128" s="93">
        <f>IF(TrRoad_act!V70=0,0,TrRoad_ene!V73/TrRoad_tech!V101)</f>
        <v>1.2978960854006001</v>
      </c>
      <c r="W128" s="93">
        <f>IF(TrRoad_act!W70=0,0,TrRoad_ene!W73/TrRoad_tech!W101)</f>
        <v>1.2978960854006003</v>
      </c>
      <c r="X128" s="93">
        <f>IF(TrRoad_act!X70=0,0,TrRoad_ene!X73/TrRoad_tech!X101)</f>
        <v>1.2978960854006001</v>
      </c>
      <c r="Y128" s="93">
        <f>IF(TrRoad_act!Y70=0,0,TrRoad_ene!Y73/TrRoad_tech!Y101)</f>
        <v>1.2978960854006003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1.0539765342057072</v>
      </c>
      <c r="C129" s="93">
        <f>IF(TrRoad_act!C71=0,0,TrRoad_ene!C74/TrRoad_tech!C102)</f>
        <v>1.0980746883723176</v>
      </c>
      <c r="D129" s="93">
        <f>IF(TrRoad_act!D71=0,0,TrRoad_ene!D74/TrRoad_tech!D102)</f>
        <v>1.0851003177484122</v>
      </c>
      <c r="E129" s="93">
        <f>IF(TrRoad_act!E71=0,0,TrRoad_ene!E74/TrRoad_tech!E102)</f>
        <v>1.0884525035144106</v>
      </c>
      <c r="F129" s="93">
        <f>IF(TrRoad_act!F71=0,0,TrRoad_ene!F74/TrRoad_tech!F102)</f>
        <v>1.0709245037051394</v>
      </c>
      <c r="G129" s="93">
        <f>IF(TrRoad_act!G71=0,0,TrRoad_ene!G74/TrRoad_tech!G102)</f>
        <v>1.2696418533726175</v>
      </c>
      <c r="H129" s="93">
        <f>IF(TrRoad_act!H71=0,0,TrRoad_ene!H74/TrRoad_tech!H102)</f>
        <v>1.3480969084916488</v>
      </c>
      <c r="I129" s="93">
        <f>IF(TrRoad_act!I71=0,0,TrRoad_ene!I74/TrRoad_tech!I102)</f>
        <v>1.2167923358223243</v>
      </c>
      <c r="J129" s="93">
        <f>IF(TrRoad_act!J71=0,0,TrRoad_ene!J74/TrRoad_tech!J102)</f>
        <v>1.2216367509399719</v>
      </c>
      <c r="K129" s="93">
        <f>IF(TrRoad_act!K71=0,0,TrRoad_ene!K74/TrRoad_tech!K102)</f>
        <v>1.1208090446173269</v>
      </c>
      <c r="L129" s="93">
        <f>IF(TrRoad_act!L71=0,0,TrRoad_ene!L74/TrRoad_tech!L102)</f>
        <v>1.1171027749560873</v>
      </c>
      <c r="M129" s="93">
        <f>IF(TrRoad_act!M71=0,0,TrRoad_ene!M74/TrRoad_tech!M102)</f>
        <v>1.3365525554021509</v>
      </c>
      <c r="N129" s="93">
        <f>IF(TrRoad_act!N71=0,0,TrRoad_ene!N74/TrRoad_tech!N102)</f>
        <v>1.1805956600603946</v>
      </c>
      <c r="O129" s="93">
        <f>IF(TrRoad_act!O71=0,0,TrRoad_ene!O74/TrRoad_tech!O102)</f>
        <v>0.73673293134432882</v>
      </c>
      <c r="P129" s="93">
        <f>IF(TrRoad_act!P71=0,0,TrRoad_ene!P74/TrRoad_tech!P102)</f>
        <v>0.40174276779022167</v>
      </c>
      <c r="Q129" s="93">
        <f>IF(TrRoad_act!Q71=0,0,TrRoad_ene!Q74/TrRoad_tech!Q102)</f>
        <v>0.76447936488057922</v>
      </c>
      <c r="R129" s="93">
        <f>IF(TrRoad_act!R71=0,0,TrRoad_ene!R74/TrRoad_tech!R102)</f>
        <v>0.89685602180247759</v>
      </c>
      <c r="S129" s="93">
        <f>IF(TrRoad_act!S71=0,0,TrRoad_ene!S74/TrRoad_tech!S102)</f>
        <v>0.79793951763483018</v>
      </c>
      <c r="T129" s="93">
        <f>IF(TrRoad_act!T71=0,0,TrRoad_ene!T74/TrRoad_tech!T102)</f>
        <v>0.89776927918457905</v>
      </c>
      <c r="U129" s="93">
        <f>IF(TrRoad_act!U71=0,0,TrRoad_ene!U74/TrRoad_tech!U102)</f>
        <v>1.7542421178462684</v>
      </c>
      <c r="V129" s="93">
        <f>IF(TrRoad_act!V71=0,0,TrRoad_ene!V74/TrRoad_tech!V102)</f>
        <v>1.669458593207729</v>
      </c>
      <c r="W129" s="93">
        <f>IF(TrRoad_act!W71=0,0,TrRoad_ene!W74/TrRoad_tech!W102)</f>
        <v>1.6611214132024221</v>
      </c>
      <c r="X129" s="93">
        <f>IF(TrRoad_act!X71=0,0,TrRoad_ene!X74/TrRoad_tech!X102)</f>
        <v>1.1258810242259234</v>
      </c>
      <c r="Y129" s="93">
        <f>IF(TrRoad_act!Y71=0,0,TrRoad_ene!Y74/TrRoad_tech!Y102)</f>
        <v>1.3399193560413556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1.1000985609014797</v>
      </c>
      <c r="F130" s="93">
        <f>IF(TrRoad_act!F72=0,0,TrRoad_ene!F75/TrRoad_tech!F103)</f>
        <v>1.1001003758210894</v>
      </c>
      <c r="G130" s="93">
        <f>IF(TrRoad_act!G72=0,0,TrRoad_ene!G75/TrRoad_tech!G103)</f>
        <v>1.1001649178348745</v>
      </c>
      <c r="H130" s="93">
        <f>IF(TrRoad_act!H72=0,0,TrRoad_ene!H75/TrRoad_tech!H103)</f>
        <v>1.100189373410223</v>
      </c>
      <c r="I130" s="93">
        <f>IF(TrRoad_act!I72=0,0,TrRoad_ene!I75/TrRoad_tech!I103)</f>
        <v>1.1002197540205556</v>
      </c>
      <c r="J130" s="93">
        <f>IF(TrRoad_act!J72=0,0,TrRoad_ene!J75/TrRoad_tech!J103)</f>
        <v>1.1002592552154526</v>
      </c>
      <c r="K130" s="93">
        <f>IF(TrRoad_act!K72=0,0,TrRoad_ene!K75/TrRoad_tech!K103)</f>
        <v>1.1003078031416895</v>
      </c>
      <c r="L130" s="93">
        <f>IF(TrRoad_act!L72=0,0,TrRoad_ene!L75/TrRoad_tech!L103)</f>
        <v>1.1004017387739753</v>
      </c>
      <c r="M130" s="93">
        <f>IF(TrRoad_act!M72=0,0,TrRoad_ene!M75/TrRoad_tech!M103)</f>
        <v>1.1005197263251147</v>
      </c>
      <c r="N130" s="93">
        <f>IF(TrRoad_act!N72=0,0,TrRoad_ene!N75/TrRoad_tech!N103)</f>
        <v>1.1006898070627162</v>
      </c>
      <c r="O130" s="93">
        <f>IF(TrRoad_act!O72=0,0,TrRoad_ene!O75/TrRoad_tech!O103)</f>
        <v>1.1118102511277428</v>
      </c>
      <c r="P130" s="93">
        <f>IF(TrRoad_act!P72=0,0,TrRoad_ene!P75/TrRoad_tech!P103)</f>
        <v>1.1313500540070989</v>
      </c>
      <c r="Q130" s="93">
        <f>IF(TrRoad_act!Q72=0,0,TrRoad_ene!Q75/TrRoad_tech!Q103)</f>
        <v>1.2550211194023333</v>
      </c>
      <c r="R130" s="93">
        <f>IF(TrRoad_act!R72=0,0,TrRoad_ene!R75/TrRoad_tech!R103)</f>
        <v>1.259267194398588</v>
      </c>
      <c r="S130" s="93">
        <f>IF(TrRoad_act!S72=0,0,TrRoad_ene!S75/TrRoad_tech!S103)</f>
        <v>1.2628636748216395</v>
      </c>
      <c r="T130" s="93">
        <f>IF(TrRoad_act!T72=0,0,TrRoad_ene!T75/TrRoad_tech!T103)</f>
        <v>1.2655622344999404</v>
      </c>
      <c r="U130" s="93">
        <f>IF(TrRoad_act!U72=0,0,TrRoad_ene!U75/TrRoad_tech!U103)</f>
        <v>1.2655622344999404</v>
      </c>
      <c r="V130" s="93">
        <f>IF(TrRoad_act!V72=0,0,TrRoad_ene!V75/TrRoad_tech!V103)</f>
        <v>1.3042650741098423</v>
      </c>
      <c r="W130" s="93">
        <f>IF(TrRoad_act!W72=0,0,TrRoad_ene!W75/TrRoad_tech!W103)</f>
        <v>1.3319389054091546</v>
      </c>
      <c r="X130" s="93">
        <f>IF(TrRoad_act!X72=0,0,TrRoad_ene!X75/TrRoad_tech!X103)</f>
        <v>1.345378845664815</v>
      </c>
      <c r="Y130" s="93">
        <f>IF(TrRoad_act!Y72=0,0,TrRoad_ene!Y75/TrRoad_tech!Y103)</f>
        <v>1.3536349916343853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1.1135925152419131</v>
      </c>
      <c r="C132" s="150">
        <f>IF(TrRoad_act!C74=0,0,TrRoad_ene!C77/TrRoad_tech!C105)</f>
        <v>1.1223366758747324</v>
      </c>
      <c r="D132" s="150">
        <f>IF(TrRoad_act!D74=0,0,TrRoad_ene!D77/TrRoad_tech!D105)</f>
        <v>1.1570878025369586</v>
      </c>
      <c r="E132" s="150">
        <f>IF(TrRoad_act!E74=0,0,TrRoad_ene!E77/TrRoad_tech!E105)</f>
        <v>1.1732472895524122</v>
      </c>
      <c r="F132" s="150">
        <f>IF(TrRoad_act!F74=0,0,TrRoad_ene!F77/TrRoad_tech!F105)</f>
        <v>1.1792344469274876</v>
      </c>
      <c r="G132" s="150">
        <f>IF(TrRoad_act!G74=0,0,TrRoad_ene!G77/TrRoad_tech!G105)</f>
        <v>1.2248150336202572</v>
      </c>
      <c r="H132" s="150">
        <f>IF(TrRoad_act!H74=0,0,TrRoad_ene!H77/TrRoad_tech!H105)</f>
        <v>1.2265972028737091</v>
      </c>
      <c r="I132" s="150">
        <f>IF(TrRoad_act!I74=0,0,TrRoad_ene!I77/TrRoad_tech!I105)</f>
        <v>1.1970148957232833</v>
      </c>
      <c r="J132" s="150">
        <f>IF(TrRoad_act!J74=0,0,TrRoad_ene!J77/TrRoad_tech!J105)</f>
        <v>1.2224729377855621</v>
      </c>
      <c r="K132" s="150">
        <f>IF(TrRoad_act!K74=0,0,TrRoad_ene!K77/TrRoad_tech!K105)</f>
        <v>1.2145457792645096</v>
      </c>
      <c r="L132" s="150">
        <f>IF(TrRoad_act!L74=0,0,TrRoad_ene!L77/TrRoad_tech!L105)</f>
        <v>1.232642554332593</v>
      </c>
      <c r="M132" s="150">
        <f>IF(TrRoad_act!M74=0,0,TrRoad_ene!M77/TrRoad_tech!M105)</f>
        <v>1.1770445358283876</v>
      </c>
      <c r="N132" s="150">
        <f>IF(TrRoad_act!N74=0,0,TrRoad_ene!N77/TrRoad_tech!N105)</f>
        <v>1.1551111915701582</v>
      </c>
      <c r="O132" s="150">
        <f>IF(TrRoad_act!O74=0,0,TrRoad_ene!O77/TrRoad_tech!O105)</f>
        <v>1.0976706405061407</v>
      </c>
      <c r="P132" s="150">
        <f>IF(TrRoad_act!P74=0,0,TrRoad_ene!P77/TrRoad_tech!P105)</f>
        <v>1.1982157899087003</v>
      </c>
      <c r="Q132" s="150">
        <f>IF(TrRoad_act!Q74=0,0,TrRoad_ene!Q77/TrRoad_tech!Q105)</f>
        <v>1.2546572711711024</v>
      </c>
      <c r="R132" s="150">
        <f>IF(TrRoad_act!R74=0,0,TrRoad_ene!R77/TrRoad_tech!R105)</f>
        <v>1.2273896547398342</v>
      </c>
      <c r="S132" s="150">
        <f>IF(TrRoad_act!S74=0,0,TrRoad_ene!S77/TrRoad_tech!S105)</f>
        <v>1.2478227704436382</v>
      </c>
      <c r="T132" s="150">
        <f>IF(TrRoad_act!T74=0,0,TrRoad_ene!T77/TrRoad_tech!T105)</f>
        <v>1.2649465516122576</v>
      </c>
      <c r="U132" s="150">
        <f>IF(TrRoad_act!U74=0,0,TrRoad_ene!U77/TrRoad_tech!U105)</f>
        <v>1.2667932500499468</v>
      </c>
      <c r="V132" s="150">
        <f>IF(TrRoad_act!V74=0,0,TrRoad_ene!V77/TrRoad_tech!V105)</f>
        <v>1.2118914334330726</v>
      </c>
      <c r="W132" s="150">
        <f>IF(TrRoad_act!W74=0,0,TrRoad_ene!W77/TrRoad_tech!W105)</f>
        <v>1.2721142073407454</v>
      </c>
      <c r="X132" s="150">
        <f>IF(TrRoad_act!X74=0,0,TrRoad_ene!X77/TrRoad_tech!X105)</f>
        <v>1.3257050243677371</v>
      </c>
      <c r="Y132" s="150">
        <f>IF(TrRoad_act!Y74=0,0,TrRoad_ene!Y77/TrRoad_tech!Y105)</f>
        <v>1.2609971175907002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1.1000037451141631</v>
      </c>
      <c r="D133" s="91">
        <f>IF(TrRoad_act!D75=0,0,TrRoad_ene!D78/TrRoad_tech!D106)</f>
        <v>1.1000119268531254</v>
      </c>
      <c r="E133" s="91">
        <f>IF(TrRoad_act!E75=0,0,TrRoad_ene!E78/TrRoad_tech!E106)</f>
        <v>1.1000233992843937</v>
      </c>
      <c r="F133" s="91">
        <f>IF(TrRoad_act!F75=0,0,TrRoad_ene!F78/TrRoad_tech!F106)</f>
        <v>1.1000434758691058</v>
      </c>
      <c r="G133" s="91">
        <f>IF(TrRoad_act!G75=0,0,TrRoad_ene!G78/TrRoad_tech!G106)</f>
        <v>1.1000672560512659</v>
      </c>
      <c r="H133" s="91">
        <f>IF(TrRoad_act!H75=0,0,TrRoad_ene!H78/TrRoad_tech!H106)</f>
        <v>1.1001234750961508</v>
      </c>
      <c r="I133" s="91">
        <f>IF(TrRoad_act!I75=0,0,TrRoad_ene!I78/TrRoad_tech!I106)</f>
        <v>1.1003485697825233</v>
      </c>
      <c r="J133" s="91">
        <f>IF(TrRoad_act!J75=0,0,TrRoad_ene!J78/TrRoad_tech!J106)</f>
        <v>1.1008396927768234</v>
      </c>
      <c r="K133" s="91">
        <f>IF(TrRoad_act!K75=0,0,TrRoad_ene!K78/TrRoad_tech!K106)</f>
        <v>1.1016532811140092</v>
      </c>
      <c r="L133" s="91">
        <f>IF(TrRoad_act!L75=0,0,TrRoad_ene!L78/TrRoad_tech!L106)</f>
        <v>1.1022631552198139</v>
      </c>
      <c r="M133" s="91">
        <f>IF(TrRoad_act!M75=0,0,TrRoad_ene!M78/TrRoad_tech!M106)</f>
        <v>1.1028071858102544</v>
      </c>
      <c r="N133" s="91">
        <f>IF(TrRoad_act!N75=0,0,TrRoad_ene!N78/TrRoad_tech!N106)</f>
        <v>1.1039647764349556</v>
      </c>
      <c r="O133" s="91">
        <f>IF(TrRoad_act!O75=0,0,TrRoad_ene!O78/TrRoad_tech!O106)</f>
        <v>1.128054751937275</v>
      </c>
      <c r="P133" s="91">
        <f>IF(TrRoad_act!P75=0,0,TrRoad_ene!P78/TrRoad_tech!P106)</f>
        <v>1.1400357681560378</v>
      </c>
      <c r="Q133" s="91">
        <f>IF(TrRoad_act!Q75=0,0,TrRoad_ene!Q78/TrRoad_tech!Q106)</f>
        <v>1.1490882518422096</v>
      </c>
      <c r="R133" s="91">
        <f>IF(TrRoad_act!R75=0,0,TrRoad_ene!R78/TrRoad_tech!R106)</f>
        <v>1.1571224372223419</v>
      </c>
      <c r="S133" s="91">
        <f>IF(TrRoad_act!S75=0,0,TrRoad_ene!S78/TrRoad_tech!S106)</f>
        <v>1.1679302507311629</v>
      </c>
      <c r="T133" s="91">
        <f>IF(TrRoad_act!T75=0,0,TrRoad_ene!T78/TrRoad_tech!T106)</f>
        <v>1.1792534446164746</v>
      </c>
      <c r="U133" s="91">
        <f>IF(TrRoad_act!U75=0,0,TrRoad_ene!U78/TrRoad_tech!U106)</f>
        <v>1.1943639153618322</v>
      </c>
      <c r="V133" s="91">
        <f>IF(TrRoad_act!V75=0,0,TrRoad_ene!V78/TrRoad_tech!V106)</f>
        <v>1.2033709378424349</v>
      </c>
      <c r="W133" s="91">
        <f>IF(TrRoad_act!W75=0,0,TrRoad_ene!W78/TrRoad_tech!W106)</f>
        <v>1.2116524632680947</v>
      </c>
      <c r="X133" s="91">
        <f>IF(TrRoad_act!X75=0,0,TrRoad_ene!X78/TrRoad_tech!X106)</f>
        <v>1.2293617254069684</v>
      </c>
      <c r="Y133" s="91">
        <f>IF(TrRoad_act!Y75=0,0,TrRoad_ene!Y78/TrRoad_tech!Y106)</f>
        <v>1.2527014496632958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1.1063515491227378</v>
      </c>
      <c r="C134" s="91">
        <f>IF(TrRoad_act!C76=0,0,TrRoad_ene!C79/TrRoad_tech!C107)</f>
        <v>1.1298683605850639</v>
      </c>
      <c r="D134" s="91">
        <f>IF(TrRoad_act!D76=0,0,TrRoad_ene!D79/TrRoad_tech!D107)</f>
        <v>1.1773303295546811</v>
      </c>
      <c r="E134" s="91">
        <f>IF(TrRoad_act!E76=0,0,TrRoad_ene!E79/TrRoad_tech!E107)</f>
        <v>1.1969308294268364</v>
      </c>
      <c r="F134" s="91">
        <f>IF(TrRoad_act!F76=0,0,TrRoad_ene!F79/TrRoad_tech!F107)</f>
        <v>1.2029517511311627</v>
      </c>
      <c r="G134" s="91">
        <f>IF(TrRoad_act!G76=0,0,TrRoad_ene!G79/TrRoad_tech!G107)</f>
        <v>1.2547889920151605</v>
      </c>
      <c r="H134" s="91">
        <f>IF(TrRoad_act!H76=0,0,TrRoad_ene!H79/TrRoad_tech!H107)</f>
        <v>1.2537506920908918</v>
      </c>
      <c r="I134" s="91">
        <f>IF(TrRoad_act!I76=0,0,TrRoad_ene!I79/TrRoad_tech!I107)</f>
        <v>1.2162927285067713</v>
      </c>
      <c r="J134" s="91">
        <f>IF(TrRoad_act!J76=0,0,TrRoad_ene!J79/TrRoad_tech!J107)</f>
        <v>1.2395426576857391</v>
      </c>
      <c r="K134" s="91">
        <f>IF(TrRoad_act!K76=0,0,TrRoad_ene!K79/TrRoad_tech!K107)</f>
        <v>1.2290883125190255</v>
      </c>
      <c r="L134" s="91">
        <f>IF(TrRoad_act!L76=0,0,TrRoad_ene!L79/TrRoad_tech!L107)</f>
        <v>1.2422062281124713</v>
      </c>
      <c r="M134" s="91">
        <f>IF(TrRoad_act!M76=0,0,TrRoad_ene!M79/TrRoad_tech!M107)</f>
        <v>1.1811997996707999</v>
      </c>
      <c r="N134" s="91">
        <f>IF(TrRoad_act!N76=0,0,TrRoad_ene!N79/TrRoad_tech!N107)</f>
        <v>1.1585130554526879</v>
      </c>
      <c r="O134" s="91">
        <f>IF(TrRoad_act!O76=0,0,TrRoad_ene!O79/TrRoad_tech!O107)</f>
        <v>1.0979272541941474</v>
      </c>
      <c r="P134" s="91">
        <f>IF(TrRoad_act!P76=0,0,TrRoad_ene!P79/TrRoad_tech!P107)</f>
        <v>1.2039917178400583</v>
      </c>
      <c r="Q134" s="91">
        <f>IF(TrRoad_act!Q76=0,0,TrRoad_ene!Q79/TrRoad_tech!Q107)</f>
        <v>1.2638649841225538</v>
      </c>
      <c r="R134" s="91">
        <f>IF(TrRoad_act!R76=0,0,TrRoad_ene!R79/TrRoad_tech!R107)</f>
        <v>1.2378036243584947</v>
      </c>
      <c r="S134" s="91">
        <f>IF(TrRoad_act!S76=0,0,TrRoad_ene!S79/TrRoad_tech!S107)</f>
        <v>1.2599261363032799</v>
      </c>
      <c r="T134" s="91">
        <f>IF(TrRoad_act!T76=0,0,TrRoad_ene!T79/TrRoad_tech!T107)</f>
        <v>1.2794568150302745</v>
      </c>
      <c r="U134" s="91">
        <f>IF(TrRoad_act!U76=0,0,TrRoad_ene!U79/TrRoad_tech!U107)</f>
        <v>1.281566659866946</v>
      </c>
      <c r="V134" s="91">
        <f>IF(TrRoad_act!V76=0,0,TrRoad_ene!V79/TrRoad_tech!V107)</f>
        <v>1.2225047442086334</v>
      </c>
      <c r="W134" s="91">
        <f>IF(TrRoad_act!W76=0,0,TrRoad_ene!W79/TrRoad_tech!W107)</f>
        <v>1.2828365146370706</v>
      </c>
      <c r="X134" s="91">
        <f>IF(TrRoad_act!X76=0,0,TrRoad_ene!X79/TrRoad_tech!X107)</f>
        <v>1.3352427464248879</v>
      </c>
      <c r="Y134" s="91">
        <f>IF(TrRoad_act!Y76=0,0,TrRoad_ene!Y79/TrRoad_tech!Y107)</f>
        <v>1.2679602939093373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1.1040000000061809</v>
      </c>
      <c r="D135" s="91">
        <f>IF(TrRoad_act!D77=0,0,TrRoad_ene!D80/TrRoad_tech!D108)</f>
        <v>1.1040000000061809</v>
      </c>
      <c r="E135" s="91">
        <f>IF(TrRoad_act!E77=0,0,TrRoad_ene!E80/TrRoad_tech!E108)</f>
        <v>1.1040000000061807</v>
      </c>
      <c r="F135" s="91">
        <f>IF(TrRoad_act!F77=0,0,TrRoad_ene!F80/TrRoad_tech!F108)</f>
        <v>1.1040000000061807</v>
      </c>
      <c r="G135" s="91">
        <f>IF(TrRoad_act!G77=0,0,TrRoad_ene!G80/TrRoad_tech!G108)</f>
        <v>1.1040000000061807</v>
      </c>
      <c r="H135" s="91">
        <f>IF(TrRoad_act!H77=0,0,TrRoad_ene!H80/TrRoad_tech!H108)</f>
        <v>1.1040000000061809</v>
      </c>
      <c r="I135" s="91">
        <f>IF(TrRoad_act!I77=0,0,TrRoad_ene!I80/TrRoad_tech!I108)</f>
        <v>1.1040000000061805</v>
      </c>
      <c r="J135" s="91">
        <f>IF(TrRoad_act!J77=0,0,TrRoad_ene!J80/TrRoad_tech!J108)</f>
        <v>1.1040000000061805</v>
      </c>
      <c r="K135" s="91">
        <f>IF(TrRoad_act!K77=0,0,TrRoad_ene!K80/TrRoad_tech!K108)</f>
        <v>1.1040000000061805</v>
      </c>
      <c r="L135" s="91">
        <f>IF(TrRoad_act!L77=0,0,TrRoad_ene!L80/TrRoad_tech!L108)</f>
        <v>1.1040000000061805</v>
      </c>
      <c r="M135" s="91">
        <f>IF(TrRoad_act!M77=0,0,TrRoad_ene!M80/TrRoad_tech!M108)</f>
        <v>1.1040000000061807</v>
      </c>
      <c r="N135" s="91">
        <f>IF(TrRoad_act!N77=0,0,TrRoad_ene!N80/TrRoad_tech!N108)</f>
        <v>1.1054647642205508</v>
      </c>
      <c r="O135" s="91">
        <f>IF(TrRoad_act!O77=0,0,TrRoad_ene!O80/TrRoad_tech!O108)</f>
        <v>1.1056734932463237</v>
      </c>
      <c r="P135" s="91">
        <f>IF(TrRoad_act!P77=0,0,TrRoad_ene!P80/TrRoad_tech!P108)</f>
        <v>1.1059515958160802</v>
      </c>
      <c r="Q135" s="91">
        <f>IF(TrRoad_act!Q77=0,0,TrRoad_ene!Q80/TrRoad_tech!Q108)</f>
        <v>1.12215806024238</v>
      </c>
      <c r="R135" s="91">
        <f>IF(TrRoad_act!R77=0,0,TrRoad_ene!R80/TrRoad_tech!R108)</f>
        <v>1.1255366553523485</v>
      </c>
      <c r="S135" s="91">
        <f>IF(TrRoad_act!S77=0,0,TrRoad_ene!S80/TrRoad_tech!S108)</f>
        <v>1.1304599484361091</v>
      </c>
      <c r="T135" s="91">
        <f>IF(TrRoad_act!T77=0,0,TrRoad_ene!T80/TrRoad_tech!T108)</f>
        <v>1.1359352647874046</v>
      </c>
      <c r="U135" s="91">
        <f>IF(TrRoad_act!U77=0,0,TrRoad_ene!U80/TrRoad_tech!U108)</f>
        <v>1.1454700887327602</v>
      </c>
      <c r="V135" s="91">
        <f>IF(TrRoad_act!V77=0,0,TrRoad_ene!V80/TrRoad_tech!V108)</f>
        <v>1.1784028918955443</v>
      </c>
      <c r="W135" s="91">
        <f>IF(TrRoad_act!W77=0,0,TrRoad_ene!W80/TrRoad_tech!W108)</f>
        <v>1.2039864136077547</v>
      </c>
      <c r="X135" s="91">
        <f>IF(TrRoad_act!X77=0,0,TrRoad_ene!X80/TrRoad_tech!X108)</f>
        <v>1.3385684578494133</v>
      </c>
      <c r="Y135" s="91">
        <f>IF(TrRoad_act!Y77=0,0,TrRoad_ene!Y80/TrRoad_tech!Y108)</f>
        <v>1.3596817592315229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</v>
      </c>
      <c r="D136" s="91">
        <f>IF(TrRoad_act!D78=0,0,TrRoad_ene!D81/TrRoad_tech!D109)</f>
        <v>1.1000000000067303</v>
      </c>
      <c r="E136" s="91">
        <f>IF(TrRoad_act!E78=0,0,TrRoad_ene!E81/TrRoad_tech!E109)</f>
        <v>1.1000000000067307</v>
      </c>
      <c r="F136" s="91">
        <f>IF(TrRoad_act!F78=0,0,TrRoad_ene!F81/TrRoad_tech!F109)</f>
        <v>1.10000000000673</v>
      </c>
      <c r="G136" s="91">
        <f>IF(TrRoad_act!G78=0,0,TrRoad_ene!G81/TrRoad_tech!G109)</f>
        <v>1.1000000000067303</v>
      </c>
      <c r="H136" s="91">
        <f>IF(TrRoad_act!H78=0,0,TrRoad_ene!H81/TrRoad_tech!H109)</f>
        <v>1.1000000000067303</v>
      </c>
      <c r="I136" s="91">
        <f>IF(TrRoad_act!I78=0,0,TrRoad_ene!I81/TrRoad_tech!I109)</f>
        <v>1.1000000000067303</v>
      </c>
      <c r="J136" s="91">
        <f>IF(TrRoad_act!J78=0,0,TrRoad_ene!J81/TrRoad_tech!J109)</f>
        <v>1.1000000000067305</v>
      </c>
      <c r="K136" s="91">
        <f>IF(TrRoad_act!K78=0,0,TrRoad_ene!K81/TrRoad_tech!K109)</f>
        <v>1.10000000000673</v>
      </c>
      <c r="L136" s="91">
        <f>IF(TrRoad_act!L78=0,0,TrRoad_ene!L81/TrRoad_tech!L109)</f>
        <v>1.1000000000067303</v>
      </c>
      <c r="M136" s="91">
        <f>IF(TrRoad_act!M78=0,0,TrRoad_ene!M81/TrRoad_tech!M109)</f>
        <v>1.1000000000067305</v>
      </c>
      <c r="N136" s="91">
        <f>IF(TrRoad_act!N78=0,0,TrRoad_ene!N81/TrRoad_tech!N109)</f>
        <v>1.2360000000066975</v>
      </c>
      <c r="O136" s="91">
        <f>IF(TrRoad_act!O78=0,0,TrRoad_ene!O81/TrRoad_tech!O109)</f>
        <v>1.2542261506671426</v>
      </c>
      <c r="P136" s="91">
        <f>IF(TrRoad_act!P78=0,0,TrRoad_ene!P81/TrRoad_tech!P109)</f>
        <v>1.2596488239001347</v>
      </c>
      <c r="Q136" s="91">
        <f>IF(TrRoad_act!Q78=0,0,TrRoad_ene!Q81/TrRoad_tech!Q109)</f>
        <v>1.2922985979155999</v>
      </c>
      <c r="R136" s="91">
        <f>IF(TrRoad_act!R78=0,0,TrRoad_ene!R81/TrRoad_tech!R109)</f>
        <v>1.2938184227085234</v>
      </c>
      <c r="S136" s="91">
        <f>IF(TrRoad_act!S78=0,0,TrRoad_ene!S81/TrRoad_tech!S109)</f>
        <v>1.299445205214097</v>
      </c>
      <c r="T136" s="91">
        <f>IF(TrRoad_act!T78=0,0,TrRoad_ene!T81/TrRoad_tech!T109)</f>
        <v>1.3057366748893393</v>
      </c>
      <c r="U136" s="91">
        <f>IF(TrRoad_act!U78=0,0,TrRoad_ene!U81/TrRoad_tech!U109)</f>
        <v>1.3072057517098812</v>
      </c>
      <c r="V136" s="91">
        <f>IF(TrRoad_act!V78=0,0,TrRoad_ene!V81/TrRoad_tech!V109)</f>
        <v>1.3154327220194224</v>
      </c>
      <c r="W136" s="91">
        <f>IF(TrRoad_act!W78=0,0,TrRoad_ene!W81/TrRoad_tech!W109)</f>
        <v>1.3246367972801194</v>
      </c>
      <c r="X136" s="91">
        <f>IF(TrRoad_act!X78=0,0,TrRoad_ene!X81/TrRoad_tech!X109)</f>
        <v>1.3255481082501239</v>
      </c>
      <c r="Y136" s="91">
        <f>IF(TrRoad_act!Y78=0,0,TrRoad_ene!Y81/TrRoad_tech!Y109)</f>
        <v>1.3424460845698369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1.2580207403607182</v>
      </c>
      <c r="Q137" s="91">
        <f>IF(TrRoad_act!Q79=0,0,TrRoad_ene!Q82/TrRoad_tech!Q110)</f>
        <v>1.2794731437164801</v>
      </c>
      <c r="R137" s="91">
        <f>IF(TrRoad_act!R79=0,0,TrRoad_ene!R82/TrRoad_tech!R110)</f>
        <v>1.3005712566178436</v>
      </c>
      <c r="S137" s="91">
        <f>IF(TrRoad_act!S79=0,0,TrRoad_ene!S82/TrRoad_tech!S110)</f>
        <v>1.3160316187804999</v>
      </c>
      <c r="T137" s="91">
        <f>IF(TrRoad_act!T79=0,0,TrRoad_ene!T82/TrRoad_tech!T110)</f>
        <v>1.3299547015932494</v>
      </c>
      <c r="U137" s="91">
        <f>IF(TrRoad_act!U79=0,0,TrRoad_ene!U82/TrRoad_tech!U110)</f>
        <v>1.33520915792342</v>
      </c>
      <c r="V137" s="91">
        <f>IF(TrRoad_act!V79=0,0,TrRoad_ene!V82/TrRoad_tech!V110)</f>
        <v>1.3421793640044803</v>
      </c>
      <c r="W137" s="91">
        <f>IF(TrRoad_act!W79=0,0,TrRoad_ene!W82/TrRoad_tech!W110)</f>
        <v>1.3489616774745234</v>
      </c>
      <c r="X137" s="91">
        <f>IF(TrRoad_act!X79=0,0,TrRoad_ene!X82/TrRoad_tech!X110)</f>
        <v>1.354684413883301</v>
      </c>
      <c r="Y137" s="91">
        <f>IF(TrRoad_act!Y79=0,0,TrRoad_ene!Y82/TrRoad_tech!Y110)</f>
        <v>1.3574861044317028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1.1668626070072357</v>
      </c>
      <c r="C138" s="151">
        <f>IF(TrRoad_act!C80=0,0,TrRoad_ene!C83/TrRoad_tech!C111)</f>
        <v>1.2363071672236141</v>
      </c>
      <c r="D138" s="151">
        <f>IF(TrRoad_act!D80=0,0,TrRoad_ene!D83/TrRoad_tech!D111)</f>
        <v>1.388034666683158</v>
      </c>
      <c r="E138" s="151">
        <f>IF(TrRoad_act!E80=0,0,TrRoad_ene!E83/TrRoad_tech!E111)</f>
        <v>1.4562449920040643</v>
      </c>
      <c r="F138" s="151">
        <f>IF(TrRoad_act!F80=0,0,TrRoad_ene!F83/TrRoad_tech!F111)</f>
        <v>1.4761046918459548</v>
      </c>
      <c r="G138" s="151">
        <f>IF(TrRoad_act!G80=0,0,TrRoad_ene!G83/TrRoad_tech!G111)</f>
        <v>1.5516955319270418</v>
      </c>
      <c r="H138" s="151">
        <f>IF(TrRoad_act!H80=0,0,TrRoad_ene!H83/TrRoad_tech!H111)</f>
        <v>1.5958902571489955</v>
      </c>
      <c r="I138" s="151">
        <f>IF(TrRoad_act!I80=0,0,TrRoad_ene!I83/TrRoad_tech!I111)</f>
        <v>1.4767519422746549</v>
      </c>
      <c r="J138" s="151">
        <f>IF(TrRoad_act!J80=0,0,TrRoad_ene!J83/TrRoad_tech!J111)</f>
        <v>1.5492341852517824</v>
      </c>
      <c r="K138" s="151">
        <f>IF(TrRoad_act!K80=0,0,TrRoad_ene!K83/TrRoad_tech!K111)</f>
        <v>1.5415409987993769</v>
      </c>
      <c r="L138" s="151">
        <f>IF(TrRoad_act!L80=0,0,TrRoad_ene!L83/TrRoad_tech!L111)</f>
        <v>1.660944052466665</v>
      </c>
      <c r="M138" s="151">
        <f>IF(TrRoad_act!M80=0,0,TrRoad_ene!M83/TrRoad_tech!M111)</f>
        <v>1.4580833228392664</v>
      </c>
      <c r="N138" s="151">
        <f>IF(TrRoad_act!N80=0,0,TrRoad_ene!N83/TrRoad_tech!N111)</f>
        <v>1.3582751151568186</v>
      </c>
      <c r="O138" s="151">
        <f>IF(TrRoad_act!O80=0,0,TrRoad_ene!O83/TrRoad_tech!O111)</f>
        <v>1.1117006157987006</v>
      </c>
      <c r="P138" s="151">
        <f>IF(TrRoad_act!P80=0,0,TrRoad_ene!P83/TrRoad_tech!P111)</f>
        <v>1.4696741260370789</v>
      </c>
      <c r="Q138" s="151">
        <f>IF(TrRoad_act!Q80=0,0,TrRoad_ene!Q83/TrRoad_tech!Q111)</f>
        <v>1.6664258393579185</v>
      </c>
      <c r="R138" s="151">
        <f>IF(TrRoad_act!R80=0,0,TrRoad_ene!R83/TrRoad_tech!R111)</f>
        <v>1.4967330501971263</v>
      </c>
      <c r="S138" s="151">
        <f>IF(TrRoad_act!S80=0,0,TrRoad_ene!S83/TrRoad_tech!S111)</f>
        <v>1.5633584071044868</v>
      </c>
      <c r="T138" s="151">
        <f>IF(TrRoad_act!T80=0,0,TrRoad_ene!T83/TrRoad_tech!T111)</f>
        <v>1.6167263858423533</v>
      </c>
      <c r="U138" s="151">
        <f>IF(TrRoad_act!U80=0,0,TrRoad_ene!U83/TrRoad_tech!U111)</f>
        <v>1.5834165976318784</v>
      </c>
      <c r="V138" s="151">
        <f>IF(TrRoad_act!V80=0,0,TrRoad_ene!V83/TrRoad_tech!V111)</f>
        <v>1.2403880216803551</v>
      </c>
      <c r="W138" s="151">
        <f>IF(TrRoad_act!W80=0,0,TrRoad_ene!W83/TrRoad_tech!W111)</f>
        <v>1.461380482195821</v>
      </c>
      <c r="X138" s="151">
        <f>IF(TrRoad_act!X80=0,0,TrRoad_ene!X83/TrRoad_tech!X111)</f>
        <v>1.6990212684314667</v>
      </c>
      <c r="Y138" s="151">
        <f>IF(TrRoad_act!Y80=0,0,TrRoad_ene!Y83/TrRoad_tech!Y111)</f>
        <v>1.3158762475348451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1.1064081739242386</v>
      </c>
      <c r="C139" s="93">
        <f>IF(TrRoad_act!C81=0,0,TrRoad_ene!C84/TrRoad_tech!C112)</f>
        <v>1.1330649276810481</v>
      </c>
      <c r="D139" s="93">
        <f>IF(TrRoad_act!D81=0,0,TrRoad_ene!D84/TrRoad_tech!D112)</f>
        <v>1.1907524183043154</v>
      </c>
      <c r="E139" s="93">
        <f>IF(TrRoad_act!E81=0,0,TrRoad_ene!E84/TrRoad_tech!E112)</f>
        <v>1.2174406566933511</v>
      </c>
      <c r="F139" s="93">
        <f>IF(TrRoad_act!F81=0,0,TrRoad_ene!F84/TrRoad_tech!F112)</f>
        <v>1.2267064654777728</v>
      </c>
      <c r="G139" s="93">
        <f>IF(TrRoad_act!G81=0,0,TrRoad_ene!G84/TrRoad_tech!G112)</f>
        <v>1.262622690517514</v>
      </c>
      <c r="H139" s="93">
        <f>IF(TrRoad_act!H81=0,0,TrRoad_ene!H84/TrRoad_tech!H112)</f>
        <v>1.2833900929169668</v>
      </c>
      <c r="I139" s="93">
        <f>IF(TrRoad_act!I81=0,0,TrRoad_ene!I84/TrRoad_tech!I112)</f>
        <v>1.2402095732391474</v>
      </c>
      <c r="J139" s="93">
        <f>IF(TrRoad_act!J81=0,0,TrRoad_ene!J84/TrRoad_tech!J112)</f>
        <v>1.2686182125084566</v>
      </c>
      <c r="K139" s="93">
        <f>IF(TrRoad_act!K81=0,0,TrRoad_ene!K84/TrRoad_tech!K112)</f>
        <v>1.2808983322395848</v>
      </c>
      <c r="L139" s="93">
        <f>IF(TrRoad_act!L81=0,0,TrRoad_ene!L84/TrRoad_tech!L112)</f>
        <v>1.3371216121113236</v>
      </c>
      <c r="M139" s="93">
        <f>IF(TrRoad_act!M81=0,0,TrRoad_ene!M84/TrRoad_tech!M112)</f>
        <v>1.2636942620756502</v>
      </c>
      <c r="N139" s="93">
        <f>IF(TrRoad_act!N81=0,0,TrRoad_ene!N84/TrRoad_tech!N112)</f>
        <v>1.2281046640419768</v>
      </c>
      <c r="O139" s="93">
        <f>IF(TrRoad_act!O81=0,0,TrRoad_ene!O84/TrRoad_tech!O112)</f>
        <v>1.1383328843968352</v>
      </c>
      <c r="P139" s="93">
        <f>IF(TrRoad_act!P81=0,0,TrRoad_ene!P84/TrRoad_tech!P112)</f>
        <v>1.2781050382719366</v>
      </c>
      <c r="Q139" s="93">
        <f>IF(TrRoad_act!Q81=0,0,TrRoad_ene!Q84/TrRoad_tech!Q112)</f>
        <v>1.3547524436436813</v>
      </c>
      <c r="R139" s="93">
        <f>IF(TrRoad_act!R81=0,0,TrRoad_ene!R84/TrRoad_tech!R112)</f>
        <v>1.2906332619714413</v>
      </c>
      <c r="S139" s="93">
        <f>IF(TrRoad_act!S81=0,0,TrRoad_ene!S84/TrRoad_tech!S112)</f>
        <v>1.3205028424334433</v>
      </c>
      <c r="T139" s="93">
        <f>IF(TrRoad_act!T81=0,0,TrRoad_ene!T84/TrRoad_tech!T112)</f>
        <v>1.3533601973713945</v>
      </c>
      <c r="U139" s="93">
        <f>IF(TrRoad_act!U81=0,0,TrRoad_ene!U84/TrRoad_tech!U112)</f>
        <v>1.3512950353158903</v>
      </c>
      <c r="V139" s="93">
        <f>IF(TrRoad_act!V81=0,0,TrRoad_ene!V84/TrRoad_tech!V112)</f>
        <v>1.2274459926011667</v>
      </c>
      <c r="W139" s="93">
        <f>IF(TrRoad_act!W81=0,0,TrRoad_ene!W84/TrRoad_tech!W112)</f>
        <v>1.3249984049052044</v>
      </c>
      <c r="X139" s="93">
        <f>IF(TrRoad_act!X81=0,0,TrRoad_ene!X84/TrRoad_tech!X112)</f>
        <v>1.4272148189909699</v>
      </c>
      <c r="Y139" s="93">
        <f>IF(TrRoad_act!Y81=0,0,TrRoad_ene!Y84/TrRoad_tech!Y112)</f>
        <v>1.2929049865261406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1.1335166370955743</v>
      </c>
      <c r="C140" s="94">
        <f>IF(TrRoad_act!C82=0,0,TrRoad_ene!C85/TrRoad_tech!C113)</f>
        <v>1.2665560280723449</v>
      </c>
      <c r="D140" s="94">
        <f>IF(TrRoad_act!D82=0,0,TrRoad_ene!D85/TrRoad_tech!D113)</f>
        <v>1.5378458661217429</v>
      </c>
      <c r="E140" s="94">
        <f>IF(TrRoad_act!E82=0,0,TrRoad_ene!E85/TrRoad_tech!E113)</f>
        <v>1.6565773752552144</v>
      </c>
      <c r="F140" s="94">
        <f>IF(TrRoad_act!F82=0,0,TrRoad_ene!F85/TrRoad_tech!F113)</f>
        <v>1.6738290655243009</v>
      </c>
      <c r="G140" s="94">
        <f>IF(TrRoad_act!G82=0,0,TrRoad_ene!G85/TrRoad_tech!G113)</f>
        <v>1.923290269107397</v>
      </c>
      <c r="H140" s="94">
        <f>IF(TrRoad_act!H82=0,0,TrRoad_ene!H85/TrRoad_tech!H113)</f>
        <v>2.0009741452698804</v>
      </c>
      <c r="I140" s="94">
        <f>IF(TrRoad_act!I82=0,0,TrRoad_ene!I85/TrRoad_tech!I113)</f>
        <v>1.7539819285782112</v>
      </c>
      <c r="J140" s="94">
        <f>IF(TrRoad_act!J82=0,0,TrRoad_ene!J85/TrRoad_tech!J113)</f>
        <v>1.8399029903293309</v>
      </c>
      <c r="K140" s="94">
        <f>IF(TrRoad_act!K82=0,0,TrRoad_ene!K85/TrRoad_tech!K113)</f>
        <v>1.9742713013044699</v>
      </c>
      <c r="L140" s="94">
        <f>IF(TrRoad_act!L82=0,0,TrRoad_ene!L85/TrRoad_tech!L113)</f>
        <v>2.0593161459481775</v>
      </c>
      <c r="M140" s="94">
        <f>IF(TrRoad_act!M82=0,0,TrRoad_ene!M85/TrRoad_tech!M113)</f>
        <v>1.6197367454851461</v>
      </c>
      <c r="N140" s="94">
        <f>IF(TrRoad_act!N82=0,0,TrRoad_ene!N85/TrRoad_tech!N113)</f>
        <v>1.4020259324035864</v>
      </c>
      <c r="O140" s="94">
        <f>IF(TrRoad_act!O82=0,0,TrRoad_ene!O85/TrRoad_tech!O113)</f>
        <v>0.97286607883718346</v>
      </c>
      <c r="P140" s="94">
        <f>IF(TrRoad_act!P82=0,0,TrRoad_ene!P85/TrRoad_tech!P113)</f>
        <v>1.5988592906600689</v>
      </c>
      <c r="Q140" s="94">
        <f>IF(TrRoad_act!Q82=0,0,TrRoad_ene!Q85/TrRoad_tech!Q113)</f>
        <v>1.9510746582946201</v>
      </c>
      <c r="R140" s="94">
        <f>IF(TrRoad_act!R82=0,0,TrRoad_ene!R85/TrRoad_tech!R113)</f>
        <v>1.6710811266130086</v>
      </c>
      <c r="S140" s="94">
        <f>IF(TrRoad_act!S82=0,0,TrRoad_ene!S85/TrRoad_tech!S113)</f>
        <v>1.7562486610661423</v>
      </c>
      <c r="T140" s="94">
        <f>IF(TrRoad_act!T82=0,0,TrRoad_ene!T85/TrRoad_tech!T113)</f>
        <v>1.8425377737211739</v>
      </c>
      <c r="U140" s="94">
        <f>IF(TrRoad_act!U82=0,0,TrRoad_ene!U85/TrRoad_tech!U113)</f>
        <v>1.7621678542732968</v>
      </c>
      <c r="V140" s="94">
        <f>IF(TrRoad_act!V82=0,0,TrRoad_ene!V85/TrRoad_tech!V113)</f>
        <v>1.15264385923511</v>
      </c>
      <c r="W140" s="94">
        <f>IF(TrRoad_act!W82=0,0,TrRoad_ene!W85/TrRoad_tech!W113)</f>
        <v>1.5286407630908054</v>
      </c>
      <c r="X140" s="94">
        <f>IF(TrRoad_act!X82=0,0,TrRoad_ene!X85/TrRoad_tech!X113)</f>
        <v>1.8800272187728473</v>
      </c>
      <c r="Y140" s="94">
        <f>IF(TrRoad_act!Y82=0,0,TrRoad_ene!Y85/TrRoad_tech!Y113)</f>
        <v>1.2180730638503763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3.8095539165435248</v>
      </c>
      <c r="D144" s="141">
        <v>3.7865169469511124</v>
      </c>
      <c r="E144" s="141">
        <v>3.7391220806107577</v>
      </c>
      <c r="F144" s="141">
        <v>3.7339440461610871</v>
      </c>
      <c r="G144" s="141">
        <v>3.6836431400785705</v>
      </c>
      <c r="H144" s="141">
        <v>3.6093541968516609</v>
      </c>
      <c r="I144" s="141">
        <v>3.5564114364580881</v>
      </c>
      <c r="J144" s="141">
        <v>3.3837398386874327</v>
      </c>
      <c r="K144" s="141">
        <v>3.1974891097579463</v>
      </c>
      <c r="L144" s="141">
        <v>3.0811946829852381</v>
      </c>
      <c r="M144" s="141">
        <v>2.9729042429749524</v>
      </c>
      <c r="N144" s="141">
        <v>2.9000467223517568</v>
      </c>
      <c r="O144" s="141">
        <v>2.7978085699077946</v>
      </c>
      <c r="P144" s="141">
        <v>2.7698756866401602</v>
      </c>
      <c r="Q144" s="141">
        <v>2.6976380992117464</v>
      </c>
      <c r="R144" s="141">
        <v>2.6464390029068392</v>
      </c>
      <c r="S144" s="141">
        <v>2.6054797258629137</v>
      </c>
      <c r="T144" s="141">
        <v>2.5727123042277733</v>
      </c>
      <c r="U144" s="141">
        <v>2.546498366919661</v>
      </c>
      <c r="V144" s="141">
        <v>2.5255272170731713</v>
      </c>
      <c r="W144" s="141">
        <v>2.5087502971959794</v>
      </c>
      <c r="X144" s="141">
        <v>2.4953287612942257</v>
      </c>
      <c r="Y144" s="141">
        <v>2.4845915325728227</v>
      </c>
      <c r="DA144" s="174" t="s">
        <v>887</v>
      </c>
    </row>
    <row r="145" spans="1:105" ht="11.45" customHeight="1" x14ac:dyDescent="0.25">
      <c r="A145" s="109" t="s">
        <v>20</v>
      </c>
      <c r="B145" s="130">
        <v>7.4556767474162555</v>
      </c>
      <c r="C145" s="130">
        <v>7.4239314660097424</v>
      </c>
      <c r="D145" s="130">
        <v>7.3636577561712935</v>
      </c>
      <c r="E145" s="130">
        <v>7.3323535644057882</v>
      </c>
      <c r="F145" s="130">
        <v>7.2435921078369949</v>
      </c>
      <c r="G145" s="130">
        <v>7.2386795599156564</v>
      </c>
      <c r="H145" s="130">
        <v>7.0056974969046788</v>
      </c>
      <c r="I145" s="130">
        <v>6.9354942400855242</v>
      </c>
      <c r="J145" s="130">
        <v>6.6061976886825908</v>
      </c>
      <c r="K145" s="130">
        <v>6.2757300238925797</v>
      </c>
      <c r="L145" s="130">
        <v>6.0451653315109404</v>
      </c>
      <c r="M145" s="130">
        <v>5.763019927159112</v>
      </c>
      <c r="N145" s="130">
        <v>5.7719622958940109</v>
      </c>
      <c r="O145" s="130">
        <v>5.528861196261655</v>
      </c>
      <c r="P145" s="130">
        <v>5.4589751964171889</v>
      </c>
      <c r="Q145" s="130">
        <v>5.311703385719766</v>
      </c>
      <c r="R145" s="130">
        <v>5.133484799684787</v>
      </c>
      <c r="S145" s="130">
        <v>5.1459106419252212</v>
      </c>
      <c r="T145" s="130">
        <v>5.2870026083120178</v>
      </c>
      <c r="U145" s="130">
        <v>5.2171272281671817</v>
      </c>
      <c r="V145" s="130">
        <v>4.907497983580023</v>
      </c>
      <c r="W145" s="130">
        <v>4.6864713559848665</v>
      </c>
      <c r="X145" s="130">
        <v>4.6538306958430091</v>
      </c>
      <c r="Y145" s="130">
        <v>4.6308898816336042</v>
      </c>
      <c r="DA145" s="176" t="s">
        <v>888</v>
      </c>
    </row>
    <row r="146" spans="1:105" ht="11.45" customHeight="1" x14ac:dyDescent="0.25">
      <c r="A146" s="111" t="s">
        <v>110</v>
      </c>
      <c r="B146" s="96">
        <v>7.5521179111711776</v>
      </c>
      <c r="C146" s="96">
        <v>7.511003499464235</v>
      </c>
      <c r="D146" s="96">
        <v>7.4655832841276686</v>
      </c>
      <c r="E146" s="96">
        <v>7.3721384833090928</v>
      </c>
      <c r="F146" s="96">
        <v>7.3619293523389473</v>
      </c>
      <c r="G146" s="96">
        <v>7.2627549372003894</v>
      </c>
      <c r="H146" s="96">
        <v>7.1162851602205466</v>
      </c>
      <c r="I146" s="96">
        <v>7.0119020047911009</v>
      </c>
      <c r="J146" s="96">
        <v>6.6714587393784912</v>
      </c>
      <c r="K146" s="96">
        <v>6.3042425488707048</v>
      </c>
      <c r="L146" s="96">
        <v>6.0745817411782026</v>
      </c>
      <c r="M146" s="96">
        <v>5.8585102189412357</v>
      </c>
      <c r="N146" s="96">
        <v>5.7038106398232946</v>
      </c>
      <c r="O146" s="96">
        <v>5.5142285832461724</v>
      </c>
      <c r="P146" s="96">
        <v>5.4622755254223367</v>
      </c>
      <c r="Q146" s="96">
        <v>5.3252092762261256</v>
      </c>
      <c r="R146" s="96">
        <v>5.2860049904126214</v>
      </c>
      <c r="S146" s="96">
        <v>5.2269575359232006</v>
      </c>
      <c r="T146" s="96">
        <v>5.2730220821966913</v>
      </c>
      <c r="U146" s="96">
        <v>5.2333544369307141</v>
      </c>
      <c r="V146" s="96">
        <v>4.921655294577957</v>
      </c>
      <c r="W146" s="96">
        <v>4.7157978678100623</v>
      </c>
      <c r="X146" s="96">
        <v>4.7223431605149333</v>
      </c>
      <c r="Y146" s="96">
        <v>4.6528631459724199</v>
      </c>
      <c r="DA146" s="171" t="s">
        <v>889</v>
      </c>
    </row>
    <row r="147" spans="1:105" ht="11.45" customHeight="1" x14ac:dyDescent="0.25">
      <c r="A147" s="111" t="s">
        <v>111</v>
      </c>
      <c r="B147" s="96">
        <v>6.8378041651844059</v>
      </c>
      <c r="C147" s="96">
        <v>6.8344070494490756</v>
      </c>
      <c r="D147" s="96">
        <v>6.8306344558146312</v>
      </c>
      <c r="E147" s="96">
        <v>6.8461964045567125</v>
      </c>
      <c r="F147" s="96">
        <v>6.8010431744944571</v>
      </c>
      <c r="G147" s="96">
        <v>6.8213208652795938</v>
      </c>
      <c r="H147" s="96">
        <v>6.8650593727289353</v>
      </c>
      <c r="I147" s="96">
        <v>6.8018684293519929</v>
      </c>
      <c r="J147" s="96">
        <v>6.494991515900165</v>
      </c>
      <c r="K147" s="96">
        <v>6.2397519778197923</v>
      </c>
      <c r="L147" s="96">
        <v>6.0000743884815435</v>
      </c>
      <c r="M147" s="96">
        <v>5.756118936224901</v>
      </c>
      <c r="N147" s="96">
        <v>5.8451757414723309</v>
      </c>
      <c r="O147" s="96">
        <v>5.5093804981871815</v>
      </c>
      <c r="P147" s="96">
        <v>5.4452771735399761</v>
      </c>
      <c r="Q147" s="96">
        <v>5.3214692850139533</v>
      </c>
      <c r="R147" s="96">
        <v>4.985039148289272</v>
      </c>
      <c r="S147" s="96">
        <v>5.0917325791648063</v>
      </c>
      <c r="T147" s="96">
        <v>5.3885313148432736</v>
      </c>
      <c r="U147" s="96">
        <v>5.305436795998423</v>
      </c>
      <c r="V147" s="96">
        <v>5.2419337847785963</v>
      </c>
      <c r="W147" s="96">
        <v>5.0887264604271643</v>
      </c>
      <c r="X147" s="96">
        <v>5.0960503320432489</v>
      </c>
      <c r="Y147" s="96">
        <v>5.2526555250152525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7.6429404224491977</v>
      </c>
      <c r="D148" s="96">
        <v>0</v>
      </c>
      <c r="E148" s="96">
        <v>7.6561244979739431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6.7099033975630826</v>
      </c>
      <c r="M148" s="96">
        <v>5.3350729529050689</v>
      </c>
      <c r="N148" s="96">
        <v>6.3519762737508652</v>
      </c>
      <c r="O148" s="96">
        <v>5.8109197326035575</v>
      </c>
      <c r="P148" s="96">
        <v>5.6296974349830986</v>
      </c>
      <c r="Q148" s="96">
        <v>4.7288673553553338</v>
      </c>
      <c r="R148" s="96">
        <v>4.3521413724747955</v>
      </c>
      <c r="S148" s="96">
        <v>0</v>
      </c>
      <c r="T148" s="96">
        <v>4.7280544873387029</v>
      </c>
      <c r="U148" s="96">
        <v>4.8997265288084675</v>
      </c>
      <c r="V148" s="96">
        <v>4.7705230664808091</v>
      </c>
      <c r="W148" s="96">
        <v>4.5482793430150394</v>
      </c>
      <c r="X148" s="96">
        <v>4.4548624347776418</v>
      </c>
      <c r="Y148" s="96">
        <v>4.5458407010379949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10.036319824087437</v>
      </c>
      <c r="M149" s="96">
        <v>7.2031003522158645</v>
      </c>
      <c r="N149" s="96">
        <v>6.1946663029056426</v>
      </c>
      <c r="O149" s="96">
        <v>6.6593824546615199</v>
      </c>
      <c r="P149" s="96">
        <v>6.6199922284650627</v>
      </c>
      <c r="Q149" s="96">
        <v>4.768687249174322</v>
      </c>
      <c r="R149" s="96">
        <v>6.0506042958613264</v>
      </c>
      <c r="S149" s="96">
        <v>4.9623636955123152</v>
      </c>
      <c r="T149" s="96">
        <v>6.1946663029056426</v>
      </c>
      <c r="U149" s="96">
        <v>6.1946663029056426</v>
      </c>
      <c r="V149" s="96">
        <v>4.9387030318697906</v>
      </c>
      <c r="W149" s="96">
        <v>4.4632819066754275</v>
      </c>
      <c r="X149" s="96">
        <v>4.3639401790228751</v>
      </c>
      <c r="Y149" s="96">
        <v>4.5519143540345626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2.428065157458271</v>
      </c>
      <c r="O150" s="96">
        <v>0</v>
      </c>
      <c r="P150" s="96">
        <v>2.319932212870818</v>
      </c>
      <c r="Q150" s="96">
        <v>2.0545328508653</v>
      </c>
      <c r="R150" s="96">
        <v>2.7100841805240732</v>
      </c>
      <c r="S150" s="96">
        <v>3.0035997611806922</v>
      </c>
      <c r="T150" s="96">
        <v>2.9444226659841544</v>
      </c>
      <c r="U150" s="96">
        <v>2.8463774965935937</v>
      </c>
      <c r="V150" s="96">
        <v>3.1349327900769066</v>
      </c>
      <c r="W150" s="96">
        <v>2.9046311590275069</v>
      </c>
      <c r="X150" s="96">
        <v>3.4318422256592349</v>
      </c>
      <c r="Y150" s="96">
        <v>2.6742041992967858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1.3424803607346911</v>
      </c>
      <c r="M151" s="96">
        <v>1.3424803607346911</v>
      </c>
      <c r="N151" s="96">
        <v>1.2386286037957945</v>
      </c>
      <c r="O151" s="96">
        <v>1.2897678417884781</v>
      </c>
      <c r="P151" s="96">
        <v>1.3087437364722623</v>
      </c>
      <c r="Q151" s="96">
        <v>1.3034827284807737</v>
      </c>
      <c r="R151" s="96">
        <v>1.3136381719947128</v>
      </c>
      <c r="S151" s="96">
        <v>1.1941362749826983</v>
      </c>
      <c r="T151" s="96">
        <v>1.1715172624859724</v>
      </c>
      <c r="U151" s="96">
        <v>1.5825761344473706</v>
      </c>
      <c r="V151" s="96">
        <v>1.4738729551632082</v>
      </c>
      <c r="W151" s="96">
        <v>1.4216454108544068</v>
      </c>
      <c r="X151" s="96">
        <v>1.5319213394567981</v>
      </c>
      <c r="Y151" s="96">
        <v>1.4943681755273663</v>
      </c>
      <c r="DA151" s="171" t="s">
        <v>894</v>
      </c>
    </row>
    <row r="152" spans="1:105" ht="11.45" customHeight="1" x14ac:dyDescent="0.25">
      <c r="A152" s="109" t="s">
        <v>21</v>
      </c>
      <c r="B152" s="130">
        <v>47.013141048322403</v>
      </c>
      <c r="C152" s="130">
        <v>47.064214419072101</v>
      </c>
      <c r="D152" s="130">
        <v>47.035778594196543</v>
      </c>
      <c r="E152" s="130">
        <v>46.826547330135263</v>
      </c>
      <c r="F152" s="130">
        <v>46.798873552351218</v>
      </c>
      <c r="G152" s="130">
        <v>46.661443093425227</v>
      </c>
      <c r="H152" s="130">
        <v>46.4899065218193</v>
      </c>
      <c r="I152" s="130">
        <v>46.321209643292896</v>
      </c>
      <c r="J152" s="130">
        <v>45.557624543778068</v>
      </c>
      <c r="K152" s="130">
        <v>45.09821406949559</v>
      </c>
      <c r="L152" s="130">
        <v>44.482812350414974</v>
      </c>
      <c r="M152" s="130">
        <v>43.963472329578636</v>
      </c>
      <c r="N152" s="130">
        <v>43.796017902246518</v>
      </c>
      <c r="O152" s="130">
        <v>43.479291258663039</v>
      </c>
      <c r="P152" s="130">
        <v>43.01409831693298</v>
      </c>
      <c r="Q152" s="130">
        <v>42.461624288252708</v>
      </c>
      <c r="R152" s="130">
        <v>41.61765790589331</v>
      </c>
      <c r="S152" s="130">
        <v>41.320186361471286</v>
      </c>
      <c r="T152" s="130">
        <v>40.595663987350427</v>
      </c>
      <c r="U152" s="130">
        <v>39.350402650188336</v>
      </c>
      <c r="V152" s="130">
        <v>37.15509507228731</v>
      </c>
      <c r="W152" s="130">
        <v>35.694188003087739</v>
      </c>
      <c r="X152" s="130">
        <v>33.990352498729919</v>
      </c>
      <c r="Y152" s="130">
        <v>32.161629451432411</v>
      </c>
      <c r="DA152" s="176" t="s">
        <v>895</v>
      </c>
    </row>
    <row r="153" spans="1:105" ht="11.45" customHeight="1" x14ac:dyDescent="0.25">
      <c r="A153" s="111" t="s">
        <v>110</v>
      </c>
      <c r="B153" s="97">
        <v>15.960029158527696</v>
      </c>
      <c r="C153" s="97">
        <v>0</v>
      </c>
      <c r="D153" s="97">
        <v>0</v>
      </c>
      <c r="E153" s="97">
        <v>0</v>
      </c>
      <c r="F153" s="97">
        <v>15.558100192337863</v>
      </c>
      <c r="G153" s="97">
        <v>15.348513083660711</v>
      </c>
      <c r="H153" s="97">
        <v>0</v>
      </c>
      <c r="I153" s="97">
        <v>14.818380985242033</v>
      </c>
      <c r="J153" s="97">
        <v>14.098915994530969</v>
      </c>
      <c r="K153" s="97">
        <v>0</v>
      </c>
      <c r="L153" s="97">
        <v>12.838311179105158</v>
      </c>
      <c r="M153" s="97">
        <v>12.387101012395636</v>
      </c>
      <c r="N153" s="97">
        <v>12.083528009798988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11.006405913654106</v>
      </c>
      <c r="U153" s="97">
        <v>0</v>
      </c>
      <c r="V153" s="97">
        <v>10.838094112207729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47.211141761753609</v>
      </c>
      <c r="C154" s="97">
        <v>47.14660823405066</v>
      </c>
      <c r="D154" s="97">
        <v>47.075007767335997</v>
      </c>
      <c r="E154" s="97">
        <v>46.926305349899692</v>
      </c>
      <c r="F154" s="97">
        <v>46.910042263745062</v>
      </c>
      <c r="G154" s="97">
        <v>46.750445522143018</v>
      </c>
      <c r="H154" s="97">
        <v>46.511118646468042</v>
      </c>
      <c r="I154" s="97">
        <v>46.338662733962174</v>
      </c>
      <c r="J154" s="97">
        <v>45.754946192384459</v>
      </c>
      <c r="K154" s="97">
        <v>45.09821406949559</v>
      </c>
      <c r="L154" s="97">
        <v>44.676653092658832</v>
      </c>
      <c r="M154" s="97">
        <v>44.27347878009796</v>
      </c>
      <c r="N154" s="97">
        <v>43.997145050868774</v>
      </c>
      <c r="O154" s="97">
        <v>43.598845338369863</v>
      </c>
      <c r="P154" s="97">
        <v>43.489203338359538</v>
      </c>
      <c r="Q154" s="97">
        <v>43.199999999908329</v>
      </c>
      <c r="R154" s="97">
        <v>42.597830805529227</v>
      </c>
      <c r="S154" s="97">
        <v>41.726554021541361</v>
      </c>
      <c r="T154" s="97">
        <v>40.629990846461574</v>
      </c>
      <c r="U154" s="97">
        <v>39.350402650188336</v>
      </c>
      <c r="V154" s="97">
        <v>37.927399241123076</v>
      </c>
      <c r="W154" s="97">
        <v>36.397221347732859</v>
      </c>
      <c r="X154" s="97">
        <v>34.792333042243044</v>
      </c>
      <c r="Y154" s="97">
        <v>33.141259847176087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36.24100278196628</v>
      </c>
      <c r="Q155" s="97">
        <v>0</v>
      </c>
      <c r="R155" s="97">
        <v>35.748683614519244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39.288840195042219</v>
      </c>
      <c r="D156" s="97">
        <v>39.229173139446665</v>
      </c>
      <c r="E156" s="97">
        <v>39.105254458249739</v>
      </c>
      <c r="F156" s="97">
        <v>39.091701886454217</v>
      </c>
      <c r="G156" s="97">
        <v>38.958704601785847</v>
      </c>
      <c r="H156" s="97">
        <v>38.759265538723369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36.582978901497782</v>
      </c>
      <c r="O156" s="97">
        <v>36.947845443676123</v>
      </c>
      <c r="P156" s="97">
        <v>36.24100278196628</v>
      </c>
      <c r="Q156" s="97">
        <v>35.99999999992361</v>
      </c>
      <c r="R156" s="97">
        <v>35.820312127334105</v>
      </c>
      <c r="S156" s="97">
        <v>35.677217263680042</v>
      </c>
      <c r="T156" s="97">
        <v>35.556043241708728</v>
      </c>
      <c r="U156" s="97">
        <v>0</v>
      </c>
      <c r="V156" s="97">
        <v>0</v>
      </c>
      <c r="W156" s="97">
        <v>0</v>
      </c>
      <c r="X156" s="97">
        <v>35.16069642220058</v>
      </c>
      <c r="Y156" s="97">
        <v>35.070403613063078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25.937638691716753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23.457535500843449</v>
      </c>
      <c r="P157" s="97">
        <v>23.222960145835014</v>
      </c>
      <c r="Q157" s="97">
        <v>22.990730544376664</v>
      </c>
      <c r="R157" s="97">
        <v>22.669791579189567</v>
      </c>
      <c r="S157" s="97">
        <v>0</v>
      </c>
      <c r="T157" s="97">
        <v>21.811950029736746</v>
      </c>
      <c r="U157" s="97">
        <v>0</v>
      </c>
      <c r="V157" s="97">
        <v>20.742077086052856</v>
      </c>
      <c r="W157" s="97">
        <v>20.152663639549868</v>
      </c>
      <c r="X157" s="97">
        <v>19.538342941976865</v>
      </c>
      <c r="Y157" s="97">
        <v>18.906474514501401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8.1658895838149306</v>
      </c>
      <c r="C159" s="141">
        <v>8.2244961047809184</v>
      </c>
      <c r="D159" s="141">
        <v>8.2343234604636546</v>
      </c>
      <c r="E159" s="141">
        <v>8.244178923308608</v>
      </c>
      <c r="F159" s="141">
        <v>8.2191932666109757</v>
      </c>
      <c r="G159" s="141">
        <v>8.2305849746766846</v>
      </c>
      <c r="H159" s="141">
        <v>8.2683743443124964</v>
      </c>
      <c r="I159" s="141">
        <v>8.235192839401666</v>
      </c>
      <c r="J159" s="141">
        <v>8.1529115845158202</v>
      </c>
      <c r="K159" s="141">
        <v>8.0286538862544443</v>
      </c>
      <c r="L159" s="141">
        <v>8.2199182613455033</v>
      </c>
      <c r="M159" s="141">
        <v>8.3029036376042509</v>
      </c>
      <c r="N159" s="141">
        <v>7.6971077262070908</v>
      </c>
      <c r="O159" s="141">
        <v>7.4204397585896693</v>
      </c>
      <c r="P159" s="141">
        <v>7.1453190136225739</v>
      </c>
      <c r="Q159" s="141">
        <v>7.0461151072602108</v>
      </c>
      <c r="R159" s="141">
        <v>6.722724575159174</v>
      </c>
      <c r="S159" s="141">
        <v>6.7608537530450965</v>
      </c>
      <c r="T159" s="141">
        <v>6.6828866146367787</v>
      </c>
      <c r="U159" s="141">
        <v>6.5716962322739958</v>
      </c>
      <c r="V159" s="141">
        <v>6.9134465410510755</v>
      </c>
      <c r="W159" s="141">
        <v>6.6877298095358197</v>
      </c>
      <c r="X159" s="141">
        <v>6.5164279948433812</v>
      </c>
      <c r="Y159" s="141">
        <v>6.5938118978548594</v>
      </c>
      <c r="DA159" s="174" t="s">
        <v>901</v>
      </c>
    </row>
    <row r="160" spans="1:105" ht="11.45" customHeight="1" x14ac:dyDescent="0.25">
      <c r="A160" s="111" t="s">
        <v>110</v>
      </c>
      <c r="B160" s="96">
        <v>7.1346729823725612</v>
      </c>
      <c r="C160" s="96">
        <v>7.0958311785445556</v>
      </c>
      <c r="D160" s="96">
        <v>7.0529215753012098</v>
      </c>
      <c r="E160" s="96">
        <v>6.9646419557845043</v>
      </c>
      <c r="F160" s="96">
        <v>6.9549971367068713</v>
      </c>
      <c r="G160" s="96">
        <v>6.861304608524148</v>
      </c>
      <c r="H160" s="96">
        <v>6.7229309797164687</v>
      </c>
      <c r="I160" s="96">
        <v>6.6243176254737284</v>
      </c>
      <c r="J160" s="96">
        <v>6.302692434191016</v>
      </c>
      <c r="K160" s="96">
        <v>5.9557741969598137</v>
      </c>
      <c r="L160" s="96">
        <v>5.7391594337978651</v>
      </c>
      <c r="M160" s="96">
        <v>5.5374532242528653</v>
      </c>
      <c r="N160" s="96">
        <v>5.4017458218232948</v>
      </c>
      <c r="O160" s="96">
        <v>5.6113530543309853</v>
      </c>
      <c r="P160" s="96">
        <v>5.6099716965889996</v>
      </c>
      <c r="Q160" s="96">
        <v>5.7217638100294872</v>
      </c>
      <c r="R160" s="96">
        <v>5.0782106489467411</v>
      </c>
      <c r="S160" s="96">
        <v>6.0301686608872735</v>
      </c>
      <c r="T160" s="96">
        <v>6.031163470434235</v>
      </c>
      <c r="U160" s="96">
        <v>6.3334643059207067</v>
      </c>
      <c r="V160" s="96">
        <v>5.2978214674809756</v>
      </c>
      <c r="W160" s="96">
        <v>5.4104164397193655</v>
      </c>
      <c r="X160" s="96">
        <v>5.4777278815208135</v>
      </c>
      <c r="Y160" s="96">
        <v>7.9149020151055769</v>
      </c>
      <c r="DA160" s="171" t="s">
        <v>902</v>
      </c>
    </row>
    <row r="161" spans="1:105" ht="11.45" customHeight="1" x14ac:dyDescent="0.25">
      <c r="A161" s="111" t="s">
        <v>111</v>
      </c>
      <c r="B161" s="96">
        <v>8.2777291339907908</v>
      </c>
      <c r="C161" s="96">
        <v>8.2736166436043206</v>
      </c>
      <c r="D161" s="96">
        <v>8.2690496060752885</v>
      </c>
      <c r="E161" s="96">
        <v>8.2878886358825348</v>
      </c>
      <c r="F161" s="96">
        <v>8.23322690545697</v>
      </c>
      <c r="G161" s="96">
        <v>8.2577747321754984</v>
      </c>
      <c r="H161" s="96">
        <v>8.3107238235276775</v>
      </c>
      <c r="I161" s="96">
        <v>8.2342259449164441</v>
      </c>
      <c r="J161" s="96">
        <v>7.8627259859144942</v>
      </c>
      <c r="K161" s="96">
        <v>7.553737353091126</v>
      </c>
      <c r="L161" s="96">
        <v>7.2635877500750032</v>
      </c>
      <c r="M161" s="96">
        <v>6.9682594391499251</v>
      </c>
      <c r="N161" s="96">
        <v>7.0760700891142152</v>
      </c>
      <c r="O161" s="96">
        <v>6.983419711487171</v>
      </c>
      <c r="P161" s="96">
        <v>6.8331432646099382</v>
      </c>
      <c r="Q161" s="96">
        <v>6.8227643586546769</v>
      </c>
      <c r="R161" s="96">
        <v>6.4803570329601543</v>
      </c>
      <c r="S161" s="96">
        <v>6.2871897097409493</v>
      </c>
      <c r="T161" s="96">
        <v>6.3306973743013764</v>
      </c>
      <c r="U161" s="96">
        <v>6.0688671194240831</v>
      </c>
      <c r="V161" s="96">
        <v>7.1164437424882916</v>
      </c>
      <c r="W161" s="96">
        <v>7.0612887191807232</v>
      </c>
      <c r="X161" s="96">
        <v>7.1236640156160176</v>
      </c>
      <c r="Y161" s="96">
        <v>7.0936693386751051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9.679625432225512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8.0446461290860789</v>
      </c>
      <c r="O162" s="96">
        <v>0</v>
      </c>
      <c r="P162" s="96">
        <v>0</v>
      </c>
      <c r="Q162" s="96">
        <v>7.2272756667725204</v>
      </c>
      <c r="R162" s="96">
        <v>0</v>
      </c>
      <c r="S162" s="96">
        <v>0</v>
      </c>
      <c r="T162" s="96">
        <v>0</v>
      </c>
      <c r="U162" s="96">
        <v>0</v>
      </c>
      <c r="V162" s="96">
        <v>5.3371270086334262</v>
      </c>
      <c r="W162" s="96">
        <v>4.9207553980308196</v>
      </c>
      <c r="X162" s="96">
        <v>8.2474431547837295</v>
      </c>
      <c r="Y162" s="96">
        <v>8.2020643576669752</v>
      </c>
      <c r="DA162" s="171" t="s">
        <v>904</v>
      </c>
    </row>
    <row r="163" spans="1:105" ht="11.45" customHeight="1" x14ac:dyDescent="0.25">
      <c r="A163" s="111" t="s">
        <v>113</v>
      </c>
      <c r="B163" s="96">
        <v>9.6699221500255099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6.3079937999327305</v>
      </c>
      <c r="O163" s="96">
        <v>6.1593534231541645</v>
      </c>
      <c r="P163" s="96">
        <v>5.6732885414255847</v>
      </c>
      <c r="Q163" s="96">
        <v>7.5757768675662929</v>
      </c>
      <c r="R163" s="96">
        <v>8.6580307057900505</v>
      </c>
      <c r="S163" s="96">
        <v>6.5023681052579834</v>
      </c>
      <c r="T163" s="96">
        <v>8.0366409422166019</v>
      </c>
      <c r="U163" s="96">
        <v>5.8327785807427697</v>
      </c>
      <c r="V163" s="96">
        <v>5.9620425155195846</v>
      </c>
      <c r="W163" s="96">
        <v>7.037119632587741</v>
      </c>
      <c r="X163" s="96">
        <v>6.5263073110977583</v>
      </c>
      <c r="Y163" s="96">
        <v>7.0967459566923408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1.4067222365919503</v>
      </c>
      <c r="P164" s="96">
        <v>1.418744625967326</v>
      </c>
      <c r="Q164" s="96">
        <v>1.436953113145516</v>
      </c>
      <c r="R164" s="96">
        <v>1.4105987238086621</v>
      </c>
      <c r="S164" s="96">
        <v>1.4105556237972401</v>
      </c>
      <c r="T164" s="96">
        <v>1.7138593214140998</v>
      </c>
      <c r="U164" s="96">
        <v>1.9200506173039793</v>
      </c>
      <c r="V164" s="96">
        <v>2.2196065683786674</v>
      </c>
      <c r="W164" s="96">
        <v>2.4877448258575452</v>
      </c>
      <c r="X164" s="96">
        <v>2.5635016173279288</v>
      </c>
      <c r="Y164" s="96">
        <v>2.2347231735575726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30.154401268774215</v>
      </c>
      <c r="D165" s="130">
        <v>29.998463569821361</v>
      </c>
      <c r="E165" s="130">
        <v>29.724151451267346</v>
      </c>
      <c r="F165" s="130">
        <v>30.03946101982504</v>
      </c>
      <c r="G165" s="130">
        <v>29.217309846394215</v>
      </c>
      <c r="H165" s="130">
        <v>28.92682670949824</v>
      </c>
      <c r="I165" s="130">
        <v>28.859344554690381</v>
      </c>
      <c r="J165" s="130">
        <v>29.974673008019604</v>
      </c>
      <c r="K165" s="130">
        <v>27.618167367391713</v>
      </c>
      <c r="L165" s="130">
        <v>27.190302408637205</v>
      </c>
      <c r="M165" s="130">
        <v>28.260904488036729</v>
      </c>
      <c r="N165" s="130">
        <v>27.476824078903007</v>
      </c>
      <c r="O165" s="130">
        <v>27.220792338019145</v>
      </c>
      <c r="P165" s="130">
        <v>25.850365872584959</v>
      </c>
      <c r="Q165" s="130">
        <v>25.829777139641187</v>
      </c>
      <c r="R165" s="130">
        <v>24.95408789706779</v>
      </c>
      <c r="S165" s="130">
        <v>23.669424155430523</v>
      </c>
      <c r="T165" s="130">
        <v>22.683732885313557</v>
      </c>
      <c r="U165" s="130">
        <v>22.030819079933675</v>
      </c>
      <c r="V165" s="130">
        <v>21.585468946346893</v>
      </c>
      <c r="W165" s="130">
        <v>21.481997604769749</v>
      </c>
      <c r="X165" s="130">
        <v>21.235393373503037</v>
      </c>
      <c r="Y165" s="130">
        <v>20.837979554545321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29.85309278344571</v>
      </c>
      <c r="D166" s="97">
        <v>29.700519830497072</v>
      </c>
      <c r="E166" s="97">
        <v>29.51053810479447</v>
      </c>
      <c r="F166" s="97">
        <v>29.283630353481158</v>
      </c>
      <c r="G166" s="97">
        <v>29.020369083734209</v>
      </c>
      <c r="H166" s="97">
        <v>28.721412992625702</v>
      </c>
      <c r="I166" s="97">
        <v>28.387502909841377</v>
      </c>
      <c r="J166" s="97">
        <v>28.019457299063632</v>
      </c>
      <c r="K166" s="97">
        <v>27.618167367391713</v>
      </c>
      <c r="L166" s="97">
        <v>27.184591836665028</v>
      </c>
      <c r="M166" s="97">
        <v>26.719751431395039</v>
      </c>
      <c r="N166" s="97">
        <v>26.224723140129562</v>
      </c>
      <c r="O166" s="97">
        <v>25.700634307738802</v>
      </c>
      <c r="P166" s="97">
        <v>25.148656614760199</v>
      </c>
      <c r="Q166" s="97">
        <v>24.569999999947854</v>
      </c>
      <c r="R166" s="97">
        <v>23.71558971053468</v>
      </c>
      <c r="S166" s="97">
        <v>23.117502507945456</v>
      </c>
      <c r="T166" s="97">
        <v>22.489510945226773</v>
      </c>
      <c r="U166" s="97">
        <v>21.72196570190394</v>
      </c>
      <c r="V166" s="97">
        <v>21.491834326811976</v>
      </c>
      <c r="W166" s="97">
        <v>20.914426811804919</v>
      </c>
      <c r="X166" s="97">
        <v>20.799201409091008</v>
      </c>
      <c r="Y166" s="97">
        <v>20.591209395000099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124.66245000778061</v>
      </c>
      <c r="C171" s="152">
        <v>124.16715121253733</v>
      </c>
      <c r="D171" s="152">
        <v>123.06215753454718</v>
      </c>
      <c r="E171" s="152">
        <v>121.76642740763975</v>
      </c>
      <c r="F171" s="152">
        <v>119.72241408904426</v>
      </c>
      <c r="G171" s="152">
        <v>118.25474077876133</v>
      </c>
      <c r="H171" s="152">
        <v>116.78559137162793</v>
      </c>
      <c r="I171" s="152">
        <v>115.11964837318175</v>
      </c>
      <c r="J171" s="152">
        <v>113.23072324262571</v>
      </c>
      <c r="K171" s="152">
        <v>111.62284329041994</v>
      </c>
      <c r="L171" s="152">
        <v>110.15887797352325</v>
      </c>
      <c r="M171" s="152">
        <v>109.19155530747258</v>
      </c>
      <c r="N171" s="152">
        <v>107.72087359278314</v>
      </c>
      <c r="O171" s="152">
        <v>106.47626134078934</v>
      </c>
      <c r="P171" s="152">
        <v>104.80177234836941</v>
      </c>
      <c r="Q171" s="152">
        <v>102.61944861676425</v>
      </c>
      <c r="R171" s="152">
        <v>100.05168525513984</v>
      </c>
      <c r="S171" s="152">
        <v>98.886616265188849</v>
      </c>
      <c r="T171" s="152">
        <v>97.295423204715235</v>
      </c>
      <c r="U171" s="152">
        <v>95.657127880479536</v>
      </c>
      <c r="V171" s="152">
        <v>93.935707005695463</v>
      </c>
      <c r="W171" s="152">
        <v>92.716134291052171</v>
      </c>
      <c r="X171" s="152">
        <v>91.536086894240924</v>
      </c>
      <c r="Y171" s="152">
        <v>90.226625042454245</v>
      </c>
      <c r="DA171" s="174" t="s">
        <v>910</v>
      </c>
    </row>
    <row r="172" spans="1:105" ht="11.45" customHeight="1" x14ac:dyDescent="0.25">
      <c r="A172" s="109" t="s">
        <v>20</v>
      </c>
      <c r="B172" s="116">
        <v>245.27662190646069</v>
      </c>
      <c r="C172" s="116">
        <v>241.68493805017891</v>
      </c>
      <c r="D172" s="116">
        <v>240.11895247867923</v>
      </c>
      <c r="E172" s="116">
        <v>233.46747588586041</v>
      </c>
      <c r="F172" s="116">
        <v>235.31536954578328</v>
      </c>
      <c r="G172" s="116">
        <v>231.0590505594048</v>
      </c>
      <c r="H172" s="116">
        <v>234.80849378313476</v>
      </c>
      <c r="I172" s="116">
        <v>231.77054936041924</v>
      </c>
      <c r="J172" s="116">
        <v>228.13721194192914</v>
      </c>
      <c r="K172" s="116">
        <v>228.01917568532616</v>
      </c>
      <c r="L172" s="116">
        <v>226.57219347685989</v>
      </c>
      <c r="M172" s="116">
        <v>221.53392687578662</v>
      </c>
      <c r="N172" s="116">
        <v>222.54650985174598</v>
      </c>
      <c r="O172" s="116">
        <v>221.39069983852227</v>
      </c>
      <c r="P172" s="116">
        <v>218.61929585177637</v>
      </c>
      <c r="Q172" s="116">
        <v>215.49634161026179</v>
      </c>
      <c r="R172" s="116">
        <v>211.6289638510284</v>
      </c>
      <c r="S172" s="116">
        <v>207.06566639245557</v>
      </c>
      <c r="T172" s="116">
        <v>202.12136753695586</v>
      </c>
      <c r="U172" s="116">
        <v>196.65585973138306</v>
      </c>
      <c r="V172" s="116">
        <v>189.94250351021938</v>
      </c>
      <c r="W172" s="116">
        <v>185.76133766698004</v>
      </c>
      <c r="X172" s="116">
        <v>180.83787871834866</v>
      </c>
      <c r="Y172" s="116">
        <v>177.84658858300156</v>
      </c>
      <c r="DA172" s="176" t="s">
        <v>911</v>
      </c>
    </row>
    <row r="173" spans="1:105" ht="11.45" customHeight="1" x14ac:dyDescent="0.25">
      <c r="A173" s="111" t="s">
        <v>110</v>
      </c>
      <c r="B173" s="87">
        <v>245.78733331323488</v>
      </c>
      <c r="C173" s="87">
        <v>241.34996575848035</v>
      </c>
      <c r="D173" s="87">
        <v>238.71931884170229</v>
      </c>
      <c r="E173" s="87">
        <v>236.39241735918048</v>
      </c>
      <c r="F173" s="87">
        <v>233.72679061898526</v>
      </c>
      <c r="G173" s="87">
        <v>231.17317196226441</v>
      </c>
      <c r="H173" s="87">
        <v>229.61001328412326</v>
      </c>
      <c r="I173" s="87">
        <v>227.96703513917245</v>
      </c>
      <c r="J173" s="87">
        <v>224.83835434954227</v>
      </c>
      <c r="K173" s="87">
        <v>223.64523253839343</v>
      </c>
      <c r="L173" s="87">
        <v>222.41759180923006</v>
      </c>
      <c r="M173" s="87">
        <v>221.35244593982938</v>
      </c>
      <c r="N173" s="87">
        <v>219.31915890993503</v>
      </c>
      <c r="O173" s="87">
        <v>217.60355934622896</v>
      </c>
      <c r="P173" s="87">
        <v>214.42513207271463</v>
      </c>
      <c r="Q173" s="87">
        <v>210.82644988647451</v>
      </c>
      <c r="R173" s="87">
        <v>206.18547312761342</v>
      </c>
      <c r="S173" s="87">
        <v>201.39385446041811</v>
      </c>
      <c r="T173" s="87">
        <v>196.05675181922271</v>
      </c>
      <c r="U173" s="87">
        <v>190.44145942553214</v>
      </c>
      <c r="V173" s="87">
        <v>184.83882637387208</v>
      </c>
      <c r="W173" s="87">
        <v>180.3539104471825</v>
      </c>
      <c r="X173" s="87">
        <v>176.38584378285466</v>
      </c>
      <c r="Y173" s="87">
        <v>173.34014317249006</v>
      </c>
      <c r="DA173" s="171" t="s">
        <v>912</v>
      </c>
    </row>
    <row r="174" spans="1:105" ht="11.45" customHeight="1" x14ac:dyDescent="0.25">
      <c r="A174" s="111" t="s">
        <v>111</v>
      </c>
      <c r="B174" s="87">
        <v>239.13731462369498</v>
      </c>
      <c r="C174" s="87">
        <v>234.64502654997457</v>
      </c>
      <c r="D174" s="87">
        <v>230.8071278147855</v>
      </c>
      <c r="E174" s="87">
        <v>227.39484374500378</v>
      </c>
      <c r="F174" s="87">
        <v>224.48390128827509</v>
      </c>
      <c r="G174" s="87">
        <v>222.7725212511925</v>
      </c>
      <c r="H174" s="87">
        <v>219.40620729169078</v>
      </c>
      <c r="I174" s="87">
        <v>217.73735259533845</v>
      </c>
      <c r="J174" s="87">
        <v>215.8481585123335</v>
      </c>
      <c r="K174" s="87">
        <v>214.7608860508802</v>
      </c>
      <c r="L174" s="87">
        <v>213.33794250462068</v>
      </c>
      <c r="M174" s="87">
        <v>211.89612064160508</v>
      </c>
      <c r="N174" s="87">
        <v>210.56777815022613</v>
      </c>
      <c r="O174" s="87">
        <v>208.19390839639894</v>
      </c>
      <c r="P174" s="87">
        <v>205.12432967041133</v>
      </c>
      <c r="Q174" s="87">
        <v>201.39732485200554</v>
      </c>
      <c r="R174" s="87">
        <v>196.32191122325696</v>
      </c>
      <c r="S174" s="87">
        <v>192.6724077573123</v>
      </c>
      <c r="T174" s="87">
        <v>189.22500431988908</v>
      </c>
      <c r="U174" s="87">
        <v>186.45872603865433</v>
      </c>
      <c r="V174" s="87">
        <v>185.12191046384862</v>
      </c>
      <c r="W174" s="87">
        <v>182.48583313293653</v>
      </c>
      <c r="X174" s="87">
        <v>180.24602557784073</v>
      </c>
      <c r="Y174" s="87">
        <v>178.71806475375016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181.00816447719521</v>
      </c>
      <c r="D175" s="87">
        <v>181.00816447719524</v>
      </c>
      <c r="E175" s="87">
        <v>187.42318222948455</v>
      </c>
      <c r="F175" s="87">
        <v>187.6867675498936</v>
      </c>
      <c r="G175" s="87">
        <v>187.69964692604776</v>
      </c>
      <c r="H175" s="87">
        <v>187.69871087537103</v>
      </c>
      <c r="I175" s="87">
        <v>187.69737021599951</v>
      </c>
      <c r="J175" s="87">
        <v>187.82341609733851</v>
      </c>
      <c r="K175" s="87">
        <v>187.82704045414661</v>
      </c>
      <c r="L175" s="87">
        <v>190.40022539699598</v>
      </c>
      <c r="M175" s="87">
        <v>197.47557679509077</v>
      </c>
      <c r="N175" s="87">
        <v>199.07261636337049</v>
      </c>
      <c r="O175" s="87">
        <v>200.99904235017505</v>
      </c>
      <c r="P175" s="87">
        <v>200.89243151834395</v>
      </c>
      <c r="Q175" s="87">
        <v>199.82250637145262</v>
      </c>
      <c r="R175" s="87">
        <v>199.84989436862622</v>
      </c>
      <c r="S175" s="87">
        <v>200.08191232875726</v>
      </c>
      <c r="T175" s="87">
        <v>200.6287879880756</v>
      </c>
      <c r="U175" s="87">
        <v>201.57647989264231</v>
      </c>
      <c r="V175" s="87">
        <v>202.97436080774139</v>
      </c>
      <c r="W175" s="87">
        <v>204.05917502395124</v>
      </c>
      <c r="X175" s="87">
        <v>200.57061633635277</v>
      </c>
      <c r="Y175" s="87">
        <v>196.90182393035735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235.73255813953489</v>
      </c>
      <c r="M176" s="87">
        <v>169.18604651162792</v>
      </c>
      <c r="N176" s="87">
        <v>145.49999999999997</v>
      </c>
      <c r="O176" s="87">
        <v>156.34347675603701</v>
      </c>
      <c r="P176" s="87">
        <v>156.02104084488005</v>
      </c>
      <c r="Q176" s="87">
        <v>128.94454199216617</v>
      </c>
      <c r="R176" s="87">
        <v>130.08856585914768</v>
      </c>
      <c r="S176" s="87">
        <v>128.43929515639405</v>
      </c>
      <c r="T176" s="87">
        <v>129.49379372276033</v>
      </c>
      <c r="U176" s="87">
        <v>129.64345087043722</v>
      </c>
      <c r="V176" s="87">
        <v>129.5563013143184</v>
      </c>
      <c r="W176" s="87">
        <v>129.40623522095811</v>
      </c>
      <c r="X176" s="87">
        <v>129.20308963000514</v>
      </c>
      <c r="Y176" s="87">
        <v>129.1275501193588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44.923924542657254</v>
      </c>
      <c r="O177" s="87">
        <v>44.923924542657254</v>
      </c>
      <c r="P177" s="87">
        <v>41.100417633058619</v>
      </c>
      <c r="Q177" s="87">
        <v>33.185169381941613</v>
      </c>
      <c r="R177" s="87">
        <v>44.712185455582514</v>
      </c>
      <c r="S177" s="87">
        <v>49.903314837661711</v>
      </c>
      <c r="T177" s="87">
        <v>50.536450180308712</v>
      </c>
      <c r="U177" s="87">
        <v>48.8976814670946</v>
      </c>
      <c r="V177" s="87">
        <v>46.638219174080021</v>
      </c>
      <c r="W177" s="87">
        <v>42.387543331864379</v>
      </c>
      <c r="X177" s="87">
        <v>46.723249755922879</v>
      </c>
      <c r="Y177" s="87">
        <v>42.077240921464259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1490.341022686591</v>
      </c>
      <c r="C179" s="116">
        <v>1475.5649205386983</v>
      </c>
      <c r="D179" s="116">
        <v>1474.2900593527897</v>
      </c>
      <c r="E179" s="116">
        <v>1468.5187171276004</v>
      </c>
      <c r="F179" s="116">
        <v>1467.1415571636767</v>
      </c>
      <c r="G179" s="116">
        <v>1466.0268217273906</v>
      </c>
      <c r="H179" s="116">
        <v>1462.4277304114178</v>
      </c>
      <c r="I179" s="116">
        <v>1459.6230009514391</v>
      </c>
      <c r="J179" s="116">
        <v>1440.8050027040936</v>
      </c>
      <c r="K179" s="116">
        <v>1437.7672655917777</v>
      </c>
      <c r="L179" s="116">
        <v>1440.5942664685253</v>
      </c>
      <c r="M179" s="116">
        <v>1439.878761167073</v>
      </c>
      <c r="N179" s="116">
        <v>1426.5348106055496</v>
      </c>
      <c r="O179" s="116">
        <v>1410.202475832247</v>
      </c>
      <c r="P179" s="116">
        <v>1389.7625041714534</v>
      </c>
      <c r="Q179" s="116">
        <v>1369.5682049821617</v>
      </c>
      <c r="R179" s="116">
        <v>1347.4136900076444</v>
      </c>
      <c r="S179" s="116">
        <v>1361.4518559875487</v>
      </c>
      <c r="T179" s="116">
        <v>1366.4839300489052</v>
      </c>
      <c r="U179" s="116">
        <v>1352.4010540337076</v>
      </c>
      <c r="V179" s="116">
        <v>1304.1836973392328</v>
      </c>
      <c r="W179" s="116">
        <v>1281.9827355939337</v>
      </c>
      <c r="X179" s="116">
        <v>1195.1371173344166</v>
      </c>
      <c r="Y179" s="116">
        <v>1229.4721639085915</v>
      </c>
      <c r="DA179" s="176" t="s">
        <v>918</v>
      </c>
    </row>
    <row r="180" spans="1:105" ht="11.45" customHeight="1" x14ac:dyDescent="0.25">
      <c r="A180" s="111" t="s">
        <v>110</v>
      </c>
      <c r="B180" s="101">
        <v>543.74077465963774</v>
      </c>
      <c r="C180" s="101">
        <v>543.39854892646633</v>
      </c>
      <c r="D180" s="101">
        <v>543.36392550791822</v>
      </c>
      <c r="E180" s="101">
        <v>543.32132002078367</v>
      </c>
      <c r="F180" s="101">
        <v>543.06162951737952</v>
      </c>
      <c r="G180" s="101">
        <v>542.83777846858277</v>
      </c>
      <c r="H180" s="101">
        <v>542.70117204885173</v>
      </c>
      <c r="I180" s="101">
        <v>542.31278707937986</v>
      </c>
      <c r="J180" s="101">
        <v>539.91059889041662</v>
      </c>
      <c r="K180" s="101">
        <v>539.05545137734418</v>
      </c>
      <c r="L180" s="101">
        <v>535.55274879774754</v>
      </c>
      <c r="M180" s="101">
        <v>527.59781029601436</v>
      </c>
      <c r="N180" s="101">
        <v>518.83345523310049</v>
      </c>
      <c r="O180" s="101">
        <v>518.23951794057552</v>
      </c>
      <c r="P180" s="101">
        <v>514.73924997143013</v>
      </c>
      <c r="Q180" s="101">
        <v>506.85273682171834</v>
      </c>
      <c r="R180" s="101">
        <v>491.98992258408686</v>
      </c>
      <c r="S180" s="101">
        <v>482.91225525223138</v>
      </c>
      <c r="T180" s="101">
        <v>478.92569073521724</v>
      </c>
      <c r="U180" s="101">
        <v>478.37801153225854</v>
      </c>
      <c r="V180" s="101">
        <v>459.78993774449305</v>
      </c>
      <c r="W180" s="101">
        <v>458.48154334150917</v>
      </c>
      <c r="X180" s="101">
        <v>445.43129742200648</v>
      </c>
      <c r="Y180" s="101">
        <v>426.71485063388297</v>
      </c>
      <c r="DA180" s="175" t="s">
        <v>919</v>
      </c>
    </row>
    <row r="181" spans="1:105" ht="11.45" customHeight="1" x14ac:dyDescent="0.25">
      <c r="A181" s="111" t="s">
        <v>111</v>
      </c>
      <c r="B181" s="101">
        <v>1639.24378468751</v>
      </c>
      <c r="C181" s="101">
        <v>1595.6050027046535</v>
      </c>
      <c r="D181" s="101">
        <v>1571.7584629886621</v>
      </c>
      <c r="E181" s="101">
        <v>1551.5381410938376</v>
      </c>
      <c r="F181" s="101">
        <v>1537.1259642683879</v>
      </c>
      <c r="G181" s="101">
        <v>1520.6090714474951</v>
      </c>
      <c r="H181" s="101">
        <v>1498.5425560054928</v>
      </c>
      <c r="I181" s="101">
        <v>1486.5306347528265</v>
      </c>
      <c r="J181" s="101">
        <v>1469.463671098343</v>
      </c>
      <c r="K181" s="101">
        <v>1461.7113809110278</v>
      </c>
      <c r="L181" s="101">
        <v>1457.6420067044096</v>
      </c>
      <c r="M181" s="101">
        <v>1451.5761162196827</v>
      </c>
      <c r="N181" s="101">
        <v>1438.6473884207851</v>
      </c>
      <c r="O181" s="101">
        <v>1424.7680321203311</v>
      </c>
      <c r="P181" s="101">
        <v>1415.7810677455179</v>
      </c>
      <c r="Q181" s="101">
        <v>1404.7501347162511</v>
      </c>
      <c r="R181" s="101">
        <v>1394.9748529170774</v>
      </c>
      <c r="S181" s="101">
        <v>1384.9110699542091</v>
      </c>
      <c r="T181" s="101">
        <v>1368.3931236247336</v>
      </c>
      <c r="U181" s="101">
        <v>1347.3512486373816</v>
      </c>
      <c r="V181" s="101">
        <v>1325.7560559833937</v>
      </c>
      <c r="W181" s="101">
        <v>1310.3365313563993</v>
      </c>
      <c r="X181" s="101">
        <v>1298.0551396881424</v>
      </c>
      <c r="Y181" s="101">
        <v>1277.8745526942068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957.44047012395492</v>
      </c>
      <c r="Q182" s="101">
        <v>957.44047012395504</v>
      </c>
      <c r="R182" s="101">
        <v>950.69816094245073</v>
      </c>
      <c r="S182" s="101">
        <v>950.69816094245061</v>
      </c>
      <c r="T182" s="101">
        <v>950.69816094245073</v>
      </c>
      <c r="U182" s="101">
        <v>950.69816094245073</v>
      </c>
      <c r="V182" s="101">
        <v>950.69816094245073</v>
      </c>
      <c r="W182" s="101">
        <v>950.69816094245061</v>
      </c>
      <c r="X182" s="101">
        <v>950.69816094245084</v>
      </c>
      <c r="Y182" s="101">
        <v>950.69816094245073</v>
      </c>
      <c r="DA182" s="175" t="s">
        <v>921</v>
      </c>
    </row>
    <row r="183" spans="1:105" ht="11.45" customHeight="1" x14ac:dyDescent="0.25">
      <c r="A183" s="111" t="s">
        <v>113</v>
      </c>
      <c r="B183" s="101">
        <v>1015.2499481693403</v>
      </c>
      <c r="C183" s="101">
        <v>991.56159219379833</v>
      </c>
      <c r="D183" s="101">
        <v>981.70771513075954</v>
      </c>
      <c r="E183" s="101">
        <v>966.16338692017393</v>
      </c>
      <c r="F183" s="101">
        <v>958.81462596659696</v>
      </c>
      <c r="G183" s="101">
        <v>949.12598121453641</v>
      </c>
      <c r="H183" s="101">
        <v>942.69957423866231</v>
      </c>
      <c r="I183" s="101">
        <v>933.65356344530653</v>
      </c>
      <c r="J183" s="101">
        <v>917.79695090492464</v>
      </c>
      <c r="K183" s="101">
        <v>917.79695090492464</v>
      </c>
      <c r="L183" s="101">
        <v>916.53110728531578</v>
      </c>
      <c r="M183" s="101">
        <v>915.82316386598359</v>
      </c>
      <c r="N183" s="101">
        <v>902.94468195338015</v>
      </c>
      <c r="O183" s="101">
        <v>890.58291136357025</v>
      </c>
      <c r="P183" s="101">
        <v>866.62340118955819</v>
      </c>
      <c r="Q183" s="101">
        <v>858.89319930839542</v>
      </c>
      <c r="R183" s="101">
        <v>850.8619848637145</v>
      </c>
      <c r="S183" s="101">
        <v>848.01205922126474</v>
      </c>
      <c r="T183" s="101">
        <v>847.5036395796559</v>
      </c>
      <c r="U183" s="101">
        <v>840.15064927275159</v>
      </c>
      <c r="V183" s="101">
        <v>840.03375081371087</v>
      </c>
      <c r="W183" s="101">
        <v>839.99370848356307</v>
      </c>
      <c r="X183" s="101">
        <v>833.64138434043753</v>
      </c>
      <c r="Y183" s="101">
        <v>833.48979724342576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274.41197545850451</v>
      </c>
      <c r="C186" s="152">
        <v>267.73139555361064</v>
      </c>
      <c r="D186" s="152">
        <v>267.01400989132583</v>
      </c>
      <c r="E186" s="152">
        <v>266.1809761642794</v>
      </c>
      <c r="F186" s="152">
        <v>263.56308958249662</v>
      </c>
      <c r="G186" s="152">
        <v>263.60502323696704</v>
      </c>
      <c r="H186" s="152">
        <v>263.43468235455987</v>
      </c>
      <c r="I186" s="152">
        <v>260.13708350584392</v>
      </c>
      <c r="J186" s="152">
        <v>249.21420988771257</v>
      </c>
      <c r="K186" s="152">
        <v>241.79190030067542</v>
      </c>
      <c r="L186" s="152">
        <v>222.32827329733527</v>
      </c>
      <c r="M186" s="152">
        <v>212.76442004332287</v>
      </c>
      <c r="N186" s="152">
        <v>231.7165469394437</v>
      </c>
      <c r="O186" s="152">
        <v>225.94930877598611</v>
      </c>
      <c r="P186" s="152">
        <v>231.75977250991463</v>
      </c>
      <c r="Q186" s="152">
        <v>233.52149325730028</v>
      </c>
      <c r="R186" s="152">
        <v>228.86208863112748</v>
      </c>
      <c r="S186" s="152">
        <v>217.22034597521605</v>
      </c>
      <c r="T186" s="152">
        <v>217.43150681708084</v>
      </c>
      <c r="U186" s="152">
        <v>208.69363863437439</v>
      </c>
      <c r="V186" s="152">
        <v>228.53404465274184</v>
      </c>
      <c r="W186" s="152">
        <v>230.19599295146728</v>
      </c>
      <c r="X186" s="152">
        <v>231.78122354639675</v>
      </c>
      <c r="Y186" s="152">
        <v>228.01754014459067</v>
      </c>
      <c r="DA186" s="174" t="s">
        <v>924</v>
      </c>
    </row>
    <row r="187" spans="1:105" ht="11.45" customHeight="1" x14ac:dyDescent="0.25">
      <c r="A187" s="111" t="s">
        <v>110</v>
      </c>
      <c r="B187" s="87">
        <v>232.20138602515448</v>
      </c>
      <c r="C187" s="87">
        <v>230.59048789303213</v>
      </c>
      <c r="D187" s="87">
        <v>229.87449244010034</v>
      </c>
      <c r="E187" s="87">
        <v>229.2166655554183</v>
      </c>
      <c r="F187" s="87">
        <v>228.44296199314917</v>
      </c>
      <c r="G187" s="87">
        <v>227.69005090081384</v>
      </c>
      <c r="H187" s="87">
        <v>227.17384341456119</v>
      </c>
      <c r="I187" s="87">
        <v>226.20766007969303</v>
      </c>
      <c r="J187" s="87">
        <v>224.48599436307529</v>
      </c>
      <c r="K187" s="87">
        <v>223.07824433955196</v>
      </c>
      <c r="L187" s="87">
        <v>222.01304017300933</v>
      </c>
      <c r="M187" s="87">
        <v>221.66214641095598</v>
      </c>
      <c r="N187" s="87">
        <v>220.84259958821102</v>
      </c>
      <c r="O187" s="87">
        <v>203.92089037386901</v>
      </c>
      <c r="P187" s="87">
        <v>195.97836810895663</v>
      </c>
      <c r="Q187" s="87">
        <v>190.74890863277139</v>
      </c>
      <c r="R187" s="87">
        <v>186.46385755072376</v>
      </c>
      <c r="S187" s="87">
        <v>182.70382606847457</v>
      </c>
      <c r="T187" s="87">
        <v>180.81604552053554</v>
      </c>
      <c r="U187" s="87">
        <v>178.98690127622493</v>
      </c>
      <c r="V187" s="87">
        <v>177.02612285119301</v>
      </c>
      <c r="W187" s="87">
        <v>175.69515688108316</v>
      </c>
      <c r="X187" s="87">
        <v>173.2632191515284</v>
      </c>
      <c r="Y187" s="87">
        <v>176.79582858158679</v>
      </c>
      <c r="DA187" s="171" t="s">
        <v>925</v>
      </c>
    </row>
    <row r="188" spans="1:105" ht="11.45" customHeight="1" x14ac:dyDescent="0.25">
      <c r="A188" s="111" t="s">
        <v>111</v>
      </c>
      <c r="B188" s="87">
        <v>289.4955556586192</v>
      </c>
      <c r="C188" s="87">
        <v>278.81451946800939</v>
      </c>
      <c r="D188" s="87">
        <v>274.06074016251171</v>
      </c>
      <c r="E188" s="87">
        <v>270.84631784534673</v>
      </c>
      <c r="F188" s="87">
        <v>268.39036389108327</v>
      </c>
      <c r="G188" s="87">
        <v>266.85585954047042</v>
      </c>
      <c r="H188" s="87">
        <v>264.40293364911082</v>
      </c>
      <c r="I188" s="87">
        <v>262.49820863508597</v>
      </c>
      <c r="J188" s="87">
        <v>259.87302266909251</v>
      </c>
      <c r="K188" s="87">
        <v>257.95295482314748</v>
      </c>
      <c r="L188" s="87">
        <v>254.66712964144978</v>
      </c>
      <c r="M188" s="87">
        <v>255.0171869269185</v>
      </c>
      <c r="N188" s="87">
        <v>253.88558232943376</v>
      </c>
      <c r="O188" s="87">
        <v>251.37313521644467</v>
      </c>
      <c r="P188" s="87">
        <v>247.90096633842361</v>
      </c>
      <c r="Q188" s="87">
        <v>243.86643350799457</v>
      </c>
      <c r="R188" s="87">
        <v>238.68386458348053</v>
      </c>
      <c r="S188" s="87">
        <v>234.2031352307184</v>
      </c>
      <c r="T188" s="87">
        <v>230.04461684322933</v>
      </c>
      <c r="U188" s="87">
        <v>225.46104353483156</v>
      </c>
      <c r="V188" s="87">
        <v>223.06020147750593</v>
      </c>
      <c r="W188" s="87">
        <v>220.14902667657952</v>
      </c>
      <c r="X188" s="87">
        <v>217.24078338930767</v>
      </c>
      <c r="Y188" s="87">
        <v>215.83557724947568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255.72319784333953</v>
      </c>
      <c r="D189" s="87">
        <v>255.72319784333959</v>
      </c>
      <c r="E189" s="87">
        <v>255.72319784333965</v>
      </c>
      <c r="F189" s="87">
        <v>255.72319784333962</v>
      </c>
      <c r="G189" s="87">
        <v>255.72319784333965</v>
      </c>
      <c r="H189" s="87">
        <v>255.72319784333965</v>
      </c>
      <c r="I189" s="87">
        <v>255.72319784333962</v>
      </c>
      <c r="J189" s="87">
        <v>255.7231978433397</v>
      </c>
      <c r="K189" s="87">
        <v>255.72319784333965</v>
      </c>
      <c r="L189" s="87">
        <v>255.72319784333959</v>
      </c>
      <c r="M189" s="87">
        <v>255.72319784333962</v>
      </c>
      <c r="N189" s="87">
        <v>255.14776998810467</v>
      </c>
      <c r="O189" s="87">
        <v>255.0659822079819</v>
      </c>
      <c r="P189" s="87">
        <v>254.95709273448125</v>
      </c>
      <c r="Q189" s="87">
        <v>248.02839542179558</v>
      </c>
      <c r="R189" s="87">
        <v>246.64746847186339</v>
      </c>
      <c r="S189" s="87">
        <v>244.66248803699199</v>
      </c>
      <c r="T189" s="87">
        <v>242.49213317409425</v>
      </c>
      <c r="U189" s="87">
        <v>238.80314833189371</v>
      </c>
      <c r="V189" s="87">
        <v>218.49939895498323</v>
      </c>
      <c r="W189" s="87">
        <v>205.33205675591708</v>
      </c>
      <c r="X189" s="87">
        <v>213.77810931717624</v>
      </c>
      <c r="Y189" s="87">
        <v>215.26199695555883</v>
      </c>
      <c r="DA189" s="171" t="s">
        <v>927</v>
      </c>
    </row>
    <row r="190" spans="1:105" ht="11.45" customHeight="1" x14ac:dyDescent="0.25">
      <c r="A190" s="111" t="s">
        <v>113</v>
      </c>
      <c r="B190" s="87">
        <v>238.4829600550398</v>
      </c>
      <c r="C190" s="87">
        <v>227.12662862384732</v>
      </c>
      <c r="D190" s="87">
        <v>227.12662862384735</v>
      </c>
      <c r="E190" s="87">
        <v>227.12662862384732</v>
      </c>
      <c r="F190" s="87">
        <v>227.12662862384744</v>
      </c>
      <c r="G190" s="87">
        <v>227.12662862384744</v>
      </c>
      <c r="H190" s="87">
        <v>227.12662862384738</v>
      </c>
      <c r="I190" s="87">
        <v>227.12662862384744</v>
      </c>
      <c r="J190" s="87">
        <v>227.12662862384744</v>
      </c>
      <c r="K190" s="87">
        <v>227.12662862384741</v>
      </c>
      <c r="L190" s="87">
        <v>227.12662862384744</v>
      </c>
      <c r="M190" s="87">
        <v>227.12662862384741</v>
      </c>
      <c r="N190" s="87">
        <v>148.16183035714238</v>
      </c>
      <c r="O190" s="87">
        <v>144.97355787733832</v>
      </c>
      <c r="P190" s="87">
        <v>142.04187105442116</v>
      </c>
      <c r="Q190" s="87">
        <v>169.75148765167043</v>
      </c>
      <c r="R190" s="87">
        <v>171.45620475611804</v>
      </c>
      <c r="S190" s="87">
        <v>168.3375110966638</v>
      </c>
      <c r="T190" s="87">
        <v>171.17217715139395</v>
      </c>
      <c r="U190" s="87">
        <v>169.90895655727397</v>
      </c>
      <c r="V190" s="87">
        <v>166.19606153801854</v>
      </c>
      <c r="W190" s="87">
        <v>166.30604743407838</v>
      </c>
      <c r="X190" s="87">
        <v>166.12992056517945</v>
      </c>
      <c r="Y190" s="87">
        <v>166.40903196034515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982.23729405211827</v>
      </c>
      <c r="C192" s="116">
        <v>979.06664577085053</v>
      </c>
      <c r="D192" s="116">
        <v>975.89220514963699</v>
      </c>
      <c r="E192" s="116">
        <v>971.99884406644242</v>
      </c>
      <c r="F192" s="116">
        <v>968.990371558726</v>
      </c>
      <c r="G192" s="116">
        <v>961.62321922545027</v>
      </c>
      <c r="H192" s="116">
        <v>950.64287029746038</v>
      </c>
      <c r="I192" s="116">
        <v>943.95627040392276</v>
      </c>
      <c r="J192" s="116">
        <v>939.38704393004014</v>
      </c>
      <c r="K192" s="116">
        <v>912.29689654018375</v>
      </c>
      <c r="L192" s="116">
        <v>887.49433750241167</v>
      </c>
      <c r="M192" s="116">
        <v>881.20087408083839</v>
      </c>
      <c r="N192" s="116">
        <v>876.10288817003448</v>
      </c>
      <c r="O192" s="116">
        <v>870.9582387598241</v>
      </c>
      <c r="P192" s="116">
        <v>867.01992767893569</v>
      </c>
      <c r="Q192" s="116">
        <v>863.70851648627286</v>
      </c>
      <c r="R192" s="116">
        <v>859.23857259403314</v>
      </c>
      <c r="S192" s="116">
        <v>845.77127800446362</v>
      </c>
      <c r="T192" s="116">
        <v>824.83382785820345</v>
      </c>
      <c r="U192" s="116">
        <v>804.83100899474573</v>
      </c>
      <c r="V192" s="116">
        <v>792.53663745217727</v>
      </c>
      <c r="W192" s="116">
        <v>772.37577691348167</v>
      </c>
      <c r="X192" s="116">
        <v>752.17440658024157</v>
      </c>
      <c r="Y192" s="116">
        <v>736.11141792487899</v>
      </c>
      <c r="DA192" s="176" t="s">
        <v>930</v>
      </c>
    </row>
    <row r="193" spans="1:105" ht="11.45" customHeight="1" x14ac:dyDescent="0.25">
      <c r="A193" s="128" t="s">
        <v>27</v>
      </c>
      <c r="B193" s="101">
        <v>910.88823551415487</v>
      </c>
      <c r="C193" s="101">
        <v>908.06864215319547</v>
      </c>
      <c r="D193" s="101">
        <v>905.30807074219172</v>
      </c>
      <c r="E193" s="101">
        <v>901.89223299493324</v>
      </c>
      <c r="F193" s="101">
        <v>898.72426835018462</v>
      </c>
      <c r="G193" s="101">
        <v>891.89823903936417</v>
      </c>
      <c r="H193" s="101">
        <v>881.80144244738051</v>
      </c>
      <c r="I193" s="101">
        <v>875.26656352766111</v>
      </c>
      <c r="J193" s="101">
        <v>870.14014839541733</v>
      </c>
      <c r="K193" s="101">
        <v>842.47108562511482</v>
      </c>
      <c r="L193" s="101">
        <v>822.40023420897614</v>
      </c>
      <c r="M193" s="101">
        <v>815.31306216862868</v>
      </c>
      <c r="N193" s="101">
        <v>809.54678570040335</v>
      </c>
      <c r="O193" s="101">
        <v>803.2962651230273</v>
      </c>
      <c r="P193" s="101">
        <v>800.46829010105546</v>
      </c>
      <c r="Q193" s="101">
        <v>798.31224399200971</v>
      </c>
      <c r="R193" s="101">
        <v>795.16560556148363</v>
      </c>
      <c r="S193" s="101">
        <v>783.12569189530427</v>
      </c>
      <c r="T193" s="101">
        <v>763.20806186093682</v>
      </c>
      <c r="U193" s="101">
        <v>744.2432783222207</v>
      </c>
      <c r="V193" s="101">
        <v>733.09732009964932</v>
      </c>
      <c r="W193" s="101">
        <v>714.02036517422823</v>
      </c>
      <c r="X193" s="101">
        <v>694.59846909975147</v>
      </c>
      <c r="Y193" s="101">
        <v>679.67486828034862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1055.377782888952</v>
      </c>
      <c r="D194" s="88">
        <v>1046.0855397247642</v>
      </c>
      <c r="E194" s="88">
        <v>1038.5918892266418</v>
      </c>
      <c r="F194" s="88">
        <v>1019.4946775326288</v>
      </c>
      <c r="G194" s="88">
        <v>1010.7441888288895</v>
      </c>
      <c r="H194" s="88">
        <v>997.9193900676911</v>
      </c>
      <c r="I194" s="88">
        <v>984.48108606673634</v>
      </c>
      <c r="J194" s="88">
        <v>970.19974144730566</v>
      </c>
      <c r="K194" s="88">
        <v>950.99142638171099</v>
      </c>
      <c r="L194" s="88">
        <v>946.50566157457968</v>
      </c>
      <c r="M194" s="88">
        <v>933.3570772558403</v>
      </c>
      <c r="N194" s="88">
        <v>925.57611590674844</v>
      </c>
      <c r="O194" s="88">
        <v>916.70703282267255</v>
      </c>
      <c r="P194" s="88">
        <v>906.04722088751782</v>
      </c>
      <c r="Q194" s="88">
        <v>890.90447785571678</v>
      </c>
      <c r="R194" s="88">
        <v>873.69587675593073</v>
      </c>
      <c r="S194" s="88">
        <v>855.12371788148721</v>
      </c>
      <c r="T194" s="88">
        <v>844.4475346096965</v>
      </c>
      <c r="U194" s="88">
        <v>829.71836497634888</v>
      </c>
      <c r="V194" s="88">
        <v>823.21424567886663</v>
      </c>
      <c r="W194" s="88">
        <v>800.96491084098284</v>
      </c>
      <c r="X194" s="88">
        <v>784.96210683927529</v>
      </c>
      <c r="Y194" s="88">
        <v>774.33406733870697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1.1275000000068987</v>
      </c>
      <c r="C198" s="150">
        <f>IF(TrRoad_act!C59=0,0,TrRoad_emi!C56/TrRoad_tech!C171)</f>
        <v>1.1276279352174927</v>
      </c>
      <c r="D198" s="150">
        <f>IF(TrRoad_act!D59=0,0,TrRoad_emi!D56/TrRoad_tech!D171)</f>
        <v>1.1282740473511248</v>
      </c>
      <c r="E198" s="150">
        <f>IF(TrRoad_act!E59=0,0,TrRoad_emi!E56/TrRoad_tech!E171)</f>
        <v>1.1294907092846351</v>
      </c>
      <c r="F198" s="150">
        <f>IF(TrRoad_act!F59=0,0,TrRoad_emi!F56/TrRoad_tech!F171)</f>
        <v>1.1324903326936908</v>
      </c>
      <c r="G198" s="150">
        <f>IF(TrRoad_act!G59=0,0,TrRoad_emi!G56/TrRoad_tech!G171)</f>
        <v>1.1334995093364253</v>
      </c>
      <c r="H198" s="150">
        <f>IF(TrRoad_act!H59=0,0,TrRoad_emi!H56/TrRoad_tech!H171)</f>
        <v>1.1310174416176133</v>
      </c>
      <c r="I198" s="150">
        <f>IF(TrRoad_act!I59=0,0,TrRoad_emi!I56/TrRoad_tech!I171)</f>
        <v>1.1245535940522424</v>
      </c>
      <c r="J198" s="150">
        <f>IF(TrRoad_act!J59=0,0,TrRoad_emi!J56/TrRoad_tech!J171)</f>
        <v>1.1153393298221275</v>
      </c>
      <c r="K198" s="150">
        <f>IF(TrRoad_act!K59=0,0,TrRoad_emi!K56/TrRoad_tech!K171)</f>
        <v>1.1191567105305344</v>
      </c>
      <c r="L198" s="150">
        <f>IF(TrRoad_act!L59=0,0,TrRoad_emi!L56/TrRoad_tech!L171)</f>
        <v>1.1093201054104094</v>
      </c>
      <c r="M198" s="150">
        <f>IF(TrRoad_act!M59=0,0,TrRoad_emi!M56/TrRoad_tech!M171)</f>
        <v>1.1101399130282008</v>
      </c>
      <c r="N198" s="150">
        <f>IF(TrRoad_act!N59=0,0,TrRoad_emi!N56/TrRoad_tech!N171)</f>
        <v>1.1174667009798629</v>
      </c>
      <c r="O198" s="150">
        <f>IF(TrRoad_act!O59=0,0,TrRoad_emi!O56/TrRoad_tech!O171)</f>
        <v>1.1376980535940944</v>
      </c>
      <c r="P198" s="150">
        <f>IF(TrRoad_act!P59=0,0,TrRoad_emi!P56/TrRoad_tech!P171)</f>
        <v>1.1200400519007694</v>
      </c>
      <c r="Q198" s="150">
        <f>IF(TrRoad_act!Q59=0,0,TrRoad_emi!Q56/TrRoad_tech!Q171)</f>
        <v>1.1450205857326339</v>
      </c>
      <c r="R198" s="150">
        <f>IF(TrRoad_act!R59=0,0,TrRoad_emi!R56/TrRoad_tech!R171)</f>
        <v>1.1546817243889196</v>
      </c>
      <c r="S198" s="150">
        <f>IF(TrRoad_act!S59=0,0,TrRoad_emi!S56/TrRoad_tech!S171)</f>
        <v>1.1605806620093451</v>
      </c>
      <c r="T198" s="150">
        <f>IF(TrRoad_act!T59=0,0,TrRoad_emi!T56/TrRoad_tech!T171)</f>
        <v>1.1667476271697954</v>
      </c>
      <c r="U198" s="150">
        <f>IF(TrRoad_act!U59=0,0,TrRoad_emi!U56/TrRoad_tech!U171)</f>
        <v>1.1843091462954867</v>
      </c>
      <c r="V198" s="150">
        <f>IF(TrRoad_act!V59=0,0,TrRoad_emi!V56/TrRoad_tech!V171)</f>
        <v>1.1579044230484867</v>
      </c>
      <c r="W198" s="150">
        <f>IF(TrRoad_act!W59=0,0,TrRoad_emi!W56/TrRoad_tech!W171)</f>
        <v>1.1689023265794205</v>
      </c>
      <c r="X198" s="150">
        <f>IF(TrRoad_act!X59=0,0,TrRoad_emi!X56/TrRoad_tech!X171)</f>
        <v>1.1799777743579438</v>
      </c>
      <c r="Y198" s="150">
        <f>IF(TrRoad_act!Y59=0,0,TrRoad_emi!Y56/TrRoad_tech!Y171)</f>
        <v>1.1916815793021374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0.92568265877202471</v>
      </c>
      <c r="C199" s="151">
        <f>IF(TrRoad_act!C60=0,0,TrRoad_emi!C57/TrRoad_tech!C172)</f>
        <v>0.92912223751294354</v>
      </c>
      <c r="D199" s="151">
        <f>IF(TrRoad_act!D60=0,0,TrRoad_emi!D57/TrRoad_tech!D172)</f>
        <v>0.93170971034788408</v>
      </c>
      <c r="E199" s="151">
        <f>IF(TrRoad_act!E60=0,0,TrRoad_emi!E57/TrRoad_tech!E172)</f>
        <v>0.95699424730093374</v>
      </c>
      <c r="F199" s="151">
        <f>IF(TrRoad_act!F60=0,0,TrRoad_emi!F57/TrRoad_tech!F172)</f>
        <v>0.9510295417744935</v>
      </c>
      <c r="G199" s="151">
        <f>IF(TrRoad_act!G60=0,0,TrRoad_emi!G57/TrRoad_tech!G172)</f>
        <v>0.90788711423031143</v>
      </c>
      <c r="H199" s="151">
        <f>IF(TrRoad_act!H60=0,0,TrRoad_emi!H57/TrRoad_tech!H172)</f>
        <v>0.9333326943597885</v>
      </c>
      <c r="I199" s="151">
        <f>IF(TrRoad_act!I60=0,0,TrRoad_emi!I57/TrRoad_tech!I172)</f>
        <v>0.93440057836361001</v>
      </c>
      <c r="J199" s="151">
        <f>IF(TrRoad_act!J60=0,0,TrRoad_emi!J57/TrRoad_tech!J172)</f>
        <v>0.9210123316530846</v>
      </c>
      <c r="K199" s="151">
        <f>IF(TrRoad_act!K60=0,0,TrRoad_emi!K57/TrRoad_tech!K172)</f>
        <v>0.86895638091693406</v>
      </c>
      <c r="L199" s="151">
        <f>IF(TrRoad_act!L60=0,0,TrRoad_emi!L57/TrRoad_tech!L172)</f>
        <v>0.87190542521376035</v>
      </c>
      <c r="M199" s="151">
        <f>IF(TrRoad_act!M60=0,0,TrRoad_emi!M57/TrRoad_tech!M172)</f>
        <v>0.92669860465995124</v>
      </c>
      <c r="N199" s="151">
        <f>IF(TrRoad_act!N60=0,0,TrRoad_emi!N57/TrRoad_tech!N172)</f>
        <v>0.91791694128677681</v>
      </c>
      <c r="O199" s="151">
        <f>IF(TrRoad_act!O60=0,0,TrRoad_emi!O57/TrRoad_tech!O172)</f>
        <v>0.9080109234087016</v>
      </c>
      <c r="P199" s="151">
        <f>IF(TrRoad_act!P60=0,0,TrRoad_emi!P57/TrRoad_tech!P172)</f>
        <v>0.91557527676501893</v>
      </c>
      <c r="Q199" s="151">
        <f>IF(TrRoad_act!Q60=0,0,TrRoad_emi!Q57/TrRoad_tech!Q172)</f>
        <v>0.9307352240926291</v>
      </c>
      <c r="R199" s="151">
        <f>IF(TrRoad_act!R60=0,0,TrRoad_emi!R57/TrRoad_tech!R172)</f>
        <v>0.94687322404742491</v>
      </c>
      <c r="S199" s="151">
        <f>IF(TrRoad_act!S60=0,0,TrRoad_emi!S57/TrRoad_tech!S172)</f>
        <v>0.96239907728009866</v>
      </c>
      <c r="T199" s="151">
        <f>IF(TrRoad_act!T60=0,0,TrRoad_emi!T57/TrRoad_tech!T172)</f>
        <v>0.96299939239750232</v>
      </c>
      <c r="U199" s="151">
        <f>IF(TrRoad_act!U60=0,0,TrRoad_emi!U57/TrRoad_tech!U172)</f>
        <v>0.97443045215803059</v>
      </c>
      <c r="V199" s="151">
        <f>IF(TrRoad_act!V60=0,0,TrRoad_emi!V57/TrRoad_tech!V172)</f>
        <v>0.93973848724809605</v>
      </c>
      <c r="W199" s="151">
        <f>IF(TrRoad_act!W60=0,0,TrRoad_emi!W57/TrRoad_tech!W172)</f>
        <v>0.98134354595198026</v>
      </c>
      <c r="X199" s="151">
        <f>IF(TrRoad_act!X60=0,0,TrRoad_emi!X57/TrRoad_tech!X172)</f>
        <v>0.98480817130785514</v>
      </c>
      <c r="Y199" s="151">
        <f>IF(TrRoad_act!Y60=0,0,TrRoad_emi!Y57/TrRoad_tech!Y172)</f>
        <v>0.98532733105458525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0.91023634248135843</v>
      </c>
      <c r="C200" s="91">
        <f>IF(TrRoad_act!C61=0,0,TrRoad_emi!C58/TrRoad_tech!C173)</f>
        <v>0.91638281620095585</v>
      </c>
      <c r="D200" s="91">
        <f>IF(TrRoad_act!D61=0,0,TrRoad_emi!D58/TrRoad_tech!D173)</f>
        <v>0.92226060683046651</v>
      </c>
      <c r="E200" s="91">
        <f>IF(TrRoad_act!E61=0,0,TrRoad_emi!E58/TrRoad_tech!E173)</f>
        <v>0.9250856999013819</v>
      </c>
      <c r="F200" s="91">
        <f>IF(TrRoad_act!F61=0,0,TrRoad_emi!F58/TrRoad_tech!F173)</f>
        <v>0.94064920053258372</v>
      </c>
      <c r="G200" s="91">
        <f>IF(TrRoad_act!G61=0,0,TrRoad_emi!G58/TrRoad_tech!G173)</f>
        <v>0.87018271305437744</v>
      </c>
      <c r="H200" s="91">
        <f>IF(TrRoad_act!H61=0,0,TrRoad_emi!H58/TrRoad_tech!H173)</f>
        <v>0.93478802081040213</v>
      </c>
      <c r="I200" s="91">
        <f>IF(TrRoad_act!I61=0,0,TrRoad_emi!I58/TrRoad_tech!I173)</f>
        <v>0.92885093489688531</v>
      </c>
      <c r="J200" s="91">
        <f>IF(TrRoad_act!J61=0,0,TrRoad_emi!J58/TrRoad_tech!J173)</f>
        <v>0.91784451324731653</v>
      </c>
      <c r="K200" s="91">
        <f>IF(TrRoad_act!K61=0,0,TrRoad_emi!K58/TrRoad_tech!K173)</f>
        <v>0.85482990931452196</v>
      </c>
      <c r="L200" s="91">
        <f>IF(TrRoad_act!L61=0,0,TrRoad_emi!L58/TrRoad_tech!L173)</f>
        <v>0.85399068336765505</v>
      </c>
      <c r="M200" s="91">
        <f>IF(TrRoad_act!M61=0,0,TrRoad_emi!M58/TrRoad_tech!M173)</f>
        <v>0.92342257547382622</v>
      </c>
      <c r="N200" s="91">
        <f>IF(TrRoad_act!N61=0,0,TrRoad_emi!N58/TrRoad_tech!N173)</f>
        <v>0.9288775239763094</v>
      </c>
      <c r="O200" s="91">
        <f>IF(TrRoad_act!O61=0,0,TrRoad_emi!O58/TrRoad_tech!O173)</f>
        <v>0.9398282655564445</v>
      </c>
      <c r="P200" s="91">
        <f>IF(TrRoad_act!P61=0,0,TrRoad_emi!P58/TrRoad_tech!P173)</f>
        <v>0.93081701596776079</v>
      </c>
      <c r="Q200" s="91">
        <f>IF(TrRoad_act!Q61=0,0,TrRoad_emi!Q58/TrRoad_tech!Q173)</f>
        <v>0.94876870414627668</v>
      </c>
      <c r="R200" s="91">
        <f>IF(TrRoad_act!R61=0,0,TrRoad_emi!R58/TrRoad_tech!R173)</f>
        <v>0.98888390047779628</v>
      </c>
      <c r="S200" s="91">
        <f>IF(TrRoad_act!S61=0,0,TrRoad_emi!S58/TrRoad_tech!S173)</f>
        <v>1.0083204139207631</v>
      </c>
      <c r="T200" s="91">
        <f>IF(TrRoad_act!T61=0,0,TrRoad_emi!T58/TrRoad_tech!T173)</f>
        <v>1.0093372288124016</v>
      </c>
      <c r="U200" s="91">
        <f>IF(TrRoad_act!U61=0,0,TrRoad_emi!U58/TrRoad_tech!U173)</f>
        <v>1.0195108489734759</v>
      </c>
      <c r="V200" s="91">
        <f>IF(TrRoad_act!V61=0,0,TrRoad_emi!V58/TrRoad_tech!V173)</f>
        <v>0.95299783154946893</v>
      </c>
      <c r="W200" s="91">
        <f>IF(TrRoad_act!W61=0,0,TrRoad_emi!W58/TrRoad_tech!W173)</f>
        <v>1.0082644740201168</v>
      </c>
      <c r="X200" s="91">
        <f>IF(TrRoad_act!X61=0,0,TrRoad_emi!X58/TrRoad_tech!X173)</f>
        <v>0.99883493001594248</v>
      </c>
      <c r="Y200" s="91">
        <f>IF(TrRoad_act!Y61=0,0,TrRoad_emi!Y58/TrRoad_tech!Y173)</f>
        <v>1.0017042964319258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1.0334752154557554</v>
      </c>
      <c r="C201" s="91">
        <f>IF(TrRoad_act!C62=0,0,TrRoad_emi!C59/TrRoad_tech!C174)</f>
        <v>1.0387741307367537</v>
      </c>
      <c r="D201" s="91">
        <f>IF(TrRoad_act!D62=0,0,TrRoad_emi!D59/TrRoad_tech!D174)</f>
        <v>1.0469993877515522</v>
      </c>
      <c r="E201" s="91">
        <f>IF(TrRoad_act!E62=0,0,TrRoad_emi!E59/TrRoad_tech!E174)</f>
        <v>1.0564441932784991</v>
      </c>
      <c r="F201" s="91">
        <f>IF(TrRoad_act!F62=0,0,TrRoad_emi!F59/TrRoad_tech!F174)</f>
        <v>1.0521243535336311</v>
      </c>
      <c r="G201" s="91">
        <f>IF(TrRoad_act!G62=0,0,TrRoad_emi!G59/TrRoad_tech!G174)</f>
        <v>1.1277656742372202</v>
      </c>
      <c r="H201" s="91">
        <f>IF(TrRoad_act!H62=0,0,TrRoad_emi!H59/TrRoad_tech!H174)</f>
        <v>1.0692645953513151</v>
      </c>
      <c r="I201" s="91">
        <f>IF(TrRoad_act!I62=0,0,TrRoad_emi!I59/TrRoad_tech!I174)</f>
        <v>1.0690786013924598</v>
      </c>
      <c r="J201" s="91">
        <f>IF(TrRoad_act!J62=0,0,TrRoad_emi!J59/TrRoad_tech!J174)</f>
        <v>1.0269655314380197</v>
      </c>
      <c r="K201" s="91">
        <f>IF(TrRoad_act!K62=0,0,TrRoad_emi!K59/TrRoad_tech!K174)</f>
        <v>1.0123084859531168</v>
      </c>
      <c r="L201" s="91">
        <f>IF(TrRoad_act!L62=0,0,TrRoad_emi!L59/TrRoad_tech!L174)</f>
        <v>1.0015181427034321</v>
      </c>
      <c r="M201" s="91">
        <f>IF(TrRoad_act!M62=0,0,TrRoad_emi!M59/TrRoad_tech!M174)</f>
        <v>0.9690375688943107</v>
      </c>
      <c r="N201" s="91">
        <f>IF(TrRoad_act!N62=0,0,TrRoad_emi!N59/TrRoad_tech!N174)</f>
        <v>0.97944845676956738</v>
      </c>
      <c r="O201" s="91">
        <f>IF(TrRoad_act!O62=0,0,TrRoad_emi!O59/TrRoad_tech!O174)</f>
        <v>0.9331427833468553</v>
      </c>
      <c r="P201" s="91">
        <f>IF(TrRoad_act!P62=0,0,TrRoad_emi!P59/TrRoad_tech!P174)</f>
        <v>0.98285890898629202</v>
      </c>
      <c r="Q201" s="91">
        <f>IF(TrRoad_act!Q62=0,0,TrRoad_emi!Q59/TrRoad_tech!Q174)</f>
        <v>1.0059775874419206</v>
      </c>
      <c r="R201" s="91">
        <f>IF(TrRoad_act!R62=0,0,TrRoad_emi!R59/TrRoad_tech!R174)</f>
        <v>1.0041393679113737</v>
      </c>
      <c r="S201" s="91">
        <f>IF(TrRoad_act!S62=0,0,TrRoad_emi!S59/TrRoad_tech!S174)</f>
        <v>1.0174684539276933</v>
      </c>
      <c r="T201" s="91">
        <f>IF(TrRoad_act!T62=0,0,TrRoad_emi!T59/TrRoad_tech!T174)</f>
        <v>1.017515452824149</v>
      </c>
      <c r="U201" s="91">
        <f>IF(TrRoad_act!U62=0,0,TrRoad_emi!U59/TrRoad_tech!U174)</f>
        <v>1.0228145045168635</v>
      </c>
      <c r="V201" s="91">
        <f>IF(TrRoad_act!V62=0,0,TrRoad_emi!V59/TrRoad_tech!V174)</f>
        <v>0.9905483868135978</v>
      </c>
      <c r="W201" s="91">
        <f>IF(TrRoad_act!W62=0,0,TrRoad_emi!W59/TrRoad_tech!W174)</f>
        <v>1.0135894984802238</v>
      </c>
      <c r="X201" s="91">
        <f>IF(TrRoad_act!X62=0,0,TrRoad_emi!X59/TrRoad_tech!X174)</f>
        <v>1.016976295121877</v>
      </c>
      <c r="Y201" s="91">
        <f>IF(TrRoad_act!Y62=0,0,TrRoad_emi!Y59/TrRoad_tech!Y174)</f>
        <v>1.0115769733531168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1.1782777597733494</v>
      </c>
      <c r="D202" s="91">
        <f>IF(TrRoad_act!D63=0,0,TrRoad_emi!D60/TrRoad_tech!D175)</f>
        <v>1.1740025714412927</v>
      </c>
      <c r="E202" s="91">
        <f>IF(TrRoad_act!E63=0,0,TrRoad_emi!E60/TrRoad_tech!E175)</f>
        <v>1.3850760982335468</v>
      </c>
      <c r="F202" s="91">
        <f>IF(TrRoad_act!F63=0,0,TrRoad_emi!F60/TrRoad_tech!F175)</f>
        <v>1.3183856159734861</v>
      </c>
      <c r="G202" s="91">
        <f>IF(TrRoad_act!G63=0,0,TrRoad_emi!G60/TrRoad_tech!G175)</f>
        <v>1.0408445802421922</v>
      </c>
      <c r="H202" s="91">
        <f>IF(TrRoad_act!H63=0,0,TrRoad_emi!H60/TrRoad_tech!H175)</f>
        <v>1.140807709234164</v>
      </c>
      <c r="I202" s="91">
        <f>IF(TrRoad_act!I63=0,0,TrRoad_emi!I60/TrRoad_tech!I175)</f>
        <v>1.0253943958534657</v>
      </c>
      <c r="J202" s="91">
        <f>IF(TrRoad_act!J63=0,0,TrRoad_emi!J60/TrRoad_tech!J175)</f>
        <v>1.0028464743988035</v>
      </c>
      <c r="K202" s="91">
        <f>IF(TrRoad_act!K63=0,0,TrRoad_emi!K60/TrRoad_tech!K175)</f>
        <v>0.98924552760698647</v>
      </c>
      <c r="L202" s="91">
        <f>IF(TrRoad_act!L63=0,0,TrRoad_emi!L60/TrRoad_tech!L175)</f>
        <v>1.1765883952627332</v>
      </c>
      <c r="M202" s="91">
        <f>IF(TrRoad_act!M63=0,0,TrRoad_emi!M60/TrRoad_tech!M175)</f>
        <v>1.2830371110098855</v>
      </c>
      <c r="N202" s="91">
        <f>IF(TrRoad_act!N63=0,0,TrRoad_emi!N60/TrRoad_tech!N175)</f>
        <v>0.90539960683828202</v>
      </c>
      <c r="O202" s="91">
        <f>IF(TrRoad_act!O63=0,0,TrRoad_emi!O60/TrRoad_tech!O175)</f>
        <v>1.1528458263338495</v>
      </c>
      <c r="P202" s="91">
        <f>IF(TrRoad_act!P63=0,0,TrRoad_emi!P60/TrRoad_tech!P175)</f>
        <v>0.96259360855749132</v>
      </c>
      <c r="Q202" s="91">
        <f>IF(TrRoad_act!Q63=0,0,TrRoad_emi!Q60/TrRoad_tech!Q175)</f>
        <v>0.88777204636879647</v>
      </c>
      <c r="R202" s="91">
        <f>IF(TrRoad_act!R63=0,0,TrRoad_emi!R60/TrRoad_tech!R175)</f>
        <v>0.78271088895119156</v>
      </c>
      <c r="S202" s="91">
        <f>IF(TrRoad_act!S63=0,0,TrRoad_emi!S60/TrRoad_tech!S175)</f>
        <v>0.76553973142695031</v>
      </c>
      <c r="T202" s="91">
        <f>IF(TrRoad_act!T63=0,0,TrRoad_emi!T60/TrRoad_tech!T175)</f>
        <v>0.70065299376423062</v>
      </c>
      <c r="U202" s="91">
        <f>IF(TrRoad_act!U63=0,0,TrRoad_emi!U60/TrRoad_tech!U175)</f>
        <v>0.64006230375773454</v>
      </c>
      <c r="V202" s="91">
        <f>IF(TrRoad_act!V63=0,0,TrRoad_emi!V60/TrRoad_tech!V175)</f>
        <v>0.63164744148086294</v>
      </c>
      <c r="W202" s="91">
        <f>IF(TrRoad_act!W63=0,0,TrRoad_emi!W60/TrRoad_tech!W175)</f>
        <v>0.86964481552688155</v>
      </c>
      <c r="X202" s="91">
        <f>IF(TrRoad_act!X63=0,0,TrRoad_emi!X60/TrRoad_tech!X175)</f>
        <v>0.84960578132170983</v>
      </c>
      <c r="Y202" s="91">
        <f>IF(TrRoad_act!Y63=0,0,TrRoad_emi!Y60/TrRoad_tech!Y175)</f>
        <v>0.96407846628023097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1.0603703703752698</v>
      </c>
      <c r="N203" s="91">
        <f>IF(TrRoad_act!N64=0,0,TrRoad_emi!N61/TrRoad_tech!N176)</f>
        <v>1.0655555555606799</v>
      </c>
      <c r="O203" s="91">
        <f>IF(TrRoad_act!O64=0,0,TrRoad_emi!O61/TrRoad_tech!O176)</f>
        <v>1.0710771241657628</v>
      </c>
      <c r="P203" s="91">
        <f>IF(TrRoad_act!P64=0,0,TrRoad_emi!P61/TrRoad_tech!P176)</f>
        <v>1.073422906079273</v>
      </c>
      <c r="Q203" s="91">
        <f>IF(TrRoad_act!Q64=0,0,TrRoad_emi!Q61/TrRoad_tech!Q176)</f>
        <v>1.0787201929288925</v>
      </c>
      <c r="R203" s="91">
        <f>IF(TrRoad_act!R64=0,0,TrRoad_emi!R61/TrRoad_tech!R176)</f>
        <v>1.0796487650835984</v>
      </c>
      <c r="S203" s="91">
        <f>IF(TrRoad_act!S64=0,0,TrRoad_emi!S61/TrRoad_tech!S176)</f>
        <v>1.0804066305724742</v>
      </c>
      <c r="T203" s="91">
        <f>IF(TrRoad_act!T64=0,0,TrRoad_emi!T61/TrRoad_tech!T176)</f>
        <v>1.0813374713408144</v>
      </c>
      <c r="U203" s="91">
        <f>IF(TrRoad_act!U64=0,0,TrRoad_emi!U61/TrRoad_tech!U176)</f>
        <v>1.0814590742412453</v>
      </c>
      <c r="V203" s="91">
        <f>IF(TrRoad_act!V64=0,0,TrRoad_emi!V61/TrRoad_tech!V176)</f>
        <v>1.0815902190549347</v>
      </c>
      <c r="W203" s="91">
        <f>IF(TrRoad_act!W64=0,0,TrRoad_emi!W61/TrRoad_tech!W176)</f>
        <v>1.0817493280064128</v>
      </c>
      <c r="X203" s="91">
        <f>IF(TrRoad_act!X64=0,0,TrRoad_emi!X61/TrRoad_tech!X176)</f>
        <v>1.0817725451022928</v>
      </c>
      <c r="Y203" s="91">
        <f>IF(TrRoad_act!Y64=0,0,TrRoad_emi!Y61/TrRoad_tech!Y176)</f>
        <v>1.0811144097908152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0.95856161796432482</v>
      </c>
      <c r="O204" s="91">
        <f>IF(TrRoad_act!O65=0,0,TrRoad_emi!O62/TrRoad_tech!O177)</f>
        <v>0.96906672727319254</v>
      </c>
      <c r="P204" s="91">
        <f>IF(TrRoad_act!P65=0,0,TrRoad_emi!P62/TrRoad_tech!P177)</f>
        <v>0.96445672634774493</v>
      </c>
      <c r="Q204" s="91">
        <f>IF(TrRoad_act!Q65=0,0,TrRoad_emi!Q62/TrRoad_tech!Q177)</f>
        <v>0.98894831359724633</v>
      </c>
      <c r="R204" s="91">
        <f>IF(TrRoad_act!R65=0,0,TrRoad_emi!R62/TrRoad_tech!R177)</f>
        <v>1.0355633900227692</v>
      </c>
      <c r="S204" s="91">
        <f>IF(TrRoad_act!S65=0,0,TrRoad_emi!S62/TrRoad_tech!S177)</f>
        <v>1.0552843029757484</v>
      </c>
      <c r="T204" s="91">
        <f>IF(TrRoad_act!T65=0,0,TrRoad_emi!T62/TrRoad_tech!T177)</f>
        <v>1.0545274980267101</v>
      </c>
      <c r="U204" s="91">
        <f>IF(TrRoad_act!U65=0,0,TrRoad_emi!U62/TrRoad_tech!U177)</f>
        <v>1.0625064734092837</v>
      </c>
      <c r="V204" s="91">
        <f>IF(TrRoad_act!V65=0,0,TrRoad_emi!V62/TrRoad_tech!V177)</f>
        <v>0.99117335721146316</v>
      </c>
      <c r="W204" s="91">
        <f>IF(TrRoad_act!W65=0,0,TrRoad_emi!W62/TrRoad_tech!W177)</f>
        <v>1.046106126874462</v>
      </c>
      <c r="X204" s="91">
        <f>IF(TrRoad_act!X65=0,0,TrRoad_emi!X62/TrRoad_tech!X177)</f>
        <v>1.0337615087092256</v>
      </c>
      <c r="Y204" s="91">
        <f>IF(TrRoad_act!Y65=0,0,TrRoad_emi!Y62/TrRoad_tech!Y177)</f>
        <v>1.0346283835784207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1.1549861333369529</v>
      </c>
      <c r="C206" s="151">
        <f>IF(TrRoad_act!C67=0,0,TrRoad_emi!C64/TrRoad_tech!C179)</f>
        <v>1.1659938939599772</v>
      </c>
      <c r="D206" s="151">
        <f>IF(TrRoad_act!D67=0,0,TrRoad_emi!D64/TrRoad_tech!D179)</f>
        <v>1.2053496654174365</v>
      </c>
      <c r="E206" s="151">
        <f>IF(TrRoad_act!E67=0,0,TrRoad_emi!E64/TrRoad_tech!E179)</f>
        <v>1.2203561781720649</v>
      </c>
      <c r="F206" s="151">
        <f>IF(TrRoad_act!F67=0,0,TrRoad_emi!F64/TrRoad_tech!F179)</f>
        <v>1.2204764621526287</v>
      </c>
      <c r="G206" s="151">
        <f>IF(TrRoad_act!G67=0,0,TrRoad_emi!G64/TrRoad_tech!G179)</f>
        <v>1.2801080166775189</v>
      </c>
      <c r="H206" s="151">
        <f>IF(TrRoad_act!H67=0,0,TrRoad_emi!H64/TrRoad_tech!H179)</f>
        <v>1.2792955720812933</v>
      </c>
      <c r="I206" s="151">
        <f>IF(TrRoad_act!I67=0,0,TrRoad_emi!I64/TrRoad_tech!I179)</f>
        <v>1.2375507799413734</v>
      </c>
      <c r="J206" s="151">
        <f>IF(TrRoad_act!J67=0,0,TrRoad_emi!J64/TrRoad_tech!J179)</f>
        <v>1.213238193688108</v>
      </c>
      <c r="K206" s="151">
        <f>IF(TrRoad_act!K67=0,0,TrRoad_emi!K64/TrRoad_tech!K179)</f>
        <v>1.1972548790611897</v>
      </c>
      <c r="L206" s="151">
        <f>IF(TrRoad_act!L67=0,0,TrRoad_emi!L64/TrRoad_tech!L179)</f>
        <v>1.2071868801625076</v>
      </c>
      <c r="M206" s="151">
        <f>IF(TrRoad_act!M67=0,0,TrRoad_emi!M64/TrRoad_tech!M179)</f>
        <v>1.1467168069853191</v>
      </c>
      <c r="N206" s="151">
        <f>IF(TrRoad_act!N67=0,0,TrRoad_emi!N64/TrRoad_tech!N179)</f>
        <v>1.1278688437836506</v>
      </c>
      <c r="O206" s="151">
        <f>IF(TrRoad_act!O67=0,0,TrRoad_emi!O64/TrRoad_tech!O179)</f>
        <v>1.0627480460378513</v>
      </c>
      <c r="P206" s="151">
        <f>IF(TrRoad_act!P67=0,0,TrRoad_emi!P64/TrRoad_tech!P179)</f>
        <v>1.1759273025415757</v>
      </c>
      <c r="Q206" s="151">
        <f>IF(TrRoad_act!Q67=0,0,TrRoad_emi!Q64/TrRoad_tech!Q179)</f>
        <v>1.2513347157632539</v>
      </c>
      <c r="R206" s="151">
        <f>IF(TrRoad_act!R67=0,0,TrRoad_emi!R64/TrRoad_tech!R179)</f>
        <v>1.2221553695662659</v>
      </c>
      <c r="S206" s="151">
        <f>IF(TrRoad_act!S67=0,0,TrRoad_emi!S64/TrRoad_tech!S179)</f>
        <v>1.2303882472774221</v>
      </c>
      <c r="T206" s="151">
        <f>IF(TrRoad_act!T67=0,0,TrRoad_emi!T64/TrRoad_tech!T179)</f>
        <v>1.2300154339697162</v>
      </c>
      <c r="U206" s="151">
        <f>IF(TrRoad_act!U67=0,0,TrRoad_emi!U64/TrRoad_tech!U179)</f>
        <v>1.244140153167465</v>
      </c>
      <c r="V206" s="151">
        <f>IF(TrRoad_act!V67=0,0,TrRoad_emi!V64/TrRoad_tech!V179)</f>
        <v>1.1811582082275651</v>
      </c>
      <c r="W206" s="151">
        <f>IF(TrRoad_act!W67=0,0,TrRoad_emi!W64/TrRoad_tech!W179)</f>
        <v>1.2450017118233254</v>
      </c>
      <c r="X206" s="151">
        <f>IF(TrRoad_act!X67=0,0,TrRoad_emi!X64/TrRoad_tech!X179)</f>
        <v>1.35683435764131</v>
      </c>
      <c r="Y206" s="151">
        <f>IF(TrRoad_act!Y67=0,0,TrRoad_emi!Y64/TrRoad_tech!Y179)</f>
        <v>1.2111269771481206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1.1000449786729314</v>
      </c>
      <c r="G207" s="93">
        <f>IF(TrRoad_act!G68=0,0,TrRoad_emi!G65/TrRoad_tech!G180)</f>
        <v>1.0982941711939853</v>
      </c>
      <c r="H207" s="93">
        <f>IF(TrRoad_act!H68=0,0,TrRoad_emi!H65/TrRoad_tech!H180)</f>
        <v>1.0926587947481312</v>
      </c>
      <c r="I207" s="93">
        <f>IF(TrRoad_act!I68=0,0,TrRoad_emi!I65/TrRoad_tech!I180)</f>
        <v>1.0822645775846651</v>
      </c>
      <c r="J207" s="93">
        <f>IF(TrRoad_act!J68=0,0,TrRoad_emi!J65/TrRoad_tech!J180)</f>
        <v>1.0696588945355472</v>
      </c>
      <c r="K207" s="93">
        <f>IF(TrRoad_act!K68=0,0,TrRoad_emi!K65/TrRoad_tech!K180)</f>
        <v>1.0699445178659261</v>
      </c>
      <c r="L207" s="93">
        <f>IF(TrRoad_act!L68=0,0,TrRoad_emi!L65/TrRoad_tech!L180)</f>
        <v>1.0583259209060754</v>
      </c>
      <c r="M207" s="93">
        <f>IF(TrRoad_act!M68=0,0,TrRoad_emi!M65/TrRoad_tech!M180)</f>
        <v>1.0595362744833938</v>
      </c>
      <c r="N207" s="93">
        <f>IF(TrRoad_act!N68=0,0,TrRoad_emi!N65/TrRoad_tech!N180)</f>
        <v>1.0660802087521293</v>
      </c>
      <c r="O207" s="93">
        <f>IF(TrRoad_act!O68=0,0,TrRoad_emi!O65/TrRoad_tech!O180)</f>
        <v>1.081414245167567</v>
      </c>
      <c r="P207" s="93">
        <f>IF(TrRoad_act!P68=0,0,TrRoad_emi!P65/TrRoad_tech!P180)</f>
        <v>1.0604000132428943</v>
      </c>
      <c r="Q207" s="93">
        <f>IF(TrRoad_act!Q68=0,0,TrRoad_emi!Q65/TrRoad_tech!Q180)</f>
        <v>1.079533835576187</v>
      </c>
      <c r="R207" s="93">
        <f>IF(TrRoad_act!R68=0,0,TrRoad_emi!R65/TrRoad_tech!R180)</f>
        <v>1.0857426193644804</v>
      </c>
      <c r="S207" s="93">
        <f>IF(TrRoad_act!S68=0,0,TrRoad_emi!S65/TrRoad_tech!S180)</f>
        <v>1.0898132466582615</v>
      </c>
      <c r="T207" s="93">
        <f>IF(TrRoad_act!T68=0,0,TrRoad_emi!T65/TrRoad_tech!T180)</f>
        <v>1.0899840948033148</v>
      </c>
      <c r="U207" s="93">
        <f>IF(TrRoad_act!U68=0,0,TrRoad_emi!U65/TrRoad_tech!U180)</f>
        <v>1.0966471170035166</v>
      </c>
      <c r="V207" s="93">
        <f>IF(TrRoad_act!V68=0,0,TrRoad_emi!V65/TrRoad_tech!V180)</f>
        <v>1.0777904992375584</v>
      </c>
      <c r="W207" s="93">
        <f>IF(TrRoad_act!W68=0,0,TrRoad_emi!W65/TrRoad_tech!W180)</f>
        <v>1.0800249926021184</v>
      </c>
      <c r="X207" s="93">
        <f>IF(TrRoad_act!X68=0,0,TrRoad_emi!X65/TrRoad_tech!X180)</f>
        <v>1.092204709960233</v>
      </c>
      <c r="Y207" s="93">
        <f>IF(TrRoad_act!Y68=0,0,TrRoad_emi!Y65/TrRoad_tech!Y180)</f>
        <v>1.1079468001874162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1.1068808448824055</v>
      </c>
      <c r="C208" s="93">
        <f>IF(TrRoad_act!C69=0,0,TrRoad_emi!C66/TrRoad_tech!C181)</f>
        <v>1.1327792181690723</v>
      </c>
      <c r="D208" s="93">
        <f>IF(TrRoad_act!D69=0,0,TrRoad_emi!D66/TrRoad_tech!D181)</f>
        <v>1.1850826540414916</v>
      </c>
      <c r="E208" s="93">
        <f>IF(TrRoad_act!E69=0,0,TrRoad_emi!E66/TrRoad_tech!E181)</f>
        <v>1.2077977775082984</v>
      </c>
      <c r="F208" s="93">
        <f>IF(TrRoad_act!F69=0,0,TrRoad_emi!F66/TrRoad_tech!F181)</f>
        <v>1.2158317868258404</v>
      </c>
      <c r="G208" s="93">
        <f>IF(TrRoad_act!G69=0,0,TrRoad_emi!G66/TrRoad_tech!G181)</f>
        <v>1.275563252497292</v>
      </c>
      <c r="H208" s="93">
        <f>IF(TrRoad_act!H69=0,0,TrRoad_emi!H66/TrRoad_tech!H181)</f>
        <v>1.2811215515487633</v>
      </c>
      <c r="I208" s="93">
        <f>IF(TrRoad_act!I69=0,0,TrRoad_emi!I66/TrRoad_tech!I181)</f>
        <v>1.2414786566822449</v>
      </c>
      <c r="J208" s="93">
        <f>IF(TrRoad_act!J69=0,0,TrRoad_emi!J66/TrRoad_tech!J181)</f>
        <v>1.212279733371898</v>
      </c>
      <c r="K208" s="93">
        <f>IF(TrRoad_act!K69=0,0,TrRoad_emi!K66/TrRoad_tech!K181)</f>
        <v>1.196716019417889</v>
      </c>
      <c r="L208" s="93">
        <f>IF(TrRoad_act!L69=0,0,TrRoad_emi!L66/TrRoad_tech!L181)</f>
        <v>1.2082567463980236</v>
      </c>
      <c r="M208" s="93">
        <f>IF(TrRoad_act!M69=0,0,TrRoad_emi!M66/TrRoad_tech!M181)</f>
        <v>1.1482427125886339</v>
      </c>
      <c r="N208" s="93">
        <f>IF(TrRoad_act!N69=0,0,TrRoad_emi!N66/TrRoad_tech!N181)</f>
        <v>1.1277445231852241</v>
      </c>
      <c r="O208" s="93">
        <f>IF(TrRoad_act!O69=0,0,TrRoad_emi!O66/TrRoad_tech!O181)</f>
        <v>1.0611498981784417</v>
      </c>
      <c r="P208" s="93">
        <f>IF(TrRoad_act!P69=0,0,TrRoad_emi!P66/TrRoad_tech!P181)</f>
        <v>1.1700436245334331</v>
      </c>
      <c r="Q208" s="93">
        <f>IF(TrRoad_act!Q69=0,0,TrRoad_emi!Q66/TrRoad_tech!Q181)</f>
        <v>1.2394506343691072</v>
      </c>
      <c r="R208" s="93">
        <f>IF(TrRoad_act!R69=0,0,TrRoad_emi!R66/TrRoad_tech!R181)</f>
        <v>1.2057580868713857</v>
      </c>
      <c r="S208" s="93">
        <f>IF(TrRoad_act!S69=0,0,TrRoad_emi!S66/TrRoad_tech!S181)</f>
        <v>1.2408541631077294</v>
      </c>
      <c r="T208" s="93">
        <f>IF(TrRoad_act!T69=0,0,TrRoad_emi!T66/TrRoad_tech!T181)</f>
        <v>1.2567765482176396</v>
      </c>
      <c r="U208" s="93">
        <f>IF(TrRoad_act!U69=0,0,TrRoad_emi!U66/TrRoad_tech!U181)</f>
        <v>1.2561752918042393</v>
      </c>
      <c r="V208" s="93">
        <f>IF(TrRoad_act!V69=0,0,TrRoad_emi!V66/TrRoad_tech!V181)</f>
        <v>1.1706365759719899</v>
      </c>
      <c r="W208" s="93">
        <f>IF(TrRoad_act!W69=0,0,TrRoad_emi!W66/TrRoad_tech!W181)</f>
        <v>1.2310788060830737</v>
      </c>
      <c r="X208" s="93">
        <f>IF(TrRoad_act!X69=0,0,TrRoad_emi!X66/TrRoad_tech!X181)</f>
        <v>1.2744267726561556</v>
      </c>
      <c r="Y208" s="93">
        <f>IF(TrRoad_act!Y69=0,0,TrRoad_emi!Y66/TrRoad_tech!Y181)</f>
        <v>1.1888922075690533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1.2773333333398111</v>
      </c>
      <c r="Q209" s="93">
        <f>IF(TrRoad_act!Q70=0,0,TrRoad_emi!Q67/TrRoad_tech!Q182)</f>
        <v>1.2773333333398114</v>
      </c>
      <c r="R209" s="93">
        <f>IF(TrRoad_act!R70=0,0,TrRoad_emi!R67/TrRoad_tech!R182)</f>
        <v>1.2978960854005999</v>
      </c>
      <c r="S209" s="93">
        <f>IF(TrRoad_act!S70=0,0,TrRoad_emi!S67/TrRoad_tech!S182)</f>
        <v>1.2978960854006003</v>
      </c>
      <c r="T209" s="93">
        <f>IF(TrRoad_act!T70=0,0,TrRoad_emi!T67/TrRoad_tech!T182)</f>
        <v>1.2978960854005999</v>
      </c>
      <c r="U209" s="93">
        <f>IF(TrRoad_act!U70=0,0,TrRoad_emi!U67/TrRoad_tech!U182)</f>
        <v>1.2978960854006001</v>
      </c>
      <c r="V209" s="93">
        <f>IF(TrRoad_act!V70=0,0,TrRoad_emi!V67/TrRoad_tech!V182)</f>
        <v>1.2978960854005999</v>
      </c>
      <c r="W209" s="93">
        <f>IF(TrRoad_act!W70=0,0,TrRoad_emi!W67/TrRoad_tech!W182)</f>
        <v>1.2978960854006005</v>
      </c>
      <c r="X209" s="93">
        <f>IF(TrRoad_act!X70=0,0,TrRoad_emi!X67/TrRoad_tech!X182)</f>
        <v>1.2978960854005999</v>
      </c>
      <c r="Y209" s="93">
        <f>IF(TrRoad_act!Y70=0,0,TrRoad_emi!Y67/TrRoad_tech!Y182)</f>
        <v>1.2978960854005999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1.0539765342057075</v>
      </c>
      <c r="C210" s="93">
        <f>IF(TrRoad_act!C71=0,0,TrRoad_emi!C68/TrRoad_tech!C183)</f>
        <v>1.0980746883723174</v>
      </c>
      <c r="D210" s="93">
        <f>IF(TrRoad_act!D71=0,0,TrRoad_emi!D68/TrRoad_tech!D183)</f>
        <v>1.0851003177484124</v>
      </c>
      <c r="E210" s="93">
        <f>IF(TrRoad_act!E71=0,0,TrRoad_emi!E68/TrRoad_tech!E183)</f>
        <v>1.0884525035144108</v>
      </c>
      <c r="F210" s="93">
        <f>IF(TrRoad_act!F71=0,0,TrRoad_emi!F68/TrRoad_tech!F183)</f>
        <v>1.0709245037051391</v>
      </c>
      <c r="G210" s="93">
        <f>IF(TrRoad_act!G71=0,0,TrRoad_emi!G68/TrRoad_tech!G183)</f>
        <v>1.2696418533726175</v>
      </c>
      <c r="H210" s="93">
        <f>IF(TrRoad_act!H71=0,0,TrRoad_emi!H68/TrRoad_tech!H183)</f>
        <v>1.348096908491649</v>
      </c>
      <c r="I210" s="93">
        <f>IF(TrRoad_act!I71=0,0,TrRoad_emi!I68/TrRoad_tech!I183)</f>
        <v>1.2167923358223243</v>
      </c>
      <c r="J210" s="93">
        <f>IF(TrRoad_act!J71=0,0,TrRoad_emi!J68/TrRoad_tech!J183)</f>
        <v>1.2216367509399719</v>
      </c>
      <c r="K210" s="93">
        <f>IF(TrRoad_act!K71=0,0,TrRoad_emi!K68/TrRoad_tech!K183)</f>
        <v>1.1208090446173271</v>
      </c>
      <c r="L210" s="93">
        <f>IF(TrRoad_act!L71=0,0,TrRoad_emi!L68/TrRoad_tech!L183)</f>
        <v>1.1171027749560873</v>
      </c>
      <c r="M210" s="93">
        <f>IF(TrRoad_act!M71=0,0,TrRoad_emi!M68/TrRoad_tech!M183)</f>
        <v>1.3365525554021511</v>
      </c>
      <c r="N210" s="93">
        <f>IF(TrRoad_act!N71=0,0,TrRoad_emi!N68/TrRoad_tech!N183)</f>
        <v>1.1805956600603948</v>
      </c>
      <c r="O210" s="93">
        <f>IF(TrRoad_act!O71=0,0,TrRoad_emi!O68/TrRoad_tech!O183)</f>
        <v>0.73673293134432882</v>
      </c>
      <c r="P210" s="93">
        <f>IF(TrRoad_act!P71=0,0,TrRoad_emi!P68/TrRoad_tech!P183)</f>
        <v>0.40174276779022172</v>
      </c>
      <c r="Q210" s="93">
        <f>IF(TrRoad_act!Q71=0,0,TrRoad_emi!Q68/TrRoad_tech!Q183)</f>
        <v>0.76447936488057922</v>
      </c>
      <c r="R210" s="93">
        <f>IF(TrRoad_act!R71=0,0,TrRoad_emi!R68/TrRoad_tech!R183)</f>
        <v>0.89685602180247737</v>
      </c>
      <c r="S210" s="93">
        <f>IF(TrRoad_act!S71=0,0,TrRoad_emi!S68/TrRoad_tech!S183)</f>
        <v>0.79750046746091152</v>
      </c>
      <c r="T210" s="93">
        <f>IF(TrRoad_act!T71=0,0,TrRoad_emi!T68/TrRoad_tech!T183)</f>
        <v>0.89726169616531848</v>
      </c>
      <c r="U210" s="93">
        <f>IF(TrRoad_act!U71=0,0,TrRoad_emi!U68/TrRoad_tech!U183)</f>
        <v>1.7531707373233307</v>
      </c>
      <c r="V210" s="93">
        <f>IF(TrRoad_act!V71=0,0,TrRoad_emi!V68/TrRoad_tech!V183)</f>
        <v>1.6684858531257039</v>
      </c>
      <c r="W210" s="93">
        <f>IF(TrRoad_act!W71=0,0,TrRoad_emi!W68/TrRoad_tech!W183)</f>
        <v>1.6602652543765066</v>
      </c>
      <c r="X210" s="93">
        <f>IF(TrRoad_act!X71=0,0,TrRoad_emi!X68/TrRoad_tech!X183)</f>
        <v>1.1252110920631901</v>
      </c>
      <c r="Y210" s="93">
        <f>IF(TrRoad_act!Y71=0,0,TrRoad_emi!Y68/TrRoad_tech!Y183)</f>
        <v>1.3382376317381572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1.0936100839060126</v>
      </c>
      <c r="C213" s="150">
        <f>IF(TrRoad_act!C74=0,0,TrRoad_emi!C71/TrRoad_tech!C186)</f>
        <v>1.1135736049266238</v>
      </c>
      <c r="D213" s="150">
        <f>IF(TrRoad_act!D74=0,0,TrRoad_emi!D71/TrRoad_tech!D186)</f>
        <v>1.1476349033454629</v>
      </c>
      <c r="E213" s="150">
        <f>IF(TrRoad_act!E74=0,0,TrRoad_emi!E71/TrRoad_tech!E186)</f>
        <v>1.1633205764616676</v>
      </c>
      <c r="F213" s="150">
        <f>IF(TrRoad_act!F74=0,0,TrRoad_emi!F71/TrRoad_tech!F186)</f>
        <v>1.1763490402030337</v>
      </c>
      <c r="G213" s="150">
        <f>IF(TrRoad_act!G74=0,0,TrRoad_emi!G71/TrRoad_tech!G186)</f>
        <v>1.2201833123184764</v>
      </c>
      <c r="H213" s="150">
        <f>IF(TrRoad_act!H74=0,0,TrRoad_emi!H71/TrRoad_tech!H186)</f>
        <v>1.2140381110052549</v>
      </c>
      <c r="I213" s="150">
        <f>IF(TrRoad_act!I74=0,0,TrRoad_emi!I71/TrRoad_tech!I186)</f>
        <v>1.1924910881870321</v>
      </c>
      <c r="J213" s="150">
        <f>IF(TrRoad_act!J74=0,0,TrRoad_emi!J71/TrRoad_tech!J186)</f>
        <v>1.2113131607769498</v>
      </c>
      <c r="K213" s="150">
        <f>IF(TrRoad_act!K74=0,0,TrRoad_emi!K71/TrRoad_tech!K186)</f>
        <v>1.2323998384756427</v>
      </c>
      <c r="L213" s="150">
        <f>IF(TrRoad_act!L74=0,0,TrRoad_emi!L71/TrRoad_tech!L186)</f>
        <v>1.3330245502113784</v>
      </c>
      <c r="M213" s="150">
        <f>IF(TrRoad_act!M74=0,0,TrRoad_emi!M71/TrRoad_tech!M186)</f>
        <v>1.3354839249059487</v>
      </c>
      <c r="N213" s="150">
        <f>IF(TrRoad_act!N74=0,0,TrRoad_emi!N71/TrRoad_tech!N186)</f>
        <v>1.1984790826415608</v>
      </c>
      <c r="O213" s="150">
        <f>IF(TrRoad_act!O74=0,0,TrRoad_emi!O71/TrRoad_tech!O186)</f>
        <v>1.1495001894491217</v>
      </c>
      <c r="P213" s="150">
        <f>IF(TrRoad_act!P74=0,0,TrRoad_emi!P71/TrRoad_tech!P186)</f>
        <v>1.2036971443089253</v>
      </c>
      <c r="Q213" s="150">
        <f>IF(TrRoad_act!Q74=0,0,TrRoad_emi!Q71/TrRoad_tech!Q186)</f>
        <v>1.2396418625932022</v>
      </c>
      <c r="R213" s="150">
        <f>IF(TrRoad_act!R74=0,0,TrRoad_emi!R71/TrRoad_tech!R186)</f>
        <v>1.2107979163740701</v>
      </c>
      <c r="S213" s="150">
        <f>IF(TrRoad_act!S74=0,0,TrRoad_emi!S71/TrRoad_tech!S186)</f>
        <v>1.2900424983333587</v>
      </c>
      <c r="T213" s="150">
        <f>IF(TrRoad_act!T74=0,0,TrRoad_emi!T71/TrRoad_tech!T186)</f>
        <v>1.2800291985630137</v>
      </c>
      <c r="U213" s="150">
        <f>IF(TrRoad_act!U74=0,0,TrRoad_emi!U71/TrRoad_tech!U186)</f>
        <v>1.3079981018600453</v>
      </c>
      <c r="V213" s="150">
        <f>IF(TrRoad_act!V74=0,0,TrRoad_emi!V71/TrRoad_tech!V186)</f>
        <v>1.1044432910730018</v>
      </c>
      <c r="W213" s="150">
        <f>IF(TrRoad_act!W74=0,0,TrRoad_emi!W71/TrRoad_tech!W186)</f>
        <v>1.1435701189678684</v>
      </c>
      <c r="X213" s="150">
        <f>IF(TrRoad_act!X74=0,0,TrRoad_emi!X71/TrRoad_tech!X186)</f>
        <v>1.1661939741066911</v>
      </c>
      <c r="Y213" s="150">
        <f>IF(TrRoad_act!Y74=0,0,TrRoad_emi!Y71/TrRoad_tech!Y186)</f>
        <v>1.1087972075941874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1.1000037451141631</v>
      </c>
      <c r="D214" s="91">
        <f>IF(TrRoad_act!D75=0,0,TrRoad_emi!D72/TrRoad_tech!D187)</f>
        <v>1.1000119268531257</v>
      </c>
      <c r="E214" s="91">
        <f>IF(TrRoad_act!E75=0,0,TrRoad_emi!E72/TrRoad_tech!E187)</f>
        <v>1.1000233992843937</v>
      </c>
      <c r="F214" s="91">
        <f>IF(TrRoad_act!F75=0,0,TrRoad_emi!F72/TrRoad_tech!F187)</f>
        <v>1.1000434758691062</v>
      </c>
      <c r="G214" s="91">
        <f>IF(TrRoad_act!G75=0,0,TrRoad_emi!G72/TrRoad_tech!G187)</f>
        <v>1.0982739402166706</v>
      </c>
      <c r="H214" s="91">
        <f>IF(TrRoad_act!H75=0,0,TrRoad_emi!H72/TrRoad_tech!H187)</f>
        <v>1.0926813307818355</v>
      </c>
      <c r="I214" s="91">
        <f>IF(TrRoad_act!I75=0,0,TrRoad_emi!I72/TrRoad_tech!I187)</f>
        <v>1.0824082673742852</v>
      </c>
      <c r="J214" s="91">
        <f>IF(TrRoad_act!J75=0,0,TrRoad_emi!J72/TrRoad_tech!J187)</f>
        <v>1.0694215179107147</v>
      </c>
      <c r="K214" s="91">
        <f>IF(TrRoad_act!K75=0,0,TrRoad_emi!K72/TrRoad_tech!K187)</f>
        <v>1.0702118862815291</v>
      </c>
      <c r="L214" s="91">
        <f>IF(TrRoad_act!L75=0,0,TrRoad_emi!L72/TrRoad_tech!L187)</f>
        <v>1.057898585226686</v>
      </c>
      <c r="M214" s="91">
        <f>IF(TrRoad_act!M75=0,0,TrRoad_emi!M72/TrRoad_tech!M187)</f>
        <v>1.0564560682972433</v>
      </c>
      <c r="N214" s="91">
        <f>IF(TrRoad_act!N75=0,0,TrRoad_emi!N72/TrRoad_tech!N187)</f>
        <v>1.0602856785123826</v>
      </c>
      <c r="O214" s="91">
        <f>IF(TrRoad_act!O75=0,0,TrRoad_emi!O72/TrRoad_tech!O187)</f>
        <v>1.0987583885080094</v>
      </c>
      <c r="P214" s="91">
        <f>IF(TrRoad_act!P75=0,0,TrRoad_emi!P72/TrRoad_tech!P187)</f>
        <v>1.0872523051865217</v>
      </c>
      <c r="Q214" s="91">
        <f>IF(TrRoad_act!Q75=0,0,TrRoad_emi!Q72/TrRoad_tech!Q187)</f>
        <v>1.1121931499217694</v>
      </c>
      <c r="R214" s="91">
        <f>IF(TrRoad_act!R75=0,0,TrRoad_emi!R72/TrRoad_tech!R187)</f>
        <v>1.1195516094844198</v>
      </c>
      <c r="S214" s="91">
        <f>IF(TrRoad_act!S75=0,0,TrRoad_emi!S72/TrRoad_tech!S187)</f>
        <v>1.1298347456006672</v>
      </c>
      <c r="T214" s="91">
        <f>IF(TrRoad_act!T75=0,0,TrRoad_emi!T72/TrRoad_tech!T187)</f>
        <v>1.1378460965091841</v>
      </c>
      <c r="U214" s="91">
        <f>IF(TrRoad_act!U75=0,0,TrRoad_emi!U72/TrRoad_tech!U187)</f>
        <v>1.1591785053328143</v>
      </c>
      <c r="V214" s="91">
        <f>IF(TrRoad_act!V75=0,0,TrRoad_emi!V72/TrRoad_tech!V187)</f>
        <v>1.1308853037689002</v>
      </c>
      <c r="W214" s="91">
        <f>IF(TrRoad_act!W75=0,0,TrRoad_emi!W72/TrRoad_tech!W187)</f>
        <v>1.1401673834956654</v>
      </c>
      <c r="X214" s="91">
        <f>IF(TrRoad_act!X75=0,0,TrRoad_emi!X72/TrRoad_tech!X187)</f>
        <v>1.1583825280263607</v>
      </c>
      <c r="Y214" s="91">
        <f>IF(TrRoad_act!Y75=0,0,TrRoad_emi!Y72/TrRoad_tech!Y187)</f>
        <v>1.1812380599897485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1.1063515491227378</v>
      </c>
      <c r="C215" s="91">
        <f>IF(TrRoad_act!C76=0,0,TrRoad_emi!C73/TrRoad_tech!C188)</f>
        <v>1.1298683605850643</v>
      </c>
      <c r="D215" s="91">
        <f>IF(TrRoad_act!D76=0,0,TrRoad_emi!D73/TrRoad_tech!D188)</f>
        <v>1.1773303295546813</v>
      </c>
      <c r="E215" s="91">
        <f>IF(TrRoad_act!E76=0,0,TrRoad_emi!E73/TrRoad_tech!E188)</f>
        <v>1.1969308294268364</v>
      </c>
      <c r="F215" s="91">
        <f>IF(TrRoad_act!F76=0,0,TrRoad_emi!F73/TrRoad_tech!F188)</f>
        <v>1.2029517511311627</v>
      </c>
      <c r="G215" s="91">
        <f>IF(TrRoad_act!G76=0,0,TrRoad_emi!G73/TrRoad_tech!G188)</f>
        <v>1.2547889920151603</v>
      </c>
      <c r="H215" s="91">
        <f>IF(TrRoad_act!H76=0,0,TrRoad_emi!H73/TrRoad_tech!H188)</f>
        <v>1.2537506920908916</v>
      </c>
      <c r="I215" s="91">
        <f>IF(TrRoad_act!I76=0,0,TrRoad_emi!I73/TrRoad_tech!I188)</f>
        <v>1.2154492656758229</v>
      </c>
      <c r="J215" s="91">
        <f>IF(TrRoad_act!J76=0,0,TrRoad_emi!J73/TrRoad_tech!J188)</f>
        <v>1.1848657244848975</v>
      </c>
      <c r="K215" s="91">
        <f>IF(TrRoad_act!K76=0,0,TrRoad_emi!K73/TrRoad_tech!K188)</f>
        <v>1.1724044575791881</v>
      </c>
      <c r="L215" s="91">
        <f>IF(TrRoad_act!L76=0,0,TrRoad_emi!L73/TrRoad_tech!L188)</f>
        <v>1.1828823423626587</v>
      </c>
      <c r="M215" s="91">
        <f>IF(TrRoad_act!M76=0,0,TrRoad_emi!M73/TrRoad_tech!M188)</f>
        <v>1.1270909950631671</v>
      </c>
      <c r="N215" s="91">
        <f>IF(TrRoad_act!N76=0,0,TrRoad_emi!N73/TrRoad_tech!N188)</f>
        <v>1.1041382955516659</v>
      </c>
      <c r="O215" s="91">
        <f>IF(TrRoad_act!O76=0,0,TrRoad_emi!O73/TrRoad_tech!O188)</f>
        <v>1.0409547602941556</v>
      </c>
      <c r="P215" s="91">
        <f>IF(TrRoad_act!P76=0,0,TrRoad_emi!P73/TrRoad_tech!P188)</f>
        <v>1.1381761934323877</v>
      </c>
      <c r="Q215" s="91">
        <f>IF(TrRoad_act!Q76=0,0,TrRoad_emi!Q73/TrRoad_tech!Q188)</f>
        <v>1.200486726628514</v>
      </c>
      <c r="R215" s="91">
        <f>IF(TrRoad_act!R76=0,0,TrRoad_emi!R73/TrRoad_tech!R188)</f>
        <v>1.1717995626034996</v>
      </c>
      <c r="S215" s="91">
        <f>IF(TrRoad_act!S76=0,0,TrRoad_emi!S73/TrRoad_tech!S188)</f>
        <v>1.2075989052253004</v>
      </c>
      <c r="T215" s="91">
        <f>IF(TrRoad_act!T76=0,0,TrRoad_emi!T73/TrRoad_tech!T188)</f>
        <v>1.2204563417988947</v>
      </c>
      <c r="U215" s="91">
        <f>IF(TrRoad_act!U76=0,0,TrRoad_emi!U73/TrRoad_tech!U188)</f>
        <v>1.2200525073650799</v>
      </c>
      <c r="V215" s="91">
        <f>IF(TrRoad_act!V76=0,0,TrRoad_emi!V73/TrRoad_tech!V188)</f>
        <v>1.1386929771757903</v>
      </c>
      <c r="W215" s="91">
        <f>IF(TrRoad_act!W76=0,0,TrRoad_emi!W73/TrRoad_tech!W188)</f>
        <v>1.2041927958855803</v>
      </c>
      <c r="X215" s="91">
        <f>IF(TrRoad_act!X76=0,0,TrRoad_emi!X73/TrRoad_tech!X188)</f>
        <v>1.2540078985816707</v>
      </c>
      <c r="Y215" s="91">
        <f>IF(TrRoad_act!Y76=0,0,TrRoad_emi!Y73/TrRoad_tech!Y188)</f>
        <v>1.1789322309755861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1.1040000000061811</v>
      </c>
      <c r="D216" s="91">
        <f>IF(TrRoad_act!D77=0,0,TrRoad_emi!D74/TrRoad_tech!D189)</f>
        <v>1.1040000000061809</v>
      </c>
      <c r="E216" s="91">
        <f>IF(TrRoad_act!E77=0,0,TrRoad_emi!E74/TrRoad_tech!E189)</f>
        <v>1.1040000000061807</v>
      </c>
      <c r="F216" s="91">
        <f>IF(TrRoad_act!F77=0,0,TrRoad_emi!F74/TrRoad_tech!F189)</f>
        <v>1.1040000000061807</v>
      </c>
      <c r="G216" s="91">
        <f>IF(TrRoad_act!G77=0,0,TrRoad_emi!G74/TrRoad_tech!G189)</f>
        <v>1.1040000000061807</v>
      </c>
      <c r="H216" s="91">
        <f>IF(TrRoad_act!H77=0,0,TrRoad_emi!H74/TrRoad_tech!H189)</f>
        <v>1.1040000000061807</v>
      </c>
      <c r="I216" s="91">
        <f>IF(TrRoad_act!I77=0,0,TrRoad_emi!I74/TrRoad_tech!I189)</f>
        <v>1.1040000000061807</v>
      </c>
      <c r="J216" s="91">
        <f>IF(TrRoad_act!J77=0,0,TrRoad_emi!J74/TrRoad_tech!J189)</f>
        <v>1.1040000000061805</v>
      </c>
      <c r="K216" s="91">
        <f>IF(TrRoad_act!K77=0,0,TrRoad_emi!K74/TrRoad_tech!K189)</f>
        <v>1.1040000000061807</v>
      </c>
      <c r="L216" s="91">
        <f>IF(TrRoad_act!L77=0,0,TrRoad_emi!L74/TrRoad_tech!L189)</f>
        <v>1.1040000000061809</v>
      </c>
      <c r="M216" s="91">
        <f>IF(TrRoad_act!M77=0,0,TrRoad_emi!M74/TrRoad_tech!M189)</f>
        <v>1.1040000000061807</v>
      </c>
      <c r="N216" s="91">
        <f>IF(TrRoad_act!N77=0,0,TrRoad_emi!N74/TrRoad_tech!N189)</f>
        <v>1.1054647642205506</v>
      </c>
      <c r="O216" s="91">
        <f>IF(TrRoad_act!O77=0,0,TrRoad_emi!O74/TrRoad_tech!O189)</f>
        <v>1.1056734932463241</v>
      </c>
      <c r="P216" s="91">
        <f>IF(TrRoad_act!P77=0,0,TrRoad_emi!P74/TrRoad_tech!P189)</f>
        <v>1.1059515958160802</v>
      </c>
      <c r="Q216" s="91">
        <f>IF(TrRoad_act!Q77=0,0,TrRoad_emi!Q74/TrRoad_tech!Q189)</f>
        <v>1.12215806024238</v>
      </c>
      <c r="R216" s="91">
        <f>IF(TrRoad_act!R77=0,0,TrRoad_emi!R74/TrRoad_tech!R189)</f>
        <v>1.125536655352348</v>
      </c>
      <c r="S216" s="91">
        <f>IF(TrRoad_act!S77=0,0,TrRoad_emi!S74/TrRoad_tech!S189)</f>
        <v>1.1304599484361089</v>
      </c>
      <c r="T216" s="91">
        <f>IF(TrRoad_act!T77=0,0,TrRoad_emi!T74/TrRoad_tech!T189)</f>
        <v>1.1359352647874044</v>
      </c>
      <c r="U216" s="91">
        <f>IF(TrRoad_act!U77=0,0,TrRoad_emi!U74/TrRoad_tech!U189)</f>
        <v>1.14547008873276</v>
      </c>
      <c r="V216" s="91">
        <f>IF(TrRoad_act!V77=0,0,TrRoad_emi!V74/TrRoad_tech!V189)</f>
        <v>1.178402891895544</v>
      </c>
      <c r="W216" s="91">
        <f>IF(TrRoad_act!W77=0,0,TrRoad_emi!W74/TrRoad_tech!W189)</f>
        <v>1.2039864136077552</v>
      </c>
      <c r="X216" s="91">
        <f>IF(TrRoad_act!X77=0,0,TrRoad_emi!X74/TrRoad_tech!X189)</f>
        <v>1.3385684578494133</v>
      </c>
      <c r="Y216" s="91">
        <f>IF(TrRoad_act!Y77=0,0,TrRoad_emi!Y74/TrRoad_tech!Y189)</f>
        <v>1.3596817592315231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1.1000000000067303</v>
      </c>
      <c r="C217" s="91">
        <f>IF(TrRoad_act!C78=0,0,TrRoad_emi!C75/TrRoad_tech!C190)</f>
        <v>1.1000000000067305</v>
      </c>
      <c r="D217" s="91">
        <f>IF(TrRoad_act!D78=0,0,TrRoad_emi!D75/TrRoad_tech!D190)</f>
        <v>1.1000000000067303</v>
      </c>
      <c r="E217" s="91">
        <f>IF(TrRoad_act!E78=0,0,TrRoad_emi!E75/TrRoad_tech!E190)</f>
        <v>1.1000000000067307</v>
      </c>
      <c r="F217" s="91">
        <f>IF(TrRoad_act!F78=0,0,TrRoad_emi!F75/TrRoad_tech!F190)</f>
        <v>1.1000000000067298</v>
      </c>
      <c r="G217" s="91">
        <f>IF(TrRoad_act!G78=0,0,TrRoad_emi!G75/TrRoad_tech!G190)</f>
        <v>1.10000000000673</v>
      </c>
      <c r="H217" s="91">
        <f>IF(TrRoad_act!H78=0,0,TrRoad_emi!H75/TrRoad_tech!H190)</f>
        <v>1.1000000000067303</v>
      </c>
      <c r="I217" s="91">
        <f>IF(TrRoad_act!I78=0,0,TrRoad_emi!I75/TrRoad_tech!I190)</f>
        <v>1.10000000000673</v>
      </c>
      <c r="J217" s="91">
        <f>IF(TrRoad_act!J78=0,0,TrRoad_emi!J75/TrRoad_tech!J190)</f>
        <v>1.1000000000067303</v>
      </c>
      <c r="K217" s="91">
        <f>IF(TrRoad_act!K78=0,0,TrRoad_emi!K75/TrRoad_tech!K190)</f>
        <v>1.10000000000673</v>
      </c>
      <c r="L217" s="91">
        <f>IF(TrRoad_act!L78=0,0,TrRoad_emi!L75/TrRoad_tech!L190)</f>
        <v>1.10000000000673</v>
      </c>
      <c r="M217" s="91">
        <f>IF(TrRoad_act!M78=0,0,TrRoad_emi!M75/TrRoad_tech!M190)</f>
        <v>1.1000000000067303</v>
      </c>
      <c r="N217" s="91">
        <f>IF(TrRoad_act!N78=0,0,TrRoad_emi!N75/TrRoad_tech!N190)</f>
        <v>1.2360000000066977</v>
      </c>
      <c r="O217" s="91">
        <f>IF(TrRoad_act!O78=0,0,TrRoad_emi!O75/TrRoad_tech!O190)</f>
        <v>1.2542261506671426</v>
      </c>
      <c r="P217" s="91">
        <f>IF(TrRoad_act!P78=0,0,TrRoad_emi!P75/TrRoad_tech!P190)</f>
        <v>1.2596488239001342</v>
      </c>
      <c r="Q217" s="91">
        <f>IF(TrRoad_act!Q78=0,0,TrRoad_emi!Q75/TrRoad_tech!Q190)</f>
        <v>1.2922985979155999</v>
      </c>
      <c r="R217" s="91">
        <f>IF(TrRoad_act!R78=0,0,TrRoad_emi!R75/TrRoad_tech!R190)</f>
        <v>1.2938184227085237</v>
      </c>
      <c r="S217" s="91">
        <f>IF(TrRoad_act!S78=0,0,TrRoad_emi!S75/TrRoad_tech!S190)</f>
        <v>1.298730211620299</v>
      </c>
      <c r="T217" s="91">
        <f>IF(TrRoad_act!T78=0,0,TrRoad_emi!T75/TrRoad_tech!T190)</f>
        <v>1.3049984342531689</v>
      </c>
      <c r="U217" s="91">
        <f>IF(TrRoad_act!U78=0,0,TrRoad_emi!U75/TrRoad_tech!U190)</f>
        <v>1.3064073928245221</v>
      </c>
      <c r="V217" s="91">
        <f>IF(TrRoad_act!V78=0,0,TrRoad_emi!V75/TrRoad_tech!V190)</f>
        <v>1.3146662614799864</v>
      </c>
      <c r="W217" s="91">
        <f>IF(TrRoad_act!W78=0,0,TrRoad_emi!W75/TrRoad_tech!W190)</f>
        <v>1.3239540660383753</v>
      </c>
      <c r="X217" s="91">
        <f>IF(TrRoad_act!X78=0,0,TrRoad_emi!X75/TrRoad_tech!X190)</f>
        <v>1.3247593683283567</v>
      </c>
      <c r="Y217" s="91">
        <f>IF(TrRoad_act!Y78=0,0,TrRoad_emi!Y75/TrRoad_tech!Y190)</f>
        <v>1.3407611889856548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1.1668626070072359</v>
      </c>
      <c r="C219" s="151">
        <f>IF(TrRoad_act!C80=0,0,TrRoad_emi!C77/TrRoad_tech!C192)</f>
        <v>1.2363071672236143</v>
      </c>
      <c r="D219" s="151">
        <f>IF(TrRoad_act!D80=0,0,TrRoad_emi!D77/TrRoad_tech!D192)</f>
        <v>1.388034666683158</v>
      </c>
      <c r="E219" s="151">
        <f>IF(TrRoad_act!E80=0,0,TrRoad_emi!E77/TrRoad_tech!E192)</f>
        <v>1.4562449920040641</v>
      </c>
      <c r="F219" s="151">
        <f>IF(TrRoad_act!F80=0,0,TrRoad_emi!F77/TrRoad_tech!F192)</f>
        <v>1.4761046918459546</v>
      </c>
      <c r="G219" s="151">
        <f>IF(TrRoad_act!G80=0,0,TrRoad_emi!G77/TrRoad_tech!G192)</f>
        <v>1.5516955319270418</v>
      </c>
      <c r="H219" s="151">
        <f>IF(TrRoad_act!H80=0,0,TrRoad_emi!H77/TrRoad_tech!H192)</f>
        <v>1.5958902571489952</v>
      </c>
      <c r="I219" s="151">
        <f>IF(TrRoad_act!I80=0,0,TrRoad_emi!I77/TrRoad_tech!I192)</f>
        <v>1.4757278587258129</v>
      </c>
      <c r="J219" s="151">
        <f>IF(TrRoad_act!J80=0,0,TrRoad_emi!J77/TrRoad_tech!J192)</f>
        <v>1.480896582238084</v>
      </c>
      <c r="K219" s="151">
        <f>IF(TrRoad_act!K80=0,0,TrRoad_emi!K77/TrRoad_tech!K192)</f>
        <v>1.4704472576338872</v>
      </c>
      <c r="L219" s="151">
        <f>IF(TrRoad_act!L80=0,0,TrRoad_emi!L77/TrRoad_tech!L192)</f>
        <v>1.5816225573916607</v>
      </c>
      <c r="M219" s="151">
        <f>IF(TrRoad_act!M80=0,0,TrRoad_emi!M77/TrRoad_tech!M192)</f>
        <v>1.3912909430580085</v>
      </c>
      <c r="N219" s="151">
        <f>IF(TrRoad_act!N80=0,0,TrRoad_emi!N77/TrRoad_tech!N192)</f>
        <v>1.2945245316665652</v>
      </c>
      <c r="O219" s="151">
        <f>IF(TrRoad_act!O80=0,0,TrRoad_emi!O77/TrRoad_tech!O192)</f>
        <v>1.0540134090094893</v>
      </c>
      <c r="P219" s="151">
        <f>IF(TrRoad_act!P80=0,0,TrRoad_emi!P77/TrRoad_tech!P192)</f>
        <v>1.3893352234680123</v>
      </c>
      <c r="Q219" s="151">
        <f>IF(TrRoad_act!Q80=0,0,TrRoad_emi!Q77/TrRoad_tech!Q192)</f>
        <v>1.5828606110555679</v>
      </c>
      <c r="R219" s="151">
        <f>IF(TrRoad_act!R80=0,0,TrRoad_emi!R77/TrRoad_tech!R192)</f>
        <v>1.4169219567959794</v>
      </c>
      <c r="S219" s="151">
        <f>IF(TrRoad_act!S80=0,0,TrRoad_emi!S77/TrRoad_tech!S192)</f>
        <v>1.4984290320648641</v>
      </c>
      <c r="T219" s="151">
        <f>IF(TrRoad_act!T80=0,0,TrRoad_emi!T77/TrRoad_tech!T192)</f>
        <v>1.5421731686256395</v>
      </c>
      <c r="U219" s="151">
        <f>IF(TrRoad_act!U80=0,0,TrRoad_emi!U77/TrRoad_tech!U192)</f>
        <v>1.5074138947597355</v>
      </c>
      <c r="V219" s="151">
        <f>IF(TrRoad_act!V80=0,0,TrRoad_emi!V77/TrRoad_tech!V192)</f>
        <v>1.1553502233438762</v>
      </c>
      <c r="W219" s="151">
        <f>IF(TrRoad_act!W80=0,0,TrRoad_emi!W77/TrRoad_tech!W192)</f>
        <v>1.371791205371065</v>
      </c>
      <c r="X219" s="151">
        <f>IF(TrRoad_act!X80=0,0,TrRoad_emi!X77/TrRoad_tech!X192)</f>
        <v>1.5956544951664793</v>
      </c>
      <c r="Y219" s="151">
        <f>IF(TrRoad_act!Y80=0,0,TrRoad_emi!Y77/TrRoad_tech!Y192)</f>
        <v>1.2234838327713138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1.1830425063172596</v>
      </c>
      <c r="C220" s="93">
        <f>IF(TrRoad_act!C81=0,0,TrRoad_emi!C78/TrRoad_tech!C193)</f>
        <v>1.2115456153126358</v>
      </c>
      <c r="D220" s="93">
        <f>IF(TrRoad_act!D81=0,0,TrRoad_emi!D78/TrRoad_tech!D193)</f>
        <v>1.2732287762821037</v>
      </c>
      <c r="E220" s="93">
        <f>IF(TrRoad_act!E81=0,0,TrRoad_emi!E78/TrRoad_tech!E193)</f>
        <v>1.3017655506634531</v>
      </c>
      <c r="F220" s="93">
        <f>IF(TrRoad_act!F81=0,0,TrRoad_emi!F78/TrRoad_tech!F193)</f>
        <v>1.3116731470693066</v>
      </c>
      <c r="G220" s="93">
        <f>IF(TrRoad_act!G81=0,0,TrRoad_emi!G78/TrRoad_tech!G193)</f>
        <v>1.3500770760079046</v>
      </c>
      <c r="H220" s="93">
        <f>IF(TrRoad_act!H81=0,0,TrRoad_emi!H78/TrRoad_tech!H193)</f>
        <v>1.3722829132055878</v>
      </c>
      <c r="I220" s="93">
        <f>IF(TrRoad_act!I81=0,0,TrRoad_emi!I78/TrRoad_tech!I193)</f>
        <v>1.3251919161150261</v>
      </c>
      <c r="J220" s="93">
        <f>IF(TrRoad_act!J81=0,0,TrRoad_emi!J78/TrRoad_tech!J193)</f>
        <v>1.2966524189723638</v>
      </c>
      <c r="K220" s="93">
        <f>IF(TrRoad_act!K81=0,0,TrRoad_emi!K78/TrRoad_tech!K193)</f>
        <v>1.3064536470980401</v>
      </c>
      <c r="L220" s="93">
        <f>IF(TrRoad_act!L81=0,0,TrRoad_emi!L78/TrRoad_tech!L193)</f>
        <v>1.3614563701279023</v>
      </c>
      <c r="M220" s="93">
        <f>IF(TrRoad_act!M81=0,0,TrRoad_emi!M78/TrRoad_tech!M193)</f>
        <v>1.289325589427762</v>
      </c>
      <c r="N220" s="93">
        <f>IF(TrRoad_act!N81=0,0,TrRoad_emi!N78/TrRoad_tech!N193)</f>
        <v>1.2515346986109608</v>
      </c>
      <c r="O220" s="93">
        <f>IF(TrRoad_act!O81=0,0,TrRoad_emi!O78/TrRoad_tech!O193)</f>
        <v>1.1540178996832864</v>
      </c>
      <c r="P220" s="93">
        <f>IF(TrRoad_act!P81=0,0,TrRoad_emi!P78/TrRoad_tech!P193)</f>
        <v>1.2919256422312173</v>
      </c>
      <c r="Q220" s="93">
        <f>IF(TrRoad_act!Q81=0,0,TrRoad_emi!Q78/TrRoad_tech!Q193)</f>
        <v>1.3759466565945129</v>
      </c>
      <c r="R220" s="93">
        <f>IF(TrRoad_act!R81=0,0,TrRoad_emi!R78/TrRoad_tech!R193)</f>
        <v>1.3064398178268122</v>
      </c>
      <c r="S220" s="93">
        <f>IF(TrRoad_act!S81=0,0,TrRoad_emi!S78/TrRoad_tech!S193)</f>
        <v>1.3533244845552757</v>
      </c>
      <c r="T220" s="93">
        <f>IF(TrRoad_act!T81=0,0,TrRoad_emi!T78/TrRoad_tech!T193)</f>
        <v>1.3803683391519292</v>
      </c>
      <c r="U220" s="93">
        <f>IF(TrRoad_act!U81=0,0,TrRoad_emi!U78/TrRoad_tech!U193)</f>
        <v>1.3755376299074848</v>
      </c>
      <c r="V220" s="93">
        <f>IF(TrRoad_act!V81=0,0,TrRoad_emi!V78/TrRoad_tech!V193)</f>
        <v>1.2224847627139321</v>
      </c>
      <c r="W220" s="93">
        <f>IF(TrRoad_act!W81=0,0,TrRoad_emi!W78/TrRoad_tech!W193)</f>
        <v>1.3299185397021245</v>
      </c>
      <c r="X220" s="93">
        <f>IF(TrRoad_act!X81=0,0,TrRoad_emi!X78/TrRoad_tech!X193)</f>
        <v>1.4332249647821151</v>
      </c>
      <c r="Y220" s="93">
        <f>IF(TrRoad_act!Y81=0,0,TrRoad_emi!Y78/TrRoad_tech!Y193)</f>
        <v>1.2853895684008334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1.2120286119593371</v>
      </c>
      <c r="C221" s="94">
        <f>IF(TrRoad_act!C82=0,0,TrRoad_emi!C79/TrRoad_tech!C194)</f>
        <v>1.3542828525275723</v>
      </c>
      <c r="D221" s="94">
        <f>IF(TrRoad_act!D82=0,0,TrRoad_emi!D79/TrRoad_tech!D194)</f>
        <v>1.6443633287102624</v>
      </c>
      <c r="E221" s="94">
        <f>IF(TrRoad_act!E82=0,0,TrRoad_emi!E79/TrRoad_tech!E194)</f>
        <v>1.7713186653161821</v>
      </c>
      <c r="F221" s="94">
        <f>IF(TrRoad_act!F82=0,0,TrRoad_emi!F79/TrRoad_tech!F194)</f>
        <v>1.7897652778549884</v>
      </c>
      <c r="G221" s="94">
        <f>IF(TrRoad_act!G82=0,0,TrRoad_emi!G79/TrRoad_tech!G194)</f>
        <v>2.0565051795217619</v>
      </c>
      <c r="H221" s="94">
        <f>IF(TrRoad_act!H82=0,0,TrRoad_emi!H79/TrRoad_tech!H194)</f>
        <v>2.1395697570634655</v>
      </c>
      <c r="I221" s="94">
        <f>IF(TrRoad_act!I82=0,0,TrRoad_emi!I79/TrRoad_tech!I194)</f>
        <v>1.8741692718053917</v>
      </c>
      <c r="J221" s="94">
        <f>IF(TrRoad_act!J82=0,0,TrRoad_emi!J79/TrRoad_tech!J194)</f>
        <v>1.8805615744453998</v>
      </c>
      <c r="K221" s="94">
        <f>IF(TrRoad_act!K82=0,0,TrRoad_emi!K79/TrRoad_tech!K194)</f>
        <v>2.0136601610218783</v>
      </c>
      <c r="L221" s="94">
        <f>IF(TrRoad_act!L82=0,0,TrRoad_emi!L79/TrRoad_tech!L194)</f>
        <v>2.0967943825104856</v>
      </c>
      <c r="M221" s="94">
        <f>IF(TrRoad_act!M82=0,0,TrRoad_emi!M79/TrRoad_tech!M194)</f>
        <v>1.6525896308654933</v>
      </c>
      <c r="N221" s="94">
        <f>IF(TrRoad_act!N82=0,0,TrRoad_emi!N79/TrRoad_tech!N194)</f>
        <v>1.4287740728712828</v>
      </c>
      <c r="O221" s="94">
        <f>IF(TrRoad_act!O82=0,0,TrRoad_emi!O79/TrRoad_tech!O194)</f>
        <v>0.98627113769772634</v>
      </c>
      <c r="P221" s="94">
        <f>IF(TrRoad_act!P82=0,0,TrRoad_emi!P79/TrRoad_tech!P194)</f>
        <v>1.616148324331907</v>
      </c>
      <c r="Q221" s="94">
        <f>IF(TrRoad_act!Q82=0,0,TrRoad_emi!Q79/TrRoad_tech!Q194)</f>
        <v>1.9815979409687965</v>
      </c>
      <c r="R221" s="94">
        <f>IF(TrRoad_act!R82=0,0,TrRoad_emi!R79/TrRoad_tech!R194)</f>
        <v>1.6915470776658408</v>
      </c>
      <c r="S221" s="94">
        <f>IF(TrRoad_act!S82=0,0,TrRoad_emi!S79/TrRoad_tech!S194)</f>
        <v>1.7999009450129413</v>
      </c>
      <c r="T221" s="94">
        <f>IF(TrRoad_act!T82=0,0,TrRoad_emi!T79/TrRoad_tech!T194)</f>
        <v>1.8793081187670142</v>
      </c>
      <c r="U221" s="94">
        <f>IF(TrRoad_act!U82=0,0,TrRoad_emi!U79/TrRoad_tech!U194)</f>
        <v>1.7937816172022047</v>
      </c>
      <c r="V221" s="94">
        <f>IF(TrRoad_act!V82=0,0,TrRoad_emi!V79/TrRoad_tech!V194)</f>
        <v>1.1479849730615064</v>
      </c>
      <c r="W221" s="94">
        <f>IF(TrRoad_act!W82=0,0,TrRoad_emi!W79/TrRoad_tech!W194)</f>
        <v>1.5343170858566519</v>
      </c>
      <c r="X221" s="94">
        <f>IF(TrRoad_act!X82=0,0,TrRoad_emi!X79/TrRoad_tech!X194)</f>
        <v>1.8879442033261151</v>
      </c>
      <c r="Y221" s="94">
        <f>IF(TrRoad_act!Y82=0,0,TrRoad_emi!Y79/TrRoad_tech!Y194)</f>
        <v>1.2109926298839135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110.5323935408461</v>
      </c>
      <c r="D225" s="152">
        <v>109.86398683371978</v>
      </c>
      <c r="E225" s="152">
        <v>108.48884734681077</v>
      </c>
      <c r="F225" s="152">
        <v>108.33860914199799</v>
      </c>
      <c r="G225" s="152">
        <v>106.87915229524504</v>
      </c>
      <c r="H225" s="152">
        <v>104.72369396905324</v>
      </c>
      <c r="I225" s="152">
        <v>103.18758497698768</v>
      </c>
      <c r="J225" s="152">
        <v>98.177600759352657</v>
      </c>
      <c r="K225" s="152">
        <v>92.773624514810564</v>
      </c>
      <c r="L225" s="152">
        <v>89.399397078147587</v>
      </c>
      <c r="M225" s="152">
        <v>86.257401507498599</v>
      </c>
      <c r="N225" s="152">
        <v>84.143475226796397</v>
      </c>
      <c r="O225" s="152">
        <v>81.177083898995392</v>
      </c>
      <c r="P225" s="152">
        <v>80.366624587037421</v>
      </c>
      <c r="Q225" s="152">
        <v>78.270685372893595</v>
      </c>
      <c r="R225" s="152">
        <v>76.785167964376569</v>
      </c>
      <c r="S225" s="152">
        <v>75.596754037562945</v>
      </c>
      <c r="T225" s="152">
        <v>74.646022896112044</v>
      </c>
      <c r="U225" s="152">
        <v>73.885437982951316</v>
      </c>
      <c r="V225" s="152">
        <v>73.27697005242274</v>
      </c>
      <c r="W225" s="152">
        <v>72.790195707999885</v>
      </c>
      <c r="X225" s="152">
        <v>72.400776232461581</v>
      </c>
      <c r="Y225" s="152">
        <v>72.089240652030952</v>
      </c>
      <c r="DA225" s="174" t="s">
        <v>933</v>
      </c>
    </row>
    <row r="226" spans="1:105" ht="11.45" customHeight="1" x14ac:dyDescent="0.25">
      <c r="A226" s="109" t="s">
        <v>20</v>
      </c>
      <c r="B226" s="116">
        <v>217.79458301615216</v>
      </c>
      <c r="C226" s="116">
        <v>216.86313104923295</v>
      </c>
      <c r="D226" s="116">
        <v>215.85660428304465</v>
      </c>
      <c r="E226" s="116">
        <v>211.52516669879731</v>
      </c>
      <c r="F226" s="116">
        <v>213.05304799012376</v>
      </c>
      <c r="G226" s="116">
        <v>210.77449327336353</v>
      </c>
      <c r="H226" s="116">
        <v>209.34007513434321</v>
      </c>
      <c r="I226" s="116">
        <v>206.20285785452779</v>
      </c>
      <c r="J226" s="116">
        <v>196.50284534292931</v>
      </c>
      <c r="K226" s="116">
        <v>187.63140894466434</v>
      </c>
      <c r="L226" s="116">
        <v>180.68435641840298</v>
      </c>
      <c r="M226" s="116">
        <v>169.18892338096464</v>
      </c>
      <c r="N226" s="116">
        <v>171.70671130965496</v>
      </c>
      <c r="O226" s="116">
        <v>164.90588058920855</v>
      </c>
      <c r="P226" s="116">
        <v>163.00978568601366</v>
      </c>
      <c r="Q226" s="116">
        <v>158.69334623600315</v>
      </c>
      <c r="R226" s="116">
        <v>153.73016099802774</v>
      </c>
      <c r="S226" s="116">
        <v>153.64641924158497</v>
      </c>
      <c r="T226" s="116">
        <v>157.31449146630655</v>
      </c>
      <c r="U226" s="116">
        <v>154.35604051222819</v>
      </c>
      <c r="V226" s="116">
        <v>143.28348624794666</v>
      </c>
      <c r="W226" s="116">
        <v>136.74953009498486</v>
      </c>
      <c r="X226" s="116">
        <v>134.9516448626805</v>
      </c>
      <c r="Y226" s="116">
        <v>134.3247673607554</v>
      </c>
      <c r="DA226" s="176" t="s">
        <v>934</v>
      </c>
    </row>
    <row r="227" spans="1:105" ht="11.45" customHeight="1" x14ac:dyDescent="0.25">
      <c r="A227" s="111" t="s">
        <v>110</v>
      </c>
      <c r="B227" s="87">
        <v>219.12110638450599</v>
      </c>
      <c r="C227" s="87">
        <v>217.92819129928904</v>
      </c>
      <c r="D227" s="87">
        <v>216.6103453713211</v>
      </c>
      <c r="E227" s="87">
        <v>213.89908895529527</v>
      </c>
      <c r="F227" s="87">
        <v>213.60287587974287</v>
      </c>
      <c r="G227" s="87">
        <v>210.72537743151921</v>
      </c>
      <c r="H227" s="87">
        <v>206.47562657206291</v>
      </c>
      <c r="I227" s="87">
        <v>203.4469990036595</v>
      </c>
      <c r="J227" s="87">
        <v>193.569199708707</v>
      </c>
      <c r="K227" s="87">
        <v>182.91459673603023</v>
      </c>
      <c r="L227" s="87">
        <v>176.25109771937676</v>
      </c>
      <c r="M227" s="87">
        <v>169.98188535171573</v>
      </c>
      <c r="N227" s="87">
        <v>165.49335070060835</v>
      </c>
      <c r="O227" s="87">
        <v>159.99271757008208</v>
      </c>
      <c r="P227" s="87">
        <v>158.485324326979</v>
      </c>
      <c r="Q227" s="87">
        <v>154.50841235008556</v>
      </c>
      <c r="R227" s="87">
        <v>153.37091865844678</v>
      </c>
      <c r="S227" s="87">
        <v>151.65768487302458</v>
      </c>
      <c r="T227" s="87">
        <v>152.99422575642589</v>
      </c>
      <c r="U227" s="87">
        <v>151.84328791083269</v>
      </c>
      <c r="V227" s="87">
        <v>142.79948566425921</v>
      </c>
      <c r="W227" s="87">
        <v>136.82663041472389</v>
      </c>
      <c r="X227" s="87">
        <v>137.01653896699639</v>
      </c>
      <c r="Y227" s="87">
        <v>135.0006094175323</v>
      </c>
      <c r="DA227" s="171" t="s">
        <v>935</v>
      </c>
    </row>
    <row r="228" spans="1:105" ht="11.45" customHeight="1" x14ac:dyDescent="0.25">
      <c r="A228" s="111" t="s">
        <v>111</v>
      </c>
      <c r="B228" s="87">
        <v>212.13732192786406</v>
      </c>
      <c r="C228" s="87">
        <v>212.03192917063342</v>
      </c>
      <c r="D228" s="87">
        <v>211.9148875164708</v>
      </c>
      <c r="E228" s="87">
        <v>212.39768433989153</v>
      </c>
      <c r="F228" s="87">
        <v>210.99684204163285</v>
      </c>
      <c r="G228" s="87">
        <v>211.62594093275683</v>
      </c>
      <c r="H228" s="87">
        <v>212.98289261070454</v>
      </c>
      <c r="I228" s="87">
        <v>211.02244490348096</v>
      </c>
      <c r="J228" s="87">
        <v>201.50183784769172</v>
      </c>
      <c r="K228" s="87">
        <v>193.58323843325309</v>
      </c>
      <c r="L228" s="87">
        <v>186.14743584223646</v>
      </c>
      <c r="M228" s="87">
        <v>178.57891602780134</v>
      </c>
      <c r="N228" s="87">
        <v>181.34183109647699</v>
      </c>
      <c r="O228" s="87">
        <v>170.92405633929278</v>
      </c>
      <c r="P228" s="87">
        <v>168.93530274401286</v>
      </c>
      <c r="Q228" s="87">
        <v>165.09426353449848</v>
      </c>
      <c r="R228" s="87">
        <v>154.65679172388624</v>
      </c>
      <c r="S228" s="87">
        <v>157.96686878173384</v>
      </c>
      <c r="T228" s="87">
        <v>167.17480855558489</v>
      </c>
      <c r="U228" s="87">
        <v>164.59686858117271</v>
      </c>
      <c r="V228" s="87">
        <v>162.6267392225227</v>
      </c>
      <c r="W228" s="87">
        <v>157.8736063888669</v>
      </c>
      <c r="X228" s="87">
        <v>158.10082355877219</v>
      </c>
      <c r="Y228" s="87">
        <v>162.95937250731191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201.91661128208202</v>
      </c>
      <c r="D229" s="87">
        <v>0</v>
      </c>
      <c r="E229" s="87">
        <v>202.2649175236202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177.26697856842702</v>
      </c>
      <c r="M229" s="87">
        <v>140.94573450149679</v>
      </c>
      <c r="N229" s="87">
        <v>167.81100639915221</v>
      </c>
      <c r="O229" s="87">
        <v>153.51699162709147</v>
      </c>
      <c r="P229" s="87">
        <v>148.7293326631675</v>
      </c>
      <c r="Q229" s="87">
        <v>124.93056583186481</v>
      </c>
      <c r="R229" s="87">
        <v>114.97795209413087</v>
      </c>
      <c r="S229" s="87">
        <v>0</v>
      </c>
      <c r="T229" s="87">
        <v>124.90909090909091</v>
      </c>
      <c r="U229" s="87">
        <v>129.44444444444451</v>
      </c>
      <c r="V229" s="87">
        <v>126.0310559006211</v>
      </c>
      <c r="W229" s="87">
        <v>120.15966386554619</v>
      </c>
      <c r="X229" s="87">
        <v>117.6917098445596</v>
      </c>
      <c r="Y229" s="87">
        <v>120.0952380952381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235.73255813953489</v>
      </c>
      <c r="M230" s="87">
        <v>169.18604651162792</v>
      </c>
      <c r="N230" s="87">
        <v>145.5</v>
      </c>
      <c r="O230" s="87">
        <v>156.41522880720214</v>
      </c>
      <c r="P230" s="87">
        <v>155.49003322259153</v>
      </c>
      <c r="Q230" s="87">
        <v>112.00667813686952</v>
      </c>
      <c r="R230" s="87">
        <v>142.11627906976744</v>
      </c>
      <c r="S230" s="87">
        <v>116.55574043728109</v>
      </c>
      <c r="T230" s="87">
        <v>145.5</v>
      </c>
      <c r="U230" s="87">
        <v>145.5</v>
      </c>
      <c r="V230" s="87">
        <v>116</v>
      </c>
      <c r="W230" s="87">
        <v>104.8333333333333</v>
      </c>
      <c r="X230" s="87">
        <v>102.5</v>
      </c>
      <c r="Y230" s="87">
        <v>106.9151276480174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44.923924542657254</v>
      </c>
      <c r="O231" s="87">
        <v>0</v>
      </c>
      <c r="P231" s="87">
        <v>38.42194486871346</v>
      </c>
      <c r="Q231" s="87">
        <v>30.716972710219668</v>
      </c>
      <c r="R231" s="87">
        <v>44.712185455582528</v>
      </c>
      <c r="S231" s="87">
        <v>52.074230238527399</v>
      </c>
      <c r="T231" s="87">
        <v>50.965108953978813</v>
      </c>
      <c r="U231" s="87">
        <v>46.475037821482601</v>
      </c>
      <c r="V231" s="87">
        <v>45.519541778975743</v>
      </c>
      <c r="W231" s="87">
        <v>38.54002869440459</v>
      </c>
      <c r="X231" s="87">
        <v>55.091561938958712</v>
      </c>
      <c r="Y231" s="87">
        <v>31.52401746724891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1458.3413101168887</v>
      </c>
      <c r="C233" s="116">
        <v>1457.0243383886332</v>
      </c>
      <c r="D233" s="116">
        <v>1457.7686355138276</v>
      </c>
      <c r="E233" s="116">
        <v>1448.9884787884512</v>
      </c>
      <c r="F233" s="116">
        <v>1449.6297387161778</v>
      </c>
      <c r="G233" s="116">
        <v>1444.9713915409577</v>
      </c>
      <c r="H233" s="116">
        <v>1441.5123017240344</v>
      </c>
      <c r="I233" s="116">
        <v>1437.0614268997999</v>
      </c>
      <c r="J233" s="116">
        <v>1413.2116937308831</v>
      </c>
      <c r="K233" s="116">
        <v>1399.1354717562763</v>
      </c>
      <c r="L233" s="116">
        <v>1379.8860512905685</v>
      </c>
      <c r="M233" s="116">
        <v>1363.689006551225</v>
      </c>
      <c r="N233" s="116">
        <v>1356.258784405793</v>
      </c>
      <c r="O233" s="116">
        <v>1343.984256461815</v>
      </c>
      <c r="P233" s="116">
        <v>1316.6711441898619</v>
      </c>
      <c r="Q233" s="116">
        <v>1290.1915953825255</v>
      </c>
      <c r="R233" s="116">
        <v>1252.3205150070719</v>
      </c>
      <c r="S233" s="116">
        <v>1263.8635945136657</v>
      </c>
      <c r="T233" s="116">
        <v>1258.8273857481306</v>
      </c>
      <c r="U233" s="116">
        <v>1220.8142896951413</v>
      </c>
      <c r="V233" s="116">
        <v>1132.2954836176355</v>
      </c>
      <c r="W233" s="116">
        <v>1080.324873888301</v>
      </c>
      <c r="X233" s="116">
        <v>968.04130107444144</v>
      </c>
      <c r="Y233" s="116">
        <v>955.42767737628765</v>
      </c>
      <c r="DA233" s="176" t="s">
        <v>941</v>
      </c>
    </row>
    <row r="234" spans="1:105" ht="11.45" customHeight="1" x14ac:dyDescent="0.25">
      <c r="A234" s="111" t="s">
        <v>110</v>
      </c>
      <c r="B234" s="101">
        <v>463.07264906080172</v>
      </c>
      <c r="C234" s="101">
        <v>0</v>
      </c>
      <c r="D234" s="101">
        <v>0</v>
      </c>
      <c r="E234" s="101">
        <v>0</v>
      </c>
      <c r="F234" s="101">
        <v>451.41087142499151</v>
      </c>
      <c r="G234" s="101">
        <v>445.32980123018774</v>
      </c>
      <c r="H234" s="101">
        <v>0</v>
      </c>
      <c r="I234" s="101">
        <v>429.94827073744869</v>
      </c>
      <c r="J234" s="101">
        <v>409.07333649730271</v>
      </c>
      <c r="K234" s="101">
        <v>0</v>
      </c>
      <c r="L234" s="101">
        <v>372.497487825615</v>
      </c>
      <c r="M234" s="101">
        <v>359.40583961457747</v>
      </c>
      <c r="N234" s="101">
        <v>350.59781344498498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319.34562853545901</v>
      </c>
      <c r="U234" s="101">
        <v>0</v>
      </c>
      <c r="V234" s="101">
        <v>314.46214173290986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1464.6873377112954</v>
      </c>
      <c r="C235" s="101">
        <v>1462.6852374155358</v>
      </c>
      <c r="D235" s="101">
        <v>1460.4638910752924</v>
      </c>
      <c r="E235" s="101">
        <v>1455.850519320694</v>
      </c>
      <c r="F235" s="101">
        <v>1455.3459702783725</v>
      </c>
      <c r="G235" s="101">
        <v>1450.3946109627232</v>
      </c>
      <c r="H235" s="101">
        <v>1442.9696889783302</v>
      </c>
      <c r="I235" s="101">
        <v>1437.6193843270366</v>
      </c>
      <c r="J235" s="101">
        <v>1419.5100526024198</v>
      </c>
      <c r="K235" s="101">
        <v>1399.1354717562763</v>
      </c>
      <c r="L235" s="101">
        <v>1386.0568847574291</v>
      </c>
      <c r="M235" s="101">
        <v>1373.54872908777</v>
      </c>
      <c r="N235" s="101">
        <v>1364.9756995214225</v>
      </c>
      <c r="O235" s="101">
        <v>1352.6187743605105</v>
      </c>
      <c r="P235" s="101">
        <v>1349.2172203394941</v>
      </c>
      <c r="Q235" s="101">
        <v>1340.2449215971562</v>
      </c>
      <c r="R235" s="101">
        <v>1321.5631113029303</v>
      </c>
      <c r="S235" s="101">
        <v>1294.5324565564554</v>
      </c>
      <c r="T235" s="101">
        <v>1260.5124744589032</v>
      </c>
      <c r="U235" s="101">
        <v>1220.8142896951413</v>
      </c>
      <c r="V235" s="101">
        <v>1176.6667644076597</v>
      </c>
      <c r="W235" s="101">
        <v>1129.1942377696776</v>
      </c>
      <c r="X235" s="101">
        <v>1079.4038812611602</v>
      </c>
      <c r="Y235" s="101">
        <v>1028.1806760556422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957.44047012395492</v>
      </c>
      <c r="Q236" s="101">
        <v>0</v>
      </c>
      <c r="R236" s="101">
        <v>944.43403379636857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922.81423548146165</v>
      </c>
      <c r="D237" s="101">
        <v>921.41277878232017</v>
      </c>
      <c r="E237" s="101">
        <v>918.50218324213813</v>
      </c>
      <c r="F237" s="101">
        <v>918.18386114053862</v>
      </c>
      <c r="G237" s="101">
        <v>915.06002783410679</v>
      </c>
      <c r="H237" s="101">
        <v>910.37561349172654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859.25910612347707</v>
      </c>
      <c r="O237" s="101">
        <v>867.82907249310176</v>
      </c>
      <c r="P237" s="101">
        <v>851.22678881067941</v>
      </c>
      <c r="Q237" s="101">
        <v>845.56612799820584</v>
      </c>
      <c r="R237" s="101">
        <v>841.34562859059304</v>
      </c>
      <c r="S237" s="101">
        <v>837.98462387401923</v>
      </c>
      <c r="T237" s="101">
        <v>835.13849474700623</v>
      </c>
      <c r="U237" s="101">
        <v>0</v>
      </c>
      <c r="V237" s="101">
        <v>0</v>
      </c>
      <c r="W237" s="101">
        <v>0</v>
      </c>
      <c r="X237" s="101">
        <v>825.85260920843336</v>
      </c>
      <c r="Y237" s="101">
        <v>823.73181640263783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253.32080890004795</v>
      </c>
      <c r="C240" s="152">
        <v>253.04654538825213</v>
      </c>
      <c r="D240" s="152">
        <v>254.17538978779339</v>
      </c>
      <c r="E240" s="152">
        <v>255.03614173052412</v>
      </c>
      <c r="F240" s="152">
        <v>253.06093879774048</v>
      </c>
      <c r="G240" s="152">
        <v>254.12010621209328</v>
      </c>
      <c r="H240" s="152">
        <v>257.0203338664453</v>
      </c>
      <c r="I240" s="152">
        <v>254.20864811836964</v>
      </c>
      <c r="J240" s="152">
        <v>243.10338017061235</v>
      </c>
      <c r="K240" s="152">
        <v>233.49587530809859</v>
      </c>
      <c r="L240" s="152">
        <v>223.75216392387844</v>
      </c>
      <c r="M240" s="152">
        <v>215.91115391225679</v>
      </c>
      <c r="N240" s="152">
        <v>218.70931445750904</v>
      </c>
      <c r="O240" s="152">
        <v>208.04043400053118</v>
      </c>
      <c r="P240" s="152">
        <v>208.15963751779367</v>
      </c>
      <c r="Q240" s="152">
        <v>209.81676930073559</v>
      </c>
      <c r="R240" s="152">
        <v>199.86926584054603</v>
      </c>
      <c r="S240" s="152">
        <v>194.14006079758229</v>
      </c>
      <c r="T240" s="152">
        <v>195.13600283165167</v>
      </c>
      <c r="U240" s="152">
        <v>187.72666854601846</v>
      </c>
      <c r="V240" s="152">
        <v>218.86875444532606</v>
      </c>
      <c r="W240" s="152">
        <v>216.28950530365421</v>
      </c>
      <c r="X240" s="152">
        <v>215.44598931517848</v>
      </c>
      <c r="Y240" s="152">
        <v>215.86550713557838</v>
      </c>
      <c r="DA240" s="174" t="s">
        <v>947</v>
      </c>
    </row>
    <row r="241" spans="1:105" ht="11.45" customHeight="1" x14ac:dyDescent="0.25">
      <c r="A241" s="111" t="s">
        <v>110</v>
      </c>
      <c r="B241" s="87">
        <v>207.00914047920025</v>
      </c>
      <c r="C241" s="87">
        <v>205.88216402982931</v>
      </c>
      <c r="D241" s="87">
        <v>204.63716231669477</v>
      </c>
      <c r="E241" s="87">
        <v>202.07577117751646</v>
      </c>
      <c r="F241" s="87">
        <v>201.79593134291281</v>
      </c>
      <c r="G241" s="87">
        <v>199.0774872353345</v>
      </c>
      <c r="H241" s="87">
        <v>195.06264226132703</v>
      </c>
      <c r="I241" s="87">
        <v>192.20142272793049</v>
      </c>
      <c r="J241" s="87">
        <v>182.86962089645365</v>
      </c>
      <c r="K241" s="87">
        <v>172.80395337627127</v>
      </c>
      <c r="L241" s="87">
        <v>166.51897913175458</v>
      </c>
      <c r="M241" s="87">
        <v>160.66656947396217</v>
      </c>
      <c r="N241" s="87">
        <v>156.72908378919172</v>
      </c>
      <c r="O241" s="87">
        <v>162.81073786735971</v>
      </c>
      <c r="P241" s="87">
        <v>162.77065843000224</v>
      </c>
      <c r="Q241" s="87">
        <v>166.014253388432</v>
      </c>
      <c r="R241" s="87">
        <v>147.34186475092082</v>
      </c>
      <c r="S241" s="87">
        <v>174.96247333536166</v>
      </c>
      <c r="T241" s="87">
        <v>174.99133726083741</v>
      </c>
      <c r="U241" s="87">
        <v>183.7624521072797</v>
      </c>
      <c r="V241" s="87">
        <v>153.713768115942</v>
      </c>
      <c r="W241" s="87">
        <v>156.9806576402321</v>
      </c>
      <c r="X241" s="87">
        <v>158.9336670838548</v>
      </c>
      <c r="Y241" s="87">
        <v>229.64711447492911</v>
      </c>
      <c r="DA241" s="171" t="s">
        <v>948</v>
      </c>
    </row>
    <row r="242" spans="1:105" ht="11.45" customHeight="1" x14ac:dyDescent="0.25">
      <c r="A242" s="111" t="s">
        <v>111</v>
      </c>
      <c r="B242" s="87">
        <v>256.80982486600755</v>
      </c>
      <c r="C242" s="87">
        <v>256.68223819110943</v>
      </c>
      <c r="D242" s="87">
        <v>256.5405495602057</v>
      </c>
      <c r="E242" s="87">
        <v>257.12501516268333</v>
      </c>
      <c r="F242" s="87">
        <v>255.42917936155527</v>
      </c>
      <c r="G242" s="87">
        <v>256.19075575266231</v>
      </c>
      <c r="H242" s="87">
        <v>257.83345831720152</v>
      </c>
      <c r="I242" s="87">
        <v>255.46017374956543</v>
      </c>
      <c r="J242" s="87">
        <v>243.93468917949662</v>
      </c>
      <c r="K242" s="87">
        <v>234.34856774492152</v>
      </c>
      <c r="L242" s="87">
        <v>225.34691191282391</v>
      </c>
      <c r="M242" s="87">
        <v>216.18459087296185</v>
      </c>
      <c r="N242" s="87">
        <v>219.52932874585616</v>
      </c>
      <c r="O242" s="87">
        <v>216.65492601208376</v>
      </c>
      <c r="P242" s="87">
        <v>211.99272127219251</v>
      </c>
      <c r="Q242" s="87">
        <v>211.6707241426021</v>
      </c>
      <c r="R242" s="87">
        <v>201.04781489767802</v>
      </c>
      <c r="S242" s="87">
        <v>195.05495554666862</v>
      </c>
      <c r="T242" s="87">
        <v>196.40474551143225</v>
      </c>
      <c r="U242" s="87">
        <v>188.28167446003121</v>
      </c>
      <c r="V242" s="87">
        <v>220.78188855838039</v>
      </c>
      <c r="W242" s="87">
        <v>219.07074874614199</v>
      </c>
      <c r="X242" s="87">
        <v>221.00589166930629</v>
      </c>
      <c r="Y242" s="87">
        <v>220.07533117289211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255.72319784333959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212.52915704765547</v>
      </c>
      <c r="O243" s="87">
        <v>0</v>
      </c>
      <c r="P243" s="87">
        <v>0</v>
      </c>
      <c r="Q243" s="87">
        <v>190.93528547596856</v>
      </c>
      <c r="R243" s="87">
        <v>0</v>
      </c>
      <c r="S243" s="87">
        <v>0</v>
      </c>
      <c r="T243" s="87">
        <v>0</v>
      </c>
      <c r="U243" s="87">
        <v>0</v>
      </c>
      <c r="V243" s="87">
        <v>141</v>
      </c>
      <c r="W243" s="87">
        <v>130</v>
      </c>
      <c r="X243" s="87">
        <v>217.88679245283021</v>
      </c>
      <c r="Y243" s="87">
        <v>216.68794326241141</v>
      </c>
      <c r="DA243" s="171" t="s">
        <v>950</v>
      </c>
    </row>
    <row r="244" spans="1:105" ht="11.45" customHeight="1" x14ac:dyDescent="0.25">
      <c r="A244" s="111" t="s">
        <v>113</v>
      </c>
      <c r="B244" s="87">
        <v>227.12662862384741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148.16183035714238</v>
      </c>
      <c r="O244" s="87">
        <v>144.67057291666703</v>
      </c>
      <c r="P244" s="87">
        <v>133.25390625</v>
      </c>
      <c r="Q244" s="87">
        <v>177.939453125</v>
      </c>
      <c r="R244" s="87">
        <v>203.359375</v>
      </c>
      <c r="S244" s="87">
        <v>152.72728393315805</v>
      </c>
      <c r="T244" s="87">
        <v>188.76420454545459</v>
      </c>
      <c r="U244" s="87">
        <v>137</v>
      </c>
      <c r="V244" s="87">
        <v>140.03614457831321</v>
      </c>
      <c r="W244" s="87">
        <v>165.28749999999999</v>
      </c>
      <c r="X244" s="87">
        <v>153.289566755084</v>
      </c>
      <c r="Y244" s="87">
        <v>166.68799999999999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935.51581398988981</v>
      </c>
      <c r="D246" s="116">
        <v>930.6779735012891</v>
      </c>
      <c r="E246" s="116">
        <v>922.167662764591</v>
      </c>
      <c r="F246" s="116">
        <v>931.94988609772383</v>
      </c>
      <c r="G246" s="116">
        <v>906.44331352878521</v>
      </c>
      <c r="H246" s="116">
        <v>897.43131007889485</v>
      </c>
      <c r="I246" s="116">
        <v>895.33773102149075</v>
      </c>
      <c r="J246" s="116">
        <v>929.93989063932565</v>
      </c>
      <c r="K246" s="116">
        <v>856.83121662142571</v>
      </c>
      <c r="L246" s="116">
        <v>843.55705370241355</v>
      </c>
      <c r="M246" s="116">
        <v>876.77161388689524</v>
      </c>
      <c r="N246" s="116">
        <v>852.44615586681368</v>
      </c>
      <c r="O246" s="116">
        <v>844.50297900366559</v>
      </c>
      <c r="P246" s="116">
        <v>801.98661069985985</v>
      </c>
      <c r="Q246" s="116">
        <v>801.34786197833057</v>
      </c>
      <c r="R246" s="116">
        <v>774.18031428715585</v>
      </c>
      <c r="S246" s="116">
        <v>734.32466484981774</v>
      </c>
      <c r="T246" s="116">
        <v>703.74439357575022</v>
      </c>
      <c r="U246" s="116">
        <v>683.48827292984936</v>
      </c>
      <c r="V246" s="116">
        <v>669.67164665962798</v>
      </c>
      <c r="W246" s="116">
        <v>666.46153230592643</v>
      </c>
      <c r="X246" s="116">
        <v>658.81083627351245</v>
      </c>
      <c r="Y246" s="116">
        <v>646.48139524037026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866.17327703951253</v>
      </c>
      <c r="D247" s="101">
        <v>861.74644543443321</v>
      </c>
      <c r="E247" s="101">
        <v>856.23421609447382</v>
      </c>
      <c r="F247" s="101">
        <v>849.65059569820755</v>
      </c>
      <c r="G247" s="101">
        <v>842.01219526886428</v>
      </c>
      <c r="H247" s="101">
        <v>833.33812658845034</v>
      </c>
      <c r="I247" s="101">
        <v>823.64988447766257</v>
      </c>
      <c r="J247" s="101">
        <v>812.9712162706569</v>
      </c>
      <c r="K247" s="101">
        <v>801.32797991720361</v>
      </c>
      <c r="L247" s="101">
        <v>788.74799227512165</v>
      </c>
      <c r="M247" s="101">
        <v>775.26086918024578</v>
      </c>
      <c r="N247" s="101">
        <v>760.89785894264446</v>
      </c>
      <c r="O247" s="101">
        <v>745.69167093711087</v>
      </c>
      <c r="P247" s="101">
        <v>729.67630091671867</v>
      </c>
      <c r="Q247" s="101">
        <v>712.88685467848711</v>
      </c>
      <c r="R247" s="101">
        <v>688.09654683046165</v>
      </c>
      <c r="S247" s="101">
        <v>670.74333133684365</v>
      </c>
      <c r="T247" s="101">
        <v>652.5224550685449</v>
      </c>
      <c r="U247" s="101">
        <v>630.25249518506871</v>
      </c>
      <c r="V247" s="101">
        <v>623.57534287930991</v>
      </c>
      <c r="W247" s="101">
        <v>606.82213867735732</v>
      </c>
      <c r="X247" s="101">
        <v>603.47892846490493</v>
      </c>
      <c r="Y247" s="101">
        <v>597.444139180256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12263</v>
      </c>
      <c r="C4" s="28">
        <f t="shared" ref="C4:V4" si="1">SUM(C5,C6,C9)</f>
        <v>12576</v>
      </c>
      <c r="D4" s="28">
        <f t="shared" si="1"/>
        <v>13067</v>
      </c>
      <c r="E4" s="28">
        <f t="shared" si="1"/>
        <v>12802</v>
      </c>
      <c r="F4" s="28">
        <f t="shared" si="1"/>
        <v>12585</v>
      </c>
      <c r="G4" s="28">
        <f t="shared" si="1"/>
        <v>12204</v>
      </c>
      <c r="H4" s="28">
        <f t="shared" si="1"/>
        <v>11941</v>
      </c>
      <c r="I4" s="28">
        <f t="shared" si="1"/>
        <v>11032</v>
      </c>
      <c r="J4" s="28">
        <f t="shared" si="1"/>
        <v>10627</v>
      </c>
      <c r="K4" s="28">
        <f t="shared" si="1"/>
        <v>10596</v>
      </c>
      <c r="L4" s="28">
        <f t="shared" si="1"/>
        <v>10170</v>
      </c>
      <c r="M4" s="28">
        <f t="shared" si="1"/>
        <v>10266.913</v>
      </c>
      <c r="N4" s="28">
        <f t="shared" si="1"/>
        <v>10305.0787</v>
      </c>
      <c r="O4" s="28">
        <f t="shared" si="1"/>
        <v>10352.4894</v>
      </c>
      <c r="P4" s="28">
        <f t="shared" si="1"/>
        <v>10557.4692</v>
      </c>
      <c r="Q4" s="28">
        <f t="shared" si="1"/>
        <v>10555.669399999999</v>
      </c>
      <c r="R4" s="28">
        <f t="shared" si="1"/>
        <v>10715.704099999999</v>
      </c>
      <c r="S4" s="28">
        <f t="shared" si="1"/>
        <v>10776.6327</v>
      </c>
      <c r="T4" s="28">
        <f t="shared" si="1"/>
        <v>10477.700000000001</v>
      </c>
      <c r="U4" s="28">
        <f t="shared" si="1"/>
        <v>10559.330399999999</v>
      </c>
      <c r="V4" s="28">
        <f t="shared" si="1"/>
        <v>6699</v>
      </c>
      <c r="W4" s="28">
        <f t="shared" ref="W4:Y4" si="2">SUM(W5,W6,W9)</f>
        <v>7201.7847000000002</v>
      </c>
      <c r="X4" s="28">
        <f t="shared" si="2"/>
        <v>10136.128199999999</v>
      </c>
      <c r="Y4" s="28">
        <f t="shared" si="2"/>
        <v>13205.638666666666</v>
      </c>
      <c r="DA4" s="173" t="s">
        <v>376</v>
      </c>
    </row>
    <row r="5" spans="1:105" ht="11.45" customHeight="1" x14ac:dyDescent="0.25">
      <c r="A5" s="107" t="s">
        <v>23</v>
      </c>
      <c r="B5" s="108">
        <v>2570.0000000000005</v>
      </c>
      <c r="C5" s="108">
        <v>2570.9999999999995</v>
      </c>
      <c r="D5" s="108">
        <v>2536</v>
      </c>
      <c r="E5" s="108">
        <v>2516</v>
      </c>
      <c r="F5" s="108">
        <v>2420</v>
      </c>
      <c r="G5" s="108">
        <v>2352.9999999999995</v>
      </c>
      <c r="H5" s="108">
        <v>2283</v>
      </c>
      <c r="I5" s="108">
        <v>2280.0000000000005</v>
      </c>
      <c r="J5" s="108">
        <v>2335</v>
      </c>
      <c r="K5" s="108">
        <v>2524</v>
      </c>
      <c r="L5" s="108">
        <v>2489</v>
      </c>
      <c r="M5" s="108">
        <v>2503.913</v>
      </c>
      <c r="N5" s="108">
        <v>2499.0787</v>
      </c>
      <c r="O5" s="108">
        <v>2510.4893999999999</v>
      </c>
      <c r="P5" s="108">
        <v>2819.4692000000005</v>
      </c>
      <c r="Q5" s="108">
        <v>2946.6693999999998</v>
      </c>
      <c r="R5" s="108">
        <v>3062.7040999999999</v>
      </c>
      <c r="S5" s="108">
        <v>3045.6327000000001</v>
      </c>
      <c r="T5" s="108">
        <v>2707.7</v>
      </c>
      <c r="U5" s="108">
        <v>2807.3303999999998</v>
      </c>
      <c r="V5" s="108">
        <v>1845</v>
      </c>
      <c r="W5" s="108">
        <v>1766.7846999999999</v>
      </c>
      <c r="X5" s="108">
        <v>2319.1282000000001</v>
      </c>
      <c r="Y5" s="108">
        <v>2801.6386666666667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9693</v>
      </c>
      <c r="C6" s="110">
        <f t="shared" ref="C6:V6" si="4">SUM(C7:C8)</f>
        <v>10005</v>
      </c>
      <c r="D6" s="110">
        <f t="shared" si="4"/>
        <v>10531</v>
      </c>
      <c r="E6" s="110">
        <f t="shared" si="4"/>
        <v>10286</v>
      </c>
      <c r="F6" s="110">
        <f t="shared" si="4"/>
        <v>10165</v>
      </c>
      <c r="G6" s="110">
        <f t="shared" si="4"/>
        <v>9851</v>
      </c>
      <c r="H6" s="110">
        <f t="shared" si="4"/>
        <v>9658</v>
      </c>
      <c r="I6" s="110">
        <f t="shared" si="4"/>
        <v>8752</v>
      </c>
      <c r="J6" s="110">
        <f t="shared" si="4"/>
        <v>8292</v>
      </c>
      <c r="K6" s="110">
        <f t="shared" si="4"/>
        <v>8071.9999999999991</v>
      </c>
      <c r="L6" s="110">
        <f t="shared" si="4"/>
        <v>7681</v>
      </c>
      <c r="M6" s="110">
        <f t="shared" si="4"/>
        <v>7763</v>
      </c>
      <c r="N6" s="110">
        <f t="shared" si="4"/>
        <v>7806</v>
      </c>
      <c r="O6" s="110">
        <f t="shared" si="4"/>
        <v>7842</v>
      </c>
      <c r="P6" s="110">
        <f t="shared" si="4"/>
        <v>7738</v>
      </c>
      <c r="Q6" s="110">
        <f t="shared" si="4"/>
        <v>7609</v>
      </c>
      <c r="R6" s="110">
        <f t="shared" si="4"/>
        <v>7653</v>
      </c>
      <c r="S6" s="110">
        <f t="shared" si="4"/>
        <v>7731</v>
      </c>
      <c r="T6" s="110">
        <f t="shared" si="4"/>
        <v>7770</v>
      </c>
      <c r="U6" s="110">
        <f t="shared" si="4"/>
        <v>7752</v>
      </c>
      <c r="V6" s="110">
        <f t="shared" si="4"/>
        <v>4854</v>
      </c>
      <c r="W6" s="110">
        <f t="shared" ref="W6:Y6" si="5">SUM(W7:W8)</f>
        <v>5435</v>
      </c>
      <c r="X6" s="110">
        <f t="shared" si="5"/>
        <v>7817</v>
      </c>
      <c r="Y6" s="110">
        <f t="shared" si="5"/>
        <v>10404</v>
      </c>
      <c r="DA6" s="176" t="s">
        <v>378</v>
      </c>
    </row>
    <row r="7" spans="1:105" ht="11.45" customHeight="1" x14ac:dyDescent="0.25">
      <c r="A7" s="111" t="s">
        <v>90</v>
      </c>
      <c r="B7" s="84">
        <v>3965.1061475208944</v>
      </c>
      <c r="C7" s="84">
        <v>3963.5151529712975</v>
      </c>
      <c r="D7" s="84">
        <v>4501.9261277036994</v>
      </c>
      <c r="E7" s="84">
        <v>4137.6368372961097</v>
      </c>
      <c r="F7" s="84">
        <v>4086.5983285286402</v>
      </c>
      <c r="G7" s="84">
        <v>3574.3272701492842</v>
      </c>
      <c r="H7" s="84">
        <v>3655.32844338117</v>
      </c>
      <c r="I7" s="84">
        <v>3130.0690384957593</v>
      </c>
      <c r="J7" s="84">
        <v>2946.4037946947965</v>
      </c>
      <c r="K7" s="84">
        <v>2955.515739919997</v>
      </c>
      <c r="L7" s="84">
        <v>2636.2101761698041</v>
      </c>
      <c r="M7" s="84">
        <v>2642.8966827044819</v>
      </c>
      <c r="N7" s="84">
        <v>2327.4605329591509</v>
      </c>
      <c r="O7" s="84">
        <v>2422.1806899014678</v>
      </c>
      <c r="P7" s="84">
        <v>2745.7533667674447</v>
      </c>
      <c r="Q7" s="84">
        <v>2134.5009921784244</v>
      </c>
      <c r="R7" s="84">
        <v>2118.9944164118924</v>
      </c>
      <c r="S7" s="84">
        <v>2203.4169956597498</v>
      </c>
      <c r="T7" s="84">
        <v>2274.3259329018219</v>
      </c>
      <c r="U7" s="84">
        <v>2154.8881762473457</v>
      </c>
      <c r="V7" s="84">
        <v>1234.4315194660981</v>
      </c>
      <c r="W7" s="84">
        <v>1201.8232210920985</v>
      </c>
      <c r="X7" s="84">
        <v>1504.471977133516</v>
      </c>
      <c r="Y7" s="84">
        <v>1939.8605063088335</v>
      </c>
      <c r="DA7" s="171" t="s">
        <v>1031</v>
      </c>
    </row>
    <row r="8" spans="1:105" ht="11.45" customHeight="1" x14ac:dyDescent="0.25">
      <c r="A8" s="111" t="s">
        <v>93</v>
      </c>
      <c r="B8" s="84">
        <v>5727.8938524791056</v>
      </c>
      <c r="C8" s="84">
        <v>6041.4848470287025</v>
      </c>
      <c r="D8" s="84">
        <v>6029.0738722963006</v>
      </c>
      <c r="E8" s="84">
        <v>6148.3631627038903</v>
      </c>
      <c r="F8" s="84">
        <v>6078.4016714713598</v>
      </c>
      <c r="G8" s="84">
        <v>6276.6727298507158</v>
      </c>
      <c r="H8" s="84">
        <v>6002.6715566188304</v>
      </c>
      <c r="I8" s="84">
        <v>5621.9309615042403</v>
      </c>
      <c r="J8" s="84">
        <v>5345.5962053052035</v>
      </c>
      <c r="K8" s="84">
        <v>5116.4842600800021</v>
      </c>
      <c r="L8" s="84">
        <v>5044.7898238301959</v>
      </c>
      <c r="M8" s="84">
        <v>5120.1033172955176</v>
      </c>
      <c r="N8" s="84">
        <v>5478.5394670408496</v>
      </c>
      <c r="O8" s="84">
        <v>5419.8193100985318</v>
      </c>
      <c r="P8" s="84">
        <v>4992.2466332325548</v>
      </c>
      <c r="Q8" s="84">
        <v>5474.499007821576</v>
      </c>
      <c r="R8" s="84">
        <v>5534.0055835881076</v>
      </c>
      <c r="S8" s="84">
        <v>5527.5830043402502</v>
      </c>
      <c r="T8" s="84">
        <v>5495.6740670981781</v>
      </c>
      <c r="U8" s="84">
        <v>5597.1118237526543</v>
      </c>
      <c r="V8" s="84">
        <v>3619.5684805339019</v>
      </c>
      <c r="W8" s="84">
        <v>4233.1767789079013</v>
      </c>
      <c r="X8" s="84">
        <v>6312.5280228664842</v>
      </c>
      <c r="Y8" s="84">
        <v>8464.1394936911674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8800</v>
      </c>
      <c r="C10" s="28">
        <f t="shared" ref="C10:V10" si="7">SUM(C11:C12)</f>
        <v>7700</v>
      </c>
      <c r="D10" s="28">
        <f t="shared" si="7"/>
        <v>7800</v>
      </c>
      <c r="E10" s="28">
        <f t="shared" si="7"/>
        <v>7614</v>
      </c>
      <c r="F10" s="28">
        <f t="shared" si="7"/>
        <v>8749</v>
      </c>
      <c r="G10" s="28">
        <f t="shared" si="7"/>
        <v>9090</v>
      </c>
      <c r="H10" s="28">
        <f t="shared" si="7"/>
        <v>10167</v>
      </c>
      <c r="I10" s="28">
        <f t="shared" si="7"/>
        <v>10048</v>
      </c>
      <c r="J10" s="28">
        <f t="shared" si="7"/>
        <v>9874</v>
      </c>
      <c r="K10" s="28">
        <f t="shared" si="7"/>
        <v>7673</v>
      </c>
      <c r="L10" s="28">
        <f t="shared" si="7"/>
        <v>8809</v>
      </c>
      <c r="M10" s="28">
        <f t="shared" si="7"/>
        <v>9118</v>
      </c>
      <c r="N10" s="28">
        <f t="shared" si="7"/>
        <v>9230</v>
      </c>
      <c r="O10" s="28">
        <f t="shared" si="7"/>
        <v>9722</v>
      </c>
      <c r="P10" s="28">
        <f t="shared" si="7"/>
        <v>10158</v>
      </c>
      <c r="Q10" s="28">
        <f t="shared" si="7"/>
        <v>10010</v>
      </c>
      <c r="R10" s="28">
        <f t="shared" si="7"/>
        <v>10528</v>
      </c>
      <c r="S10" s="28">
        <f t="shared" si="7"/>
        <v>13356</v>
      </c>
      <c r="T10" s="28">
        <f t="shared" si="7"/>
        <v>10584</v>
      </c>
      <c r="U10" s="28">
        <f t="shared" si="7"/>
        <v>10625</v>
      </c>
      <c r="V10" s="28">
        <f t="shared" si="7"/>
        <v>11595</v>
      </c>
      <c r="W10" s="28">
        <f t="shared" ref="W10:Y10" si="8">SUM(W11:W12)</f>
        <v>11347</v>
      </c>
      <c r="X10" s="28">
        <f t="shared" si="8"/>
        <v>11351</v>
      </c>
      <c r="Y10" s="28">
        <f t="shared" si="8"/>
        <v>10460</v>
      </c>
      <c r="DA10" s="173" t="s">
        <v>384</v>
      </c>
    </row>
    <row r="11" spans="1:105" ht="11.45" customHeight="1" x14ac:dyDescent="0.25">
      <c r="A11" s="83" t="s">
        <v>90</v>
      </c>
      <c r="B11" s="84">
        <v>2281.4252611848046</v>
      </c>
      <c r="C11" s="84">
        <v>1932.6792871432026</v>
      </c>
      <c r="D11" s="84">
        <v>1974.0390574899593</v>
      </c>
      <c r="E11" s="84">
        <v>1839.4026561175478</v>
      </c>
      <c r="F11" s="84">
        <v>2000.0279309450514</v>
      </c>
      <c r="G11" s="84">
        <v>1980.3084735941575</v>
      </c>
      <c r="H11" s="84">
        <v>2368.3006785155117</v>
      </c>
      <c r="I11" s="84">
        <v>2256.9786156850455</v>
      </c>
      <c r="J11" s="84">
        <v>2092.2336539588841</v>
      </c>
      <c r="K11" s="84">
        <v>1468.8850902439685</v>
      </c>
      <c r="L11" s="84">
        <v>1461.5278140268886</v>
      </c>
      <c r="M11" s="84">
        <v>687.09789959801276</v>
      </c>
      <c r="N11" s="84">
        <v>1452.0365335872566</v>
      </c>
      <c r="O11" s="84">
        <v>1489.8063341235263</v>
      </c>
      <c r="P11" s="84">
        <v>1683.6234055611787</v>
      </c>
      <c r="Q11" s="84">
        <v>1448.7966670871151</v>
      </c>
      <c r="R11" s="84">
        <v>1492.1821271381655</v>
      </c>
      <c r="S11" s="84">
        <v>1922.1438990327267</v>
      </c>
      <c r="T11" s="84">
        <v>1529.5224324430185</v>
      </c>
      <c r="U11" s="84">
        <v>1449.0927839752858</v>
      </c>
      <c r="V11" s="84">
        <v>1431.8839271828861</v>
      </c>
      <c r="W11" s="84">
        <v>1393.1825572878743</v>
      </c>
      <c r="X11" s="84">
        <v>1683.7938741883238</v>
      </c>
      <c r="Y11" s="84">
        <v>1556.0784193332688</v>
      </c>
      <c r="DA11" s="171" t="s">
        <v>1033</v>
      </c>
    </row>
    <row r="12" spans="1:105" ht="11.45" customHeight="1" x14ac:dyDescent="0.25">
      <c r="A12" s="85" t="s">
        <v>93</v>
      </c>
      <c r="B12" s="86">
        <v>6518.5747388151958</v>
      </c>
      <c r="C12" s="86">
        <v>5767.3207128567974</v>
      </c>
      <c r="D12" s="86">
        <v>5825.9609425100407</v>
      </c>
      <c r="E12" s="86">
        <v>5774.5973438824522</v>
      </c>
      <c r="F12" s="86">
        <v>6748.9720690549484</v>
      </c>
      <c r="G12" s="86">
        <v>7109.6915264058425</v>
      </c>
      <c r="H12" s="86">
        <v>7798.6993214844879</v>
      </c>
      <c r="I12" s="86">
        <v>7791.021384314954</v>
      </c>
      <c r="J12" s="86">
        <v>7781.7663460411159</v>
      </c>
      <c r="K12" s="86">
        <v>6204.1149097560319</v>
      </c>
      <c r="L12" s="86">
        <v>7347.4721859731117</v>
      </c>
      <c r="M12" s="86">
        <v>8430.9021004019869</v>
      </c>
      <c r="N12" s="86">
        <v>7777.9634664127434</v>
      </c>
      <c r="O12" s="86">
        <v>8232.1936658764735</v>
      </c>
      <c r="P12" s="86">
        <v>8474.3765944388215</v>
      </c>
      <c r="Q12" s="86">
        <v>8561.2033329128844</v>
      </c>
      <c r="R12" s="86">
        <v>9035.817872861835</v>
      </c>
      <c r="S12" s="86">
        <v>11433.856100967274</v>
      </c>
      <c r="T12" s="86">
        <v>9054.4775675569817</v>
      </c>
      <c r="U12" s="86">
        <v>9175.9072160247142</v>
      </c>
      <c r="V12" s="86">
        <v>10163.116072817114</v>
      </c>
      <c r="W12" s="86">
        <v>9953.8174427121266</v>
      </c>
      <c r="X12" s="86">
        <v>9667.2061258116755</v>
      </c>
      <c r="Y12" s="86">
        <v>8903.9215806667307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104.87954510626132</v>
      </c>
      <c r="C14" s="62">
        <f t="shared" ref="C14:V14" si="10">C15+C21</f>
        <v>106.00423269517083</v>
      </c>
      <c r="D14" s="62">
        <f t="shared" si="10"/>
        <v>105.65113951577636</v>
      </c>
      <c r="E14" s="62">
        <f t="shared" si="10"/>
        <v>109.51144617402203</v>
      </c>
      <c r="F14" s="62">
        <f t="shared" si="10"/>
        <v>110.89179801899095</v>
      </c>
      <c r="G14" s="62">
        <f t="shared" si="10"/>
        <v>109.28146537206852</v>
      </c>
      <c r="H14" s="62">
        <f t="shared" si="10"/>
        <v>114.4731603277485</v>
      </c>
      <c r="I14" s="62">
        <f t="shared" si="10"/>
        <v>117.73988744615394</v>
      </c>
      <c r="J14" s="62">
        <f t="shared" si="10"/>
        <v>118.52315567412124</v>
      </c>
      <c r="K14" s="62">
        <f t="shared" si="10"/>
        <v>124.76982823843869</v>
      </c>
      <c r="L14" s="62">
        <f t="shared" si="10"/>
        <v>116.59201269330281</v>
      </c>
      <c r="M14" s="62">
        <f t="shared" si="10"/>
        <v>115.67727907549209</v>
      </c>
      <c r="N14" s="62">
        <f t="shared" si="10"/>
        <v>105.94883927083958</v>
      </c>
      <c r="O14" s="62">
        <f t="shared" si="10"/>
        <v>124.92152323686386</v>
      </c>
      <c r="P14" s="62">
        <f t="shared" si="10"/>
        <v>126.3296719395307</v>
      </c>
      <c r="Q14" s="62">
        <f t="shared" si="10"/>
        <v>126.94846707821389</v>
      </c>
      <c r="R14" s="62">
        <f t="shared" si="10"/>
        <v>130.25300912029465</v>
      </c>
      <c r="S14" s="62">
        <f t="shared" si="10"/>
        <v>132.94609804610658</v>
      </c>
      <c r="T14" s="62">
        <f t="shared" si="10"/>
        <v>129.28801604536332</v>
      </c>
      <c r="U14" s="62">
        <f t="shared" si="10"/>
        <v>127.08926043348397</v>
      </c>
      <c r="V14" s="62">
        <f t="shared" si="10"/>
        <v>121.14626039074095</v>
      </c>
      <c r="W14" s="62">
        <f t="shared" ref="W14:Y14" si="11">W15+W21</f>
        <v>122.27349305597244</v>
      </c>
      <c r="X14" s="62">
        <f t="shared" si="11"/>
        <v>126.8780631284653</v>
      </c>
      <c r="Y14" s="62">
        <f t="shared" si="11"/>
        <v>118.52049283075168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90.112593582586797</v>
      </c>
      <c r="C15" s="29">
        <f t="shared" ref="C15:V15" si="13">SUM(C16,C17,C20)</f>
        <v>92.114904896865696</v>
      </c>
      <c r="D15" s="29">
        <f t="shared" si="13"/>
        <v>91.422620294016326</v>
      </c>
      <c r="E15" s="29">
        <f t="shared" si="13"/>
        <v>95.36536136541379</v>
      </c>
      <c r="F15" s="29">
        <f t="shared" si="13"/>
        <v>95.15679679357315</v>
      </c>
      <c r="G15" s="29">
        <f t="shared" si="13"/>
        <v>93.27433686982458</v>
      </c>
      <c r="H15" s="29">
        <f t="shared" si="13"/>
        <v>96.212265426188566</v>
      </c>
      <c r="I15" s="29">
        <f t="shared" si="13"/>
        <v>98.469550377185428</v>
      </c>
      <c r="J15" s="29">
        <f t="shared" si="13"/>
        <v>99.606115353583377</v>
      </c>
      <c r="K15" s="29">
        <f t="shared" si="13"/>
        <v>110.02907738988573</v>
      </c>
      <c r="L15" s="29">
        <f t="shared" si="13"/>
        <v>100.69366636277611</v>
      </c>
      <c r="M15" s="29">
        <f t="shared" si="13"/>
        <v>99.934251995099018</v>
      </c>
      <c r="N15" s="29">
        <f t="shared" si="13"/>
        <v>91.805582259040094</v>
      </c>
      <c r="O15" s="29">
        <f t="shared" si="13"/>
        <v>108.05179349609421</v>
      </c>
      <c r="P15" s="29">
        <f t="shared" si="13"/>
        <v>108.71217489608512</v>
      </c>
      <c r="Q15" s="29">
        <f t="shared" si="13"/>
        <v>110.33145311100706</v>
      </c>
      <c r="R15" s="29">
        <f t="shared" si="13"/>
        <v>113.44780258625077</v>
      </c>
      <c r="S15" s="29">
        <f t="shared" si="13"/>
        <v>111.81655475276737</v>
      </c>
      <c r="T15" s="29">
        <f t="shared" si="13"/>
        <v>109.90207346937279</v>
      </c>
      <c r="U15" s="29">
        <f t="shared" si="13"/>
        <v>108.16486840498665</v>
      </c>
      <c r="V15" s="29">
        <f t="shared" si="13"/>
        <v>96.696629175031106</v>
      </c>
      <c r="W15" s="29">
        <f t="shared" ref="W15:Y15" si="14">SUM(W16,W17,W20)</f>
        <v>100.44643837668556</v>
      </c>
      <c r="X15" s="29">
        <f t="shared" si="14"/>
        <v>104.93091820194986</v>
      </c>
      <c r="Y15" s="29">
        <f t="shared" si="14"/>
        <v>101.40395278436442</v>
      </c>
      <c r="DA15" s="173" t="s">
        <v>1036</v>
      </c>
    </row>
    <row r="16" spans="1:105" ht="11.45" customHeight="1" x14ac:dyDescent="0.25">
      <c r="A16" s="107" t="s">
        <v>23</v>
      </c>
      <c r="B16" s="115">
        <v>29.64325265696823</v>
      </c>
      <c r="C16" s="115">
        <v>29.809008679351383</v>
      </c>
      <c r="D16" s="115">
        <v>28.980908309935998</v>
      </c>
      <c r="E16" s="115">
        <v>29.813943605337712</v>
      </c>
      <c r="F16" s="115">
        <v>28.869605672230424</v>
      </c>
      <c r="G16" s="115">
        <v>27.868316803002884</v>
      </c>
      <c r="H16" s="115">
        <v>27.338876366327597</v>
      </c>
      <c r="I16" s="115">
        <v>28.72454051899663</v>
      </c>
      <c r="J16" s="115">
        <v>29.656348793104115</v>
      </c>
      <c r="K16" s="115">
        <v>32.409391953142816</v>
      </c>
      <c r="L16" s="115">
        <v>31.830354963828508</v>
      </c>
      <c r="M16" s="115">
        <v>32.267318213731997</v>
      </c>
      <c r="N16" s="115">
        <v>31.923380526877708</v>
      </c>
      <c r="O16" s="115">
        <v>31.873021604444876</v>
      </c>
      <c r="P16" s="115">
        <v>36.20256604198066</v>
      </c>
      <c r="Q16" s="115">
        <v>40.902510205899517</v>
      </c>
      <c r="R16" s="115">
        <v>42.513179696337943</v>
      </c>
      <c r="S16" s="115">
        <v>41.434722078312873</v>
      </c>
      <c r="T16" s="115">
        <v>34.837830829161867</v>
      </c>
      <c r="U16" s="115">
        <v>36.166128765980702</v>
      </c>
      <c r="V16" s="115">
        <v>34.725775509239178</v>
      </c>
      <c r="W16" s="115">
        <v>34.150921446319764</v>
      </c>
      <c r="X16" s="115">
        <v>37.745411813014641</v>
      </c>
      <c r="Y16" s="115">
        <v>26.713946993166616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60.469340925618567</v>
      </c>
      <c r="C17" s="116">
        <f t="shared" ref="C17:V17" si="16">SUM(C18:C19)</f>
        <v>62.305896217514317</v>
      </c>
      <c r="D17" s="116">
        <f t="shared" si="16"/>
        <v>62.441711984080335</v>
      </c>
      <c r="E17" s="116">
        <f t="shared" si="16"/>
        <v>65.551417760076077</v>
      </c>
      <c r="F17" s="116">
        <f t="shared" si="16"/>
        <v>66.28719112134273</v>
      </c>
      <c r="G17" s="116">
        <f t="shared" si="16"/>
        <v>65.406020066821696</v>
      </c>
      <c r="H17" s="116">
        <f t="shared" si="16"/>
        <v>68.873389059860969</v>
      </c>
      <c r="I17" s="116">
        <f t="shared" si="16"/>
        <v>69.745009858188794</v>
      </c>
      <c r="J17" s="116">
        <f t="shared" si="16"/>
        <v>69.949766560479262</v>
      </c>
      <c r="K17" s="116">
        <f t="shared" si="16"/>
        <v>77.619685436742913</v>
      </c>
      <c r="L17" s="116">
        <f t="shared" si="16"/>
        <v>68.863311398947602</v>
      </c>
      <c r="M17" s="116">
        <f t="shared" si="16"/>
        <v>67.666933781367021</v>
      </c>
      <c r="N17" s="116">
        <f t="shared" si="16"/>
        <v>59.882201732162386</v>
      </c>
      <c r="O17" s="116">
        <f t="shared" si="16"/>
        <v>76.178771891649333</v>
      </c>
      <c r="P17" s="116">
        <f t="shared" si="16"/>
        <v>72.509608854104457</v>
      </c>
      <c r="Q17" s="116">
        <f t="shared" si="16"/>
        <v>69.428942905107547</v>
      </c>
      <c r="R17" s="116">
        <f t="shared" si="16"/>
        <v>70.934622889912831</v>
      </c>
      <c r="S17" s="116">
        <f t="shared" si="16"/>
        <v>70.3818326744545</v>
      </c>
      <c r="T17" s="116">
        <f t="shared" si="16"/>
        <v>75.064242640210935</v>
      </c>
      <c r="U17" s="116">
        <f t="shared" si="16"/>
        <v>71.998739639005947</v>
      </c>
      <c r="V17" s="116">
        <f t="shared" si="16"/>
        <v>61.970853665791928</v>
      </c>
      <c r="W17" s="116">
        <f t="shared" ref="W17:Y17" si="17">SUM(W18:W19)</f>
        <v>66.295516930365807</v>
      </c>
      <c r="X17" s="116">
        <f t="shared" si="17"/>
        <v>67.185506388935224</v>
      </c>
      <c r="Y17" s="116">
        <f t="shared" si="17"/>
        <v>74.690005791197805</v>
      </c>
      <c r="DA17" s="176" t="s">
        <v>1038</v>
      </c>
    </row>
    <row r="18" spans="1:105" ht="11.45" customHeight="1" x14ac:dyDescent="0.25">
      <c r="A18" s="111" t="s">
        <v>92</v>
      </c>
      <c r="B18" s="87">
        <v>29.965947060802804</v>
      </c>
      <c r="C18" s="87">
        <v>29.948387132984301</v>
      </c>
      <c r="D18" s="87">
        <v>30.663148249961928</v>
      </c>
      <c r="E18" s="87">
        <v>30.828604338972816</v>
      </c>
      <c r="F18" s="87">
        <v>28.993653490402046</v>
      </c>
      <c r="G18" s="87">
        <v>26.942462877841344</v>
      </c>
      <c r="H18" s="87">
        <v>25.382206412888593</v>
      </c>
      <c r="I18" s="87">
        <v>25.314588108635576</v>
      </c>
      <c r="J18" s="87">
        <v>26.158060436667895</v>
      </c>
      <c r="K18" s="87">
        <v>28.900751049755549</v>
      </c>
      <c r="L18" s="87">
        <v>26.116224011862403</v>
      </c>
      <c r="M18" s="87">
        <v>24.292545853596355</v>
      </c>
      <c r="N18" s="87">
        <v>20.619575460447962</v>
      </c>
      <c r="O18" s="87">
        <v>24.276725901224086</v>
      </c>
      <c r="P18" s="87">
        <v>26.206148144481144</v>
      </c>
      <c r="Q18" s="87">
        <v>21.523684571414272</v>
      </c>
      <c r="R18" s="87">
        <v>21.672713011771076</v>
      </c>
      <c r="S18" s="87">
        <v>22.507811476573949</v>
      </c>
      <c r="T18" s="87">
        <v>22.279984834301207</v>
      </c>
      <c r="U18" s="87">
        <v>20.21850387372038</v>
      </c>
      <c r="V18" s="87">
        <v>15.711104858790618</v>
      </c>
      <c r="W18" s="87">
        <v>15.423551646409962</v>
      </c>
      <c r="X18" s="87">
        <v>15.132441922221721</v>
      </c>
      <c r="Y18" s="87">
        <v>16.887485795361105</v>
      </c>
      <c r="DA18" s="171" t="s">
        <v>1039</v>
      </c>
    </row>
    <row r="19" spans="1:105" ht="11.45" customHeight="1" x14ac:dyDescent="0.25">
      <c r="A19" s="111" t="s">
        <v>93</v>
      </c>
      <c r="B19" s="87">
        <v>30.503393864815767</v>
      </c>
      <c r="C19" s="87">
        <v>32.357509084530015</v>
      </c>
      <c r="D19" s="87">
        <v>31.778563734118407</v>
      </c>
      <c r="E19" s="87">
        <v>34.722813421103261</v>
      </c>
      <c r="F19" s="87">
        <v>37.293537630940683</v>
      </c>
      <c r="G19" s="87">
        <v>38.463557188980353</v>
      </c>
      <c r="H19" s="87">
        <v>43.491182646972376</v>
      </c>
      <c r="I19" s="87">
        <v>44.430421749553219</v>
      </c>
      <c r="J19" s="87">
        <v>43.791706123811366</v>
      </c>
      <c r="K19" s="87">
        <v>48.718934386987364</v>
      </c>
      <c r="L19" s="87">
        <v>42.747087387085202</v>
      </c>
      <c r="M19" s="87">
        <v>43.37438792777067</v>
      </c>
      <c r="N19" s="87">
        <v>39.262626271714424</v>
      </c>
      <c r="O19" s="87">
        <v>51.90204599042525</v>
      </c>
      <c r="P19" s="87">
        <v>46.303460709623309</v>
      </c>
      <c r="Q19" s="87">
        <v>47.905258333693276</v>
      </c>
      <c r="R19" s="87">
        <v>49.261909878141751</v>
      </c>
      <c r="S19" s="87">
        <v>47.874021197880552</v>
      </c>
      <c r="T19" s="87">
        <v>52.784257805909732</v>
      </c>
      <c r="U19" s="87">
        <v>51.780235765285568</v>
      </c>
      <c r="V19" s="87">
        <v>46.259748807001309</v>
      </c>
      <c r="W19" s="87">
        <v>50.871965283955838</v>
      </c>
      <c r="X19" s="87">
        <v>52.053064466713501</v>
      </c>
      <c r="Y19" s="87">
        <v>57.802519995836704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14.766951523674518</v>
      </c>
      <c r="C21" s="29">
        <f t="shared" ref="C21:V21" si="19">SUM(C22:C23)</f>
        <v>13.889327798305128</v>
      </c>
      <c r="D21" s="29">
        <f t="shared" si="19"/>
        <v>14.228519221760042</v>
      </c>
      <c r="E21" s="29">
        <f t="shared" si="19"/>
        <v>14.146084808608233</v>
      </c>
      <c r="F21" s="29">
        <f t="shared" si="19"/>
        <v>15.735001225417797</v>
      </c>
      <c r="G21" s="29">
        <f t="shared" si="19"/>
        <v>16.007128502243944</v>
      </c>
      <c r="H21" s="29">
        <f t="shared" si="19"/>
        <v>18.26089490155994</v>
      </c>
      <c r="I21" s="29">
        <f t="shared" si="19"/>
        <v>19.270337068968516</v>
      </c>
      <c r="J21" s="29">
        <f t="shared" si="19"/>
        <v>18.917040320537865</v>
      </c>
      <c r="K21" s="29">
        <f t="shared" si="19"/>
        <v>14.740750848552967</v>
      </c>
      <c r="L21" s="29">
        <f t="shared" si="19"/>
        <v>15.898346330526696</v>
      </c>
      <c r="M21" s="29">
        <f t="shared" si="19"/>
        <v>15.743027080393073</v>
      </c>
      <c r="N21" s="29">
        <f t="shared" si="19"/>
        <v>14.143257011799486</v>
      </c>
      <c r="O21" s="29">
        <f t="shared" si="19"/>
        <v>16.869729740769657</v>
      </c>
      <c r="P21" s="29">
        <f t="shared" si="19"/>
        <v>17.617497043445582</v>
      </c>
      <c r="Q21" s="29">
        <f t="shared" si="19"/>
        <v>16.617013967206837</v>
      </c>
      <c r="R21" s="29">
        <f t="shared" si="19"/>
        <v>16.805206534043879</v>
      </c>
      <c r="S21" s="29">
        <f t="shared" si="19"/>
        <v>21.1295432933392</v>
      </c>
      <c r="T21" s="29">
        <f t="shared" si="19"/>
        <v>19.385942575990526</v>
      </c>
      <c r="U21" s="29">
        <f t="shared" si="19"/>
        <v>18.924392028497323</v>
      </c>
      <c r="V21" s="29">
        <f t="shared" si="19"/>
        <v>24.449631215709847</v>
      </c>
      <c r="W21" s="29">
        <f t="shared" ref="W21:Y21" si="20">SUM(W22:W23)</f>
        <v>21.827054679286878</v>
      </c>
      <c r="X21" s="29">
        <f t="shared" si="20"/>
        <v>21.947144926515438</v>
      </c>
      <c r="Y21" s="29">
        <f t="shared" si="20"/>
        <v>17.116540046387261</v>
      </c>
      <c r="DA21" s="173" t="s">
        <v>1042</v>
      </c>
    </row>
    <row r="22" spans="1:105" ht="11.45" customHeight="1" x14ac:dyDescent="0.25">
      <c r="A22" s="83" t="s">
        <v>92</v>
      </c>
      <c r="B22" s="87">
        <v>3.0820287381419402</v>
      </c>
      <c r="C22" s="87">
        <v>2.7467999635705924</v>
      </c>
      <c r="D22" s="87">
        <v>2.7156351198974389</v>
      </c>
      <c r="E22" s="87">
        <v>2.4261694747671312</v>
      </c>
      <c r="F22" s="87">
        <v>2.4851212367943831</v>
      </c>
      <c r="G22" s="87">
        <v>2.4821933732597627</v>
      </c>
      <c r="H22" s="87">
        <v>2.9530195290045449</v>
      </c>
      <c r="I22" s="87">
        <v>2.9246715751330798</v>
      </c>
      <c r="J22" s="87">
        <v>2.6893431742590885</v>
      </c>
      <c r="K22" s="87">
        <v>1.949770947275677</v>
      </c>
      <c r="L22" s="87">
        <v>1.9576781267673</v>
      </c>
      <c r="M22" s="87">
        <v>0.82272440327418184</v>
      </c>
      <c r="N22" s="87">
        <v>1.5555538774271327</v>
      </c>
      <c r="O22" s="87">
        <v>1.857872431371433</v>
      </c>
      <c r="P22" s="87">
        <v>2.0013496758971563</v>
      </c>
      <c r="Q22" s="87">
        <v>1.7413676943855536</v>
      </c>
      <c r="R22" s="87">
        <v>1.5668696966864213</v>
      </c>
      <c r="S22" s="87">
        <v>1.9047845533356209</v>
      </c>
      <c r="T22" s="87">
        <v>2.1149467479579362</v>
      </c>
      <c r="U22" s="87">
        <v>1.9640350110061879</v>
      </c>
      <c r="V22" s="87">
        <v>2.5319661454879525</v>
      </c>
      <c r="W22" s="87">
        <v>2.6868699446170141</v>
      </c>
      <c r="X22" s="87">
        <v>3.1116094751863268</v>
      </c>
      <c r="Y22" s="87">
        <v>2.1204866456720972</v>
      </c>
      <c r="DA22" s="171" t="s">
        <v>1043</v>
      </c>
    </row>
    <row r="23" spans="1:105" ht="11.45" customHeight="1" x14ac:dyDescent="0.25">
      <c r="A23" s="85" t="s">
        <v>93</v>
      </c>
      <c r="B23" s="88">
        <v>11.684922785532578</v>
      </c>
      <c r="C23" s="88">
        <v>11.142527834734537</v>
      </c>
      <c r="D23" s="88">
        <v>11.512884101862603</v>
      </c>
      <c r="E23" s="88">
        <v>11.719915333841101</v>
      </c>
      <c r="F23" s="88">
        <v>13.249879988623414</v>
      </c>
      <c r="G23" s="88">
        <v>13.524935128984181</v>
      </c>
      <c r="H23" s="88">
        <v>15.307875372555396</v>
      </c>
      <c r="I23" s="88">
        <v>16.345665493835437</v>
      </c>
      <c r="J23" s="88">
        <v>16.227697146278775</v>
      </c>
      <c r="K23" s="88">
        <v>12.790979901277289</v>
      </c>
      <c r="L23" s="88">
        <v>13.940668203759396</v>
      </c>
      <c r="M23" s="88">
        <v>14.920302677118892</v>
      </c>
      <c r="N23" s="88">
        <v>12.587703134372353</v>
      </c>
      <c r="O23" s="88">
        <v>15.011857309398225</v>
      </c>
      <c r="P23" s="88">
        <v>15.616147367548425</v>
      </c>
      <c r="Q23" s="88">
        <v>14.875646272821283</v>
      </c>
      <c r="R23" s="88">
        <v>15.238336837357458</v>
      </c>
      <c r="S23" s="88">
        <v>19.22475874000358</v>
      </c>
      <c r="T23" s="88">
        <v>17.270995828032589</v>
      </c>
      <c r="U23" s="88">
        <v>16.960357017491134</v>
      </c>
      <c r="V23" s="88">
        <v>21.917665070221894</v>
      </c>
      <c r="W23" s="88">
        <v>19.140184734669862</v>
      </c>
      <c r="X23" s="88">
        <v>18.835535451329111</v>
      </c>
      <c r="Y23" s="88">
        <v>14.996053400715164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746.44781499999999</v>
      </c>
      <c r="C25" s="62">
        <f t="shared" ref="C25:V25" si="22">C26+C32</f>
        <v>755.94540099999995</v>
      </c>
      <c r="D25" s="62">
        <f t="shared" si="22"/>
        <v>750.88348100000007</v>
      </c>
      <c r="E25" s="62">
        <f t="shared" si="22"/>
        <v>778.77572799999996</v>
      </c>
      <c r="F25" s="62">
        <f t="shared" si="22"/>
        <v>783.04057699999998</v>
      </c>
      <c r="G25" s="62">
        <f t="shared" si="22"/>
        <v>769.42411300000003</v>
      </c>
      <c r="H25" s="62">
        <f t="shared" si="22"/>
        <v>798.99564300000009</v>
      </c>
      <c r="I25" s="62">
        <f t="shared" si="22"/>
        <v>822.45060599999988</v>
      </c>
      <c r="J25" s="62">
        <f t="shared" si="22"/>
        <v>830.52015099999994</v>
      </c>
      <c r="K25" s="62">
        <f t="shared" si="22"/>
        <v>899.29713299999992</v>
      </c>
      <c r="L25" s="62">
        <f t="shared" si="22"/>
        <v>848.00035500000001</v>
      </c>
      <c r="M25" s="62">
        <f t="shared" si="22"/>
        <v>827.87733800000001</v>
      </c>
      <c r="N25" s="62">
        <f t="shared" si="22"/>
        <v>777.54937300000006</v>
      </c>
      <c r="O25" s="62">
        <f t="shared" si="22"/>
        <v>881.96187199999997</v>
      </c>
      <c r="P25" s="62">
        <f t="shared" si="22"/>
        <v>917.58742199999995</v>
      </c>
      <c r="Q25" s="62">
        <f t="shared" si="22"/>
        <v>929.02481899999998</v>
      </c>
      <c r="R25" s="62">
        <f t="shared" si="22"/>
        <v>943.40697299999999</v>
      </c>
      <c r="S25" s="62">
        <f t="shared" si="22"/>
        <v>951.53922800000009</v>
      </c>
      <c r="T25" s="62">
        <f t="shared" si="22"/>
        <v>951.01523399999996</v>
      </c>
      <c r="U25" s="62">
        <f t="shared" si="22"/>
        <v>903.39654900000005</v>
      </c>
      <c r="V25" s="62">
        <f t="shared" si="22"/>
        <v>877.61572999999999</v>
      </c>
      <c r="W25" s="62">
        <f t="shared" ref="W25:Y25" si="23">W26+W32</f>
        <v>869.61325199999999</v>
      </c>
      <c r="X25" s="62">
        <f t="shared" si="23"/>
        <v>904.50493699999993</v>
      </c>
      <c r="Y25" s="62">
        <f t="shared" si="23"/>
        <v>920.20304700000008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672.61305700000003</v>
      </c>
      <c r="C26" s="29">
        <f t="shared" ref="C26:V26" si="25">SUM(C27,C28,C31)</f>
        <v>686.36363099999994</v>
      </c>
      <c r="D26" s="29">
        <f t="shared" si="25"/>
        <v>679.74088400000005</v>
      </c>
      <c r="E26" s="29">
        <f t="shared" si="25"/>
        <v>708.04530299999999</v>
      </c>
      <c r="F26" s="29">
        <f t="shared" si="25"/>
        <v>704.36556999999993</v>
      </c>
      <c r="G26" s="29">
        <f t="shared" si="25"/>
        <v>689.38846999999998</v>
      </c>
      <c r="H26" s="29">
        <f t="shared" si="25"/>
        <v>707.69116800000006</v>
      </c>
      <c r="I26" s="29">
        <f t="shared" si="25"/>
        <v>726.09891999999991</v>
      </c>
      <c r="J26" s="29">
        <f t="shared" si="25"/>
        <v>735.93494899999996</v>
      </c>
      <c r="K26" s="29">
        <f t="shared" si="25"/>
        <v>812.09540599999991</v>
      </c>
      <c r="L26" s="29">
        <f t="shared" si="25"/>
        <v>767.93232499999999</v>
      </c>
      <c r="M26" s="29">
        <f t="shared" si="25"/>
        <v>744.45214999999996</v>
      </c>
      <c r="N26" s="29">
        <f t="shared" si="25"/>
        <v>701.01255000000003</v>
      </c>
      <c r="O26" s="29">
        <f t="shared" si="25"/>
        <v>797.61322199999995</v>
      </c>
      <c r="P26" s="29">
        <f t="shared" si="25"/>
        <v>829.49993599999993</v>
      </c>
      <c r="Q26" s="29">
        <f t="shared" si="25"/>
        <v>845.93974800000001</v>
      </c>
      <c r="R26" s="29">
        <f t="shared" si="25"/>
        <v>859.38093900000001</v>
      </c>
      <c r="S26" s="29">
        <f t="shared" si="25"/>
        <v>845.89151100000004</v>
      </c>
      <c r="T26" s="29">
        <f t="shared" si="25"/>
        <v>850.15916700000002</v>
      </c>
      <c r="U26" s="29">
        <f t="shared" si="25"/>
        <v>808.774587</v>
      </c>
      <c r="V26" s="29">
        <f t="shared" si="25"/>
        <v>755.36757299999999</v>
      </c>
      <c r="W26" s="29">
        <f t="shared" ref="W26:Y26" si="26">SUM(W27,W28,W31)</f>
        <v>752.43303700000001</v>
      </c>
      <c r="X26" s="29">
        <f t="shared" si="26"/>
        <v>791.04348499999992</v>
      </c>
      <c r="Y26" s="29">
        <f t="shared" si="26"/>
        <v>814.12507000000005</v>
      </c>
      <c r="DA26" s="173" t="s">
        <v>1046</v>
      </c>
    </row>
    <row r="27" spans="1:105" ht="11.45" customHeight="1" x14ac:dyDescent="0.25">
      <c r="A27" s="107" t="s">
        <v>23</v>
      </c>
      <c r="B27" s="115">
        <v>269.48411599999997</v>
      </c>
      <c r="C27" s="115">
        <v>270.99098800000002</v>
      </c>
      <c r="D27" s="115">
        <v>263.46280300000001</v>
      </c>
      <c r="E27" s="115">
        <v>271.03585099999998</v>
      </c>
      <c r="F27" s="115">
        <v>262.45096100000001</v>
      </c>
      <c r="G27" s="115">
        <v>253.34833499999999</v>
      </c>
      <c r="H27" s="115">
        <v>248.53523999999999</v>
      </c>
      <c r="I27" s="115">
        <v>261.13218699999999</v>
      </c>
      <c r="J27" s="115">
        <v>269.60317099999997</v>
      </c>
      <c r="K27" s="115">
        <v>294.63083599999999</v>
      </c>
      <c r="L27" s="115">
        <v>289.36686400000002</v>
      </c>
      <c r="M27" s="115">
        <v>293.33925699999998</v>
      </c>
      <c r="N27" s="115">
        <v>290.21255100000002</v>
      </c>
      <c r="O27" s="115">
        <v>289.75474200000002</v>
      </c>
      <c r="P27" s="115">
        <v>329.114237</v>
      </c>
      <c r="Q27" s="115">
        <v>371.841002</v>
      </c>
      <c r="R27" s="115">
        <v>386.483452</v>
      </c>
      <c r="S27" s="115">
        <v>376.67929199999998</v>
      </c>
      <c r="T27" s="115">
        <v>349.73088100000001</v>
      </c>
      <c r="U27" s="115">
        <v>328.78298899999999</v>
      </c>
      <c r="V27" s="115">
        <v>315.68886900000001</v>
      </c>
      <c r="W27" s="115">
        <v>310.46292299999999</v>
      </c>
      <c r="X27" s="115">
        <v>343.140108</v>
      </c>
      <c r="Y27" s="115">
        <v>316.19169699999998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403.128941</v>
      </c>
      <c r="C28" s="116">
        <f t="shared" ref="C28:V28" si="28">SUM(C29:C30)</f>
        <v>415.37264299999998</v>
      </c>
      <c r="D28" s="116">
        <f t="shared" si="28"/>
        <v>416.27808099999999</v>
      </c>
      <c r="E28" s="116">
        <f t="shared" si="28"/>
        <v>437.00945200000001</v>
      </c>
      <c r="F28" s="116">
        <f t="shared" si="28"/>
        <v>441.91460899999998</v>
      </c>
      <c r="G28" s="116">
        <f t="shared" si="28"/>
        <v>436.04013500000002</v>
      </c>
      <c r="H28" s="116">
        <f t="shared" si="28"/>
        <v>459.15592800000002</v>
      </c>
      <c r="I28" s="116">
        <f t="shared" si="28"/>
        <v>464.96673299999998</v>
      </c>
      <c r="J28" s="116">
        <f t="shared" si="28"/>
        <v>466.33177799999999</v>
      </c>
      <c r="K28" s="116">
        <f t="shared" si="28"/>
        <v>517.46456999999998</v>
      </c>
      <c r="L28" s="116">
        <f t="shared" si="28"/>
        <v>478.56546099999997</v>
      </c>
      <c r="M28" s="116">
        <f t="shared" si="28"/>
        <v>451.11289299999999</v>
      </c>
      <c r="N28" s="116">
        <f t="shared" si="28"/>
        <v>410.79999900000001</v>
      </c>
      <c r="O28" s="116">
        <f t="shared" si="28"/>
        <v>507.85847999999999</v>
      </c>
      <c r="P28" s="116">
        <f t="shared" si="28"/>
        <v>500.38569899999999</v>
      </c>
      <c r="Q28" s="116">
        <f t="shared" si="28"/>
        <v>474.09874600000001</v>
      </c>
      <c r="R28" s="116">
        <f t="shared" si="28"/>
        <v>472.89748700000001</v>
      </c>
      <c r="S28" s="116">
        <f t="shared" si="28"/>
        <v>469.212219</v>
      </c>
      <c r="T28" s="116">
        <f t="shared" si="28"/>
        <v>500.42828600000001</v>
      </c>
      <c r="U28" s="116">
        <f t="shared" si="28"/>
        <v>479.99159800000001</v>
      </c>
      <c r="V28" s="116">
        <f t="shared" si="28"/>
        <v>439.67870399999998</v>
      </c>
      <c r="W28" s="116">
        <f t="shared" ref="W28:Y28" si="29">SUM(W29:W30)</f>
        <v>441.97011399999997</v>
      </c>
      <c r="X28" s="116">
        <f t="shared" si="29"/>
        <v>447.90337699999998</v>
      </c>
      <c r="Y28" s="116">
        <f t="shared" si="29"/>
        <v>497.93337300000002</v>
      </c>
      <c r="DA28" s="176" t="s">
        <v>1048</v>
      </c>
    </row>
    <row r="29" spans="1:105" ht="11.45" customHeight="1" x14ac:dyDescent="0.25">
      <c r="A29" s="111" t="s">
        <v>92</v>
      </c>
      <c r="B29" s="87">
        <v>199.77298099999999</v>
      </c>
      <c r="C29" s="87">
        <v>199.65591499999999</v>
      </c>
      <c r="D29" s="87">
        <v>204.42098899999999</v>
      </c>
      <c r="E29" s="87">
        <v>205.52402899999998</v>
      </c>
      <c r="F29" s="87">
        <v>193.29102399999999</v>
      </c>
      <c r="G29" s="87">
        <v>179.61642000000001</v>
      </c>
      <c r="H29" s="87">
        <v>169.21471</v>
      </c>
      <c r="I29" s="87">
        <v>168.76392100000001</v>
      </c>
      <c r="J29" s="87">
        <v>174.38706999999999</v>
      </c>
      <c r="K29" s="87">
        <v>192.671674</v>
      </c>
      <c r="L29" s="87">
        <v>174.108161</v>
      </c>
      <c r="M29" s="87">
        <v>161.95030599999998</v>
      </c>
      <c r="N29" s="87">
        <v>141.97300799999999</v>
      </c>
      <c r="O29" s="87">
        <v>161.84484</v>
      </c>
      <c r="P29" s="87">
        <v>174.70765499999999</v>
      </c>
      <c r="Q29" s="87">
        <v>154.730357</v>
      </c>
      <c r="R29" s="87">
        <v>144.48475400000001</v>
      </c>
      <c r="S29" s="87">
        <v>150.052077</v>
      </c>
      <c r="T29" s="87">
        <v>148.533233</v>
      </c>
      <c r="U29" s="87">
        <v>134.79002600000001</v>
      </c>
      <c r="V29" s="87">
        <v>114.81272799999999</v>
      </c>
      <c r="W29" s="87">
        <v>102.823678</v>
      </c>
      <c r="X29" s="87">
        <v>100.882947</v>
      </c>
      <c r="Y29" s="87">
        <v>112.58323899999999</v>
      </c>
      <c r="DA29" s="171" t="s">
        <v>1049</v>
      </c>
    </row>
    <row r="30" spans="1:105" ht="11.45" customHeight="1" x14ac:dyDescent="0.25">
      <c r="A30" s="111" t="s">
        <v>93</v>
      </c>
      <c r="B30" s="87">
        <v>203.35596000000001</v>
      </c>
      <c r="C30" s="87">
        <v>215.71672799999999</v>
      </c>
      <c r="D30" s="87">
        <v>211.85709199999999</v>
      </c>
      <c r="E30" s="87">
        <v>231.485423</v>
      </c>
      <c r="F30" s="87">
        <v>248.62358499999999</v>
      </c>
      <c r="G30" s="87">
        <v>256.42371500000002</v>
      </c>
      <c r="H30" s="87">
        <v>289.94121799999999</v>
      </c>
      <c r="I30" s="87">
        <v>296.20281199999999</v>
      </c>
      <c r="J30" s="87">
        <v>291.94470799999999</v>
      </c>
      <c r="K30" s="87">
        <v>324.79289599999998</v>
      </c>
      <c r="L30" s="87">
        <v>304.45729999999998</v>
      </c>
      <c r="M30" s="87">
        <v>289.16258699999997</v>
      </c>
      <c r="N30" s="87">
        <v>268.82699100000002</v>
      </c>
      <c r="O30" s="87">
        <v>346.01364000000001</v>
      </c>
      <c r="P30" s="87">
        <v>325.678044</v>
      </c>
      <c r="Q30" s="87">
        <v>319.36838899999998</v>
      </c>
      <c r="R30" s="87">
        <v>328.412733</v>
      </c>
      <c r="S30" s="87">
        <v>319.16014200000001</v>
      </c>
      <c r="T30" s="87">
        <v>351.89505300000002</v>
      </c>
      <c r="U30" s="87">
        <v>345.201572</v>
      </c>
      <c r="V30" s="87">
        <v>324.86597599999999</v>
      </c>
      <c r="W30" s="87">
        <v>339.14643599999999</v>
      </c>
      <c r="X30" s="87">
        <v>347.02042999999998</v>
      </c>
      <c r="Y30" s="87">
        <v>385.35013400000003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73.834757999999994</v>
      </c>
      <c r="C32" s="29">
        <f t="shared" ref="C32:V32" si="31">SUM(C33:C34)</f>
        <v>69.581770000000006</v>
      </c>
      <c r="D32" s="29">
        <f t="shared" si="31"/>
        <v>71.142596999999995</v>
      </c>
      <c r="E32" s="29">
        <f t="shared" si="31"/>
        <v>70.730424999999997</v>
      </c>
      <c r="F32" s="29">
        <f t="shared" si="31"/>
        <v>78.675006999999994</v>
      </c>
      <c r="G32" s="29">
        <f t="shared" si="31"/>
        <v>80.035642999999993</v>
      </c>
      <c r="H32" s="29">
        <f t="shared" si="31"/>
        <v>91.304474999999996</v>
      </c>
      <c r="I32" s="29">
        <f t="shared" si="31"/>
        <v>96.351685999999987</v>
      </c>
      <c r="J32" s="29">
        <f t="shared" si="31"/>
        <v>94.585201999999995</v>
      </c>
      <c r="K32" s="29">
        <f t="shared" si="31"/>
        <v>87.201727000000005</v>
      </c>
      <c r="L32" s="29">
        <f t="shared" si="31"/>
        <v>80.068029999999993</v>
      </c>
      <c r="M32" s="29">
        <f t="shared" si="31"/>
        <v>83.425187999999991</v>
      </c>
      <c r="N32" s="29">
        <f t="shared" si="31"/>
        <v>76.536822999999998</v>
      </c>
      <c r="O32" s="29">
        <f t="shared" si="31"/>
        <v>84.348649999999992</v>
      </c>
      <c r="P32" s="29">
        <f t="shared" si="31"/>
        <v>88.087485999999998</v>
      </c>
      <c r="Q32" s="29">
        <f t="shared" si="31"/>
        <v>83.085070999999999</v>
      </c>
      <c r="R32" s="29">
        <f t="shared" si="31"/>
        <v>84.026033999999996</v>
      </c>
      <c r="S32" s="29">
        <f t="shared" si="31"/>
        <v>105.647717</v>
      </c>
      <c r="T32" s="29">
        <f t="shared" si="31"/>
        <v>100.856067</v>
      </c>
      <c r="U32" s="29">
        <f t="shared" si="31"/>
        <v>94.621961999999996</v>
      </c>
      <c r="V32" s="29">
        <f t="shared" si="31"/>
        <v>122.24815699999999</v>
      </c>
      <c r="W32" s="29">
        <f t="shared" ref="W32:Y32" si="32">SUM(W33:W34)</f>
        <v>117.18021499999999</v>
      </c>
      <c r="X32" s="29">
        <f t="shared" si="32"/>
        <v>113.46145199999999</v>
      </c>
      <c r="Y32" s="29">
        <f t="shared" si="32"/>
        <v>106.07797699999999</v>
      </c>
      <c r="DA32" s="173" t="s">
        <v>1052</v>
      </c>
    </row>
    <row r="33" spans="1:105" ht="11.45" customHeight="1" x14ac:dyDescent="0.25">
      <c r="A33" s="83" t="s">
        <v>92</v>
      </c>
      <c r="B33" s="87">
        <v>15.410143999999999</v>
      </c>
      <c r="C33" s="87">
        <v>13.869129999999998</v>
      </c>
      <c r="D33" s="87">
        <v>13.578175999999999</v>
      </c>
      <c r="E33" s="87">
        <v>12.130847999999999</v>
      </c>
      <c r="F33" s="87">
        <v>12.425606999999999</v>
      </c>
      <c r="G33" s="87">
        <v>12.410966999999999</v>
      </c>
      <c r="H33" s="87">
        <v>14.765098</v>
      </c>
      <c r="I33" s="87">
        <v>14.623358</v>
      </c>
      <c r="J33" s="87">
        <v>13.446715999999999</v>
      </c>
      <c r="K33" s="87">
        <v>11.905702</v>
      </c>
      <c r="L33" s="87">
        <v>10.364687999999999</v>
      </c>
      <c r="M33" s="87">
        <v>8.8236739999999987</v>
      </c>
      <c r="N33" s="87">
        <v>7.7777700000000003</v>
      </c>
      <c r="O33" s="87">
        <v>9.2893629999999998</v>
      </c>
      <c r="P33" s="87">
        <v>10.006748999999999</v>
      </c>
      <c r="Q33" s="87">
        <v>8.7068389999999987</v>
      </c>
      <c r="R33" s="87">
        <v>7.8343490000000005</v>
      </c>
      <c r="S33" s="87">
        <v>9.5239229999999999</v>
      </c>
      <c r="T33" s="87">
        <v>10.574733999999999</v>
      </c>
      <c r="U33" s="87">
        <v>9.820176</v>
      </c>
      <c r="V33" s="87">
        <v>12.659830999999999</v>
      </c>
      <c r="W33" s="87">
        <v>13.434349999999998</v>
      </c>
      <c r="X33" s="87">
        <v>15.558047999999999</v>
      </c>
      <c r="Y33" s="87">
        <v>14.017033999999999</v>
      </c>
      <c r="DA33" s="171" t="s">
        <v>1053</v>
      </c>
    </row>
    <row r="34" spans="1:105" ht="11.45" customHeight="1" x14ac:dyDescent="0.25">
      <c r="A34" s="85" t="s">
        <v>93</v>
      </c>
      <c r="B34" s="88">
        <v>58.424613999999998</v>
      </c>
      <c r="C34" s="88">
        <v>55.71264</v>
      </c>
      <c r="D34" s="88">
        <v>57.564420999999996</v>
      </c>
      <c r="E34" s="88">
        <v>58.599576999999996</v>
      </c>
      <c r="F34" s="88">
        <v>66.249399999999994</v>
      </c>
      <c r="G34" s="88">
        <v>67.624675999999994</v>
      </c>
      <c r="H34" s="88">
        <v>76.539377000000002</v>
      </c>
      <c r="I34" s="88">
        <v>81.728327999999991</v>
      </c>
      <c r="J34" s="88">
        <v>81.138486</v>
      </c>
      <c r="K34" s="88">
        <v>75.296025</v>
      </c>
      <c r="L34" s="88">
        <v>69.703341999999992</v>
      </c>
      <c r="M34" s="88">
        <v>74.601513999999995</v>
      </c>
      <c r="N34" s="88">
        <v>68.759052999999994</v>
      </c>
      <c r="O34" s="88">
        <v>75.059286999999998</v>
      </c>
      <c r="P34" s="88">
        <v>78.080736999999999</v>
      </c>
      <c r="Q34" s="88">
        <v>74.378231999999997</v>
      </c>
      <c r="R34" s="88">
        <v>76.191684999999993</v>
      </c>
      <c r="S34" s="88">
        <v>96.123794000000004</v>
      </c>
      <c r="T34" s="88">
        <v>90.281333000000004</v>
      </c>
      <c r="U34" s="88">
        <v>84.801785999999993</v>
      </c>
      <c r="V34" s="88">
        <v>109.588326</v>
      </c>
      <c r="W34" s="88">
        <v>103.74586499999999</v>
      </c>
      <c r="X34" s="88">
        <v>97.903403999999995</v>
      </c>
      <c r="Y34" s="88">
        <v>92.060942999999995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35.602141000000017</v>
      </c>
      <c r="D36" s="54">
        <f t="shared" ref="D36:V36" si="34">D37+D43</f>
        <v>19.201500999999979</v>
      </c>
      <c r="E36" s="54">
        <f t="shared" si="34"/>
        <v>53.048229999999954</v>
      </c>
      <c r="F36" s="54">
        <f t="shared" si="34"/>
        <v>34.106076999999999</v>
      </c>
      <c r="G36" s="54">
        <f t="shared" si="34"/>
        <v>17.735956000000044</v>
      </c>
      <c r="H36" s="54">
        <f t="shared" si="34"/>
        <v>57.581462999999992</v>
      </c>
      <c r="I36" s="54">
        <f t="shared" si="34"/>
        <v>47.718384000000029</v>
      </c>
      <c r="J36" s="54">
        <f t="shared" si="34"/>
        <v>32.954841999999999</v>
      </c>
      <c r="K36" s="54">
        <f t="shared" si="34"/>
        <v>98.012024000000025</v>
      </c>
      <c r="L36" s="54">
        <f t="shared" si="34"/>
        <v>3.769061000000022</v>
      </c>
      <c r="M36" s="54">
        <f t="shared" si="34"/>
        <v>19.76068599999995</v>
      </c>
      <c r="N36" s="54">
        <f t="shared" si="34"/>
        <v>5.906327000000033</v>
      </c>
      <c r="O36" s="54">
        <f t="shared" si="34"/>
        <v>128.67592000000002</v>
      </c>
      <c r="P36" s="54">
        <f t="shared" si="34"/>
        <v>74.061230999999978</v>
      </c>
      <c r="Q36" s="54">
        <f t="shared" si="34"/>
        <v>51.759797999999989</v>
      </c>
      <c r="R36" s="54">
        <f t="shared" si="34"/>
        <v>42.553704000000025</v>
      </c>
      <c r="S36" s="54">
        <f t="shared" si="34"/>
        <v>36.256058000000017</v>
      </c>
      <c r="T36" s="54">
        <f t="shared" si="34"/>
        <v>45.640178000000034</v>
      </c>
      <c r="U36" s="54">
        <f t="shared" si="34"/>
        <v>0</v>
      </c>
      <c r="V36" s="54">
        <f t="shared" si="34"/>
        <v>30.038049000000008</v>
      </c>
      <c r="W36" s="54">
        <f t="shared" ref="W36:Y36" si="35">W37+W43</f>
        <v>25.580167999999986</v>
      </c>
      <c r="X36" s="54">
        <f t="shared" si="35"/>
        <v>63.140478999999999</v>
      </c>
      <c r="Y36" s="54">
        <f t="shared" si="35"/>
        <v>62.848530000000054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35.602141000000017</v>
      </c>
      <c r="D37" s="28">
        <f t="shared" ref="D37:V37" si="37">SUM(D38,D39,D42)</f>
        <v>15.228819999999985</v>
      </c>
      <c r="E37" s="28">
        <f t="shared" si="37"/>
        <v>50.155985999999956</v>
      </c>
      <c r="F37" s="28">
        <f t="shared" si="37"/>
        <v>23.749640999999997</v>
      </c>
      <c r="G37" s="28">
        <f t="shared" si="37"/>
        <v>13.963466000000039</v>
      </c>
      <c r="H37" s="28">
        <f t="shared" si="37"/>
        <v>43.900776999999977</v>
      </c>
      <c r="I37" s="28">
        <f t="shared" si="37"/>
        <v>40.259319000000033</v>
      </c>
      <c r="J37" s="28">
        <f t="shared" si="37"/>
        <v>31.687595999999985</v>
      </c>
      <c r="K37" s="28">
        <f t="shared" si="37"/>
        <v>98.012024000000025</v>
      </c>
      <c r="L37" s="28">
        <f t="shared" si="37"/>
        <v>3.769061000000022</v>
      </c>
      <c r="M37" s="28">
        <f t="shared" si="37"/>
        <v>13.005425999999943</v>
      </c>
      <c r="N37" s="28">
        <f t="shared" si="37"/>
        <v>5.906327000000033</v>
      </c>
      <c r="O37" s="28">
        <f t="shared" si="37"/>
        <v>118.45223900000002</v>
      </c>
      <c r="P37" s="28">
        <f t="shared" si="37"/>
        <v>67.910540999999967</v>
      </c>
      <c r="Q37" s="28">
        <f t="shared" si="37"/>
        <v>51.759797999999989</v>
      </c>
      <c r="R37" s="28">
        <f t="shared" si="37"/>
        <v>38.883163000000025</v>
      </c>
      <c r="S37" s="28">
        <f t="shared" si="37"/>
        <v>12.222521</v>
      </c>
      <c r="T37" s="28">
        <f t="shared" si="37"/>
        <v>44.034601000000038</v>
      </c>
      <c r="U37" s="28">
        <f t="shared" si="37"/>
        <v>0</v>
      </c>
      <c r="V37" s="28">
        <f t="shared" si="37"/>
        <v>0</v>
      </c>
      <c r="W37" s="28">
        <f t="shared" ref="W37:Y37" si="38">SUM(W38,W39,W42)</f>
        <v>24.250882999999988</v>
      </c>
      <c r="X37" s="28">
        <f t="shared" si="38"/>
        <v>60.462014999999994</v>
      </c>
      <c r="Y37" s="28">
        <f t="shared" si="38"/>
        <v>62.848530000000054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10.539905000000033</v>
      </c>
      <c r="D38" s="108">
        <v>1.5048479999999813</v>
      </c>
      <c r="E38" s="108">
        <v>16.606080999999961</v>
      </c>
      <c r="F38" s="108">
        <v>0.44814300000001595</v>
      </c>
      <c r="G38" s="108">
        <v>0</v>
      </c>
      <c r="H38" s="108">
        <v>4.2199379999999849</v>
      </c>
      <c r="I38" s="108">
        <v>21.629979999999989</v>
      </c>
      <c r="J38" s="108">
        <v>17.504016999999976</v>
      </c>
      <c r="K38" s="108">
        <v>34.060698000000002</v>
      </c>
      <c r="L38" s="108">
        <v>3.769061000000022</v>
      </c>
      <c r="M38" s="108">
        <v>13.005425999999943</v>
      </c>
      <c r="N38" s="108">
        <v>5.906327000000033</v>
      </c>
      <c r="O38" s="108">
        <v>8.5752239999999915</v>
      </c>
      <c r="P38" s="108">
        <v>48.39252799999997</v>
      </c>
      <c r="Q38" s="108">
        <v>51.759797999999989</v>
      </c>
      <c r="R38" s="108">
        <v>23.675482999999986</v>
      </c>
      <c r="S38" s="108">
        <v>0</v>
      </c>
      <c r="T38" s="108">
        <v>0</v>
      </c>
      <c r="U38" s="108">
        <v>0</v>
      </c>
      <c r="V38" s="108">
        <v>0</v>
      </c>
      <c r="W38" s="108">
        <v>3.8070869999999672</v>
      </c>
      <c r="X38" s="108">
        <v>41.710217999999998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25.062235999999984</v>
      </c>
      <c r="D39" s="110">
        <f t="shared" ref="D39:V39" si="40">SUM(D40:D41)</f>
        <v>13.723972000000003</v>
      </c>
      <c r="E39" s="110">
        <f t="shared" si="40"/>
        <v>33.549904999999995</v>
      </c>
      <c r="F39" s="110">
        <f t="shared" si="40"/>
        <v>23.301497999999981</v>
      </c>
      <c r="G39" s="110">
        <f t="shared" si="40"/>
        <v>13.963466000000039</v>
      </c>
      <c r="H39" s="110">
        <f t="shared" si="40"/>
        <v>39.680838999999992</v>
      </c>
      <c r="I39" s="110">
        <f t="shared" si="40"/>
        <v>18.629339000000044</v>
      </c>
      <c r="J39" s="110">
        <f t="shared" si="40"/>
        <v>14.183579000000009</v>
      </c>
      <c r="K39" s="110">
        <f t="shared" si="40"/>
        <v>63.951326000000023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109.87701500000003</v>
      </c>
      <c r="P39" s="110">
        <f t="shared" si="40"/>
        <v>19.518012999999996</v>
      </c>
      <c r="Q39" s="110">
        <f t="shared" si="40"/>
        <v>0</v>
      </c>
      <c r="R39" s="110">
        <f t="shared" si="40"/>
        <v>15.207680000000039</v>
      </c>
      <c r="S39" s="110">
        <f t="shared" si="40"/>
        <v>12.222521</v>
      </c>
      <c r="T39" s="110">
        <f t="shared" si="40"/>
        <v>44.034601000000038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20.44379600000002</v>
      </c>
      <c r="X39" s="110">
        <f t="shared" si="41"/>
        <v>18.751796999999996</v>
      </c>
      <c r="Y39" s="110">
        <f t="shared" si="41"/>
        <v>62.848530000000054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6.5381320000000187</v>
      </c>
      <c r="D40" s="84">
        <v>11.420272000000011</v>
      </c>
      <c r="E40" s="84">
        <v>7.7582380000000057</v>
      </c>
      <c r="F40" s="84">
        <v>0</v>
      </c>
      <c r="G40" s="84">
        <v>0</v>
      </c>
      <c r="H40" s="84">
        <v>0</v>
      </c>
      <c r="I40" s="84">
        <v>6.2044090000000267</v>
      </c>
      <c r="J40" s="84">
        <v>12.278346999999997</v>
      </c>
      <c r="K40" s="84">
        <v>24.939802000000014</v>
      </c>
      <c r="L40" s="84">
        <v>0</v>
      </c>
      <c r="M40" s="84">
        <v>0</v>
      </c>
      <c r="N40" s="84">
        <v>0</v>
      </c>
      <c r="O40" s="84">
        <v>26.527030000000025</v>
      </c>
      <c r="P40" s="84">
        <v>19.518012999999996</v>
      </c>
      <c r="Q40" s="84">
        <v>0</v>
      </c>
      <c r="R40" s="84">
        <v>0</v>
      </c>
      <c r="S40" s="84">
        <v>12.222521</v>
      </c>
      <c r="T40" s="84">
        <v>5.1363540000000114</v>
      </c>
      <c r="U40" s="84">
        <v>0</v>
      </c>
      <c r="V40" s="84">
        <v>0</v>
      </c>
      <c r="W40" s="84">
        <v>0</v>
      </c>
      <c r="X40" s="84">
        <v>4.7144669999999991</v>
      </c>
      <c r="Y40" s="84">
        <v>18.355489999999989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18.524103999999966</v>
      </c>
      <c r="D41" s="84">
        <v>2.3036999999999921</v>
      </c>
      <c r="E41" s="84">
        <v>25.79166699999999</v>
      </c>
      <c r="F41" s="84">
        <v>23.301497999999981</v>
      </c>
      <c r="G41" s="84">
        <v>13.963466000000039</v>
      </c>
      <c r="H41" s="84">
        <v>39.680838999999992</v>
      </c>
      <c r="I41" s="84">
        <v>12.424930000000018</v>
      </c>
      <c r="J41" s="84">
        <v>1.9052320000000122</v>
      </c>
      <c r="K41" s="84">
        <v>39.011524000000009</v>
      </c>
      <c r="L41" s="84">
        <v>0</v>
      </c>
      <c r="M41" s="84">
        <v>0</v>
      </c>
      <c r="N41" s="84">
        <v>0</v>
      </c>
      <c r="O41" s="84">
        <v>83.349985000000004</v>
      </c>
      <c r="P41" s="84">
        <v>0</v>
      </c>
      <c r="Q41" s="84">
        <v>0</v>
      </c>
      <c r="R41" s="84">
        <v>15.207680000000039</v>
      </c>
      <c r="S41" s="84">
        <v>0</v>
      </c>
      <c r="T41" s="84">
        <v>38.898247000000026</v>
      </c>
      <c r="U41" s="84">
        <v>0</v>
      </c>
      <c r="V41" s="84">
        <v>0</v>
      </c>
      <c r="W41" s="84">
        <v>20.44379600000002</v>
      </c>
      <c r="X41" s="84">
        <v>14.037329999999997</v>
      </c>
      <c r="Y41" s="84">
        <v>44.493040000000065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3.9726809999999944</v>
      </c>
      <c r="E43" s="28">
        <f t="shared" si="43"/>
        <v>2.892243999999998</v>
      </c>
      <c r="F43" s="28">
        <f t="shared" si="43"/>
        <v>10.356436000000004</v>
      </c>
      <c r="G43" s="28">
        <f t="shared" si="43"/>
        <v>3.7724900000000048</v>
      </c>
      <c r="H43" s="28">
        <f t="shared" si="43"/>
        <v>13.680686000000014</v>
      </c>
      <c r="I43" s="28">
        <f t="shared" si="43"/>
        <v>7.4590649999999936</v>
      </c>
      <c r="J43" s="28">
        <f t="shared" si="43"/>
        <v>1.2672460000000143</v>
      </c>
      <c r="K43" s="28">
        <f t="shared" si="43"/>
        <v>0</v>
      </c>
      <c r="L43" s="28">
        <f t="shared" si="43"/>
        <v>0</v>
      </c>
      <c r="M43" s="28">
        <f t="shared" si="43"/>
        <v>6.7552600000000069</v>
      </c>
      <c r="N43" s="28">
        <f t="shared" si="43"/>
        <v>0</v>
      </c>
      <c r="O43" s="28">
        <f t="shared" si="43"/>
        <v>10.223681000000008</v>
      </c>
      <c r="P43" s="28">
        <f t="shared" si="43"/>
        <v>6.1506900000000062</v>
      </c>
      <c r="Q43" s="28">
        <f t="shared" si="43"/>
        <v>0</v>
      </c>
      <c r="R43" s="28">
        <f t="shared" si="43"/>
        <v>3.6705410000000001</v>
      </c>
      <c r="S43" s="28">
        <f t="shared" si="43"/>
        <v>24.033537000000017</v>
      </c>
      <c r="T43" s="28">
        <f t="shared" si="43"/>
        <v>1.6055770000000003</v>
      </c>
      <c r="U43" s="28">
        <f t="shared" si="43"/>
        <v>0</v>
      </c>
      <c r="V43" s="28">
        <f t="shared" si="43"/>
        <v>30.038049000000008</v>
      </c>
      <c r="W43" s="28">
        <f t="shared" ref="W43:Y43" si="44">SUM(W44:W45)</f>
        <v>1.3292850000000005</v>
      </c>
      <c r="X43" s="28">
        <f t="shared" si="44"/>
        <v>2.6784640000000017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0.26381200000000149</v>
      </c>
      <c r="E44" s="84">
        <v>0</v>
      </c>
      <c r="F44" s="84">
        <v>0.84952500000000164</v>
      </c>
      <c r="G44" s="84">
        <v>0.54012600000000077</v>
      </c>
      <c r="H44" s="84">
        <v>2.9088970000000014</v>
      </c>
      <c r="I44" s="84">
        <v>0.41302600000000034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2.0663590000000003</v>
      </c>
      <c r="P44" s="84">
        <v>1.2721520000000002</v>
      </c>
      <c r="Q44" s="84">
        <v>0</v>
      </c>
      <c r="R44" s="84">
        <v>0</v>
      </c>
      <c r="S44" s="84">
        <v>2.2443400000000002</v>
      </c>
      <c r="T44" s="84">
        <v>1.6055770000000003</v>
      </c>
      <c r="U44" s="84">
        <v>0</v>
      </c>
      <c r="V44" s="84">
        <v>3.3944209999999995</v>
      </c>
      <c r="W44" s="84">
        <v>1.3292850000000005</v>
      </c>
      <c r="X44" s="84">
        <v>2.6784640000000017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3.7088689999999929</v>
      </c>
      <c r="E45" s="86">
        <v>2.892243999999998</v>
      </c>
      <c r="F45" s="86">
        <v>9.5069110000000023</v>
      </c>
      <c r="G45" s="86">
        <v>3.232364000000004</v>
      </c>
      <c r="H45" s="86">
        <v>10.771789000000012</v>
      </c>
      <c r="I45" s="86">
        <v>7.0460389999999933</v>
      </c>
      <c r="J45" s="86">
        <v>1.2672460000000143</v>
      </c>
      <c r="K45" s="86">
        <v>0</v>
      </c>
      <c r="L45" s="86">
        <v>0</v>
      </c>
      <c r="M45" s="86">
        <v>6.7552600000000069</v>
      </c>
      <c r="N45" s="86">
        <v>0</v>
      </c>
      <c r="O45" s="86">
        <v>8.1573220000000077</v>
      </c>
      <c r="P45" s="86">
        <v>4.878538000000006</v>
      </c>
      <c r="Q45" s="86">
        <v>0</v>
      </c>
      <c r="R45" s="86">
        <v>3.6705410000000001</v>
      </c>
      <c r="S45" s="86">
        <v>21.789197000000016</v>
      </c>
      <c r="T45" s="86">
        <v>0</v>
      </c>
      <c r="U45" s="86">
        <v>0</v>
      </c>
      <c r="V45" s="86">
        <v>26.643628000000007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136.08530741889203</v>
      </c>
      <c r="C50" s="29">
        <f t="shared" si="45"/>
        <v>136.52513688290102</v>
      </c>
      <c r="D50" s="29">
        <f t="shared" si="45"/>
        <v>142.92961586504916</v>
      </c>
      <c r="E50" s="29">
        <f t="shared" si="45"/>
        <v>134.24161369185467</v>
      </c>
      <c r="F50" s="29">
        <f t="shared" si="45"/>
        <v>132.2553976601489</v>
      </c>
      <c r="G50" s="29">
        <f t="shared" si="45"/>
        <v>130.83984737444055</v>
      </c>
      <c r="H50" s="29">
        <f t="shared" si="45"/>
        <v>124.1109950701744</v>
      </c>
      <c r="I50" s="29">
        <f t="shared" si="45"/>
        <v>112.03463362777802</v>
      </c>
      <c r="J50" s="29">
        <f t="shared" si="45"/>
        <v>106.69023646064407</v>
      </c>
      <c r="K50" s="29">
        <f t="shared" ref="K50:V50" si="46">IF(K4=0,0,K4/K15)</f>
        <v>96.301816314003034</v>
      </c>
      <c r="L50" s="29">
        <f t="shared" si="46"/>
        <v>100.99940112777134</v>
      </c>
      <c r="M50" s="29">
        <f t="shared" si="46"/>
        <v>102.7366773156366</v>
      </c>
      <c r="N50" s="29">
        <f t="shared" si="46"/>
        <v>112.2489335226155</v>
      </c>
      <c r="O50" s="29">
        <f t="shared" si="46"/>
        <v>95.810435579435492</v>
      </c>
      <c r="P50" s="29">
        <f t="shared" si="46"/>
        <v>97.113954440628063</v>
      </c>
      <c r="Q50" s="29">
        <f t="shared" si="46"/>
        <v>95.672350017720618</v>
      </c>
      <c r="R50" s="29">
        <f t="shared" si="46"/>
        <v>94.454928660722089</v>
      </c>
      <c r="S50" s="29">
        <f t="shared" si="46"/>
        <v>96.377792392438977</v>
      </c>
      <c r="T50" s="29">
        <f t="shared" si="46"/>
        <v>95.336690830677526</v>
      </c>
      <c r="U50" s="29">
        <f t="shared" si="46"/>
        <v>97.622551163878541</v>
      </c>
      <c r="V50" s="29">
        <f t="shared" si="46"/>
        <v>69.278526636891371</v>
      </c>
      <c r="W50" s="29">
        <f t="shared" ref="W50:Y50" si="47">IF(W4=0,0,W4/W15)</f>
        <v>71.697760681095417</v>
      </c>
      <c r="X50" s="29">
        <f t="shared" si="47"/>
        <v>96.598108295326497</v>
      </c>
      <c r="Y50" s="29">
        <f t="shared" si="47"/>
        <v>130.22804638344292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86.697638404936356</v>
      </c>
      <c r="C51" s="115">
        <f t="shared" si="48"/>
        <v>86.249094280714004</v>
      </c>
      <c r="D51" s="115">
        <f t="shared" si="48"/>
        <v>87.50588397295131</v>
      </c>
      <c r="E51" s="115">
        <f t="shared" si="48"/>
        <v>84.390043575099213</v>
      </c>
      <c r="F51" s="115">
        <f t="shared" si="48"/>
        <v>83.825183740829189</v>
      </c>
      <c r="G51" s="115">
        <f t="shared" si="48"/>
        <v>84.432799319493085</v>
      </c>
      <c r="H51" s="115">
        <f t="shared" si="48"/>
        <v>83.507455442166474</v>
      </c>
      <c r="I51" s="115">
        <f t="shared" si="48"/>
        <v>79.374637811600493</v>
      </c>
      <c r="J51" s="115">
        <f t="shared" si="48"/>
        <v>78.735248775565694</v>
      </c>
      <c r="K51" s="115">
        <f t="shared" ref="K51:V51" si="49">IF(K5=0,0,K5/K16)</f>
        <v>77.87865948392907</v>
      </c>
      <c r="L51" s="115">
        <f t="shared" si="49"/>
        <v>78.195797779461103</v>
      </c>
      <c r="M51" s="115">
        <f t="shared" si="49"/>
        <v>77.599042579696331</v>
      </c>
      <c r="N51" s="115">
        <f t="shared" si="49"/>
        <v>78.283648496935186</v>
      </c>
      <c r="O51" s="115">
        <f t="shared" si="49"/>
        <v>78.765340517633817</v>
      </c>
      <c r="P51" s="115">
        <f t="shared" si="49"/>
        <v>77.880368942094634</v>
      </c>
      <c r="Q51" s="115">
        <f t="shared" si="49"/>
        <v>72.041285123253658</v>
      </c>
      <c r="R51" s="115">
        <f t="shared" si="49"/>
        <v>72.041285123253658</v>
      </c>
      <c r="S51" s="115">
        <f t="shared" si="49"/>
        <v>73.504359320756691</v>
      </c>
      <c r="T51" s="115">
        <f t="shared" si="49"/>
        <v>77.722979173934462</v>
      </c>
      <c r="U51" s="115">
        <f t="shared" si="49"/>
        <v>77.623193186235795</v>
      </c>
      <c r="V51" s="115">
        <f t="shared" si="49"/>
        <v>53.13056290158638</v>
      </c>
      <c r="W51" s="115">
        <f t="shared" ref="W51:Y51" si="50">IF(W5=0,0,W5/W16)</f>
        <v>51.734612864754652</v>
      </c>
      <c r="X51" s="115">
        <f t="shared" si="50"/>
        <v>61.44132726617552</v>
      </c>
      <c r="Y51" s="115">
        <f t="shared" si="50"/>
        <v>104.87550444654701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160.29610793878263</v>
      </c>
      <c r="C52" s="116">
        <f t="shared" si="51"/>
        <v>160.57870293803066</v>
      </c>
      <c r="D52" s="116">
        <f t="shared" si="51"/>
        <v>168.65328744805882</v>
      </c>
      <c r="E52" s="116">
        <f t="shared" si="51"/>
        <v>156.91498904947653</v>
      </c>
      <c r="F52" s="116">
        <f t="shared" si="51"/>
        <v>153.34787653609203</v>
      </c>
      <c r="G52" s="116">
        <f t="shared" si="51"/>
        <v>150.61304739129181</v>
      </c>
      <c r="H52" s="116">
        <f t="shared" si="51"/>
        <v>140.22832521869654</v>
      </c>
      <c r="I52" s="116">
        <f t="shared" si="51"/>
        <v>125.48568016257042</v>
      </c>
      <c r="J52" s="116">
        <f t="shared" si="51"/>
        <v>118.5422111856607</v>
      </c>
      <c r="K52" s="116">
        <f t="shared" ref="K52:V52" si="52">IF(K6=0,0,K6/K17)</f>
        <v>103.99423747444031</v>
      </c>
      <c r="L52" s="116">
        <f t="shared" si="52"/>
        <v>111.53980027915684</v>
      </c>
      <c r="M52" s="116">
        <f t="shared" si="52"/>
        <v>114.72368505838288</v>
      </c>
      <c r="N52" s="116">
        <f t="shared" si="52"/>
        <v>130.35592837608445</v>
      </c>
      <c r="O52" s="116">
        <f t="shared" si="52"/>
        <v>102.94206384888747</v>
      </c>
      <c r="P52" s="116">
        <f t="shared" si="52"/>
        <v>106.71689066161588</v>
      </c>
      <c r="Q52" s="116">
        <f t="shared" si="52"/>
        <v>109.59406382435708</v>
      </c>
      <c r="R52" s="116">
        <f t="shared" si="52"/>
        <v>107.88807620612988</v>
      </c>
      <c r="S52" s="116">
        <f t="shared" si="52"/>
        <v>109.84368701734606</v>
      </c>
      <c r="T52" s="116">
        <f t="shared" si="52"/>
        <v>103.51133544692173</v>
      </c>
      <c r="U52" s="116">
        <f t="shared" si="52"/>
        <v>107.66855140614554</v>
      </c>
      <c r="V52" s="116">
        <f t="shared" si="52"/>
        <v>78.327144340750309</v>
      </c>
      <c r="W52" s="116">
        <f t="shared" ref="W52:Y52" si="53">IF(W6=0,0,W6/W17)</f>
        <v>81.981410684356064</v>
      </c>
      <c r="X52" s="116">
        <f t="shared" si="53"/>
        <v>116.34949887476596</v>
      </c>
      <c r="Y52" s="116">
        <f t="shared" si="53"/>
        <v>139.29574499010292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132.32040153696605</v>
      </c>
      <c r="C53" s="87">
        <f t="shared" si="54"/>
        <v>132.34486169059818</v>
      </c>
      <c r="D53" s="87">
        <f t="shared" si="54"/>
        <v>146.81878360971265</v>
      </c>
      <c r="E53" s="87">
        <f t="shared" si="54"/>
        <v>134.21421196370554</v>
      </c>
      <c r="F53" s="87">
        <f t="shared" si="54"/>
        <v>140.9480295362381</v>
      </c>
      <c r="G53" s="87">
        <f t="shared" si="54"/>
        <v>132.66520163191788</v>
      </c>
      <c r="H53" s="87">
        <f t="shared" si="54"/>
        <v>144.01145369005687</v>
      </c>
      <c r="I53" s="87">
        <f t="shared" si="54"/>
        <v>123.64684841259565</v>
      </c>
      <c r="J53" s="87">
        <f t="shared" si="54"/>
        <v>112.63846575431032</v>
      </c>
      <c r="K53" s="87">
        <f t="shared" ref="K53:V53" si="55">IF(K7=0,0,K7/K18)</f>
        <v>102.2643229870317</v>
      </c>
      <c r="L53" s="87">
        <f t="shared" si="55"/>
        <v>100.94147511418173</v>
      </c>
      <c r="M53" s="87">
        <f t="shared" si="55"/>
        <v>108.79455363107684</v>
      </c>
      <c r="N53" s="87">
        <f t="shared" si="55"/>
        <v>112.87625865157297</v>
      </c>
      <c r="O53" s="87">
        <f t="shared" si="55"/>
        <v>99.773779205512056</v>
      </c>
      <c r="P53" s="87">
        <f t="shared" si="55"/>
        <v>104.77516007424707</v>
      </c>
      <c r="Q53" s="87">
        <f t="shared" si="55"/>
        <v>99.169869596271042</v>
      </c>
      <c r="R53" s="87">
        <f t="shared" si="55"/>
        <v>97.772457710347823</v>
      </c>
      <c r="S53" s="87">
        <f t="shared" si="55"/>
        <v>97.895657156763491</v>
      </c>
      <c r="T53" s="87">
        <f t="shared" si="55"/>
        <v>102.07933038627466</v>
      </c>
      <c r="U53" s="87">
        <f t="shared" si="55"/>
        <v>106.58000165127092</v>
      </c>
      <c r="V53" s="87">
        <f t="shared" si="55"/>
        <v>78.570637174215889</v>
      </c>
      <c r="W53" s="87">
        <f t="shared" ref="W53:Y53" si="56">IF(W7=0,0,W7/W18)</f>
        <v>77.921301697838118</v>
      </c>
      <c r="X53" s="87">
        <f t="shared" si="56"/>
        <v>99.420304063696804</v>
      </c>
      <c r="Y53" s="87">
        <f t="shared" si="56"/>
        <v>114.86970469231731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187.77890348411239</v>
      </c>
      <c r="C54" s="87">
        <f t="shared" si="57"/>
        <v>186.71044273667871</v>
      </c>
      <c r="D54" s="87">
        <f t="shared" si="57"/>
        <v>189.72140851738081</v>
      </c>
      <c r="E54" s="87">
        <f t="shared" si="57"/>
        <v>177.06984420125181</v>
      </c>
      <c r="F54" s="87">
        <f t="shared" si="57"/>
        <v>162.98806864673512</v>
      </c>
      <c r="G54" s="87">
        <f t="shared" si="57"/>
        <v>163.18492590303001</v>
      </c>
      <c r="H54" s="87">
        <f t="shared" si="57"/>
        <v>138.02042601011459</v>
      </c>
      <c r="I54" s="87">
        <f t="shared" si="57"/>
        <v>126.5333692575352</v>
      </c>
      <c r="J54" s="87">
        <f t="shared" si="57"/>
        <v>122.06869013487879</v>
      </c>
      <c r="K54" s="87">
        <f t="shared" ref="K54:V54" si="58">IF(K8=0,0,K8/K19)</f>
        <v>105.02044686442474</v>
      </c>
      <c r="L54" s="87">
        <f t="shared" si="58"/>
        <v>118.01482000746402</v>
      </c>
      <c r="M54" s="87">
        <f t="shared" si="58"/>
        <v>118.04439352139758</v>
      </c>
      <c r="N54" s="87">
        <f t="shared" si="58"/>
        <v>139.53573632917414</v>
      </c>
      <c r="O54" s="87">
        <f t="shared" si="58"/>
        <v>104.4240011482084</v>
      </c>
      <c r="P54" s="87">
        <f t="shared" si="58"/>
        <v>107.815842633011</v>
      </c>
      <c r="Q54" s="87">
        <f t="shared" si="58"/>
        <v>114.27762208665909</v>
      </c>
      <c r="R54" s="87">
        <f t="shared" si="58"/>
        <v>112.33842937225683</v>
      </c>
      <c r="S54" s="87">
        <f t="shared" si="58"/>
        <v>115.4610134271521</v>
      </c>
      <c r="T54" s="87">
        <f t="shared" si="58"/>
        <v>104.11577799021134</v>
      </c>
      <c r="U54" s="87">
        <f t="shared" si="58"/>
        <v>108.09359480562779</v>
      </c>
      <c r="V54" s="87">
        <f t="shared" si="58"/>
        <v>78.244447362543582</v>
      </c>
      <c r="W54" s="87">
        <f t="shared" ref="W54:Y54" si="59">IF(W8=0,0,W8/W19)</f>
        <v>83.212369627932858</v>
      </c>
      <c r="X54" s="87">
        <f t="shared" si="59"/>
        <v>121.27101617433441</v>
      </c>
      <c r="Y54" s="87">
        <f t="shared" si="59"/>
        <v>146.4320153221833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595.92529886021202</v>
      </c>
      <c r="C56" s="29">
        <f t="shared" si="63"/>
        <v>554.38248069424981</v>
      </c>
      <c r="D56" s="29">
        <f t="shared" si="63"/>
        <v>548.19478249509325</v>
      </c>
      <c r="E56" s="29">
        <f t="shared" si="63"/>
        <v>538.24079969934144</v>
      </c>
      <c r="F56" s="29">
        <f t="shared" si="63"/>
        <v>556.02156457840988</v>
      </c>
      <c r="G56" s="29">
        <f t="shared" si="63"/>
        <v>567.87199520049626</v>
      </c>
      <c r="H56" s="29">
        <f t="shared" si="63"/>
        <v>556.76351322363075</v>
      </c>
      <c r="I56" s="29">
        <f t="shared" si="63"/>
        <v>521.42315746933843</v>
      </c>
      <c r="J56" s="29">
        <f t="shared" si="63"/>
        <v>521.9632581361044</v>
      </c>
      <c r="K56" s="29">
        <f t="shared" ref="K56:V56" si="64">IF(K10=0,0,K10/K21)</f>
        <v>520.52979382344176</v>
      </c>
      <c r="L56" s="29">
        <f t="shared" si="64"/>
        <v>554.08278426327172</v>
      </c>
      <c r="M56" s="29">
        <f t="shared" si="64"/>
        <v>579.17705111210046</v>
      </c>
      <c r="N56" s="29">
        <f t="shared" si="64"/>
        <v>652.60781107912862</v>
      </c>
      <c r="O56" s="29">
        <f t="shared" si="64"/>
        <v>576.29850325962889</v>
      </c>
      <c r="P56" s="29">
        <f t="shared" si="64"/>
        <v>576.5858779456521</v>
      </c>
      <c r="Q56" s="29">
        <f t="shared" si="64"/>
        <v>602.39463117467585</v>
      </c>
      <c r="R56" s="29">
        <f t="shared" si="64"/>
        <v>626.47251485261097</v>
      </c>
      <c r="S56" s="29">
        <f t="shared" si="64"/>
        <v>632.10074229149552</v>
      </c>
      <c r="T56" s="29">
        <f t="shared" si="64"/>
        <v>545.96262000220077</v>
      </c>
      <c r="U56" s="29">
        <f t="shared" si="64"/>
        <v>561.44472086608266</v>
      </c>
      <c r="V56" s="29">
        <f t="shared" si="64"/>
        <v>474.24028189634851</v>
      </c>
      <c r="W56" s="29">
        <f t="shared" ref="W56:Y56" si="65">IF(W10=0,0,W10/W21)</f>
        <v>519.85942064679534</v>
      </c>
      <c r="X56" s="29">
        <f t="shared" si="65"/>
        <v>517.19711324666616</v>
      </c>
      <c r="Y56" s="29">
        <f t="shared" si="65"/>
        <v>611.10481275143934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740.23490856876481</v>
      </c>
      <c r="C57" s="87">
        <f t="shared" si="66"/>
        <v>703.6112249801015</v>
      </c>
      <c r="D57" s="87">
        <f t="shared" si="66"/>
        <v>726.91616153664734</v>
      </c>
      <c r="E57" s="87">
        <f t="shared" si="66"/>
        <v>758.15093514606917</v>
      </c>
      <c r="F57" s="87">
        <f t="shared" si="66"/>
        <v>804.80094948000806</v>
      </c>
      <c r="G57" s="87">
        <f t="shared" si="66"/>
        <v>797.80588205885817</v>
      </c>
      <c r="H57" s="87">
        <f t="shared" si="66"/>
        <v>801.99289413905763</v>
      </c>
      <c r="I57" s="87">
        <f t="shared" si="66"/>
        <v>771.7032691379535</v>
      </c>
      <c r="J57" s="87">
        <f t="shared" si="66"/>
        <v>777.97198735534835</v>
      </c>
      <c r="K57" s="87">
        <f t="shared" ref="K57:V57" si="67">IF(K11=0,0,K11/K22)</f>
        <v>753.36289747078877</v>
      </c>
      <c r="L57" s="87">
        <f t="shared" si="67"/>
        <v>746.56185510960324</v>
      </c>
      <c r="M57" s="87">
        <f t="shared" si="67"/>
        <v>835.1495310745388</v>
      </c>
      <c r="N57" s="87">
        <f t="shared" si="67"/>
        <v>933.45306431231268</v>
      </c>
      <c r="O57" s="87">
        <f t="shared" si="67"/>
        <v>801.88839070279448</v>
      </c>
      <c r="P57" s="87">
        <f t="shared" si="67"/>
        <v>841.24399940577666</v>
      </c>
      <c r="Q57" s="87">
        <f t="shared" si="67"/>
        <v>831.98779428277328</v>
      </c>
      <c r="R57" s="87">
        <f t="shared" si="67"/>
        <v>952.3332605728458</v>
      </c>
      <c r="S57" s="87">
        <f t="shared" si="67"/>
        <v>1009.1135481263256</v>
      </c>
      <c r="T57" s="87">
        <f t="shared" si="67"/>
        <v>723.19666389701399</v>
      </c>
      <c r="U57" s="87">
        <f t="shared" si="67"/>
        <v>737.81413052963148</v>
      </c>
      <c r="V57" s="87">
        <f t="shared" si="67"/>
        <v>565.52254054997957</v>
      </c>
      <c r="W57" s="87">
        <f t="shared" ref="W57:Y57" si="68">IF(W11=0,0,W11/W22)</f>
        <v>518.51506995306329</v>
      </c>
      <c r="X57" s="87">
        <f t="shared" si="68"/>
        <v>541.1327763383598</v>
      </c>
      <c r="Y57" s="87">
        <f t="shared" si="68"/>
        <v>733.83080365500871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557.86202942530531</v>
      </c>
      <c r="C58" s="88">
        <f t="shared" si="69"/>
        <v>517.595360621704</v>
      </c>
      <c r="D58" s="88">
        <f t="shared" si="69"/>
        <v>506.03835589446192</v>
      </c>
      <c r="E58" s="88">
        <f t="shared" si="69"/>
        <v>492.71664337099588</v>
      </c>
      <c r="F58" s="88">
        <f t="shared" si="69"/>
        <v>509.36099608824662</v>
      </c>
      <c r="G58" s="88">
        <f t="shared" si="69"/>
        <v>525.67287447979288</v>
      </c>
      <c r="H58" s="88">
        <f t="shared" si="69"/>
        <v>509.45667714713204</v>
      </c>
      <c r="I58" s="88">
        <f t="shared" si="69"/>
        <v>476.64143055253641</v>
      </c>
      <c r="J58" s="88">
        <f t="shared" si="69"/>
        <v>479.53608425737582</v>
      </c>
      <c r="K58" s="88">
        <f t="shared" ref="K58:V58" si="70">IF(K12=0,0,K12/K23)</f>
        <v>485.03828147963065</v>
      </c>
      <c r="L58" s="88">
        <f t="shared" si="70"/>
        <v>527.05308515926879</v>
      </c>
      <c r="M58" s="88">
        <f t="shared" si="70"/>
        <v>565.06240408455255</v>
      </c>
      <c r="N58" s="88">
        <f t="shared" si="70"/>
        <v>617.90172387955408</v>
      </c>
      <c r="O58" s="88">
        <f t="shared" si="70"/>
        <v>548.37942409182642</v>
      </c>
      <c r="P58" s="88">
        <f t="shared" si="70"/>
        <v>542.66756037723098</v>
      </c>
      <c r="Q58" s="88">
        <f t="shared" si="70"/>
        <v>575.5180767207894</v>
      </c>
      <c r="R58" s="88">
        <f t="shared" si="70"/>
        <v>592.96614645701538</v>
      </c>
      <c r="S58" s="88">
        <f t="shared" si="70"/>
        <v>594.74640257384806</v>
      </c>
      <c r="T58" s="88">
        <f t="shared" si="70"/>
        <v>524.25914855822271</v>
      </c>
      <c r="U58" s="88">
        <f t="shared" si="70"/>
        <v>541.02087630358517</v>
      </c>
      <c r="V58" s="88">
        <f t="shared" si="70"/>
        <v>463.69519929497778</v>
      </c>
      <c r="W58" s="88">
        <f t="shared" ref="W58:Y58" si="71">IF(W12=0,0,W12/W23)</f>
        <v>520.04813854707106</v>
      </c>
      <c r="X58" s="88">
        <f t="shared" si="71"/>
        <v>513.24296836645112</v>
      </c>
      <c r="Y58" s="88">
        <f t="shared" si="71"/>
        <v>593.75099186043849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352.05220156765415</v>
      </c>
      <c r="C61" s="29">
        <f t="shared" ref="C61" si="73">IF(C26=0,0,(C62*C27+C64*C29+C65*C30+C66*C31)/(C27+C29+C30+C31))</f>
        <v>351.58570480841809</v>
      </c>
      <c r="D61" s="29">
        <f t="shared" ref="D61" si="74">IF(D26=0,0,(D62*D27+D64*D29+D65*D30+D66*D31)/(D27+D29+D30+D31))</f>
        <v>351.00743935831883</v>
      </c>
      <c r="E61" s="29">
        <f t="shared" ref="E61" si="75">IF(E26=0,0,(E62*E27+E64*E29+E65*E30+E66*E31)/(E27+E29+E30+E31))</f>
        <v>350.62356036842459</v>
      </c>
      <c r="F61" s="29">
        <f t="shared" ref="F61" si="76">IF(F26=0,0,(F62*F27+F64*F29+F65*F30+F66*F31)/(F27+F29+F30+F31))</f>
        <v>349.80849401824116</v>
      </c>
      <c r="G61" s="29">
        <f t="shared" ref="G61" si="77">IF(G26=0,0,(G62*G27+G64*G29+G65*G30+G66*G31)/(G27+G29+G30+G31))</f>
        <v>349.39977629739008</v>
      </c>
      <c r="H61" s="29">
        <f t="shared" ref="H61" si="78">IF(H26=0,0,(H62*H27+H64*H29+H65*H30+H66*H31)/(H27+H29+H30+H31))</f>
        <v>348.09533324570185</v>
      </c>
      <c r="I61" s="29">
        <f t="shared" ref="I61" si="79">IF(I26=0,0,(I62*I27+I64*I29+I65*I30+I66*I31)/(I27+I29+I30+I31))</f>
        <v>348.77097649449746</v>
      </c>
      <c r="J61" s="29">
        <f t="shared" ref="J61" si="80">IF(J26=0,0,(J62*J27+J64*J29+J65*J30+J66*J31)/(J27+J29+J30+J31))</f>
        <v>349.30728280985608</v>
      </c>
      <c r="K61" s="29">
        <f t="shared" ref="K61" si="81">IF(K26=0,0,(K62*K27+K64*K29+K65*K30+K66*K31)/(K27+K29+K30+K31))</f>
        <v>349.02425836404745</v>
      </c>
      <c r="L61" s="29">
        <f t="shared" ref="L61" si="82">IF(L26=0,0,(L62*L27+L64*L29+L65*L30+L66*L31)/(L27+L29+L30+L31))</f>
        <v>350.14503800188385</v>
      </c>
      <c r="M61" s="29">
        <f t="shared" ref="M61" si="83">IF(M26=0,0,(M62*M27+M64*M29+M65*M30+M66*M31)/(M27+M29+M30+M31))</f>
        <v>351.52269834938352</v>
      </c>
      <c r="N61" s="29">
        <f t="shared" ref="N61" si="84">IF(N26=0,0,(N62*N27+N64*N29+N65*N30+N66*N31)/(N27+N29+N30+N31))</f>
        <v>353.11924170259147</v>
      </c>
      <c r="O61" s="29">
        <f t="shared" ref="O61" si="85">IF(O26=0,0,(O62*O27+O64*O29+O65*O30+O66*O31)/(O27+O29+O30+O31))</f>
        <v>349.06218041606132</v>
      </c>
      <c r="P61" s="29">
        <f t="shared" ref="P61" si="86">IF(P26=0,0,(P62*P27+P64*P29+P65*P30+P66*P31)/(P27+P29+P30+P31))</f>
        <v>351.74097768706764</v>
      </c>
      <c r="Q61" s="29">
        <f t="shared" ref="Q61" si="87">IF(Q26=0,0,(Q62*Q27+Q64*Q29+Q65*Q30+Q66*Q31)/(Q27+Q29+Q30+Q31))</f>
        <v>355.16477412289652</v>
      </c>
      <c r="R61" s="29">
        <f t="shared" ref="R61" si="88">IF(R26=0,0,(R62*R27+R64*R29+R65*R30+R66*R31)/(R27+R29+R30+R31))</f>
        <v>355.97784725825761</v>
      </c>
      <c r="S61" s="29">
        <f t="shared" ref="S61" si="89">IF(S26=0,0,(S62*S27+S64*S29+S65*S30+S66*S31)/(S27+S29+S30+S31))</f>
        <v>355.62435958764456</v>
      </c>
      <c r="T61" s="29">
        <f t="shared" ref="T61" si="90">IF(T26=0,0,(T62*T27+T64*T29+T65*T30+T66*T31)/(T27+T29+T30+T31))</f>
        <v>352.90968511076466</v>
      </c>
      <c r="U61" s="29">
        <f t="shared" ref="U61" si="91">IF(U26=0,0,(U62*U27+U64*U29+U65*U30+U66*U31)/(U27+U29+U30+U31))</f>
        <v>352.52159445014809</v>
      </c>
      <c r="V61" s="29">
        <f t="shared" ref="V61" si="92">IF(V26=0,0,(V62*V27+V64*V29+V65*V30+V66*V31)/(V27+V29+V30+V31))</f>
        <v>353.43419869044345</v>
      </c>
      <c r="W61" s="29">
        <f t="shared" ref="W61:Y61" si="93">IF(W26=0,0,(W62*W27+W64*W29+W65*W30+W66*W31)/(W27+W29+W30+W31))</f>
        <v>353.00896241747552</v>
      </c>
      <c r="X61" s="29">
        <f t="shared" si="93"/>
        <v>354.70252794004108</v>
      </c>
      <c r="Y61" s="29">
        <f t="shared" si="93"/>
        <v>351.07057710432622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0.3865486618544563</v>
      </c>
      <c r="C72" s="30">
        <f t="shared" ref="C72:J72" si="138">IF(C50=0,0,C50/C61)</f>
        <v>0.3883125366467749</v>
      </c>
      <c r="D72" s="30">
        <f t="shared" si="138"/>
        <v>0.40719825234000911</v>
      </c>
      <c r="E72" s="30">
        <f t="shared" si="138"/>
        <v>0.38286535437264302</v>
      </c>
      <c r="F72" s="30">
        <f t="shared" si="138"/>
        <v>0.37807943466705041</v>
      </c>
      <c r="G72" s="30">
        <f t="shared" si="138"/>
        <v>0.37447032382492651</v>
      </c>
      <c r="H72" s="30">
        <f t="shared" si="138"/>
        <v>0.3565431168322245</v>
      </c>
      <c r="I72" s="30">
        <f t="shared" si="138"/>
        <v>0.32122694025127857</v>
      </c>
      <c r="J72" s="30">
        <f t="shared" si="138"/>
        <v>0.30543375907430032</v>
      </c>
      <c r="K72" s="30">
        <f t="shared" ref="K72:V72" si="139">IF(K50=0,0,K50/K61)</f>
        <v>0.27591725791608462</v>
      </c>
      <c r="L72" s="30">
        <f t="shared" si="139"/>
        <v>0.28845018539782347</v>
      </c>
      <c r="M72" s="30">
        <f t="shared" si="139"/>
        <v>0.29226185904366586</v>
      </c>
      <c r="N72" s="30">
        <f t="shared" si="139"/>
        <v>0.31787826962189508</v>
      </c>
      <c r="O72" s="30">
        <f t="shared" si="139"/>
        <v>0.27447956540360563</v>
      </c>
      <c r="P72" s="30">
        <f t="shared" si="139"/>
        <v>0.27609508303302421</v>
      </c>
      <c r="Q72" s="30">
        <f t="shared" si="139"/>
        <v>0.26937454665652011</v>
      </c>
      <c r="R72" s="30">
        <f t="shared" si="139"/>
        <v>0.26533934453566205</v>
      </c>
      <c r="S72" s="30">
        <f t="shared" si="139"/>
        <v>0.27101009757653122</v>
      </c>
      <c r="T72" s="30">
        <f t="shared" si="139"/>
        <v>0.27014472782393328</v>
      </c>
      <c r="U72" s="30">
        <f t="shared" si="139"/>
        <v>0.27692644280741746</v>
      </c>
      <c r="V72" s="30">
        <f t="shared" si="139"/>
        <v>0.19601534569542095</v>
      </c>
      <c r="W72" s="30">
        <f t="shared" ref="W72:Y72" si="140">IF(W50=0,0,W50/W61)</f>
        <v>0.20310464694747382</v>
      </c>
      <c r="X72" s="30">
        <f t="shared" si="140"/>
        <v>0.27233555073973265</v>
      </c>
      <c r="Y72" s="30">
        <f t="shared" si="140"/>
        <v>0.3709454875358113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0.2167440960123409</v>
      </c>
      <c r="C73" s="118">
        <f t="shared" si="141"/>
        <v>0.215622735701785</v>
      </c>
      <c r="D73" s="118">
        <f t="shared" si="141"/>
        <v>0.21876470993237829</v>
      </c>
      <c r="E73" s="118">
        <f t="shared" si="141"/>
        <v>0.21097510893774804</v>
      </c>
      <c r="F73" s="118">
        <f t="shared" si="141"/>
        <v>0.20956295935207297</v>
      </c>
      <c r="G73" s="118">
        <f t="shared" si="141"/>
        <v>0.21108199829873273</v>
      </c>
      <c r="H73" s="118">
        <f t="shared" si="141"/>
        <v>0.2087686386054162</v>
      </c>
      <c r="I73" s="118">
        <f t="shared" si="141"/>
        <v>0.19843659452900123</v>
      </c>
      <c r="J73" s="118">
        <f t="shared" si="141"/>
        <v>0.19683812193891423</v>
      </c>
      <c r="K73" s="118">
        <f t="shared" ref="K73:V73" si="142">IF(K51=0,0,K51/K62)</f>
        <v>0.19469664870982267</v>
      </c>
      <c r="L73" s="118">
        <f t="shared" si="142"/>
        <v>0.19548949444865277</v>
      </c>
      <c r="M73" s="118">
        <f t="shared" si="142"/>
        <v>0.19399760644924083</v>
      </c>
      <c r="N73" s="118">
        <f t="shared" si="142"/>
        <v>0.19570912124233797</v>
      </c>
      <c r="O73" s="118">
        <f t="shared" si="142"/>
        <v>0.19691335129408455</v>
      </c>
      <c r="P73" s="118">
        <f t="shared" si="142"/>
        <v>0.19470092235523659</v>
      </c>
      <c r="Q73" s="118">
        <f t="shared" si="142"/>
        <v>0.18010321280813416</v>
      </c>
      <c r="R73" s="118">
        <f t="shared" si="142"/>
        <v>0.18010321280813416</v>
      </c>
      <c r="S73" s="118">
        <f t="shared" si="142"/>
        <v>0.18376089830189174</v>
      </c>
      <c r="T73" s="118">
        <f t="shared" si="142"/>
        <v>0.19430744793483615</v>
      </c>
      <c r="U73" s="118">
        <f t="shared" si="142"/>
        <v>0.19405798296558949</v>
      </c>
      <c r="V73" s="118">
        <f t="shared" si="142"/>
        <v>0.13282640725396594</v>
      </c>
      <c r="W73" s="118">
        <f t="shared" ref="W73:Y73" si="143">IF(W51=0,0,W51/W62)</f>
        <v>0.12933653216188662</v>
      </c>
      <c r="X73" s="118">
        <f t="shared" si="143"/>
        <v>0.15360331816543879</v>
      </c>
      <c r="Y73" s="118">
        <f t="shared" si="143"/>
        <v>0.26218876111636752</v>
      </c>
      <c r="DA73" s="203"/>
    </row>
    <row r="74" spans="1:105" ht="11.45" customHeight="1" x14ac:dyDescent="0.25">
      <c r="A74" s="109" t="s">
        <v>24</v>
      </c>
      <c r="B74" s="119">
        <f t="shared" si="141"/>
        <v>0.50092533730869571</v>
      </c>
      <c r="C74" s="119">
        <f t="shared" si="141"/>
        <v>0.50180844668134583</v>
      </c>
      <c r="D74" s="119">
        <f t="shared" si="141"/>
        <v>0.52704152327518383</v>
      </c>
      <c r="E74" s="119">
        <f t="shared" si="141"/>
        <v>0.49035934077961424</v>
      </c>
      <c r="F74" s="119">
        <f t="shared" si="141"/>
        <v>0.47921211417528758</v>
      </c>
      <c r="G74" s="119">
        <f t="shared" si="141"/>
        <v>0.4706657730977869</v>
      </c>
      <c r="H74" s="119">
        <f t="shared" si="141"/>
        <v>0.43821351630842675</v>
      </c>
      <c r="I74" s="119">
        <f t="shared" si="141"/>
        <v>0.39214275050803249</v>
      </c>
      <c r="J74" s="119">
        <f t="shared" si="141"/>
        <v>0.37044440995518979</v>
      </c>
      <c r="K74" s="119">
        <f t="shared" ref="K74:V74" si="144">IF(K52=0,0,K52/K63)</f>
        <v>0.32498199210762602</v>
      </c>
      <c r="L74" s="119">
        <f t="shared" si="144"/>
        <v>0.34856187587236509</v>
      </c>
      <c r="M74" s="119">
        <f t="shared" si="144"/>
        <v>0.3585115158074465</v>
      </c>
      <c r="N74" s="119">
        <f t="shared" si="144"/>
        <v>0.40736227617526388</v>
      </c>
      <c r="O74" s="119">
        <f t="shared" si="144"/>
        <v>0.3216939495277733</v>
      </c>
      <c r="P74" s="119">
        <f t="shared" si="144"/>
        <v>0.3334902833175496</v>
      </c>
      <c r="Q74" s="119">
        <f t="shared" si="144"/>
        <v>0.34248144945111586</v>
      </c>
      <c r="R74" s="119">
        <f t="shared" si="144"/>
        <v>0.3371502381441559</v>
      </c>
      <c r="S74" s="119">
        <f t="shared" si="144"/>
        <v>0.34326152192920645</v>
      </c>
      <c r="T74" s="119">
        <f t="shared" si="144"/>
        <v>0.32347292327163041</v>
      </c>
      <c r="U74" s="119">
        <f t="shared" si="144"/>
        <v>0.33646422314420482</v>
      </c>
      <c r="V74" s="119">
        <f t="shared" si="144"/>
        <v>0.24477232606484473</v>
      </c>
      <c r="W74" s="119">
        <f t="shared" ref="W74:Y74" si="145">IF(W52=0,0,W52/W63)</f>
        <v>0.25619190838861267</v>
      </c>
      <c r="X74" s="119">
        <f t="shared" si="145"/>
        <v>0.36359218398364362</v>
      </c>
      <c r="Y74" s="119">
        <f t="shared" si="145"/>
        <v>0.43529920309407161</v>
      </c>
      <c r="DA74" s="176"/>
    </row>
    <row r="75" spans="1:105" ht="11.45" customHeight="1" x14ac:dyDescent="0.25">
      <c r="A75" s="111" t="s">
        <v>92</v>
      </c>
      <c r="B75" s="120">
        <f t="shared" si="141"/>
        <v>0.41350125480301891</v>
      </c>
      <c r="C75" s="120">
        <f t="shared" si="141"/>
        <v>0.41357769278311929</v>
      </c>
      <c r="D75" s="120">
        <f t="shared" si="141"/>
        <v>0.45880869878035202</v>
      </c>
      <c r="E75" s="120">
        <f t="shared" si="141"/>
        <v>0.41941941238657982</v>
      </c>
      <c r="F75" s="120">
        <f t="shared" si="141"/>
        <v>0.44046259230074403</v>
      </c>
      <c r="G75" s="120">
        <f t="shared" si="141"/>
        <v>0.4145787550997434</v>
      </c>
      <c r="H75" s="120">
        <f t="shared" si="141"/>
        <v>0.45003579278142769</v>
      </c>
      <c r="I75" s="120">
        <f t="shared" si="141"/>
        <v>0.38639640128936137</v>
      </c>
      <c r="J75" s="120">
        <f t="shared" si="141"/>
        <v>0.35199520548221974</v>
      </c>
      <c r="K75" s="120">
        <f t="shared" ref="K75:V75" si="146">IF(K53=0,0,K53/K64)</f>
        <v>0.31957600933447405</v>
      </c>
      <c r="L75" s="120">
        <f t="shared" si="146"/>
        <v>0.31544210973181791</v>
      </c>
      <c r="M75" s="120">
        <f t="shared" si="146"/>
        <v>0.33998298009711514</v>
      </c>
      <c r="N75" s="120">
        <f t="shared" si="146"/>
        <v>0.35273830828616554</v>
      </c>
      <c r="O75" s="120">
        <f t="shared" si="146"/>
        <v>0.31179306001722518</v>
      </c>
      <c r="P75" s="120">
        <f t="shared" si="146"/>
        <v>0.32742237523202211</v>
      </c>
      <c r="Q75" s="120">
        <f t="shared" si="146"/>
        <v>0.30990584248834702</v>
      </c>
      <c r="R75" s="120">
        <f t="shared" si="146"/>
        <v>0.30553893034483692</v>
      </c>
      <c r="S75" s="120">
        <f t="shared" si="146"/>
        <v>0.30592392861488593</v>
      </c>
      <c r="T75" s="120">
        <f t="shared" si="146"/>
        <v>0.31899790745710832</v>
      </c>
      <c r="U75" s="120">
        <f t="shared" si="146"/>
        <v>0.33306250516022162</v>
      </c>
      <c r="V75" s="120">
        <f t="shared" si="146"/>
        <v>0.24553324116942465</v>
      </c>
      <c r="W75" s="120">
        <f t="shared" ref="W75:Y75" si="147">IF(W53=0,0,W53/W64)</f>
        <v>0.24350406780574413</v>
      </c>
      <c r="X75" s="120">
        <f t="shared" si="147"/>
        <v>0.3106884501990525</v>
      </c>
      <c r="Y75" s="120">
        <f t="shared" si="147"/>
        <v>0.35896782716349163</v>
      </c>
      <c r="DA75" s="171"/>
    </row>
    <row r="76" spans="1:105" ht="11.45" customHeight="1" x14ac:dyDescent="0.25">
      <c r="A76" s="111" t="s">
        <v>93</v>
      </c>
      <c r="B76" s="120">
        <f t="shared" si="141"/>
        <v>0.58680907338785127</v>
      </c>
      <c r="C76" s="120">
        <f t="shared" si="141"/>
        <v>0.58347013355212096</v>
      </c>
      <c r="D76" s="120">
        <f t="shared" si="141"/>
        <v>0.59287940161681507</v>
      </c>
      <c r="E76" s="120">
        <f t="shared" si="141"/>
        <v>0.55334326312891191</v>
      </c>
      <c r="F76" s="120">
        <f t="shared" si="141"/>
        <v>0.50933771452104726</v>
      </c>
      <c r="G76" s="120">
        <f t="shared" si="141"/>
        <v>0.50995289344696881</v>
      </c>
      <c r="H76" s="120">
        <f t="shared" si="141"/>
        <v>0.43131383128160811</v>
      </c>
      <c r="I76" s="120">
        <f t="shared" si="141"/>
        <v>0.39541677892979749</v>
      </c>
      <c r="J76" s="120">
        <f t="shared" si="141"/>
        <v>0.38146465667149621</v>
      </c>
      <c r="K76" s="120">
        <f t="shared" ref="K76:V76" si="148">IF(K54=0,0,K54/K65)</f>
        <v>0.32818889645132732</v>
      </c>
      <c r="L76" s="120">
        <f t="shared" si="148"/>
        <v>0.36879631252332506</v>
      </c>
      <c r="M76" s="120">
        <f t="shared" si="148"/>
        <v>0.36888872975436743</v>
      </c>
      <c r="N76" s="120">
        <f t="shared" si="148"/>
        <v>0.43604917602866922</v>
      </c>
      <c r="O76" s="120">
        <f t="shared" si="148"/>
        <v>0.32632500358815125</v>
      </c>
      <c r="P76" s="120">
        <f t="shared" si="148"/>
        <v>0.33692450822815939</v>
      </c>
      <c r="Q76" s="120">
        <f t="shared" si="148"/>
        <v>0.35711756902080966</v>
      </c>
      <c r="R76" s="120">
        <f t="shared" si="148"/>
        <v>0.35105759178830259</v>
      </c>
      <c r="S76" s="120">
        <f t="shared" si="148"/>
        <v>0.36081566695985029</v>
      </c>
      <c r="T76" s="120">
        <f t="shared" si="148"/>
        <v>0.32536180621941047</v>
      </c>
      <c r="U76" s="120">
        <f t="shared" si="148"/>
        <v>0.33779248376758686</v>
      </c>
      <c r="V76" s="120">
        <f t="shared" si="148"/>
        <v>0.2445138980079487</v>
      </c>
      <c r="W76" s="120">
        <f t="shared" ref="W76:Y76" si="149">IF(W54=0,0,W54/W65)</f>
        <v>0.26003865508729018</v>
      </c>
      <c r="X76" s="120">
        <f t="shared" si="149"/>
        <v>0.37897192554479503</v>
      </c>
      <c r="Y76" s="120">
        <f t="shared" si="149"/>
        <v>0.45760004788182285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0.2837739518381962</v>
      </c>
      <c r="C78" s="30">
        <f t="shared" si="141"/>
        <v>0.26399165747345227</v>
      </c>
      <c r="D78" s="30">
        <f t="shared" si="141"/>
        <v>0.26104513452147299</v>
      </c>
      <c r="E78" s="30">
        <f t="shared" si="141"/>
        <v>0.25630514271397209</v>
      </c>
      <c r="F78" s="30">
        <f t="shared" si="141"/>
        <v>0.26477217360876659</v>
      </c>
      <c r="G78" s="30">
        <f t="shared" si="141"/>
        <v>0.27041523580976012</v>
      </c>
      <c r="H78" s="30">
        <f t="shared" si="141"/>
        <v>0.26512548248744322</v>
      </c>
      <c r="I78" s="30">
        <f t="shared" si="141"/>
        <v>0.24829674165206592</v>
      </c>
      <c r="J78" s="30">
        <f t="shared" si="141"/>
        <v>0.24855393244576399</v>
      </c>
      <c r="K78" s="30">
        <f t="shared" ref="K78:V78" si="152">IF(K56=0,0,K56/K67)</f>
        <v>0.24787133039211512</v>
      </c>
      <c r="L78" s="30">
        <f t="shared" si="152"/>
        <v>0.26384894488727223</v>
      </c>
      <c r="M78" s="30">
        <f t="shared" si="152"/>
        <v>0.27579859576766691</v>
      </c>
      <c r="N78" s="30">
        <f t="shared" si="152"/>
        <v>0.31076562432339461</v>
      </c>
      <c r="O78" s="30">
        <f t="shared" si="152"/>
        <v>0.27442785869506137</v>
      </c>
      <c r="P78" s="30">
        <f t="shared" si="152"/>
        <v>0.27456470378364384</v>
      </c>
      <c r="Q78" s="30">
        <f t="shared" si="152"/>
        <v>0.28685458627365518</v>
      </c>
      <c r="R78" s="30">
        <f t="shared" si="152"/>
        <v>0.29832024516791</v>
      </c>
      <c r="S78" s="30">
        <f t="shared" si="152"/>
        <v>0.30100035347214071</v>
      </c>
      <c r="T78" s="30">
        <f t="shared" si="152"/>
        <v>0.25998220000104794</v>
      </c>
      <c r="U78" s="30">
        <f t="shared" si="152"/>
        <v>0.26735462898384887</v>
      </c>
      <c r="V78" s="30">
        <f t="shared" si="152"/>
        <v>0.22582870566492785</v>
      </c>
      <c r="W78" s="30">
        <f t="shared" ref="W78:Y78" si="153">IF(W56=0,0,W56/W67)</f>
        <v>0.24755210506990255</v>
      </c>
      <c r="X78" s="30">
        <f t="shared" si="153"/>
        <v>0.24628433964126961</v>
      </c>
      <c r="Y78" s="30">
        <f t="shared" si="153"/>
        <v>0.29100229178639969</v>
      </c>
      <c r="DA78" s="173"/>
    </row>
    <row r="79" spans="1:105" ht="11.45" customHeight="1" x14ac:dyDescent="0.25">
      <c r="A79" s="83" t="s">
        <v>92</v>
      </c>
      <c r="B79" s="120">
        <f t="shared" si="141"/>
        <v>0.35249281360417373</v>
      </c>
      <c r="C79" s="120">
        <f t="shared" si="141"/>
        <v>0.33505296427623882</v>
      </c>
      <c r="D79" s="120">
        <f t="shared" si="141"/>
        <v>0.34615055311268922</v>
      </c>
      <c r="E79" s="120">
        <f t="shared" si="141"/>
        <v>0.3610242548314615</v>
      </c>
      <c r="F79" s="120">
        <f t="shared" si="141"/>
        <v>0.38323854737143243</v>
      </c>
      <c r="G79" s="120">
        <f t="shared" si="141"/>
        <v>0.37990756288517058</v>
      </c>
      <c r="H79" s="120">
        <f t="shared" si="141"/>
        <v>0.38190137816145603</v>
      </c>
      <c r="I79" s="120">
        <f t="shared" si="141"/>
        <v>0.36747774720854931</v>
      </c>
      <c r="J79" s="120">
        <f t="shared" si="141"/>
        <v>0.37046285112159444</v>
      </c>
      <c r="K79" s="120">
        <f t="shared" ref="K79:V79" si="154">IF(K57=0,0,K57/K68)</f>
        <v>0.35874423689085178</v>
      </c>
      <c r="L79" s="120">
        <f t="shared" si="154"/>
        <v>0.35550564529028728</v>
      </c>
      <c r="M79" s="120">
        <f t="shared" si="154"/>
        <v>0.39769025289263754</v>
      </c>
      <c r="N79" s="120">
        <f t="shared" si="154"/>
        <v>0.44450145919633938</v>
      </c>
      <c r="O79" s="120">
        <f t="shared" si="154"/>
        <v>0.38185161462037831</v>
      </c>
      <c r="P79" s="120">
        <f t="shared" si="154"/>
        <v>0.40059238066941744</v>
      </c>
      <c r="Q79" s="120">
        <f t="shared" si="154"/>
        <v>0.39618466394417773</v>
      </c>
      <c r="R79" s="120">
        <f t="shared" si="154"/>
        <v>0.4534920288442123</v>
      </c>
      <c r="S79" s="120">
        <f t="shared" si="154"/>
        <v>0.48053026101253599</v>
      </c>
      <c r="T79" s="120">
        <f t="shared" si="154"/>
        <v>0.34437936376048284</v>
      </c>
      <c r="U79" s="120">
        <f t="shared" si="154"/>
        <v>0.35134006215696739</v>
      </c>
      <c r="V79" s="120">
        <f t="shared" si="154"/>
        <v>0.26929644788094265</v>
      </c>
      <c r="W79" s="120">
        <f t="shared" ref="W79:Y79" si="155">IF(W57=0,0,W57/W68)</f>
        <v>0.24691193807288728</v>
      </c>
      <c r="X79" s="120">
        <f t="shared" si="155"/>
        <v>0.257682274446838</v>
      </c>
      <c r="Y79" s="120">
        <f t="shared" si="155"/>
        <v>0.34944323983571846</v>
      </c>
      <c r="DA79" s="171"/>
    </row>
    <row r="80" spans="1:105" ht="11.45" customHeight="1" x14ac:dyDescent="0.25">
      <c r="A80" s="85" t="s">
        <v>93</v>
      </c>
      <c r="B80" s="122">
        <f t="shared" si="141"/>
        <v>0.26564858544062159</v>
      </c>
      <c r="C80" s="122">
        <f t="shared" si="141"/>
        <v>0.24647398124843048</v>
      </c>
      <c r="D80" s="122">
        <f t="shared" si="141"/>
        <v>0.24097064566402948</v>
      </c>
      <c r="E80" s="122">
        <f t="shared" si="141"/>
        <v>0.23462697303380756</v>
      </c>
      <c r="F80" s="122">
        <f t="shared" si="141"/>
        <v>0.24255285528011744</v>
      </c>
      <c r="G80" s="122">
        <f t="shared" si="141"/>
        <v>0.25032041641894898</v>
      </c>
      <c r="H80" s="122">
        <f t="shared" si="141"/>
        <v>0.2425984176891105</v>
      </c>
      <c r="I80" s="122">
        <f t="shared" si="141"/>
        <v>0.22697210978692209</v>
      </c>
      <c r="J80" s="122">
        <f t="shared" si="141"/>
        <v>0.2283505163130361</v>
      </c>
      <c r="K80" s="122">
        <f t="shared" ref="K80:V80" si="156">IF(K58=0,0,K58/K69)</f>
        <v>0.23097061022839555</v>
      </c>
      <c r="L80" s="122">
        <f t="shared" si="156"/>
        <v>0.25097765959965179</v>
      </c>
      <c r="M80" s="122">
        <f t="shared" si="156"/>
        <v>0.26907733527835836</v>
      </c>
      <c r="N80" s="122">
        <f t="shared" si="156"/>
        <v>0.29423891613312098</v>
      </c>
      <c r="O80" s="122">
        <f t="shared" si="156"/>
        <v>0.26113305909134593</v>
      </c>
      <c r="P80" s="122">
        <f t="shared" si="156"/>
        <v>0.25841312398915761</v>
      </c>
      <c r="Q80" s="122">
        <f t="shared" si="156"/>
        <v>0.27405622700989973</v>
      </c>
      <c r="R80" s="122">
        <f t="shared" si="156"/>
        <v>0.2823648316461978</v>
      </c>
      <c r="S80" s="122">
        <f t="shared" si="156"/>
        <v>0.28321257265421335</v>
      </c>
      <c r="T80" s="122">
        <f t="shared" si="156"/>
        <v>0.24964721359915368</v>
      </c>
      <c r="U80" s="122">
        <f t="shared" si="156"/>
        <v>0.25762898871599293</v>
      </c>
      <c r="V80" s="122">
        <f t="shared" si="156"/>
        <v>0.22080723775951322</v>
      </c>
      <c r="W80" s="122">
        <f t="shared" ref="W80:Y80" si="157">IF(W58=0,0,W58/W69)</f>
        <v>0.2476419707367005</v>
      </c>
      <c r="X80" s="122">
        <f t="shared" si="157"/>
        <v>0.24440141350783387</v>
      </c>
      <c r="Y80" s="122">
        <f t="shared" si="157"/>
        <v>0.28273856755258975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140504.85914579482</v>
      </c>
      <c r="C82" s="54">
        <f t="shared" si="158"/>
        <v>140227.36636130529</v>
      </c>
      <c r="D82" s="54">
        <f t="shared" si="158"/>
        <v>140702.44210869295</v>
      </c>
      <c r="E82" s="54">
        <f t="shared" si="158"/>
        <v>140620.00424083843</v>
      </c>
      <c r="F82" s="54">
        <f t="shared" si="158"/>
        <v>141616.92417504304</v>
      </c>
      <c r="G82" s="54">
        <f t="shared" si="158"/>
        <v>142030.20613167153</v>
      </c>
      <c r="H82" s="54">
        <f t="shared" si="158"/>
        <v>143271.31985092501</v>
      </c>
      <c r="I82" s="54">
        <f t="shared" si="158"/>
        <v>143157.3964286847</v>
      </c>
      <c r="J82" s="54">
        <f t="shared" si="158"/>
        <v>142709.54838532419</v>
      </c>
      <c r="K82" s="54">
        <f t="shared" ref="K82:V82" si="159">IF(K14=0,0,K14/K25*1000000)</f>
        <v>138741.4945071761</v>
      </c>
      <c r="L82" s="54">
        <f t="shared" si="159"/>
        <v>137490.52344831012</v>
      </c>
      <c r="M82" s="54">
        <f t="shared" si="159"/>
        <v>139727.55837833078</v>
      </c>
      <c r="N82" s="54">
        <f t="shared" si="159"/>
        <v>136259.95075021376</v>
      </c>
      <c r="O82" s="54">
        <f t="shared" si="159"/>
        <v>141640.50306798733</v>
      </c>
      <c r="P82" s="54">
        <f t="shared" si="159"/>
        <v>137675.8975882417</v>
      </c>
      <c r="Q82" s="54">
        <f t="shared" si="159"/>
        <v>136647.01360170433</v>
      </c>
      <c r="R82" s="54">
        <f t="shared" si="159"/>
        <v>138066.61689821392</v>
      </c>
      <c r="S82" s="54">
        <f t="shared" si="159"/>
        <v>139716.88621344633</v>
      </c>
      <c r="T82" s="54">
        <f t="shared" si="159"/>
        <v>135947.36595498462</v>
      </c>
      <c r="U82" s="54">
        <f t="shared" si="159"/>
        <v>140679.37338720556</v>
      </c>
      <c r="V82" s="54">
        <f t="shared" si="159"/>
        <v>138040.21082295431</v>
      </c>
      <c r="W82" s="54">
        <f t="shared" ref="W82:Y82" si="160">IF(W14=0,0,W14/W25*1000000)</f>
        <v>140606.74992562376</v>
      </c>
      <c r="X82" s="54">
        <f t="shared" si="160"/>
        <v>140273.48877639713</v>
      </c>
      <c r="Y82" s="54">
        <f t="shared" si="160"/>
        <v>128798.19646016849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133973.898729395</v>
      </c>
      <c r="C83" s="28">
        <f t="shared" si="161"/>
        <v>134207.14725612508</v>
      </c>
      <c r="D83" s="28">
        <f t="shared" si="161"/>
        <v>134496.28004723095</v>
      </c>
      <c r="E83" s="28">
        <f t="shared" si="161"/>
        <v>134688.21975281686</v>
      </c>
      <c r="F83" s="28">
        <f t="shared" si="161"/>
        <v>135095.75261262862</v>
      </c>
      <c r="G83" s="28">
        <f t="shared" si="161"/>
        <v>135300.11151742149</v>
      </c>
      <c r="H83" s="28">
        <f t="shared" si="161"/>
        <v>135952.33313154554</v>
      </c>
      <c r="I83" s="28">
        <f t="shared" si="161"/>
        <v>135614.51155606381</v>
      </c>
      <c r="J83" s="28">
        <f t="shared" si="161"/>
        <v>135346.3583825306</v>
      </c>
      <c r="K83" s="28">
        <f t="shared" ref="K83:V83" si="162">IF(K15=0,0,K15/K26*1000000)</f>
        <v>135487.8707316388</v>
      </c>
      <c r="L83" s="28">
        <f t="shared" si="162"/>
        <v>131123.09911264136</v>
      </c>
      <c r="M83" s="28">
        <f t="shared" si="162"/>
        <v>134238.65052320558</v>
      </c>
      <c r="N83" s="28">
        <f t="shared" si="162"/>
        <v>130961.39613911348</v>
      </c>
      <c r="O83" s="28">
        <f t="shared" si="162"/>
        <v>135468.9096366236</v>
      </c>
      <c r="P83" s="28">
        <f t="shared" si="162"/>
        <v>131057.48436861255</v>
      </c>
      <c r="Q83" s="28">
        <f t="shared" si="162"/>
        <v>130424.71803914699</v>
      </c>
      <c r="R83" s="28">
        <f t="shared" si="162"/>
        <v>132011.07615705539</v>
      </c>
      <c r="S83" s="28">
        <f t="shared" si="162"/>
        <v>132187.81994936863</v>
      </c>
      <c r="T83" s="28">
        <f t="shared" si="162"/>
        <v>129272.35009085397</v>
      </c>
      <c r="U83" s="28">
        <f t="shared" si="162"/>
        <v>133739.20266981219</v>
      </c>
      <c r="V83" s="28">
        <f t="shared" si="162"/>
        <v>128012.68234350208</v>
      </c>
      <c r="W83" s="28">
        <f t="shared" ref="W83:Y83" si="163">IF(W15=0,0,W15/W26*1000000)</f>
        <v>133495.51845460178</v>
      </c>
      <c r="X83" s="28">
        <f t="shared" si="163"/>
        <v>132648.73574168919</v>
      </c>
      <c r="Y83" s="28">
        <f t="shared" si="163"/>
        <v>124555.74274891746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109999.99961767034</v>
      </c>
      <c r="C84" s="108">
        <f t="shared" si="161"/>
        <v>109999.9999976065</v>
      </c>
      <c r="D84" s="108">
        <f t="shared" si="161"/>
        <v>109999.99992384503</v>
      </c>
      <c r="E84" s="108">
        <f t="shared" si="161"/>
        <v>109999.99998279827</v>
      </c>
      <c r="F84" s="108">
        <f t="shared" si="161"/>
        <v>109999.99985608902</v>
      </c>
      <c r="G84" s="108">
        <f t="shared" si="161"/>
        <v>109999.99981449606</v>
      </c>
      <c r="H84" s="108">
        <f t="shared" si="161"/>
        <v>109999.99986451659</v>
      </c>
      <c r="I84" s="108">
        <f t="shared" si="161"/>
        <v>109999.99980468371</v>
      </c>
      <c r="J84" s="108">
        <f t="shared" si="161"/>
        <v>109999.99993733055</v>
      </c>
      <c r="K84" s="108">
        <f t="shared" ref="K84:V84" si="164">IF(K16=0,0,K16/K27*1000000)</f>
        <v>109999.99997672619</v>
      </c>
      <c r="L84" s="108">
        <f t="shared" si="164"/>
        <v>109999.99973676496</v>
      </c>
      <c r="M84" s="108">
        <f t="shared" si="164"/>
        <v>109999.99980818115</v>
      </c>
      <c r="N84" s="108">
        <f t="shared" si="164"/>
        <v>109999.99971358132</v>
      </c>
      <c r="O84" s="108">
        <f t="shared" si="164"/>
        <v>109999.99994631624</v>
      </c>
      <c r="P84" s="108">
        <f t="shared" si="164"/>
        <v>109999.9999148644</v>
      </c>
      <c r="Q84" s="108">
        <f t="shared" si="164"/>
        <v>109999.99996207927</v>
      </c>
      <c r="R84" s="108">
        <f t="shared" si="164"/>
        <v>109999.99993877602</v>
      </c>
      <c r="S84" s="108">
        <f t="shared" si="164"/>
        <v>109999.99988932993</v>
      </c>
      <c r="T84" s="108">
        <f t="shared" si="164"/>
        <v>99613.253280775825</v>
      </c>
      <c r="U84" s="108">
        <f t="shared" si="164"/>
        <v>109999.99992694483</v>
      </c>
      <c r="V84" s="108">
        <f t="shared" si="164"/>
        <v>109999.99974417589</v>
      </c>
      <c r="W84" s="108">
        <f t="shared" ref="W84:Y84" si="165">IF(W16=0,0,W16/W27*1000000)</f>
        <v>109999.99973046625</v>
      </c>
      <c r="X84" s="108">
        <f t="shared" si="165"/>
        <v>109999.99980478715</v>
      </c>
      <c r="Y84" s="108">
        <f t="shared" si="165"/>
        <v>84486.55434860017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149999.99944340033</v>
      </c>
      <c r="C85" s="110">
        <f t="shared" si="161"/>
        <v>149999.99944029612</v>
      </c>
      <c r="D85" s="110">
        <f t="shared" si="161"/>
        <v>149999.99960142109</v>
      </c>
      <c r="E85" s="110">
        <f t="shared" si="161"/>
        <v>149999.99990864287</v>
      </c>
      <c r="F85" s="110">
        <f t="shared" si="161"/>
        <v>149999.99948257589</v>
      </c>
      <c r="G85" s="110">
        <f t="shared" si="161"/>
        <v>149999.99957990495</v>
      </c>
      <c r="H85" s="110">
        <f t="shared" si="161"/>
        <v>149999.99969478988</v>
      </c>
      <c r="I85" s="110">
        <f t="shared" si="161"/>
        <v>149999.99980254241</v>
      </c>
      <c r="J85" s="110">
        <f t="shared" si="161"/>
        <v>149999.9997008123</v>
      </c>
      <c r="K85" s="110">
        <f t="shared" ref="K85:V85" si="166">IF(K17=0,0,K17/K28*1000000)</f>
        <v>149999.99987775573</v>
      </c>
      <c r="L85" s="110">
        <f t="shared" si="166"/>
        <v>143895.2808149847</v>
      </c>
      <c r="M85" s="110">
        <f t="shared" si="166"/>
        <v>149999.99962618455</v>
      </c>
      <c r="N85" s="110">
        <f t="shared" si="166"/>
        <v>145769.72219555039</v>
      </c>
      <c r="O85" s="110">
        <f t="shared" si="166"/>
        <v>149999.99978665184</v>
      </c>
      <c r="P85" s="110">
        <f t="shared" si="166"/>
        <v>144907.4364015836</v>
      </c>
      <c r="Q85" s="110">
        <f t="shared" si="166"/>
        <v>146444.05514860305</v>
      </c>
      <c r="R85" s="110">
        <f t="shared" si="166"/>
        <v>149999.99966147594</v>
      </c>
      <c r="S85" s="110">
        <f t="shared" si="166"/>
        <v>149999.99962587186</v>
      </c>
      <c r="T85" s="110">
        <f t="shared" si="166"/>
        <v>149999.99948086654</v>
      </c>
      <c r="U85" s="110">
        <f t="shared" si="166"/>
        <v>149999.99987292683</v>
      </c>
      <c r="V85" s="110">
        <f t="shared" si="166"/>
        <v>140945.77040463604</v>
      </c>
      <c r="W85" s="110">
        <f t="shared" ref="W85:Y85" si="167">IF(W17=0,0,W17/W28*1000000)</f>
        <v>149999.99961618628</v>
      </c>
      <c r="X85" s="110">
        <f t="shared" si="167"/>
        <v>149999.99964040288</v>
      </c>
      <c r="Y85" s="110">
        <f t="shared" si="167"/>
        <v>149999.9996810774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149999.99955350719</v>
      </c>
      <c r="C86" s="84">
        <f t="shared" si="161"/>
        <v>149999.9994139132</v>
      </c>
      <c r="D86" s="84">
        <f t="shared" si="161"/>
        <v>149999.99951062721</v>
      </c>
      <c r="E86" s="84">
        <f t="shared" si="161"/>
        <v>149999.99994634601</v>
      </c>
      <c r="F86" s="84">
        <f t="shared" si="161"/>
        <v>149999.99943298995</v>
      </c>
      <c r="G86" s="84">
        <f t="shared" si="161"/>
        <v>149999.99931989147</v>
      </c>
      <c r="H86" s="84">
        <f t="shared" si="161"/>
        <v>149999.99948520193</v>
      </c>
      <c r="I86" s="84">
        <f t="shared" si="161"/>
        <v>149999.9997548977</v>
      </c>
      <c r="J86" s="84">
        <f t="shared" si="161"/>
        <v>149999.99963683027</v>
      </c>
      <c r="K86" s="84">
        <f t="shared" ref="K86:V86" si="168">IF(K18=0,0,K18/K29*1000000)</f>
        <v>149999.99973922243</v>
      </c>
      <c r="L86" s="84">
        <f t="shared" si="168"/>
        <v>149999.99920659896</v>
      </c>
      <c r="M86" s="84">
        <f t="shared" si="168"/>
        <v>149999.99971346985</v>
      </c>
      <c r="N86" s="84">
        <f t="shared" si="168"/>
        <v>145235.88498208029</v>
      </c>
      <c r="O86" s="84">
        <f t="shared" si="168"/>
        <v>149999.99938968758</v>
      </c>
      <c r="P86" s="84">
        <f t="shared" si="168"/>
        <v>149999.99939602616</v>
      </c>
      <c r="Q86" s="84">
        <f t="shared" si="168"/>
        <v>139104.47173216485</v>
      </c>
      <c r="R86" s="84">
        <f t="shared" si="168"/>
        <v>149999.99938935478</v>
      </c>
      <c r="S86" s="84">
        <f t="shared" si="168"/>
        <v>149999.99951066286</v>
      </c>
      <c r="T86" s="84">
        <f t="shared" si="168"/>
        <v>149999.99922105786</v>
      </c>
      <c r="U86" s="84">
        <f t="shared" si="168"/>
        <v>149999.99980503289</v>
      </c>
      <c r="V86" s="84">
        <f t="shared" si="168"/>
        <v>136841.14237570087</v>
      </c>
      <c r="W86" s="84">
        <f t="shared" ref="W86:Y86" si="169">IF(W18=0,0,W18/W29*1000000)</f>
        <v>149999.99947881617</v>
      </c>
      <c r="X86" s="84">
        <f t="shared" si="169"/>
        <v>149999.9987334006</v>
      </c>
      <c r="Y86" s="84">
        <f t="shared" si="169"/>
        <v>149999.99951468004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149999.99933523347</v>
      </c>
      <c r="C87" s="84">
        <f t="shared" si="161"/>
        <v>149999.99946471475</v>
      </c>
      <c r="D87" s="84">
        <f t="shared" si="161"/>
        <v>149999.99968902813</v>
      </c>
      <c r="E87" s="84">
        <f t="shared" si="161"/>
        <v>149999.9998751682</v>
      </c>
      <c r="F87" s="84">
        <f t="shared" si="161"/>
        <v>149999.99952112621</v>
      </c>
      <c r="G87" s="84">
        <f t="shared" si="161"/>
        <v>149999.99976203585</v>
      </c>
      <c r="H87" s="84">
        <f t="shared" si="161"/>
        <v>149999.99981710906</v>
      </c>
      <c r="I87" s="84">
        <f t="shared" si="161"/>
        <v>149999.99982968837</v>
      </c>
      <c r="J87" s="84">
        <f t="shared" si="161"/>
        <v>149999.99973903061</v>
      </c>
      <c r="K87" s="84">
        <f t="shared" ref="K87:V87" si="170">IF(K19=0,0,K19/K30*1000000)</f>
        <v>149999.99995993561</v>
      </c>
      <c r="L87" s="84">
        <f t="shared" si="170"/>
        <v>140404.21230525663</v>
      </c>
      <c r="M87" s="84">
        <f t="shared" si="170"/>
        <v>149999.99957729896</v>
      </c>
      <c r="N87" s="84">
        <f t="shared" si="170"/>
        <v>146051.65249836992</v>
      </c>
      <c r="O87" s="84">
        <f t="shared" si="170"/>
        <v>149999.9999723284</v>
      </c>
      <c r="P87" s="84">
        <f t="shared" si="170"/>
        <v>142175.56744360484</v>
      </c>
      <c r="Q87" s="84">
        <f t="shared" si="170"/>
        <v>149999.99994894073</v>
      </c>
      <c r="R87" s="84">
        <f t="shared" si="170"/>
        <v>149999.99978119531</v>
      </c>
      <c r="S87" s="84">
        <f t="shared" si="170"/>
        <v>149999.99968003697</v>
      </c>
      <c r="T87" s="84">
        <f t="shared" si="170"/>
        <v>149999.99959053055</v>
      </c>
      <c r="U87" s="84">
        <f t="shared" si="170"/>
        <v>149999.99989943721</v>
      </c>
      <c r="V87" s="84">
        <f t="shared" si="170"/>
        <v>142396.41028767294</v>
      </c>
      <c r="W87" s="84">
        <f t="shared" ref="W87:Y87" si="171">IF(W19=0,0,W19/W30*1000000)</f>
        <v>149999.99965783465</v>
      </c>
      <c r="X87" s="84">
        <f t="shared" si="171"/>
        <v>149999.99990407913</v>
      </c>
      <c r="Y87" s="84">
        <f t="shared" si="171"/>
        <v>149999.9997296918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199999.99896626626</v>
      </c>
      <c r="C89" s="28">
        <f t="shared" si="161"/>
        <v>199611.59077018491</v>
      </c>
      <c r="D89" s="28">
        <f t="shared" si="161"/>
        <v>199999.99749460991</v>
      </c>
      <c r="E89" s="28">
        <f t="shared" si="161"/>
        <v>199999.99729406735</v>
      </c>
      <c r="F89" s="28">
        <f t="shared" si="161"/>
        <v>199999.99778097001</v>
      </c>
      <c r="G89" s="28">
        <f t="shared" si="161"/>
        <v>199999.99877859349</v>
      </c>
      <c r="H89" s="28">
        <f t="shared" si="161"/>
        <v>199999.99892184848</v>
      </c>
      <c r="I89" s="28">
        <f t="shared" si="161"/>
        <v>199999.9986400707</v>
      </c>
      <c r="J89" s="28">
        <f t="shared" si="161"/>
        <v>199999.99915988831</v>
      </c>
      <c r="K89" s="28">
        <f t="shared" ref="K89:V89" si="174">IF(K21=0,0,K21/K32*1000000)</f>
        <v>169041.96001247736</v>
      </c>
      <c r="L89" s="28">
        <f t="shared" si="174"/>
        <v>198560.4782648792</v>
      </c>
      <c r="M89" s="28">
        <f t="shared" si="174"/>
        <v>188708.32008665148</v>
      </c>
      <c r="N89" s="28">
        <f t="shared" si="174"/>
        <v>184790.22851261395</v>
      </c>
      <c r="O89" s="28">
        <f t="shared" si="174"/>
        <v>199999.99692668061</v>
      </c>
      <c r="P89" s="28">
        <f t="shared" si="174"/>
        <v>199999.99822273941</v>
      </c>
      <c r="Q89" s="28">
        <f t="shared" si="174"/>
        <v>199999.99719813489</v>
      </c>
      <c r="R89" s="28">
        <f t="shared" si="174"/>
        <v>199999.9968348367</v>
      </c>
      <c r="S89" s="28">
        <f t="shared" si="174"/>
        <v>199999.99899041074</v>
      </c>
      <c r="T89" s="28">
        <f t="shared" si="174"/>
        <v>192213.94560220683</v>
      </c>
      <c r="U89" s="28">
        <f t="shared" si="174"/>
        <v>199999.99607382188</v>
      </c>
      <c r="V89" s="28">
        <f t="shared" si="174"/>
        <v>199999.99849249137</v>
      </c>
      <c r="W89" s="28">
        <f t="shared" ref="W89:Y89" si="175">IF(W21=0,0,W21/W32*1000000)</f>
        <v>186269.11274473151</v>
      </c>
      <c r="X89" s="28">
        <f t="shared" si="175"/>
        <v>193432.61116132588</v>
      </c>
      <c r="Y89" s="28">
        <f t="shared" si="175"/>
        <v>161358.09270181748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199999.99598588698</v>
      </c>
      <c r="C90" s="84">
        <f t="shared" si="161"/>
        <v>198051.35315413389</v>
      </c>
      <c r="D90" s="84">
        <f t="shared" si="161"/>
        <v>199999.99410063907</v>
      </c>
      <c r="E90" s="84">
        <f t="shared" si="161"/>
        <v>199999.98967649514</v>
      </c>
      <c r="F90" s="84">
        <f t="shared" si="161"/>
        <v>199999.98686538075</v>
      </c>
      <c r="G90" s="84">
        <f t="shared" si="161"/>
        <v>199999.99784543485</v>
      </c>
      <c r="H90" s="84">
        <f t="shared" si="161"/>
        <v>199999.99519167058</v>
      </c>
      <c r="I90" s="84">
        <f t="shared" si="161"/>
        <v>199999.99829950684</v>
      </c>
      <c r="J90" s="84">
        <f t="shared" si="161"/>
        <v>199999.99808571019</v>
      </c>
      <c r="K90" s="84">
        <f t="shared" ref="K90:V90" si="176">IF(K22=0,0,K22/K33*1000000)</f>
        <v>163767.82715338224</v>
      </c>
      <c r="L90" s="84">
        <f t="shared" si="176"/>
        <v>188879.60030898181</v>
      </c>
      <c r="M90" s="84">
        <f t="shared" si="176"/>
        <v>93240.571135581617</v>
      </c>
      <c r="N90" s="84">
        <f t="shared" si="176"/>
        <v>199999.98424061557</v>
      </c>
      <c r="O90" s="84">
        <f t="shared" si="176"/>
        <v>199999.98184713343</v>
      </c>
      <c r="P90" s="84">
        <f t="shared" si="176"/>
        <v>199999.98759808572</v>
      </c>
      <c r="Q90" s="84">
        <f t="shared" si="176"/>
        <v>199999.98786994384</v>
      </c>
      <c r="R90" s="84">
        <f t="shared" si="176"/>
        <v>199999.98681274234</v>
      </c>
      <c r="S90" s="84">
        <f t="shared" si="176"/>
        <v>199999.99510029858</v>
      </c>
      <c r="T90" s="84">
        <f t="shared" si="176"/>
        <v>199999.99507864087</v>
      </c>
      <c r="U90" s="84">
        <f t="shared" si="176"/>
        <v>199999.98075453923</v>
      </c>
      <c r="V90" s="84">
        <f t="shared" si="176"/>
        <v>199999.99569409361</v>
      </c>
      <c r="W90" s="84">
        <f t="shared" ref="W90:Y90" si="177">IF(W22=0,0,W22/W33*1000000)</f>
        <v>199999.99587750909</v>
      </c>
      <c r="X90" s="84">
        <f t="shared" si="177"/>
        <v>199999.9919775493</v>
      </c>
      <c r="Y90" s="84">
        <f t="shared" si="177"/>
        <v>151279.26818698572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199999.99975237454</v>
      </c>
      <c r="C91" s="86">
        <f t="shared" si="161"/>
        <v>199999.99703360919</v>
      </c>
      <c r="D91" s="86">
        <f t="shared" si="161"/>
        <v>199999.9982951727</v>
      </c>
      <c r="E91" s="86">
        <f t="shared" si="161"/>
        <v>199999.99887100043</v>
      </c>
      <c r="F91" s="86">
        <f t="shared" si="161"/>
        <v>199999.9998282764</v>
      </c>
      <c r="G91" s="86">
        <f t="shared" si="161"/>
        <v>199999.9989498535</v>
      </c>
      <c r="H91" s="86">
        <f t="shared" si="161"/>
        <v>199999.99964143155</v>
      </c>
      <c r="I91" s="86">
        <f t="shared" si="161"/>
        <v>199999.99870100658</v>
      </c>
      <c r="J91" s="86">
        <f t="shared" si="161"/>
        <v>199999.99933790698</v>
      </c>
      <c r="K91" s="86">
        <f t="shared" ref="K91:V91" si="178">IF(K23=0,0,K23/K34*1000000)</f>
        <v>169875.89851226925</v>
      </c>
      <c r="L91" s="86">
        <f t="shared" si="178"/>
        <v>199999.99718463139</v>
      </c>
      <c r="M91" s="86">
        <f t="shared" si="178"/>
        <v>199999.99835283362</v>
      </c>
      <c r="N91" s="86">
        <f t="shared" si="178"/>
        <v>183069.75714706766</v>
      </c>
      <c r="O91" s="86">
        <f t="shared" si="178"/>
        <v>199999.99879293051</v>
      </c>
      <c r="P91" s="86">
        <f t="shared" si="178"/>
        <v>199999.99958438435</v>
      </c>
      <c r="Q91" s="86">
        <f t="shared" si="178"/>
        <v>199999.99829010837</v>
      </c>
      <c r="R91" s="86">
        <f t="shared" si="178"/>
        <v>199999.99786535054</v>
      </c>
      <c r="S91" s="86">
        <f t="shared" si="178"/>
        <v>199999.99937584213</v>
      </c>
      <c r="T91" s="86">
        <f t="shared" si="178"/>
        <v>191301.95860126024</v>
      </c>
      <c r="U91" s="86">
        <f t="shared" si="178"/>
        <v>199999.99784781816</v>
      </c>
      <c r="V91" s="86">
        <f t="shared" si="178"/>
        <v>199999.99881576706</v>
      </c>
      <c r="W91" s="86">
        <f t="shared" ref="W91:Y91" si="179">IF(W23=0,0,W23/W34*1000000)</f>
        <v>184491.06125501834</v>
      </c>
      <c r="X91" s="86">
        <f t="shared" si="179"/>
        <v>192388.97404761444</v>
      </c>
      <c r="Y91" s="86">
        <f t="shared" si="179"/>
        <v>162892.67643842366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18231879.194697224</v>
      </c>
      <c r="C94" s="28">
        <f t="shared" si="180"/>
        <v>18322649.149806134</v>
      </c>
      <c r="D94" s="28">
        <f t="shared" si="180"/>
        <v>19223501.642428793</v>
      </c>
      <c r="E94" s="28">
        <f t="shared" si="180"/>
        <v>18080763.964901268</v>
      </c>
      <c r="F94" s="28">
        <f t="shared" si="180"/>
        <v>17867142.483980302</v>
      </c>
      <c r="G94" s="28">
        <f t="shared" si="180"/>
        <v>17702645.940684214</v>
      </c>
      <c r="H94" s="28">
        <f t="shared" si="180"/>
        <v>16873179.347067956</v>
      </c>
      <c r="I94" s="28">
        <f t="shared" si="180"/>
        <v>15193522.116793675</v>
      </c>
      <c r="J94" s="28">
        <f t="shared" si="180"/>
        <v>14440134.979919266</v>
      </c>
      <c r="K94" s="28">
        <f t="shared" ref="K94:V94" si="181">IF(K4=0,0,K4/K26*1000000)</f>
        <v>13047728.039973671</v>
      </c>
      <c r="L94" s="28">
        <f t="shared" si="181"/>
        <v>13243354.484394182</v>
      </c>
      <c r="M94" s="28">
        <f t="shared" si="181"/>
        <v>13791232.922089083</v>
      </c>
      <c r="N94" s="28">
        <f t="shared" si="181"/>
        <v>14700277.049248261</v>
      </c>
      <c r="O94" s="28">
        <f t="shared" si="181"/>
        <v>12979335.239756094</v>
      </c>
      <c r="P94" s="28">
        <f t="shared" si="181"/>
        <v>12727510.566076765</v>
      </c>
      <c r="Q94" s="28">
        <f t="shared" si="181"/>
        <v>12478039.275203792</v>
      </c>
      <c r="R94" s="28">
        <f t="shared" si="181"/>
        <v>12469096.780839816</v>
      </c>
      <c r="S94" s="28">
        <f t="shared" si="181"/>
        <v>12739970.267889353</v>
      </c>
      <c r="T94" s="28">
        <f t="shared" si="181"/>
        <v>12324398.073566852</v>
      </c>
      <c r="U94" s="28">
        <f t="shared" si="181"/>
        <v>13055962.155250063</v>
      </c>
      <c r="V94" s="28">
        <f t="shared" si="181"/>
        <v>8868530.0235942211</v>
      </c>
      <c r="W94" s="28">
        <f t="shared" ref="W94:Y94" si="182">IF(W4=0,0,W4/W26*1000000)</f>
        <v>9571329.7341567948</v>
      </c>
      <c r="X94" s="28">
        <f t="shared" si="182"/>
        <v>12813616.940413838</v>
      </c>
      <c r="Y94" s="28">
        <f t="shared" si="182"/>
        <v>16220651.044030206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9536740.1913959216</v>
      </c>
      <c r="C95" s="108">
        <f t="shared" si="180"/>
        <v>9487400.370672103</v>
      </c>
      <c r="D95" s="108">
        <f t="shared" si="180"/>
        <v>9625647.2303606365</v>
      </c>
      <c r="E95" s="108">
        <f t="shared" si="180"/>
        <v>9282904.791809259</v>
      </c>
      <c r="F95" s="108">
        <f t="shared" si="180"/>
        <v>9220770.1994278468</v>
      </c>
      <c r="G95" s="108">
        <f t="shared" si="180"/>
        <v>9287607.9094816223</v>
      </c>
      <c r="H95" s="108">
        <f t="shared" si="180"/>
        <v>9185820.0873244368</v>
      </c>
      <c r="I95" s="108">
        <f t="shared" si="180"/>
        <v>8731210.1437728945</v>
      </c>
      <c r="J95" s="108">
        <f t="shared" si="180"/>
        <v>8660877.360377932</v>
      </c>
      <c r="K95" s="108">
        <f t="shared" ref="K95:V95" si="183">IF(K5=0,0,K5/K27*1000000)</f>
        <v>8566652.5414196644</v>
      </c>
      <c r="L95" s="108">
        <f t="shared" si="183"/>
        <v>8601537.7351568472</v>
      </c>
      <c r="M95" s="108">
        <f t="shared" si="183"/>
        <v>8535894.668881638</v>
      </c>
      <c r="N95" s="108">
        <f t="shared" si="183"/>
        <v>8611201.3122409713</v>
      </c>
      <c r="O95" s="108">
        <f t="shared" si="183"/>
        <v>8664187.4527112991</v>
      </c>
      <c r="P95" s="108">
        <f t="shared" si="183"/>
        <v>8566840.5770000163</v>
      </c>
      <c r="Q95" s="108">
        <f t="shared" si="183"/>
        <v>7924541.3608260443</v>
      </c>
      <c r="R95" s="108">
        <f t="shared" si="183"/>
        <v>7924541.3591472479</v>
      </c>
      <c r="S95" s="108">
        <f t="shared" si="183"/>
        <v>8085479.517148505</v>
      </c>
      <c r="T95" s="108">
        <f t="shared" si="183"/>
        <v>7742238.8101895973</v>
      </c>
      <c r="U95" s="108">
        <f t="shared" si="183"/>
        <v>8538551.2448151615</v>
      </c>
      <c r="V95" s="108">
        <f t="shared" si="183"/>
        <v>5844361.9055824233</v>
      </c>
      <c r="W95" s="108">
        <f t="shared" ref="W95:Y95" si="184">IF(W5=0,0,W5/W27*1000000)</f>
        <v>5690807.4011787875</v>
      </c>
      <c r="X95" s="108">
        <f t="shared" si="184"/>
        <v>6758545.9872851707</v>
      </c>
      <c r="Y95" s="108">
        <f t="shared" si="184"/>
        <v>8860570.0062600523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24044416.101596635</v>
      </c>
      <c r="C96" s="110">
        <f t="shared" si="180"/>
        <v>24086805.350828078</v>
      </c>
      <c r="D96" s="110">
        <f t="shared" si="180"/>
        <v>25297993.049987182</v>
      </c>
      <c r="E96" s="110">
        <f t="shared" si="180"/>
        <v>23537248.343086179</v>
      </c>
      <c r="F96" s="110">
        <f t="shared" si="180"/>
        <v>23002181.401067916</v>
      </c>
      <c r="G96" s="110">
        <f t="shared" si="180"/>
        <v>22591957.045421973</v>
      </c>
      <c r="H96" s="110">
        <f t="shared" si="180"/>
        <v>21034248.740005378</v>
      </c>
      <c r="I96" s="110">
        <f t="shared" si="180"/>
        <v>18822851.999607466</v>
      </c>
      <c r="J96" s="110">
        <f t="shared" si="180"/>
        <v>17781331.642382734</v>
      </c>
      <c r="K96" s="110">
        <f t="shared" ref="K96:V96" si="185">IF(K6=0,0,K6/K28*1000000)</f>
        <v>15599135.608453346</v>
      </c>
      <c r="L96" s="110">
        <f t="shared" si="185"/>
        <v>16050050.883216582</v>
      </c>
      <c r="M96" s="110">
        <f t="shared" si="185"/>
        <v>17208552.715871945</v>
      </c>
      <c r="N96" s="110">
        <f t="shared" si="185"/>
        <v>19001947.465924896</v>
      </c>
      <c r="O96" s="110">
        <f t="shared" si="185"/>
        <v>15441309.555370623</v>
      </c>
      <c r="P96" s="110">
        <f t="shared" si="185"/>
        <v>15464071.046522856</v>
      </c>
      <c r="Q96" s="110">
        <f t="shared" si="185"/>
        <v>16049399.126653668</v>
      </c>
      <c r="R96" s="110">
        <f t="shared" si="185"/>
        <v>16183211.394396771</v>
      </c>
      <c r="S96" s="110">
        <f t="shared" si="185"/>
        <v>16476553.011506293</v>
      </c>
      <c r="T96" s="110">
        <f t="shared" si="185"/>
        <v>15526700.263302064</v>
      </c>
      <c r="U96" s="110">
        <f t="shared" si="185"/>
        <v>16150282.697240043</v>
      </c>
      <c r="V96" s="110">
        <f t="shared" si="185"/>
        <v>11039879.702702181</v>
      </c>
      <c r="W96" s="110">
        <f t="shared" ref="W96:Y96" si="186">IF(W6=0,0,W6/W28*1000000)</f>
        <v>12297211.571187822</v>
      </c>
      <c r="X96" s="110">
        <f t="shared" si="186"/>
        <v>17452424.789375946</v>
      </c>
      <c r="Y96" s="110">
        <f t="shared" si="186"/>
        <v>20894361.704090878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19848060.171464801</v>
      </c>
      <c r="C97" s="84">
        <f t="shared" si="180"/>
        <v>19851729.17602415</v>
      </c>
      <c r="D97" s="84">
        <f t="shared" si="180"/>
        <v>22022817.469607782</v>
      </c>
      <c r="E97" s="84">
        <f t="shared" si="180"/>
        <v>20132131.787354704</v>
      </c>
      <c r="F97" s="84">
        <f t="shared" si="180"/>
        <v>21142204.350516763</v>
      </c>
      <c r="G97" s="84">
        <f t="shared" si="180"/>
        <v>19899780.154560946</v>
      </c>
      <c r="H97" s="84">
        <f t="shared" si="180"/>
        <v>21601717.979371712</v>
      </c>
      <c r="I97" s="84">
        <f t="shared" si="180"/>
        <v>18547027.231583219</v>
      </c>
      <c r="J97" s="84">
        <f t="shared" si="180"/>
        <v>16895769.822239667</v>
      </c>
      <c r="K97" s="84">
        <f t="shared" ref="K97:V97" si="187">IF(K7=0,0,K7/K29*1000000)</f>
        <v>15339648.421386514</v>
      </c>
      <c r="L97" s="84">
        <f t="shared" si="187"/>
        <v>15141221.187040187</v>
      </c>
      <c r="M97" s="84">
        <f t="shared" si="187"/>
        <v>16319183.013488607</v>
      </c>
      <c r="N97" s="84">
        <f t="shared" si="187"/>
        <v>16393683.318727395</v>
      </c>
      <c r="O97" s="84">
        <f t="shared" si="187"/>
        <v>14966066.819933634</v>
      </c>
      <c r="P97" s="84">
        <f t="shared" si="187"/>
        <v>15716273.947855605</v>
      </c>
      <c r="Q97" s="84">
        <f t="shared" si="187"/>
        <v>13794972.321936958</v>
      </c>
      <c r="R97" s="84">
        <f t="shared" si="187"/>
        <v>14665868.596847888</v>
      </c>
      <c r="S97" s="84">
        <f t="shared" si="187"/>
        <v>14684348.525610544</v>
      </c>
      <c r="T97" s="84">
        <f t="shared" si="187"/>
        <v>15311899.47842731</v>
      </c>
      <c r="U97" s="84">
        <f t="shared" si="187"/>
        <v>15987000.226911044</v>
      </c>
      <c r="V97" s="84">
        <f t="shared" si="187"/>
        <v>10751695.748106414</v>
      </c>
      <c r="W97" s="84">
        <f t="shared" ref="W97:Y97" si="188">IF(W7=0,0,W7/W29*1000000)</f>
        <v>11688195.214064395</v>
      </c>
      <c r="X97" s="84">
        <f t="shared" si="188"/>
        <v>14913045.483628824</v>
      </c>
      <c r="Y97" s="84">
        <f t="shared" si="188"/>
        <v>17230455.648099035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28166835.397787727</v>
      </c>
      <c r="C98" s="84">
        <f t="shared" si="180"/>
        <v>28006566.310558457</v>
      </c>
      <c r="D98" s="84">
        <f t="shared" si="180"/>
        <v>28458211.218609102</v>
      </c>
      <c r="E98" s="84">
        <f t="shared" si="180"/>
        <v>26560476.608083829</v>
      </c>
      <c r="F98" s="84">
        <f t="shared" si="180"/>
        <v>24448210.218959555</v>
      </c>
      <c r="G98" s="84">
        <f t="shared" si="180"/>
        <v>24477738.84662234</v>
      </c>
      <c r="H98" s="84">
        <f t="shared" si="180"/>
        <v>20703063.876274504</v>
      </c>
      <c r="I98" s="84">
        <f t="shared" si="180"/>
        <v>18980005.367080174</v>
      </c>
      <c r="J98" s="84">
        <f t="shared" si="180"/>
        <v>18310303.488375627</v>
      </c>
      <c r="K98" s="84">
        <f t="shared" ref="K98:V98" si="189">IF(K8=0,0,K8/K30*1000000)</f>
        <v>15753067.025456131</v>
      </c>
      <c r="L98" s="84">
        <f t="shared" si="189"/>
        <v>16569777.843494628</v>
      </c>
      <c r="M98" s="84">
        <f t="shared" si="189"/>
        <v>17706658.97831215</v>
      </c>
      <c r="N98" s="84">
        <f t="shared" si="189"/>
        <v>20379424.873452716</v>
      </c>
      <c r="O98" s="84">
        <f t="shared" si="189"/>
        <v>15663600.169341682</v>
      </c>
      <c r="P98" s="84">
        <f t="shared" si="189"/>
        <v>15328778.605758743</v>
      </c>
      <c r="Q98" s="84">
        <f t="shared" si="189"/>
        <v>17141643.307163928</v>
      </c>
      <c r="R98" s="84">
        <f t="shared" si="189"/>
        <v>16850764.381258346</v>
      </c>
      <c r="S98" s="84">
        <f t="shared" si="189"/>
        <v>17319151.977129556</v>
      </c>
      <c r="T98" s="84">
        <f t="shared" si="189"/>
        <v>15617366.655899473</v>
      </c>
      <c r="U98" s="84">
        <f t="shared" si="189"/>
        <v>16214039.209973976</v>
      </c>
      <c r="V98" s="84">
        <f t="shared" si="189"/>
        <v>11141728.429368984</v>
      </c>
      <c r="W98" s="84">
        <f t="shared" ref="W98:Y98" si="190">IF(W8=0,0,W8/W30*1000000)</f>
        <v>12481855.415717538</v>
      </c>
      <c r="X98" s="84">
        <f t="shared" si="190"/>
        <v>18190652.414517738</v>
      </c>
      <c r="Y98" s="84">
        <f t="shared" si="190"/>
        <v>21964802.258745722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119185059.15601431</v>
      </c>
      <c r="C100" s="28">
        <f t="shared" si="180"/>
        <v>110661168.86650051</v>
      </c>
      <c r="D100" s="28">
        <f t="shared" si="180"/>
        <v>109638955.12557688</v>
      </c>
      <c r="E100" s="28">
        <f t="shared" si="180"/>
        <v>107648158.48342492</v>
      </c>
      <c r="F100" s="28">
        <f t="shared" si="180"/>
        <v>111204311.68185344</v>
      </c>
      <c r="G100" s="28">
        <f t="shared" si="180"/>
        <v>113574398.3464967</v>
      </c>
      <c r="H100" s="28">
        <f t="shared" si="180"/>
        <v>111352702.04445073</v>
      </c>
      <c r="I100" s="28">
        <f t="shared" si="180"/>
        <v>104284630.78476904</v>
      </c>
      <c r="J100" s="28">
        <f t="shared" si="180"/>
        <v>104392651.18871343</v>
      </c>
      <c r="K100" s="28">
        <f t="shared" ref="K100:V100" si="193">IF(K10=0,0,K10/K32*1000000)</f>
        <v>87991376.592805326</v>
      </c>
      <c r="L100" s="28">
        <f t="shared" si="193"/>
        <v>110018942.64165111</v>
      </c>
      <c r="M100" s="28">
        <f t="shared" si="193"/>
        <v>109295528.34810513</v>
      </c>
      <c r="N100" s="28">
        <f t="shared" si="193"/>
        <v>120595546.53842896</v>
      </c>
      <c r="O100" s="28">
        <f t="shared" si="193"/>
        <v>115259698.88077641</v>
      </c>
      <c r="P100" s="28">
        <f t="shared" si="193"/>
        <v>115317174.56438704</v>
      </c>
      <c r="Q100" s="28">
        <f t="shared" si="193"/>
        <v>120478924.54710665</v>
      </c>
      <c r="R100" s="28">
        <f t="shared" si="193"/>
        <v>125294500.98763439</v>
      </c>
      <c r="S100" s="28">
        <f t="shared" si="193"/>
        <v>126420147.82013699</v>
      </c>
      <c r="T100" s="28">
        <f t="shared" si="193"/>
        <v>104941629.34194133</v>
      </c>
      <c r="U100" s="28">
        <f t="shared" si="193"/>
        <v>112288941.96888456</v>
      </c>
      <c r="V100" s="28">
        <f t="shared" si="193"/>
        <v>94848055.664348379</v>
      </c>
      <c r="W100" s="28">
        <f t="shared" ref="W100:Y100" si="194">IF(W10=0,0,W10/W32*1000000)</f>
        <v>96833753.035868734</v>
      </c>
      <c r="X100" s="28">
        <f t="shared" si="194"/>
        <v>100042788.10040261</v>
      </c>
      <c r="Y100" s="28">
        <f t="shared" si="194"/>
        <v>98606707.026473552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148046978.74236637</v>
      </c>
      <c r="C101" s="84">
        <f t="shared" si="180"/>
        <v>139351155.20174682</v>
      </c>
      <c r="D101" s="84">
        <f t="shared" si="180"/>
        <v>145383228.01898867</v>
      </c>
      <c r="E101" s="84">
        <f t="shared" si="180"/>
        <v>151630179.20243895</v>
      </c>
      <c r="F101" s="84">
        <f t="shared" si="180"/>
        <v>160960179.32524756</v>
      </c>
      <c r="G101" s="84">
        <f t="shared" si="180"/>
        <v>159561174.69284686</v>
      </c>
      <c r="H101" s="84">
        <f t="shared" si="180"/>
        <v>160398574.97156549</v>
      </c>
      <c r="I101" s="84">
        <f t="shared" si="180"/>
        <v>154340652.51531458</v>
      </c>
      <c r="J101" s="84">
        <f t="shared" si="180"/>
        <v>155594395.98180583</v>
      </c>
      <c r="K101" s="84">
        <f t="shared" ref="K101:V101" si="195">IF(K11=0,0,K11/K33*1000000)</f>
        <v>123376604.77676736</v>
      </c>
      <c r="L101" s="84">
        <f t="shared" si="195"/>
        <v>141010304.79903385</v>
      </c>
      <c r="M101" s="84">
        <f t="shared" si="195"/>
        <v>77869819.261003166</v>
      </c>
      <c r="N101" s="84">
        <f t="shared" si="195"/>
        <v>186690598.15181684</v>
      </c>
      <c r="O101" s="84">
        <f t="shared" si="195"/>
        <v>160377663.58398592</v>
      </c>
      <c r="P101" s="84">
        <f t="shared" si="195"/>
        <v>168248789.44811934</v>
      </c>
      <c r="Q101" s="84">
        <f t="shared" si="195"/>
        <v>166397548.76449597</v>
      </c>
      <c r="R101" s="84">
        <f t="shared" si="195"/>
        <v>190466639.5559051</v>
      </c>
      <c r="S101" s="84">
        <f t="shared" si="195"/>
        <v>201822704.68091002</v>
      </c>
      <c r="T101" s="84">
        <f t="shared" si="195"/>
        <v>144639329.2202923</v>
      </c>
      <c r="U101" s="84">
        <f t="shared" si="195"/>
        <v>147562811.90635338</v>
      </c>
      <c r="V101" s="84">
        <f t="shared" si="195"/>
        <v>113104505.67490879</v>
      </c>
      <c r="W101" s="84">
        <f t="shared" ref="W101:Y101" si="196">IF(W11=0,0,W11/W33*1000000)</f>
        <v>103703011.853039</v>
      </c>
      <c r="X101" s="84">
        <f t="shared" si="196"/>
        <v>108226550.92646095</v>
      </c>
      <c r="Y101" s="84">
        <f t="shared" si="196"/>
        <v>111013386.94999734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111572405.74692023</v>
      </c>
      <c r="C102" s="86">
        <f t="shared" si="180"/>
        <v>103519070.58895068</v>
      </c>
      <c r="D102" s="86">
        <f t="shared" si="180"/>
        <v>101207670.31618439</v>
      </c>
      <c r="E102" s="86">
        <f t="shared" si="180"/>
        <v>98543328.117922306</v>
      </c>
      <c r="F102" s="86">
        <f t="shared" si="180"/>
        <v>101872199.13018003</v>
      </c>
      <c r="G102" s="86">
        <f t="shared" si="180"/>
        <v>105134574.34392504</v>
      </c>
      <c r="H102" s="86">
        <f t="shared" si="180"/>
        <v>101891335.24675132</v>
      </c>
      <c r="I102" s="86">
        <f t="shared" si="180"/>
        <v>95328285.491353199</v>
      </c>
      <c r="J102" s="86">
        <f t="shared" si="180"/>
        <v>95907216.533977672</v>
      </c>
      <c r="K102" s="86">
        <f t="shared" ref="K102:V102" si="197">IF(K12=0,0,K12/K34*1000000)</f>
        <v>82396313.879199222</v>
      </c>
      <c r="L102" s="86">
        <f t="shared" si="197"/>
        <v>105410615.54800504</v>
      </c>
      <c r="M102" s="86">
        <f t="shared" si="197"/>
        <v>113012479.88615872</v>
      </c>
      <c r="N102" s="86">
        <f t="shared" si="197"/>
        <v>113119118.53138442</v>
      </c>
      <c r="O102" s="86">
        <f t="shared" si="197"/>
        <v>109675884.15643321</v>
      </c>
      <c r="P102" s="86">
        <f t="shared" si="197"/>
        <v>108533511.84990507</v>
      </c>
      <c r="Q102" s="86">
        <f t="shared" si="197"/>
        <v>115103614.36008434</v>
      </c>
      <c r="R102" s="86">
        <f t="shared" si="197"/>
        <v>118593228.02562821</v>
      </c>
      <c r="S102" s="86">
        <f t="shared" si="197"/>
        <v>118949280.14355397</v>
      </c>
      <c r="T102" s="86">
        <f t="shared" si="197"/>
        <v>100291801.93381706</v>
      </c>
      <c r="U102" s="86">
        <f t="shared" si="197"/>
        <v>108204174.09634173</v>
      </c>
      <c r="V102" s="86">
        <f t="shared" si="197"/>
        <v>92739039.309872419</v>
      </c>
      <c r="W102" s="86">
        <f t="shared" ref="W102:Y102" si="198">IF(W12=0,0,W12/W34*1000000)</f>
        <v>95944232.984245941</v>
      </c>
      <c r="X102" s="86">
        <f t="shared" si="198"/>
        <v>98742288.121173769</v>
      </c>
      <c r="Y102" s="86">
        <f t="shared" si="198"/>
        <v>96717688.202115536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0.2095735138220664</v>
      </c>
      <c r="C106" s="123">
        <f t="shared" si="199"/>
        <v>0.20443702290076332</v>
      </c>
      <c r="D106" s="123">
        <f t="shared" si="199"/>
        <v>0.19407668171730313</v>
      </c>
      <c r="E106" s="123">
        <f t="shared" si="199"/>
        <v>0.19653179190751446</v>
      </c>
      <c r="F106" s="123">
        <f t="shared" si="199"/>
        <v>0.19229241160111243</v>
      </c>
      <c r="G106" s="123">
        <f t="shared" si="199"/>
        <v>0.19280563749590293</v>
      </c>
      <c r="H106" s="123">
        <f t="shared" si="199"/>
        <v>0.19119001758646678</v>
      </c>
      <c r="I106" s="123">
        <f t="shared" si="199"/>
        <v>0.20667150108774479</v>
      </c>
      <c r="J106" s="123">
        <f t="shared" si="199"/>
        <v>0.21972334619365766</v>
      </c>
      <c r="K106" s="123">
        <f t="shared" ref="K106:V106" si="202">IF(K5=0,0,K5/K$4)</f>
        <v>0.23820309550773877</v>
      </c>
      <c r="L106" s="123">
        <f t="shared" si="202"/>
        <v>0.24473942969518192</v>
      </c>
      <c r="M106" s="123">
        <f t="shared" si="202"/>
        <v>0.24388177829109878</v>
      </c>
      <c r="N106" s="123">
        <f t="shared" si="202"/>
        <v>0.24250942401827558</v>
      </c>
      <c r="O106" s="123">
        <f t="shared" si="202"/>
        <v>0.24250103554802963</v>
      </c>
      <c r="P106" s="123">
        <f t="shared" si="202"/>
        <v>0.26705919255724664</v>
      </c>
      <c r="Q106" s="123">
        <f t="shared" si="202"/>
        <v>0.27915514292253224</v>
      </c>
      <c r="R106" s="123">
        <f t="shared" si="202"/>
        <v>0.28581454577492488</v>
      </c>
      <c r="S106" s="123">
        <f t="shared" si="202"/>
        <v>0.282614503508132</v>
      </c>
      <c r="T106" s="123">
        <f t="shared" si="202"/>
        <v>0.25842503602889944</v>
      </c>
      <c r="U106" s="123">
        <f t="shared" si="202"/>
        <v>0.26586253992014497</v>
      </c>
      <c r="V106" s="123">
        <f t="shared" si="202"/>
        <v>0.27541424093148231</v>
      </c>
      <c r="W106" s="123">
        <f t="shared" ref="W106:Y106" si="203">IF(W5=0,0,W5/W$4)</f>
        <v>0.245325953718111</v>
      </c>
      <c r="X106" s="123">
        <f t="shared" si="203"/>
        <v>0.22879823086689061</v>
      </c>
      <c r="Y106" s="123">
        <f t="shared" si="203"/>
        <v>0.21215472703629937</v>
      </c>
      <c r="DA106" s="203"/>
    </row>
    <row r="107" spans="1:105" ht="11.45" customHeight="1" x14ac:dyDescent="0.25">
      <c r="A107" s="109" t="s">
        <v>24</v>
      </c>
      <c r="B107" s="124">
        <f t="shared" si="199"/>
        <v>0.79042648617793365</v>
      </c>
      <c r="C107" s="124">
        <f t="shared" si="199"/>
        <v>0.79556297709923662</v>
      </c>
      <c r="D107" s="124">
        <f t="shared" si="199"/>
        <v>0.80592331828269692</v>
      </c>
      <c r="E107" s="124">
        <f t="shared" si="199"/>
        <v>0.80346820809248554</v>
      </c>
      <c r="F107" s="124">
        <f t="shared" si="199"/>
        <v>0.80770758839888757</v>
      </c>
      <c r="G107" s="124">
        <f t="shared" si="199"/>
        <v>0.80719436250409704</v>
      </c>
      <c r="H107" s="124">
        <f t="shared" si="199"/>
        <v>0.80880998241353319</v>
      </c>
      <c r="I107" s="124">
        <f t="shared" si="199"/>
        <v>0.79332849891225521</v>
      </c>
      <c r="J107" s="124">
        <f t="shared" si="199"/>
        <v>0.78027665380634237</v>
      </c>
      <c r="K107" s="124">
        <f t="shared" ref="K107:V107" si="204">IF(K6=0,0,K6/K$4)</f>
        <v>0.76179690449226112</v>
      </c>
      <c r="L107" s="124">
        <f t="shared" si="204"/>
        <v>0.75526057030481808</v>
      </c>
      <c r="M107" s="124">
        <f t="shared" si="204"/>
        <v>0.75611822170890119</v>
      </c>
      <c r="N107" s="124">
        <f t="shared" si="204"/>
        <v>0.75749057598172442</v>
      </c>
      <c r="O107" s="124">
        <f t="shared" si="204"/>
        <v>0.75749896445197029</v>
      </c>
      <c r="P107" s="124">
        <f t="shared" si="204"/>
        <v>0.73294080744275347</v>
      </c>
      <c r="Q107" s="124">
        <f t="shared" si="204"/>
        <v>0.72084485707746782</v>
      </c>
      <c r="R107" s="124">
        <f t="shared" si="204"/>
        <v>0.71418545422507518</v>
      </c>
      <c r="S107" s="124">
        <f t="shared" si="204"/>
        <v>0.717385496491868</v>
      </c>
      <c r="T107" s="124">
        <f t="shared" si="204"/>
        <v>0.74157496397110045</v>
      </c>
      <c r="U107" s="124">
        <f t="shared" si="204"/>
        <v>0.73413746007985514</v>
      </c>
      <c r="V107" s="124">
        <f t="shared" si="204"/>
        <v>0.72458575906851774</v>
      </c>
      <c r="W107" s="124">
        <f t="shared" ref="W107:Y107" si="205">IF(W6=0,0,W6/W$4)</f>
        <v>0.75467404628188894</v>
      </c>
      <c r="X107" s="124">
        <f t="shared" si="205"/>
        <v>0.77120176913310945</v>
      </c>
      <c r="Y107" s="124">
        <f t="shared" si="205"/>
        <v>0.78784527296370066</v>
      </c>
      <c r="DA107" s="176"/>
    </row>
    <row r="108" spans="1:105" ht="11.45" customHeight="1" x14ac:dyDescent="0.25">
      <c r="A108" s="111" t="s">
        <v>92</v>
      </c>
      <c r="B108" s="125">
        <f t="shared" si="199"/>
        <v>0.32333899922701576</v>
      </c>
      <c r="C108" s="125">
        <f t="shared" si="199"/>
        <v>0.31516500898308664</v>
      </c>
      <c r="D108" s="125">
        <f t="shared" si="199"/>
        <v>0.34452637389635721</v>
      </c>
      <c r="E108" s="125">
        <f t="shared" si="199"/>
        <v>0.3232023775422676</v>
      </c>
      <c r="F108" s="125">
        <f t="shared" si="199"/>
        <v>0.32471977183382122</v>
      </c>
      <c r="G108" s="125">
        <f t="shared" si="199"/>
        <v>0.2928816183340941</v>
      </c>
      <c r="H108" s="125">
        <f t="shared" si="199"/>
        <v>0.30611577283151914</v>
      </c>
      <c r="I108" s="125">
        <f t="shared" si="199"/>
        <v>0.2837263450413125</v>
      </c>
      <c r="J108" s="125">
        <f t="shared" si="199"/>
        <v>0.27725640300129822</v>
      </c>
      <c r="K108" s="125">
        <f t="shared" ref="K108:V108" si="206">IF(K7=0,0,K7/K$4)</f>
        <v>0.27892749527368793</v>
      </c>
      <c r="L108" s="125">
        <f t="shared" si="206"/>
        <v>0.25921437327136715</v>
      </c>
      <c r="M108" s="125">
        <f t="shared" si="206"/>
        <v>0.25741882518187131</v>
      </c>
      <c r="N108" s="125">
        <f t="shared" si="206"/>
        <v>0.22585567764360218</v>
      </c>
      <c r="O108" s="125">
        <f t="shared" si="206"/>
        <v>0.23397084472276472</v>
      </c>
      <c r="P108" s="125">
        <f t="shared" si="206"/>
        <v>0.26007685315032175</v>
      </c>
      <c r="Q108" s="125">
        <f t="shared" si="206"/>
        <v>0.20221370254153892</v>
      </c>
      <c r="R108" s="125">
        <f t="shared" si="206"/>
        <v>0.19774663397171377</v>
      </c>
      <c r="S108" s="125">
        <f t="shared" si="206"/>
        <v>0.20446247515327767</v>
      </c>
      <c r="T108" s="125">
        <f t="shared" si="206"/>
        <v>0.21706347126772305</v>
      </c>
      <c r="U108" s="125">
        <f t="shared" si="206"/>
        <v>0.20407432049359359</v>
      </c>
      <c r="V108" s="125">
        <f t="shared" si="206"/>
        <v>0.18427101350441827</v>
      </c>
      <c r="W108" s="125">
        <f t="shared" ref="W108:Y108" si="207">IF(W7=0,0,W7/W$4)</f>
        <v>0.16687852680351559</v>
      </c>
      <c r="X108" s="125">
        <f t="shared" si="207"/>
        <v>0.14842669187367974</v>
      </c>
      <c r="Y108" s="125">
        <f t="shared" si="207"/>
        <v>0.14689637928723429</v>
      </c>
      <c r="DA108" s="171"/>
    </row>
    <row r="109" spans="1:105" ht="11.45" customHeight="1" x14ac:dyDescent="0.25">
      <c r="A109" s="111" t="s">
        <v>93</v>
      </c>
      <c r="B109" s="125">
        <f t="shared" si="199"/>
        <v>0.46708748695091784</v>
      </c>
      <c r="C109" s="125">
        <f t="shared" si="199"/>
        <v>0.48039796811614999</v>
      </c>
      <c r="D109" s="125">
        <f t="shared" si="199"/>
        <v>0.46139694438633966</v>
      </c>
      <c r="E109" s="125">
        <f t="shared" si="199"/>
        <v>0.48026583055021799</v>
      </c>
      <c r="F109" s="125">
        <f t="shared" si="199"/>
        <v>0.48298781656506634</v>
      </c>
      <c r="G109" s="125">
        <f t="shared" si="199"/>
        <v>0.51431274417000294</v>
      </c>
      <c r="H109" s="125">
        <f t="shared" si="199"/>
        <v>0.50269420958201405</v>
      </c>
      <c r="I109" s="125">
        <f t="shared" si="199"/>
        <v>0.50960215387094276</v>
      </c>
      <c r="J109" s="125">
        <f t="shared" si="199"/>
        <v>0.50302025080504409</v>
      </c>
      <c r="K109" s="125">
        <f t="shared" ref="K109:V109" si="208">IF(K8=0,0,K8/K$4)</f>
        <v>0.48286940921857324</v>
      </c>
      <c r="L109" s="125">
        <f t="shared" si="208"/>
        <v>0.49604619703345093</v>
      </c>
      <c r="M109" s="125">
        <f t="shared" si="208"/>
        <v>0.49869939652702983</v>
      </c>
      <c r="N109" s="125">
        <f t="shared" si="208"/>
        <v>0.53163489833812227</v>
      </c>
      <c r="O109" s="125">
        <f t="shared" si="208"/>
        <v>0.52352811972920554</v>
      </c>
      <c r="P109" s="125">
        <f t="shared" si="208"/>
        <v>0.47286395429243167</v>
      </c>
      <c r="Q109" s="125">
        <f t="shared" si="208"/>
        <v>0.51863115453592901</v>
      </c>
      <c r="R109" s="125">
        <f t="shared" si="208"/>
        <v>0.51643882025336141</v>
      </c>
      <c r="S109" s="125">
        <f t="shared" si="208"/>
        <v>0.51292302133859036</v>
      </c>
      <c r="T109" s="125">
        <f t="shared" si="208"/>
        <v>0.52451149270337738</v>
      </c>
      <c r="U109" s="125">
        <f t="shared" si="208"/>
        <v>0.5300631395862615</v>
      </c>
      <c r="V109" s="125">
        <f t="shared" si="208"/>
        <v>0.54031474556409942</v>
      </c>
      <c r="W109" s="125">
        <f t="shared" ref="W109:Y109" si="209">IF(W8=0,0,W8/W$4)</f>
        <v>0.58779551947837338</v>
      </c>
      <c r="X109" s="125">
        <f t="shared" si="209"/>
        <v>0.62277507725942971</v>
      </c>
      <c r="Y109" s="125">
        <f t="shared" si="209"/>
        <v>0.64094889367646646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0.25925287058918234</v>
      </c>
      <c r="C112" s="125">
        <f t="shared" si="212"/>
        <v>0.25099731001859776</v>
      </c>
      <c r="D112" s="125">
        <f t="shared" si="212"/>
        <v>0.25308193044743066</v>
      </c>
      <c r="E112" s="125">
        <f t="shared" si="212"/>
        <v>0.24158164645620539</v>
      </c>
      <c r="F112" s="125">
        <f t="shared" si="212"/>
        <v>0.22860074647903206</v>
      </c>
      <c r="G112" s="125">
        <f t="shared" si="212"/>
        <v>0.21785571766712403</v>
      </c>
      <c r="H112" s="125">
        <f t="shared" si="212"/>
        <v>0.23293997034676028</v>
      </c>
      <c r="I112" s="125">
        <f t="shared" si="212"/>
        <v>0.22461968707056584</v>
      </c>
      <c r="J112" s="125">
        <f t="shared" si="212"/>
        <v>0.21189321996747865</v>
      </c>
      <c r="K112" s="125">
        <f t="shared" ref="K112:V112" si="215">IF(K11=0,0,K11/K$10)</f>
        <v>0.19143556499986558</v>
      </c>
      <c r="L112" s="125">
        <f t="shared" si="215"/>
        <v>0.16591302236654429</v>
      </c>
      <c r="M112" s="125">
        <f t="shared" si="215"/>
        <v>7.5356207457557875E-2</v>
      </c>
      <c r="N112" s="125">
        <f t="shared" si="215"/>
        <v>0.15731706756091621</v>
      </c>
      <c r="O112" s="125">
        <f t="shared" si="215"/>
        <v>0.15324072558357604</v>
      </c>
      <c r="P112" s="125">
        <f t="shared" si="215"/>
        <v>0.16574359180558956</v>
      </c>
      <c r="Q112" s="125">
        <f t="shared" si="215"/>
        <v>0.14473493177693458</v>
      </c>
      <c r="R112" s="125">
        <f t="shared" si="215"/>
        <v>0.1417346245381996</v>
      </c>
      <c r="S112" s="125">
        <f t="shared" si="215"/>
        <v>0.14391613499795797</v>
      </c>
      <c r="T112" s="125">
        <f t="shared" si="215"/>
        <v>0.14451270147798739</v>
      </c>
      <c r="U112" s="125">
        <f t="shared" si="215"/>
        <v>0.13638520319767394</v>
      </c>
      <c r="V112" s="125">
        <f t="shared" si="215"/>
        <v>0.12349149867898974</v>
      </c>
      <c r="W112" s="125">
        <f t="shared" ref="W112:Y112" si="216">IF(W11=0,0,W11/W$10)</f>
        <v>0.12277981469003915</v>
      </c>
      <c r="X112" s="125">
        <f t="shared" si="216"/>
        <v>0.14833881368939511</v>
      </c>
      <c r="Y112" s="125">
        <f t="shared" si="216"/>
        <v>0.14876466724027426</v>
      </c>
      <c r="DA112" s="171"/>
    </row>
    <row r="113" spans="1:105" ht="11.45" customHeight="1" x14ac:dyDescent="0.25">
      <c r="A113" s="85" t="s">
        <v>93</v>
      </c>
      <c r="B113" s="127">
        <f t="shared" si="212"/>
        <v>0.74074712941081766</v>
      </c>
      <c r="C113" s="127">
        <f t="shared" si="212"/>
        <v>0.74900268998140229</v>
      </c>
      <c r="D113" s="127">
        <f t="shared" si="212"/>
        <v>0.74691806955256934</v>
      </c>
      <c r="E113" s="127">
        <f t="shared" si="212"/>
        <v>0.75841835354379461</v>
      </c>
      <c r="F113" s="127">
        <f t="shared" si="212"/>
        <v>0.77139925352096794</v>
      </c>
      <c r="G113" s="127">
        <f t="shared" si="212"/>
        <v>0.78214428233287592</v>
      </c>
      <c r="H113" s="127">
        <f t="shared" si="212"/>
        <v>0.76706002965323972</v>
      </c>
      <c r="I113" s="127">
        <f t="shared" si="212"/>
        <v>0.7753803129294341</v>
      </c>
      <c r="J113" s="127">
        <f t="shared" si="212"/>
        <v>0.78810678003252133</v>
      </c>
      <c r="K113" s="127">
        <f t="shared" ref="K113:V113" si="217">IF(K12=0,0,K12/K$10)</f>
        <v>0.80856443500013453</v>
      </c>
      <c r="L113" s="127">
        <f t="shared" si="217"/>
        <v>0.83408697763345574</v>
      </c>
      <c r="M113" s="127">
        <f t="shared" si="217"/>
        <v>0.92464379254244211</v>
      </c>
      <c r="N113" s="127">
        <f t="shared" si="217"/>
        <v>0.84268293243908376</v>
      </c>
      <c r="O113" s="127">
        <f t="shared" si="217"/>
        <v>0.84675927441642396</v>
      </c>
      <c r="P113" s="127">
        <f t="shared" si="217"/>
        <v>0.83425640819441049</v>
      </c>
      <c r="Q113" s="127">
        <f t="shared" si="217"/>
        <v>0.85526506822306536</v>
      </c>
      <c r="R113" s="127">
        <f t="shared" si="217"/>
        <v>0.85826537546180048</v>
      </c>
      <c r="S113" s="127">
        <f t="shared" si="217"/>
        <v>0.85608386500204203</v>
      </c>
      <c r="T113" s="127">
        <f t="shared" si="217"/>
        <v>0.85548729852201266</v>
      </c>
      <c r="U113" s="127">
        <f t="shared" si="217"/>
        <v>0.863614796802326</v>
      </c>
      <c r="V113" s="127">
        <f t="shared" si="217"/>
        <v>0.87650850132101032</v>
      </c>
      <c r="W113" s="127">
        <f t="shared" ref="W113:Y113" si="218">IF(W12=0,0,W12/W$10)</f>
        <v>0.87722018530996093</v>
      </c>
      <c r="X113" s="127">
        <f t="shared" si="218"/>
        <v>0.85166118631060483</v>
      </c>
      <c r="Y113" s="127">
        <f t="shared" si="218"/>
        <v>0.85123533275972574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0.32895793449558908</v>
      </c>
      <c r="C117" s="123">
        <f t="shared" si="219"/>
        <v>0.32360678994052422</v>
      </c>
      <c r="D117" s="123">
        <f t="shared" si="219"/>
        <v>0.3169993182948927</v>
      </c>
      <c r="E117" s="123">
        <f t="shared" si="219"/>
        <v>0.31262864396957396</v>
      </c>
      <c r="F117" s="123">
        <f t="shared" si="219"/>
        <v>0.30338984334306918</v>
      </c>
      <c r="G117" s="123">
        <f t="shared" si="219"/>
        <v>0.29877796764072878</v>
      </c>
      <c r="H117" s="123">
        <f t="shared" si="219"/>
        <v>0.28415167489535148</v>
      </c>
      <c r="I117" s="123">
        <f t="shared" si="219"/>
        <v>0.29170987791624836</v>
      </c>
      <c r="J117" s="123">
        <f t="shared" si="219"/>
        <v>0.29773622520895965</v>
      </c>
      <c r="K117" s="123">
        <f t="shared" ref="K117:V117" si="222">IF(K16=0,0,K16/K$15)</f>
        <v>0.29455297383164286</v>
      </c>
      <c r="L117" s="123">
        <f t="shared" si="222"/>
        <v>0.31611079538161879</v>
      </c>
      <c r="M117" s="123">
        <f t="shared" si="222"/>
        <v>0.32288547289386277</v>
      </c>
      <c r="N117" s="123">
        <f t="shared" si="222"/>
        <v>0.34772809824137041</v>
      </c>
      <c r="O117" s="123">
        <f t="shared" si="222"/>
        <v>0.29497910745550932</v>
      </c>
      <c r="P117" s="123">
        <f t="shared" si="222"/>
        <v>0.333012986600495</v>
      </c>
      <c r="Q117" s="123">
        <f t="shared" si="222"/>
        <v>0.37072393277324595</v>
      </c>
      <c r="R117" s="123">
        <f t="shared" si="222"/>
        <v>0.37473779771112375</v>
      </c>
      <c r="S117" s="123">
        <f t="shared" si="222"/>
        <v>0.370559817103356</v>
      </c>
      <c r="T117" s="123">
        <f t="shared" si="222"/>
        <v>0.31698975032414084</v>
      </c>
      <c r="U117" s="123">
        <f t="shared" si="222"/>
        <v>0.3343611405375071</v>
      </c>
      <c r="V117" s="123">
        <f t="shared" si="222"/>
        <v>0.35912084842566599</v>
      </c>
      <c r="W117" s="123">
        <f t="shared" ref="W117:Y117" si="223">IF(W16=0,0,W16/W$15)</f>
        <v>0.3399913625433878</v>
      </c>
      <c r="X117" s="123">
        <f t="shared" si="223"/>
        <v>0.35971677804600821</v>
      </c>
      <c r="Y117" s="123">
        <f t="shared" si="223"/>
        <v>0.26344088430136292</v>
      </c>
      <c r="DA117" s="203"/>
    </row>
    <row r="118" spans="1:105" ht="11.45" customHeight="1" x14ac:dyDescent="0.25">
      <c r="A118" s="109" t="s">
        <v>24</v>
      </c>
      <c r="B118" s="124">
        <f t="shared" si="219"/>
        <v>0.67104206550441092</v>
      </c>
      <c r="C118" s="124">
        <f t="shared" si="219"/>
        <v>0.67639321005947584</v>
      </c>
      <c r="D118" s="124">
        <f t="shared" si="219"/>
        <v>0.68300068170510742</v>
      </c>
      <c r="E118" s="124">
        <f t="shared" si="219"/>
        <v>0.68737135603042598</v>
      </c>
      <c r="F118" s="124">
        <f t="shared" si="219"/>
        <v>0.69661015665693082</v>
      </c>
      <c r="G118" s="124">
        <f t="shared" si="219"/>
        <v>0.70122203235927127</v>
      </c>
      <c r="H118" s="124">
        <f t="shared" si="219"/>
        <v>0.71584832510464858</v>
      </c>
      <c r="I118" s="124">
        <f t="shared" si="219"/>
        <v>0.70829012208375164</v>
      </c>
      <c r="J118" s="124">
        <f t="shared" si="219"/>
        <v>0.7022637747910403</v>
      </c>
      <c r="K118" s="124">
        <f t="shared" ref="K118:V118" si="224">IF(K17=0,0,K17/K$15)</f>
        <v>0.70544702616835719</v>
      </c>
      <c r="L118" s="124">
        <f t="shared" si="224"/>
        <v>0.68388920461838121</v>
      </c>
      <c r="M118" s="124">
        <f t="shared" si="224"/>
        <v>0.67711452710613718</v>
      </c>
      <c r="N118" s="124">
        <f t="shared" si="224"/>
        <v>0.65227190175862959</v>
      </c>
      <c r="O118" s="124">
        <f t="shared" si="224"/>
        <v>0.70502089254449074</v>
      </c>
      <c r="P118" s="124">
        <f t="shared" si="224"/>
        <v>0.66698701339950506</v>
      </c>
      <c r="Q118" s="124">
        <f t="shared" si="224"/>
        <v>0.62927606722675411</v>
      </c>
      <c r="R118" s="124">
        <f t="shared" si="224"/>
        <v>0.6252622022888763</v>
      </c>
      <c r="S118" s="124">
        <f t="shared" si="224"/>
        <v>0.62944018289664394</v>
      </c>
      <c r="T118" s="124">
        <f t="shared" si="224"/>
        <v>0.68301024967585922</v>
      </c>
      <c r="U118" s="124">
        <f t="shared" si="224"/>
        <v>0.6656388594624929</v>
      </c>
      <c r="V118" s="124">
        <f t="shared" si="224"/>
        <v>0.64087915157433406</v>
      </c>
      <c r="W118" s="124">
        <f t="shared" ref="W118:Y118" si="225">IF(W17=0,0,W17/W$15)</f>
        <v>0.66000863745661231</v>
      </c>
      <c r="X118" s="124">
        <f t="shared" si="225"/>
        <v>0.64028322195399179</v>
      </c>
      <c r="Y118" s="124">
        <f t="shared" si="225"/>
        <v>0.73655911569863708</v>
      </c>
      <c r="DA118" s="176"/>
    </row>
    <row r="119" spans="1:105" ht="11.45" customHeight="1" x14ac:dyDescent="0.25">
      <c r="A119" s="111" t="s">
        <v>92</v>
      </c>
      <c r="B119" s="125">
        <f t="shared" si="219"/>
        <v>0.33253894788123567</v>
      </c>
      <c r="C119" s="125">
        <f t="shared" si="219"/>
        <v>0.32511988332957964</v>
      </c>
      <c r="D119" s="125">
        <f t="shared" si="219"/>
        <v>0.3354000153501272</v>
      </c>
      <c r="E119" s="125">
        <f t="shared" si="219"/>
        <v>0.32326836387528696</v>
      </c>
      <c r="F119" s="125">
        <f t="shared" si="219"/>
        <v>0.30469345824343957</v>
      </c>
      <c r="G119" s="125">
        <f t="shared" si="219"/>
        <v>0.28885182979582852</v>
      </c>
      <c r="H119" s="125">
        <f t="shared" si="219"/>
        <v>0.26381466334311743</v>
      </c>
      <c r="I119" s="125">
        <f t="shared" si="219"/>
        <v>0.25708036658711864</v>
      </c>
      <c r="J119" s="125">
        <f t="shared" si="219"/>
        <v>0.26261500454878295</v>
      </c>
      <c r="K119" s="125">
        <f t="shared" ref="K119:V119" si="226">IF(K18=0,0,K18/K$15)</f>
        <v>0.26266466769821528</v>
      </c>
      <c r="L119" s="125">
        <f t="shared" si="226"/>
        <v>0.25936312536055306</v>
      </c>
      <c r="M119" s="125">
        <f t="shared" si="226"/>
        <v>0.24308528225925694</v>
      </c>
      <c r="N119" s="125">
        <f t="shared" si="226"/>
        <v>0.22460045405809245</v>
      </c>
      <c r="O119" s="125">
        <f t="shared" si="226"/>
        <v>0.22467675098888226</v>
      </c>
      <c r="P119" s="125">
        <f t="shared" si="226"/>
        <v>0.24105991964129922</v>
      </c>
      <c r="Q119" s="125">
        <f t="shared" si="226"/>
        <v>0.19508203657717429</v>
      </c>
      <c r="R119" s="125">
        <f t="shared" si="226"/>
        <v>0.19103686909487735</v>
      </c>
      <c r="S119" s="125">
        <f t="shared" si="226"/>
        <v>0.20129229993125769</v>
      </c>
      <c r="T119" s="125">
        <f t="shared" si="226"/>
        <v>0.20272579152485354</v>
      </c>
      <c r="U119" s="125">
        <f t="shared" si="226"/>
        <v>0.18692302012534284</v>
      </c>
      <c r="V119" s="125">
        <f t="shared" si="226"/>
        <v>0.1624783096663262</v>
      </c>
      <c r="W119" s="125">
        <f t="shared" ref="W119:Y119" si="227">IF(W18=0,0,W18/W$15)</f>
        <v>0.15355001029075704</v>
      </c>
      <c r="X119" s="125">
        <f t="shared" si="227"/>
        <v>0.14421337563346057</v>
      </c>
      <c r="Y119" s="125">
        <f t="shared" si="227"/>
        <v>0.16653676046802984</v>
      </c>
      <c r="DA119" s="171"/>
    </row>
    <row r="120" spans="1:105" ht="11.45" customHeight="1" x14ac:dyDescent="0.25">
      <c r="A120" s="111" t="s">
        <v>93</v>
      </c>
      <c r="B120" s="125">
        <f t="shared" si="219"/>
        <v>0.33850311762317525</v>
      </c>
      <c r="C120" s="125">
        <f t="shared" si="219"/>
        <v>0.35127332672989614</v>
      </c>
      <c r="D120" s="125">
        <f t="shared" si="219"/>
        <v>0.34760066635498016</v>
      </c>
      <c r="E120" s="125">
        <f t="shared" si="219"/>
        <v>0.36410299215513908</v>
      </c>
      <c r="F120" s="125">
        <f t="shared" si="219"/>
        <v>0.3919166984134913</v>
      </c>
      <c r="G120" s="125">
        <f t="shared" si="219"/>
        <v>0.4123702025634427</v>
      </c>
      <c r="H120" s="125">
        <f t="shared" si="219"/>
        <v>0.45203366176153109</v>
      </c>
      <c r="I120" s="125">
        <f t="shared" si="219"/>
        <v>0.45120975549663295</v>
      </c>
      <c r="J120" s="125">
        <f t="shared" si="219"/>
        <v>0.4396487702422574</v>
      </c>
      <c r="K120" s="125">
        <f t="shared" ref="K120:V120" si="228">IF(K19=0,0,K19/K$15)</f>
        <v>0.44278235847014186</v>
      </c>
      <c r="L120" s="125">
        <f t="shared" si="228"/>
        <v>0.4245260792578282</v>
      </c>
      <c r="M120" s="125">
        <f t="shared" si="228"/>
        <v>0.43402924484688032</v>
      </c>
      <c r="N120" s="125">
        <f t="shared" si="228"/>
        <v>0.42767144770053711</v>
      </c>
      <c r="O120" s="125">
        <f t="shared" si="228"/>
        <v>0.48034414155560845</v>
      </c>
      <c r="P120" s="125">
        <f t="shared" si="228"/>
        <v>0.42592709375820575</v>
      </c>
      <c r="Q120" s="125">
        <f t="shared" si="228"/>
        <v>0.43419403064957979</v>
      </c>
      <c r="R120" s="125">
        <f t="shared" si="228"/>
        <v>0.43422533319399886</v>
      </c>
      <c r="S120" s="125">
        <f t="shared" si="228"/>
        <v>0.42814788296538625</v>
      </c>
      <c r="T120" s="125">
        <f t="shared" si="228"/>
        <v>0.48028445815100568</v>
      </c>
      <c r="U120" s="125">
        <f t="shared" si="228"/>
        <v>0.47871583933715006</v>
      </c>
      <c r="V120" s="125">
        <f t="shared" si="228"/>
        <v>0.4784008419080078</v>
      </c>
      <c r="W120" s="125">
        <f t="shared" ref="W120:Y120" si="229">IF(W19=0,0,W19/W$15)</f>
        <v>0.5064586271658551</v>
      </c>
      <c r="X120" s="125">
        <f t="shared" si="229"/>
        <v>0.49606984632053119</v>
      </c>
      <c r="Y120" s="125">
        <f t="shared" si="229"/>
        <v>0.57002235523060729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0.20871123828102248</v>
      </c>
      <c r="C123" s="125">
        <f t="shared" si="232"/>
        <v>0.19776334776300519</v>
      </c>
      <c r="D123" s="125">
        <f t="shared" si="232"/>
        <v>0.1908585902420786</v>
      </c>
      <c r="E123" s="125">
        <f t="shared" si="232"/>
        <v>0.17150819520682845</v>
      </c>
      <c r="F123" s="125">
        <f t="shared" si="232"/>
        <v>0.15793587818601507</v>
      </c>
      <c r="G123" s="125">
        <f t="shared" si="232"/>
        <v>0.15506799816792868</v>
      </c>
      <c r="H123" s="125">
        <f t="shared" si="232"/>
        <v>0.1617127498363885</v>
      </c>
      <c r="I123" s="125">
        <f t="shared" si="232"/>
        <v>0.15177064960855036</v>
      </c>
      <c r="J123" s="125">
        <f t="shared" si="232"/>
        <v>0.14216511297167986</v>
      </c>
      <c r="K123" s="125">
        <f t="shared" ref="K123:V123" si="235">IF(K22=0,0,K22/K$21)</f>
        <v>0.13227080270928515</v>
      </c>
      <c r="L123" s="125">
        <f t="shared" si="235"/>
        <v>0.12313721729714289</v>
      </c>
      <c r="M123" s="125">
        <f t="shared" si="235"/>
        <v>5.225960668636797E-2</v>
      </c>
      <c r="N123" s="125">
        <f t="shared" si="235"/>
        <v>0.10998554831672505</v>
      </c>
      <c r="O123" s="125">
        <f t="shared" si="235"/>
        <v>0.11013053913255343</v>
      </c>
      <c r="P123" s="125">
        <f t="shared" si="235"/>
        <v>0.11360011419112109</v>
      </c>
      <c r="Q123" s="125">
        <f t="shared" si="235"/>
        <v>0.10479426073914898</v>
      </c>
      <c r="R123" s="125">
        <f t="shared" si="235"/>
        <v>9.3237157991023001E-2</v>
      </c>
      <c r="S123" s="125">
        <f t="shared" si="235"/>
        <v>9.0147928277090505E-2</v>
      </c>
      <c r="T123" s="125">
        <f t="shared" si="235"/>
        <v>0.10909692627364408</v>
      </c>
      <c r="U123" s="125">
        <f t="shared" si="235"/>
        <v>0.10378325539064309</v>
      </c>
      <c r="V123" s="125">
        <f t="shared" si="235"/>
        <v>0.10355845955913907</v>
      </c>
      <c r="W123" s="125">
        <f t="shared" ref="W123:Y123" si="236">IF(W22=0,0,W22/W$21)</f>
        <v>0.12309814512751283</v>
      </c>
      <c r="X123" s="125">
        <f t="shared" si="236"/>
        <v>0.14177741503985042</v>
      </c>
      <c r="Y123" s="125">
        <f t="shared" si="236"/>
        <v>0.12388523848426145</v>
      </c>
      <c r="DA123" s="171"/>
    </row>
    <row r="124" spans="1:105" ht="11.45" customHeight="1" x14ac:dyDescent="0.25">
      <c r="A124" s="85" t="s">
        <v>93</v>
      </c>
      <c r="B124" s="127">
        <f t="shared" si="232"/>
        <v>0.79128876171897755</v>
      </c>
      <c r="C124" s="127">
        <f t="shared" si="232"/>
        <v>0.80223665223699492</v>
      </c>
      <c r="D124" s="127">
        <f t="shared" si="232"/>
        <v>0.80914140975792148</v>
      </c>
      <c r="E124" s="127">
        <f t="shared" si="232"/>
        <v>0.82849180479317153</v>
      </c>
      <c r="F124" s="127">
        <f t="shared" si="232"/>
        <v>0.84206412181398493</v>
      </c>
      <c r="G124" s="127">
        <f t="shared" si="232"/>
        <v>0.84493200183207129</v>
      </c>
      <c r="H124" s="127">
        <f t="shared" si="232"/>
        <v>0.8382872501636115</v>
      </c>
      <c r="I124" s="127">
        <f t="shared" si="232"/>
        <v>0.84822935039144964</v>
      </c>
      <c r="J124" s="127">
        <f t="shared" si="232"/>
        <v>0.85783488702832011</v>
      </c>
      <c r="K124" s="127">
        <f t="shared" ref="K124:V124" si="237">IF(K23=0,0,K23/K$21)</f>
        <v>0.86772919729071485</v>
      </c>
      <c r="L124" s="127">
        <f t="shared" si="237"/>
        <v>0.87686278270285711</v>
      </c>
      <c r="M124" s="127">
        <f t="shared" si="237"/>
        <v>0.94774039331363202</v>
      </c>
      <c r="N124" s="127">
        <f t="shared" si="237"/>
        <v>0.89001445168327487</v>
      </c>
      <c r="O124" s="127">
        <f t="shared" si="237"/>
        <v>0.88986946086744667</v>
      </c>
      <c r="P124" s="127">
        <f t="shared" si="237"/>
        <v>0.88639988580887896</v>
      </c>
      <c r="Q124" s="127">
        <f t="shared" si="237"/>
        <v>0.89520573926085101</v>
      </c>
      <c r="R124" s="127">
        <f t="shared" si="237"/>
        <v>0.90676284200897705</v>
      </c>
      <c r="S124" s="127">
        <f t="shared" si="237"/>
        <v>0.90985207172290949</v>
      </c>
      <c r="T124" s="127">
        <f t="shared" si="237"/>
        <v>0.89090307372635591</v>
      </c>
      <c r="U124" s="127">
        <f t="shared" si="237"/>
        <v>0.89621674460935685</v>
      </c>
      <c r="V124" s="127">
        <f t="shared" si="237"/>
        <v>0.89644154044086088</v>
      </c>
      <c r="W124" s="127">
        <f t="shared" ref="W124:Y124" si="238">IF(W23=0,0,W23/W$21)</f>
        <v>0.87690185487248706</v>
      </c>
      <c r="X124" s="127">
        <f t="shared" si="238"/>
        <v>0.85822258496014958</v>
      </c>
      <c r="Y124" s="127">
        <f t="shared" si="238"/>
        <v>0.87611476151573864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173.32123817712812</v>
      </c>
      <c r="C4" s="146">
        <f t="shared" ref="C4:V4" si="0">SUM(C5,C8)</f>
        <v>169.8122098022356</v>
      </c>
      <c r="D4" s="146">
        <f t="shared" si="0"/>
        <v>165.7243336199484</v>
      </c>
      <c r="E4" s="146">
        <f t="shared" si="0"/>
        <v>165.18314703353397</v>
      </c>
      <c r="F4" s="146">
        <f t="shared" si="0"/>
        <v>165.20206362854685</v>
      </c>
      <c r="G4" s="146">
        <f t="shared" si="0"/>
        <v>158.73155631986242</v>
      </c>
      <c r="H4" s="146">
        <f t="shared" si="0"/>
        <v>165.74471195184861</v>
      </c>
      <c r="I4" s="146">
        <f t="shared" si="0"/>
        <v>165.26225279449699</v>
      </c>
      <c r="J4" s="146">
        <f t="shared" si="0"/>
        <v>162.85468615649177</v>
      </c>
      <c r="K4" s="146">
        <f t="shared" si="0"/>
        <v>165.46285468615645</v>
      </c>
      <c r="L4" s="146">
        <f t="shared" si="0"/>
        <v>150.27231298366294</v>
      </c>
      <c r="M4" s="146">
        <f t="shared" si="0"/>
        <v>142.18976784178847</v>
      </c>
      <c r="N4" s="146">
        <f t="shared" si="0"/>
        <v>125.65202063628546</v>
      </c>
      <c r="O4" s="146">
        <f t="shared" si="0"/>
        <v>151.07480653482369</v>
      </c>
      <c r="P4" s="146">
        <f t="shared" si="0"/>
        <v>148.23731728288908</v>
      </c>
      <c r="Q4" s="146">
        <f t="shared" si="0"/>
        <v>140.06878761822873</v>
      </c>
      <c r="R4" s="146">
        <f t="shared" si="0"/>
        <v>139.18030954428201</v>
      </c>
      <c r="S4" s="146">
        <f t="shared" si="0"/>
        <v>143.89509888220121</v>
      </c>
      <c r="T4" s="146">
        <f t="shared" si="0"/>
        <v>143.29320722269992</v>
      </c>
      <c r="U4" s="146">
        <f t="shared" si="0"/>
        <v>137.4748925193465</v>
      </c>
      <c r="V4" s="146">
        <f t="shared" si="0"/>
        <v>132.00773860705073</v>
      </c>
      <c r="W4" s="146">
        <f t="shared" ref="W4:Y4" si="1">SUM(W5,W8)</f>
        <v>132.78159931212383</v>
      </c>
      <c r="X4" s="146">
        <f t="shared" si="1"/>
        <v>135.86990541702494</v>
      </c>
      <c r="Y4" s="146">
        <f t="shared" si="1"/>
        <v>131.49183147033534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86.0469475494411</v>
      </c>
      <c r="C5" s="101">
        <f t="shared" ref="C5:V5" si="2">SUM(C6:C7)</f>
        <v>81.162166809974195</v>
      </c>
      <c r="D5" s="101">
        <f t="shared" si="2"/>
        <v>78.450042992261388</v>
      </c>
      <c r="E5" s="101">
        <f t="shared" si="2"/>
        <v>75.329320722269998</v>
      </c>
      <c r="F5" s="101">
        <f t="shared" si="2"/>
        <v>71.220980223559749</v>
      </c>
      <c r="G5" s="101">
        <f t="shared" si="2"/>
        <v>64.492519346517625</v>
      </c>
      <c r="H5" s="101">
        <f t="shared" si="2"/>
        <v>62.649269131556323</v>
      </c>
      <c r="I5" s="101">
        <f t="shared" si="2"/>
        <v>60.189165950128967</v>
      </c>
      <c r="J5" s="101">
        <f t="shared" si="2"/>
        <v>60.189165950128967</v>
      </c>
      <c r="K5" s="101">
        <f t="shared" si="2"/>
        <v>62.195442820292342</v>
      </c>
      <c r="L5" s="101">
        <f t="shared" si="2"/>
        <v>55.173430782459157</v>
      </c>
      <c r="M5" s="101">
        <f t="shared" si="2"/>
        <v>46.145055889939812</v>
      </c>
      <c r="N5" s="101">
        <f t="shared" si="2"/>
        <v>41.129234737747197</v>
      </c>
      <c r="O5" s="101">
        <f t="shared" si="2"/>
        <v>48.15133276010318</v>
      </c>
      <c r="P5" s="101">
        <f t="shared" si="2"/>
        <v>51.160791057609629</v>
      </c>
      <c r="Q5" s="101">
        <f t="shared" si="2"/>
        <v>42.132416165090277</v>
      </c>
      <c r="R5" s="101">
        <f t="shared" si="2"/>
        <v>40.985984522785891</v>
      </c>
      <c r="S5" s="101">
        <f t="shared" si="2"/>
        <v>43.035253654342213</v>
      </c>
      <c r="T5" s="101">
        <f t="shared" si="2"/>
        <v>43.035253654342213</v>
      </c>
      <c r="U5" s="101">
        <f t="shared" si="2"/>
        <v>38.936629406706793</v>
      </c>
      <c r="V5" s="101">
        <f t="shared" si="2"/>
        <v>33.813413585554599</v>
      </c>
      <c r="W5" s="101">
        <f t="shared" ref="W5:Y5" si="3">SUM(W6:W7)</f>
        <v>33.813413585554599</v>
      </c>
      <c r="X5" s="101">
        <f t="shared" si="3"/>
        <v>34.838091143594148</v>
      </c>
      <c r="Y5" s="101">
        <f t="shared" si="3"/>
        <v>33.813413585554599</v>
      </c>
      <c r="DA5" s="175"/>
    </row>
    <row r="6" spans="1:105" ht="11.45" customHeight="1" x14ac:dyDescent="0.25">
      <c r="A6" s="164" t="s">
        <v>175</v>
      </c>
      <c r="B6" s="165">
        <v>86.0469475494411</v>
      </c>
      <c r="C6" s="165">
        <v>81.162166809974195</v>
      </c>
      <c r="D6" s="165">
        <v>78.450042992261388</v>
      </c>
      <c r="E6" s="165">
        <v>75.329320722269998</v>
      </c>
      <c r="F6" s="165">
        <v>71.220980223559749</v>
      </c>
      <c r="G6" s="165">
        <v>64.492519346517625</v>
      </c>
      <c r="H6" s="165">
        <v>62.649269131556323</v>
      </c>
      <c r="I6" s="165">
        <v>60.189165950128967</v>
      </c>
      <c r="J6" s="165">
        <v>60.189165950128967</v>
      </c>
      <c r="K6" s="165">
        <v>62.195442820292342</v>
      </c>
      <c r="L6" s="165">
        <v>55.173430782459157</v>
      </c>
      <c r="M6" s="165">
        <v>46.145055889939812</v>
      </c>
      <c r="N6" s="165">
        <v>41.129234737747197</v>
      </c>
      <c r="O6" s="165">
        <v>48.15133276010318</v>
      </c>
      <c r="P6" s="165">
        <v>51.160791057609629</v>
      </c>
      <c r="Q6" s="165">
        <v>42.132416165090277</v>
      </c>
      <c r="R6" s="165">
        <v>40.985984522785891</v>
      </c>
      <c r="S6" s="165">
        <v>43.035253654342213</v>
      </c>
      <c r="T6" s="165">
        <v>43.035253654342213</v>
      </c>
      <c r="U6" s="165">
        <v>38.936629406706793</v>
      </c>
      <c r="V6" s="165">
        <v>33.813413585554599</v>
      </c>
      <c r="W6" s="165">
        <v>33.813413585554599</v>
      </c>
      <c r="X6" s="165">
        <v>34.838091143594148</v>
      </c>
      <c r="Y6" s="165">
        <v>33.813413585554599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87.274290627687009</v>
      </c>
      <c r="C8" s="88">
        <v>88.65004299226139</v>
      </c>
      <c r="D8" s="88">
        <v>87.274290627687009</v>
      </c>
      <c r="E8" s="88">
        <v>89.853826311263973</v>
      </c>
      <c r="F8" s="88">
        <v>93.981083404987089</v>
      </c>
      <c r="G8" s="88">
        <v>94.239036973344795</v>
      </c>
      <c r="H8" s="88">
        <v>103.09544282029231</v>
      </c>
      <c r="I8" s="88">
        <v>105.07308684436801</v>
      </c>
      <c r="J8" s="88">
        <v>102.6655202063628</v>
      </c>
      <c r="K8" s="88">
        <v>103.2674118658641</v>
      </c>
      <c r="L8" s="88">
        <v>95.098882201203779</v>
      </c>
      <c r="M8" s="88">
        <v>96.044711951848655</v>
      </c>
      <c r="N8" s="88">
        <v>84.52278589853826</v>
      </c>
      <c r="O8" s="88">
        <v>102.92347377472051</v>
      </c>
      <c r="P8" s="88">
        <v>97.076526225279437</v>
      </c>
      <c r="Q8" s="88">
        <v>97.936371453138435</v>
      </c>
      <c r="R8" s="88">
        <v>98.194325021496127</v>
      </c>
      <c r="S8" s="88">
        <v>100.859845227859</v>
      </c>
      <c r="T8" s="88">
        <v>100.25795356835771</v>
      </c>
      <c r="U8" s="88">
        <v>98.538263112639711</v>
      </c>
      <c r="V8" s="88">
        <v>98.194325021496127</v>
      </c>
      <c r="W8" s="88">
        <v>98.968185726569217</v>
      </c>
      <c r="X8" s="88">
        <v>101.0318142734308</v>
      </c>
      <c r="Y8" s="88">
        <v>97.678417884780728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173.32123817712812</v>
      </c>
      <c r="C10" s="62">
        <f t="shared" ref="C10:V10" si="5">SUM(C11,C17)</f>
        <v>169.8122098022356</v>
      </c>
      <c r="D10" s="62">
        <f t="shared" si="5"/>
        <v>165.7243336199484</v>
      </c>
      <c r="E10" s="62">
        <f t="shared" si="5"/>
        <v>165.18314703353397</v>
      </c>
      <c r="F10" s="62">
        <f t="shared" si="5"/>
        <v>165.20206362854682</v>
      </c>
      <c r="G10" s="62">
        <f t="shared" si="5"/>
        <v>158.73155631986242</v>
      </c>
      <c r="H10" s="62">
        <f t="shared" si="5"/>
        <v>165.74471195184861</v>
      </c>
      <c r="I10" s="62">
        <f t="shared" si="5"/>
        <v>165.26225279449696</v>
      </c>
      <c r="J10" s="62">
        <f t="shared" si="5"/>
        <v>162.85468615649174</v>
      </c>
      <c r="K10" s="62">
        <f t="shared" si="5"/>
        <v>165.46285468615645</v>
      </c>
      <c r="L10" s="62">
        <f t="shared" si="5"/>
        <v>150.27231298366294</v>
      </c>
      <c r="M10" s="62">
        <f t="shared" si="5"/>
        <v>142.18976784178847</v>
      </c>
      <c r="N10" s="62">
        <f t="shared" si="5"/>
        <v>125.65202063628546</v>
      </c>
      <c r="O10" s="62">
        <f t="shared" si="5"/>
        <v>151.07480653482367</v>
      </c>
      <c r="P10" s="62">
        <f t="shared" si="5"/>
        <v>148.23731728288908</v>
      </c>
      <c r="Q10" s="62">
        <f t="shared" si="5"/>
        <v>140.0687876182287</v>
      </c>
      <c r="R10" s="62">
        <f t="shared" si="5"/>
        <v>139.18030954428201</v>
      </c>
      <c r="S10" s="62">
        <f t="shared" si="5"/>
        <v>143.89509888220121</v>
      </c>
      <c r="T10" s="62">
        <f t="shared" si="5"/>
        <v>143.29320722269992</v>
      </c>
      <c r="U10" s="62">
        <f t="shared" si="5"/>
        <v>137.47489251934653</v>
      </c>
      <c r="V10" s="62">
        <f t="shared" si="5"/>
        <v>132.00773860705073</v>
      </c>
      <c r="W10" s="62">
        <f t="shared" ref="W10:Y10" si="6">SUM(W11,W17)</f>
        <v>132.7815993121238</v>
      </c>
      <c r="X10" s="62">
        <f t="shared" si="6"/>
        <v>135.86990541702494</v>
      </c>
      <c r="Y10" s="62">
        <f t="shared" si="6"/>
        <v>131.49183147033531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135.2610149985945</v>
      </c>
      <c r="C11" s="29">
        <f t="shared" ref="C11:V11" si="8">SUM(C12,C13,C16)</f>
        <v>135.06895167188347</v>
      </c>
      <c r="D11" s="29">
        <f t="shared" si="8"/>
        <v>130.8633748352951</v>
      </c>
      <c r="E11" s="29">
        <f t="shared" si="8"/>
        <v>132.05494239660806</v>
      </c>
      <c r="F11" s="29">
        <f t="shared" si="8"/>
        <v>129.58368328724964</v>
      </c>
      <c r="G11" s="29">
        <f t="shared" si="8"/>
        <v>123.34902351063032</v>
      </c>
      <c r="H11" s="29">
        <f t="shared" si="8"/>
        <v>126.07626657991055</v>
      </c>
      <c r="I11" s="29">
        <f t="shared" si="8"/>
        <v>124.85329408609557</v>
      </c>
      <c r="J11" s="29">
        <f t="shared" si="8"/>
        <v>124.25730656222895</v>
      </c>
      <c r="K11" s="29">
        <f t="shared" si="8"/>
        <v>136.23258654936734</v>
      </c>
      <c r="L11" s="29">
        <f t="shared" si="8"/>
        <v>119.42891904960136</v>
      </c>
      <c r="M11" s="29">
        <f t="shared" si="8"/>
        <v>114.57621301427415</v>
      </c>
      <c r="N11" s="29">
        <f t="shared" si="8"/>
        <v>99.507696632459528</v>
      </c>
      <c r="O11" s="29">
        <f t="shared" si="8"/>
        <v>120.35784309149625</v>
      </c>
      <c r="P11" s="29">
        <f t="shared" si="8"/>
        <v>116.54768876583496</v>
      </c>
      <c r="Q11" s="29">
        <f t="shared" si="8"/>
        <v>110.9974945056056</v>
      </c>
      <c r="R11" s="29">
        <f t="shared" si="8"/>
        <v>110.71038034851989</v>
      </c>
      <c r="S11" s="29">
        <f t="shared" si="8"/>
        <v>108.70522461649641</v>
      </c>
      <c r="T11" s="29">
        <f t="shared" si="8"/>
        <v>110.48507080426009</v>
      </c>
      <c r="U11" s="29">
        <f t="shared" si="8"/>
        <v>105.90111147227491</v>
      </c>
      <c r="V11" s="29">
        <f t="shared" si="8"/>
        <v>91.444561379120543</v>
      </c>
      <c r="W11" s="29">
        <f t="shared" ref="W11:Y11" si="9">SUM(W12,W13,W16)</f>
        <v>95.741955426750778</v>
      </c>
      <c r="X11" s="29">
        <f t="shared" si="9"/>
        <v>97.799529920794271</v>
      </c>
      <c r="Y11" s="29">
        <f t="shared" si="9"/>
        <v>102.56176704731917</v>
      </c>
      <c r="DA11" s="173" t="s">
        <v>395</v>
      </c>
    </row>
    <row r="12" spans="1:105" ht="11.45" customHeight="1" x14ac:dyDescent="0.25">
      <c r="A12" s="107" t="s">
        <v>23</v>
      </c>
      <c r="B12" s="115">
        <v>14.070378891446671</v>
      </c>
      <c r="C12" s="115">
        <v>14.02152958333307</v>
      </c>
      <c r="D12" s="115">
        <v>13.322674033084578</v>
      </c>
      <c r="E12" s="115">
        <v>13.546095335273041</v>
      </c>
      <c r="F12" s="115">
        <v>13.002890903682754</v>
      </c>
      <c r="G12" s="115">
        <v>12.446375659661355</v>
      </c>
      <c r="H12" s="115">
        <v>12.093735038587241</v>
      </c>
      <c r="I12" s="115">
        <v>12.587566590118209</v>
      </c>
      <c r="J12" s="115">
        <v>12.887612999539291</v>
      </c>
      <c r="K12" s="115">
        <v>13.977429690279092</v>
      </c>
      <c r="L12" s="115">
        <v>13.585002560928077</v>
      </c>
      <c r="M12" s="115">
        <v>13.714357272266286</v>
      </c>
      <c r="N12" s="115">
        <v>13.447665884615954</v>
      </c>
      <c r="O12" s="115">
        <v>13.207936180772981</v>
      </c>
      <c r="P12" s="115">
        <v>14.925855623042981</v>
      </c>
      <c r="Q12" s="115">
        <v>16.793287950007194</v>
      </c>
      <c r="R12" s="115">
        <v>17.225981422963322</v>
      </c>
      <c r="S12" s="115">
        <v>16.623818017577651</v>
      </c>
      <c r="T12" s="115">
        <v>13.87384766123205</v>
      </c>
      <c r="U12" s="115">
        <v>14.322948889502111</v>
      </c>
      <c r="V12" s="115">
        <v>13.695277074333461</v>
      </c>
      <c r="W12" s="115">
        <v>13.426494388102403</v>
      </c>
      <c r="X12" s="115">
        <v>14.80489667173234</v>
      </c>
      <c r="Y12" s="115">
        <v>10.459598777255259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121.19063610714782</v>
      </c>
      <c r="C13" s="116">
        <f t="shared" ref="C13:V13" si="11">SUM(C14:C15)</f>
        <v>121.04742208855041</v>
      </c>
      <c r="D13" s="116">
        <f t="shared" si="11"/>
        <v>117.54070080221052</v>
      </c>
      <c r="E13" s="116">
        <f t="shared" si="11"/>
        <v>118.50884706133502</v>
      </c>
      <c r="F13" s="116">
        <f t="shared" si="11"/>
        <v>116.58079238356689</v>
      </c>
      <c r="G13" s="116">
        <f t="shared" si="11"/>
        <v>110.90264785096896</v>
      </c>
      <c r="H13" s="116">
        <f t="shared" si="11"/>
        <v>113.98253154132331</v>
      </c>
      <c r="I13" s="116">
        <f t="shared" si="11"/>
        <v>112.26572749597736</v>
      </c>
      <c r="J13" s="116">
        <f t="shared" si="11"/>
        <v>111.36969356268966</v>
      </c>
      <c r="K13" s="116">
        <f t="shared" si="11"/>
        <v>122.25515685908825</v>
      </c>
      <c r="L13" s="116">
        <f t="shared" si="11"/>
        <v>105.84391648867329</v>
      </c>
      <c r="M13" s="116">
        <f t="shared" si="11"/>
        <v>100.86185574200786</v>
      </c>
      <c r="N13" s="116">
        <f t="shared" si="11"/>
        <v>86.06003074784357</v>
      </c>
      <c r="O13" s="116">
        <f t="shared" si="11"/>
        <v>107.14990691072327</v>
      </c>
      <c r="P13" s="116">
        <f t="shared" si="11"/>
        <v>101.62183314279198</v>
      </c>
      <c r="Q13" s="116">
        <f t="shared" si="11"/>
        <v>94.204206555598404</v>
      </c>
      <c r="R13" s="116">
        <f t="shared" si="11"/>
        <v>93.484398925556576</v>
      </c>
      <c r="S13" s="116">
        <f t="shared" si="11"/>
        <v>92.081406598918761</v>
      </c>
      <c r="T13" s="116">
        <f t="shared" si="11"/>
        <v>96.611223143028042</v>
      </c>
      <c r="U13" s="116">
        <f t="shared" si="11"/>
        <v>91.578162582772791</v>
      </c>
      <c r="V13" s="116">
        <f t="shared" si="11"/>
        <v>77.749284304787082</v>
      </c>
      <c r="W13" s="116">
        <f t="shared" ref="W13:Y13" si="12">SUM(W14:W15)</f>
        <v>82.31546103864838</v>
      </c>
      <c r="X13" s="116">
        <f t="shared" si="12"/>
        <v>82.994633249061934</v>
      </c>
      <c r="Y13" s="116">
        <f t="shared" si="12"/>
        <v>92.102168270063913</v>
      </c>
      <c r="DA13" s="176" t="s">
        <v>397</v>
      </c>
    </row>
    <row r="14" spans="1:105" ht="11.45" customHeight="1" x14ac:dyDescent="0.25">
      <c r="A14" s="111" t="s">
        <v>95</v>
      </c>
      <c r="B14" s="87">
        <v>72.171753671942568</v>
      </c>
      <c r="C14" s="87">
        <v>69.348476138231021</v>
      </c>
      <c r="D14" s="87">
        <v>67.117245851438412</v>
      </c>
      <c r="E14" s="87">
        <v>65.322553196822355</v>
      </c>
      <c r="F14" s="87">
        <v>61.024866943783117</v>
      </c>
      <c r="G14" s="87">
        <v>54.430027602744616</v>
      </c>
      <c r="H14" s="87">
        <v>50.781216293174396</v>
      </c>
      <c r="I14" s="87">
        <v>48.509561506554462</v>
      </c>
      <c r="J14" s="87">
        <v>49.557201875329007</v>
      </c>
      <c r="K14" s="87">
        <v>54.545419787874522</v>
      </c>
      <c r="L14" s="87">
        <v>47.543071085350583</v>
      </c>
      <c r="M14" s="87">
        <v>42.973526820958568</v>
      </c>
      <c r="N14" s="87">
        <v>35.170515517393504</v>
      </c>
      <c r="O14" s="87">
        <v>41.077957095582597</v>
      </c>
      <c r="P14" s="87">
        <v>43.598611130435934</v>
      </c>
      <c r="Q14" s="87">
        <v>35.58259291146944</v>
      </c>
      <c r="R14" s="87">
        <v>35.124416355533505</v>
      </c>
      <c r="S14" s="87">
        <v>35.938525329653103</v>
      </c>
      <c r="T14" s="87">
        <v>35.179546383651385</v>
      </c>
      <c r="U14" s="87">
        <v>31.658157131471143</v>
      </c>
      <c r="V14" s="87">
        <v>24.446365168252491</v>
      </c>
      <c r="W14" s="87">
        <v>23.88609604396553</v>
      </c>
      <c r="X14" s="87">
        <v>23.352571416824894</v>
      </c>
      <c r="Y14" s="87">
        <v>25.991980533742453</v>
      </c>
      <c r="DA14" s="171" t="s">
        <v>1108</v>
      </c>
    </row>
    <row r="15" spans="1:105" ht="11.45" customHeight="1" x14ac:dyDescent="0.25">
      <c r="A15" s="111" t="s">
        <v>93</v>
      </c>
      <c r="B15" s="87">
        <v>49.018882435205256</v>
      </c>
      <c r="C15" s="87">
        <v>51.698945950319377</v>
      </c>
      <c r="D15" s="87">
        <v>50.423454950772118</v>
      </c>
      <c r="E15" s="87">
        <v>53.186293864512663</v>
      </c>
      <c r="F15" s="87">
        <v>55.555925439783771</v>
      </c>
      <c r="G15" s="87">
        <v>56.472620248224345</v>
      </c>
      <c r="H15" s="87">
        <v>63.201315248148923</v>
      </c>
      <c r="I15" s="87">
        <v>63.756165989422904</v>
      </c>
      <c r="J15" s="87">
        <v>61.812491687360662</v>
      </c>
      <c r="K15" s="87">
        <v>67.709737071213723</v>
      </c>
      <c r="L15" s="87">
        <v>58.300845403322704</v>
      </c>
      <c r="M15" s="87">
        <v>57.888328921049286</v>
      </c>
      <c r="N15" s="87">
        <v>50.889515230450066</v>
      </c>
      <c r="O15" s="87">
        <v>66.071949815140684</v>
      </c>
      <c r="P15" s="87">
        <v>58.023222012356044</v>
      </c>
      <c r="Q15" s="87">
        <v>58.621613644128971</v>
      </c>
      <c r="R15" s="87">
        <v>58.359982570023071</v>
      </c>
      <c r="S15" s="87">
        <v>56.142881269265651</v>
      </c>
      <c r="T15" s="87">
        <v>61.431676759376657</v>
      </c>
      <c r="U15" s="87">
        <v>59.920005451301641</v>
      </c>
      <c r="V15" s="87">
        <v>53.302919136534591</v>
      </c>
      <c r="W15" s="87">
        <v>58.429364994682857</v>
      </c>
      <c r="X15" s="87">
        <v>59.642061832237033</v>
      </c>
      <c r="Y15" s="87">
        <v>66.110187736321464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38.060223178533604</v>
      </c>
      <c r="C17" s="29">
        <f t="shared" si="13"/>
        <v>34.743258130352125</v>
      </c>
      <c r="D17" s="29">
        <f t="shared" si="13"/>
        <v>34.860958784653292</v>
      </c>
      <c r="E17" s="29">
        <f t="shared" si="13"/>
        <v>33.128204636925915</v>
      </c>
      <c r="F17" s="29">
        <f t="shared" si="13"/>
        <v>35.618380341297183</v>
      </c>
      <c r="G17" s="29">
        <f t="shared" si="13"/>
        <v>35.382532809232096</v>
      </c>
      <c r="H17" s="29">
        <f t="shared" si="13"/>
        <v>39.668445371938077</v>
      </c>
      <c r="I17" s="29">
        <f t="shared" si="13"/>
        <v>40.408958708401379</v>
      </c>
      <c r="J17" s="29">
        <f t="shared" si="13"/>
        <v>38.597379594262797</v>
      </c>
      <c r="K17" s="29">
        <f t="shared" si="13"/>
        <v>29.230268136789118</v>
      </c>
      <c r="L17" s="29">
        <f t="shared" si="13"/>
        <v>30.843393934061574</v>
      </c>
      <c r="M17" s="29">
        <f t="shared" si="13"/>
        <v>27.613554827514328</v>
      </c>
      <c r="N17" s="29">
        <f t="shared" si="13"/>
        <v>26.144324003825933</v>
      </c>
      <c r="O17" s="29">
        <f t="shared" si="13"/>
        <v>30.716963443327408</v>
      </c>
      <c r="P17" s="29">
        <f t="shared" si="13"/>
        <v>31.689628517054114</v>
      </c>
      <c r="Q17" s="29">
        <f t="shared" si="13"/>
        <v>29.071293112623103</v>
      </c>
      <c r="R17" s="29">
        <f t="shared" si="13"/>
        <v>28.46992919576212</v>
      </c>
      <c r="S17" s="29">
        <f t="shared" si="13"/>
        <v>35.189874265704809</v>
      </c>
      <c r="T17" s="29">
        <f t="shared" si="13"/>
        <v>32.80813641843983</v>
      </c>
      <c r="U17" s="29">
        <f t="shared" si="13"/>
        <v>31.573781047071613</v>
      </c>
      <c r="V17" s="29">
        <f t="shared" si="13"/>
        <v>40.563177227930183</v>
      </c>
      <c r="W17" s="29">
        <f t="shared" si="13"/>
        <v>37.039643885373017</v>
      </c>
      <c r="X17" s="29">
        <f t="shared" ref="X17:Y17" si="14">SUM(X18:X19)</f>
        <v>38.070375496230682</v>
      </c>
      <c r="Y17" s="29">
        <f t="shared" si="14"/>
        <v>28.930064423016148</v>
      </c>
      <c r="DA17" s="173" t="s">
        <v>402</v>
      </c>
    </row>
    <row r="18" spans="1:105" ht="11.45" customHeight="1" x14ac:dyDescent="0.25">
      <c r="A18" s="83" t="s">
        <v>95</v>
      </c>
      <c r="B18" s="87">
        <v>13.875193877498527</v>
      </c>
      <c r="C18" s="87">
        <v>11.813690671743176</v>
      </c>
      <c r="D18" s="87">
        <v>11.332797140822972</v>
      </c>
      <c r="E18" s="87">
        <v>10.006767525447646</v>
      </c>
      <c r="F18" s="87">
        <v>10.196113279776631</v>
      </c>
      <c r="G18" s="87">
        <v>10.062491743773007</v>
      </c>
      <c r="H18" s="87">
        <v>11.868052838381924</v>
      </c>
      <c r="I18" s="87">
        <v>11.679604443574503</v>
      </c>
      <c r="J18" s="87">
        <v>10.631964074799956</v>
      </c>
      <c r="K18" s="87">
        <v>7.6500230324178231</v>
      </c>
      <c r="L18" s="87">
        <v>7.630359697108573</v>
      </c>
      <c r="M18" s="87">
        <v>3.1715290689812456</v>
      </c>
      <c r="N18" s="87">
        <v>5.9587192203536921</v>
      </c>
      <c r="O18" s="87">
        <v>7.0733756645205803</v>
      </c>
      <c r="P18" s="87">
        <v>7.5621799271736982</v>
      </c>
      <c r="Q18" s="87">
        <v>6.5498232536208336</v>
      </c>
      <c r="R18" s="87">
        <v>5.8615681672523863</v>
      </c>
      <c r="S18" s="87">
        <v>7.0967283246891073</v>
      </c>
      <c r="T18" s="87">
        <v>7.8557072706908277</v>
      </c>
      <c r="U18" s="87">
        <v>7.2784722752356519</v>
      </c>
      <c r="V18" s="87">
        <v>9.367048417302108</v>
      </c>
      <c r="W18" s="87">
        <v>9.9273175415890726</v>
      </c>
      <c r="X18" s="87">
        <v>11.485519726769253</v>
      </c>
      <c r="Y18" s="87">
        <v>7.8214330518121447</v>
      </c>
      <c r="DA18" s="171" t="s">
        <v>1110</v>
      </c>
    </row>
    <row r="19" spans="1:105" ht="11.45" customHeight="1" x14ac:dyDescent="0.25">
      <c r="A19" s="85" t="s">
        <v>93</v>
      </c>
      <c r="B19" s="88">
        <v>24.18502930103508</v>
      </c>
      <c r="C19" s="88">
        <v>22.92956745860895</v>
      </c>
      <c r="D19" s="88">
        <v>23.52816164383032</v>
      </c>
      <c r="E19" s="88">
        <v>23.121437111478265</v>
      </c>
      <c r="F19" s="88">
        <v>25.422267061520554</v>
      </c>
      <c r="G19" s="88">
        <v>25.320041065459087</v>
      </c>
      <c r="H19" s="88">
        <v>27.800392533556153</v>
      </c>
      <c r="I19" s="88">
        <v>28.729354264826878</v>
      </c>
      <c r="J19" s="88">
        <v>27.965415519462841</v>
      </c>
      <c r="K19" s="88">
        <v>21.580245104371294</v>
      </c>
      <c r="L19" s="88">
        <v>23.213034236953</v>
      </c>
      <c r="M19" s="88">
        <v>24.442025758533081</v>
      </c>
      <c r="N19" s="88">
        <v>20.18560478347224</v>
      </c>
      <c r="O19" s="88">
        <v>23.643587778806829</v>
      </c>
      <c r="P19" s="88">
        <v>24.127448589880416</v>
      </c>
      <c r="Q19" s="88">
        <v>22.52146985900227</v>
      </c>
      <c r="R19" s="88">
        <v>22.608361028509734</v>
      </c>
      <c r="S19" s="88">
        <v>28.093145941015699</v>
      </c>
      <c r="T19" s="88">
        <v>24.952429147749001</v>
      </c>
      <c r="U19" s="88">
        <v>24.295308771835959</v>
      </c>
      <c r="V19" s="88">
        <v>31.196128810628075</v>
      </c>
      <c r="W19" s="88">
        <v>27.112326343783945</v>
      </c>
      <c r="X19" s="88">
        <v>26.584855769461427</v>
      </c>
      <c r="Y19" s="88">
        <v>21.108631371204005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165.25742746264146</v>
      </c>
      <c r="C23" s="62">
        <f>IF(C10=0,0,C10/TrRail_act!C14*100)</f>
        <v>160.19380121410157</v>
      </c>
      <c r="D23" s="62">
        <f>IF(D10=0,0,D10/TrRail_act!D14*100)</f>
        <v>156.85995851961596</v>
      </c>
      <c r="E23" s="62">
        <f>IF(E10=0,0,E10/TrRail_act!E14*100)</f>
        <v>150.83642194903112</v>
      </c>
      <c r="F23" s="62">
        <f>IF(F10=0,0,F10/TrRail_act!F14*100)</f>
        <v>148.97590857013148</v>
      </c>
      <c r="G23" s="62">
        <f>IF(G10=0,0,G10/TrRail_act!G14*100)</f>
        <v>145.25020851379702</v>
      </c>
      <c r="H23" s="62">
        <f>IF(H10=0,0,H10/TrRail_act!H14*100)</f>
        <v>144.78914662380626</v>
      </c>
      <c r="I23" s="62">
        <f>IF(I10=0,0,I10/TrRail_act!I14*100)</f>
        <v>140.36216305207225</v>
      </c>
      <c r="J23" s="62">
        <f>IF(J10=0,0,J10/TrRail_act!J14*100)</f>
        <v>137.40326540432301</v>
      </c>
      <c r="K23" s="62">
        <f>IF(K10=0,0,K10/TrRail_act!K14*100)</f>
        <v>132.6144766104448</v>
      </c>
      <c r="L23" s="62">
        <f>IF(L10=0,0,L10/TrRail_act!L14*100)</f>
        <v>128.88731355805371</v>
      </c>
      <c r="M23" s="62">
        <f>IF(M10=0,0,M10/TrRail_act!M14*100)</f>
        <v>122.91935717903087</v>
      </c>
      <c r="N23" s="62">
        <f>IF(N10=0,0,N10/TrRail_act!N14*100)</f>
        <v>118.59688270399845</v>
      </c>
      <c r="O23" s="62">
        <f>IF(O10=0,0,O10/TrRail_act!O14*100)</f>
        <v>120.93577041033237</v>
      </c>
      <c r="P23" s="62">
        <f>IF(P10=0,0,P10/TrRail_act!P14*100)</f>
        <v>117.34164666701956</v>
      </c>
      <c r="Q23" s="62">
        <f>IF(Q10=0,0,Q10/TrRail_act!Q14*100)</f>
        <v>110.33515476160203</v>
      </c>
      <c r="R23" s="62">
        <f>IF(R10=0,0,R10/TrRail_act!R14*100)</f>
        <v>106.85381511281831</v>
      </c>
      <c r="S23" s="62">
        <f>IF(S10=0,0,S10/TrRail_act!S14*100)</f>
        <v>108.23566919000318</v>
      </c>
      <c r="T23" s="62">
        <f>IF(T10=0,0,T10/TrRail_act!T14*100)</f>
        <v>110.83255169792581</v>
      </c>
      <c r="U23" s="62">
        <f>IF(U10=0,0,U10/TrRail_act!U14*100)</f>
        <v>108.17191952367855</v>
      </c>
      <c r="V23" s="62">
        <f>IF(V10=0,0,V10/TrRail_act!V14*100)</f>
        <v>108.96559099825083</v>
      </c>
      <c r="W23" s="62">
        <f>IF(W10=0,0,W10/TrRail_act!W14*100)</f>
        <v>108.59393642360502</v>
      </c>
      <c r="X23" s="62">
        <f>IF(X10=0,0,X10/TrRail_act!X14*100)</f>
        <v>107.08699523530345</v>
      </c>
      <c r="Y23" s="62">
        <f>IF(Y10=0,0,Y10/TrRail_act!Y14*100)</f>
        <v>110.94438466274927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150.10223279682864</v>
      </c>
      <c r="C24" s="29">
        <f>IF(C11=0,0,C11/TrRail_act!C15*100)</f>
        <v>146.63094080497643</v>
      </c>
      <c r="D24" s="29">
        <f>IF(D11=0,0,D11/TrRail_act!D15*100)</f>
        <v>143.14113335893984</v>
      </c>
      <c r="E24" s="29">
        <f>IF(E11=0,0,E11/TrRail_act!E15*100)</f>
        <v>138.47264929937182</v>
      </c>
      <c r="F24" s="29">
        <f>IF(F11=0,0,F11/TrRail_act!F15*100)</f>
        <v>136.17911452858161</v>
      </c>
      <c r="G24" s="29">
        <f>IF(G11=0,0,G11/TrRail_act!G15*100)</f>
        <v>132.24325966828209</v>
      </c>
      <c r="H24" s="29">
        <f>IF(H11=0,0,H11/TrRail_act!H15*100)</f>
        <v>131.03970270467525</v>
      </c>
      <c r="I24" s="29">
        <f>IF(I11=0,0,I11/TrRail_act!I15*100)</f>
        <v>126.79380946480185</v>
      </c>
      <c r="J24" s="29">
        <f>IF(J11=0,0,J11/TrRail_act!J15*100)</f>
        <v>124.74867242953746</v>
      </c>
      <c r="K24" s="29">
        <f>IF(K11=0,0,K11/TrRail_act!K15*100)</f>
        <v>123.81507668798315</v>
      </c>
      <c r="L24" s="29">
        <f>IF(L11=0,0,L11/TrRail_act!L15*100)</f>
        <v>118.60618782051935</v>
      </c>
      <c r="M24" s="29">
        <f>IF(M11=0,0,M11/TrRail_act!M15*100)</f>
        <v>114.65159415001496</v>
      </c>
      <c r="N24" s="29">
        <f>IF(N11=0,0,N11/TrRail_act!N15*100)</f>
        <v>108.38959264120456</v>
      </c>
      <c r="O24" s="29">
        <f>IF(O11=0,0,O11/TrRail_act!O15*100)</f>
        <v>111.38902853643691</v>
      </c>
      <c r="P24" s="29">
        <f>IF(P11=0,0,P11/TrRail_act!P15*100)</f>
        <v>107.20757714325887</v>
      </c>
      <c r="Q24" s="29">
        <f>IF(Q11=0,0,Q11/TrRail_act!Q15*100)</f>
        <v>100.60367318277628</v>
      </c>
      <c r="R24" s="29">
        <f>IF(R11=0,0,R11/TrRail_act!R15*100)</f>
        <v>97.587064557156395</v>
      </c>
      <c r="S24" s="29">
        <f>IF(S11=0,0,S11/TrRail_act!S15*100)</f>
        <v>97.217469145646376</v>
      </c>
      <c r="T24" s="29">
        <f>IF(T11=0,0,T11/TrRail_act!T15*100)</f>
        <v>100.53046982325566</v>
      </c>
      <c r="U24" s="29">
        <f>IF(U11=0,0,U11/TrRail_act!U15*100)</f>
        <v>97.907123665850662</v>
      </c>
      <c r="V24" s="29">
        <f>IF(V11=0,0,V11/TrRail_act!V15*100)</f>
        <v>94.568509946294228</v>
      </c>
      <c r="W24" s="29">
        <f>IF(W11=0,0,W11/TrRail_act!W15*100)</f>
        <v>95.31642632037142</v>
      </c>
      <c r="X24" s="29">
        <f>IF(X11=0,0,X11/TrRail_act!X15*100)</f>
        <v>93.203730222363504</v>
      </c>
      <c r="Y24" s="29">
        <f>IF(Y11=0,0,Y11/TrRail_act!Y15*100)</f>
        <v>101.14178415255353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47.465705110937449</v>
      </c>
      <c r="C25" s="115">
        <f>IF(C12=0,0,C12/TrRail_act!C16*100)</f>
        <v>47.037892920759035</v>
      </c>
      <c r="D25" s="115">
        <f>IF(D12=0,0,D12/TrRail_act!D16*100)</f>
        <v>45.970519248759871</v>
      </c>
      <c r="E25" s="115">
        <f>IF(E12=0,0,E12/TrRail_act!E16*100)</f>
        <v>45.435436232755968</v>
      </c>
      <c r="F25" s="115">
        <f>IF(F12=0,0,F12/TrRail_act!F16*100)</f>
        <v>45.040071039800139</v>
      </c>
      <c r="G25" s="115">
        <f>IF(G12=0,0,G12/TrRail_act!G16*100)</f>
        <v>44.661382844335343</v>
      </c>
      <c r="H25" s="115">
        <f>IF(H12=0,0,H12/TrRail_act!H16*100)</f>
        <v>44.23640122050773</v>
      </c>
      <c r="I25" s="115">
        <f>IF(I12=0,0,I12/TrRail_act!I16*100)</f>
        <v>43.821646448247179</v>
      </c>
      <c r="J25" s="115">
        <f>IF(J12=0,0,J12/TrRail_act!J16*100)</f>
        <v>43.456506023209442</v>
      </c>
      <c r="K25" s="115">
        <f>IF(K12=0,0,K12/TrRail_act!K16*100)</f>
        <v>43.127713443336191</v>
      </c>
      <c r="L25" s="115">
        <f>IF(L12=0,0,L12/TrRail_act!L16*100)</f>
        <v>42.679393856480239</v>
      </c>
      <c r="M25" s="115">
        <f>IF(M12=0,0,M12/TrRail_act!M16*100)</f>
        <v>42.502315133303732</v>
      </c>
      <c r="N25" s="115">
        <f>IF(N12=0,0,N12/TrRail_act!N16*100)</f>
        <v>42.124817806478134</v>
      </c>
      <c r="O25" s="115">
        <f>IF(O12=0,0,O12/TrRail_act!O16*100)</f>
        <v>41.439234549795742</v>
      </c>
      <c r="P25" s="115">
        <f>IF(P12=0,0,P12/TrRail_act!P16*100)</f>
        <v>41.228722863829297</v>
      </c>
      <c r="Q25" s="115">
        <f>IF(Q12=0,0,Q12/TrRail_act!Q16*100)</f>
        <v>41.056863907548241</v>
      </c>
      <c r="R25" s="115">
        <f>IF(R12=0,0,R12/TrRail_act!R16*100)</f>
        <v>40.519155579527627</v>
      </c>
      <c r="S25" s="115">
        <f>IF(S12=0,0,S12/TrRail_act!S16*100)</f>
        <v>40.120500835405956</v>
      </c>
      <c r="T25" s="115">
        <f>IF(T12=0,0,T12/TrRail_act!T16*100)</f>
        <v>39.824085860186806</v>
      </c>
      <c r="U25" s="115">
        <f>IF(U12=0,0,U12/TrRail_act!U16*100)</f>
        <v>39.603212669460071</v>
      </c>
      <c r="V25" s="115">
        <f>IF(V12=0,0,V12/TrRail_act!V16*100)</f>
        <v>39.438362062467633</v>
      </c>
      <c r="W25" s="115">
        <f>IF(W12=0,0,W12/TrRail_act!W16*100)</f>
        <v>39.315174582351702</v>
      </c>
      <c r="X25" s="115">
        <f>IF(X12=0,0,X12/TrRail_act!X16*100)</f>
        <v>39.223036550968565</v>
      </c>
      <c r="Y25" s="115">
        <f>IF(Y12=0,0,Y12/TrRail_act!Y16*100)</f>
        <v>39.154074760763756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200.41666446508918</v>
      </c>
      <c r="C26" s="116">
        <f>IF(C13=0,0,C13/TrRail_act!C17*100)</f>
        <v>194.2792407093628</v>
      </c>
      <c r="D26" s="116">
        <f>IF(D13=0,0,D13/TrRail_act!D17*100)</f>
        <v>188.24067609193324</v>
      </c>
      <c r="E26" s="116">
        <f>IF(E13=0,0,E13/TrRail_act!E17*100)</f>
        <v>180.78761849985878</v>
      </c>
      <c r="F26" s="116">
        <f>IF(F13=0,0,F13/TrRail_act!F17*100)</f>
        <v>175.87227699867182</v>
      </c>
      <c r="G26" s="116">
        <f>IF(G13=0,0,G13/TrRail_act!G17*100)</f>
        <v>169.56030612727372</v>
      </c>
      <c r="H26" s="116">
        <f>IF(H13=0,0,H13/TrRail_act!H17*100)</f>
        <v>165.49574966066496</v>
      </c>
      <c r="I26" s="116">
        <f>IF(I13=0,0,I13/TrRail_act!I17*100)</f>
        <v>160.96596405139971</v>
      </c>
      <c r="J26" s="116">
        <f>IF(J13=0,0,J13/TrRail_act!J17*100)</f>
        <v>159.21381734190396</v>
      </c>
      <c r="K26" s="116">
        <f>IF(K13=0,0,K13/TrRail_act!K17*100)</f>
        <v>157.50534954012605</v>
      </c>
      <c r="L26" s="116">
        <f>IF(L13=0,0,L13/TrRail_act!L17*100)</f>
        <v>153.70146212616032</v>
      </c>
      <c r="M26" s="116">
        <f>IF(M13=0,0,M13/TrRail_act!M17*100)</f>
        <v>149.05634126690913</v>
      </c>
      <c r="N26" s="116">
        <f>IF(N13=0,0,N13/TrRail_act!N17*100)</f>
        <v>143.71554194477994</v>
      </c>
      <c r="O26" s="116">
        <f>IF(O13=0,0,O13/TrRail_act!O17*100)</f>
        <v>140.65586022195899</v>
      </c>
      <c r="P26" s="116">
        <f>IF(P13=0,0,P13/TrRail_act!P17*100)</f>
        <v>140.14947087532056</v>
      </c>
      <c r="Q26" s="116">
        <f>IF(Q13=0,0,Q13/TrRail_act!Q17*100)</f>
        <v>135.68434519354932</v>
      </c>
      <c r="R26" s="116">
        <f>IF(R13=0,0,R13/TrRail_act!R17*100)</f>
        <v>131.78951986625759</v>
      </c>
      <c r="S26" s="116">
        <f>IF(S13=0,0,S13/TrRail_act!S17*100)</f>
        <v>130.83121467557385</v>
      </c>
      <c r="T26" s="116">
        <f>IF(T13=0,0,T13/TrRail_act!T17*100)</f>
        <v>128.70471977728937</v>
      </c>
      <c r="U26" s="116">
        <f>IF(U13=0,0,U13/TrRail_act!U17*100)</f>
        <v>127.19411901088269</v>
      </c>
      <c r="V26" s="116">
        <f>IF(V13=0,0,V13/TrRail_act!V17*100)</f>
        <v>125.46105097097427</v>
      </c>
      <c r="W26" s="116">
        <f>IF(W13=0,0,W13/TrRail_act!W17*100)</f>
        <v>124.16444557647735</v>
      </c>
      <c r="X26" s="116">
        <f>IF(X13=0,0,X13/TrRail_act!X17*100)</f>
        <v>123.53056144074894</v>
      </c>
      <c r="Y26" s="116">
        <f>IF(Y13=0,0,Y13/TrRail_act!Y17*100)</f>
        <v>123.31257347541688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240.84589592813975</v>
      </c>
      <c r="C27" s="87">
        <f>IF(C14=0,0,C14/TrRail_act!C18*100)</f>
        <v>231.55996959132597</v>
      </c>
      <c r="D27" s="87">
        <f>IF(D14=0,0,D14/TrRail_act!D18*100)</f>
        <v>218.88569726861542</v>
      </c>
      <c r="E27" s="87">
        <f>IF(E14=0,0,E14/TrRail_act!E18*100)</f>
        <v>211.88942735965207</v>
      </c>
      <c r="F27" s="87">
        <f>IF(F14=0,0,F14/TrRail_act!F18*100)</f>
        <v>210.47663746131397</v>
      </c>
      <c r="G27" s="87">
        <f>IF(G14=0,0,G14/TrRail_act!G18*100)</f>
        <v>202.02320719354222</v>
      </c>
      <c r="H27" s="87">
        <f>IF(H14=0,0,H14/TrRail_act!H18*100)</f>
        <v>200.06620176009866</v>
      </c>
      <c r="I27" s="87">
        <f>IF(I14=0,0,I14/TrRail_act!I18*100)</f>
        <v>191.62690421183024</v>
      </c>
      <c r="J27" s="87">
        <f>IF(J14=0,0,J14/TrRail_act!J18*100)</f>
        <v>189.45289156783437</v>
      </c>
      <c r="K27" s="87">
        <f>IF(K14=0,0,K14/TrRail_act!K18*100)</f>
        <v>188.73357198907772</v>
      </c>
      <c r="L27" s="87">
        <f>IF(L14=0,0,L14/TrRail_act!L18*100)</f>
        <v>182.04420004881169</v>
      </c>
      <c r="M27" s="87">
        <f>IF(M14=0,0,M14/TrRail_act!M18*100)</f>
        <v>176.90005436213519</v>
      </c>
      <c r="N27" s="87">
        <f>IF(N14=0,0,N14/TrRail_act!N18*100)</f>
        <v>170.56857249489374</v>
      </c>
      <c r="O27" s="87">
        <f>IF(O14=0,0,O14/TrRail_act!O18*100)</f>
        <v>169.20715446851651</v>
      </c>
      <c r="P27" s="87">
        <f>IF(P14=0,0,P14/TrRail_act!P18*100)</f>
        <v>166.36787249337723</v>
      </c>
      <c r="Q27" s="87">
        <f>IF(Q14=0,0,Q14/TrRail_act!Q18*100)</f>
        <v>165.31831617123254</v>
      </c>
      <c r="R27" s="87">
        <f>IF(R14=0,0,R14/TrRail_act!R18*100)</f>
        <v>162.06746398781002</v>
      </c>
      <c r="S27" s="87">
        <f>IF(S14=0,0,S14/TrRail_act!S18*100)</f>
        <v>159.67134506639081</v>
      </c>
      <c r="T27" s="87">
        <f>IF(T14=0,0,T14/TrRail_act!T18*100)</f>
        <v>157.89753289908271</v>
      </c>
      <c r="U27" s="87">
        <f>IF(U14=0,0,U14/TrRail_act!U18*100)</f>
        <v>156.58011754578837</v>
      </c>
      <c r="V27" s="87">
        <f>IF(V14=0,0,V14/TrRail_act!V18*100)</f>
        <v>155.59927444933547</v>
      </c>
      <c r="W27" s="87">
        <f>IF(W14=0,0,W14/TrRail_act!W18*100)</f>
        <v>154.86767634045779</v>
      </c>
      <c r="X27" s="87">
        <f>IF(X14=0,0,X14/TrRail_act!X18*100)</f>
        <v>154.32123603614866</v>
      </c>
      <c r="Y27" s="87">
        <f>IF(Y14=0,0,Y14/TrRail_act!Y18*100)</f>
        <v>153.91267148175663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160.69976558164643</v>
      </c>
      <c r="C28" s="87">
        <f>IF(C15=0,0,C15/TrRail_act!C19*100)</f>
        <v>159.77418352958577</v>
      </c>
      <c r="D28" s="87">
        <f>IF(D15=0,0,D15/TrRail_act!D19*100)</f>
        <v>158.67128348735284</v>
      </c>
      <c r="E28" s="87">
        <f>IF(E15=0,0,E15/TrRail_act!E19*100)</f>
        <v>153.17391830982211</v>
      </c>
      <c r="F28" s="87">
        <f>IF(F15=0,0,F15/TrRail_act!F19*100)</f>
        <v>148.96930934675302</v>
      </c>
      <c r="G28" s="87">
        <f>IF(G15=0,0,G15/TrRail_act!G19*100)</f>
        <v>146.82110645867022</v>
      </c>
      <c r="H28" s="87">
        <f>IF(H15=0,0,H15/TrRail_act!H19*100)</f>
        <v>145.31983588758229</v>
      </c>
      <c r="I28" s="87">
        <f>IF(I15=0,0,I15/TrRail_act!I19*100)</f>
        <v>143.49664819480139</v>
      </c>
      <c r="J28" s="87">
        <f>IF(J15=0,0,J15/TrRail_act!J19*100)</f>
        <v>141.15113832879567</v>
      </c>
      <c r="K28" s="87">
        <f>IF(K15=0,0,K15/TrRail_act!K19*100)</f>
        <v>138.98033264311039</v>
      </c>
      <c r="L28" s="87">
        <f>IF(L15=0,0,L15/TrRail_act!L19*100)</f>
        <v>136.38553868102045</v>
      </c>
      <c r="M28" s="87">
        <f>IF(M15=0,0,M15/TrRail_act!M19*100)</f>
        <v>133.46200761944584</v>
      </c>
      <c r="N28" s="87">
        <f>IF(N15=0,0,N15/TrRail_act!N19*100)</f>
        <v>129.6131208296473</v>
      </c>
      <c r="O28" s="87">
        <f>IF(O15=0,0,O15/TrRail_act!O19*100)</f>
        <v>127.30124324449457</v>
      </c>
      <c r="P28" s="87">
        <f>IF(P15=0,0,P15/TrRail_act!P19*100)</f>
        <v>125.31076753901679</v>
      </c>
      <c r="Q28" s="87">
        <f>IF(Q15=0,0,Q15/TrRail_act!Q19*100)</f>
        <v>122.36989358410064</v>
      </c>
      <c r="R28" s="87">
        <f>IF(R15=0,0,R15/TrRail_act!R19*100)</f>
        <v>118.46877783339511</v>
      </c>
      <c r="S28" s="87">
        <f>IF(S15=0,0,S15/TrRail_act!S19*100)</f>
        <v>117.27212351184566</v>
      </c>
      <c r="T28" s="87">
        <f>IF(T15=0,0,T15/TrRail_act!T19*100)</f>
        <v>116.38257183659549</v>
      </c>
      <c r="U28" s="87">
        <f>IF(U15=0,0,U15/TrRail_act!U19*100)</f>
        <v>115.7198389804805</v>
      </c>
      <c r="V28" s="87">
        <f>IF(V15=0,0,V15/TrRail_act!V19*100)</f>
        <v>115.22526713000074</v>
      </c>
      <c r="W28" s="87">
        <f>IF(W15=0,0,W15/TrRail_act!W19*100)</f>
        <v>114.85572587680331</v>
      </c>
      <c r="X28" s="87">
        <f>IF(X15=0,0,X15/TrRail_act!X19*100)</f>
        <v>114.5793479082802</v>
      </c>
      <c r="Y28" s="87">
        <f>IF(Y15=0,0,Y15/TrRail_act!Y19*100)</f>
        <v>114.37250095857954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257.7392030949319</v>
      </c>
      <c r="C30" s="29">
        <f>IF(C17=0,0,C17/TrRail_act!C21*100)</f>
        <v>250.14355363253605</v>
      </c>
      <c r="D30" s="29">
        <f>IF(D17=0,0,D17/TrRail_act!D21*100)</f>
        <v>245.00763741696696</v>
      </c>
      <c r="E30" s="29">
        <f>IF(E17=0,0,E17/TrRail_act!E21*100)</f>
        <v>234.18638503260354</v>
      </c>
      <c r="F30" s="29">
        <f>IF(F17=0,0,F17/TrRail_act!F21*100)</f>
        <v>226.36401377433918</v>
      </c>
      <c r="G30" s="29">
        <f>IF(G17=0,0,G17/TrRail_act!G21*100)</f>
        <v>221.04234875275745</v>
      </c>
      <c r="H30" s="29">
        <f>IF(H17=0,0,H17/TrRail_act!H21*100)</f>
        <v>217.2316613494632</v>
      </c>
      <c r="I30" s="29">
        <f>IF(I17=0,0,I17/TrRail_act!I21*100)</f>
        <v>209.69513176535398</v>
      </c>
      <c r="J30" s="29">
        <f>IF(J17=0,0,J17/TrRail_act!J21*100)</f>
        <v>204.03498084400852</v>
      </c>
      <c r="K30" s="29">
        <f>IF(K17=0,0,K17/TrRail_act!K21*100)</f>
        <v>198.29565289517475</v>
      </c>
      <c r="L30" s="29">
        <f>IF(L17=0,0,L17/TrRail_act!L21*100)</f>
        <v>194.00378688970076</v>
      </c>
      <c r="M30" s="29">
        <f>IF(M17=0,0,M17/TrRail_act!M21*100)</f>
        <v>175.40181241195495</v>
      </c>
      <c r="N30" s="29">
        <f>IF(N17=0,0,N17/TrRail_act!N21*100)</f>
        <v>184.8536301222141</v>
      </c>
      <c r="O30" s="29">
        <f>IF(O17=0,0,O17/TrRail_act!O21*100)</f>
        <v>182.08331677710677</v>
      </c>
      <c r="P30" s="29">
        <f>IF(P17=0,0,P17/TrRail_act!P21*100)</f>
        <v>179.87588383812974</v>
      </c>
      <c r="Q30" s="29">
        <f>IF(Q17=0,0,Q17/TrRail_act!Q21*100)</f>
        <v>174.94895996353134</v>
      </c>
      <c r="R30" s="29">
        <f>IF(R17=0,0,R17/TrRail_act!R21*100)</f>
        <v>169.41136152113287</v>
      </c>
      <c r="S30" s="29">
        <f>IF(S17=0,0,S17/TrRail_act!S21*100)</f>
        <v>166.54346843737952</v>
      </c>
      <c r="T30" s="29">
        <f>IF(T17=0,0,T17/TrRail_act!T21*100)</f>
        <v>169.2367357936605</v>
      </c>
      <c r="U30" s="29">
        <f>IF(U17=0,0,U17/TrRail_act!U21*100)</f>
        <v>166.84171940385821</v>
      </c>
      <c r="V30" s="29">
        <f>IF(V17=0,0,V17/TrRail_act!V21*100)</f>
        <v>165.90506772906559</v>
      </c>
      <c r="W30" s="29">
        <f>IF(W17=0,0,W17/TrRail_act!W21*100)</f>
        <v>169.69602371740226</v>
      </c>
      <c r="X30" s="29">
        <f>IF(X17=0,0,X17/TrRail_act!X21*100)</f>
        <v>173.46390896720223</v>
      </c>
      <c r="Y30" s="29">
        <f>IF(Y17=0,0,Y17/TrRail_act!Y21*100)</f>
        <v>169.01817975252735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450.19677155455247</v>
      </c>
      <c r="C31" s="87">
        <f>IF(C18=0,0,C18/TrRail_act!C22*100)</f>
        <v>430.08922485882238</v>
      </c>
      <c r="D31" s="87">
        <f>IF(D18=0,0,D18/TrRail_act!D22*100)</f>
        <v>417.31663645780873</v>
      </c>
      <c r="E31" s="87">
        <f>IF(E18=0,0,E18/TrRail_act!E22*100)</f>
        <v>412.45129944634709</v>
      </c>
      <c r="F31" s="87">
        <f>IF(F18=0,0,F18/TrRail_act!F22*100)</f>
        <v>410.28635258571285</v>
      </c>
      <c r="G31" s="87">
        <f>IF(G18=0,0,G18/TrRail_act!G22*100)</f>
        <v>405.38710046422972</v>
      </c>
      <c r="H31" s="87">
        <f>IF(H18=0,0,H18/TrRail_act!H22*100)</f>
        <v>401.89550803216713</v>
      </c>
      <c r="I31" s="87">
        <f>IF(I18=0,0,I18/TrRail_act!I22*100)</f>
        <v>399.34755556418509</v>
      </c>
      <c r="J31" s="87">
        <f>IF(J18=0,0,J18/TrRail_act!J22*100)</f>
        <v>395.33683081293827</v>
      </c>
      <c r="K31" s="87">
        <f>IF(K18=0,0,K18/TrRail_act!K22*100)</f>
        <v>392.35496062277673</v>
      </c>
      <c r="L31" s="87">
        <f>IF(L18=0,0,L18/TrRail_act!L22*100)</f>
        <v>389.76579412002377</v>
      </c>
      <c r="M31" s="87">
        <f>IF(M18=0,0,M18/TrRail_act!M22*100)</f>
        <v>385.49106558156865</v>
      </c>
      <c r="N31" s="87">
        <f>IF(N18=0,0,N18/TrRail_act!N22*100)</f>
        <v>383.06093455337862</v>
      </c>
      <c r="O31" s="87">
        <f>IF(O18=0,0,O18/TrRail_act!O22*100)</f>
        <v>380.72450751094891</v>
      </c>
      <c r="P31" s="87">
        <f>IF(P18=0,0,P18/TrRail_act!P22*100)</f>
        <v>377.85400613632186</v>
      </c>
      <c r="Q31" s="87">
        <f>IF(Q18=0,0,Q18/TrRail_act!Q22*100)</f>
        <v>376.13097307010491</v>
      </c>
      <c r="R31" s="87">
        <f>IF(R18=0,0,R18/TrRail_act!R22*100)</f>
        <v>374.0941687524043</v>
      </c>
      <c r="S31" s="87">
        <f>IF(S18=0,0,S18/TrRail_act!S22*100)</f>
        <v>372.57380695687903</v>
      </c>
      <c r="T31" s="87">
        <f>IF(T18=0,0,T18/TrRail_act!T22*100)</f>
        <v>371.43759190513049</v>
      </c>
      <c r="U31" s="87">
        <f>IF(U18=0,0,U18/TrRail_act!U22*100)</f>
        <v>370.58770512990213</v>
      </c>
      <c r="V31" s="87">
        <f>IF(V18=0,0,V18/TrRail_act!V22*100)</f>
        <v>369.95156645338636</v>
      </c>
      <c r="W31" s="87">
        <f>IF(W18=0,0,W18/TrRail_act!W22*100)</f>
        <v>369.47517915699154</v>
      </c>
      <c r="X31" s="87">
        <f>IF(X18=0,0,X18/TrRail_act!X22*100)</f>
        <v>369.11829130104724</v>
      </c>
      <c r="Y31" s="87">
        <f>IF(Y18=0,0,Y18/TrRail_act!Y22*100)</f>
        <v>368.85085165594654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206.97637241539351</v>
      </c>
      <c r="C32" s="88">
        <f>IF(C19=0,0,C19/TrRail_act!C23*100)</f>
        <v>205.78425110261554</v>
      </c>
      <c r="D32" s="88">
        <f>IF(D19=0,0,D19/TrRail_act!D23*100)</f>
        <v>204.36374965351933</v>
      </c>
      <c r="E32" s="88">
        <f>IF(E19=0,0,E19/TrRail_act!E23*100)</f>
        <v>197.28331180614776</v>
      </c>
      <c r="F32" s="88">
        <f>IF(F19=0,0,F19/TrRail_act!F23*100)</f>
        <v>191.86790433836813</v>
      </c>
      <c r="G32" s="88">
        <f>IF(G19=0,0,G19/TrRail_act!G23*100)</f>
        <v>187.21007401505224</v>
      </c>
      <c r="H32" s="88">
        <f>IF(H19=0,0,H19/TrRail_act!H23*100)</f>
        <v>181.60843263329585</v>
      </c>
      <c r="I32" s="88">
        <f>IF(I19=0,0,I19/TrRail_act!I23*100)</f>
        <v>175.76130060695169</v>
      </c>
      <c r="J32" s="88">
        <f>IF(J19=0,0,J19/TrRail_act!J23*100)</f>
        <v>172.33138668646944</v>
      </c>
      <c r="K32" s="88">
        <f>IF(K19=0,0,K19/TrRail_act!K23*100)</f>
        <v>168.71455721868753</v>
      </c>
      <c r="L32" s="88">
        <f>IF(L19=0,0,L19/TrRail_act!L23*100)</f>
        <v>166.51306736281919</v>
      </c>
      <c r="M32" s="88">
        <f>IF(M19=0,0,M19/TrRail_act!M23*100)</f>
        <v>163.81722467343963</v>
      </c>
      <c r="N32" s="88">
        <f>IF(N19=0,0,N19/TrRail_act!N23*100)</f>
        <v>160.35971430207019</v>
      </c>
      <c r="O32" s="88">
        <f>IF(O19=0,0,O19/TrRail_act!O23*100)</f>
        <v>157.49941723736396</v>
      </c>
      <c r="P32" s="88">
        <f>IF(P19=0,0,P19/TrRail_act!P23*100)</f>
        <v>154.50320762225348</v>
      </c>
      <c r="Q32" s="88">
        <f>IF(Q19=0,0,Q19/TrRail_act!Q23*100)</f>
        <v>151.39826160124804</v>
      </c>
      <c r="R32" s="88">
        <f>IF(R19=0,0,R19/TrRail_act!R23*100)</f>
        <v>148.36501692943506</v>
      </c>
      <c r="S32" s="88">
        <f>IF(S19=0,0,S19/TrRail_act!S23*100)</f>
        <v>146.13003117983715</v>
      </c>
      <c r="T32" s="88">
        <f>IF(T19=0,0,T19/TrRail_act!T23*100)</f>
        <v>144.4759143954436</v>
      </c>
      <c r="U32" s="88">
        <f>IF(U19=0,0,U19/TrRail_act!U23*100)</f>
        <v>143.24762590068315</v>
      </c>
      <c r="V32" s="88">
        <f>IF(V19=0,0,V19/TrRail_act!V23*100)</f>
        <v>142.33326730141627</v>
      </c>
      <c r="W32" s="88">
        <f>IF(W19=0,0,W19/TrRail_act!W23*100)</f>
        <v>141.65133053639562</v>
      </c>
      <c r="X32" s="88">
        <f>IF(X19=0,0,X19/TrRail_act!X23*100)</f>
        <v>141.1420229499528</v>
      </c>
      <c r="Y32" s="88">
        <f>IF(Y19=0,0,Y19/TrRail_act!Y23*100)</f>
        <v>140.76124435644735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11.030010193149678</v>
      </c>
      <c r="C35" s="29">
        <f>IF(C11=0,0,C11/TrRail_act!C4*1000)</f>
        <v>10.74021562276427</v>
      </c>
      <c r="D35" s="29">
        <f>IF(D11=0,0,D11/TrRail_act!D4*1000)</f>
        <v>10.0147987170196</v>
      </c>
      <c r="E35" s="29">
        <f>IF(E11=0,0,E11/TrRail_act!E4*1000)</f>
        <v>10.315180627761917</v>
      </c>
      <c r="F35" s="29">
        <f>IF(F11=0,0,F11/TrRail_act!F4*1000)</f>
        <v>10.296677257628099</v>
      </c>
      <c r="G35" s="29">
        <f>IF(G11=0,0,G11/TrRail_act!G4*1000)</f>
        <v>10.107261841251255</v>
      </c>
      <c r="H35" s="29">
        <f>IF(H11=0,0,H11/TrRail_act!H4*1000)</f>
        <v>10.558267027879619</v>
      </c>
      <c r="I35" s="29">
        <f>IF(I11=0,0,I11/TrRail_act!I4*1000)</f>
        <v>11.317376186194306</v>
      </c>
      <c r="J35" s="29">
        <f>IF(J11=0,0,J11/TrRail_act!J4*1000)</f>
        <v>11.69260436268269</v>
      </c>
      <c r="K35" s="29">
        <f>IF(K11=0,0,K11/TrRail_act!K4*1000)</f>
        <v>12.856982498052787</v>
      </c>
      <c r="L35" s="29">
        <f>IF(L11=0,0,L11/TrRail_act!L4*1000)</f>
        <v>11.743256543716949</v>
      </c>
      <c r="M35" s="29">
        <f>IF(M11=0,0,M11/TrRail_act!M4*1000)</f>
        <v>11.159752986537836</v>
      </c>
      <c r="N35" s="29">
        <f>IF(N11=0,0,N11/TrRail_act!N4*1000)</f>
        <v>9.6561801738068755</v>
      </c>
      <c r="O35" s="29">
        <f>IF(O11=0,0,O11/TrRail_act!O4*1000)</f>
        <v>11.625980809166174</v>
      </c>
      <c r="P35" s="29">
        <f>IF(P11=0,0,P11/TrRail_act!P4*1000)</f>
        <v>11.039358633964566</v>
      </c>
      <c r="Q35" s="29">
        <f>IF(Q11=0,0,Q11/TrRail_act!Q4*1000)</f>
        <v>10.515438699283782</v>
      </c>
      <c r="R35" s="29">
        <f>IF(R11=0,0,R11/TrRail_act!R4*1000)</f>
        <v>10.33160110762296</v>
      </c>
      <c r="S35" s="29">
        <f>IF(S11=0,0,S11/TrRail_act!S4*1000)</f>
        <v>10.087123468214372</v>
      </c>
      <c r="T35" s="29">
        <f>IF(T11=0,0,T11/TrRail_act!T4*1000)</f>
        <v>10.544782805793265</v>
      </c>
      <c r="U35" s="29">
        <f>IF(U11=0,0,U11/TrRail_act!U4*1000)</f>
        <v>10.02915028326748</v>
      </c>
      <c r="V35" s="29">
        <f>IF(V11=0,0,V11/TrRail_act!V4*1000)</f>
        <v>13.650479381866031</v>
      </c>
      <c r="W35" s="29">
        <f>IF(W11=0,0,W11/TrRail_act!W4*1000)</f>
        <v>13.29419850981532</v>
      </c>
      <c r="X35" s="29">
        <f>IF(X11=0,0,X11/TrRail_act!X4*1000)</f>
        <v>9.6486082250611513</v>
      </c>
      <c r="Y35" s="29">
        <f>IF(Y11=0,0,Y11/TrRail_act!Y4*1000)</f>
        <v>7.7665132021371255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5.4748555997846955</v>
      </c>
      <c r="C36" s="115">
        <f>IF(C12=0,0,C12/TrRail_act!C5*1000)</f>
        <v>5.4537260145208375</v>
      </c>
      <c r="D36" s="115">
        <f>IF(D12=0,0,D12/TrRail_act!D5*1000)</f>
        <v>5.253420360049124</v>
      </c>
      <c r="E36" s="115">
        <f>IF(E12=0,0,E12/TrRail_act!E5*1000)</f>
        <v>5.3839806578986646</v>
      </c>
      <c r="F36" s="115">
        <f>IF(F12=0,0,F12/TrRail_act!F5*1000)</f>
        <v>5.373095414744939</v>
      </c>
      <c r="G36" s="115">
        <f>IF(G12=0,0,G12/TrRail_act!G5*1000)</f>
        <v>5.2895774159206788</v>
      </c>
      <c r="H36" s="115">
        <f>IF(H12=0,0,H12/TrRail_act!H5*1000)</f>
        <v>5.2972996226838553</v>
      </c>
      <c r="I36" s="115">
        <f>IF(I12=0,0,I12/TrRail_act!I5*1000)</f>
        <v>5.5208625395255293</v>
      </c>
      <c r="J36" s="115">
        <f>IF(J12=0,0,J12/TrRail_act!J5*1000)</f>
        <v>5.5193203424151136</v>
      </c>
      <c r="K36" s="115">
        <f>IF(K12=0,0,K12/TrRail_act!K5*1000)</f>
        <v>5.5378089105701624</v>
      </c>
      <c r="L36" s="115">
        <f>IF(L12=0,0,L12/TrRail_act!L5*1000)</f>
        <v>5.4580162960739553</v>
      </c>
      <c r="M36" s="115">
        <f>IF(M12=0,0,M12/TrRail_act!M5*1000)</f>
        <v>5.4771700423562182</v>
      </c>
      <c r="N36" s="115">
        <f>IF(N12=0,0,N12/TrRail_act!N5*1000)</f>
        <v>5.3810493781632225</v>
      </c>
      <c r="O36" s="115">
        <f>IF(O12=0,0,O12/TrRail_act!O5*1000)</f>
        <v>5.2611001587072952</v>
      </c>
      <c r="P36" s="115">
        <f>IF(P12=0,0,P12/TrRail_act!P5*1000)</f>
        <v>5.2938530497311262</v>
      </c>
      <c r="Q36" s="115">
        <f>IF(Q12=0,0,Q12/TrRail_act!Q5*1000)</f>
        <v>5.699074334571498</v>
      </c>
      <c r="R36" s="115">
        <f>IF(R12=0,0,R12/TrRail_act!R5*1000)</f>
        <v>5.6244354206347662</v>
      </c>
      <c r="S36" s="115">
        <f>IF(S12=0,0,S12/TrRail_act!S5*1000)</f>
        <v>5.4582478108990786</v>
      </c>
      <c r="T36" s="115">
        <f>IF(T12=0,0,T12/TrRail_act!T5*1000)</f>
        <v>5.123849636677642</v>
      </c>
      <c r="U36" s="115">
        <f>IF(U12=0,0,U12/TrRail_act!U5*1000)</f>
        <v>5.1019819004924081</v>
      </c>
      <c r="V36" s="115">
        <f>IF(V12=0,0,V12/TrRail_act!V5*1000)</f>
        <v>7.4229144034327703</v>
      </c>
      <c r="W36" s="115">
        <f>IF(W12=0,0,W12/TrRail_act!W5*1000)</f>
        <v>7.5993947582308152</v>
      </c>
      <c r="X36" s="115">
        <f>IF(X12=0,0,X12/TrRail_act!X5*1000)</f>
        <v>6.3838198646078901</v>
      </c>
      <c r="Y36" s="115">
        <f>IF(Y12=0,0,Y12/TrRail_act!Y5*1000)</f>
        <v>3.7333860721232401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12.502902724352401</v>
      </c>
      <c r="C37" s="116">
        <f>IF(C13=0,0,C13/TrRail_act!C6*1000)</f>
        <v>12.098692862423828</v>
      </c>
      <c r="D37" s="116">
        <f>IF(D13=0,0,D13/TrRail_act!D6*1000)</f>
        <v>11.161399753319772</v>
      </c>
      <c r="E37" s="116">
        <f>IF(E13=0,0,E13/TrRail_act!E6*1000)</f>
        <v>11.521373426145733</v>
      </c>
      <c r="F37" s="116">
        <f>IF(F13=0,0,F13/TrRail_act!F6*1000)</f>
        <v>11.468843323518632</v>
      </c>
      <c r="G37" s="116">
        <f>IF(G13=0,0,G13/TrRail_act!G6*1000)</f>
        <v>11.258009120999793</v>
      </c>
      <c r="H37" s="116">
        <f>IF(H13=0,0,H13/TrRail_act!H6*1000)</f>
        <v>11.801877359838819</v>
      </c>
      <c r="I37" s="116">
        <f>IF(I13=0,0,I13/TrRail_act!I6*1000)</f>
        <v>12.827436871112585</v>
      </c>
      <c r="J37" s="116">
        <f>IF(J13=0,0,J13/TrRail_act!J6*1000)</f>
        <v>13.430980892750805</v>
      </c>
      <c r="K37" s="116">
        <f>IF(K13=0,0,K13/TrRail_act!K6*1000)</f>
        <v>15.145584348251766</v>
      </c>
      <c r="L37" s="116">
        <f>IF(L13=0,0,L13/TrRail_act!L6*1000)</f>
        <v>13.779965693096379</v>
      </c>
      <c r="M37" s="116">
        <f>IF(M13=0,0,M13/TrRail_act!M6*1000)</f>
        <v>12.992638895015826</v>
      </c>
      <c r="N37" s="116">
        <f>IF(N13=0,0,N13/TrRail_act!N6*1000)</f>
        <v>11.024856616428846</v>
      </c>
      <c r="O37" s="116">
        <f>IF(O13=0,0,O13/TrRail_act!O6*1000)</f>
        <v>13.663594352298301</v>
      </c>
      <c r="P37" s="116">
        <f>IF(P13=0,0,P13/TrRail_act!P6*1000)</f>
        <v>13.132829302506073</v>
      </c>
      <c r="Q37" s="116">
        <f>IF(Q13=0,0,Q13/TrRail_act!Q6*1000)</f>
        <v>12.380629065001761</v>
      </c>
      <c r="R37" s="116">
        <f>IF(R13=0,0,R13/TrRail_act!R6*1000)</f>
        <v>12.215392516079522</v>
      </c>
      <c r="S37" s="116">
        <f>IF(S13=0,0,S13/TrRail_act!S6*1000)</f>
        <v>11.910672176810085</v>
      </c>
      <c r="T37" s="116">
        <f>IF(T13=0,0,T13/TrRail_act!T6*1000)</f>
        <v>12.433876852384563</v>
      </c>
      <c r="U37" s="116">
        <f>IF(U13=0,0,U13/TrRail_act!U6*1000)</f>
        <v>11.813488465269968</v>
      </c>
      <c r="V37" s="116">
        <f>IF(V13=0,0,V13/TrRail_act!V6*1000)</f>
        <v>16.017569902098696</v>
      </c>
      <c r="W37" s="116">
        <f>IF(W13=0,0,W13/TrRail_act!W6*1000)</f>
        <v>15.14543901355076</v>
      </c>
      <c r="X37" s="116">
        <f>IF(X13=0,0,X13/TrRail_act!X6*1000)</f>
        <v>10.617197550091076</v>
      </c>
      <c r="Y37" s="116">
        <f>IF(Y13=0,0,Y13/TrRail_act!Y6*1000)</f>
        <v>8.8525728825513177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18.201720455092119</v>
      </c>
      <c r="C38" s="87">
        <f>IF(C14=0,0,C14/TrRail_act!C7*1000)</f>
        <v>17.496710233652845</v>
      </c>
      <c r="D38" s="87">
        <f>IF(D14=0,0,D14/TrRail_act!D7*1000)</f>
        <v>14.908562234821245</v>
      </c>
      <c r="E38" s="87">
        <f>IF(E14=0,0,E14/TrRail_act!E7*1000)</f>
        <v>15.7874061367623</v>
      </c>
      <c r="F38" s="87">
        <f>IF(F14=0,0,F14/TrRail_act!F7*1000)</f>
        <v>14.932925146512948</v>
      </c>
      <c r="G38" s="87">
        <f>IF(G14=0,0,G14/TrRail_act!G7*1000)</f>
        <v>15.22804810217373</v>
      </c>
      <c r="H38" s="87">
        <f>IF(H14=0,0,H14/TrRail_act!H7*1000)</f>
        <v>13.892381240084104</v>
      </c>
      <c r="I38" s="87">
        <f>IF(I14=0,0,I14/TrRail_act!I7*1000)</f>
        <v>15.497920624098139</v>
      </c>
      <c r="J38" s="87">
        <f>IF(J14=0,0,J14/TrRail_act!J7*1000)</f>
        <v>16.819555406682603</v>
      </c>
      <c r="K38" s="87">
        <f>IF(K14=0,0,K14/TrRail_act!K7*1000)</f>
        <v>18.455465843450732</v>
      </c>
      <c r="L38" s="87">
        <f>IF(L14=0,0,L14/TrRail_act!L7*1000)</f>
        <v>18.034628465939214</v>
      </c>
      <c r="M38" s="87">
        <f>IF(M14=0,0,M14/TrRail_act!M7*1000)</f>
        <v>16.260010125323426</v>
      </c>
      <c r="N38" s="87">
        <f>IF(N14=0,0,N14/TrRail_act!N7*1000)</f>
        <v>15.111111453596784</v>
      </c>
      <c r="O38" s="87">
        <f>IF(O14=0,0,O14/TrRail_act!O7*1000)</f>
        <v>16.95908041330047</v>
      </c>
      <c r="P38" s="87">
        <f>IF(P14=0,0,P14/TrRail_act!P7*1000)</f>
        <v>15.878560564878505</v>
      </c>
      <c r="Q38" s="87">
        <f>IF(Q14=0,0,Q14/TrRail_act!Q7*1000)</f>
        <v>16.67021614974966</v>
      </c>
      <c r="R38" s="87">
        <f>IF(R14=0,0,R14/TrRail_act!R7*1000)</f>
        <v>16.575983439828931</v>
      </c>
      <c r="S38" s="87">
        <f>IF(S14=0,0,S14/TrRail_act!S7*1000)</f>
        <v>16.310360408603611</v>
      </c>
      <c r="T38" s="87">
        <f>IF(T14=0,0,T14/TrRail_act!T7*1000)</f>
        <v>15.468119971162469</v>
      </c>
      <c r="U38" s="87">
        <f>IF(U14=0,0,U14/TrRail_act!U7*1000)</f>
        <v>14.691322492010977</v>
      </c>
      <c r="V38" s="87">
        <f>IF(V14=0,0,V14/TrRail_act!V7*1000)</f>
        <v>19.803743490627774</v>
      </c>
      <c r="W38" s="87">
        <f>IF(W14=0,0,W14/TrRail_act!W7*1000)</f>
        <v>19.87488311488956</v>
      </c>
      <c r="X38" s="87">
        <f>IF(X14=0,0,X14/TrRail_act!X7*1000)</f>
        <v>15.522104613286821</v>
      </c>
      <c r="Y38" s="87">
        <f>IF(Y14=0,0,Y14/TrRail_act!Y7*1000)</f>
        <v>13.398891543598664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8.5579243780834489</v>
      </c>
      <c r="C39" s="87">
        <f>IF(C15=0,0,C15/TrRail_act!C8*1000)</f>
        <v>8.557324442474723</v>
      </c>
      <c r="D39" s="87">
        <f>IF(D15=0,0,D15/TrRail_act!D8*1000)</f>
        <v>8.3633831694232139</v>
      </c>
      <c r="E39" s="87">
        <f>IF(E15=0,0,E15/TrRail_act!E8*1000)</f>
        <v>8.6504802102683058</v>
      </c>
      <c r="F39" s="87">
        <f>IF(F15=0,0,F15/TrRail_act!F8*1000)</f>
        <v>9.1398904584625296</v>
      </c>
      <c r="G39" s="87">
        <f>IF(G15=0,0,G15/TrRail_act!G8*1000)</f>
        <v>8.9972223626780501</v>
      </c>
      <c r="H39" s="87">
        <f>IF(H15=0,0,H15/TrRail_act!H8*1000)</f>
        <v>10.528864465099735</v>
      </c>
      <c r="I39" s="87">
        <f>IF(I15=0,0,I15/TrRail_act!I8*1000)</f>
        <v>11.340617027492613</v>
      </c>
      <c r="J39" s="87">
        <f>IF(J15=0,0,J15/TrRail_act!J8*1000)</f>
        <v>11.563254932352587</v>
      </c>
      <c r="K39" s="87">
        <f>IF(K15=0,0,K15/TrRail_act!K8*1000)</f>
        <v>13.233645141743288</v>
      </c>
      <c r="L39" s="87">
        <f>IF(L15=0,0,L15/TrRail_act!L8*1000)</f>
        <v>11.556645061390981</v>
      </c>
      <c r="M39" s="87">
        <f>IF(M15=0,0,M15/TrRail_act!M8*1000)</f>
        <v>11.306086095080284</v>
      </c>
      <c r="N39" s="87">
        <f>IF(N15=0,0,N15/TrRail_act!N8*1000)</f>
        <v>9.2888835677106609</v>
      </c>
      <c r="O39" s="87">
        <f>IF(O15=0,0,O15/TrRail_act!O8*1000)</f>
        <v>12.190803057222125</v>
      </c>
      <c r="P39" s="87">
        <f>IF(P15=0,0,P15/TrRail_act!P8*1000)</f>
        <v>11.622667363047553</v>
      </c>
      <c r="Q39" s="87">
        <f>IF(Q15=0,0,Q15/TrRail_act!Q8*1000)</f>
        <v>10.708123895971955</v>
      </c>
      <c r="R39" s="87">
        <f>IF(R15=0,0,R15/TrRail_act!R8*1000)</f>
        <v>10.545703593631714</v>
      </c>
      <c r="S39" s="87">
        <f>IF(S15=0,0,S15/TrRail_act!S8*1000)</f>
        <v>10.156859015085317</v>
      </c>
      <c r="T39" s="87">
        <f>IF(T15=0,0,T15/TrRail_act!T8*1000)</f>
        <v>11.178187790858885</v>
      </c>
      <c r="U39" s="87">
        <f>IF(U15=0,0,U15/TrRail_act!U8*1000)</f>
        <v>10.705522301165589</v>
      </c>
      <c r="V39" s="87">
        <f>IF(V15=0,0,V15/TrRail_act!V8*1000)</f>
        <v>14.72631873749552</v>
      </c>
      <c r="W39" s="87">
        <f>IF(W15=0,0,W15/TrRail_act!W8*1000)</f>
        <v>13.802722646928247</v>
      </c>
      <c r="X39" s="87">
        <f>IF(X15=0,0,X15/TrRail_act!X8*1000)</f>
        <v>9.4482054758711236</v>
      </c>
      <c r="Y39" s="87">
        <f>IF(Y15=0,0,Y15/TrRail_act!Y8*1000)</f>
        <v>7.8106212433759348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4.3250253611970004</v>
      </c>
      <c r="C41" s="29">
        <f>IF(C17=0,0,C17/TrRail_act!C10*1000)</f>
        <v>4.5121114455002758</v>
      </c>
      <c r="D41" s="29">
        <f>IF(D17=0,0,D17/TrRail_act!D10*1000)</f>
        <v>4.4693536903401654</v>
      </c>
      <c r="E41" s="29">
        <f>IF(E17=0,0,E17/TrRail_act!E10*1000)</f>
        <v>4.3509593691786073</v>
      </c>
      <c r="F41" s="29">
        <f>IF(F17=0,0,F17/TrRail_act!F10*1000)</f>
        <v>4.0711373118410314</v>
      </c>
      <c r="G41" s="29">
        <f>IF(G17=0,0,G17/TrRail_act!G10*1000)</f>
        <v>3.8924678558011108</v>
      </c>
      <c r="H41" s="29">
        <f>IF(H17=0,0,H17/TrRail_act!H10*1000)</f>
        <v>3.9016863747357213</v>
      </c>
      <c r="I41" s="29">
        <f>IF(I17=0,0,I17/TrRail_act!I10*1000)</f>
        <v>4.0215922281450416</v>
      </c>
      <c r="J41" s="29">
        <f>IF(J17=0,0,J17/TrRail_act!J10*1000)</f>
        <v>3.9089912491657683</v>
      </c>
      <c r="K41" s="29">
        <f>IF(K17=0,0,K17/TrRail_act!K10*1000)</f>
        <v>3.8094966944857442</v>
      </c>
      <c r="L41" s="29">
        <f>IF(L17=0,0,L17/TrRail_act!L10*1000)</f>
        <v>3.5013502025271399</v>
      </c>
      <c r="M41" s="29">
        <f>IF(M17=0,0,M17/TrRail_act!M10*1000)</f>
        <v>3.028466201745375</v>
      </c>
      <c r="N41" s="29">
        <f>IF(N17=0,0,N17/TrRail_act!N10*1000)</f>
        <v>2.8325378118988009</v>
      </c>
      <c r="O41" s="29">
        <f>IF(O17=0,0,O17/TrRail_act!O10*1000)</f>
        <v>3.1595313148865878</v>
      </c>
      <c r="P41" s="29">
        <f>IF(P17=0,0,P17/TrRail_act!P10*1000)</f>
        <v>3.1196720335749277</v>
      </c>
      <c r="Q41" s="29">
        <f>IF(Q17=0,0,Q17/TrRail_act!Q10*1000)</f>
        <v>2.9042250861761341</v>
      </c>
      <c r="R41" s="29">
        <f>IF(R17=0,0,R17/TrRail_act!R10*1000)</f>
        <v>2.7042105999014172</v>
      </c>
      <c r="S41" s="29">
        <f>IF(S17=0,0,S17/TrRail_act!S10*1000)</f>
        <v>2.6347614754196473</v>
      </c>
      <c r="T41" s="29">
        <f>IF(T17=0,0,T17/TrRail_act!T10*1000)</f>
        <v>3.099786131749795</v>
      </c>
      <c r="U41" s="29">
        <f>IF(U17=0,0,U17/TrRail_act!U10*1000)</f>
        <v>2.9716499809008576</v>
      </c>
      <c r="V41" s="29">
        <f>IF(V17=0,0,V17/TrRail_act!V10*1000)</f>
        <v>3.4983335254791013</v>
      </c>
      <c r="W41" s="29">
        <f>IF(W17=0,0,W17/TrRail_act!W10*1000)</f>
        <v>3.2642675496054481</v>
      </c>
      <c r="X41" s="29">
        <f>IF(X17=0,0,X17/TrRail_act!X10*1000)</f>
        <v>3.3539226056057334</v>
      </c>
      <c r="Y41" s="29">
        <f>IF(Y17=0,0,Y17/TrRail_act!Y10*1000)</f>
        <v>2.7657805375732458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6.0818095221286237</v>
      </c>
      <c r="C42" s="87">
        <f>IF(C18=0,0,C18/TrRail_act!C11*1000)</f>
        <v>6.1125975480420385</v>
      </c>
      <c r="D42" s="87">
        <f>IF(D18=0,0,D18/TrRail_act!D11*1000)</f>
        <v>5.7409183966364425</v>
      </c>
      <c r="E42" s="87">
        <f>IF(E18=0,0,E18/TrRail_act!E11*1000)</f>
        <v>5.4402267454419508</v>
      </c>
      <c r="F42" s="87">
        <f>IF(F18=0,0,F18/TrRail_act!F11*1000)</f>
        <v>5.0979854441126591</v>
      </c>
      <c r="G42" s="87">
        <f>IF(G18=0,0,G18/TrRail_act!G11*1000)</f>
        <v>5.0812749013339849</v>
      </c>
      <c r="H42" s="87">
        <f>IF(H18=0,0,H18/TrRail_act!H11*1000)</f>
        <v>5.0112103357674194</v>
      </c>
      <c r="I42" s="87">
        <f>IF(I18=0,0,I18/TrRail_act!I11*1000)</f>
        <v>5.1748848493318444</v>
      </c>
      <c r="J42" s="87">
        <f>IF(J18=0,0,J18/TrRail_act!J11*1000)</f>
        <v>5.0816332366523023</v>
      </c>
      <c r="K42" s="87">
        <f>IF(K18=0,0,K18/TrRail_act!K11*1000)</f>
        <v>5.2080473028337595</v>
      </c>
      <c r="L42" s="87">
        <f>IF(L18=0,0,L18/TrRail_act!L11*1000)</f>
        <v>5.2208104586699253</v>
      </c>
      <c r="M42" s="87">
        <f>IF(M18=0,0,M18/TrRail_act!M11*1000)</f>
        <v>4.6158328687029186</v>
      </c>
      <c r="N42" s="87">
        <f>IF(N18=0,0,N18/TrRail_act!N11*1000)</f>
        <v>4.1036978633262589</v>
      </c>
      <c r="O42" s="87">
        <f>IF(O18=0,0,O18/TrRail_act!O11*1000)</f>
        <v>4.7478491012604973</v>
      </c>
      <c r="P42" s="87">
        <f>IF(P18=0,0,P18/TrRail_act!P11*1000)</f>
        <v>4.4916101202888079</v>
      </c>
      <c r="Q42" s="87">
        <f>IF(Q18=0,0,Q18/TrRail_act!Q11*1000)</f>
        <v>4.5208712874730805</v>
      </c>
      <c r="R42" s="87">
        <f>IF(R18=0,0,R18/TrRail_act!R11*1000)</f>
        <v>3.9281854812818344</v>
      </c>
      <c r="S42" s="87">
        <f>IF(S18=0,0,S18/TrRail_act!S11*1000)</f>
        <v>3.6920900293991346</v>
      </c>
      <c r="T42" s="87">
        <f>IF(T18=0,0,T18/TrRail_act!T11*1000)</f>
        <v>5.1360523416079342</v>
      </c>
      <c r="U42" s="87">
        <f>IF(U18=0,0,U18/TrRail_act!U11*1000)</f>
        <v>5.0227786348288008</v>
      </c>
      <c r="V42" s="87">
        <f>IF(V18=0,0,V18/TrRail_act!V11*1000)</f>
        <v>6.5417651804577526</v>
      </c>
      <c r="W42" s="87">
        <f>IF(W18=0,0,W18/TrRail_act!W11*1000)</f>
        <v>7.1256401321264784</v>
      </c>
      <c r="X42" s="87">
        <f>IF(X18=0,0,X18/TrRail_act!X11*1000)</f>
        <v>6.8212148190085742</v>
      </c>
      <c r="Y42" s="87">
        <f>IF(Y18=0,0,Y18/TrRail_act!Y11*1000)</f>
        <v>5.0263746059555183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3.7101713595495123</v>
      </c>
      <c r="C43" s="88">
        <f>IF(C19=0,0,C19/TrRail_act!C12*1000)</f>
        <v>3.9757746448005258</v>
      </c>
      <c r="D43" s="88">
        <f>IF(D19=0,0,D19/TrRail_act!D12*1000)</f>
        <v>4.0385031544158467</v>
      </c>
      <c r="E43" s="88">
        <f>IF(E19=0,0,E19/TrRail_act!E12*1000)</f>
        <v>4.0039912282321941</v>
      </c>
      <c r="F43" s="88">
        <f>IF(F19=0,0,F19/TrRail_act!F12*1000)</f>
        <v>3.7668354234395887</v>
      </c>
      <c r="G43" s="88">
        <f>IF(G19=0,0,G19/TrRail_act!G12*1000)</f>
        <v>3.561341722270067</v>
      </c>
      <c r="H43" s="88">
        <f>IF(H19=0,0,H19/TrRail_act!H12*1000)</f>
        <v>3.5647473235657876</v>
      </c>
      <c r="I43" s="88">
        <f>IF(I19=0,0,I19/TrRail_act!I12*1000)</f>
        <v>3.6874952394130771</v>
      </c>
      <c r="J43" s="88">
        <f>IF(J19=0,0,J19/TrRail_act!J12*1000)</f>
        <v>3.5937105119700652</v>
      </c>
      <c r="K43" s="88">
        <f>IF(K19=0,0,K19/TrRail_act!K12*1000)</f>
        <v>3.4783761129949649</v>
      </c>
      <c r="L43" s="88">
        <f>IF(L19=0,0,L19/TrRail_act!L12*1000)</f>
        <v>3.1593225056732384</v>
      </c>
      <c r="M43" s="88">
        <f>IF(M19=0,0,M19/TrRail_act!M12*1000)</f>
        <v>2.8990997010115538</v>
      </c>
      <c r="N43" s="88">
        <f>IF(N19=0,0,N19/TrRail_act!N12*1000)</f>
        <v>2.5952300844094855</v>
      </c>
      <c r="O43" s="88">
        <f>IF(O19=0,0,O19/TrRail_act!O12*1000)</f>
        <v>2.8720883811094744</v>
      </c>
      <c r="P43" s="88">
        <f>IF(P19=0,0,P19/TrRail_act!P12*1000)</f>
        <v>2.8471060167084952</v>
      </c>
      <c r="Q43" s="88">
        <f>IF(Q19=0,0,Q19/TrRail_act!Q12*1000)</f>
        <v>2.6306430279982043</v>
      </c>
      <c r="R43" s="88">
        <f>IF(R19=0,0,R19/TrRail_act!R12*1000)</f>
        <v>2.5020824176206182</v>
      </c>
      <c r="S43" s="88">
        <f>IF(S19=0,0,S19/TrRail_act!S12*1000)</f>
        <v>2.4570141248007391</v>
      </c>
      <c r="T43" s="88">
        <f>IF(T19=0,0,T19/TrRail_act!T12*1000)</f>
        <v>2.7558110295789819</v>
      </c>
      <c r="U43" s="88">
        <f>IF(U19=0,0,U19/TrRail_act!U12*1000)</f>
        <v>2.6477282518078287</v>
      </c>
      <c r="V43" s="88">
        <f>IF(V19=0,0,V19/TrRail_act!V12*1000)</f>
        <v>3.0695436898597599</v>
      </c>
      <c r="W43" s="88">
        <f>IF(W19=0,0,W19/TrRail_act!W12*1000)</f>
        <v>2.7238118942632146</v>
      </c>
      <c r="X43" s="88">
        <f>IF(X19=0,0,X19/TrRail_act!X12*1000)</f>
        <v>2.7500040263421317</v>
      </c>
      <c r="Y43" s="88">
        <f>IF(Y19=0,0,Y19/TrRail_act!Y12*1000)</f>
        <v>2.3707117341461781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232194.71568434846</v>
      </c>
      <c r="C45" s="54">
        <f>IF(C10=0,0,1000000*C10/TrRail_act!C25)</f>
        <v>224635.54851659932</v>
      </c>
      <c r="D45" s="54">
        <f>IF(D10=0,0,1000000*D10/TrRail_act!D25)</f>
        <v>220705.79232778243</v>
      </c>
      <c r="E45" s="54">
        <f>IF(E10=0,0,1000000*E10/TrRail_act!E25)</f>
        <v>212106.1829414565</v>
      </c>
      <c r="F45" s="54">
        <f>IF(F10=0,0,1000000*F10/TrRail_act!F25)</f>
        <v>210975.09947884455</v>
      </c>
      <c r="G45" s="54">
        <f>IF(G10=0,0,1000000*G10/TrRail_act!G25)</f>
        <v>206299.1705588286</v>
      </c>
      <c r="H45" s="54">
        <f>IF(H10=0,0,1000000*H10/TrRail_act!H25)</f>
        <v>207441.32136881829</v>
      </c>
      <c r="I45" s="54">
        <f>IF(I10=0,0,1000000*I10/TrRail_act!I25)</f>
        <v>200938.81819633188</v>
      </c>
      <c r="J45" s="54">
        <f>IF(J10=0,0,1000000*J10/TrRail_act!J25)</f>
        <v>196087.57952519774</v>
      </c>
      <c r="K45" s="54">
        <f>IF(K10=0,0,1000000*K10/TrRail_act!K25)</f>
        <v>183991.30678220061</v>
      </c>
      <c r="L45" s="54">
        <f>IF(L10=0,0,1000000*L10/TrRail_act!L25)</f>
        <v>177207.84206943278</v>
      </c>
      <c r="M45" s="54">
        <f>IF(M10=0,0,1000000*M10/TrRail_act!M25)</f>
        <v>171752.21656059931</v>
      </c>
      <c r="N45" s="54">
        <f>IF(N10=0,0,1000000*N10/TrRail_act!N25)</f>
        <v>161600.05396375703</v>
      </c>
      <c r="O45" s="54">
        <f>IF(O10=0,0,1000000*O10/TrRail_act!O25)</f>
        <v>171294.03359834093</v>
      </c>
      <c r="P45" s="54">
        <f>IF(P10=0,0,1000000*P10/TrRail_act!P25)</f>
        <v>161551.16529364226</v>
      </c>
      <c r="Q45" s="54">
        <f>IF(Q10=0,0,1000000*Q10/TrRail_act!Q25)</f>
        <v>150769.69393454783</v>
      </c>
      <c r="R45" s="54">
        <f>IF(R10=0,0,1000000*R10/TrRail_act!R25)</f>
        <v>147529.44755294066</v>
      </c>
      <c r="S45" s="54">
        <f>IF(S10=0,0,1000000*S10/TrRail_act!S25)</f>
        <v>151223.50676455896</v>
      </c>
      <c r="T45" s="54">
        <f>IF(T10=0,0,1000000*T10/TrRail_act!T25)</f>
        <v>150673.9346540267</v>
      </c>
      <c r="U45" s="54">
        <f>IF(U10=0,0,1000000*U10/TrRail_act!U25)</f>
        <v>152175.5785668233</v>
      </c>
      <c r="V45" s="54">
        <f>IF(V10=0,0,1000000*V10/TrRail_act!V25)</f>
        <v>150416.33153846356</v>
      </c>
      <c r="W45" s="54">
        <f>IF(W10=0,0,1000000*W10/TrRail_act!W25)</f>
        <v>152690.40462152916</v>
      </c>
      <c r="X45" s="54">
        <f>IF(X10=0,0,1000000*X10/TrRail_act!X25)</f>
        <v>150214.66424237433</v>
      </c>
      <c r="Y45" s="54">
        <f>IF(Y10=0,0,1000000*Y10/TrRail_act!Y25)</f>
        <v>142894.36651945286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201097.81335778395</v>
      </c>
      <c r="C46" s="28">
        <f>IF(C11=0,0,1000000*C11/TrRail_act!C26)</f>
        <v>196789.20264917632</v>
      </c>
      <c r="D46" s="28">
        <f>IF(D11=0,0,1000000*D11/TrRail_act!D26)</f>
        <v>192519.49958522004</v>
      </c>
      <c r="E46" s="28">
        <f>IF(E11=0,0,1000000*E11/TrRail_act!E26)</f>
        <v>186506.34618588531</v>
      </c>
      <c r="F46" s="28">
        <f>IF(F11=0,0,1000000*F11/TrRail_act!F26)</f>
        <v>183972.19967360082</v>
      </c>
      <c r="G46" s="28">
        <f>IF(G11=0,0,1000000*G11/TrRail_act!G26)</f>
        <v>178925.27780545899</v>
      </c>
      <c r="H46" s="28">
        <f>IF(H11=0,0,1000000*H11/TrRail_act!H26)</f>
        <v>178151.53315564699</v>
      </c>
      <c r="I46" s="28">
        <f>IF(I11=0,0,1000000*I11/TrRail_act!I26)</f>
        <v>171950.80538901722</v>
      </c>
      <c r="J46" s="28">
        <f>IF(J11=0,0,1000000*J11/TrRail_act!J26)</f>
        <v>168842.78526393091</v>
      </c>
      <c r="K46" s="28">
        <f>IF(K11=0,0,1000000*K11/TrRail_act!K26)</f>
        <v>167754.41104929408</v>
      </c>
      <c r="L46" s="28">
        <f>IF(L11=0,0,1000000*L11/TrRail_act!L26)</f>
        <v>155520.10920962517</v>
      </c>
      <c r="M46" s="28">
        <f>IF(M11=0,0,1000000*M11/TrRail_act!M26)</f>
        <v>153906.75279032259</v>
      </c>
      <c r="N46" s="28">
        <f>IF(N11=0,0,1000000*N11/TrRail_act!N26)</f>
        <v>141948.52379241929</v>
      </c>
      <c r="O46" s="28">
        <f>IF(O11=0,0,1000000*O11/TrRail_act!O26)</f>
        <v>150897.5024131386</v>
      </c>
      <c r="P46" s="28">
        <f>IF(P11=0,0,1000000*P11/TrRail_act!P26)</f>
        <v>140503.55365649477</v>
      </c>
      <c r="Q46" s="28">
        <f>IF(Q11=0,0,1000000*Q11/TrRail_act!Q26)</f>
        <v>131212.05708566093</v>
      </c>
      <c r="R46" s="28">
        <f>IF(R11=0,0,1000000*R11/TrRail_act!R26)</f>
        <v>128825.73411198254</v>
      </c>
      <c r="S46" s="28">
        <f>IF(S11=0,0,1000000*S11/TrRail_act!S26)</f>
        <v>128509.65307358003</v>
      </c>
      <c r="T46" s="28">
        <f>IF(T11=0,0,1000000*T11/TrRail_act!T26)</f>
        <v>129958.10089789938</v>
      </c>
      <c r="U46" s="28">
        <f>IF(U11=0,0,1000000*U11/TrRail_act!U26)</f>
        <v>130940.20654765566</v>
      </c>
      <c r="V46" s="28">
        <f>IF(V11=0,0,1000000*V11/TrRail_act!V26)</f>
        <v>121059.6862345328</v>
      </c>
      <c r="W46" s="28">
        <f>IF(W11=0,0,1000000*W11/TrRail_act!W26)</f>
        <v>127243.15748877834</v>
      </c>
      <c r="X46" s="28">
        <f>IF(X11=0,0,1000000*X11/TrRail_act!X26)</f>
        <v>123633.56980405985</v>
      </c>
      <c r="Y46" s="28">
        <f>IF(Y11=0,0,1000000*Y11/TrRail_act!Y26)</f>
        <v>125977.90048071994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52212.275440555735</v>
      </c>
      <c r="C47" s="108">
        <f>IF(C12=0,0,1000000*C12/TrRail_act!C27)</f>
        <v>51741.682211709078</v>
      </c>
      <c r="D47" s="108">
        <f>IF(D12=0,0,1000000*D12/TrRail_act!D27)</f>
        <v>50567.57113862702</v>
      </c>
      <c r="E47" s="108">
        <f>IF(E12=0,0,1000000*E12/TrRail_act!E27)</f>
        <v>49978.97984821588</v>
      </c>
      <c r="F47" s="108">
        <f>IF(F12=0,0,1000000*F12/TrRail_act!F27)</f>
        <v>49544.078078962542</v>
      </c>
      <c r="G47" s="108">
        <f>IF(G12=0,0,1000000*G12/TrRail_act!G27)</f>
        <v>49127.521045920257</v>
      </c>
      <c r="H47" s="108">
        <f>IF(H12=0,0,1000000*H12/TrRail_act!H27)</f>
        <v>48660.04128262552</v>
      </c>
      <c r="I47" s="108">
        <f>IF(I12=0,0,1000000*I12/TrRail_act!I27)</f>
        <v>48203.81100748109</v>
      </c>
      <c r="J47" s="108">
        <f>IF(J12=0,0,1000000*J12/TrRail_act!J27)</f>
        <v>47802.156598296438</v>
      </c>
      <c r="K47" s="108">
        <f>IF(K12=0,0,1000000*K12/TrRail_act!K27)</f>
        <v>47440.484777632344</v>
      </c>
      <c r="L47" s="108">
        <f>IF(L12=0,0,1000000*L12/TrRail_act!L27)</f>
        <v>46947.333129781146</v>
      </c>
      <c r="M47" s="108">
        <f>IF(M12=0,0,1000000*M12/TrRail_act!M27)</f>
        <v>46752.546565106648</v>
      </c>
      <c r="N47" s="108">
        <f>IF(N12=0,0,1000000*N12/TrRail_act!N27)</f>
        <v>46337.299466472607</v>
      </c>
      <c r="O47" s="108">
        <f>IF(O12=0,0,1000000*O12/TrRail_act!O27)</f>
        <v>45583.15798252917</v>
      </c>
      <c r="P47" s="108">
        <f>IF(P12=0,0,1000000*P12/TrRail_act!P27)</f>
        <v>45351.595115111901</v>
      </c>
      <c r="Q47" s="108">
        <f>IF(Q12=0,0,1000000*Q12/TrRail_act!Q27)</f>
        <v>45162.550282733995</v>
      </c>
      <c r="R47" s="108">
        <f>IF(R12=0,0,1000000*R12/TrRail_act!R27)</f>
        <v>44571.071112672944</v>
      </c>
      <c r="S47" s="108">
        <f>IF(S12=0,0,1000000*S12/TrRail_act!S27)</f>
        <v>44132.550874545166</v>
      </c>
      <c r="T47" s="108">
        <f>IF(T12=0,0,1000000*T12/TrRail_act!T27)</f>
        <v>39670.06751466151</v>
      </c>
      <c r="U47" s="108">
        <f>IF(U12=0,0,1000000*U12/TrRail_act!U27)</f>
        <v>43563.53390747388</v>
      </c>
      <c r="V47" s="108">
        <f>IF(V12=0,0,1000000*V12/TrRail_act!V27)</f>
        <v>43382.19816782156</v>
      </c>
      <c r="W47" s="108">
        <f>IF(W12=0,0,1000000*W12/TrRail_act!W27)</f>
        <v>43246.691934619208</v>
      </c>
      <c r="X47" s="108">
        <f>IF(X12=0,0,1000000*X12/TrRail_act!X27)</f>
        <v>43145.340129497017</v>
      </c>
      <c r="Y47" s="108">
        <f>IF(Y12=0,0,1000000*Y12/TrRail_act!Y27)</f>
        <v>33079.928652444214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300624.99558211531</v>
      </c>
      <c r="C48" s="110">
        <f>IF(C13=0,0,1000000*C13/TrRail_act!C28)</f>
        <v>291418.85997665575</v>
      </c>
      <c r="D48" s="110">
        <f>IF(D13=0,0,1000000*D13/TrRail_act!D28)</f>
        <v>282361.01338761224</v>
      </c>
      <c r="E48" s="110">
        <f>IF(E13=0,0,1000000*E13/TrRail_act!E28)</f>
        <v>271181.42758462584</v>
      </c>
      <c r="F48" s="110">
        <f>IF(F13=0,0,1000000*F13/TrRail_act!F28)</f>
        <v>263808.4145880022</v>
      </c>
      <c r="G48" s="110">
        <f>IF(G13=0,0,1000000*G13/TrRail_act!G28)</f>
        <v>254340.45847859612</v>
      </c>
      <c r="H48" s="110">
        <f>IF(H13=0,0,1000000*H13/TrRail_act!H28)</f>
        <v>248243.62398588765</v>
      </c>
      <c r="I48" s="110">
        <f>IF(I13=0,0,1000000*I13/TrRail_act!I28)</f>
        <v>241448.94575926007</v>
      </c>
      <c r="J48" s="110">
        <f>IF(J13=0,0,1000000*J13/TrRail_act!J28)</f>
        <v>238820.72553650776</v>
      </c>
      <c r="K48" s="110">
        <f>IF(K13=0,0,1000000*K13/TrRail_act!K28)</f>
        <v>236258.02411764779</v>
      </c>
      <c r="L48" s="110">
        <f>IF(L13=0,0,1000000*L13/TrRail_act!L28)</f>
        <v>221169.15054317573</v>
      </c>
      <c r="M48" s="110">
        <f>IF(M13=0,0,1000000*M13/TrRail_act!M28)</f>
        <v>223584.51134316809</v>
      </c>
      <c r="N48" s="110">
        <f>IF(N13=0,0,1000000*N13/TrRail_act!N28)</f>
        <v>209493.7462447354</v>
      </c>
      <c r="O48" s="110">
        <f>IF(O13=0,0,1000000*O13/TrRail_act!O28)</f>
        <v>210983.7900328518</v>
      </c>
      <c r="P48" s="110">
        <f>IF(P13=0,0,1000000*P13/TrRail_act!P28)</f>
        <v>203087.00537581107</v>
      </c>
      <c r="Q48" s="110">
        <f>IF(Q13=0,0,1000000*Q13/TrRail_act!Q28)</f>
        <v>198701.65730326233</v>
      </c>
      <c r="R48" s="110">
        <f>IF(R13=0,0,1000000*R13/TrRail_act!R28)</f>
        <v>197684.27935324717</v>
      </c>
      <c r="S48" s="110">
        <f>IF(S13=0,0,1000000*S13/TrRail_act!S28)</f>
        <v>196246.8215238844</v>
      </c>
      <c r="T48" s="110">
        <f>IF(T13=0,0,1000000*T13/TrRail_act!T28)</f>
        <v>193057.07899778479</v>
      </c>
      <c r="U48" s="110">
        <f>IF(U13=0,0,1000000*U13/TrRail_act!U28)</f>
        <v>190791.17835469442</v>
      </c>
      <c r="V48" s="110">
        <f>IF(V13=0,0,1000000*V13/TrRail_act!V28)</f>
        <v>176832.04484879278</v>
      </c>
      <c r="W48" s="110">
        <f>IF(W13=0,0,1000000*W13/TrRail_act!W28)</f>
        <v>186246.66788815588</v>
      </c>
      <c r="X48" s="110">
        <f>IF(X13=0,0,1000000*X13/TrRail_act!X28)</f>
        <v>185295.84171691103</v>
      </c>
      <c r="Y48" s="110">
        <f>IF(Y13=0,0,1000000*Y13/TrRail_act!Y28)</f>
        <v>184968.85981985365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361268.84281685</v>
      </c>
      <c r="C49" s="84">
        <f>IF(C14=0,0,1000000*C14/TrRail_act!C29)</f>
        <v>347339.95302984648</v>
      </c>
      <c r="D49" s="84">
        <f>IF(D14=0,0,1000000*D14/TrRail_act!D29)</f>
        <v>328328.54483175609</v>
      </c>
      <c r="E49" s="84">
        <f>IF(E14=0,0,1000000*E14/TrRail_act!E29)</f>
        <v>317834.140925791</v>
      </c>
      <c r="F49" s="84">
        <f>IF(F14=0,0,1000000*F14/TrRail_act!F29)</f>
        <v>315714.95499854727</v>
      </c>
      <c r="G49" s="84">
        <f>IF(G14=0,0,1000000*G14/TrRail_act!G29)</f>
        <v>303034.8094163363</v>
      </c>
      <c r="H49" s="84">
        <f>IF(H14=0,0,1000000*H14/TrRail_act!H29)</f>
        <v>300099.30161021103</v>
      </c>
      <c r="I49" s="84">
        <f>IF(I14=0,0,1000000*I14/TrRail_act!I29)</f>
        <v>287440.35584806342</v>
      </c>
      <c r="J49" s="84">
        <f>IF(J14=0,0,1000000*J14/TrRail_act!J29)</f>
        <v>284179.33666371601</v>
      </c>
      <c r="K49" s="84">
        <f>IF(K14=0,0,1000000*K14/TrRail_act!K29)</f>
        <v>283100.35749144177</v>
      </c>
      <c r="L49" s="84">
        <f>IF(L14=0,0,1000000*L14/TrRail_act!L29)</f>
        <v>273066.29862887692</v>
      </c>
      <c r="M49" s="84">
        <f>IF(M14=0,0,1000000*M14/TrRail_act!M29)</f>
        <v>265350.08103633084</v>
      </c>
      <c r="N49" s="84">
        <f>IF(N14=0,0,1000000*N14/TrRail_act!N29)</f>
        <v>247726.77576426012</v>
      </c>
      <c r="O49" s="84">
        <f>IF(O14=0,0,1000000*O14/TrRail_act!O29)</f>
        <v>253810.7306700825</v>
      </c>
      <c r="P49" s="84">
        <f>IF(P14=0,0,1000000*P14/TrRail_act!P29)</f>
        <v>249551.80773524742</v>
      </c>
      <c r="Q49" s="84">
        <f>IF(Q14=0,0,1000000*Q14/TrRail_act!Q29)</f>
        <v>229965.17038650301</v>
      </c>
      <c r="R49" s="84">
        <f>IF(R14=0,0,1000000*R14/TrRail_act!R29)</f>
        <v>243101.19499205778</v>
      </c>
      <c r="S49" s="84">
        <f>IF(S14=0,0,1000000*S14/TrRail_act!S29)</f>
        <v>239507.0168182551</v>
      </c>
      <c r="T49" s="84">
        <f>IF(T14=0,0,1000000*T14/TrRail_act!T29)</f>
        <v>236846.29811869364</v>
      </c>
      <c r="U49" s="84">
        <f>IF(U14=0,0,1000000*U14/TrRail_act!U29)</f>
        <v>234870.17601340279</v>
      </c>
      <c r="V49" s="84">
        <f>IF(V14=0,0,1000000*V14/TrRail_act!V29)</f>
        <v>212923.8246847727</v>
      </c>
      <c r="W49" s="84">
        <f>IF(W14=0,0,1000000*W14/TrRail_act!W29)</f>
        <v>232301.51370354142</v>
      </c>
      <c r="X49" s="84">
        <f>IF(X14=0,0,1000000*X14/TrRail_act!X29)</f>
        <v>231481.85209959114</v>
      </c>
      <c r="Y49" s="84">
        <f>IF(Y14=0,0,1000000*Y14/TrRail_act!Y29)</f>
        <v>230869.00647566601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241049.6473041914</v>
      </c>
      <c r="C50" s="84">
        <f>IF(C15=0,0,1000000*C15/TrRail_act!C30)</f>
        <v>239661.27443913103</v>
      </c>
      <c r="D50" s="84">
        <f>IF(D15=0,0,1000000*D15/TrRail_act!D30)</f>
        <v>238006.92473760626</v>
      </c>
      <c r="E50" s="84">
        <f>IF(E15=0,0,1000000*E15/TrRail_act!E30)</f>
        <v>229760.87727352345</v>
      </c>
      <c r="F50" s="84">
        <f>IF(F15=0,0,1000000*F15/TrRail_act!F30)</f>
        <v>223453.96330675454</v>
      </c>
      <c r="G50" s="84">
        <f>IF(G15=0,0,1000000*G15/TrRail_act!G30)</f>
        <v>220231.65933862375</v>
      </c>
      <c r="H50" s="84">
        <f>IF(H15=0,0,1000000*H15/TrRail_act!H30)</f>
        <v>217979.75356559662</v>
      </c>
      <c r="I50" s="84">
        <f>IF(I15=0,0,1000000*I15/TrRail_act!I30)</f>
        <v>215244.97204781062</v>
      </c>
      <c r="J50" s="84">
        <f>IF(J15=0,0,1000000*J15/TrRail_act!J30)</f>
        <v>211726.7071248322</v>
      </c>
      <c r="K50" s="84">
        <f>IF(K15=0,0,1000000*K15/TrRail_act!K30)</f>
        <v>208470.49890898392</v>
      </c>
      <c r="L50" s="84">
        <f>IF(L15=0,0,1000000*L15/TrRail_act!L30)</f>
        <v>191491.04128336784</v>
      </c>
      <c r="M50" s="84">
        <f>IF(M15=0,0,1000000*M15/TrRail_act!M30)</f>
        <v>200193.01086502348</v>
      </c>
      <c r="N50" s="84">
        <f>IF(N15=0,0,1000000*N15/TrRail_act!N30)</f>
        <v>189302.10482640882</v>
      </c>
      <c r="O50" s="84">
        <f>IF(O15=0,0,1000000*O15/TrRail_act!O30)</f>
        <v>190951.86483151556</v>
      </c>
      <c r="P50" s="84">
        <f>IF(P15=0,0,1000000*P15/TrRail_act!P30)</f>
        <v>178161.29481653371</v>
      </c>
      <c r="Q50" s="84">
        <f>IF(Q15=0,0,1000000*Q15/TrRail_act!Q30)</f>
        <v>183554.84031366979</v>
      </c>
      <c r="R50" s="84">
        <f>IF(R15=0,0,1000000*R15/TrRail_act!R30)</f>
        <v>177703.1664908774</v>
      </c>
      <c r="S50" s="84">
        <f>IF(S15=0,0,1000000*S15/TrRail_act!S30)</f>
        <v>175908.18489254103</v>
      </c>
      <c r="T50" s="84">
        <f>IF(T15=0,0,1000000*T15/TrRail_act!T30)</f>
        <v>174573.85727834218</v>
      </c>
      <c r="U50" s="84">
        <f>IF(U15=0,0,1000000*U15/TrRail_act!U30)</f>
        <v>173579.75835434967</v>
      </c>
      <c r="V50" s="84">
        <f>IF(V15=0,0,1000000*V15/TrRail_act!V30)</f>
        <v>164076.64413750303</v>
      </c>
      <c r="W50" s="84">
        <f>IF(W15=0,0,1000000*W15/TrRail_act!W30)</f>
        <v>172283.58842220844</v>
      </c>
      <c r="X50" s="84">
        <f>IF(X15=0,0,1000000*X15/TrRail_act!X30)</f>
        <v>171869.02175251479</v>
      </c>
      <c r="Y50" s="84">
        <f>IF(Y15=0,0,1000000*Y15/TrRail_act!Y30)</f>
        <v>171558.75112871107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515478.40352552669</v>
      </c>
      <c r="C52" s="28">
        <f>IF(C17=0,0,1000000*C17/TrRail_act!C32)</f>
        <v>499315.52661497577</v>
      </c>
      <c r="D52" s="28">
        <f>IF(D17=0,0,1000000*D17/TrRail_act!D32)</f>
        <v>490015.26869553683</v>
      </c>
      <c r="E52" s="28">
        <f>IF(E17=0,0,1000000*E17/TrRail_act!E32)</f>
        <v>468372.76372828119</v>
      </c>
      <c r="F52" s="28">
        <f>IF(F17=0,0,1000000*F17/TrRail_act!F32)</f>
        <v>452728.02252559294</v>
      </c>
      <c r="G52" s="28">
        <f>IF(G17=0,0,1000000*G17/TrRail_act!G32)</f>
        <v>442084.69480568921</v>
      </c>
      <c r="H52" s="28">
        <f>IF(H17=0,0,1000000*H17/TrRail_act!H32)</f>
        <v>434463.32035683992</v>
      </c>
      <c r="I52" s="28">
        <f>IF(I17=0,0,1000000*I17/TrRail_act!I32)</f>
        <v>419390.26067900244</v>
      </c>
      <c r="J52" s="28">
        <f>IF(J17=0,0,1000000*J17/TrRail_act!J32)</f>
        <v>408069.95997389522</v>
      </c>
      <c r="K52" s="28">
        <f>IF(K17=0,0,1000000*K17/TrRail_act!K32)</f>
        <v>335202.85827354214</v>
      </c>
      <c r="L52" s="28">
        <f>IF(L17=0,0,1000000*L17/TrRail_act!L32)</f>
        <v>385214.84710016689</v>
      </c>
      <c r="M52" s="28">
        <f>IF(M17=0,0,1000000*M17/TrRail_act!M32)</f>
        <v>330997.8136041399</v>
      </c>
      <c r="N52" s="28">
        <f>IF(N17=0,0,1000000*N17/TrRail_act!N32)</f>
        <v>341591.44551670161</v>
      </c>
      <c r="O52" s="28">
        <f>IF(O17=0,0,1000000*O17/TrRail_act!O32)</f>
        <v>364166.6279582117</v>
      </c>
      <c r="P52" s="28">
        <f>IF(P17=0,0,1000000*P17/TrRail_act!P32)</f>
        <v>359751.76447939628</v>
      </c>
      <c r="Q52" s="28">
        <f>IF(Q17=0,0,1000000*Q17/TrRail_act!Q32)</f>
        <v>349897.91502522881</v>
      </c>
      <c r="R52" s="28">
        <f>IF(R17=0,0,1000000*R17/TrRail_act!R32)</f>
        <v>338822.7176801195</v>
      </c>
      <c r="S52" s="28">
        <f>IF(S17=0,0,1000000*S17/TrRail_act!S32)</f>
        <v>333086.93519335409</v>
      </c>
      <c r="T52" s="28">
        <f>IF(T17=0,0,1000000*T17/TrRail_act!T32)</f>
        <v>325296.60727737704</v>
      </c>
      <c r="U52" s="28">
        <f>IF(U17=0,0,1000000*U17/TrRail_act!U32)</f>
        <v>333683.43225721334</v>
      </c>
      <c r="V52" s="28">
        <f>IF(V17=0,0,1000000*V17/TrRail_act!V32)</f>
        <v>331810.13295709796</v>
      </c>
      <c r="W52" s="28">
        <f>IF(W17=0,0,1000000*W17/TrRail_act!W32)</f>
        <v>316091.27774149436</v>
      </c>
      <c r="X52" s="28">
        <f>IF(X17=0,0,1000000*X17/TrRail_act!X32)</f>
        <v>335535.76853776455</v>
      </c>
      <c r="Y52" s="28">
        <f>IF(Y17=0,0,1000000*Y17/TrRail_act!Y32)</f>
        <v>272724.51116800756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900393.52503769775</v>
      </c>
      <c r="C53" s="84">
        <f>IF(C18=0,0,1000000*C18/TrRail_act!C33)</f>
        <v>851797.52960302331</v>
      </c>
      <c r="D53" s="84">
        <f>IF(D18=0,0,1000000*D18/TrRail_act!D33)</f>
        <v>834633.24829660286</v>
      </c>
      <c r="E53" s="84">
        <f>IF(E18=0,0,1000000*E18/TrRail_act!E33)</f>
        <v>824902.55631326407</v>
      </c>
      <c r="F53" s="84">
        <f>IF(F18=0,0,1000000*F18/TrRail_act!F33)</f>
        <v>820572.65128187556</v>
      </c>
      <c r="G53" s="84">
        <f>IF(G18=0,0,1000000*G18/TrRail_act!G33)</f>
        <v>810774.19219413027</v>
      </c>
      <c r="H53" s="84">
        <f>IF(H18=0,0,1000000*H18/TrRail_act!H33)</f>
        <v>803790.99673987424</v>
      </c>
      <c r="I53" s="84">
        <f>IF(I18=0,0,1000000*I18/TrRail_act!I33)</f>
        <v>798695.10433749238</v>
      </c>
      <c r="J53" s="84">
        <f>IF(J18=0,0,1000000*J18/TrRail_act!J33)</f>
        <v>790673.65405798401</v>
      </c>
      <c r="K53" s="84">
        <f>IF(K18=0,0,1000000*K18/TrRail_act!K33)</f>
        <v>642551.19374042994</v>
      </c>
      <c r="L53" s="84">
        <f>IF(L18=0,0,1000000*L18/TrRail_act!L33)</f>
        <v>736188.07407502993</v>
      </c>
      <c r="M53" s="84">
        <f>IF(M18=0,0,1000000*M18/TrRail_act!M33)</f>
        <v>359434.07122489408</v>
      </c>
      <c r="N53" s="84">
        <f>IF(N18=0,0,1000000*N18/TrRail_act!N33)</f>
        <v>766121.80873871199</v>
      </c>
      <c r="O53" s="84">
        <f>IF(O18=0,0,1000000*O18/TrRail_act!O33)</f>
        <v>761448.94590948604</v>
      </c>
      <c r="P53" s="84">
        <f>IF(P18=0,0,1000000*P18/TrRail_act!P33)</f>
        <v>755707.96541151369</v>
      </c>
      <c r="Q53" s="84">
        <f>IF(Q18=0,0,1000000*Q18/TrRail_act!Q33)</f>
        <v>752261.90051531151</v>
      </c>
      <c r="R53" s="84">
        <f>IF(R18=0,0,1000000*R18/TrRail_act!R33)</f>
        <v>748188.28817204665</v>
      </c>
      <c r="S53" s="84">
        <f>IF(S18=0,0,1000000*S18/TrRail_act!S33)</f>
        <v>745147.595658754</v>
      </c>
      <c r="T53" s="84">
        <f>IF(T18=0,0,1000000*T18/TrRail_act!T33)</f>
        <v>742875.16553048312</v>
      </c>
      <c r="U53" s="84">
        <f>IF(U18=0,0,1000000*U18/TrRail_act!U33)</f>
        <v>741175.3389384927</v>
      </c>
      <c r="V53" s="84">
        <f>IF(V18=0,0,1000000*V18/TrRail_act!V33)</f>
        <v>739903.11697700457</v>
      </c>
      <c r="W53" s="84">
        <f>IF(W18=0,0,1000000*W18/TrRail_act!W33)</f>
        <v>738950.34308240248</v>
      </c>
      <c r="X53" s="84">
        <f>IF(X18=0,0,1000000*X18/TrRail_act!X33)</f>
        <v>738236.55298976158</v>
      </c>
      <c r="Y53" s="84">
        <f>IF(Y18=0,0,1000000*Y18/TrRail_act!Y33)</f>
        <v>557994.86908658035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413952.74431826081</v>
      </c>
      <c r="C54" s="86">
        <f>IF(C19=0,0,1000000*C19/TrRail_act!C34)</f>
        <v>411568.496100866</v>
      </c>
      <c r="D54" s="86">
        <f>IF(D19=0,0,1000000*D19/TrRail_act!D34)</f>
        <v>408727.49582298967</v>
      </c>
      <c r="E54" s="86">
        <f>IF(E19=0,0,1000000*E19/TrRail_act!E34)</f>
        <v>394566.62138496782</v>
      </c>
      <c r="F54" s="86">
        <f>IF(F19=0,0,1000000*F19/TrRail_act!F34)</f>
        <v>383735.80834725383</v>
      </c>
      <c r="G54" s="86">
        <f>IF(G19=0,0,1000000*G19/TrRail_act!G34)</f>
        <v>374420.14606412442</v>
      </c>
      <c r="H54" s="86">
        <f>IF(H19=0,0,1000000*H19/TrRail_act!H34)</f>
        <v>363216.86461540119</v>
      </c>
      <c r="I54" s="86">
        <f>IF(I19=0,0,1000000*I19/TrRail_act!I34)</f>
        <v>351522.59893077565</v>
      </c>
      <c r="J54" s="86">
        <f>IF(J19=0,0,1000000*J19/TrRail_act!J34)</f>
        <v>344662.77223194478</v>
      </c>
      <c r="K54" s="86">
        <f>IF(K19=0,0,1000000*K19/TrRail_act!K34)</f>
        <v>286605.36999624211</v>
      </c>
      <c r="L54" s="86">
        <f>IF(L19=0,0,1000000*L19/TrRail_act!L34)</f>
        <v>333026.13003768172</v>
      </c>
      <c r="M54" s="86">
        <f>IF(M19=0,0,1000000*M19/TrRail_act!M34)</f>
        <v>327634.44664853695</v>
      </c>
      <c r="N54" s="86">
        <f>IF(N19=0,0,1000000*N19/TrRail_act!N34)</f>
        <v>293570.13953453145</v>
      </c>
      <c r="O54" s="86">
        <f>IF(O19=0,0,1000000*O19/TrRail_act!O34)</f>
        <v>314998.83257360052</v>
      </c>
      <c r="P54" s="86">
        <f>IF(P19=0,0,1000000*P19/TrRail_act!P34)</f>
        <v>309006.4146023675</v>
      </c>
      <c r="Q54" s="86">
        <f>IF(Q19=0,0,1000000*Q19/TrRail_act!Q34)</f>
        <v>302796.52061374986</v>
      </c>
      <c r="R54" s="86">
        <f>IF(R19=0,0,1000000*R19/TrRail_act!R34)</f>
        <v>296730.03069179709</v>
      </c>
      <c r="S54" s="86">
        <f>IF(S19=0,0,1000000*S19/TrRail_act!S34)</f>
        <v>292260.06144759222</v>
      </c>
      <c r="T54" s="86">
        <f>IF(T19=0,0,1000000*T19/TrRail_act!T34)</f>
        <v>276385.25394556369</v>
      </c>
      <c r="U54" s="86">
        <f>IF(U19=0,0,1000000*U19/TrRail_act!U34)</f>
        <v>286495.2487184169</v>
      </c>
      <c r="V54" s="86">
        <f>IF(V19=0,0,1000000*V19/TrRail_act!V34)</f>
        <v>284666.53291727509</v>
      </c>
      <c r="W54" s="86">
        <f>IF(W19=0,0,1000000*W19/TrRail_act!W34)</f>
        <v>261334.04298845015</v>
      </c>
      <c r="X54" s="86">
        <f>IF(X19=0,0,1000000*X19/TrRail_act!X34)</f>
        <v>271541.68990346271</v>
      </c>
      <c r="Y54" s="86">
        <f>IF(Y19=0,0,1000000*Y19/TrRail_act!Y34)</f>
        <v>229289.75832024668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0.78040646617330633</v>
      </c>
      <c r="C57" s="31">
        <f t="shared" ref="C57:V57" si="18">IF(C11=0,0,C11/C$10)</f>
        <v>0.79540188440622528</v>
      </c>
      <c r="D57" s="31">
        <f t="shared" si="18"/>
        <v>0.78964489991796205</v>
      </c>
      <c r="E57" s="31">
        <f t="shared" si="18"/>
        <v>0.7994456139632663</v>
      </c>
      <c r="F57" s="31">
        <f t="shared" si="18"/>
        <v>0.78439506408718762</v>
      </c>
      <c r="G57" s="31">
        <f t="shared" si="18"/>
        <v>0.77709200596551697</v>
      </c>
      <c r="H57" s="31">
        <f t="shared" si="18"/>
        <v>0.76066539375649977</v>
      </c>
      <c r="I57" s="31">
        <f t="shared" si="18"/>
        <v>0.75548585339297181</v>
      </c>
      <c r="J57" s="31">
        <f t="shared" si="18"/>
        <v>0.76299497112920989</v>
      </c>
      <c r="K57" s="31">
        <f t="shared" si="18"/>
        <v>0.82334241608346503</v>
      </c>
      <c r="L57" s="31">
        <f t="shared" si="18"/>
        <v>0.79474998872603519</v>
      </c>
      <c r="M57" s="31">
        <f t="shared" si="18"/>
        <v>0.80579787669222913</v>
      </c>
      <c r="N57" s="31">
        <f t="shared" si="18"/>
        <v>0.79193073162345917</v>
      </c>
      <c r="O57" s="31">
        <f t="shared" si="18"/>
        <v>0.79667712871605123</v>
      </c>
      <c r="P57" s="31">
        <f t="shared" si="18"/>
        <v>0.78622367769527879</v>
      </c>
      <c r="Q57" s="31">
        <f t="shared" si="18"/>
        <v>0.79244988403940664</v>
      </c>
      <c r="R57" s="31">
        <f t="shared" si="18"/>
        <v>0.79544571147325949</v>
      </c>
      <c r="S57" s="31">
        <f t="shared" si="18"/>
        <v>0.75544772171488084</v>
      </c>
      <c r="T57" s="31">
        <f t="shared" si="18"/>
        <v>0.77104192826495332</v>
      </c>
      <c r="U57" s="31">
        <f t="shared" si="18"/>
        <v>0.77033056386912024</v>
      </c>
      <c r="V57" s="31">
        <f t="shared" si="18"/>
        <v>0.69272121728654745</v>
      </c>
      <c r="W57" s="31">
        <f t="shared" ref="W57:Y57" si="19">IF(W11=0,0,W11/W$10)</f>
        <v>0.72104836756555712</v>
      </c>
      <c r="X57" s="31">
        <f t="shared" si="19"/>
        <v>0.71980273792506577</v>
      </c>
      <c r="Y57" s="31">
        <f t="shared" si="19"/>
        <v>0.77998584323055231</v>
      </c>
      <c r="DA57" s="173"/>
    </row>
    <row r="58" spans="1:105" ht="11.45" customHeight="1" x14ac:dyDescent="0.25">
      <c r="A58" s="107" t="s">
        <v>23</v>
      </c>
      <c r="B58" s="123">
        <f t="shared" si="15"/>
        <v>8.1180927619887211E-2</v>
      </c>
      <c r="C58" s="123">
        <f t="shared" ref="C58:V58" si="20">IF(C12=0,0,C12/C$10)</f>
        <v>8.257079746893721E-2</v>
      </c>
      <c r="D58" s="123">
        <f t="shared" si="20"/>
        <v>8.0390572356363446E-2</v>
      </c>
      <c r="E58" s="123">
        <f t="shared" si="20"/>
        <v>8.2006521721753101E-2</v>
      </c>
      <c r="F58" s="123">
        <f t="shared" si="20"/>
        <v>7.8709010154494594E-2</v>
      </c>
      <c r="G58" s="123">
        <f t="shared" si="20"/>
        <v>7.8411476257313761E-2</v>
      </c>
      <c r="H58" s="123">
        <f t="shared" si="20"/>
        <v>7.2966038530994926E-2</v>
      </c>
      <c r="I58" s="123">
        <f t="shared" si="20"/>
        <v>7.6167221354357342E-2</v>
      </c>
      <c r="J58" s="123">
        <f t="shared" si="20"/>
        <v>7.9135659548385445E-2</v>
      </c>
      <c r="K58" s="123">
        <f t="shared" si="20"/>
        <v>8.4474728281407577E-2</v>
      </c>
      <c r="L58" s="123">
        <f t="shared" si="20"/>
        <v>9.0402565124588108E-2</v>
      </c>
      <c r="M58" s="123">
        <f t="shared" si="20"/>
        <v>9.6451084212514929E-2</v>
      </c>
      <c r="N58" s="123">
        <f t="shared" si="20"/>
        <v>0.10702307703862403</v>
      </c>
      <c r="O58" s="123">
        <f t="shared" si="20"/>
        <v>8.7426464304149021E-2</v>
      </c>
      <c r="P58" s="123">
        <f t="shared" si="20"/>
        <v>0.1006889216334048</v>
      </c>
      <c r="Q58" s="123">
        <f t="shared" si="20"/>
        <v>0.11989314847058545</v>
      </c>
      <c r="R58" s="123">
        <f t="shared" si="20"/>
        <v>0.12376737398678261</v>
      </c>
      <c r="S58" s="123">
        <f t="shared" si="20"/>
        <v>0.1155273400325235</v>
      </c>
      <c r="T58" s="123">
        <f t="shared" si="20"/>
        <v>9.6821391119189165E-2</v>
      </c>
      <c r="U58" s="123">
        <f t="shared" si="20"/>
        <v>0.10418592534987053</v>
      </c>
      <c r="V58" s="123">
        <f t="shared" si="20"/>
        <v>0.10374601685360571</v>
      </c>
      <c r="W58" s="123">
        <f t="shared" ref="W58:Y58" si="21">IF(W12=0,0,W12/W$10)</f>
        <v>0.10111713112101731</v>
      </c>
      <c r="X58" s="123">
        <f t="shared" si="21"/>
        <v>0.10896376667291946</v>
      </c>
      <c r="Y58" s="123">
        <f t="shared" si="21"/>
        <v>7.9545616334463748E-2</v>
      </c>
      <c r="DA58" s="203"/>
    </row>
    <row r="59" spans="1:105" ht="11.45" customHeight="1" x14ac:dyDescent="0.25">
      <c r="A59" s="109" t="s">
        <v>24</v>
      </c>
      <c r="B59" s="124">
        <f t="shared" si="15"/>
        <v>0.69922553855341907</v>
      </c>
      <c r="C59" s="124">
        <f t="shared" ref="C59:V59" si="22">IF(C13=0,0,C13/C$10)</f>
        <v>0.71283108693728803</v>
      </c>
      <c r="D59" s="124">
        <f t="shared" si="22"/>
        <v>0.70925432756159856</v>
      </c>
      <c r="E59" s="124">
        <f t="shared" si="22"/>
        <v>0.71743909224151325</v>
      </c>
      <c r="F59" s="124">
        <f t="shared" si="22"/>
        <v>0.70568605393269312</v>
      </c>
      <c r="G59" s="124">
        <f t="shared" si="22"/>
        <v>0.69868052970820316</v>
      </c>
      <c r="H59" s="124">
        <f t="shared" si="22"/>
        <v>0.68769935522550485</v>
      </c>
      <c r="I59" s="124">
        <f t="shared" si="22"/>
        <v>0.67931863203861442</v>
      </c>
      <c r="J59" s="124">
        <f t="shared" si="22"/>
        <v>0.68385931158082447</v>
      </c>
      <c r="K59" s="124">
        <f t="shared" si="22"/>
        <v>0.73886768780205747</v>
      </c>
      <c r="L59" s="124">
        <f t="shared" si="22"/>
        <v>0.70434742360144709</v>
      </c>
      <c r="M59" s="124">
        <f t="shared" si="22"/>
        <v>0.70934679247971422</v>
      </c>
      <c r="N59" s="124">
        <f t="shared" si="22"/>
        <v>0.68490765458483505</v>
      </c>
      <c r="O59" s="124">
        <f t="shared" si="22"/>
        <v>0.70925066441190221</v>
      </c>
      <c r="P59" s="124">
        <f t="shared" si="22"/>
        <v>0.68553475606187397</v>
      </c>
      <c r="Q59" s="124">
        <f t="shared" si="22"/>
        <v>0.67255673556882112</v>
      </c>
      <c r="R59" s="124">
        <f t="shared" si="22"/>
        <v>0.67167833748647687</v>
      </c>
      <c r="S59" s="124">
        <f t="shared" si="22"/>
        <v>0.63992038168235743</v>
      </c>
      <c r="T59" s="124">
        <f t="shared" si="22"/>
        <v>0.67422053714576424</v>
      </c>
      <c r="U59" s="124">
        <f t="shared" si="22"/>
        <v>0.66614463851924965</v>
      </c>
      <c r="V59" s="124">
        <f t="shared" si="22"/>
        <v>0.58897520043294171</v>
      </c>
      <c r="W59" s="124">
        <f t="shared" ref="W59:Y59" si="23">IF(W13=0,0,W13/W$10)</f>
        <v>0.61993123644453996</v>
      </c>
      <c r="X59" s="124">
        <f t="shared" si="23"/>
        <v>0.61083897125214626</v>
      </c>
      <c r="Y59" s="124">
        <f t="shared" si="23"/>
        <v>0.70044022689608865</v>
      </c>
      <c r="DA59" s="176"/>
    </row>
    <row r="60" spans="1:105" ht="11.45" customHeight="1" x14ac:dyDescent="0.25">
      <c r="A60" s="111" t="s">
        <v>92</v>
      </c>
      <c r="B60" s="125">
        <f t="shared" si="15"/>
        <v>0.41640455855840131</v>
      </c>
      <c r="C60" s="125">
        <f t="shared" ref="C60:V60" si="24">IF(C14=0,0,C14/C$10)</f>
        <v>0.40838333250002873</v>
      </c>
      <c r="D60" s="125">
        <f t="shared" si="24"/>
        <v>0.40499330656750004</v>
      </c>
      <c r="E60" s="125">
        <f t="shared" si="24"/>
        <v>0.39545531351065233</v>
      </c>
      <c r="F60" s="125">
        <f t="shared" si="24"/>
        <v>0.36939530659251435</v>
      </c>
      <c r="G60" s="125">
        <f t="shared" si="24"/>
        <v>0.34290615467199115</v>
      </c>
      <c r="H60" s="125">
        <f t="shared" si="24"/>
        <v>0.30638212040168811</v>
      </c>
      <c r="I60" s="125">
        <f t="shared" si="24"/>
        <v>0.29353080141583171</v>
      </c>
      <c r="J60" s="125">
        <f t="shared" si="24"/>
        <v>0.30430319842137099</v>
      </c>
      <c r="K60" s="125">
        <f t="shared" si="24"/>
        <v>0.32965356418716557</v>
      </c>
      <c r="L60" s="125">
        <f t="shared" si="24"/>
        <v>0.31637944569682169</v>
      </c>
      <c r="M60" s="125">
        <f t="shared" si="24"/>
        <v>0.30222657701202732</v>
      </c>
      <c r="N60" s="125">
        <f t="shared" si="24"/>
        <v>0.27990409815373118</v>
      </c>
      <c r="O60" s="125">
        <f t="shared" si="24"/>
        <v>0.27190474730883657</v>
      </c>
      <c r="P60" s="125">
        <f t="shared" si="24"/>
        <v>0.29411360060729114</v>
      </c>
      <c r="Q60" s="125">
        <f t="shared" si="24"/>
        <v>0.25403655958280519</v>
      </c>
      <c r="R60" s="125">
        <f t="shared" si="24"/>
        <v>0.25236627559272828</v>
      </c>
      <c r="S60" s="125">
        <f t="shared" si="24"/>
        <v>0.24975503411046643</v>
      </c>
      <c r="T60" s="125">
        <f t="shared" si="24"/>
        <v>0.24550742540766013</v>
      </c>
      <c r="U60" s="125">
        <f t="shared" si="24"/>
        <v>0.23028319245287618</v>
      </c>
      <c r="V60" s="125">
        <f t="shared" si="24"/>
        <v>0.18518887927489106</v>
      </c>
      <c r="W60" s="125">
        <f t="shared" ref="W60:Y60" si="25">IF(W14=0,0,W14/W$10)</f>
        <v>0.17989010651858128</v>
      </c>
      <c r="X60" s="125">
        <f t="shared" si="25"/>
        <v>0.17187449527655843</v>
      </c>
      <c r="Y60" s="125">
        <f t="shared" si="25"/>
        <v>0.19766992552390047</v>
      </c>
      <c r="DA60" s="171"/>
    </row>
    <row r="61" spans="1:105" ht="11.45" customHeight="1" x14ac:dyDescent="0.25">
      <c r="A61" s="111" t="s">
        <v>93</v>
      </c>
      <c r="B61" s="125">
        <f t="shared" si="15"/>
        <v>0.28282097999501771</v>
      </c>
      <c r="C61" s="125">
        <f t="shared" ref="C61:V61" si="26">IF(C15=0,0,C15/C$10)</f>
        <v>0.3044477544372593</v>
      </c>
      <c r="D61" s="125">
        <f t="shared" si="26"/>
        <v>0.30426102099409857</v>
      </c>
      <c r="E61" s="125">
        <f t="shared" si="26"/>
        <v>0.32198377873086087</v>
      </c>
      <c r="F61" s="125">
        <f t="shared" si="26"/>
        <v>0.33629074734017872</v>
      </c>
      <c r="G61" s="125">
        <f t="shared" si="26"/>
        <v>0.35577437503621201</v>
      </c>
      <c r="H61" s="125">
        <f t="shared" si="26"/>
        <v>0.38131723482381674</v>
      </c>
      <c r="I61" s="125">
        <f t="shared" si="26"/>
        <v>0.38578783062278277</v>
      </c>
      <c r="J61" s="125">
        <f t="shared" si="26"/>
        <v>0.37955611315945348</v>
      </c>
      <c r="K61" s="125">
        <f t="shared" si="26"/>
        <v>0.4092141236148919</v>
      </c>
      <c r="L61" s="125">
        <f t="shared" si="26"/>
        <v>0.38796797790462545</v>
      </c>
      <c r="M61" s="125">
        <f t="shared" si="26"/>
        <v>0.40712021546768684</v>
      </c>
      <c r="N61" s="125">
        <f t="shared" si="26"/>
        <v>0.40500355643110386</v>
      </c>
      <c r="O61" s="125">
        <f t="shared" si="26"/>
        <v>0.43734591710306575</v>
      </c>
      <c r="P61" s="125">
        <f t="shared" si="26"/>
        <v>0.39142115545458284</v>
      </c>
      <c r="Q61" s="125">
        <f t="shared" si="26"/>
        <v>0.41852017598601599</v>
      </c>
      <c r="R61" s="125">
        <f t="shared" si="26"/>
        <v>0.41931206189374864</v>
      </c>
      <c r="S61" s="125">
        <f t="shared" si="26"/>
        <v>0.39016534757189092</v>
      </c>
      <c r="T61" s="125">
        <f t="shared" si="26"/>
        <v>0.42871311173810411</v>
      </c>
      <c r="U61" s="125">
        <f t="shared" si="26"/>
        <v>0.43586144606637345</v>
      </c>
      <c r="V61" s="125">
        <f t="shared" si="26"/>
        <v>0.40378632115805069</v>
      </c>
      <c r="W61" s="125">
        <f t="shared" ref="W61:Y61" si="27">IF(W15=0,0,W15/W$10)</f>
        <v>0.44004112992595867</v>
      </c>
      <c r="X61" s="125">
        <f t="shared" si="27"/>
        <v>0.4389644759755878</v>
      </c>
      <c r="Y61" s="125">
        <f t="shared" si="27"/>
        <v>0.50277030137218814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0.21959353382669361</v>
      </c>
      <c r="C63" s="31">
        <f t="shared" ref="C63:V63" si="30">IF(C17=0,0,C17/C$10)</f>
        <v>0.20459811559377472</v>
      </c>
      <c r="D63" s="31">
        <f t="shared" si="30"/>
        <v>0.21035510008203795</v>
      </c>
      <c r="E63" s="31">
        <f t="shared" si="30"/>
        <v>0.2005543860367337</v>
      </c>
      <c r="F63" s="31">
        <f t="shared" si="30"/>
        <v>0.21560493591281232</v>
      </c>
      <c r="G63" s="31">
        <f t="shared" si="30"/>
        <v>0.222907994034483</v>
      </c>
      <c r="H63" s="31">
        <f t="shared" si="30"/>
        <v>0.23933460624350036</v>
      </c>
      <c r="I63" s="31">
        <f t="shared" si="30"/>
        <v>0.24451414660702817</v>
      </c>
      <c r="J63" s="31">
        <f t="shared" si="30"/>
        <v>0.23700502887079017</v>
      </c>
      <c r="K63" s="31">
        <f t="shared" si="30"/>
        <v>0.17665758391653499</v>
      </c>
      <c r="L63" s="31">
        <f t="shared" si="30"/>
        <v>0.20525001127396472</v>
      </c>
      <c r="M63" s="31">
        <f t="shared" si="30"/>
        <v>0.19420212330777095</v>
      </c>
      <c r="N63" s="31">
        <f t="shared" si="30"/>
        <v>0.20806926837654088</v>
      </c>
      <c r="O63" s="31">
        <f t="shared" si="30"/>
        <v>0.20332287128394874</v>
      </c>
      <c r="P63" s="31">
        <f t="shared" si="30"/>
        <v>0.21377632230472121</v>
      </c>
      <c r="Q63" s="31">
        <f t="shared" si="30"/>
        <v>0.20755011596059345</v>
      </c>
      <c r="R63" s="31">
        <f t="shared" si="30"/>
        <v>0.20455428852674051</v>
      </c>
      <c r="S63" s="31">
        <f t="shared" si="30"/>
        <v>0.24455227828511916</v>
      </c>
      <c r="T63" s="31">
        <f t="shared" si="30"/>
        <v>0.22895807173504662</v>
      </c>
      <c r="U63" s="31">
        <f t="shared" si="30"/>
        <v>0.22966943613087973</v>
      </c>
      <c r="V63" s="31">
        <f t="shared" si="30"/>
        <v>0.30727878271345255</v>
      </c>
      <c r="W63" s="31">
        <f t="shared" ref="W63:Y63" si="31">IF(W17=0,0,W17/W$10)</f>
        <v>0.27895163243444276</v>
      </c>
      <c r="X63" s="31">
        <f t="shared" si="31"/>
        <v>0.28019726207493439</v>
      </c>
      <c r="Y63" s="31">
        <f t="shared" si="31"/>
        <v>0.22001415676944769</v>
      </c>
      <c r="DA63" s="173"/>
    </row>
    <row r="64" spans="1:105" ht="11.45" customHeight="1" x14ac:dyDescent="0.25">
      <c r="A64" s="83" t="s">
        <v>92</v>
      </c>
      <c r="B64" s="125">
        <f t="shared" si="15"/>
        <v>8.0054781649543563E-2</v>
      </c>
      <c r="C64" s="125">
        <f t="shared" ref="C64:V64" si="32">IF(C18=0,0,C18/C$10)</f>
        <v>6.956914750418404E-2</v>
      </c>
      <c r="D64" s="125">
        <f t="shared" si="32"/>
        <v>6.8383422598712634E-2</v>
      </c>
      <c r="E64" s="125">
        <f t="shared" si="32"/>
        <v>6.0579833385885087E-2</v>
      </c>
      <c r="F64" s="125">
        <f t="shared" si="32"/>
        <v>6.1719043066570674E-2</v>
      </c>
      <c r="G64" s="125">
        <f t="shared" si="32"/>
        <v>6.3393139820893105E-2</v>
      </c>
      <c r="H64" s="125">
        <f t="shared" si="32"/>
        <v>7.1604413188336144E-2</v>
      </c>
      <c r="I64" s="125">
        <f t="shared" si="32"/>
        <v>7.0673152798528358E-2</v>
      </c>
      <c r="J64" s="125">
        <f t="shared" si="32"/>
        <v>6.5284974757087416E-2</v>
      </c>
      <c r="K64" s="125">
        <f t="shared" si="32"/>
        <v>4.6234081038478946E-2</v>
      </c>
      <c r="L64" s="125">
        <f t="shared" si="32"/>
        <v>5.0776883283470305E-2</v>
      </c>
      <c r="M64" s="125">
        <f t="shared" si="32"/>
        <v>2.230490363068979E-2</v>
      </c>
      <c r="N64" s="125">
        <f t="shared" si="32"/>
        <v>4.7422390743734277E-2</v>
      </c>
      <c r="O64" s="125">
        <f t="shared" si="32"/>
        <v>4.6820352292757189E-2</v>
      </c>
      <c r="P64" s="125">
        <f t="shared" si="32"/>
        <v>5.1014009601525585E-2</v>
      </c>
      <c r="Q64" s="125">
        <f t="shared" si="32"/>
        <v>4.6761476021860225E-2</v>
      </c>
      <c r="R64" s="125">
        <f t="shared" si="32"/>
        <v>4.2114924061060897E-2</v>
      </c>
      <c r="S64" s="125">
        <f t="shared" si="32"/>
        <v>4.9318763320068307E-2</v>
      </c>
      <c r="T64" s="125">
        <f t="shared" si="32"/>
        <v>5.4822607595640158E-2</v>
      </c>
      <c r="U64" s="125">
        <f t="shared" si="32"/>
        <v>5.2944011388925939E-2</v>
      </c>
      <c r="V64" s="125">
        <f t="shared" si="32"/>
        <v>7.0958328020337746E-2</v>
      </c>
      <c r="W64" s="125">
        <f t="shared" ref="W64:Y64" si="33">IF(W18=0,0,W18/W$10)</f>
        <v>7.4764256440784146E-2</v>
      </c>
      <c r="X64" s="125">
        <f t="shared" si="33"/>
        <v>8.4533213528903209E-2</v>
      </c>
      <c r="Y64" s="125">
        <f t="shared" si="33"/>
        <v>5.9482273266356224E-2</v>
      </c>
      <c r="DA64" s="171"/>
    </row>
    <row r="65" spans="1:105" ht="11.45" customHeight="1" x14ac:dyDescent="0.25">
      <c r="A65" s="85" t="s">
        <v>93</v>
      </c>
      <c r="B65" s="127">
        <f t="shared" si="15"/>
        <v>0.13953875217715006</v>
      </c>
      <c r="C65" s="127">
        <f t="shared" ref="C65:V65" si="34">IF(C19=0,0,C19/C$10)</f>
        <v>0.1350289680895907</v>
      </c>
      <c r="D65" s="127">
        <f t="shared" si="34"/>
        <v>0.14197167748332531</v>
      </c>
      <c r="E65" s="127">
        <f t="shared" si="34"/>
        <v>0.1399745526508486</v>
      </c>
      <c r="F65" s="127">
        <f t="shared" si="34"/>
        <v>0.15388589284624166</v>
      </c>
      <c r="G65" s="127">
        <f t="shared" si="34"/>
        <v>0.15951485421358988</v>
      </c>
      <c r="H65" s="127">
        <f t="shared" si="34"/>
        <v>0.16773019305516421</v>
      </c>
      <c r="I65" s="127">
        <f t="shared" si="34"/>
        <v>0.17384099380849982</v>
      </c>
      <c r="J65" s="127">
        <f t="shared" si="34"/>
        <v>0.17172005411370275</v>
      </c>
      <c r="K65" s="127">
        <f t="shared" si="34"/>
        <v>0.13042350287805604</v>
      </c>
      <c r="L65" s="127">
        <f t="shared" si="34"/>
        <v>0.1544731279904944</v>
      </c>
      <c r="M65" s="127">
        <f t="shared" si="34"/>
        <v>0.17189721967708116</v>
      </c>
      <c r="N65" s="127">
        <f t="shared" si="34"/>
        <v>0.16064687763280661</v>
      </c>
      <c r="O65" s="127">
        <f t="shared" si="34"/>
        <v>0.15650251899119155</v>
      </c>
      <c r="P65" s="127">
        <f t="shared" si="34"/>
        <v>0.16276231270319561</v>
      </c>
      <c r="Q65" s="127">
        <f t="shared" si="34"/>
        <v>0.16078863993873324</v>
      </c>
      <c r="R65" s="127">
        <f t="shared" si="34"/>
        <v>0.16243936446567961</v>
      </c>
      <c r="S65" s="127">
        <f t="shared" si="34"/>
        <v>0.19523351496505084</v>
      </c>
      <c r="T65" s="127">
        <f t="shared" si="34"/>
        <v>0.17413546413940648</v>
      </c>
      <c r="U65" s="127">
        <f t="shared" si="34"/>
        <v>0.17672542474195377</v>
      </c>
      <c r="V65" s="127">
        <f t="shared" si="34"/>
        <v>0.23632045469311483</v>
      </c>
      <c r="W65" s="127">
        <f t="shared" ref="W65:Y65" si="35">IF(W19=0,0,W19/W$10)</f>
        <v>0.2041873759936586</v>
      </c>
      <c r="X65" s="127">
        <f t="shared" si="35"/>
        <v>0.19566404854603114</v>
      </c>
      <c r="Y65" s="127">
        <f t="shared" si="35"/>
        <v>0.16053188350309147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268.82605209982682</v>
      </c>
      <c r="C4" s="26">
        <f t="shared" ref="C4:W4" si="0">SUM(C5:C6)</f>
        <v>258.44363406688274</v>
      </c>
      <c r="D4" s="26">
        <f t="shared" si="0"/>
        <v>249.59176451999997</v>
      </c>
      <c r="E4" s="26">
        <f t="shared" si="0"/>
        <v>238.47113764096702</v>
      </c>
      <c r="F4" s="26">
        <f t="shared" si="0"/>
        <v>225.17393820000001</v>
      </c>
      <c r="G4" s="26">
        <f t="shared" si="0"/>
        <v>204.75838392</v>
      </c>
      <c r="H4" s="26">
        <f t="shared" si="0"/>
        <v>194.36427036000001</v>
      </c>
      <c r="I4" s="26">
        <f t="shared" si="0"/>
        <v>186.73199999999997</v>
      </c>
      <c r="J4" s="26">
        <f t="shared" si="0"/>
        <v>186.73199999999997</v>
      </c>
      <c r="K4" s="26">
        <f t="shared" si="0"/>
        <v>192.95631108000001</v>
      </c>
      <c r="L4" s="26">
        <f t="shared" si="0"/>
        <v>171.17108892000002</v>
      </c>
      <c r="M4" s="26">
        <f t="shared" si="0"/>
        <v>143.16128892</v>
      </c>
      <c r="N4" s="26">
        <f t="shared" si="0"/>
        <v>127.60011107999998</v>
      </c>
      <c r="O4" s="26">
        <f t="shared" si="0"/>
        <v>149.38560000000001</v>
      </c>
      <c r="P4" s="26">
        <f t="shared" si="0"/>
        <v>158.72220000000002</v>
      </c>
      <c r="Q4" s="26">
        <f t="shared" si="0"/>
        <v>130.71239999999997</v>
      </c>
      <c r="R4" s="26">
        <f t="shared" si="0"/>
        <v>127.15568891999999</v>
      </c>
      <c r="S4" s="26">
        <f t="shared" si="0"/>
        <v>133.51337999999998</v>
      </c>
      <c r="T4" s="26">
        <f t="shared" si="0"/>
        <v>133.51337999999998</v>
      </c>
      <c r="U4" s="26">
        <f t="shared" si="0"/>
        <v>120.79773108000001</v>
      </c>
      <c r="V4" s="26">
        <f t="shared" si="0"/>
        <v>104.90337</v>
      </c>
      <c r="W4" s="26">
        <f t="shared" si="0"/>
        <v>104.90337</v>
      </c>
      <c r="X4" s="26">
        <f t="shared" ref="X4:Y4" si="1">SUM(X5:X6)</f>
        <v>108.08234891999999</v>
      </c>
      <c r="Y4" s="26">
        <f t="shared" si="1"/>
        <v>104.90337</v>
      </c>
      <c r="DA4" s="202" t="s">
        <v>1137</v>
      </c>
    </row>
    <row r="5" spans="1:105" ht="11.45" customHeight="1" x14ac:dyDescent="0.25">
      <c r="A5" s="107" t="s">
        <v>92</v>
      </c>
      <c r="B5" s="129">
        <v>268.82605209982682</v>
      </c>
      <c r="C5" s="129">
        <v>258.44363406688274</v>
      </c>
      <c r="D5" s="129">
        <v>249.59176451999997</v>
      </c>
      <c r="E5" s="129">
        <v>238.47113764096702</v>
      </c>
      <c r="F5" s="129">
        <v>225.17393820000001</v>
      </c>
      <c r="G5" s="129">
        <v>204.75838392</v>
      </c>
      <c r="H5" s="129">
        <v>194.36427036000001</v>
      </c>
      <c r="I5" s="129">
        <v>186.73199999999997</v>
      </c>
      <c r="J5" s="129">
        <v>186.73199999999997</v>
      </c>
      <c r="K5" s="129">
        <v>192.95631108000001</v>
      </c>
      <c r="L5" s="129">
        <v>171.17108892000002</v>
      </c>
      <c r="M5" s="129">
        <v>143.16128892</v>
      </c>
      <c r="N5" s="129">
        <v>127.60011107999998</v>
      </c>
      <c r="O5" s="129">
        <v>149.38560000000001</v>
      </c>
      <c r="P5" s="129">
        <v>158.72220000000002</v>
      </c>
      <c r="Q5" s="129">
        <v>130.71239999999997</v>
      </c>
      <c r="R5" s="129">
        <v>127.15568891999999</v>
      </c>
      <c r="S5" s="129">
        <v>133.51337999999998</v>
      </c>
      <c r="T5" s="129">
        <v>133.51337999999998</v>
      </c>
      <c r="U5" s="129">
        <v>120.79773108000001</v>
      </c>
      <c r="V5" s="129">
        <v>104.90337</v>
      </c>
      <c r="W5" s="129">
        <v>104.90337</v>
      </c>
      <c r="X5" s="129">
        <v>108.08234891999999</v>
      </c>
      <c r="Y5" s="129">
        <v>104.90337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268.82605209982682</v>
      </c>
      <c r="C8" s="79">
        <f t="shared" si="2"/>
        <v>258.44363406688268</v>
      </c>
      <c r="D8" s="79">
        <f t="shared" si="2"/>
        <v>249.59176451999997</v>
      </c>
      <c r="E8" s="79">
        <f t="shared" si="2"/>
        <v>238.47113764096702</v>
      </c>
      <c r="F8" s="79">
        <f t="shared" si="2"/>
        <v>225.17393820000001</v>
      </c>
      <c r="G8" s="79">
        <f t="shared" si="2"/>
        <v>204.75838392</v>
      </c>
      <c r="H8" s="79">
        <f t="shared" si="2"/>
        <v>194.36427035999998</v>
      </c>
      <c r="I8" s="79">
        <f t="shared" si="2"/>
        <v>186.73199999999997</v>
      </c>
      <c r="J8" s="79">
        <f t="shared" si="2"/>
        <v>186.73199999999997</v>
      </c>
      <c r="K8" s="79">
        <f t="shared" si="2"/>
        <v>192.95631108000001</v>
      </c>
      <c r="L8" s="79">
        <f t="shared" si="2"/>
        <v>171.17108892000002</v>
      </c>
      <c r="M8" s="79">
        <f t="shared" si="2"/>
        <v>143.16128892000003</v>
      </c>
      <c r="N8" s="79">
        <f t="shared" si="2"/>
        <v>127.60011107999998</v>
      </c>
      <c r="O8" s="79">
        <f t="shared" si="2"/>
        <v>149.38559999999998</v>
      </c>
      <c r="P8" s="79">
        <f t="shared" si="2"/>
        <v>158.72220000000004</v>
      </c>
      <c r="Q8" s="79">
        <f t="shared" si="2"/>
        <v>130.71239999999995</v>
      </c>
      <c r="R8" s="79">
        <f t="shared" si="2"/>
        <v>127.15568891999997</v>
      </c>
      <c r="S8" s="79">
        <f t="shared" si="2"/>
        <v>133.51337999999998</v>
      </c>
      <c r="T8" s="79">
        <f t="shared" si="2"/>
        <v>133.51337999999998</v>
      </c>
      <c r="U8" s="79">
        <f t="shared" si="2"/>
        <v>120.79773108000001</v>
      </c>
      <c r="V8" s="79">
        <f t="shared" si="2"/>
        <v>104.90337000000001</v>
      </c>
      <c r="W8" s="79">
        <f t="shared" si="2"/>
        <v>104.90337000000001</v>
      </c>
      <c r="X8" s="79">
        <f t="shared" ref="X8:Y8" si="3">SUM(X9,X15)</f>
        <v>108.08234891999999</v>
      </c>
      <c r="Y8" s="79">
        <f t="shared" si="3"/>
        <v>104.90337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225.47746509661656</v>
      </c>
      <c r="C9" s="32">
        <f t="shared" si="4"/>
        <v>220.82545223475191</v>
      </c>
      <c r="D9" s="32">
        <f t="shared" si="4"/>
        <v>213.53604386724982</v>
      </c>
      <c r="E9" s="32">
        <f t="shared" si="4"/>
        <v>206.79256662742671</v>
      </c>
      <c r="F9" s="32">
        <f t="shared" si="4"/>
        <v>192.93766492302615</v>
      </c>
      <c r="G9" s="32">
        <f t="shared" si="4"/>
        <v>172.810809712317</v>
      </c>
      <c r="H9" s="32">
        <f t="shared" si="4"/>
        <v>157.54460011481055</v>
      </c>
      <c r="I9" s="32">
        <f t="shared" si="4"/>
        <v>150.49697559769089</v>
      </c>
      <c r="J9" s="32">
        <f t="shared" si="4"/>
        <v>153.74719477341597</v>
      </c>
      <c r="K9" s="32">
        <f t="shared" si="4"/>
        <v>169.22273580379394</v>
      </c>
      <c r="L9" s="32">
        <f t="shared" si="4"/>
        <v>147.49851754492806</v>
      </c>
      <c r="M9" s="32">
        <f t="shared" si="4"/>
        <v>133.32187751164611</v>
      </c>
      <c r="N9" s="32">
        <f t="shared" si="4"/>
        <v>109.11366854685333</v>
      </c>
      <c r="O9" s="32">
        <f t="shared" si="4"/>
        <v>127.44102635892885</v>
      </c>
      <c r="P9" s="32">
        <f t="shared" si="4"/>
        <v>135.26115082495372</v>
      </c>
      <c r="Q9" s="32">
        <f t="shared" si="4"/>
        <v>110.39210520128951</v>
      </c>
      <c r="R9" s="32">
        <f t="shared" si="4"/>
        <v>108.97064964043463</v>
      </c>
      <c r="S9" s="32">
        <f t="shared" si="4"/>
        <v>111.496356626992</v>
      </c>
      <c r="T9" s="32">
        <f t="shared" si="4"/>
        <v>109.14168607611208</v>
      </c>
      <c r="U9" s="32">
        <f t="shared" si="4"/>
        <v>98.216861858030143</v>
      </c>
      <c r="V9" s="32">
        <f t="shared" si="4"/>
        <v>75.842862889651698</v>
      </c>
      <c r="W9" s="32">
        <f t="shared" si="4"/>
        <v>74.104673425404286</v>
      </c>
      <c r="X9" s="32">
        <f t="shared" ref="X9:Y9" si="5">SUM(X10,X11,X14)</f>
        <v>72.449456591900187</v>
      </c>
      <c r="Y9" s="32">
        <f t="shared" si="5"/>
        <v>80.638009057116619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225.47746509661656</v>
      </c>
      <c r="C11" s="130">
        <f t="shared" si="6"/>
        <v>220.82545223475191</v>
      </c>
      <c r="D11" s="130">
        <f t="shared" si="6"/>
        <v>213.53604386724982</v>
      </c>
      <c r="E11" s="130">
        <f t="shared" si="6"/>
        <v>206.79256662742671</v>
      </c>
      <c r="F11" s="130">
        <f t="shared" si="6"/>
        <v>192.93766492302615</v>
      </c>
      <c r="G11" s="130">
        <f t="shared" si="6"/>
        <v>172.810809712317</v>
      </c>
      <c r="H11" s="130">
        <f t="shared" si="6"/>
        <v>157.54460011481055</v>
      </c>
      <c r="I11" s="130">
        <f t="shared" si="6"/>
        <v>150.49697559769089</v>
      </c>
      <c r="J11" s="130">
        <f t="shared" si="6"/>
        <v>153.74719477341597</v>
      </c>
      <c r="K11" s="130">
        <f t="shared" si="6"/>
        <v>169.22273580379394</v>
      </c>
      <c r="L11" s="130">
        <f t="shared" si="6"/>
        <v>147.49851754492806</v>
      </c>
      <c r="M11" s="130">
        <f t="shared" si="6"/>
        <v>133.32187751164611</v>
      </c>
      <c r="N11" s="130">
        <f t="shared" si="6"/>
        <v>109.11366854685333</v>
      </c>
      <c r="O11" s="130">
        <f t="shared" si="6"/>
        <v>127.44102635892885</v>
      </c>
      <c r="P11" s="130">
        <f t="shared" si="6"/>
        <v>135.26115082495372</v>
      </c>
      <c r="Q11" s="130">
        <f t="shared" si="6"/>
        <v>110.39210520128951</v>
      </c>
      <c r="R11" s="130">
        <f t="shared" si="6"/>
        <v>108.97064964043463</v>
      </c>
      <c r="S11" s="130">
        <f t="shared" si="6"/>
        <v>111.496356626992</v>
      </c>
      <c r="T11" s="130">
        <f t="shared" si="6"/>
        <v>109.14168607611208</v>
      </c>
      <c r="U11" s="130">
        <f t="shared" si="6"/>
        <v>98.216861858030143</v>
      </c>
      <c r="V11" s="130">
        <f t="shared" si="6"/>
        <v>75.842862889651698</v>
      </c>
      <c r="W11" s="130">
        <f t="shared" si="6"/>
        <v>74.104673425404286</v>
      </c>
      <c r="X11" s="130">
        <f t="shared" ref="X11:Y11" si="7">SUM(X12:X13)</f>
        <v>72.449456591900187</v>
      </c>
      <c r="Y11" s="130">
        <f t="shared" si="7"/>
        <v>80.638009057116619</v>
      </c>
      <c r="DA11" s="176" t="s">
        <v>409</v>
      </c>
    </row>
    <row r="12" spans="1:105" ht="11.45" customHeight="1" x14ac:dyDescent="0.25">
      <c r="A12" s="111" t="s">
        <v>92</v>
      </c>
      <c r="B12" s="96">
        <v>225.47746509661656</v>
      </c>
      <c r="C12" s="96">
        <v>220.82545223475191</v>
      </c>
      <c r="D12" s="96">
        <v>213.53604386724982</v>
      </c>
      <c r="E12" s="96">
        <v>206.79256662742671</v>
      </c>
      <c r="F12" s="96">
        <v>192.93766492302615</v>
      </c>
      <c r="G12" s="96">
        <v>172.810809712317</v>
      </c>
      <c r="H12" s="96">
        <v>157.54460011481055</v>
      </c>
      <c r="I12" s="96">
        <v>150.49697559769089</v>
      </c>
      <c r="J12" s="96">
        <v>153.74719477341597</v>
      </c>
      <c r="K12" s="96">
        <v>169.22273580379394</v>
      </c>
      <c r="L12" s="96">
        <v>147.49851754492806</v>
      </c>
      <c r="M12" s="96">
        <v>133.32187751164611</v>
      </c>
      <c r="N12" s="96">
        <v>109.11366854685333</v>
      </c>
      <c r="O12" s="96">
        <v>127.44102635892885</v>
      </c>
      <c r="P12" s="96">
        <v>135.26115082495372</v>
      </c>
      <c r="Q12" s="96">
        <v>110.39210520128951</v>
      </c>
      <c r="R12" s="96">
        <v>108.97064964043463</v>
      </c>
      <c r="S12" s="96">
        <v>111.496356626992</v>
      </c>
      <c r="T12" s="96">
        <v>109.14168607611208</v>
      </c>
      <c r="U12" s="96">
        <v>98.216861858030143</v>
      </c>
      <c r="V12" s="96">
        <v>75.842862889651698</v>
      </c>
      <c r="W12" s="96">
        <v>74.104673425404286</v>
      </c>
      <c r="X12" s="96">
        <v>72.449456591900187</v>
      </c>
      <c r="Y12" s="96">
        <v>80.638009057116619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43.348587003210262</v>
      </c>
      <c r="C15" s="32">
        <f t="shared" si="8"/>
        <v>37.618181832130787</v>
      </c>
      <c r="D15" s="32">
        <f t="shared" si="8"/>
        <v>36.055720652750153</v>
      </c>
      <c r="E15" s="32">
        <f t="shared" si="8"/>
        <v>31.678571013540321</v>
      </c>
      <c r="F15" s="32">
        <f t="shared" si="8"/>
        <v>32.236273276973854</v>
      </c>
      <c r="G15" s="32">
        <f t="shared" si="8"/>
        <v>31.947574207683004</v>
      </c>
      <c r="H15" s="32">
        <f t="shared" si="8"/>
        <v>36.819670245189442</v>
      </c>
      <c r="I15" s="32">
        <f t="shared" si="8"/>
        <v>36.23502440230908</v>
      </c>
      <c r="J15" s="32">
        <f t="shared" si="8"/>
        <v>32.984805226583994</v>
      </c>
      <c r="K15" s="32">
        <f t="shared" si="8"/>
        <v>23.733575276206064</v>
      </c>
      <c r="L15" s="32">
        <f t="shared" si="8"/>
        <v>23.672571375071943</v>
      </c>
      <c r="M15" s="32">
        <f t="shared" si="8"/>
        <v>9.8394114083539144</v>
      </c>
      <c r="N15" s="32">
        <f t="shared" si="8"/>
        <v>18.486442533146636</v>
      </c>
      <c r="O15" s="32">
        <f t="shared" si="8"/>
        <v>21.944573641071141</v>
      </c>
      <c r="P15" s="32">
        <f t="shared" si="8"/>
        <v>23.461049175046316</v>
      </c>
      <c r="Q15" s="32">
        <f t="shared" si="8"/>
        <v>20.320294798710439</v>
      </c>
      <c r="R15" s="32">
        <f t="shared" si="8"/>
        <v>18.185039279565348</v>
      </c>
      <c r="S15" s="32">
        <f t="shared" si="8"/>
        <v>22.017023373007991</v>
      </c>
      <c r="T15" s="32">
        <f t="shared" si="8"/>
        <v>24.371693923887914</v>
      </c>
      <c r="U15" s="32">
        <f t="shared" si="8"/>
        <v>22.580869221969863</v>
      </c>
      <c r="V15" s="32">
        <f t="shared" si="8"/>
        <v>29.060507110348308</v>
      </c>
      <c r="W15" s="32">
        <f t="shared" si="8"/>
        <v>30.798696574595724</v>
      </c>
      <c r="X15" s="32">
        <f t="shared" ref="X15:Y15" si="9">SUM(X16:X17)</f>
        <v>35.632892328099793</v>
      </c>
      <c r="Y15" s="32">
        <f t="shared" si="9"/>
        <v>24.265360942883373</v>
      </c>
      <c r="DA15" s="173" t="s">
        <v>414</v>
      </c>
    </row>
    <row r="16" spans="1:105" ht="11.45" customHeight="1" x14ac:dyDescent="0.25">
      <c r="A16" s="83" t="s">
        <v>92</v>
      </c>
      <c r="B16" s="96">
        <v>43.348587003210262</v>
      </c>
      <c r="C16" s="96">
        <v>37.618181832130787</v>
      </c>
      <c r="D16" s="96">
        <v>36.055720652750153</v>
      </c>
      <c r="E16" s="96">
        <v>31.678571013540321</v>
      </c>
      <c r="F16" s="96">
        <v>32.236273276973854</v>
      </c>
      <c r="G16" s="96">
        <v>31.947574207683004</v>
      </c>
      <c r="H16" s="96">
        <v>36.819670245189442</v>
      </c>
      <c r="I16" s="96">
        <v>36.23502440230908</v>
      </c>
      <c r="J16" s="96">
        <v>32.984805226583994</v>
      </c>
      <c r="K16" s="96">
        <v>23.733575276206064</v>
      </c>
      <c r="L16" s="96">
        <v>23.672571375071943</v>
      </c>
      <c r="M16" s="96">
        <v>9.8394114083539144</v>
      </c>
      <c r="N16" s="96">
        <v>18.486442533146636</v>
      </c>
      <c r="O16" s="96">
        <v>21.944573641071141</v>
      </c>
      <c r="P16" s="96">
        <v>23.461049175046316</v>
      </c>
      <c r="Q16" s="96">
        <v>20.320294798710439</v>
      </c>
      <c r="R16" s="96">
        <v>18.185039279565348</v>
      </c>
      <c r="S16" s="96">
        <v>22.017023373007991</v>
      </c>
      <c r="T16" s="96">
        <v>24.371693923887914</v>
      </c>
      <c r="U16" s="96">
        <v>22.580869221969863</v>
      </c>
      <c r="V16" s="96">
        <v>29.060507110348308</v>
      </c>
      <c r="W16" s="96">
        <v>30.798696574595724</v>
      </c>
      <c r="X16" s="96">
        <v>35.632892328099793</v>
      </c>
      <c r="Y16" s="96">
        <v>24.265360942883373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1.551027761670478</v>
      </c>
      <c r="C22" s="134">
        <f>IF(C4=0,0,C4/TrRail_ene!C4)</f>
        <v>1.5219378769516507</v>
      </c>
      <c r="D22" s="134">
        <f>IF(D4=0,0,D4/TrRail_ene!D4)</f>
        <v>1.5060658810213274</v>
      </c>
      <c r="E22" s="134">
        <f>IF(E4=0,0,E4/TrRail_ene!E4)</f>
        <v>1.4436771663670676</v>
      </c>
      <c r="F22" s="134">
        <f>IF(F4=0,0,F4/TrRail_ene!F4)</f>
        <v>1.3630213403768283</v>
      </c>
      <c r="G22" s="134">
        <f>IF(G4=0,0,G4/TrRail_ene!G4)</f>
        <v>1.2899664607797847</v>
      </c>
      <c r="H22" s="134">
        <f>IF(H4=0,0,H4/TrRail_ene!H4)</f>
        <v>1.1726725279565227</v>
      </c>
      <c r="I22" s="134">
        <f>IF(I4=0,0,I4/TrRail_ene!I4)</f>
        <v>1.1299131945889698</v>
      </c>
      <c r="J22" s="134">
        <f>IF(J4=0,0,J4/TrRail_ene!J4)</f>
        <v>1.1466172967265051</v>
      </c>
      <c r="K22" s="134">
        <f>IF(K4=0,0,K4/TrRail_ene!K4)</f>
        <v>1.1661608972357698</v>
      </c>
      <c r="L22" s="134">
        <f>IF(L4=0,0,L4/TrRail_ene!L4)</f>
        <v>1.1390726975674428</v>
      </c>
      <c r="M22" s="134">
        <f>IF(M4=0,0,M4/TrRail_ene!M4)</f>
        <v>1.0068325667378015</v>
      </c>
      <c r="N22" s="134">
        <f>IF(N4=0,0,N4/TrRail_ene!N4)</f>
        <v>1.0155038528934883</v>
      </c>
      <c r="O22" s="134">
        <f>IF(O4=0,0,O4/TrRail_ene!O4)</f>
        <v>0.98881874103585687</v>
      </c>
      <c r="P22" s="134">
        <f>IF(P4=0,0,P4/TrRail_ene!P4)</f>
        <v>1.070730386310905</v>
      </c>
      <c r="Q22" s="134">
        <f>IF(Q4=0,0,Q4/TrRail_ene!Q4)</f>
        <v>0.93320148066298314</v>
      </c>
      <c r="R22" s="134">
        <f>IF(R4=0,0,R4/TrRail_ene!R4)</f>
        <v>0.91360401005246916</v>
      </c>
      <c r="S22" s="134">
        <f>IF(S4=0,0,S4/TrRail_ene!S4)</f>
        <v>0.92785217173588275</v>
      </c>
      <c r="T22" s="134">
        <f>IF(T4=0,0,T4/TrRail_ene!T4)</f>
        <v>0.93174954059405923</v>
      </c>
      <c r="U22" s="134">
        <f>IF(U4=0,0,U4/TrRail_ene!U4)</f>
        <v>0.87868940187023925</v>
      </c>
      <c r="V22" s="134">
        <f>IF(V4=0,0,V4/TrRail_ene!V4)</f>
        <v>0.79467591148021499</v>
      </c>
      <c r="W22" s="134">
        <f>IF(W4=0,0,W4/TrRail_ene!W4)</f>
        <v>0.79004448314715869</v>
      </c>
      <c r="X22" s="134">
        <f>IF(X4=0,0,X4/TrRail_ene!X4)</f>
        <v>0.79548409626298977</v>
      </c>
      <c r="Y22" s="134">
        <f>IF(Y4=0,0,Y4/TrRail_ene!Y4)</f>
        <v>0.79779381598822952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1.5620894160444447</v>
      </c>
      <c r="C23" s="129">
        <f>IF(C5=0,0,C5/SUM(TrRail_ene!C5:C7))</f>
        <v>1.5921435086373399</v>
      </c>
      <c r="D23" s="129">
        <f>IF(D5=0,0,D5/SUM(TrRail_ene!D5:D7))</f>
        <v>1.5907688192383824</v>
      </c>
      <c r="E23" s="129">
        <f>IF(E5=0,0,E5/SUM(TrRail_ene!E5:E7))</f>
        <v>1.5828573479387991</v>
      </c>
      <c r="F23" s="129">
        <f>IF(F5=0,0,F5/SUM(TrRail_ene!F5:F7))</f>
        <v>1.5808118442991672</v>
      </c>
      <c r="G23" s="129">
        <f>IF(G5=0,0,G5/SUM(TrRail_ene!G5:G7))</f>
        <v>1.5874584059884167</v>
      </c>
      <c r="H23" s="129">
        <f>IF(H5=0,0,H5/SUM(TrRail_ene!H5:H7))</f>
        <v>1.5512093999999998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1.5512094000000003</v>
      </c>
      <c r="Q23" s="129">
        <f>IF(Q5=0,0,Q5/SUM(TrRail_ene!Q5:Q7))</f>
        <v>1.5512093999999998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2563.1885781680216</v>
      </c>
      <c r="C26" s="54">
        <f>IF(C8=0,0,C8/TrRail_act!C14*1000)</f>
        <v>2438.0501372060444</v>
      </c>
      <c r="D26" s="54">
        <f>IF(D8=0,0,D8/TrRail_act!D14*1000)</f>
        <v>2362.4143162481432</v>
      </c>
      <c r="E26" s="54">
        <f>IF(E8=0,0,E8/TrRail_act!E14*1000)</f>
        <v>2177.5909822432463</v>
      </c>
      <c r="F26" s="54">
        <f>IF(F8=0,0,F8/TrRail_act!F14*1000)</f>
        <v>2030.5734258311645</v>
      </c>
      <c r="G26" s="54">
        <f>IF(G8=0,0,G8/TrRail_act!G14*1000)</f>
        <v>1873.678974040685</v>
      </c>
      <c r="H26" s="54">
        <f>IF(H8=0,0,H8/TrRail_act!H14*1000)</f>
        <v>1697.9025459200652</v>
      </c>
      <c r="I26" s="54">
        <f>IF(I8=0,0,I8/TrRail_act!I14*1000)</f>
        <v>1585.9706005358485</v>
      </c>
      <c r="J26" s="54">
        <f>IF(J8=0,0,J8/TrRail_act!J14*1000)</f>
        <v>1575.4896073929938</v>
      </c>
      <c r="K26" s="54">
        <f>IF(K8=0,0,K8/TrRail_act!K14*1000)</f>
        <v>1546.4981703048834</v>
      </c>
      <c r="L26" s="54">
        <f>IF(L8=0,0,L8/TrRail_act!L14*1000)</f>
        <v>1468.1201993679308</v>
      </c>
      <c r="M26" s="54">
        <f>IF(M8=0,0,M8/TrRail_act!M14*1000)</f>
        <v>1237.5921189032431</v>
      </c>
      <c r="N26" s="54">
        <f>IF(N8=0,0,N8/TrRail_act!N14*1000)</f>
        <v>1204.355913270675</v>
      </c>
      <c r="O26" s="54">
        <f>IF(O8=0,0,O8/TrRail_act!O14*1000)</f>
        <v>1195.8355624334627</v>
      </c>
      <c r="P26" s="54">
        <f>IF(P8=0,0,P8/TrRail_act!P14*1000)</f>
        <v>1256.4126666613561</v>
      </c>
      <c r="Q26" s="54">
        <f>IF(Q8=0,0,Q8/TrRail_act!Q14*1000)</f>
        <v>1029.6492979270643</v>
      </c>
      <c r="R26" s="54">
        <f>IF(R8=0,0,R8/TrRail_act!R14*1000)</f>
        <v>976.22073976475917</v>
      </c>
      <c r="S26" s="54">
        <f>IF(S8=0,0,S8/TrRail_act!S14*1000)</f>
        <v>1004.2670071723103</v>
      </c>
      <c r="T26" s="54">
        <f>IF(T8=0,0,T8/TrRail_act!T14*1000)</f>
        <v>1032.6817912740969</v>
      </c>
      <c r="U26" s="54">
        <f>IF(U8=0,0,U8/TrRail_act!U14*1000)</f>
        <v>950.49519265416734</v>
      </c>
      <c r="V26" s="54">
        <f>IF(V8=0,0,V8/TrRail_act!V14*1000)</f>
        <v>865.92330346515291</v>
      </c>
      <c r="W26" s="54">
        <f>IF(W8=0,0,W8/TrRail_act!W14*1000)</f>
        <v>857.94040374702467</v>
      </c>
      <c r="X26" s="54">
        <f>IF(X8=0,0,X8/TrRail_act!X14*1000)</f>
        <v>851.86001626274469</v>
      </c>
      <c r="Y26" s="54">
        <f>IF(Y8=0,0,Y8/TrRail_act!Y14*1000)</f>
        <v>885.10744002560762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2502.1748474032097</v>
      </c>
      <c r="C27" s="28">
        <f>IF(C9=0,0,C9/TrRail_act!C15*1000)</f>
        <v>2397.282529705632</v>
      </c>
      <c r="D27" s="28">
        <f>IF(D9=0,0,D9/TrRail_act!D15*1000)</f>
        <v>2335.7025119222699</v>
      </c>
      <c r="E27" s="28">
        <f>IF(E9=0,0,E9/TrRail_act!E15*1000)</f>
        <v>2168.4242964807167</v>
      </c>
      <c r="F27" s="28">
        <f>IF(F9=0,0,F9/TrRail_act!F15*1000)</f>
        <v>2027.5762890755175</v>
      </c>
      <c r="G27" s="28">
        <f>IF(G9=0,0,G9/TrRail_act!G15*1000)</f>
        <v>1852.7155004435465</v>
      </c>
      <c r="H27" s="28">
        <f>IF(H9=0,0,H9/TrRail_act!H15*1000)</f>
        <v>1637.4689798326647</v>
      </c>
      <c r="I27" s="28">
        <f>IF(I9=0,0,I9/TrRail_act!I15*1000)</f>
        <v>1528.3605441602563</v>
      </c>
      <c r="J27" s="28">
        <f>IF(J9=0,0,J9/TrRail_act!J15*1000)</f>
        <v>1543.5517611307473</v>
      </c>
      <c r="K27" s="28">
        <f>IF(K9=0,0,K9/TrRail_act!K15*1000)</f>
        <v>1537.9819572980398</v>
      </c>
      <c r="L27" s="28">
        <f>IF(L9=0,0,L9/TrRail_act!L15*1000)</f>
        <v>1464.8241828192533</v>
      </c>
      <c r="M27" s="28">
        <f>IF(M9=0,0,M9/TrRail_act!M15*1000)</f>
        <v>1334.0959165650681</v>
      </c>
      <c r="N27" s="28">
        <f>IF(N9=0,0,N9/TrRail_act!N15*1000)</f>
        <v>1188.5297806725573</v>
      </c>
      <c r="O27" s="28">
        <f>IF(O9=0,0,O9/TrRail_act!O15*1000)</f>
        <v>1179.4438781206859</v>
      </c>
      <c r="P27" s="28">
        <f>IF(P9=0,0,P9/TrRail_act!P15*1000)</f>
        <v>1244.2134558916332</v>
      </c>
      <c r="Q27" s="28">
        <f>IF(Q9=0,0,Q9/TrRail_act!Q15*1000)</f>
        <v>1000.549726198398</v>
      </c>
      <c r="R27" s="28">
        <f>IF(R9=0,0,R9/TrRail_act!R15*1000)</f>
        <v>960.53556927722502</v>
      </c>
      <c r="S27" s="28">
        <f>IF(S9=0,0,S9/TrRail_act!S15*1000)</f>
        <v>997.13639785733551</v>
      </c>
      <c r="T27" s="28">
        <f>IF(T9=0,0,T9/TrRail_act!T15*1000)</f>
        <v>993.08122795815484</v>
      </c>
      <c r="U27" s="28">
        <f>IF(U9=0,0,U9/TrRail_act!U15*1000)</f>
        <v>908.02922710810708</v>
      </c>
      <c r="V27" s="28">
        <f>IF(V9=0,0,V9/TrRail_act!V15*1000)</f>
        <v>784.33822912656149</v>
      </c>
      <c r="W27" s="28">
        <f>IF(W9=0,0,W9/TrRail_act!W15*1000)</f>
        <v>737.75312119582918</v>
      </c>
      <c r="X27" s="28">
        <f>IF(X9=0,0,X9/TrRail_act!X15*1000)</f>
        <v>690.44908624990865</v>
      </c>
      <c r="Y27" s="28">
        <f>IF(Y9=0,0,Y9/TrRail_act!Y15*1000)</f>
        <v>795.21563847312154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3728.789856895733</v>
      </c>
      <c r="C29" s="110">
        <f>IF(C11=0,0,C11/TrRail_act!C17*1000)</f>
        <v>3544.2143623748634</v>
      </c>
      <c r="D29" s="110">
        <f>IF(D11=0,0,D11/TrRail_act!D17*1000)</f>
        <v>3419.7660038804083</v>
      </c>
      <c r="E29" s="110">
        <f>IF(E11=0,0,E11/TrRail_act!E17*1000)</f>
        <v>3154.6619995971037</v>
      </c>
      <c r="F29" s="110">
        <f>IF(F11=0,0,F11/TrRail_act!F17*1000)</f>
        <v>2910.6326827130451</v>
      </c>
      <c r="G29" s="110">
        <f>IF(G11=0,0,G11/TrRail_act!G17*1000)</f>
        <v>2642.1239136055947</v>
      </c>
      <c r="H29" s="110">
        <f>IF(H11=0,0,H11/TrRail_act!H17*1000)</f>
        <v>2287.4524147182801</v>
      </c>
      <c r="I29" s="110">
        <f>IF(I11=0,0,I11/TrRail_act!I17*1000)</f>
        <v>2157.8171098361522</v>
      </c>
      <c r="J29" s="110">
        <f>IF(J11=0,0,J11/TrRail_act!J17*1000)</f>
        <v>2197.9658022230083</v>
      </c>
      <c r="K29" s="110">
        <f>IF(K11=0,0,K11/TrRail_act!K17*1000)</f>
        <v>2180.1523009482439</v>
      </c>
      <c r="L29" s="110">
        <f>IF(L11=0,0,L11/TrRail_act!L17*1000)</f>
        <v>2141.902771570497</v>
      </c>
      <c r="M29" s="110">
        <f>IF(M11=0,0,M11/TrRail_act!M17*1000)</f>
        <v>1970.2662742545906</v>
      </c>
      <c r="N29" s="110">
        <f>IF(N11=0,0,N11/TrRail_act!N17*1000)</f>
        <v>1822.1385552069473</v>
      </c>
      <c r="O29" s="110">
        <f>IF(O11=0,0,O11/TrRail_act!O17*1000)</f>
        <v>1672.9204631992611</v>
      </c>
      <c r="P29" s="110">
        <f>IF(P11=0,0,P11/TrRail_act!P17*1000)</f>
        <v>1865.4238102030138</v>
      </c>
      <c r="Q29" s="110">
        <f>IF(Q11=0,0,Q11/TrRail_act!Q17*1000)</f>
        <v>1590.0012384196693</v>
      </c>
      <c r="R29" s="110">
        <f>IF(R11=0,0,R11/TrRail_act!R17*1000)</f>
        <v>1536.2124333775894</v>
      </c>
      <c r="S29" s="110">
        <f>IF(S11=0,0,S11/TrRail_act!S17*1000)</f>
        <v>1584.1638728378873</v>
      </c>
      <c r="T29" s="110">
        <f>IF(T11=0,0,T11/TrRail_act!T17*1000)</f>
        <v>1453.9770500215013</v>
      </c>
      <c r="U29" s="110">
        <f>IF(U11=0,0,U11/TrRail_act!U17*1000)</f>
        <v>1364.1469607729121</v>
      </c>
      <c r="V29" s="110">
        <f>IF(V11=0,0,V11/TrRail_act!V17*1000)</f>
        <v>1223.8473153633054</v>
      </c>
      <c r="W29" s="110">
        <f>IF(W11=0,0,W11/TrRail_act!W17*1000)</f>
        <v>1117.7931307669101</v>
      </c>
      <c r="X29" s="110">
        <f>IF(X11=0,0,X11/TrRail_act!X17*1000)</f>
        <v>1078.3494906251369</v>
      </c>
      <c r="Y29" s="110">
        <f>IF(Y11=0,0,Y11/TrRail_act!Y17*1000)</f>
        <v>1079.6358656410735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7524.4564985417783</v>
      </c>
      <c r="C30" s="84">
        <f>IF(C12=0,0,C12/TrRail_act!C18*1000)</f>
        <v>7373.5340489017872</v>
      </c>
      <c r="D30" s="84">
        <f>IF(D12=0,0,D12/TrRail_act!D18*1000)</f>
        <v>6963.9308438433072</v>
      </c>
      <c r="E30" s="84">
        <f>IF(E12=0,0,E12/TrRail_act!E18*1000)</f>
        <v>6707.8147409353942</v>
      </c>
      <c r="F30" s="84">
        <f>IF(F12=0,0,F12/TrRail_act!F18*1000)</f>
        <v>6654.4792289421384</v>
      </c>
      <c r="G30" s="84">
        <f>IF(G12=0,0,G12/TrRail_act!G18*1000)</f>
        <v>6414.0687692825641</v>
      </c>
      <c r="H30" s="84">
        <f>IF(H12=0,0,H12/TrRail_act!H18*1000)</f>
        <v>6206.8914558512324</v>
      </c>
      <c r="I30" s="84">
        <f>IF(I12=0,0,I12/TrRail_act!I18*1000)</f>
        <v>5945.0691021258126</v>
      </c>
      <c r="J30" s="84">
        <f>IF(J12=0,0,J12/TrRail_act!J18*1000)</f>
        <v>5877.6221251441084</v>
      </c>
      <c r="K30" s="84">
        <f>IF(K12=0,0,K12/TrRail_act!K18*1000)</f>
        <v>5855.3058193006809</v>
      </c>
      <c r="L30" s="84">
        <f>IF(L12=0,0,L12/TrRail_act!L18*1000)</f>
        <v>5647.7734866239425</v>
      </c>
      <c r="M30" s="84">
        <f>IF(M12=0,0,M12/TrRail_act!M18*1000)</f>
        <v>5488.1805437411031</v>
      </c>
      <c r="N30" s="84">
        <f>IF(N12=0,0,N12/TrRail_act!N18*1000)</f>
        <v>5291.7514599732131</v>
      </c>
      <c r="O30" s="84">
        <f>IF(O12=0,0,O12/TrRail_act!O18*1000)</f>
        <v>5249.5145711762971</v>
      </c>
      <c r="P30" s="84">
        <f>IF(P12=0,0,P12/TrRail_act!P18*1000)</f>
        <v>5161.4281533945641</v>
      </c>
      <c r="Q30" s="84">
        <f>IF(Q12=0,0,Q12/TrRail_act!Q18*1000)</f>
        <v>5128.8665207397571</v>
      </c>
      <c r="R30" s="84">
        <f>IF(R12=0,0,R12/TrRail_act!R18*1000)</f>
        <v>5028.0114714410474</v>
      </c>
      <c r="S30" s="84">
        <f>IF(S12=0,0,S12/TrRail_act!S18*1000)</f>
        <v>4953.6738275525813</v>
      </c>
      <c r="T30" s="84">
        <f>IF(T12=0,0,T12/TrRail_act!T18*1000)</f>
        <v>4898.6427453973274</v>
      </c>
      <c r="U30" s="84">
        <f>IF(U12=0,0,U12/TrRail_act!U18*1000)</f>
        <v>4857.7710038026362</v>
      </c>
      <c r="V30" s="84">
        <f>IF(V12=0,0,V12/TrRail_act!V18*1000)</f>
        <v>4827.3411431797795</v>
      </c>
      <c r="W30" s="84">
        <f>IF(W12=0,0,W12/TrRail_act!W18*1000)</f>
        <v>4804.6439059095146</v>
      </c>
      <c r="X30" s="84">
        <f>IF(X12=0,0,X12/TrRail_act!X18*1000)</f>
        <v>4787.6910391778511</v>
      </c>
      <c r="Y30" s="84">
        <f>IF(Y12=0,0,Y12/TrRail_act!Y18*1000)</f>
        <v>4775.0156556322554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2935.5135983018154</v>
      </c>
      <c r="C33" s="28">
        <f>IF(C15=0,0,C15/TrRail_act!C21*1000)</f>
        <v>2708.4235017277956</v>
      </c>
      <c r="D33" s="28">
        <f>IF(D15=0,0,D15/TrRail_act!D21*1000)</f>
        <v>2534.0458898638735</v>
      </c>
      <c r="E33" s="28">
        <f>IF(E15=0,0,E15/TrRail_act!E21*1000)</f>
        <v>2239.3878901576459</v>
      </c>
      <c r="F33" s="28">
        <f>IF(F15=0,0,F15/TrRail_act!F21*1000)</f>
        <v>2048.6984916722122</v>
      </c>
      <c r="G33" s="28">
        <f>IF(G15=0,0,G15/TrRail_act!G21*1000)</f>
        <v>1995.8341812027352</v>
      </c>
      <c r="H33" s="28">
        <f>IF(H15=0,0,H15/TrRail_act!H21*1000)</f>
        <v>2016.312477766033</v>
      </c>
      <c r="I33" s="28">
        <f>IF(I15=0,0,I15/TrRail_act!I21*1000)</f>
        <v>1880.3523920014459</v>
      </c>
      <c r="J33" s="28">
        <f>IF(J15=0,0,J15/TrRail_act!J21*1000)</f>
        <v>1743.6557023549306</v>
      </c>
      <c r="K33" s="28">
        <f>IF(K15=0,0,K15/TrRail_act!K21*1000)</f>
        <v>1610.0655604348594</v>
      </c>
      <c r="L33" s="28">
        <f>IF(L15=0,0,L15/TrRail_act!L21*1000)</f>
        <v>1488.9958290578827</v>
      </c>
      <c r="M33" s="28">
        <f>IF(M15=0,0,M15/TrRail_act!M21*1000)</f>
        <v>625.00123757064921</v>
      </c>
      <c r="N33" s="28">
        <f>IF(N15=0,0,N15/TrRail_act!N21*1000)</f>
        <v>1307.0852433582804</v>
      </c>
      <c r="O33" s="28">
        <f>IF(O15=0,0,O15/TrRail_act!O21*1000)</f>
        <v>1300.8254416807242</v>
      </c>
      <c r="P33" s="28">
        <f>IF(P15=0,0,P15/TrRail_act!P21*1000)</f>
        <v>1331.6902575428426</v>
      </c>
      <c r="Q33" s="28">
        <f>IF(Q15=0,0,Q15/TrRail_act!Q21*1000)</f>
        <v>1222.860788274711</v>
      </c>
      <c r="R33" s="28">
        <f>IF(R15=0,0,R15/TrRail_act!R21*1000)</f>
        <v>1082.107455372608</v>
      </c>
      <c r="S33" s="28">
        <f>IF(S15=0,0,S15/TrRail_act!S21*1000)</f>
        <v>1042.0018581257532</v>
      </c>
      <c r="T33" s="28">
        <f>IF(T15=0,0,T15/TrRail_act!T21*1000)</f>
        <v>1257.1838500167764</v>
      </c>
      <c r="U33" s="28">
        <f>IF(U15=0,0,U15/TrRail_act!U21*1000)</f>
        <v>1193.2150416228128</v>
      </c>
      <c r="V33" s="28">
        <f>IF(V15=0,0,V15/TrRail_act!V21*1000)</f>
        <v>1188.5867256629945</v>
      </c>
      <c r="W33" s="28">
        <f>IF(W15=0,0,W15/TrRail_act!W21*1000)</f>
        <v>1411.0330975540473</v>
      </c>
      <c r="X33" s="28">
        <f>IF(X15=0,0,X15/TrRail_act!X21*1000)</f>
        <v>1623.5775745504793</v>
      </c>
      <c r="Y33" s="28">
        <f>IF(Y15=0,0,Y15/TrRail_act!Y21*1000)</f>
        <v>1417.6557223084926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14064.952239654905</v>
      </c>
      <c r="C34" s="84">
        <f>IF(C16=0,0,C16/TrRail_act!C22*1000)</f>
        <v>13695.275349876785</v>
      </c>
      <c r="D34" s="84">
        <f>IF(D16=0,0,D16/TrRail_act!D22*1000)</f>
        <v>13277.085860530435</v>
      </c>
      <c r="E34" s="84">
        <f>IF(E16=0,0,E16/TrRail_act!E22*1000)</f>
        <v>13057.031399911128</v>
      </c>
      <c r="F34" s="84">
        <f>IF(F16=0,0,F16/TrRail_act!F22*1000)</f>
        <v>12971.710514435983</v>
      </c>
      <c r="G34" s="84">
        <f>IF(G16=0,0,G16/TrRail_act!G22*1000)</f>
        <v>12870.703206224245</v>
      </c>
      <c r="H34" s="84">
        <f>IF(H16=0,0,H16/TrRail_act!H22*1000)</f>
        <v>12468.481797545463</v>
      </c>
      <c r="I34" s="84">
        <f>IF(I16=0,0,I16/TrRail_act!I22*1000)</f>
        <v>12389.433641163725</v>
      </c>
      <c r="J34" s="84">
        <f>IF(J16=0,0,J16/TrRail_act!J22*1000)</f>
        <v>12265.004162464791</v>
      </c>
      <c r="K34" s="84">
        <f>IF(K16=0,0,K16/TrRail_act!K22*1000)</f>
        <v>12172.494061093623</v>
      </c>
      <c r="L34" s="84">
        <f>IF(L16=0,0,L16/TrRail_act!L22*1000)</f>
        <v>12092.167272748913</v>
      </c>
      <c r="M34" s="84">
        <f>IF(M16=0,0,M16/TrRail_act!M22*1000)</f>
        <v>11959.547290922917</v>
      </c>
      <c r="N34" s="84">
        <f>IF(N16=0,0,N16/TrRail_act!N22*1000)</f>
        <v>11884.154449039714</v>
      </c>
      <c r="O34" s="84">
        <f>IF(O16=0,0,O16/TrRail_act!O22*1000)</f>
        <v>11811.668697227091</v>
      </c>
      <c r="P34" s="84">
        <f>IF(P16=0,0,P16/TrRail_act!P22*1000)</f>
        <v>11722.613722926404</v>
      </c>
      <c r="Q34" s="84">
        <f>IF(Q16=0,0,Q16/TrRail_act!Q22*1000)</f>
        <v>11669.158021149871</v>
      </c>
      <c r="R34" s="84">
        <f>IF(R16=0,0,R16/TrRail_act!R22*1000)</f>
        <v>11605.967821078319</v>
      </c>
      <c r="S34" s="84">
        <f>IF(S16=0,0,S16/TrRail_act!S22*1000)</f>
        <v>11558.799830905924</v>
      </c>
      <c r="T34" s="84">
        <f>IF(T16=0,0,T16/TrRail_act!T22*1000)</f>
        <v>11523.549681532046</v>
      </c>
      <c r="U34" s="84">
        <f>IF(U16=0,0,U16/TrRail_act!U22*1000)</f>
        <v>11497.182634438648</v>
      </c>
      <c r="V34" s="84">
        <f>IF(V16=0,0,V16/TrRail_act!V22*1000)</f>
        <v>11477.446948544353</v>
      </c>
      <c r="W34" s="84">
        <f>IF(W16=0,0,W16/TrRail_act!W22*1000)</f>
        <v>11462.667419500189</v>
      </c>
      <c r="X34" s="84">
        <f>IF(X16=0,0,X16/TrRail_act!X22*1000)</f>
        <v>11451.595263562453</v>
      </c>
      <c r="Y34" s="84">
        <f>IF(Y16=0,0,Y16/TrRail_act!Y22*1000)</f>
        <v>11443.298165734199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18.386811147077921</v>
      </c>
      <c r="C38" s="29">
        <f>IF(C9=0,0,C9/TrRail_act!C4*1000)</f>
        <v>17.559275782025438</v>
      </c>
      <c r="D38" s="29">
        <f>IF(D9=0,0,D9/TrRail_act!D4*1000)</f>
        <v>16.341627295266687</v>
      </c>
      <c r="E38" s="29">
        <f>IF(E9=0,0,E9/TrRail_act!E4*1000)</f>
        <v>16.153145338808525</v>
      </c>
      <c r="F38" s="29">
        <f>IF(F9=0,0,F9/TrRail_act!F4*1000)</f>
        <v>15.330763998651262</v>
      </c>
      <c r="G38" s="29">
        <f>IF(G9=0,0,G9/TrRail_act!G4*1000)</f>
        <v>14.160177786981071</v>
      </c>
      <c r="H38" s="29">
        <f>IF(H9=0,0,H9/TrRail_act!H4*1000)</f>
        <v>13.193585136488615</v>
      </c>
      <c r="I38" s="29">
        <f>IF(I9=0,0,I9/TrRail_act!I4*1000)</f>
        <v>13.641857831552835</v>
      </c>
      <c r="J38" s="29">
        <f>IF(J9=0,0,J9/TrRail_act!J4*1000)</f>
        <v>14.467600900857812</v>
      </c>
      <c r="K38" s="29">
        <f>IF(K9=0,0,K9/TrRail_act!K4*1000)</f>
        <v>15.970435617572095</v>
      </c>
      <c r="L38" s="29">
        <f>IF(L9=0,0,L9/TrRail_act!L4*1000)</f>
        <v>14.503295727131569</v>
      </c>
      <c r="M38" s="29">
        <f>IF(M9=0,0,M9/TrRail_act!M4*1000)</f>
        <v>12.985585590493082</v>
      </c>
      <c r="N38" s="29">
        <f>IF(N9=0,0,N9/TrRail_act!N4*1000)</f>
        <v>10.588339179481796</v>
      </c>
      <c r="O38" s="29">
        <f>IF(O9=0,0,O9/TrRail_act!O4*1000)</f>
        <v>12.310181777044741</v>
      </c>
      <c r="P38" s="29">
        <f>IF(P9=0,0,P9/TrRail_act!P4*1000)</f>
        <v>12.81189158713849</v>
      </c>
      <c r="Q38" s="29">
        <f>IF(Q9=0,0,Q9/TrRail_act!Q4*1000)</f>
        <v>10.458086646905549</v>
      </c>
      <c r="R38" s="29">
        <f>IF(R9=0,0,R9/TrRail_act!R4*1000)</f>
        <v>10.169247734307504</v>
      </c>
      <c r="S38" s="29">
        <f>IF(S9=0,0,S9/TrRail_act!S4*1000)</f>
        <v>10.346121996622562</v>
      </c>
      <c r="T38" s="29">
        <f>IF(T9=0,0,T9/TrRail_act!T4*1000)</f>
        <v>10.416569101626509</v>
      </c>
      <c r="U38" s="29">
        <f>IF(U9=0,0,U9/TrRail_act!U4*1000)</f>
        <v>9.3014289862575144</v>
      </c>
      <c r="V38" s="29">
        <f>IF(V9=0,0,V9/TrRail_act!V4*1000)</f>
        <v>11.321520061151171</v>
      </c>
      <c r="W38" s="29">
        <f>IF(W9=0,0,W9/TrRail_act!W4*1000)</f>
        <v>10.289765177984879</v>
      </c>
      <c r="X38" s="29">
        <f>IF(X9=0,0,X9/TrRail_act!X4*1000)</f>
        <v>7.1476460402207813</v>
      </c>
      <c r="Y38" s="29">
        <f>IF(Y9=0,0,Y9/TrRail_act!Y4*1000)</f>
        <v>6.1063316279174753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23.261886422842935</v>
      </c>
      <c r="C40" s="116">
        <f>IF(C11=0,0,C11/TrRail_act!C6*1000)</f>
        <v>22.071509468740821</v>
      </c>
      <c r="D40" s="116">
        <f>IF(D11=0,0,D11/TrRail_act!D6*1000)</f>
        <v>20.276900946467553</v>
      </c>
      <c r="E40" s="116">
        <f>IF(E11=0,0,E11/TrRail_act!E6*1000)</f>
        <v>20.104274414488305</v>
      </c>
      <c r="F40" s="116">
        <f>IF(F11=0,0,F11/TrRail_act!F6*1000)</f>
        <v>18.980586809938629</v>
      </c>
      <c r="G40" s="116">
        <f>IF(G11=0,0,G11/TrRail_act!G6*1000)</f>
        <v>17.54246368006466</v>
      </c>
      <c r="H40" s="116">
        <f>IF(H11=0,0,H11/TrRail_act!H6*1000)</f>
        <v>16.312342111701234</v>
      </c>
      <c r="I40" s="116">
        <f>IF(I11=0,0,I11/TrRail_act!I6*1000)</f>
        <v>17.195723902844026</v>
      </c>
      <c r="J40" s="116">
        <f>IF(J11=0,0,J11/TrRail_act!J6*1000)</f>
        <v>18.541629856900141</v>
      </c>
      <c r="K40" s="116">
        <f>IF(K11=0,0,K11/TrRail_act!K6*1000)</f>
        <v>20.96416449501907</v>
      </c>
      <c r="L40" s="116">
        <f>IF(L11=0,0,L11/TrRail_act!L6*1000)</f>
        <v>19.20303574338342</v>
      </c>
      <c r="M40" s="116">
        <f>IF(M11=0,0,M11/TrRail_act!M6*1000)</f>
        <v>17.174014879768919</v>
      </c>
      <c r="N40" s="116">
        <f>IF(N11=0,0,N11/TrRail_act!N6*1000)</f>
        <v>13.978179419274062</v>
      </c>
      <c r="O40" s="116">
        <f>IF(O11=0,0,O11/TrRail_act!O6*1000)</f>
        <v>16.251087268417347</v>
      </c>
      <c r="P40" s="116">
        <f>IF(P11=0,0,P11/TrRail_act!P6*1000)</f>
        <v>17.48011770805812</v>
      </c>
      <c r="Q40" s="116">
        <f>IF(Q11=0,0,Q11/TrRail_act!Q6*1000)</f>
        <v>14.508096359743661</v>
      </c>
      <c r="R40" s="116">
        <f>IF(R11=0,0,R11/TrRail_act!R6*1000)</f>
        <v>14.238945464580508</v>
      </c>
      <c r="S40" s="116">
        <f>IF(S11=0,0,S11/TrRail_act!S6*1000)</f>
        <v>14.421983783080067</v>
      </c>
      <c r="T40" s="116">
        <f>IF(T11=0,0,T11/TrRail_act!T6*1000)</f>
        <v>14.046549044544669</v>
      </c>
      <c r="U40" s="116">
        <f>IF(U11=0,0,U11/TrRail_act!U6*1000)</f>
        <v>12.669873820695322</v>
      </c>
      <c r="V40" s="116">
        <f>IF(V11=0,0,V11/TrRail_act!V6*1000)</f>
        <v>15.624817241378596</v>
      </c>
      <c r="W40" s="116">
        <f>IF(W11=0,0,W11/TrRail_act!W6*1000)</f>
        <v>13.634714521693521</v>
      </c>
      <c r="X40" s="116">
        <f>IF(X11=0,0,X11/TrRail_act!X6*1000)</f>
        <v>9.2681919651912743</v>
      </c>
      <c r="Y40" s="116">
        <f>IF(Y11=0,0,Y11/TrRail_act!Y6*1000)</f>
        <v>7.7506736886886403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56.865429753398146</v>
      </c>
      <c r="C41" s="87">
        <f>IF(C12=0,0,C12/TrRail_act!C7*1000)</f>
        <v>55.714547242037767</v>
      </c>
      <c r="D41" s="87">
        <f>IF(D12=0,0,D12/TrRail_act!D7*1000)</f>
        <v>47.432151885657063</v>
      </c>
      <c r="E41" s="87">
        <f>IF(E12=0,0,E12/TrRail_act!E7*1000)</f>
        <v>49.978423616936595</v>
      </c>
      <c r="F41" s="87">
        <f>IF(F12=0,0,F12/TrRail_act!F7*1000)</f>
        <v>47.212289883281095</v>
      </c>
      <c r="G41" s="87">
        <f>IF(G12=0,0,G12/TrRail_act!G7*1000)</f>
        <v>48.347785933183289</v>
      </c>
      <c r="H41" s="87">
        <f>IF(H12=0,0,H12/TrRail_act!H7*1000)</f>
        <v>43.099984736004238</v>
      </c>
      <c r="I41" s="87">
        <f>IF(I12=0,0,I12/TrRail_act!I7*1000)</f>
        <v>48.081040305109802</v>
      </c>
      <c r="J41" s="87">
        <f>IF(J12=0,0,J12/TrRail_act!J7*1000)</f>
        <v>52.181304901333753</v>
      </c>
      <c r="K41" s="87">
        <f>IF(K12=0,0,K12/TrRail_act!K7*1000)</f>
        <v>57.256584195479412</v>
      </c>
      <c r="L41" s="87">
        <f>IF(L12=0,0,L12/TrRail_act!L7*1000)</f>
        <v>55.950970403744982</v>
      </c>
      <c r="M41" s="87">
        <f>IF(M12=0,0,M12/TrRail_act!M7*1000)</f>
        <v>50.445361100993757</v>
      </c>
      <c r="N41" s="87">
        <f>IF(N12=0,0,N12/TrRail_act!N7*1000)</f>
        <v>46.880996262533998</v>
      </c>
      <c r="O41" s="87">
        <f>IF(O12=0,0,O12/TrRail_act!O7*1000)</f>
        <v>52.614169904935146</v>
      </c>
      <c r="P41" s="87">
        <f>IF(P12=0,0,P12/TrRail_act!P7*1000)</f>
        <v>49.261944813417706</v>
      </c>
      <c r="Q41" s="87">
        <f>IF(Q12=0,0,Q12/TrRail_act!Q7*1000)</f>
        <v>51.71799198304695</v>
      </c>
      <c r="R41" s="87">
        <f>IF(R12=0,0,R12/TrRail_act!R7*1000)</f>
        <v>51.425642652213952</v>
      </c>
      <c r="S41" s="87">
        <f>IF(S12=0,0,S12/TrRail_act!S7*1000)</f>
        <v>50.60156876642754</v>
      </c>
      <c r="T41" s="87">
        <f>IF(T12=0,0,T12/TrRail_act!T7*1000)</f>
        <v>47.988586199189911</v>
      </c>
      <c r="U41" s="87">
        <f>IF(U12=0,0,U12/TrRail_act!U7*1000)</f>
        <v>45.578635096077697</v>
      </c>
      <c r="V41" s="87">
        <f>IF(V12=0,0,V12/TrRail_act!V7*1000)</f>
        <v>61.439506115701228</v>
      </c>
      <c r="W41" s="87">
        <f>IF(W12=0,0,W12/TrRail_act!W7*1000)</f>
        <v>61.660211023435927</v>
      </c>
      <c r="X41" s="87">
        <f>IF(X12=0,0,X12/TrRail_act!X7*1000)</f>
        <v>48.156069167827759</v>
      </c>
      <c r="Y41" s="87">
        <f>IF(Y12=0,0,Y12/TrRail_act!Y7*1000)</f>
        <v>41.568973024021517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4.9259757958193475</v>
      </c>
      <c r="C44" s="29">
        <f>IF(C15=0,0,C15/TrRail_act!C10*1000)</f>
        <v>4.8854781600169854</v>
      </c>
      <c r="D44" s="29">
        <f>IF(D15=0,0,D15/TrRail_act!D10*1000)</f>
        <v>4.6225282888141228</v>
      </c>
      <c r="E44" s="29">
        <f>IF(E15=0,0,E15/TrRail_act!E10*1000)</f>
        <v>4.1605688223719879</v>
      </c>
      <c r="F44" s="29">
        <f>IF(F15=0,0,F15/TrRail_act!F10*1000)</f>
        <v>3.6845666106953772</v>
      </c>
      <c r="G44" s="29">
        <f>IF(G15=0,0,G15/TrRail_act!G10*1000)</f>
        <v>3.5145846213072613</v>
      </c>
      <c r="H44" s="29">
        <f>IF(H15=0,0,H15/TrRail_act!H10*1000)</f>
        <v>3.6214881720457801</v>
      </c>
      <c r="I44" s="29">
        <f>IF(I15=0,0,I15/TrRail_act!I10*1000)</f>
        <v>3.6061927151979578</v>
      </c>
      <c r="J44" s="29">
        <f>IF(J15=0,0,J15/TrRail_act!J10*1000)</f>
        <v>3.3405717264111803</v>
      </c>
      <c r="K44" s="29">
        <f>IF(K15=0,0,K15/TrRail_act!K10*1000)</f>
        <v>3.0931285385385197</v>
      </c>
      <c r="L44" s="29">
        <f>IF(L15=0,0,L15/TrRail_act!L10*1000)</f>
        <v>2.6873165370725332</v>
      </c>
      <c r="M44" s="29">
        <f>IF(M15=0,0,M15/TrRail_act!M10*1000)</f>
        <v>1.0791194788718923</v>
      </c>
      <c r="N44" s="29">
        <f>IF(N15=0,0,N15/TrRail_act!N10*1000)</f>
        <v>2.0028648464947603</v>
      </c>
      <c r="O44" s="29">
        <f>IF(O15=0,0,O15/TrRail_act!O10*1000)</f>
        <v>2.2572077392585004</v>
      </c>
      <c r="P44" s="29">
        <f>IF(P15=0,0,P15/TrRail_act!P10*1000)</f>
        <v>2.3096130316052683</v>
      </c>
      <c r="Q44" s="29">
        <f>IF(Q15=0,0,Q15/TrRail_act!Q10*1000)</f>
        <v>2.0299994803906531</v>
      </c>
      <c r="R44" s="29">
        <f>IF(R15=0,0,R15/TrRail_act!R10*1000)</f>
        <v>1.727302363180599</v>
      </c>
      <c r="S44" s="29">
        <f>IF(S15=0,0,S15/TrRail_act!S10*1000)</f>
        <v>1.6484743465864025</v>
      </c>
      <c r="T44" s="29">
        <f>IF(T15=0,0,T15/TrRail_act!T10*1000)</f>
        <v>2.3026921696795082</v>
      </c>
      <c r="U44" s="29">
        <f>IF(U15=0,0,U15/TrRail_act!U10*1000)</f>
        <v>2.1252582797148105</v>
      </c>
      <c r="V44" s="29">
        <f>IF(V15=0,0,V15/TrRail_act!V10*1000)</f>
        <v>2.5062964303879527</v>
      </c>
      <c r="W44" s="29">
        <f>IF(W15=0,0,W15/TrRail_act!W10*1000)</f>
        <v>2.7142589737019231</v>
      </c>
      <c r="X44" s="29">
        <f>IF(X15=0,0,X15/TrRail_act!X10*1000)</f>
        <v>3.1391852989251867</v>
      </c>
      <c r="Y44" s="29">
        <f>IF(Y15=0,0,Y15/TrRail_act!Y10*1000)</f>
        <v>2.3198241819200165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19.000660569830892</v>
      </c>
      <c r="C45" s="87">
        <f>IF(C16=0,0,C16/TrRail_act!C11*1000)</f>
        <v>19.464265014055307</v>
      </c>
      <c r="D45" s="87">
        <f>IF(D16=0,0,D16/TrRail_act!D11*1000)</f>
        <v>18.264947958322526</v>
      </c>
      <c r="E45" s="87">
        <f>IF(E16=0,0,E16/TrRail_act!E11*1000)</f>
        <v>17.22220575695194</v>
      </c>
      <c r="F45" s="87">
        <f>IF(F16=0,0,F16/TrRail_act!F11*1000)</f>
        <v>16.117911544236087</v>
      </c>
      <c r="G45" s="87">
        <f>IF(G16=0,0,G16/TrRail_act!G11*1000)</f>
        <v>16.132625110521193</v>
      </c>
      <c r="H45" s="87">
        <f>IF(H16=0,0,H16/TrRail_act!H11*1000)</f>
        <v>15.546873156439155</v>
      </c>
      <c r="I45" s="87">
        <f>IF(I16=0,0,I16/TrRail_act!I11*1000)</f>
        <v>16.054660044402286</v>
      </c>
      <c r="J45" s="87">
        <f>IF(J16=0,0,J16/TrRail_act!J11*1000)</f>
        <v>15.765354488094951</v>
      </c>
      <c r="K45" s="87">
        <f>IF(K16=0,0,K16/TrRail_act!K11*1000)</f>
        <v>16.157543863600747</v>
      </c>
      <c r="L45" s="87">
        <f>IF(L16=0,0,L16/TrRail_act!L11*1000)</f>
        <v>16.197140518214198</v>
      </c>
      <c r="M45" s="87">
        <f>IF(M16=0,0,M16/TrRail_act!M11*1000)</f>
        <v>14.32024666952187</v>
      </c>
      <c r="N45" s="87">
        <f>IF(N16=0,0,N16/TrRail_act!N11*1000)</f>
        <v>12.731389400703215</v>
      </c>
      <c r="O45" s="87">
        <f>IF(O16=0,0,O16/TrRail_act!O11*1000)</f>
        <v>14.729816311313671</v>
      </c>
      <c r="P45" s="87">
        <f>IF(P16=0,0,P16/TrRail_act!P11*1000)</f>
        <v>13.934855679454261</v>
      </c>
      <c r="Q45" s="87">
        <f>IF(Q16=0,0,Q16/TrRail_act!Q11*1000)</f>
        <v>14.025636074636687</v>
      </c>
      <c r="R45" s="87">
        <f>IF(R16=0,0,R16/TrRail_act!R11*1000)</f>
        <v>12.186876487015812</v>
      </c>
      <c r="S45" s="87">
        <f>IF(S16=0,0,S16/TrRail_act!S11*1000)</f>
        <v>11.454409518500428</v>
      </c>
      <c r="T45" s="87">
        <f>IF(T16=0,0,T16/TrRail_act!T11*1000)</f>
        <v>15.934185342388476</v>
      </c>
      <c r="U45" s="87">
        <f>IF(U16=0,0,U16/TrRail_act!U11*1000)</f>
        <v>15.582762864931206</v>
      </c>
      <c r="V45" s="87">
        <f>IF(V16=0,0,V16/TrRail_act!V11*1000)</f>
        <v>20.295295281037525</v>
      </c>
      <c r="W45" s="87">
        <f>IF(W16=0,0,W16/TrRail_act!W11*1000)</f>
        <v>22.10671990794367</v>
      </c>
      <c r="X45" s="87">
        <f>IF(X16=0,0,X16/TrRail_act!X11*1000)</f>
        <v>21.162265093330799</v>
      </c>
      <c r="Y45" s="87">
        <f>IF(Y16=0,0,Y16/TrRail_act!Y11*1000)</f>
        <v>15.593919073358991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360.14045013960799</v>
      </c>
      <c r="C48" s="62">
        <f>IF(C8=0,0,1000000*C8/TrRail_act!C25/1000)</f>
        <v>341.88134979722258</v>
      </c>
      <c r="D48" s="62">
        <f>IF(D8=0,0,1000000*D8/TrRail_act!D25/1000)</f>
        <v>332.3974635686518</v>
      </c>
      <c r="E48" s="62">
        <f>IF(E8=0,0,1000000*E8/TrRail_act!E25/1000)</f>
        <v>306.21285315785678</v>
      </c>
      <c r="F48" s="62">
        <f>IF(F8=0,0,1000000*F8/TrRail_act!F25/1000)</f>
        <v>287.56356287778942</v>
      </c>
      <c r="G48" s="62">
        <f>IF(G8=0,0,1000000*G8/TrRail_act!G25/1000)</f>
        <v>266.11901090757732</v>
      </c>
      <c r="H48" s="62">
        <f>IF(H8=0,0,1000000*H8/TrRail_act!H25/1000)</f>
        <v>243.26073873221353</v>
      </c>
      <c r="I48" s="62">
        <f>IF(I8=0,0,1000000*I8/TrRail_act!I25/1000)</f>
        <v>227.04342198514959</v>
      </c>
      <c r="J48" s="62">
        <f>IF(J8=0,0,1000000*J8/TrRail_act!J25/1000)</f>
        <v>224.83741035682587</v>
      </c>
      <c r="K48" s="62">
        <f>IF(K8=0,0,1000000*K8/TrRail_act!K25/1000)</f>
        <v>214.56346740071285</v>
      </c>
      <c r="L48" s="62">
        <f>IF(L8=0,0,1000000*L8/TrRail_act!L25/1000)</f>
        <v>201.8526146961342</v>
      </c>
      <c r="M48" s="62">
        <f>IF(M8=0,0,1000000*M8/TrRail_act!M25/1000)</f>
        <v>172.925725042615</v>
      </c>
      <c r="N48" s="62">
        <f>IF(N8=0,0,1000000*N8/TrRail_act!N25/1000)</f>
        <v>164.10547742799091</v>
      </c>
      <c r="O48" s="62">
        <f>IF(O8=0,0,1000000*O8/TrRail_act!O25/1000)</f>
        <v>169.37875064966525</v>
      </c>
      <c r="P48" s="62">
        <f>IF(P8=0,0,1000000*P8/TrRail_act!P25/1000)</f>
        <v>172.97774162383845</v>
      </c>
      <c r="Q48" s="62">
        <f>IF(Q8=0,0,1000000*Q8/TrRail_act!Q25/1000)</f>
        <v>140.69850161882485</v>
      </c>
      <c r="R48" s="62">
        <f>IF(R8=0,0,1000000*R8/TrRail_act!R25/1000)</f>
        <v>134.78349488519203</v>
      </c>
      <c r="S48" s="62">
        <f>IF(S8=0,0,1000000*S8/TrRail_act!S25/1000)</f>
        <v>140.31305916901198</v>
      </c>
      <c r="T48" s="62">
        <f>IF(T8=0,0,1000000*T8/TrRail_act!T25/1000)</f>
        <v>140.39036939338871</v>
      </c>
      <c r="U48" s="62">
        <f>IF(U8=0,0,1000000*U8/TrRail_act!U25/1000)</f>
        <v>133.71506811013953</v>
      </c>
      <c r="V48" s="62">
        <f>IF(V8=0,0,1000000*V8/TrRail_act!V25/1000)</f>
        <v>119.53223536683876</v>
      </c>
      <c r="W48" s="62">
        <f>IF(W8=0,0,1000000*W8/TrRail_act!W25/1000)</f>
        <v>120.63221180074659</v>
      </c>
      <c r="X48" s="62">
        <f>IF(X8=0,0,1000000*X8/TrRail_act!X25/1000)</f>
        <v>119.49337643029361</v>
      </c>
      <c r="Y48" s="62">
        <f>IF(Y8=0,0,1000000*Y8/TrRail_act!Y25/1000)</f>
        <v>114.00024194877501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335.226119609237</v>
      </c>
      <c r="C49" s="29">
        <f>IF(C9=0,0,1000000*C9/TrRail_act!C26/1000)</f>
        <v>321.7324494787398</v>
      </c>
      <c r="D49" s="29">
        <f>IF(D9=0,0,1000000*D9/TrRail_act!D26/1000)</f>
        <v>314.14329915051837</v>
      </c>
      <c r="E49" s="29">
        <f>IF(E9=0,0,1000000*E9/TrRail_act!E26/1000)</f>
        <v>292.061208161742</v>
      </c>
      <c r="F49" s="29">
        <f>IF(F9=0,0,1000000*F9/TrRail_act!F26/1000)</f>
        <v>273.9169447521777</v>
      </c>
      <c r="G49" s="29">
        <f>IF(G9=0,0,1000000*G9/TrRail_act!G26/1000)</f>
        <v>250.67261382006723</v>
      </c>
      <c r="H49" s="29">
        <f>IF(H9=0,0,1000000*H9/TrRail_act!H26/1000)</f>
        <v>222.61772823878246</v>
      </c>
      <c r="I49" s="29">
        <f>IF(I9=0,0,1000000*I9/TrRail_act!I26/1000)</f>
        <v>207.26786867785302</v>
      </c>
      <c r="J49" s="29">
        <f>IF(J9=0,0,1000000*J9/TrRail_act!J26/1000)</f>
        <v>208.91410984398837</v>
      </c>
      <c r="K49" s="29">
        <f>IF(K9=0,0,1000000*K9/TrRail_act!K26/1000)</f>
        <v>208.37790061798967</v>
      </c>
      <c r="L49" s="29">
        <f>IF(L9=0,0,1000000*L9/TrRail_act!L26/1000)</f>
        <v>192.07228650640286</v>
      </c>
      <c r="M49" s="29">
        <f>IF(M9=0,0,1000000*M9/TrRail_act!M26/1000)</f>
        <v>179.08723550821381</v>
      </c>
      <c r="N49" s="29">
        <f>IF(N9=0,0,1000000*N9/TrRail_act!N26/1000)</f>
        <v>155.65151942979242</v>
      </c>
      <c r="O49" s="29">
        <f>IF(O9=0,0,1000000*O9/TrRail_act!O26/1000)</f>
        <v>159.77797614660011</v>
      </c>
      <c r="P49" s="29">
        <f>IF(P9=0,0,1000000*P9/TrRail_act!P26/1000)</f>
        <v>163.06348554673514</v>
      </c>
      <c r="Q49" s="29">
        <f>IF(Q9=0,0,1000000*Q9/TrRail_act!Q26/1000)</f>
        <v>130.49641592357179</v>
      </c>
      <c r="R49" s="29">
        <f>IF(R9=0,0,1000000*R9/TrRail_act!R26/1000)</f>
        <v>126.8013341874163</v>
      </c>
      <c r="S49" s="29">
        <f>IF(S9=0,0,1000000*S9/TrRail_act!S26/1000)</f>
        <v>131.80928662492749</v>
      </c>
      <c r="T49" s="29">
        <f>IF(T9=0,0,1000000*T9/TrRail_act!T26/1000)</f>
        <v>128.37794416926175</v>
      </c>
      <c r="U49" s="29">
        <f>IF(U9=0,0,1000000*U9/TrRail_act!U26/1000)</f>
        <v>121.43910483432406</v>
      </c>
      <c r="V49" s="29">
        <f>IF(V9=0,0,1000000*V9/TrRail_act!V26/1000)</f>
        <v>100.40524057504345</v>
      </c>
      <c r="W49" s="29">
        <f>IF(W9=0,0,1000000*W9/TrRail_act!W26/1000)</f>
        <v>98.486735405537871</v>
      </c>
      <c r="X49" s="29">
        <f>IF(X9=0,0,1000000*X9/TrRail_act!X26/1000)</f>
        <v>91.58719838505489</v>
      </c>
      <c r="Y49" s="29">
        <f>IF(Y9=0,0,1000000*Y9/TrRail_act!Y26/1000)</f>
        <v>99.048674495574261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559.31847645891673</v>
      </c>
      <c r="C51" s="116">
        <f>IF(C11=0,0,1000000*C11/TrRail_act!C28/1000)</f>
        <v>531.63215237251893</v>
      </c>
      <c r="D51" s="116">
        <f>IF(D11=0,0,1000000*D11/TrRail_act!D28/1000)</f>
        <v>512.96489921901468</v>
      </c>
      <c r="E51" s="116">
        <f>IF(E11=0,0,1000000*E11/TrRail_act!E28/1000)</f>
        <v>473.19929965136481</v>
      </c>
      <c r="F51" s="116">
        <f>IF(F11=0,0,1000000*F11/TrRail_act!F28/1000)</f>
        <v>436.59490090092527</v>
      </c>
      <c r="G51" s="116">
        <f>IF(G11=0,0,1000000*G11/TrRail_act!G28/1000)</f>
        <v>396.31858593089601</v>
      </c>
      <c r="H51" s="116">
        <f>IF(H11=0,0,1000000*H11/TrRail_act!H28/1000)</f>
        <v>343.11786150958841</v>
      </c>
      <c r="I51" s="116">
        <f>IF(I11=0,0,1000000*I11/TrRail_act!I28/1000)</f>
        <v>323.67256604934551</v>
      </c>
      <c r="J51" s="116">
        <f>IF(J11=0,0,1000000*J11/TrRail_act!J28/1000)</f>
        <v>329.69486967584692</v>
      </c>
      <c r="K51" s="116">
        <f>IF(K11=0,0,1000000*K11/TrRail_act!K28/1000)</f>
        <v>327.02284487572541</v>
      </c>
      <c r="L51" s="116">
        <f>IF(L11=0,0,1000000*L11/TrRail_act!L28/1000)</f>
        <v>308.20970079353066</v>
      </c>
      <c r="M51" s="116">
        <f>IF(M11=0,0,1000000*M11/TrRail_act!M28/1000)</f>
        <v>295.5399404016726</v>
      </c>
      <c r="N51" s="116">
        <f>IF(N11=0,0,1000000*N11/TrRail_act!N28/1000)</f>
        <v>265.61263099431829</v>
      </c>
      <c r="O51" s="116">
        <f>IF(O11=0,0,1000000*O11/TrRail_act!O28/1000)</f>
        <v>250.9380691229747</v>
      </c>
      <c r="P51" s="116">
        <f>IF(P11=0,0,1000000*P11/TrRail_act!P28/1000)</f>
        <v>270.31378213899296</v>
      </c>
      <c r="Q51" s="116">
        <f>IF(Q11=0,0,1000000*Q11/TrRail_act!Q28/1000)</f>
        <v>232.84622904547717</v>
      </c>
      <c r="R51" s="116">
        <f>IF(R11=0,0,1000000*R11/TrRail_act!R28/1000)</f>
        <v>230.43186448659353</v>
      </c>
      <c r="S51" s="116">
        <f>IF(S11=0,0,1000000*S11/TrRail_act!S28/1000)</f>
        <v>237.6245803330028</v>
      </c>
      <c r="T51" s="116">
        <f>IF(T11=0,0,1000000*T11/TrRail_act!T28/1000)</f>
        <v>218.09655674841704</v>
      </c>
      <c r="U51" s="116">
        <f>IF(U11=0,0,1000000*U11/TrRail_act!U28/1000)</f>
        <v>204.6220439425903</v>
      </c>
      <c r="V51" s="116">
        <f>IF(V11=0,0,1000000*V11/TrRail_act!V28/1000)</f>
        <v>172.49610272152663</v>
      </c>
      <c r="W51" s="116">
        <f>IF(W11=0,0,1000000*W11/TrRail_act!W28/1000)</f>
        <v>167.66896918601216</v>
      </c>
      <c r="X51" s="116">
        <f>IF(X11=0,0,1000000*X11/TrRail_act!X28/1000)</f>
        <v>161.75242320599915</v>
      </c>
      <c r="Y51" s="116">
        <f>IF(Y11=0,0,1000000*Y11/TrRail_act!Y28/1000)</f>
        <v>161.9453795018407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1128.6684714216512</v>
      </c>
      <c r="C52" s="87">
        <f>IF(C12=0,0,1000000*C12/TrRail_act!C29/1000)</f>
        <v>1106.0301030137368</v>
      </c>
      <c r="D52" s="87">
        <f>IF(D12=0,0,1000000*D12/TrRail_act!D29/1000)</f>
        <v>1044.5896231685379</v>
      </c>
      <c r="E52" s="87">
        <f>IF(E12=0,0,1000000*E12/TrRail_act!E29/1000)</f>
        <v>1006.1722107804082</v>
      </c>
      <c r="F52" s="87">
        <f>IF(F12=0,0,1000000*F12/TrRail_act!F29/1000)</f>
        <v>998.17188056816417</v>
      </c>
      <c r="G52" s="87">
        <f>IF(G12=0,0,1000000*G12/TrRail_act!G29/1000)</f>
        <v>962.11031103012181</v>
      </c>
      <c r="H52" s="87">
        <f>IF(H12=0,0,1000000*H12/TrRail_act!H29/1000)</f>
        <v>931.03371518238896</v>
      </c>
      <c r="I52" s="87">
        <f>IF(I12=0,0,1000000*I12/TrRail_act!I29/1000)</f>
        <v>891.76036386172177</v>
      </c>
      <c r="J52" s="87">
        <f>IF(J12=0,0,1000000*J12/TrRail_act!J29/1000)</f>
        <v>881.64331663704183</v>
      </c>
      <c r="K52" s="87">
        <f>IF(K12=0,0,1000000*K12/TrRail_act!K29/1000)</f>
        <v>878.29587136816974</v>
      </c>
      <c r="L52" s="87">
        <f>IF(L12=0,0,1000000*L12/TrRail_act!L29/1000)</f>
        <v>847.16601851264215</v>
      </c>
      <c r="M52" s="87">
        <f>IF(M12=0,0,1000000*M12/TrRail_act!M29/1000)</f>
        <v>823.22707998863632</v>
      </c>
      <c r="N52" s="87">
        <f>IF(N12=0,0,1000000*N12/TrRail_act!N29/1000)</f>
        <v>768.55220639442484</v>
      </c>
      <c r="O52" s="87">
        <f>IF(O12=0,0,1000000*O12/TrRail_act!O29/1000)</f>
        <v>787.42718247260063</v>
      </c>
      <c r="P52" s="87">
        <f>IF(P12=0,0,1000000*P12/TrRail_act!P29/1000)</f>
        <v>774.21421989181704</v>
      </c>
      <c r="Q52" s="87">
        <f>IF(Q12=0,0,1000000*Q12/TrRail_act!Q29/1000)</f>
        <v>713.44826795229017</v>
      </c>
      <c r="R52" s="87">
        <f>IF(R12=0,0,1000000*R12/TrRail_act!R29/1000)</f>
        <v>754.20171764582597</v>
      </c>
      <c r="S52" s="87">
        <f>IF(S12=0,0,1000000*S12/TrRail_act!S29/1000)</f>
        <v>743.05107170887084</v>
      </c>
      <c r="T52" s="87">
        <f>IF(T12=0,0,1000000*T12/TrRail_act!T29/1000)</f>
        <v>734.79640799383981</v>
      </c>
      <c r="U52" s="87">
        <f>IF(U12=0,0,1000000*U12/TrRail_act!U29/1000)</f>
        <v>728.66564962328982</v>
      </c>
      <c r="V52" s="87">
        <f>IF(V12=0,0,1000000*V12/TrRail_act!V29/1000)</f>
        <v>660.57887666994293</v>
      </c>
      <c r="W52" s="87">
        <f>IF(W12=0,0,1000000*W12/TrRail_act!W29/1000)</f>
        <v>720.69658338232443</v>
      </c>
      <c r="X52" s="87">
        <f>IF(X12=0,0,1000000*X12/TrRail_act!X29/1000)</f>
        <v>718.15364981259108</v>
      </c>
      <c r="Y52" s="87">
        <f>IF(Y12=0,0,1000000*Y12/TrRail_act!Y29/1000)</f>
        <v>716.25234602742796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587.10271662582363</v>
      </c>
      <c r="C55" s="29">
        <f>IF(C15=0,0,1000000*C15/TrRail_act!C32/1000)</f>
        <v>540.63272365923979</v>
      </c>
      <c r="D55" s="29">
        <f>IF(D15=0,0,1000000*D15/TrRail_act!D32/1000)</f>
        <v>506.80917162400129</v>
      </c>
      <c r="E55" s="29">
        <f>IF(E15=0,0,1000000*E15/TrRail_act!E32/1000)</f>
        <v>447.87757197189637</v>
      </c>
      <c r="F55" s="29">
        <f>IF(F15=0,0,1000000*F15/TrRail_act!F32/1000)</f>
        <v>409.73969378831907</v>
      </c>
      <c r="G55" s="29">
        <f>IF(G15=0,0,1000000*G15/TrRail_act!G32/1000)</f>
        <v>399.16683380282217</v>
      </c>
      <c r="H55" s="29">
        <f>IF(H15=0,0,1000000*H15/TrRail_act!H32/1000)</f>
        <v>403.26249337931625</v>
      </c>
      <c r="I55" s="29">
        <f>IF(I15=0,0,1000000*I15/TrRail_act!I32/1000)</f>
        <v>376.0704758431429</v>
      </c>
      <c r="J55" s="29">
        <f>IF(J15=0,0,1000000*J15/TrRail_act!J32/1000)</f>
        <v>348.7311390061206</v>
      </c>
      <c r="K55" s="29">
        <f>IF(K15=0,0,1000000*K15/TrRail_act!K32/1000)</f>
        <v>272.16863808449648</v>
      </c>
      <c r="L55" s="29">
        <f>IF(L15=0,0,1000000*L15/TrRail_act!L32/1000)</f>
        <v>295.65572395214349</v>
      </c>
      <c r="M55" s="29">
        <f>IF(M15=0,0,1000000*M15/TrRail_act!M32/1000)</f>
        <v>117.94293359403535</v>
      </c>
      <c r="N55" s="29">
        <f>IF(N15=0,0,1000000*N15/TrRail_act!N32/1000)</f>
        <v>241.53658080564222</v>
      </c>
      <c r="O55" s="29">
        <f>IF(O15=0,0,1000000*O15/TrRail_act!O32/1000)</f>
        <v>260.16508433829284</v>
      </c>
      <c r="P55" s="29">
        <f>IF(P15=0,0,1000000*P15/TrRail_act!P32/1000)</f>
        <v>266.33804914180797</v>
      </c>
      <c r="Q55" s="29">
        <f>IF(Q15=0,0,1000000*Q15/TrRail_act!Q32/1000)</f>
        <v>244.57215422865124</v>
      </c>
      <c r="R55" s="29">
        <f>IF(R15=0,0,1000000*R15/TrRail_act!R32/1000)</f>
        <v>216.42148764947481</v>
      </c>
      <c r="S55" s="29">
        <f>IF(S15=0,0,1000000*S15/TrRail_act!S32/1000)</f>
        <v>208.40037057315675</v>
      </c>
      <c r="T55" s="29">
        <f>IF(T15=0,0,1000000*T15/TrRail_act!T32/1000)</f>
        <v>241.64826815909763</v>
      </c>
      <c r="U55" s="29">
        <f>IF(U15=0,0,1000000*U15/TrRail_act!U32/1000)</f>
        <v>238.64300363978779</v>
      </c>
      <c r="V55" s="29">
        <f>IF(V15=0,0,1000000*V15/TrRail_act!V32/1000)</f>
        <v>237.71734334079414</v>
      </c>
      <c r="W55" s="29">
        <f>IF(W15=0,0,1000000*W15/TrRail_act!W32/1000)</f>
        <v>262.83188313484254</v>
      </c>
      <c r="X55" s="29">
        <f>IF(X15=0,0,1000000*X15/TrRail_act!X32/1000)</f>
        <v>314.05284966827145</v>
      </c>
      <c r="Y55" s="29">
        <f>IF(Y15=0,0,1000000*Y15/TrRail_act!Y32/1000)</f>
        <v>228.75022345951578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2812.9903914726729</v>
      </c>
      <c r="C56" s="87">
        <f>IF(C16=0,0,1000000*C16/TrRail_act!C33/1000)</f>
        <v>2712.3678148615518</v>
      </c>
      <c r="D56" s="87">
        <f>IF(D16=0,0,1000000*D16/TrRail_act!D33/1000)</f>
        <v>2655.4170937797653</v>
      </c>
      <c r="E56" s="87">
        <f>IF(E16=0,0,1000000*E16/TrRail_act!E33/1000)</f>
        <v>2611.4061451878979</v>
      </c>
      <c r="F56" s="87">
        <f>IF(F16=0,0,1000000*F16/TrRail_act!F33/1000)</f>
        <v>2594.3419325087184</v>
      </c>
      <c r="G56" s="87">
        <f>IF(G16=0,0,1000000*G16/TrRail_act!G33/1000)</f>
        <v>2574.1406135140801</v>
      </c>
      <c r="H56" s="87">
        <f>IF(H16=0,0,1000000*H16/TrRail_act!H33/1000)</f>
        <v>2493.6962995565245</v>
      </c>
      <c r="I56" s="87">
        <f>IF(I16=0,0,1000000*I16/TrRail_act!I33/1000)</f>
        <v>2477.8867071645982</v>
      </c>
      <c r="J56" s="87">
        <f>IF(J16=0,0,1000000*J16/TrRail_act!J33/1000)</f>
        <v>2453.000809014186</v>
      </c>
      <c r="K56" s="87">
        <f>IF(K16=0,0,1000000*K16/TrRail_act!K33/1000)</f>
        <v>1993.4629034227519</v>
      </c>
      <c r="L56" s="87">
        <f>IF(L16=0,0,1000000*L16/TrRail_act!L33/1000)</f>
        <v>2283.9637213461656</v>
      </c>
      <c r="M56" s="87">
        <f>IF(M16=0,0,1000000*M16/TrRail_act!M33/1000)</f>
        <v>1115.1150199286506</v>
      </c>
      <c r="N56" s="87">
        <f>IF(N16=0,0,1000000*N16/TrRail_act!N33/1000)</f>
        <v>2376.8307025209842</v>
      </c>
      <c r="O56" s="87">
        <f>IF(O16=0,0,1000000*O16/TrRail_act!O33/1000)</f>
        <v>2362.3335250297723</v>
      </c>
      <c r="P56" s="87">
        <f>IF(P16=0,0,1000000*P16/TrRail_act!P33/1000)</f>
        <v>2344.5225992024302</v>
      </c>
      <c r="Q56" s="87">
        <f>IF(Q16=0,0,1000000*Q16/TrRail_act!Q33/1000)</f>
        <v>2333.8314626824322</v>
      </c>
      <c r="R56" s="87">
        <f>IF(R16=0,0,1000000*R16/TrRail_act!R33/1000)</f>
        <v>2321.1934111647756</v>
      </c>
      <c r="S56" s="87">
        <f>IF(S16=0,0,1000000*S16/TrRail_act!S33/1000)</f>
        <v>2311.7599095465166</v>
      </c>
      <c r="T56" s="87">
        <f>IF(T16=0,0,1000000*T16/TrRail_act!T33/1000)</f>
        <v>2304.7098795948828</v>
      </c>
      <c r="U56" s="87">
        <f>IF(U16=0,0,1000000*U16/TrRail_act!U33/1000)</f>
        <v>2299.4363056191519</v>
      </c>
      <c r="V56" s="87">
        <f>IF(V16=0,0,1000000*V16/TrRail_act!V33/1000)</f>
        <v>2295.4893402880584</v>
      </c>
      <c r="W56" s="87">
        <f>IF(W16=0,0,1000000*W16/TrRail_act!W33/1000)</f>
        <v>2292.5334366452953</v>
      </c>
      <c r="X56" s="87">
        <f>IF(X16=0,0,1000000*X16/TrRail_act!X33/1000)</f>
        <v>2290.3189608426324</v>
      </c>
      <c r="Y56" s="87">
        <f>IF(Y16=0,0,1000000*Y16/TrRail_act!Y33/1000)</f>
        <v>1731.1337721577456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0.83874856374741147</v>
      </c>
      <c r="C60" s="31">
        <f t="shared" ref="C60:V60" si="13">IF(C9=0,0,C9/C$8)</f>
        <v>0.85444338001223297</v>
      </c>
      <c r="D60" s="31">
        <f t="shared" si="13"/>
        <v>0.85554122459893511</v>
      </c>
      <c r="E60" s="31">
        <f t="shared" si="13"/>
        <v>0.86715972705579847</v>
      </c>
      <c r="F60" s="31">
        <f t="shared" si="13"/>
        <v>0.85683834668139292</v>
      </c>
      <c r="G60" s="31">
        <f t="shared" si="13"/>
        <v>0.8439742803392849</v>
      </c>
      <c r="H60" s="31">
        <f t="shared" si="13"/>
        <v>0.81056358672819684</v>
      </c>
      <c r="I60" s="31">
        <f t="shared" si="13"/>
        <v>0.80595171474461214</v>
      </c>
      <c r="J60" s="31">
        <f t="shared" si="13"/>
        <v>0.82335751115725209</v>
      </c>
      <c r="K60" s="31">
        <f t="shared" si="13"/>
        <v>0.87700026423926558</v>
      </c>
      <c r="L60" s="31">
        <f t="shared" si="13"/>
        <v>0.86170227972239066</v>
      </c>
      <c r="M60" s="31">
        <f t="shared" si="13"/>
        <v>0.93127044690235861</v>
      </c>
      <c r="N60" s="31">
        <f t="shared" si="13"/>
        <v>0.85512204984244555</v>
      </c>
      <c r="O60" s="31">
        <f t="shared" si="13"/>
        <v>0.85310114468147447</v>
      </c>
      <c r="P60" s="31">
        <f t="shared" si="13"/>
        <v>0.85218797890247033</v>
      </c>
      <c r="Q60" s="31">
        <f t="shared" si="13"/>
        <v>0.84454195012324429</v>
      </c>
      <c r="R60" s="31">
        <f t="shared" si="13"/>
        <v>0.85698603472624446</v>
      </c>
      <c r="S60" s="31">
        <f t="shared" si="13"/>
        <v>0.83509500416356786</v>
      </c>
      <c r="T60" s="31">
        <f t="shared" si="13"/>
        <v>0.81745879009363775</v>
      </c>
      <c r="U60" s="31">
        <f t="shared" si="13"/>
        <v>0.81306876362590486</v>
      </c>
      <c r="V60" s="31">
        <f t="shared" si="13"/>
        <v>0.72297832652708571</v>
      </c>
      <c r="W60" s="31">
        <f t="shared" ref="W60:Y60" si="14">IF(W9=0,0,W9/W$8)</f>
        <v>0.70640889253990868</v>
      </c>
      <c r="X60" s="31">
        <f t="shared" si="14"/>
        <v>0.67031719162141423</v>
      </c>
      <c r="Y60" s="31">
        <f t="shared" si="14"/>
        <v>0.76868845163998667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0.83874856374741147</v>
      </c>
      <c r="C62" s="124">
        <f t="shared" ref="C62:V62" si="17">IF(C11=0,0,C11/C$8)</f>
        <v>0.85444338001223297</v>
      </c>
      <c r="D62" s="124">
        <f t="shared" si="17"/>
        <v>0.85554122459893511</v>
      </c>
      <c r="E62" s="124">
        <f t="shared" si="17"/>
        <v>0.86715972705579847</v>
      </c>
      <c r="F62" s="124">
        <f t="shared" si="17"/>
        <v>0.85683834668139292</v>
      </c>
      <c r="G62" s="124">
        <f t="shared" si="17"/>
        <v>0.8439742803392849</v>
      </c>
      <c r="H62" s="124">
        <f t="shared" si="17"/>
        <v>0.81056358672819684</v>
      </c>
      <c r="I62" s="124">
        <f t="shared" si="17"/>
        <v>0.80595171474461214</v>
      </c>
      <c r="J62" s="124">
        <f t="shared" si="17"/>
        <v>0.82335751115725209</v>
      </c>
      <c r="K62" s="124">
        <f t="shared" si="17"/>
        <v>0.87700026423926558</v>
      </c>
      <c r="L62" s="124">
        <f t="shared" si="17"/>
        <v>0.86170227972239066</v>
      </c>
      <c r="M62" s="124">
        <f t="shared" si="17"/>
        <v>0.93127044690235861</v>
      </c>
      <c r="N62" s="124">
        <f t="shared" si="17"/>
        <v>0.85512204984244555</v>
      </c>
      <c r="O62" s="124">
        <f t="shared" si="17"/>
        <v>0.85310114468147447</v>
      </c>
      <c r="P62" s="124">
        <f t="shared" si="17"/>
        <v>0.85218797890247033</v>
      </c>
      <c r="Q62" s="124">
        <f t="shared" si="17"/>
        <v>0.84454195012324429</v>
      </c>
      <c r="R62" s="124">
        <f t="shared" si="17"/>
        <v>0.85698603472624446</v>
      </c>
      <c r="S62" s="124">
        <f t="shared" si="17"/>
        <v>0.83509500416356786</v>
      </c>
      <c r="T62" s="124">
        <f t="shared" si="17"/>
        <v>0.81745879009363775</v>
      </c>
      <c r="U62" s="124">
        <f t="shared" si="17"/>
        <v>0.81306876362590486</v>
      </c>
      <c r="V62" s="124">
        <f t="shared" si="17"/>
        <v>0.72297832652708571</v>
      </c>
      <c r="W62" s="124">
        <f t="shared" ref="W62:Y62" si="18">IF(W11=0,0,W11/W$8)</f>
        <v>0.70640889253990868</v>
      </c>
      <c r="X62" s="124">
        <f t="shared" si="18"/>
        <v>0.67031719162141423</v>
      </c>
      <c r="Y62" s="124">
        <f t="shared" si="18"/>
        <v>0.76868845163998667</v>
      </c>
      <c r="DA62" s="176"/>
    </row>
    <row r="63" spans="1:105" ht="11.45" customHeight="1" x14ac:dyDescent="0.25">
      <c r="A63" s="111" t="s">
        <v>92</v>
      </c>
      <c r="B63" s="125">
        <f t="shared" si="10"/>
        <v>0.83874856374741147</v>
      </c>
      <c r="C63" s="125">
        <f t="shared" ref="C63:V63" si="19">IF(C12=0,0,C12/C$8)</f>
        <v>0.85444338001223297</v>
      </c>
      <c r="D63" s="125">
        <f t="shared" si="19"/>
        <v>0.85554122459893511</v>
      </c>
      <c r="E63" s="125">
        <f t="shared" si="19"/>
        <v>0.86715972705579847</v>
      </c>
      <c r="F63" s="125">
        <f t="shared" si="19"/>
        <v>0.85683834668139292</v>
      </c>
      <c r="G63" s="125">
        <f t="shared" si="19"/>
        <v>0.8439742803392849</v>
      </c>
      <c r="H63" s="125">
        <f t="shared" si="19"/>
        <v>0.81056358672819684</v>
      </c>
      <c r="I63" s="125">
        <f t="shared" si="19"/>
        <v>0.80595171474461214</v>
      </c>
      <c r="J63" s="125">
        <f t="shared" si="19"/>
        <v>0.82335751115725209</v>
      </c>
      <c r="K63" s="125">
        <f t="shared" si="19"/>
        <v>0.87700026423926558</v>
      </c>
      <c r="L63" s="125">
        <f t="shared" si="19"/>
        <v>0.86170227972239066</v>
      </c>
      <c r="M63" s="125">
        <f t="shared" si="19"/>
        <v>0.93127044690235861</v>
      </c>
      <c r="N63" s="125">
        <f t="shared" si="19"/>
        <v>0.85512204984244555</v>
      </c>
      <c r="O63" s="125">
        <f t="shared" si="19"/>
        <v>0.85310114468147447</v>
      </c>
      <c r="P63" s="125">
        <f t="shared" si="19"/>
        <v>0.85218797890247033</v>
      </c>
      <c r="Q63" s="125">
        <f t="shared" si="19"/>
        <v>0.84454195012324429</v>
      </c>
      <c r="R63" s="125">
        <f t="shared" si="19"/>
        <v>0.85698603472624446</v>
      </c>
      <c r="S63" s="125">
        <f t="shared" si="19"/>
        <v>0.83509500416356786</v>
      </c>
      <c r="T63" s="125">
        <f t="shared" si="19"/>
        <v>0.81745879009363775</v>
      </c>
      <c r="U63" s="125">
        <f t="shared" si="19"/>
        <v>0.81306876362590486</v>
      </c>
      <c r="V63" s="125">
        <f t="shared" si="19"/>
        <v>0.72297832652708571</v>
      </c>
      <c r="W63" s="125">
        <f t="shared" ref="W63:Y63" si="20">IF(W12=0,0,W12/W$8)</f>
        <v>0.70640889253990868</v>
      </c>
      <c r="X63" s="125">
        <f t="shared" si="20"/>
        <v>0.67031719162141423</v>
      </c>
      <c r="Y63" s="125">
        <f t="shared" si="20"/>
        <v>0.76868845163998667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0.1612514362525885</v>
      </c>
      <c r="C66" s="31">
        <f t="shared" ref="C66:V66" si="25">IF(C15=0,0,C15/C$8)</f>
        <v>0.14555661998776712</v>
      </c>
      <c r="D66" s="31">
        <f t="shared" si="25"/>
        <v>0.14445877540106489</v>
      </c>
      <c r="E66" s="31">
        <f t="shared" si="25"/>
        <v>0.13284027294420159</v>
      </c>
      <c r="F66" s="31">
        <f t="shared" si="25"/>
        <v>0.14316165331860706</v>
      </c>
      <c r="G66" s="31">
        <f t="shared" si="25"/>
        <v>0.15602571966071516</v>
      </c>
      <c r="H66" s="31">
        <f t="shared" si="25"/>
        <v>0.18943641327180319</v>
      </c>
      <c r="I66" s="31">
        <f t="shared" si="25"/>
        <v>0.19404828525538786</v>
      </c>
      <c r="J66" s="31">
        <f t="shared" si="25"/>
        <v>0.17664248884274789</v>
      </c>
      <c r="K66" s="31">
        <f t="shared" si="25"/>
        <v>0.12299973576073438</v>
      </c>
      <c r="L66" s="31">
        <f t="shared" si="25"/>
        <v>0.13829772027760925</v>
      </c>
      <c r="M66" s="31">
        <f t="shared" si="25"/>
        <v>6.8729553097641338E-2</v>
      </c>
      <c r="N66" s="31">
        <f t="shared" si="25"/>
        <v>0.14487795015755436</v>
      </c>
      <c r="O66" s="31">
        <f t="shared" si="25"/>
        <v>0.14689885531852565</v>
      </c>
      <c r="P66" s="31">
        <f t="shared" si="25"/>
        <v>0.14781202109752958</v>
      </c>
      <c r="Q66" s="31">
        <f t="shared" si="25"/>
        <v>0.15545804987675574</v>
      </c>
      <c r="R66" s="31">
        <f t="shared" si="25"/>
        <v>0.14301396527375562</v>
      </c>
      <c r="S66" s="31">
        <f t="shared" si="25"/>
        <v>0.16490499583643223</v>
      </c>
      <c r="T66" s="31">
        <f t="shared" si="25"/>
        <v>0.18254120990636233</v>
      </c>
      <c r="U66" s="31">
        <f t="shared" si="25"/>
        <v>0.18693123637409517</v>
      </c>
      <c r="V66" s="31">
        <f t="shared" si="25"/>
        <v>0.27702167347291423</v>
      </c>
      <c r="W66" s="31">
        <f t="shared" ref="W66:Y66" si="26">IF(W15=0,0,W15/W$8)</f>
        <v>0.29359110746009132</v>
      </c>
      <c r="X66" s="31">
        <f t="shared" si="26"/>
        <v>0.32968280837858566</v>
      </c>
      <c r="Y66" s="31">
        <f t="shared" si="26"/>
        <v>0.23131154836001336</v>
      </c>
      <c r="DA66" s="173"/>
    </row>
    <row r="67" spans="1:105" ht="11.45" customHeight="1" x14ac:dyDescent="0.25">
      <c r="A67" s="83" t="s">
        <v>92</v>
      </c>
      <c r="B67" s="125">
        <f t="shared" si="10"/>
        <v>0.1612514362525885</v>
      </c>
      <c r="C67" s="125">
        <f t="shared" ref="C67:V67" si="27">IF(C16=0,0,C16/C$8)</f>
        <v>0.14555661998776712</v>
      </c>
      <c r="D67" s="125">
        <f t="shared" si="27"/>
        <v>0.14445877540106489</v>
      </c>
      <c r="E67" s="125">
        <f t="shared" si="27"/>
        <v>0.13284027294420159</v>
      </c>
      <c r="F67" s="125">
        <f t="shared" si="27"/>
        <v>0.14316165331860706</v>
      </c>
      <c r="G67" s="125">
        <f t="shared" si="27"/>
        <v>0.15602571966071516</v>
      </c>
      <c r="H67" s="125">
        <f t="shared" si="27"/>
        <v>0.18943641327180319</v>
      </c>
      <c r="I67" s="125">
        <f t="shared" si="27"/>
        <v>0.19404828525538786</v>
      </c>
      <c r="J67" s="125">
        <f t="shared" si="27"/>
        <v>0.17664248884274789</v>
      </c>
      <c r="K67" s="125">
        <f t="shared" si="27"/>
        <v>0.12299973576073438</v>
      </c>
      <c r="L67" s="125">
        <f t="shared" si="27"/>
        <v>0.13829772027760925</v>
      </c>
      <c r="M67" s="125">
        <f t="shared" si="27"/>
        <v>6.8729553097641338E-2</v>
      </c>
      <c r="N67" s="125">
        <f t="shared" si="27"/>
        <v>0.14487795015755436</v>
      </c>
      <c r="O67" s="125">
        <f t="shared" si="27"/>
        <v>0.14689885531852565</v>
      </c>
      <c r="P67" s="125">
        <f t="shared" si="27"/>
        <v>0.14781202109752958</v>
      </c>
      <c r="Q67" s="125">
        <f t="shared" si="27"/>
        <v>0.15545804987675574</v>
      </c>
      <c r="R67" s="125">
        <f t="shared" si="27"/>
        <v>0.14301396527375562</v>
      </c>
      <c r="S67" s="125">
        <f t="shared" si="27"/>
        <v>0.16490499583643223</v>
      </c>
      <c r="T67" s="125">
        <f t="shared" si="27"/>
        <v>0.18254120990636233</v>
      </c>
      <c r="U67" s="125">
        <f t="shared" si="27"/>
        <v>0.18693123637409517</v>
      </c>
      <c r="V67" s="125">
        <f t="shared" si="27"/>
        <v>0.27702167347291423</v>
      </c>
      <c r="W67" s="125">
        <f t="shared" ref="W67:Y67" si="28">IF(W16=0,0,W16/W$8)</f>
        <v>0.29359110746009132</v>
      </c>
      <c r="X67" s="125">
        <f t="shared" si="28"/>
        <v>0.32968280837858566</v>
      </c>
      <c r="Y67" s="125">
        <f t="shared" si="28"/>
        <v>0.23131154836001336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3832.8890663281063</v>
      </c>
      <c r="C4" s="11">
        <f t="shared" si="0"/>
        <v>3647.4068344199522</v>
      </c>
      <c r="D4" s="11">
        <f t="shared" ref="D4:V4" si="1">SUM(D5:D7)</f>
        <v>3495.2906249957687</v>
      </c>
      <c r="E4" s="11">
        <f t="shared" si="1"/>
        <v>3926.142822953032</v>
      </c>
      <c r="F4" s="11">
        <f t="shared" si="1"/>
        <v>4884.7532211501848</v>
      </c>
      <c r="G4" s="11">
        <f t="shared" si="1"/>
        <v>6013.1195805828138</v>
      </c>
      <c r="H4" s="11">
        <f t="shared" si="1"/>
        <v>6221.5512813030255</v>
      </c>
      <c r="I4" s="11">
        <f t="shared" si="1"/>
        <v>6503.8353071402544</v>
      </c>
      <c r="J4" s="11">
        <f t="shared" si="1"/>
        <v>6110.6962212533226</v>
      </c>
      <c r="K4" s="11">
        <f t="shared" si="1"/>
        <v>5526.8051596328496</v>
      </c>
      <c r="L4" s="11">
        <f t="shared" si="1"/>
        <v>5544.4123594645944</v>
      </c>
      <c r="M4" s="11">
        <f t="shared" si="1"/>
        <v>5952.3947980035955</v>
      </c>
      <c r="N4" s="11">
        <f t="shared" si="1"/>
        <v>5382.3745461888566</v>
      </c>
      <c r="O4" s="11">
        <f t="shared" si="1"/>
        <v>5357.1485488387361</v>
      </c>
      <c r="P4" s="11">
        <f t="shared" si="1"/>
        <v>5928.6440337079057</v>
      </c>
      <c r="Q4" s="11">
        <f t="shared" si="1"/>
        <v>6943.3281752595622</v>
      </c>
      <c r="R4" s="11">
        <f t="shared" si="1"/>
        <v>8188.1916491211923</v>
      </c>
      <c r="S4" s="11">
        <f t="shared" si="1"/>
        <v>9409.3403179399829</v>
      </c>
      <c r="T4" s="11">
        <f t="shared" si="1"/>
        <v>11289.655704299739</v>
      </c>
      <c r="U4" s="11">
        <f t="shared" si="1"/>
        <v>12571.466813856467</v>
      </c>
      <c r="V4" s="11">
        <f t="shared" si="1"/>
        <v>3016.8935510882729</v>
      </c>
      <c r="W4" s="11">
        <f t="shared" ref="W4:Y4" si="2">SUM(W5:W7)</f>
        <v>3482.6698405070492</v>
      </c>
      <c r="X4" s="11">
        <f t="shared" si="2"/>
        <v>9331.9591448921456</v>
      </c>
      <c r="Y4" s="11">
        <f t="shared" si="2"/>
        <v>12173.219531802242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2392.9302444753621</v>
      </c>
      <c r="C6" s="84">
        <v>2290.5632771172818</v>
      </c>
      <c r="D6" s="84">
        <v>2279.919200770707</v>
      </c>
      <c r="E6" s="84">
        <v>2399.3287041922522</v>
      </c>
      <c r="F6" s="84">
        <v>3101.9915849558106</v>
      </c>
      <c r="G6" s="84">
        <v>4197.3476845680325</v>
      </c>
      <c r="H6" s="84">
        <v>4243.6946518253781</v>
      </c>
      <c r="I6" s="84">
        <v>4229.0998600014336</v>
      </c>
      <c r="J6" s="84">
        <v>4066.3249205731422</v>
      </c>
      <c r="K6" s="84">
        <v>3943.659849732247</v>
      </c>
      <c r="L6" s="84">
        <v>3921.1489924364032</v>
      </c>
      <c r="M6" s="84">
        <v>4251.8299638411427</v>
      </c>
      <c r="N6" s="84">
        <v>4461.63697977222</v>
      </c>
      <c r="O6" s="84">
        <v>4345.1151564385855</v>
      </c>
      <c r="P6" s="84">
        <v>4477.2405122644168</v>
      </c>
      <c r="Q6" s="84">
        <v>5067.6107203527945</v>
      </c>
      <c r="R6" s="84">
        <v>6130.5044214349336</v>
      </c>
      <c r="S6" s="84">
        <v>6817.8098971922118</v>
      </c>
      <c r="T6" s="84">
        <v>7501.2036990868601</v>
      </c>
      <c r="U6" s="84">
        <v>8213.0931524642474</v>
      </c>
      <c r="V6" s="84">
        <v>2138.0068852551331</v>
      </c>
      <c r="W6" s="84">
        <v>2332.3849009499804</v>
      </c>
      <c r="X6" s="84">
        <v>6404.5839616145595</v>
      </c>
      <c r="Y6" s="84">
        <v>7449.1804716592023</v>
      </c>
      <c r="DA6" s="171" t="s">
        <v>192</v>
      </c>
    </row>
    <row r="7" spans="1:105" ht="11.45" customHeight="1" x14ac:dyDescent="0.25">
      <c r="A7" s="83" t="s">
        <v>182</v>
      </c>
      <c r="B7" s="84">
        <v>1439.9588218527442</v>
      </c>
      <c r="C7" s="84">
        <v>1356.8435573026702</v>
      </c>
      <c r="D7" s="84">
        <v>1215.3714242250617</v>
      </c>
      <c r="E7" s="84">
        <v>1526.81411876078</v>
      </c>
      <c r="F7" s="84">
        <v>1782.7616361943742</v>
      </c>
      <c r="G7" s="84">
        <v>1815.7718960147818</v>
      </c>
      <c r="H7" s="84">
        <v>1977.8566294776474</v>
      </c>
      <c r="I7" s="84">
        <v>2274.7354471388212</v>
      </c>
      <c r="J7" s="84">
        <v>2044.3713006801806</v>
      </c>
      <c r="K7" s="84">
        <v>1583.1453099006026</v>
      </c>
      <c r="L7" s="84">
        <v>1623.2633670281909</v>
      </c>
      <c r="M7" s="84">
        <v>1700.5648341624531</v>
      </c>
      <c r="N7" s="84">
        <v>920.73756641663624</v>
      </c>
      <c r="O7" s="84">
        <v>1012.0333924001504</v>
      </c>
      <c r="P7" s="84">
        <v>1451.4035214434887</v>
      </c>
      <c r="Q7" s="84">
        <v>1875.7174549067674</v>
      </c>
      <c r="R7" s="84">
        <v>2057.6872276862587</v>
      </c>
      <c r="S7" s="84">
        <v>2591.5304207477716</v>
      </c>
      <c r="T7" s="84">
        <v>3788.4520052128792</v>
      </c>
      <c r="U7" s="84">
        <v>4358.3736613922183</v>
      </c>
      <c r="V7" s="84">
        <v>878.88666583313977</v>
      </c>
      <c r="W7" s="84">
        <v>1150.284939557069</v>
      </c>
      <c r="X7" s="84">
        <v>2927.3751832775861</v>
      </c>
      <c r="Y7" s="84">
        <v>4724.0390601430399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35.727820321042749</v>
      </c>
      <c r="C8" s="13">
        <f t="shared" si="3"/>
        <v>37.503877953541448</v>
      </c>
      <c r="D8" s="13">
        <f t="shared" ref="D8:V8" si="4">SUM(D9:D11)</f>
        <v>30.470525320248171</v>
      </c>
      <c r="E8" s="13">
        <f t="shared" si="4"/>
        <v>30.12179344453812</v>
      </c>
      <c r="F8" s="13">
        <f t="shared" si="4"/>
        <v>26.191188585780573</v>
      </c>
      <c r="G8" s="13">
        <f t="shared" si="4"/>
        <v>33.206711145428415</v>
      </c>
      <c r="H8" s="13">
        <f t="shared" si="4"/>
        <v>67.79824832016179</v>
      </c>
      <c r="I8" s="13">
        <f t="shared" si="4"/>
        <v>38.328845710410548</v>
      </c>
      <c r="J8" s="13">
        <f t="shared" si="4"/>
        <v>34.351807222013953</v>
      </c>
      <c r="K8" s="13">
        <f t="shared" si="4"/>
        <v>30.287607066627547</v>
      </c>
      <c r="L8" s="13">
        <f t="shared" si="4"/>
        <v>34.256441318744905</v>
      </c>
      <c r="M8" s="13">
        <f t="shared" si="4"/>
        <v>26.454382812518411</v>
      </c>
      <c r="N8" s="13">
        <f t="shared" si="4"/>
        <v>23.750567116080504</v>
      </c>
      <c r="O8" s="13">
        <f t="shared" si="4"/>
        <v>24.916705178926396</v>
      </c>
      <c r="P8" s="13">
        <f t="shared" si="4"/>
        <v>23.452177522630507</v>
      </c>
      <c r="Q8" s="13">
        <f t="shared" si="4"/>
        <v>27.577621386167959</v>
      </c>
      <c r="R8" s="13">
        <f t="shared" si="4"/>
        <v>37.060205292322365</v>
      </c>
      <c r="S8" s="13">
        <f t="shared" si="4"/>
        <v>38.522549449154127</v>
      </c>
      <c r="T8" s="13">
        <f t="shared" si="4"/>
        <v>48.241120848051651</v>
      </c>
      <c r="U8" s="13">
        <f t="shared" si="4"/>
        <v>55.595671032888362</v>
      </c>
      <c r="V8" s="13">
        <f t="shared" si="4"/>
        <v>39.161433938474616</v>
      </c>
      <c r="W8" s="13">
        <f t="shared" ref="W8:Y8" si="5">SUM(W9:W11)</f>
        <v>70.290839287104816</v>
      </c>
      <c r="X8" s="13">
        <f t="shared" si="5"/>
        <v>132.67440204112714</v>
      </c>
      <c r="Y8" s="13">
        <f t="shared" si="5"/>
        <v>113.90187011029785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13.924016543108433</v>
      </c>
      <c r="C10" s="102">
        <v>16.265701267365149</v>
      </c>
      <c r="D10" s="102">
        <v>20.301653267620278</v>
      </c>
      <c r="E10" s="102">
        <v>19.241384555599574</v>
      </c>
      <c r="F10" s="102">
        <v>18.145259419294621</v>
      </c>
      <c r="G10" s="102">
        <v>24.126009000733585</v>
      </c>
      <c r="H10" s="102">
        <v>15.417492843239486</v>
      </c>
      <c r="I10" s="102">
        <v>16.686742640304359</v>
      </c>
      <c r="J10" s="102">
        <v>12.014856609650888</v>
      </c>
      <c r="K10" s="102">
        <v>11.441796738071556</v>
      </c>
      <c r="L10" s="102">
        <v>11.822167177978692</v>
      </c>
      <c r="M10" s="102">
        <v>16.410484689774758</v>
      </c>
      <c r="N10" s="102">
        <v>16.986173800854928</v>
      </c>
      <c r="O10" s="102">
        <v>17.143904164275824</v>
      </c>
      <c r="P10" s="102">
        <v>17.951657090404414</v>
      </c>
      <c r="Q10" s="102">
        <v>19.888091636342651</v>
      </c>
      <c r="R10" s="102">
        <v>21.492987093230905</v>
      </c>
      <c r="S10" s="102">
        <v>21.617869582292045</v>
      </c>
      <c r="T10" s="102">
        <v>24.0368498213235</v>
      </c>
      <c r="U10" s="102">
        <v>22.323100817669093</v>
      </c>
      <c r="V10" s="102">
        <v>17.773849992507611</v>
      </c>
      <c r="W10" s="102">
        <v>20.831857823091742</v>
      </c>
      <c r="X10" s="102">
        <v>25.067721146689653</v>
      </c>
      <c r="Y10" s="102">
        <v>22.659696264795958</v>
      </c>
      <c r="DA10" s="175" t="s">
        <v>196</v>
      </c>
    </row>
    <row r="11" spans="1:105" ht="11.45" customHeight="1" x14ac:dyDescent="0.25">
      <c r="A11" s="85" t="s">
        <v>182</v>
      </c>
      <c r="B11" s="86">
        <v>21.803803777934316</v>
      </c>
      <c r="C11" s="86">
        <v>21.238176686176303</v>
      </c>
      <c r="D11" s="86">
        <v>10.168872052627894</v>
      </c>
      <c r="E11" s="86">
        <v>10.880408888938547</v>
      </c>
      <c r="F11" s="86">
        <v>8.0459291664859514</v>
      </c>
      <c r="G11" s="86">
        <v>9.0807021446948255</v>
      </c>
      <c r="H11" s="86">
        <v>52.380755476922303</v>
      </c>
      <c r="I11" s="86">
        <v>21.642103070106192</v>
      </c>
      <c r="J11" s="86">
        <v>22.336950612363065</v>
      </c>
      <c r="K11" s="86">
        <v>18.845810328555991</v>
      </c>
      <c r="L11" s="86">
        <v>22.434274140766217</v>
      </c>
      <c r="M11" s="86">
        <v>10.043898122743654</v>
      </c>
      <c r="N11" s="86">
        <v>6.7643933152255746</v>
      </c>
      <c r="O11" s="86">
        <v>7.7728010146505708</v>
      </c>
      <c r="P11" s="86">
        <v>5.5005204322260939</v>
      </c>
      <c r="Q11" s="86">
        <v>7.6895297498253079</v>
      </c>
      <c r="R11" s="86">
        <v>15.567218199091458</v>
      </c>
      <c r="S11" s="86">
        <v>16.904679866862079</v>
      </c>
      <c r="T11" s="86">
        <v>24.204271026728151</v>
      </c>
      <c r="U11" s="86">
        <v>33.272570215219268</v>
      </c>
      <c r="V11" s="86">
        <v>21.387583945967005</v>
      </c>
      <c r="W11" s="86">
        <v>49.458981464013071</v>
      </c>
      <c r="X11" s="86">
        <v>107.60668089443747</v>
      </c>
      <c r="Y11" s="86">
        <v>91.242173845501895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42.353689128378342</v>
      </c>
      <c r="C13" s="54">
        <f t="shared" si="6"/>
        <v>39.888131902050645</v>
      </c>
      <c r="D13" s="54">
        <f t="shared" ref="D13:V13" si="7">SUM(D14,D18)</f>
        <v>38.828441763054443</v>
      </c>
      <c r="E13" s="54">
        <f t="shared" si="7"/>
        <v>44.834389485669497</v>
      </c>
      <c r="F13" s="54">
        <f t="shared" si="7"/>
        <v>56.324862755736262</v>
      </c>
      <c r="G13" s="54">
        <f t="shared" si="7"/>
        <v>64.981036212678248</v>
      </c>
      <c r="H13" s="54">
        <f t="shared" si="7"/>
        <v>66.511654360083682</v>
      </c>
      <c r="I13" s="54">
        <f t="shared" si="7"/>
        <v>67.535812292732885</v>
      </c>
      <c r="J13" s="54">
        <f t="shared" si="7"/>
        <v>64.02545652525599</v>
      </c>
      <c r="K13" s="54">
        <f t="shared" si="7"/>
        <v>57.944570261397324</v>
      </c>
      <c r="L13" s="54">
        <f t="shared" si="7"/>
        <v>55.714792434315825</v>
      </c>
      <c r="M13" s="54">
        <f t="shared" si="7"/>
        <v>58.358910613405371</v>
      </c>
      <c r="N13" s="54">
        <f t="shared" si="7"/>
        <v>45.446532813324893</v>
      </c>
      <c r="O13" s="54">
        <f t="shared" si="7"/>
        <v>43.569173272565848</v>
      </c>
      <c r="P13" s="54">
        <f t="shared" si="7"/>
        <v>46.669857597185285</v>
      </c>
      <c r="Q13" s="54">
        <f t="shared" si="7"/>
        <v>51.988464804286743</v>
      </c>
      <c r="R13" s="54">
        <f t="shared" si="7"/>
        <v>57.320550412795129</v>
      </c>
      <c r="S13" s="54">
        <f t="shared" si="7"/>
        <v>62.737904179127611</v>
      </c>
      <c r="T13" s="54">
        <f t="shared" si="7"/>
        <v>74.70557116238551</v>
      </c>
      <c r="U13" s="54">
        <f t="shared" si="7"/>
        <v>81.022515250869205</v>
      </c>
      <c r="V13" s="54">
        <f t="shared" si="7"/>
        <v>26.602335752448223</v>
      </c>
      <c r="W13" s="54">
        <f t="shared" ref="W13:Y13" si="8">SUM(W14,W18)</f>
        <v>29.493380884716842</v>
      </c>
      <c r="X13" s="54">
        <f t="shared" si="8"/>
        <v>63.023272688078457</v>
      </c>
      <c r="Y13" s="54">
        <f t="shared" si="8"/>
        <v>75.281890827852294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41.546551498088135</v>
      </c>
      <c r="C14" s="11">
        <f t="shared" si="9"/>
        <v>39.034327122356018</v>
      </c>
      <c r="D14" s="11">
        <f t="shared" ref="D14:V14" si="10">SUM(D15:D17)</f>
        <v>37.867567105233292</v>
      </c>
      <c r="E14" s="11">
        <f t="shared" si="10"/>
        <v>43.913135061631372</v>
      </c>
      <c r="F14" s="11">
        <f t="shared" si="10"/>
        <v>55.416917317999236</v>
      </c>
      <c r="G14" s="11">
        <f t="shared" si="10"/>
        <v>63.791020616461743</v>
      </c>
      <c r="H14" s="11">
        <f t="shared" si="10"/>
        <v>64.997875011336347</v>
      </c>
      <c r="I14" s="11">
        <f t="shared" si="10"/>
        <v>66.347820668897612</v>
      </c>
      <c r="J14" s="11">
        <f t="shared" si="10"/>
        <v>63.043120718222774</v>
      </c>
      <c r="K14" s="11">
        <f t="shared" si="10"/>
        <v>57.074598066221739</v>
      </c>
      <c r="L14" s="11">
        <f t="shared" si="10"/>
        <v>54.793578863200565</v>
      </c>
      <c r="M14" s="11">
        <f t="shared" si="10"/>
        <v>57.396084289705122</v>
      </c>
      <c r="N14" s="11">
        <f t="shared" si="10"/>
        <v>44.559179352557102</v>
      </c>
      <c r="O14" s="11">
        <f t="shared" si="10"/>
        <v>42.644956845859525</v>
      </c>
      <c r="P14" s="11">
        <f t="shared" si="10"/>
        <v>45.876842297113754</v>
      </c>
      <c r="Q14" s="11">
        <f t="shared" si="10"/>
        <v>51.090339959789816</v>
      </c>
      <c r="R14" s="11">
        <f t="shared" si="10"/>
        <v>56.360084538852163</v>
      </c>
      <c r="S14" s="11">
        <f t="shared" si="10"/>
        <v>61.681939082104321</v>
      </c>
      <c r="T14" s="11">
        <f t="shared" si="10"/>
        <v>73.492691947950263</v>
      </c>
      <c r="U14" s="11">
        <f t="shared" si="10"/>
        <v>79.838289637483228</v>
      </c>
      <c r="V14" s="11">
        <f t="shared" si="10"/>
        <v>25.471351225344279</v>
      </c>
      <c r="W14" s="11">
        <f t="shared" ref="W14:Y14" si="11">SUM(W15:W17)</f>
        <v>27.763296395155827</v>
      </c>
      <c r="X14" s="11">
        <f t="shared" si="11"/>
        <v>60.379442391275489</v>
      </c>
      <c r="Y14" s="11">
        <f t="shared" si="11"/>
        <v>73.053881987553467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28.349219607579332</v>
      </c>
      <c r="C16" s="84">
        <v>26.634687372665994</v>
      </c>
      <c r="D16" s="84">
        <v>25.760538724955765</v>
      </c>
      <c r="E16" s="84">
        <v>29.040276922066305</v>
      </c>
      <c r="F16" s="84">
        <v>39.187237032368586</v>
      </c>
      <c r="G16" s="84">
        <v>48.180478696890695</v>
      </c>
      <c r="H16" s="84">
        <v>47.835709909477913</v>
      </c>
      <c r="I16" s="84">
        <v>47.148259324344224</v>
      </c>
      <c r="J16" s="84">
        <v>45.69701465378585</v>
      </c>
      <c r="K16" s="84">
        <v>43.460475906659369</v>
      </c>
      <c r="L16" s="84">
        <v>40.776138316159773</v>
      </c>
      <c r="M16" s="84">
        <v>42.130162945865607</v>
      </c>
      <c r="N16" s="84">
        <v>36.708656620988521</v>
      </c>
      <c r="O16" s="84">
        <v>34.407469956917453</v>
      </c>
      <c r="P16" s="84">
        <v>34.493255716745068</v>
      </c>
      <c r="Q16" s="84">
        <v>37.809498682949659</v>
      </c>
      <c r="R16" s="84">
        <v>42.953009337590885</v>
      </c>
      <c r="S16" s="84">
        <v>45.444982237255871</v>
      </c>
      <c r="T16" s="84">
        <v>49.964480531907689</v>
      </c>
      <c r="U16" s="84">
        <v>54.152816643443366</v>
      </c>
      <c r="V16" s="84">
        <v>18.666178453667978</v>
      </c>
      <c r="W16" s="84">
        <v>19.225413611456766</v>
      </c>
      <c r="X16" s="84">
        <v>43.293843885330787</v>
      </c>
      <c r="Y16" s="84">
        <v>46.565024514240172</v>
      </c>
      <c r="DA16" s="171" t="s">
        <v>201</v>
      </c>
    </row>
    <row r="17" spans="1:105" ht="11.45" customHeight="1" x14ac:dyDescent="0.25">
      <c r="A17" s="83" t="s">
        <v>182</v>
      </c>
      <c r="B17" s="84">
        <v>13.197331890508803</v>
      </c>
      <c r="C17" s="84">
        <v>12.399639749690024</v>
      </c>
      <c r="D17" s="84">
        <v>12.10702838027753</v>
      </c>
      <c r="E17" s="84">
        <v>14.872858139565068</v>
      </c>
      <c r="F17" s="84">
        <v>16.229680285630653</v>
      </c>
      <c r="G17" s="84">
        <v>15.610541919571048</v>
      </c>
      <c r="H17" s="84">
        <v>17.162165101858434</v>
      </c>
      <c r="I17" s="84">
        <v>19.199561344553395</v>
      </c>
      <c r="J17" s="84">
        <v>17.346106064436924</v>
      </c>
      <c r="K17" s="84">
        <v>13.614122159562367</v>
      </c>
      <c r="L17" s="84">
        <v>14.017440547040792</v>
      </c>
      <c r="M17" s="84">
        <v>15.265921343839517</v>
      </c>
      <c r="N17" s="84">
        <v>7.8505227315685842</v>
      </c>
      <c r="O17" s="84">
        <v>8.2374868889420707</v>
      </c>
      <c r="P17" s="84">
        <v>11.383586580368684</v>
      </c>
      <c r="Q17" s="84">
        <v>13.28084127684016</v>
      </c>
      <c r="R17" s="84">
        <v>13.407075201261279</v>
      </c>
      <c r="S17" s="84">
        <v>16.236956844848454</v>
      </c>
      <c r="T17" s="84">
        <v>23.52821141604257</v>
      </c>
      <c r="U17" s="84">
        <v>25.685472994039856</v>
      </c>
      <c r="V17" s="84">
        <v>6.8051727716763013</v>
      </c>
      <c r="W17" s="84">
        <v>8.5378827836990592</v>
      </c>
      <c r="X17" s="84">
        <v>17.085598505944706</v>
      </c>
      <c r="Y17" s="84">
        <v>26.488857473313296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0.80713763029021002</v>
      </c>
      <c r="C18" s="13">
        <f t="shared" si="12"/>
        <v>0.85380477969462676</v>
      </c>
      <c r="D18" s="13">
        <f t="shared" ref="D18:V18" si="13">SUM(D19:D21)</f>
        <v>0.96087465782115167</v>
      </c>
      <c r="E18" s="13">
        <f t="shared" si="13"/>
        <v>0.92125442403812696</v>
      </c>
      <c r="F18" s="13">
        <f t="shared" si="13"/>
        <v>0.9079454377370304</v>
      </c>
      <c r="G18" s="13">
        <f t="shared" si="13"/>
        <v>1.1900155962165002</v>
      </c>
      <c r="H18" s="13">
        <f t="shared" si="13"/>
        <v>1.5137793487473412</v>
      </c>
      <c r="I18" s="13">
        <f t="shared" si="13"/>
        <v>1.1879916238352692</v>
      </c>
      <c r="J18" s="13">
        <f t="shared" si="13"/>
        <v>0.98233580703321954</v>
      </c>
      <c r="K18" s="13">
        <f t="shared" si="13"/>
        <v>0.86997219517558144</v>
      </c>
      <c r="L18" s="13">
        <f t="shared" si="13"/>
        <v>0.92121357111526314</v>
      </c>
      <c r="M18" s="13">
        <f t="shared" si="13"/>
        <v>0.96282632370024956</v>
      </c>
      <c r="N18" s="13">
        <f t="shared" si="13"/>
        <v>0.8873534607677892</v>
      </c>
      <c r="O18" s="13">
        <f t="shared" si="13"/>
        <v>0.92421642670632242</v>
      </c>
      <c r="P18" s="13">
        <f t="shared" si="13"/>
        <v>0.79301530007152854</v>
      </c>
      <c r="Q18" s="13">
        <f t="shared" si="13"/>
        <v>0.89812484449692964</v>
      </c>
      <c r="R18" s="13">
        <f t="shared" si="13"/>
        <v>0.96046587394296346</v>
      </c>
      <c r="S18" s="13">
        <f t="shared" si="13"/>
        <v>1.0559650970232877</v>
      </c>
      <c r="T18" s="13">
        <f t="shared" si="13"/>
        <v>1.2128792144352485</v>
      </c>
      <c r="U18" s="13">
        <f t="shared" si="13"/>
        <v>1.1842256133859783</v>
      </c>
      <c r="V18" s="13">
        <f t="shared" si="13"/>
        <v>1.1309845271039449</v>
      </c>
      <c r="W18" s="13">
        <f t="shared" ref="W18:Y18" si="14">SUM(W19:W21)</f>
        <v>1.7300844895610172</v>
      </c>
      <c r="X18" s="13">
        <f t="shared" si="14"/>
        <v>2.6438302968029657</v>
      </c>
      <c r="Y18" s="13">
        <f t="shared" si="14"/>
        <v>2.2280088402988198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0.56478688271788369</v>
      </c>
      <c r="C20" s="102">
        <v>0.62853602314061419</v>
      </c>
      <c r="D20" s="102">
        <v>0.84663884288617852</v>
      </c>
      <c r="E20" s="102">
        <v>0.78673374476890623</v>
      </c>
      <c r="F20" s="102">
        <v>0.80545349162714797</v>
      </c>
      <c r="G20" s="102">
        <v>1.0670144113680153</v>
      </c>
      <c r="H20" s="102">
        <v>0.77983014545726603</v>
      </c>
      <c r="I20" s="102">
        <v>0.8796020207865165</v>
      </c>
      <c r="J20" s="102">
        <v>0.65750014314730887</v>
      </c>
      <c r="K20" s="102">
        <v>0.62696338974594124</v>
      </c>
      <c r="L20" s="102">
        <v>0.63665271070336382</v>
      </c>
      <c r="M20" s="102">
        <v>0.83597540926861624</v>
      </c>
      <c r="N20" s="102">
        <v>0.7960816761143239</v>
      </c>
      <c r="O20" s="102">
        <v>0.80921589056946552</v>
      </c>
      <c r="P20" s="102">
        <v>0.72587655396875261</v>
      </c>
      <c r="Q20" s="102">
        <v>0.80911175227590471</v>
      </c>
      <c r="R20" s="102">
        <v>0.79337593339532497</v>
      </c>
      <c r="S20" s="102">
        <v>0.86933218523998468</v>
      </c>
      <c r="T20" s="102">
        <v>0.94929583120171557</v>
      </c>
      <c r="U20" s="102">
        <v>0.8407355167950693</v>
      </c>
      <c r="V20" s="102">
        <v>0.78563645408163263</v>
      </c>
      <c r="W20" s="102">
        <v>0.94859738388278381</v>
      </c>
      <c r="X20" s="102">
        <v>1.1494110091625163</v>
      </c>
      <c r="Y20" s="102">
        <v>1.0293029455619778</v>
      </c>
      <c r="DA20" s="175" t="s">
        <v>205</v>
      </c>
    </row>
    <row r="21" spans="1:105" ht="11.45" customHeight="1" x14ac:dyDescent="0.25">
      <c r="A21" s="85" t="s">
        <v>182</v>
      </c>
      <c r="B21" s="86">
        <v>0.24235074757232627</v>
      </c>
      <c r="C21" s="86">
        <v>0.22526875655401254</v>
      </c>
      <c r="D21" s="86">
        <v>0.11423581493497319</v>
      </c>
      <c r="E21" s="86">
        <v>0.13452067926922076</v>
      </c>
      <c r="F21" s="86">
        <v>0.10249194610988248</v>
      </c>
      <c r="G21" s="86">
        <v>0.12300118484848485</v>
      </c>
      <c r="H21" s="86">
        <v>0.73394920329007518</v>
      </c>
      <c r="I21" s="86">
        <v>0.30838960304875274</v>
      </c>
      <c r="J21" s="86">
        <v>0.32483566388591073</v>
      </c>
      <c r="K21" s="86">
        <v>0.24300880542964018</v>
      </c>
      <c r="L21" s="86">
        <v>0.28456086041189932</v>
      </c>
      <c r="M21" s="86">
        <v>0.12685091443163329</v>
      </c>
      <c r="N21" s="86">
        <v>9.1271784653465346E-2</v>
      </c>
      <c r="O21" s="86">
        <v>0.11500053613685692</v>
      </c>
      <c r="P21" s="86">
        <v>6.7138746102775926E-2</v>
      </c>
      <c r="Q21" s="86">
        <v>8.9013092221024923E-2</v>
      </c>
      <c r="R21" s="86">
        <v>0.16708994054763848</v>
      </c>
      <c r="S21" s="86">
        <v>0.18663291178330299</v>
      </c>
      <c r="T21" s="86">
        <v>0.26358338323353298</v>
      </c>
      <c r="U21" s="86">
        <v>0.34349009659090907</v>
      </c>
      <c r="V21" s="86">
        <v>0.34534807302231235</v>
      </c>
      <c r="W21" s="86">
        <v>0.78148710567823343</v>
      </c>
      <c r="X21" s="86">
        <v>1.4944192876404496</v>
      </c>
      <c r="Y21" s="86">
        <v>1.1987058947368421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37458</v>
      </c>
      <c r="C23" s="54">
        <f t="shared" si="15"/>
        <v>35321</v>
      </c>
      <c r="D23" s="54">
        <f t="shared" ref="D23:V23" si="16">SUM(D24,D28)</f>
        <v>34580</v>
      </c>
      <c r="E23" s="54">
        <f t="shared" si="16"/>
        <v>39609</v>
      </c>
      <c r="F23" s="54">
        <f t="shared" si="16"/>
        <v>50140</v>
      </c>
      <c r="G23" s="54">
        <f t="shared" si="16"/>
        <v>56274</v>
      </c>
      <c r="H23" s="54">
        <f t="shared" si="16"/>
        <v>56767</v>
      </c>
      <c r="I23" s="54">
        <f t="shared" si="16"/>
        <v>56181</v>
      </c>
      <c r="J23" s="54">
        <f t="shared" si="16"/>
        <v>53442</v>
      </c>
      <c r="K23" s="54">
        <f t="shared" si="16"/>
        <v>50436</v>
      </c>
      <c r="L23" s="54">
        <f t="shared" si="16"/>
        <v>48031</v>
      </c>
      <c r="M23" s="54">
        <f t="shared" si="16"/>
        <v>50485</v>
      </c>
      <c r="N23" s="54">
        <f t="shared" si="16"/>
        <v>39167</v>
      </c>
      <c r="O23" s="54">
        <f t="shared" si="16"/>
        <v>37240</v>
      </c>
      <c r="P23" s="54">
        <f t="shared" si="16"/>
        <v>38595</v>
      </c>
      <c r="Q23" s="54">
        <f t="shared" si="16"/>
        <v>41379</v>
      </c>
      <c r="R23" s="54">
        <f t="shared" si="16"/>
        <v>44444</v>
      </c>
      <c r="S23" s="54">
        <f t="shared" si="16"/>
        <v>47900</v>
      </c>
      <c r="T23" s="54">
        <f t="shared" si="16"/>
        <v>54014</v>
      </c>
      <c r="U23" s="54">
        <f t="shared" si="16"/>
        <v>57925</v>
      </c>
      <c r="V23" s="54">
        <f t="shared" si="16"/>
        <v>19809</v>
      </c>
      <c r="W23" s="54">
        <f t="shared" ref="W23:Y23" si="17">SUM(W24,W28)</f>
        <v>21196</v>
      </c>
      <c r="X23" s="54">
        <f t="shared" si="17"/>
        <v>43963</v>
      </c>
      <c r="Y23" s="54">
        <f t="shared" si="17"/>
        <v>48884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36479</v>
      </c>
      <c r="C24" s="11">
        <f t="shared" si="18"/>
        <v>34273</v>
      </c>
      <c r="D24" s="11">
        <f t="shared" ref="D24:V24" si="19">SUM(D25:D27)</f>
        <v>33399</v>
      </c>
      <c r="E24" s="11">
        <f t="shared" si="19"/>
        <v>38486</v>
      </c>
      <c r="F24" s="11">
        <f t="shared" si="19"/>
        <v>48992</v>
      </c>
      <c r="G24" s="11">
        <f t="shared" si="19"/>
        <v>54800</v>
      </c>
      <c r="H24" s="11">
        <f t="shared" si="19"/>
        <v>55111</v>
      </c>
      <c r="I24" s="11">
        <f t="shared" si="19"/>
        <v>54725</v>
      </c>
      <c r="J24" s="11">
        <f t="shared" si="19"/>
        <v>52268</v>
      </c>
      <c r="K24" s="11">
        <f t="shared" si="19"/>
        <v>49369</v>
      </c>
      <c r="L24" s="11">
        <f t="shared" si="19"/>
        <v>46883</v>
      </c>
      <c r="M24" s="11">
        <f t="shared" si="19"/>
        <v>49073</v>
      </c>
      <c r="N24" s="11">
        <f t="shared" si="19"/>
        <v>37868</v>
      </c>
      <c r="O24" s="11">
        <f t="shared" si="19"/>
        <v>35894</v>
      </c>
      <c r="P24" s="11">
        <f t="shared" si="19"/>
        <v>37409</v>
      </c>
      <c r="Q24" s="11">
        <f t="shared" si="19"/>
        <v>40098</v>
      </c>
      <c r="R24" s="11">
        <f t="shared" si="19"/>
        <v>43145</v>
      </c>
      <c r="S24" s="11">
        <f t="shared" si="19"/>
        <v>46464</v>
      </c>
      <c r="T24" s="11">
        <f t="shared" si="19"/>
        <v>52433</v>
      </c>
      <c r="U24" s="11">
        <f t="shared" si="19"/>
        <v>56508</v>
      </c>
      <c r="V24" s="11">
        <f t="shared" si="19"/>
        <v>18331</v>
      </c>
      <c r="W24" s="11">
        <f t="shared" ref="W24:Y24" si="20">SUM(W25:W27)</f>
        <v>19339</v>
      </c>
      <c r="X24" s="11">
        <f t="shared" si="20"/>
        <v>41957</v>
      </c>
      <c r="Y24" s="11">
        <f t="shared" si="20"/>
        <v>46964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29398</v>
      </c>
      <c r="C26" s="84">
        <v>27620</v>
      </c>
      <c r="D26" s="84">
        <v>26903</v>
      </c>
      <c r="E26" s="84">
        <v>30506</v>
      </c>
      <c r="F26" s="84">
        <v>40284</v>
      </c>
      <c r="G26" s="84">
        <v>46517</v>
      </c>
      <c r="H26" s="84">
        <v>46609</v>
      </c>
      <c r="I26" s="84">
        <v>45738</v>
      </c>
      <c r="J26" s="84">
        <v>43427</v>
      </c>
      <c r="K26" s="84">
        <v>41592</v>
      </c>
      <c r="L26" s="84">
        <v>38581</v>
      </c>
      <c r="M26" s="84">
        <v>40199</v>
      </c>
      <c r="N26" s="84">
        <v>33770</v>
      </c>
      <c r="O26" s="84">
        <v>31682</v>
      </c>
      <c r="P26" s="84">
        <v>31382</v>
      </c>
      <c r="Q26" s="84">
        <v>33552</v>
      </c>
      <c r="R26" s="84">
        <v>37190</v>
      </c>
      <c r="S26" s="84">
        <v>39136</v>
      </c>
      <c r="T26" s="84">
        <v>42483</v>
      </c>
      <c r="U26" s="84">
        <v>45918</v>
      </c>
      <c r="V26" s="84">
        <v>15634</v>
      </c>
      <c r="W26" s="84">
        <v>15883</v>
      </c>
      <c r="X26" s="84">
        <v>35551</v>
      </c>
      <c r="Y26" s="84">
        <v>37936</v>
      </c>
      <c r="DA26" s="171" t="s">
        <v>210</v>
      </c>
    </row>
    <row r="27" spans="1:105" ht="11.45" customHeight="1" x14ac:dyDescent="0.25">
      <c r="A27" s="83" t="s">
        <v>182</v>
      </c>
      <c r="B27" s="84">
        <v>7081</v>
      </c>
      <c r="C27" s="84">
        <v>6653</v>
      </c>
      <c r="D27" s="84">
        <v>6496</v>
      </c>
      <c r="E27" s="84">
        <v>7980</v>
      </c>
      <c r="F27" s="84">
        <v>8708</v>
      </c>
      <c r="G27" s="84">
        <v>8283</v>
      </c>
      <c r="H27" s="84">
        <v>8502</v>
      </c>
      <c r="I27" s="84">
        <v>8987</v>
      </c>
      <c r="J27" s="84">
        <v>8841</v>
      </c>
      <c r="K27" s="84">
        <v>7777</v>
      </c>
      <c r="L27" s="84">
        <v>8302</v>
      </c>
      <c r="M27" s="84">
        <v>8874</v>
      </c>
      <c r="N27" s="84">
        <v>4098</v>
      </c>
      <c r="O27" s="84">
        <v>4212</v>
      </c>
      <c r="P27" s="84">
        <v>6027</v>
      </c>
      <c r="Q27" s="84">
        <v>6546</v>
      </c>
      <c r="R27" s="84">
        <v>5955</v>
      </c>
      <c r="S27" s="84">
        <v>7328</v>
      </c>
      <c r="T27" s="84">
        <v>9950</v>
      </c>
      <c r="U27" s="84">
        <v>10590</v>
      </c>
      <c r="V27" s="84">
        <v>2697</v>
      </c>
      <c r="W27" s="84">
        <v>3456</v>
      </c>
      <c r="X27" s="84">
        <v>6406</v>
      </c>
      <c r="Y27" s="84">
        <v>9028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979</v>
      </c>
      <c r="C28" s="13">
        <f t="shared" si="21"/>
        <v>1048</v>
      </c>
      <c r="D28" s="13">
        <f t="shared" ref="D28:V28" si="22">SUM(D29:D31)</f>
        <v>1181</v>
      </c>
      <c r="E28" s="13">
        <f t="shared" si="22"/>
        <v>1123</v>
      </c>
      <c r="F28" s="13">
        <f t="shared" si="22"/>
        <v>1148</v>
      </c>
      <c r="G28" s="13">
        <f t="shared" si="22"/>
        <v>1474</v>
      </c>
      <c r="H28" s="13">
        <f t="shared" si="22"/>
        <v>1656</v>
      </c>
      <c r="I28" s="13">
        <f t="shared" si="22"/>
        <v>1456</v>
      </c>
      <c r="J28" s="13">
        <f t="shared" si="22"/>
        <v>1174</v>
      </c>
      <c r="K28" s="13">
        <f t="shared" si="22"/>
        <v>1067</v>
      </c>
      <c r="L28" s="13">
        <f t="shared" si="22"/>
        <v>1148</v>
      </c>
      <c r="M28" s="13">
        <f t="shared" si="22"/>
        <v>1412</v>
      </c>
      <c r="N28" s="13">
        <f t="shared" si="22"/>
        <v>1299</v>
      </c>
      <c r="O28" s="13">
        <f t="shared" si="22"/>
        <v>1346</v>
      </c>
      <c r="P28" s="13">
        <f t="shared" si="22"/>
        <v>1186</v>
      </c>
      <c r="Q28" s="13">
        <f t="shared" si="22"/>
        <v>1281</v>
      </c>
      <c r="R28" s="13">
        <f t="shared" si="22"/>
        <v>1299</v>
      </c>
      <c r="S28" s="13">
        <f t="shared" si="22"/>
        <v>1436</v>
      </c>
      <c r="T28" s="13">
        <f t="shared" si="22"/>
        <v>1581</v>
      </c>
      <c r="U28" s="13">
        <f t="shared" si="22"/>
        <v>1417</v>
      </c>
      <c r="V28" s="13">
        <f t="shared" si="22"/>
        <v>1478</v>
      </c>
      <c r="W28" s="13">
        <f t="shared" ref="W28:Y28" si="23">SUM(W29:W31)</f>
        <v>1857</v>
      </c>
      <c r="X28" s="13">
        <f t="shared" si="23"/>
        <v>2006</v>
      </c>
      <c r="Y28" s="13">
        <f t="shared" si="23"/>
        <v>1920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752</v>
      </c>
      <c r="C30" s="102">
        <v>837</v>
      </c>
      <c r="D30" s="102">
        <v>1074</v>
      </c>
      <c r="E30" s="102">
        <v>997</v>
      </c>
      <c r="F30" s="102">
        <v>1052</v>
      </c>
      <c r="G30" s="102">
        <v>1361</v>
      </c>
      <c r="H30" s="102">
        <v>1084</v>
      </c>
      <c r="I30" s="102">
        <v>1245</v>
      </c>
      <c r="J30" s="102">
        <v>933</v>
      </c>
      <c r="K30" s="102">
        <v>864</v>
      </c>
      <c r="L30" s="102">
        <v>910</v>
      </c>
      <c r="M30" s="102">
        <v>1269</v>
      </c>
      <c r="N30" s="102">
        <v>1176</v>
      </c>
      <c r="O30" s="102">
        <v>1189</v>
      </c>
      <c r="P30" s="102">
        <v>1077</v>
      </c>
      <c r="Q30" s="102">
        <v>1155</v>
      </c>
      <c r="R30" s="102">
        <v>1109</v>
      </c>
      <c r="S30" s="102">
        <v>1201</v>
      </c>
      <c r="T30" s="102">
        <v>1286</v>
      </c>
      <c r="U30" s="102">
        <v>1114</v>
      </c>
      <c r="V30" s="102">
        <v>1178</v>
      </c>
      <c r="W30" s="102">
        <v>1422</v>
      </c>
      <c r="X30" s="102">
        <v>1489</v>
      </c>
      <c r="Y30" s="102">
        <v>1425</v>
      </c>
      <c r="DA30" s="175" t="s">
        <v>214</v>
      </c>
    </row>
    <row r="31" spans="1:105" ht="11.45" customHeight="1" x14ac:dyDescent="0.25">
      <c r="A31" s="85" t="s">
        <v>182</v>
      </c>
      <c r="B31" s="86">
        <v>227</v>
      </c>
      <c r="C31" s="86">
        <v>211</v>
      </c>
      <c r="D31" s="86">
        <v>107</v>
      </c>
      <c r="E31" s="86">
        <v>126</v>
      </c>
      <c r="F31" s="86">
        <v>96</v>
      </c>
      <c r="G31" s="86">
        <v>113</v>
      </c>
      <c r="H31" s="86">
        <v>572</v>
      </c>
      <c r="I31" s="86">
        <v>211</v>
      </c>
      <c r="J31" s="86">
        <v>241</v>
      </c>
      <c r="K31" s="86">
        <v>203</v>
      </c>
      <c r="L31" s="86">
        <v>238</v>
      </c>
      <c r="M31" s="86">
        <v>143</v>
      </c>
      <c r="N31" s="86">
        <v>123</v>
      </c>
      <c r="O31" s="86">
        <v>157</v>
      </c>
      <c r="P31" s="86">
        <v>109</v>
      </c>
      <c r="Q31" s="86">
        <v>126</v>
      </c>
      <c r="R31" s="86">
        <v>190</v>
      </c>
      <c r="S31" s="86">
        <v>235</v>
      </c>
      <c r="T31" s="86">
        <v>295</v>
      </c>
      <c r="U31" s="86">
        <v>303</v>
      </c>
      <c r="V31" s="86">
        <v>300</v>
      </c>
      <c r="W31" s="86">
        <v>435</v>
      </c>
      <c r="X31" s="86">
        <v>517</v>
      </c>
      <c r="Y31" s="86">
        <v>495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2440008</v>
      </c>
      <c r="C34" s="11">
        <f t="shared" si="24"/>
        <v>2320217</v>
      </c>
      <c r="D34" s="11">
        <f t="shared" ref="D34:V34" si="25">SUM(D35:D37)</f>
        <v>2267123</v>
      </c>
      <c r="E34" s="11">
        <f t="shared" si="25"/>
        <v>2523164</v>
      </c>
      <c r="F34" s="11">
        <f t="shared" si="25"/>
        <v>3224229</v>
      </c>
      <c r="G34" s="11">
        <f t="shared" si="25"/>
        <v>3994176</v>
      </c>
      <c r="H34" s="11">
        <f t="shared" si="25"/>
        <v>4184414</v>
      </c>
      <c r="I34" s="11">
        <f t="shared" si="25"/>
        <v>4390748</v>
      </c>
      <c r="J34" s="11">
        <f t="shared" si="25"/>
        <v>4280407</v>
      </c>
      <c r="K34" s="11">
        <f t="shared" si="25"/>
        <v>4106418</v>
      </c>
      <c r="L34" s="11">
        <f t="shared" si="25"/>
        <v>4114462</v>
      </c>
      <c r="M34" s="11">
        <f t="shared" si="25"/>
        <v>4468710</v>
      </c>
      <c r="N34" s="11">
        <f t="shared" si="25"/>
        <v>4246711</v>
      </c>
      <c r="O34" s="11">
        <f t="shared" si="25"/>
        <v>4254626</v>
      </c>
      <c r="P34" s="11">
        <f t="shared" si="25"/>
        <v>4559278</v>
      </c>
      <c r="Q34" s="11">
        <f t="shared" si="25"/>
        <v>5159421</v>
      </c>
      <c r="R34" s="11">
        <f t="shared" si="25"/>
        <v>5898110</v>
      </c>
      <c r="S34" s="11">
        <f t="shared" si="25"/>
        <v>6734603</v>
      </c>
      <c r="T34" s="11">
        <f t="shared" si="25"/>
        <v>7653880</v>
      </c>
      <c r="U34" s="11">
        <f t="shared" si="25"/>
        <v>8410692</v>
      </c>
      <c r="V34" s="11">
        <f t="shared" si="25"/>
        <v>2024774</v>
      </c>
      <c r="W34" s="11">
        <f t="shared" ref="W34:Y34" si="26">SUM(W35:W37)</f>
        <v>2325738</v>
      </c>
      <c r="X34" s="11">
        <f t="shared" si="26"/>
        <v>6231718</v>
      </c>
      <c r="Y34" s="11">
        <f t="shared" si="26"/>
        <v>7467238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1880970</v>
      </c>
      <c r="C36" s="84">
        <v>1793447</v>
      </c>
      <c r="D36" s="84">
        <v>1795277</v>
      </c>
      <c r="E36" s="84">
        <v>1930406</v>
      </c>
      <c r="F36" s="84">
        <v>2532104</v>
      </c>
      <c r="G36" s="84">
        <v>3297046</v>
      </c>
      <c r="H36" s="84">
        <v>3475446</v>
      </c>
      <c r="I36" s="84">
        <v>3620311</v>
      </c>
      <c r="J36" s="84">
        <v>3526458</v>
      </c>
      <c r="K36" s="84">
        <v>3452044</v>
      </c>
      <c r="L36" s="84">
        <v>3418820</v>
      </c>
      <c r="M36" s="84">
        <v>3726010</v>
      </c>
      <c r="N36" s="84">
        <v>3826048</v>
      </c>
      <c r="O36" s="84">
        <v>3753432</v>
      </c>
      <c r="P36" s="84">
        <v>3853918</v>
      </c>
      <c r="Q36" s="84">
        <v>4356317</v>
      </c>
      <c r="R36" s="84">
        <v>5096900</v>
      </c>
      <c r="S36" s="84">
        <v>5685410</v>
      </c>
      <c r="T36" s="84">
        <v>6210599</v>
      </c>
      <c r="U36" s="84">
        <v>6810441</v>
      </c>
      <c r="V36" s="84">
        <v>1707011</v>
      </c>
      <c r="W36" s="84">
        <v>1894901</v>
      </c>
      <c r="X36" s="84">
        <v>5235567</v>
      </c>
      <c r="Y36" s="84">
        <v>6033410</v>
      </c>
      <c r="DA36" s="171" t="s">
        <v>218</v>
      </c>
    </row>
    <row r="37" spans="1:105" ht="11.45" customHeight="1" x14ac:dyDescent="0.25">
      <c r="A37" s="83" t="s">
        <v>182</v>
      </c>
      <c r="B37" s="84">
        <v>559038</v>
      </c>
      <c r="C37" s="84">
        <v>526770</v>
      </c>
      <c r="D37" s="84">
        <v>471846</v>
      </c>
      <c r="E37" s="84">
        <v>592758</v>
      </c>
      <c r="F37" s="84">
        <v>692125</v>
      </c>
      <c r="G37" s="84">
        <v>697130</v>
      </c>
      <c r="H37" s="84">
        <v>708968</v>
      </c>
      <c r="I37" s="84">
        <v>770437</v>
      </c>
      <c r="J37" s="84">
        <v>753949</v>
      </c>
      <c r="K37" s="84">
        <v>654374</v>
      </c>
      <c r="L37" s="84">
        <v>695642</v>
      </c>
      <c r="M37" s="84">
        <v>742700</v>
      </c>
      <c r="N37" s="84">
        <v>420663</v>
      </c>
      <c r="O37" s="84">
        <v>501194</v>
      </c>
      <c r="P37" s="84">
        <v>705360</v>
      </c>
      <c r="Q37" s="84">
        <v>803104</v>
      </c>
      <c r="R37" s="84">
        <v>801210</v>
      </c>
      <c r="S37" s="84">
        <v>1049193</v>
      </c>
      <c r="T37" s="84">
        <v>1443281</v>
      </c>
      <c r="U37" s="84">
        <v>1600251</v>
      </c>
      <c r="V37" s="84">
        <v>317763</v>
      </c>
      <c r="W37" s="84">
        <v>430837</v>
      </c>
      <c r="X37" s="84">
        <v>996151</v>
      </c>
      <c r="Y37" s="84">
        <v>1433828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23993.590705236151</v>
      </c>
      <c r="C38" s="13">
        <f t="shared" si="27"/>
        <v>25048.901706295168</v>
      </c>
      <c r="D38" s="13">
        <f t="shared" ref="D38:V38" si="28">SUM(D39:D41)</f>
        <v>23236.805748885432</v>
      </c>
      <c r="E38" s="13">
        <f t="shared" si="28"/>
        <v>23309.583819572083</v>
      </c>
      <c r="F38" s="13">
        <f t="shared" si="28"/>
        <v>21515.101832630738</v>
      </c>
      <c r="G38" s="13">
        <f t="shared" si="28"/>
        <v>25686.925858758656</v>
      </c>
      <c r="H38" s="13">
        <f t="shared" si="28"/>
        <v>41029.230964246068</v>
      </c>
      <c r="I38" s="13">
        <f t="shared" si="28"/>
        <v>26698.828955558951</v>
      </c>
      <c r="J38" s="13">
        <f t="shared" si="28"/>
        <v>23611.806061118339</v>
      </c>
      <c r="K38" s="13">
        <f t="shared" si="28"/>
        <v>21965.531127516355</v>
      </c>
      <c r="L38" s="13">
        <f t="shared" si="28"/>
        <v>25700.991039800065</v>
      </c>
      <c r="M38" s="13">
        <f t="shared" si="28"/>
        <v>27663.27168577653</v>
      </c>
      <c r="N38" s="13">
        <f t="shared" si="28"/>
        <v>26868.981286027585</v>
      </c>
      <c r="O38" s="13">
        <f t="shared" si="28"/>
        <v>29291.43732971928</v>
      </c>
      <c r="P38" s="13">
        <f t="shared" si="28"/>
        <v>27114.354520607158</v>
      </c>
      <c r="Q38" s="13">
        <f t="shared" si="28"/>
        <v>29690.953651453634</v>
      </c>
      <c r="R38" s="13">
        <f t="shared" si="28"/>
        <v>37074.38281081312</v>
      </c>
      <c r="S38" s="13">
        <f t="shared" si="28"/>
        <v>40504.001513448922</v>
      </c>
      <c r="T38" s="13">
        <f t="shared" si="28"/>
        <v>46433.80163668665</v>
      </c>
      <c r="U38" s="13">
        <f t="shared" si="28"/>
        <v>44795.356367238724</v>
      </c>
      <c r="V38" s="13">
        <f t="shared" si="28"/>
        <v>35938.986777975988</v>
      </c>
      <c r="W38" s="13">
        <f t="shared" ref="W38:Y38" si="29">SUM(W39:W41)</f>
        <v>48577.009002887899</v>
      </c>
      <c r="X38" s="13">
        <f t="shared" si="29"/>
        <v>57918.281469573587</v>
      </c>
      <c r="Y38" s="13">
        <f t="shared" si="29"/>
        <v>56825.686276580316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12158.191439604545</v>
      </c>
      <c r="C40" s="102">
        <v>13682.884100065274</v>
      </c>
      <c r="D40" s="102">
        <v>17576.164586272</v>
      </c>
      <c r="E40" s="102">
        <v>17170.031587276771</v>
      </c>
      <c r="F40" s="102">
        <v>16901.376482087519</v>
      </c>
      <c r="G40" s="102">
        <v>20690.569691792974</v>
      </c>
      <c r="H40" s="102">
        <v>15195.347061016524</v>
      </c>
      <c r="I40" s="102">
        <v>17164.620484071747</v>
      </c>
      <c r="J40" s="102">
        <v>12787.744198102635</v>
      </c>
      <c r="K40" s="102">
        <v>11835.844635718149</v>
      </c>
      <c r="L40" s="102">
        <v>13199.344739104268</v>
      </c>
      <c r="M40" s="102">
        <v>19788.774549771788</v>
      </c>
      <c r="N40" s="102">
        <v>19601.888394966576</v>
      </c>
      <c r="O40" s="102">
        <v>19924.080829625538</v>
      </c>
      <c r="P40" s="102">
        <v>19870.017454921675</v>
      </c>
      <c r="Q40" s="102">
        <v>21341.635575060096</v>
      </c>
      <c r="R40" s="102">
        <v>23120.342617952567</v>
      </c>
      <c r="S40" s="102">
        <v>23272.407747277448</v>
      </c>
      <c r="T40" s="102">
        <v>24723.943098452572</v>
      </c>
      <c r="U40" s="102">
        <v>21948.694860042</v>
      </c>
      <c r="V40" s="102">
        <v>20780.516202867733</v>
      </c>
      <c r="W40" s="102">
        <v>25266.658764278051</v>
      </c>
      <c r="X40" s="102">
        <v>26638.915979779991</v>
      </c>
      <c r="Y40" s="102">
        <v>25607.303071763348</v>
      </c>
      <c r="DA40" s="175" t="s">
        <v>222</v>
      </c>
    </row>
    <row r="41" spans="1:105" ht="11.45" customHeight="1" x14ac:dyDescent="0.25">
      <c r="A41" s="85" t="s">
        <v>182</v>
      </c>
      <c r="B41" s="86">
        <v>11835.399265631604</v>
      </c>
      <c r="C41" s="86">
        <v>11366.017606229896</v>
      </c>
      <c r="D41" s="86">
        <v>5660.6411626134322</v>
      </c>
      <c r="E41" s="86">
        <v>6139.5522322953111</v>
      </c>
      <c r="F41" s="86">
        <v>4613.7253505432191</v>
      </c>
      <c r="G41" s="86">
        <v>4996.356166965681</v>
      </c>
      <c r="H41" s="86">
        <v>25833.883903229544</v>
      </c>
      <c r="I41" s="86">
        <v>9534.2084714872035</v>
      </c>
      <c r="J41" s="86">
        <v>10824.061863015706</v>
      </c>
      <c r="K41" s="86">
        <v>10129.686491798204</v>
      </c>
      <c r="L41" s="86">
        <v>12501.646300695798</v>
      </c>
      <c r="M41" s="86">
        <v>7874.497136004743</v>
      </c>
      <c r="N41" s="86">
        <v>7267.0928910610073</v>
      </c>
      <c r="O41" s="86">
        <v>9367.3565000937415</v>
      </c>
      <c r="P41" s="86">
        <v>7244.3370656854804</v>
      </c>
      <c r="Q41" s="86">
        <v>8349.3180763935379</v>
      </c>
      <c r="R41" s="86">
        <v>13954.040192860555</v>
      </c>
      <c r="S41" s="86">
        <v>17231.593766171478</v>
      </c>
      <c r="T41" s="86">
        <v>21709.858538234083</v>
      </c>
      <c r="U41" s="86">
        <v>22846.661507196721</v>
      </c>
      <c r="V41" s="86">
        <v>15158.470575108253</v>
      </c>
      <c r="W41" s="86">
        <v>23310.350238609848</v>
      </c>
      <c r="X41" s="86">
        <v>31279.365489793596</v>
      </c>
      <c r="Y41" s="86">
        <v>31218.383204816968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30.614469260857113</v>
      </c>
      <c r="C43" s="54">
        <f t="shared" si="30"/>
        <v>28.871363754068796</v>
      </c>
      <c r="D43" s="54">
        <f t="shared" ref="D43:V43" si="31">SUM(D44,D48)</f>
        <v>28.547871115949501</v>
      </c>
      <c r="E43" s="54">
        <f t="shared" si="31"/>
        <v>32.714123238914944</v>
      </c>
      <c r="F43" s="54">
        <f t="shared" si="31"/>
        <v>40.630810528259524</v>
      </c>
      <c r="G43" s="54">
        <f t="shared" si="31"/>
        <v>45.697269094851798</v>
      </c>
      <c r="H43" s="54">
        <f t="shared" si="31"/>
        <v>47.592160006772929</v>
      </c>
      <c r="I43" s="54">
        <f t="shared" si="31"/>
        <v>48.512640113172054</v>
      </c>
      <c r="J43" s="54">
        <f t="shared" si="31"/>
        <v>45.632541457985234</v>
      </c>
      <c r="K43" s="54">
        <f t="shared" si="31"/>
        <v>43.25945203497038</v>
      </c>
      <c r="L43" s="54">
        <f t="shared" si="31"/>
        <v>40.542445638630845</v>
      </c>
      <c r="M43" s="54">
        <f t="shared" si="31"/>
        <v>42.096036877221493</v>
      </c>
      <c r="N43" s="54">
        <f t="shared" si="31"/>
        <v>39.453884730094373</v>
      </c>
      <c r="O43" s="54">
        <f t="shared" si="31"/>
        <v>36.660292010473306</v>
      </c>
      <c r="P43" s="54">
        <f t="shared" si="31"/>
        <v>34.250867404862774</v>
      </c>
      <c r="Q43" s="54">
        <f t="shared" si="31"/>
        <v>35.664907963965845</v>
      </c>
      <c r="R43" s="54">
        <f t="shared" si="31"/>
        <v>38.38675175495969</v>
      </c>
      <c r="S43" s="54">
        <f t="shared" si="31"/>
        <v>41.901790166595511</v>
      </c>
      <c r="T43" s="54">
        <f t="shared" si="31"/>
        <v>49.200009861668249</v>
      </c>
      <c r="U43" s="54">
        <f t="shared" si="31"/>
        <v>53.071496956910664</v>
      </c>
      <c r="V43" s="54">
        <f t="shared" si="31"/>
        <v>51.54077349386781</v>
      </c>
      <c r="W43" s="54">
        <f t="shared" ref="W43:Y43" si="32">SUM(W44,W48)</f>
        <v>50.525051111374154</v>
      </c>
      <c r="X43" s="54">
        <f t="shared" si="32"/>
        <v>49.491492833411129</v>
      </c>
      <c r="Y43" s="54">
        <f t="shared" si="32"/>
        <v>49.6733584715912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29.729932972018705</v>
      </c>
      <c r="C44" s="11">
        <f t="shared" si="33"/>
        <v>27.932207958190588</v>
      </c>
      <c r="D44" s="11">
        <f t="shared" ref="D44:V44" si="34">SUM(D45:D47)</f>
        <v>27.408290373409891</v>
      </c>
      <c r="E44" s="11">
        <f t="shared" si="34"/>
        <v>31.662996125259177</v>
      </c>
      <c r="F44" s="11">
        <f t="shared" si="34"/>
        <v>39.555770131120681</v>
      </c>
      <c r="G44" s="11">
        <f t="shared" si="34"/>
        <v>44.37777520238533</v>
      </c>
      <c r="H44" s="11">
        <f t="shared" si="34"/>
        <v>45.790290246245455</v>
      </c>
      <c r="I44" s="11">
        <f t="shared" si="34"/>
        <v>46.742007200587089</v>
      </c>
      <c r="J44" s="11">
        <f t="shared" si="34"/>
        <v>43.950362174284109</v>
      </c>
      <c r="K44" s="11">
        <f t="shared" si="34"/>
        <v>41.659150561590664</v>
      </c>
      <c r="L44" s="11">
        <f t="shared" si="34"/>
        <v>39.028591239743442</v>
      </c>
      <c r="M44" s="11">
        <f t="shared" si="34"/>
        <v>40.473381176930289</v>
      </c>
      <c r="N44" s="11">
        <f t="shared" si="34"/>
        <v>37.915900879793462</v>
      </c>
      <c r="O44" s="11">
        <f t="shared" si="34"/>
        <v>35.173271977707486</v>
      </c>
      <c r="P44" s="11">
        <f t="shared" si="34"/>
        <v>32.852301000980802</v>
      </c>
      <c r="Q44" s="11">
        <f t="shared" si="34"/>
        <v>34.232859419205852</v>
      </c>
      <c r="R44" s="11">
        <f t="shared" si="34"/>
        <v>37.016966247051364</v>
      </c>
      <c r="S44" s="11">
        <f t="shared" si="34"/>
        <v>40.487706036515775</v>
      </c>
      <c r="T44" s="11">
        <f t="shared" si="34"/>
        <v>47.735198288190034</v>
      </c>
      <c r="U44" s="11">
        <f t="shared" si="34"/>
        <v>51.690731573554757</v>
      </c>
      <c r="V44" s="11">
        <f t="shared" si="34"/>
        <v>50.204234924953823</v>
      </c>
      <c r="W44" s="11">
        <f t="shared" ref="W44:Y44" si="35">SUM(W45:W47)</f>
        <v>48.71773827635289</v>
      </c>
      <c r="X44" s="11">
        <f t="shared" si="35"/>
        <v>47.231241627751956</v>
      </c>
      <c r="Y44" s="11">
        <f t="shared" si="35"/>
        <v>47.45733408037394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20.54575657772558</v>
      </c>
      <c r="C46" s="84">
        <v>19.30315478049928</v>
      </c>
      <c r="D46" s="84">
        <v>18.982868842929992</v>
      </c>
      <c r="E46" s="84">
        <v>21.312801572729995</v>
      </c>
      <c r="F46" s="84">
        <v>28.261347303623921</v>
      </c>
      <c r="G46" s="84">
        <v>33.550324221993172</v>
      </c>
      <c r="H46" s="84">
        <v>34.159647291389092</v>
      </c>
      <c r="I46" s="84">
        <v>33.958223416803307</v>
      </c>
      <c r="J46" s="84">
        <v>32.083248080324374</v>
      </c>
      <c r="K46" s="84">
        <v>30.710454107060247</v>
      </c>
      <c r="L46" s="84">
        <v>28.9411064280788</v>
      </c>
      <c r="M46" s="84">
        <v>29.558252025638772</v>
      </c>
      <c r="N46" s="84">
        <v>27.919189367931263</v>
      </c>
      <c r="O46" s="84">
        <v>26.094978105274599</v>
      </c>
      <c r="P46" s="84">
        <v>24.692424767977229</v>
      </c>
      <c r="Q46" s="84">
        <v>25.241101177447611</v>
      </c>
      <c r="R46" s="84">
        <v>28.220806719724923</v>
      </c>
      <c r="S46" s="84">
        <v>29.789895817537676</v>
      </c>
      <c r="T46" s="84">
        <v>32.521131009902575</v>
      </c>
      <c r="U46" s="84">
        <v>35.195404470751015</v>
      </c>
      <c r="V46" s="84">
        <v>34.168116641864742</v>
      </c>
      <c r="W46" s="84">
        <v>33.140828812978462</v>
      </c>
      <c r="X46" s="84">
        <v>32.113540984092182</v>
      </c>
      <c r="Y46" s="84">
        <v>31.278122610839894</v>
      </c>
      <c r="DA46" s="171" t="s">
        <v>227</v>
      </c>
    </row>
    <row r="47" spans="1:105" ht="11.45" customHeight="1" x14ac:dyDescent="0.25">
      <c r="A47" s="83" t="s">
        <v>182</v>
      </c>
      <c r="B47" s="84">
        <v>9.1841763942931252</v>
      </c>
      <c r="C47" s="84">
        <v>8.6290531776913095</v>
      </c>
      <c r="D47" s="84">
        <v>8.4254215304798965</v>
      </c>
      <c r="E47" s="84">
        <v>10.350194552529183</v>
      </c>
      <c r="F47" s="84">
        <v>11.294422827496758</v>
      </c>
      <c r="G47" s="84">
        <v>10.827450980392157</v>
      </c>
      <c r="H47" s="84">
        <v>11.630642954856361</v>
      </c>
      <c r="I47" s="84">
        <v>12.783783783783784</v>
      </c>
      <c r="J47" s="84">
        <v>11.867114093959731</v>
      </c>
      <c r="K47" s="84">
        <v>10.948696454530419</v>
      </c>
      <c r="L47" s="84">
        <v>10.087484811664641</v>
      </c>
      <c r="M47" s="84">
        <v>10.915129151291513</v>
      </c>
      <c r="N47" s="84">
        <v>9.9967115118622001</v>
      </c>
      <c r="O47" s="84">
        <v>9.0782938724328872</v>
      </c>
      <c r="P47" s="84">
        <v>8.1598762330035743</v>
      </c>
      <c r="Q47" s="84">
        <v>8.9917582417582409</v>
      </c>
      <c r="R47" s="84">
        <v>8.7961595273264397</v>
      </c>
      <c r="S47" s="84">
        <v>10.697810218978102</v>
      </c>
      <c r="T47" s="84">
        <v>15.214067278287462</v>
      </c>
      <c r="U47" s="84">
        <v>16.495327102803738</v>
      </c>
      <c r="V47" s="84">
        <v>16.036118283089081</v>
      </c>
      <c r="W47" s="84">
        <v>15.576909463374426</v>
      </c>
      <c r="X47" s="84">
        <v>15.11770064365977</v>
      </c>
      <c r="Y47" s="84">
        <v>16.179211469534049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0.88453628883840851</v>
      </c>
      <c r="C48" s="13">
        <f t="shared" si="36"/>
        <v>0.9391557958782083</v>
      </c>
      <c r="D48" s="13">
        <f t="shared" ref="D48:V48" si="37">SUM(D49:D51)</f>
        <v>1.1395807425396096</v>
      </c>
      <c r="E48" s="13">
        <f t="shared" si="37"/>
        <v>1.0511271136557687</v>
      </c>
      <c r="F48" s="13">
        <f t="shared" si="37"/>
        <v>1.0750403971388403</v>
      </c>
      <c r="G48" s="13">
        <f t="shared" si="37"/>
        <v>1.3194938924664714</v>
      </c>
      <c r="H48" s="13">
        <f t="shared" si="37"/>
        <v>1.8018697605274705</v>
      </c>
      <c r="I48" s="13">
        <f t="shared" si="37"/>
        <v>1.7706329125849642</v>
      </c>
      <c r="J48" s="13">
        <f t="shared" si="37"/>
        <v>1.6821792837011234</v>
      </c>
      <c r="K48" s="13">
        <f t="shared" si="37"/>
        <v>1.6003014733797163</v>
      </c>
      <c r="L48" s="13">
        <f t="shared" si="37"/>
        <v>1.5138543988874011</v>
      </c>
      <c r="M48" s="13">
        <f t="shared" si="37"/>
        <v>1.6226557002912079</v>
      </c>
      <c r="N48" s="13">
        <f t="shared" si="37"/>
        <v>1.537983850300908</v>
      </c>
      <c r="O48" s="13">
        <f t="shared" si="37"/>
        <v>1.4870200327658165</v>
      </c>
      <c r="P48" s="13">
        <f t="shared" si="37"/>
        <v>1.3985664038819756</v>
      </c>
      <c r="Q48" s="13">
        <f t="shared" si="37"/>
        <v>1.4320485447599915</v>
      </c>
      <c r="R48" s="13">
        <f t="shared" si="37"/>
        <v>1.3697855079083268</v>
      </c>
      <c r="S48" s="13">
        <f t="shared" si="37"/>
        <v>1.4140841300797355</v>
      </c>
      <c r="T48" s="13">
        <f t="shared" si="37"/>
        <v>1.4648115734782159</v>
      </c>
      <c r="U48" s="13">
        <f t="shared" si="37"/>
        <v>1.3807653833559086</v>
      </c>
      <c r="V48" s="13">
        <f t="shared" si="37"/>
        <v>1.3365385689139884</v>
      </c>
      <c r="W48" s="13">
        <f t="shared" ref="W48:Y48" si="38">SUM(W49:W51)</f>
        <v>1.8073128350212664</v>
      </c>
      <c r="X48" s="13">
        <f t="shared" si="38"/>
        <v>2.260251205659177</v>
      </c>
      <c r="Y48" s="13">
        <f t="shared" si="38"/>
        <v>2.2160243912172568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0.63752867186343576</v>
      </c>
      <c r="C50" s="102">
        <v>0.70955840741248466</v>
      </c>
      <c r="D50" s="102">
        <v>0.93468411577138333</v>
      </c>
      <c r="E50" s="102">
        <v>0.87093124858503967</v>
      </c>
      <c r="F50" s="102">
        <v>0.91954529376560845</v>
      </c>
      <c r="G50" s="102">
        <v>1.188699550790737</v>
      </c>
      <c r="H50" s="102">
        <v>1.1249466836043935</v>
      </c>
      <c r="I50" s="102">
        <v>1.1184105973593845</v>
      </c>
      <c r="J50" s="102">
        <v>1.0546577301730409</v>
      </c>
      <c r="K50" s="102">
        <v>0.99748068154913117</v>
      </c>
      <c r="L50" s="102">
        <v>0.93573436875431315</v>
      </c>
      <c r="M50" s="102">
        <v>1.0692364318556171</v>
      </c>
      <c r="N50" s="102">
        <v>1.0092653435628145</v>
      </c>
      <c r="O50" s="102">
        <v>0.98300228772522025</v>
      </c>
      <c r="P50" s="102">
        <v>0.9192494205388767</v>
      </c>
      <c r="Q50" s="102">
        <v>0.97743232311438988</v>
      </c>
      <c r="R50" s="102">
        <v>0.93987004796022244</v>
      </c>
      <c r="S50" s="102">
        <v>1.0088694318291285</v>
      </c>
      <c r="T50" s="102">
        <v>1.0842976369251061</v>
      </c>
      <c r="U50" s="102">
        <v>1.0249522085002962</v>
      </c>
      <c r="V50" s="102">
        <v>0.99307577490712462</v>
      </c>
      <c r="W50" s="102">
        <v>1.1946367786832381</v>
      </c>
      <c r="X50" s="102">
        <v>1.2829355156780808</v>
      </c>
      <c r="Y50" s="102">
        <v>1.251059082084909</v>
      </c>
      <c r="DA50" s="175" t="s">
        <v>231</v>
      </c>
    </row>
    <row r="51" spans="1:105" ht="11.45" customHeight="1" x14ac:dyDescent="0.25">
      <c r="A51" s="85" t="s">
        <v>182</v>
      </c>
      <c r="B51" s="86">
        <v>0.24700761697497281</v>
      </c>
      <c r="C51" s="86">
        <v>0.22959738846572361</v>
      </c>
      <c r="D51" s="86">
        <v>0.20489662676822634</v>
      </c>
      <c r="E51" s="86">
        <v>0.18019586507072904</v>
      </c>
      <c r="F51" s="86">
        <v>0.15549510337323175</v>
      </c>
      <c r="G51" s="86">
        <v>0.13079434167573445</v>
      </c>
      <c r="H51" s="86">
        <v>0.67692307692307696</v>
      </c>
      <c r="I51" s="86">
        <v>0.65222231522557972</v>
      </c>
      <c r="J51" s="86">
        <v>0.62752155352808248</v>
      </c>
      <c r="K51" s="86">
        <v>0.60282079183058523</v>
      </c>
      <c r="L51" s="86">
        <v>0.57812003013308799</v>
      </c>
      <c r="M51" s="86">
        <v>0.55341926843559075</v>
      </c>
      <c r="N51" s="86">
        <v>0.52871850673809351</v>
      </c>
      <c r="O51" s="86">
        <v>0.50401774504059627</v>
      </c>
      <c r="P51" s="86">
        <v>0.47931698334309897</v>
      </c>
      <c r="Q51" s="86">
        <v>0.45461622164560167</v>
      </c>
      <c r="R51" s="86">
        <v>0.42991545994810437</v>
      </c>
      <c r="S51" s="86">
        <v>0.40521469825060707</v>
      </c>
      <c r="T51" s="86">
        <v>0.38051393655310978</v>
      </c>
      <c r="U51" s="86">
        <v>0.35581317485561248</v>
      </c>
      <c r="V51" s="86">
        <v>0.34346279400686386</v>
      </c>
      <c r="W51" s="86">
        <v>0.61267605633802813</v>
      </c>
      <c r="X51" s="86">
        <v>0.97731568998109641</v>
      </c>
      <c r="Y51" s="86">
        <v>0.96496530913234779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4.2379220474483841</v>
      </c>
      <c r="C53" s="54">
        <f t="shared" si="39"/>
        <v>9.6225316225473825E-2</v>
      </c>
      <c r="D53" s="54">
        <f t="shared" ref="D53:V53" si="40">SUM(D54,D58)</f>
        <v>0.82961846952082452</v>
      </c>
      <c r="E53" s="54">
        <f t="shared" si="40"/>
        <v>5.2000697150392927</v>
      </c>
      <c r="F53" s="54">
        <f t="shared" si="40"/>
        <v>8.913793516289461</v>
      </c>
      <c r="G53" s="54">
        <f t="shared" si="40"/>
        <v>6.2314432013857717</v>
      </c>
      <c r="H53" s="54">
        <f t="shared" si="40"/>
        <v>3.0226518554940882</v>
      </c>
      <c r="I53" s="54">
        <f t="shared" si="40"/>
        <v>2.0456995960916329</v>
      </c>
      <c r="J53" s="54">
        <f t="shared" si="40"/>
        <v>7.6521029375246241E-2</v>
      </c>
      <c r="K53" s="54">
        <f t="shared" si="40"/>
        <v>0.11774524410084784</v>
      </c>
      <c r="L53" s="54">
        <f t="shared" si="40"/>
        <v>0</v>
      </c>
      <c r="M53" s="54">
        <f t="shared" si="40"/>
        <v>2.7650817729290762</v>
      </c>
      <c r="N53" s="54">
        <f t="shared" si="40"/>
        <v>0.27720530018850303</v>
      </c>
      <c r="O53" s="54">
        <f t="shared" si="40"/>
        <v>0.10289917916112008</v>
      </c>
      <c r="P53" s="54">
        <f t="shared" si="40"/>
        <v>0.52674108897756566</v>
      </c>
      <c r="Q53" s="54">
        <f t="shared" si="40"/>
        <v>2.5027677446333327</v>
      </c>
      <c r="R53" s="54">
        <f t="shared" si="40"/>
        <v>3.7205283848596213</v>
      </c>
      <c r="S53" s="54">
        <f t="shared" si="40"/>
        <v>4.4981684225582503</v>
      </c>
      <c r="T53" s="54">
        <f t="shared" si="40"/>
        <v>8.2797708104900032</v>
      </c>
      <c r="U53" s="54">
        <f t="shared" si="40"/>
        <v>4.887564759705036</v>
      </c>
      <c r="V53" s="54">
        <f t="shared" si="40"/>
        <v>0</v>
      </c>
      <c r="W53" s="54">
        <f t="shared" ref="W53:Y53" si="41">SUM(W54,W58)</f>
        <v>0.50349258917147255</v>
      </c>
      <c r="X53" s="54">
        <f t="shared" si="41"/>
        <v>0.48491595296114287</v>
      </c>
      <c r="Y53" s="54">
        <f t="shared" si="41"/>
        <v>1.3491459317972776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4.0877419799294188</v>
      </c>
      <c r="C54" s="11">
        <f t="shared" si="42"/>
        <v>0</v>
      </c>
      <c r="D54" s="11">
        <f t="shared" ref="D54:V54" si="43">SUM(D55:D57)</f>
        <v>0.57832293155846237</v>
      </c>
      <c r="E54" s="11">
        <f t="shared" si="43"/>
        <v>5.2000697150392927</v>
      </c>
      <c r="F54" s="11">
        <f t="shared" si="43"/>
        <v>8.8353059378015022</v>
      </c>
      <c r="G54" s="11">
        <f t="shared" si="43"/>
        <v>5.9324154110532534</v>
      </c>
      <c r="H54" s="11">
        <f t="shared" si="43"/>
        <v>2.4688698739647457</v>
      </c>
      <c r="I54" s="11">
        <f t="shared" si="43"/>
        <v>2.0223621490292523</v>
      </c>
      <c r="J54" s="11">
        <f t="shared" si="43"/>
        <v>7.6521029375246241E-2</v>
      </c>
      <c r="K54" s="11">
        <f t="shared" si="43"/>
        <v>0.11368730822787754</v>
      </c>
      <c r="L54" s="11">
        <f t="shared" si="43"/>
        <v>0</v>
      </c>
      <c r="M54" s="11">
        <f t="shared" si="43"/>
        <v>2.6042240592098462</v>
      </c>
      <c r="N54" s="11">
        <f t="shared" si="43"/>
        <v>0.2759414039844254</v>
      </c>
      <c r="O54" s="11">
        <f t="shared" si="43"/>
        <v>9.0792799035271765E-2</v>
      </c>
      <c r="P54" s="11">
        <f t="shared" si="43"/>
        <v>0.52674108897756566</v>
      </c>
      <c r="Q54" s="11">
        <f t="shared" si="43"/>
        <v>2.4147113087504302</v>
      </c>
      <c r="R54" s="11">
        <f t="shared" si="43"/>
        <v>3.7205283848596213</v>
      </c>
      <c r="S54" s="11">
        <f t="shared" si="43"/>
        <v>4.4018133880714183</v>
      </c>
      <c r="T54" s="11">
        <f t="shared" si="43"/>
        <v>8.1785658502812595</v>
      </c>
      <c r="U54" s="11">
        <f t="shared" si="43"/>
        <v>4.8866068839717158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1.3491459317972776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2.8247501943695839</v>
      </c>
      <c r="C56" s="84">
        <v>0</v>
      </c>
      <c r="D56" s="84">
        <v>0.49431947284687539</v>
      </c>
      <c r="E56" s="84">
        <v>2.9876615870670058</v>
      </c>
      <c r="F56" s="84">
        <v>7.6034425569109274</v>
      </c>
      <c r="G56" s="84">
        <v>5.9324154110532534</v>
      </c>
      <c r="H56" s="84">
        <v>1.3780427935775421</v>
      </c>
      <c r="I56" s="84">
        <v>0.58158621417882927</v>
      </c>
      <c r="J56" s="84">
        <v>7.6521029375246241E-2</v>
      </c>
      <c r="K56" s="84">
        <v>0.11368730822787754</v>
      </c>
      <c r="L56" s="84">
        <v>0</v>
      </c>
      <c r="M56" s="84">
        <v>1.4889446136599744</v>
      </c>
      <c r="N56" s="84">
        <v>0.2759414039844254</v>
      </c>
      <c r="O56" s="84">
        <v>9.0792799035271765E-2</v>
      </c>
      <c r="P56" s="84">
        <v>0.52674108897756566</v>
      </c>
      <c r="Q56" s="84">
        <v>1.2951941940727636</v>
      </c>
      <c r="R56" s="84">
        <v>3.6284919933684225</v>
      </c>
      <c r="S56" s="84">
        <v>2.2125275904967561</v>
      </c>
      <c r="T56" s="84">
        <v>3.3746736850488985</v>
      </c>
      <c r="U56" s="84">
        <v>3.3177119535324411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1.2629917855598354</v>
      </c>
      <c r="C57" s="84">
        <v>0</v>
      </c>
      <c r="D57" s="84">
        <v>8.4003458711586987E-2</v>
      </c>
      <c r="E57" s="84">
        <v>2.2124081279722869</v>
      </c>
      <c r="F57" s="84">
        <v>1.2318633808905748</v>
      </c>
      <c r="G57" s="84">
        <v>0</v>
      </c>
      <c r="H57" s="84">
        <v>1.0908270803872036</v>
      </c>
      <c r="I57" s="84">
        <v>1.4407759348504232</v>
      </c>
      <c r="J57" s="84">
        <v>0</v>
      </c>
      <c r="K57" s="84">
        <v>0</v>
      </c>
      <c r="L57" s="84">
        <v>0</v>
      </c>
      <c r="M57" s="84">
        <v>1.1152794455498718</v>
      </c>
      <c r="N57" s="84">
        <v>0</v>
      </c>
      <c r="O57" s="84">
        <v>0</v>
      </c>
      <c r="P57" s="84">
        <v>0</v>
      </c>
      <c r="Q57" s="84">
        <v>1.1195171146776666</v>
      </c>
      <c r="R57" s="84">
        <v>9.2036391491198799E-2</v>
      </c>
      <c r="S57" s="84">
        <v>2.1892857975746622</v>
      </c>
      <c r="T57" s="84">
        <v>4.8038921652323605</v>
      </c>
      <c r="U57" s="84">
        <v>1.5688949304392743</v>
      </c>
      <c r="V57" s="84">
        <v>0</v>
      </c>
      <c r="W57" s="84">
        <v>0</v>
      </c>
      <c r="X57" s="84">
        <v>0</v>
      </c>
      <c r="Y57" s="84">
        <v>1.3491459317972776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0.15018006751896512</v>
      </c>
      <c r="C58" s="13">
        <f t="shared" si="45"/>
        <v>9.6225316225473825E-2</v>
      </c>
      <c r="D58" s="13">
        <f t="shared" ref="D58:V58" si="46">SUM(D59:D61)</f>
        <v>0.25129553796236215</v>
      </c>
      <c r="E58" s="13">
        <f t="shared" si="46"/>
        <v>0</v>
      </c>
      <c r="F58" s="13">
        <f t="shared" si="46"/>
        <v>7.8487578487958287E-2</v>
      </c>
      <c r="G58" s="13">
        <f t="shared" si="46"/>
        <v>0.29902779033251803</v>
      </c>
      <c r="H58" s="13">
        <f t="shared" si="46"/>
        <v>0.55378198152934255</v>
      </c>
      <c r="I58" s="13">
        <f t="shared" si="46"/>
        <v>2.3337447062380612E-2</v>
      </c>
      <c r="J58" s="13">
        <f t="shared" si="46"/>
        <v>0</v>
      </c>
      <c r="K58" s="13">
        <f t="shared" si="46"/>
        <v>4.0579358729703058E-3</v>
      </c>
      <c r="L58" s="13">
        <f t="shared" si="46"/>
        <v>0</v>
      </c>
      <c r="M58" s="13">
        <f t="shared" si="46"/>
        <v>0.16085771371922986</v>
      </c>
      <c r="N58" s="13">
        <f t="shared" si="46"/>
        <v>1.2638962040776199E-3</v>
      </c>
      <c r="O58" s="13">
        <f t="shared" si="46"/>
        <v>1.2106380125848314E-2</v>
      </c>
      <c r="P58" s="13">
        <f t="shared" si="46"/>
        <v>0</v>
      </c>
      <c r="Q58" s="13">
        <f t="shared" si="46"/>
        <v>8.8056435882902684E-2</v>
      </c>
      <c r="R58" s="13">
        <f t="shared" si="46"/>
        <v>0</v>
      </c>
      <c r="S58" s="13">
        <f t="shared" si="46"/>
        <v>9.6355034486831886E-2</v>
      </c>
      <c r="T58" s="13">
        <f t="shared" si="46"/>
        <v>0.10120496020874431</v>
      </c>
      <c r="U58" s="13">
        <f t="shared" si="46"/>
        <v>9.5787573332053663E-4</v>
      </c>
      <c r="V58" s="13">
        <f t="shared" si="46"/>
        <v>0</v>
      </c>
      <c r="W58" s="13">
        <f t="shared" ref="W58:Y58" si="47">SUM(W59:W61)</f>
        <v>0.50349258917147255</v>
      </c>
      <c r="X58" s="13">
        <f t="shared" si="47"/>
        <v>0.48491595296114287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0.12511659272771594</v>
      </c>
      <c r="C60" s="102">
        <v>9.6225316225473825E-2</v>
      </c>
      <c r="D60" s="102">
        <v>0.25129553796236215</v>
      </c>
      <c r="E60" s="102">
        <v>0</v>
      </c>
      <c r="F60" s="102">
        <v>7.8487578487958287E-2</v>
      </c>
      <c r="G60" s="102">
        <v>0.29902779033251803</v>
      </c>
      <c r="H60" s="102">
        <v>0</v>
      </c>
      <c r="I60" s="102">
        <v>2.3337447062380612E-2</v>
      </c>
      <c r="J60" s="102">
        <v>0</v>
      </c>
      <c r="K60" s="102">
        <v>4.0579358729703058E-3</v>
      </c>
      <c r="L60" s="102">
        <v>0</v>
      </c>
      <c r="M60" s="102">
        <v>0.16085771371922986</v>
      </c>
      <c r="N60" s="102">
        <v>1.2638962040776199E-3</v>
      </c>
      <c r="O60" s="102">
        <v>1.2106380125848314E-2</v>
      </c>
      <c r="P60" s="102">
        <v>0</v>
      </c>
      <c r="Q60" s="102">
        <v>8.8056435882902684E-2</v>
      </c>
      <c r="R60" s="102">
        <v>0</v>
      </c>
      <c r="S60" s="102">
        <v>9.6355034486831886E-2</v>
      </c>
      <c r="T60" s="102">
        <v>0.10120496020874431</v>
      </c>
      <c r="U60" s="102">
        <v>9.5787573332053663E-4</v>
      </c>
      <c r="V60" s="102">
        <v>0</v>
      </c>
      <c r="W60" s="102">
        <v>0.22662608055830824</v>
      </c>
      <c r="X60" s="102">
        <v>0.11262307303607454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2.506347479124918E-2</v>
      </c>
      <c r="C61" s="86">
        <v>0</v>
      </c>
      <c r="D61" s="86">
        <v>0</v>
      </c>
      <c r="E61" s="86">
        <v>0</v>
      </c>
      <c r="F61" s="86">
        <v>0</v>
      </c>
      <c r="G61" s="86">
        <v>0</v>
      </c>
      <c r="H61" s="86">
        <v>0.55378198152934255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0.27686650861316431</v>
      </c>
      <c r="X61" s="86">
        <v>0.37229287992506832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66.888017763644839</v>
      </c>
      <c r="C66" s="14">
        <f t="shared" si="48"/>
        <v>67.698100545618999</v>
      </c>
      <c r="D66" s="14">
        <f t="shared" ref="D66:V66" si="49">IF(D34=0,0,D34/D24)</f>
        <v>67.879966466061859</v>
      </c>
      <c r="E66" s="14">
        <f t="shared" si="49"/>
        <v>65.560567479083304</v>
      </c>
      <c r="F66" s="14">
        <f t="shared" si="49"/>
        <v>65.811336544742005</v>
      </c>
      <c r="G66" s="14">
        <f t="shared" si="49"/>
        <v>72.886423357664228</v>
      </c>
      <c r="H66" s="14">
        <f t="shared" si="49"/>
        <v>75.927020014153257</v>
      </c>
      <c r="I66" s="14">
        <f t="shared" si="49"/>
        <v>80.232946550936504</v>
      </c>
      <c r="J66" s="14">
        <f t="shared" si="49"/>
        <v>81.893452973138437</v>
      </c>
      <c r="K66" s="14">
        <f t="shared" si="49"/>
        <v>83.178067208167064</v>
      </c>
      <c r="L66" s="14">
        <f t="shared" si="49"/>
        <v>87.760211590555215</v>
      </c>
      <c r="M66" s="14">
        <f t="shared" si="49"/>
        <v>91.062498726387219</v>
      </c>
      <c r="N66" s="14">
        <f t="shared" si="49"/>
        <v>112.14510932713637</v>
      </c>
      <c r="O66" s="14">
        <f t="shared" si="49"/>
        <v>118.53306959380397</v>
      </c>
      <c r="P66" s="14">
        <f t="shared" si="49"/>
        <v>121.87650030741266</v>
      </c>
      <c r="Q66" s="14">
        <f t="shared" si="49"/>
        <v>128.67028280712256</v>
      </c>
      <c r="R66" s="14">
        <f t="shared" si="49"/>
        <v>136.70436898829527</v>
      </c>
      <c r="S66" s="14">
        <f t="shared" si="49"/>
        <v>144.94238550275483</v>
      </c>
      <c r="T66" s="14">
        <f t="shared" si="49"/>
        <v>145.97448171952777</v>
      </c>
      <c r="U66" s="14">
        <f t="shared" si="49"/>
        <v>148.84073051603312</v>
      </c>
      <c r="V66" s="14">
        <f t="shared" si="49"/>
        <v>110.45627625334133</v>
      </c>
      <c r="W66" s="14">
        <f t="shared" ref="W66:Y66" si="50">IF(W34=0,0,W34/W24)</f>
        <v>120.26154403019804</v>
      </c>
      <c r="X66" s="14">
        <f t="shared" si="50"/>
        <v>148.5263007364683</v>
      </c>
      <c r="Y66" s="14">
        <f t="shared" si="50"/>
        <v>158.99919086960224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63.982924008435951</v>
      </c>
      <c r="C68" s="87">
        <f t="shared" si="48"/>
        <v>64.93291093410572</v>
      </c>
      <c r="D68" s="87">
        <f t="shared" ref="D68:V68" si="53">IF(D36=0,0,D36/D26)</f>
        <v>66.731479760621497</v>
      </c>
      <c r="E68" s="87">
        <f t="shared" si="53"/>
        <v>63.279551563626825</v>
      </c>
      <c r="F68" s="87">
        <f t="shared" si="53"/>
        <v>62.856320127097604</v>
      </c>
      <c r="G68" s="87">
        <f t="shared" si="53"/>
        <v>70.878302556054777</v>
      </c>
      <c r="H68" s="87">
        <f t="shared" si="53"/>
        <v>74.565985110171852</v>
      </c>
      <c r="I68" s="87">
        <f t="shared" si="53"/>
        <v>79.15324238051511</v>
      </c>
      <c r="J68" s="87">
        <f t="shared" si="53"/>
        <v>81.204273838856011</v>
      </c>
      <c r="K68" s="87">
        <f t="shared" si="53"/>
        <v>82.997788036160799</v>
      </c>
      <c r="L68" s="87">
        <f t="shared" si="53"/>
        <v>88.614084653067579</v>
      </c>
      <c r="M68" s="87">
        <f t="shared" si="53"/>
        <v>92.689121619940792</v>
      </c>
      <c r="N68" s="87">
        <f t="shared" si="53"/>
        <v>113.29724607639918</v>
      </c>
      <c r="O68" s="87">
        <f t="shared" si="53"/>
        <v>118.47206615743956</v>
      </c>
      <c r="P68" s="87">
        <f t="shared" si="53"/>
        <v>122.80664074947423</v>
      </c>
      <c r="Q68" s="87">
        <f t="shared" si="53"/>
        <v>129.83777420123985</v>
      </c>
      <c r="R68" s="87">
        <f t="shared" si="53"/>
        <v>137.05028233396075</v>
      </c>
      <c r="S68" s="87">
        <f t="shared" si="53"/>
        <v>145.27315004088308</v>
      </c>
      <c r="T68" s="87">
        <f t="shared" si="53"/>
        <v>146.19021726337593</v>
      </c>
      <c r="U68" s="87">
        <f t="shared" si="53"/>
        <v>148.31745720632432</v>
      </c>
      <c r="V68" s="87">
        <f t="shared" si="53"/>
        <v>109.18581297172828</v>
      </c>
      <c r="W68" s="87">
        <f t="shared" ref="W68:Y68" si="54">IF(W36=0,0,W36/W26)</f>
        <v>119.30372095951647</v>
      </c>
      <c r="X68" s="87">
        <f t="shared" si="54"/>
        <v>147.26919074006358</v>
      </c>
      <c r="Y68" s="87">
        <f t="shared" si="54"/>
        <v>159.04180725432306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78.949018500211835</v>
      </c>
      <c r="C69" s="87">
        <f t="shared" si="48"/>
        <v>79.177814519765519</v>
      </c>
      <c r="D69" s="87">
        <f t="shared" ref="D69:V69" si="55">IF(D37=0,0,D37/D27)</f>
        <v>72.636391625615758</v>
      </c>
      <c r="E69" s="87">
        <f t="shared" si="55"/>
        <v>74.280451127819546</v>
      </c>
      <c r="F69" s="87">
        <f t="shared" si="55"/>
        <v>79.481511254019296</v>
      </c>
      <c r="G69" s="87">
        <f t="shared" si="55"/>
        <v>84.163950259567784</v>
      </c>
      <c r="H69" s="87">
        <f t="shared" si="55"/>
        <v>83.388379204892971</v>
      </c>
      <c r="I69" s="87">
        <f t="shared" si="55"/>
        <v>85.727940358295314</v>
      </c>
      <c r="J69" s="87">
        <f t="shared" si="55"/>
        <v>85.278701504354714</v>
      </c>
      <c r="K69" s="87">
        <f t="shared" si="55"/>
        <v>84.142214221422137</v>
      </c>
      <c r="L69" s="87">
        <f t="shared" si="55"/>
        <v>83.792098289568784</v>
      </c>
      <c r="M69" s="87">
        <f t="shared" si="55"/>
        <v>83.693937345052959</v>
      </c>
      <c r="N69" s="87">
        <f t="shared" si="55"/>
        <v>102.65080527086384</v>
      </c>
      <c r="O69" s="87">
        <f t="shared" si="55"/>
        <v>118.99192782526116</v>
      </c>
      <c r="P69" s="87">
        <f t="shared" si="55"/>
        <v>117.03334992533598</v>
      </c>
      <c r="Q69" s="87">
        <f t="shared" si="55"/>
        <v>122.68622059272839</v>
      </c>
      <c r="R69" s="87">
        <f t="shared" si="55"/>
        <v>134.544080604534</v>
      </c>
      <c r="S69" s="87">
        <f t="shared" si="55"/>
        <v>143.17590065502182</v>
      </c>
      <c r="T69" s="87">
        <f t="shared" si="55"/>
        <v>145.05336683417084</v>
      </c>
      <c r="U69" s="87">
        <f t="shared" si="55"/>
        <v>151.10963172804531</v>
      </c>
      <c r="V69" s="87">
        <f t="shared" si="55"/>
        <v>117.82091212458288</v>
      </c>
      <c r="W69" s="87">
        <f t="shared" ref="W69:Y69" si="56">IF(W37=0,0,W37/W27)</f>
        <v>124.66348379629629</v>
      </c>
      <c r="X69" s="87">
        <f t="shared" si="56"/>
        <v>155.50280986575086</v>
      </c>
      <c r="Y69" s="87">
        <f t="shared" si="56"/>
        <v>158.82011519716437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24.508264254582382</v>
      </c>
      <c r="C70" s="15">
        <f t="shared" si="48"/>
        <v>23.901623765548823</v>
      </c>
      <c r="D70" s="15">
        <f t="shared" ref="D70:V70" si="57">IF(D38=0,0,D38/D28)</f>
        <v>19.675534080343297</v>
      </c>
      <c r="E70" s="15">
        <f t="shared" si="57"/>
        <v>20.75653056061628</v>
      </c>
      <c r="F70" s="15">
        <f t="shared" si="57"/>
        <v>18.741377902988447</v>
      </c>
      <c r="G70" s="15">
        <f t="shared" si="57"/>
        <v>17.426679687081855</v>
      </c>
      <c r="H70" s="15">
        <f t="shared" si="57"/>
        <v>24.776105654737965</v>
      </c>
      <c r="I70" s="15">
        <f t="shared" si="57"/>
        <v>18.337107799147631</v>
      </c>
      <c r="J70" s="15">
        <f t="shared" si="57"/>
        <v>20.112270920884445</v>
      </c>
      <c r="K70" s="15">
        <f t="shared" si="57"/>
        <v>20.586252228225263</v>
      </c>
      <c r="L70" s="15">
        <f t="shared" si="57"/>
        <v>22.387622856968697</v>
      </c>
      <c r="M70" s="15">
        <f t="shared" si="57"/>
        <v>19.591552185394143</v>
      </c>
      <c r="N70" s="15">
        <f t="shared" si="57"/>
        <v>20.684358187858034</v>
      </c>
      <c r="O70" s="15">
        <f t="shared" si="57"/>
        <v>21.761840512421458</v>
      </c>
      <c r="P70" s="15">
        <f t="shared" si="57"/>
        <v>22.862018988707554</v>
      </c>
      <c r="Q70" s="15">
        <f t="shared" si="57"/>
        <v>23.177949766942728</v>
      </c>
      <c r="R70" s="15">
        <f t="shared" si="57"/>
        <v>28.540710400933889</v>
      </c>
      <c r="S70" s="15">
        <f t="shared" si="57"/>
        <v>28.206129187638524</v>
      </c>
      <c r="T70" s="15">
        <f t="shared" si="57"/>
        <v>29.369893508340702</v>
      </c>
      <c r="U70" s="15">
        <f t="shared" si="57"/>
        <v>31.612813244346313</v>
      </c>
      <c r="V70" s="15">
        <f t="shared" si="57"/>
        <v>24.315958577791601</v>
      </c>
      <c r="W70" s="15">
        <f t="shared" ref="W70:Y70" si="58">IF(W38=0,0,W38/W28)</f>
        <v>26.158863221802854</v>
      </c>
      <c r="X70" s="15">
        <f t="shared" si="58"/>
        <v>28.872523165290922</v>
      </c>
      <c r="Y70" s="15">
        <f t="shared" si="58"/>
        <v>29.596711602385582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17.221696677308696</v>
      </c>
      <c r="F72" s="41">
        <f t="shared" si="61"/>
        <v>16.065947226318933</v>
      </c>
      <c r="G72" s="41">
        <f t="shared" si="61"/>
        <v>15.202475894043332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13.698894254303413</v>
      </c>
      <c r="L72" s="41">
        <f t="shared" si="61"/>
        <v>14.504774438576119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17.89047413014103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52.903188435639557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1130.6980919530765</v>
      </c>
      <c r="C75" s="62">
        <f t="shared" si="65"/>
        <v>1129.3035843280384</v>
      </c>
      <c r="D75" s="62">
        <f t="shared" ref="D75:V75" si="66">IF(D13=0,0,D13*1000000/D23)</f>
        <v>1122.8583505799434</v>
      </c>
      <c r="E75" s="62">
        <f t="shared" si="66"/>
        <v>1131.924297146343</v>
      </c>
      <c r="F75" s="62">
        <f t="shared" si="66"/>
        <v>1123.3518698790638</v>
      </c>
      <c r="G75" s="62">
        <f t="shared" si="66"/>
        <v>1154.7257385769315</v>
      </c>
      <c r="H75" s="62">
        <f t="shared" si="66"/>
        <v>1171.6605485596153</v>
      </c>
      <c r="I75" s="62">
        <f t="shared" si="66"/>
        <v>1202.1112527853345</v>
      </c>
      <c r="J75" s="62">
        <f t="shared" si="66"/>
        <v>1198.036310865162</v>
      </c>
      <c r="K75" s="62">
        <f t="shared" si="66"/>
        <v>1148.8732306566208</v>
      </c>
      <c r="L75" s="62">
        <f t="shared" si="66"/>
        <v>1159.9756914142079</v>
      </c>
      <c r="M75" s="62">
        <f t="shared" si="66"/>
        <v>1155.9653483887366</v>
      </c>
      <c r="N75" s="62">
        <f t="shared" si="66"/>
        <v>1160.3271328752494</v>
      </c>
      <c r="O75" s="62">
        <f t="shared" si="66"/>
        <v>1169.9563177380733</v>
      </c>
      <c r="P75" s="62">
        <f t="shared" si="66"/>
        <v>1209.2203030751466</v>
      </c>
      <c r="Q75" s="62">
        <f t="shared" si="66"/>
        <v>1256.3973224168476</v>
      </c>
      <c r="R75" s="62">
        <f t="shared" si="66"/>
        <v>1289.7252815407057</v>
      </c>
      <c r="S75" s="62">
        <f t="shared" si="66"/>
        <v>1309.768354470305</v>
      </c>
      <c r="T75" s="62">
        <f t="shared" si="66"/>
        <v>1383.0779272482227</v>
      </c>
      <c r="U75" s="62">
        <f t="shared" si="66"/>
        <v>1398.748644814315</v>
      </c>
      <c r="V75" s="62">
        <f t="shared" si="66"/>
        <v>1342.9418826012532</v>
      </c>
      <c r="W75" s="62">
        <f t="shared" ref="W75:Y75" si="67">IF(W13=0,0,W13*1000000/W23)</f>
        <v>1391.4597511189302</v>
      </c>
      <c r="X75" s="62">
        <f t="shared" si="67"/>
        <v>1433.5525939557913</v>
      </c>
      <c r="Y75" s="62">
        <f t="shared" si="67"/>
        <v>1540.0108589283261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1138.9169521666749</v>
      </c>
      <c r="C76" s="14">
        <f t="shared" si="65"/>
        <v>1138.9235585550148</v>
      </c>
      <c r="D76" s="14">
        <f t="shared" ref="D76:V76" si="68">IF(D14=0,0,D14*1000000/D24)</f>
        <v>1133.7934400800409</v>
      </c>
      <c r="E76" s="14">
        <f t="shared" si="68"/>
        <v>1141.015825537374</v>
      </c>
      <c r="F76" s="14">
        <f t="shared" si="68"/>
        <v>1131.1421725587695</v>
      </c>
      <c r="G76" s="14">
        <f t="shared" si="68"/>
        <v>1164.069719278499</v>
      </c>
      <c r="H76" s="14">
        <f t="shared" si="68"/>
        <v>1179.399303430102</v>
      </c>
      <c r="I76" s="14">
        <f t="shared" si="68"/>
        <v>1212.3859418711304</v>
      </c>
      <c r="J76" s="14">
        <f t="shared" si="68"/>
        <v>1206.1513874306033</v>
      </c>
      <c r="K76" s="14">
        <f t="shared" si="68"/>
        <v>1156.0817125366473</v>
      </c>
      <c r="L76" s="14">
        <f t="shared" si="68"/>
        <v>1168.730219124215</v>
      </c>
      <c r="M76" s="14">
        <f t="shared" si="68"/>
        <v>1169.6061844538772</v>
      </c>
      <c r="N76" s="14">
        <f t="shared" si="68"/>
        <v>1176.6974583436438</v>
      </c>
      <c r="O76" s="14">
        <f t="shared" si="68"/>
        <v>1188.080371255907</v>
      </c>
      <c r="P76" s="14">
        <f t="shared" si="68"/>
        <v>1226.3584243661619</v>
      </c>
      <c r="Q76" s="14">
        <f t="shared" si="68"/>
        <v>1274.1368636787324</v>
      </c>
      <c r="R76" s="14">
        <f t="shared" si="68"/>
        <v>1306.2946932171089</v>
      </c>
      <c r="S76" s="14">
        <f t="shared" si="68"/>
        <v>1327.5210718428098</v>
      </c>
      <c r="T76" s="14">
        <f t="shared" si="68"/>
        <v>1401.6495708418413</v>
      </c>
      <c r="U76" s="14">
        <f t="shared" si="68"/>
        <v>1412.8670212621792</v>
      </c>
      <c r="V76" s="14">
        <f t="shared" si="68"/>
        <v>1389.5232788906376</v>
      </c>
      <c r="W76" s="14">
        <f t="shared" ref="W76:Y76" si="69">IF(W14=0,0,W14*1000000/W24)</f>
        <v>1435.6117893973747</v>
      </c>
      <c r="X76" s="14">
        <f t="shared" si="69"/>
        <v>1439.0791141233999</v>
      </c>
      <c r="Y76" s="14">
        <f t="shared" si="69"/>
        <v>1555.5293839441586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964.32477065036164</v>
      </c>
      <c r="C78" s="39">
        <f t="shared" si="65"/>
        <v>964.32611776488034</v>
      </c>
      <c r="D78" s="39">
        <f t="shared" ref="D78:V78" si="72">IF(D16=0,0,D16*1000000/D26)</f>
        <v>957.53405660914257</v>
      </c>
      <c r="E78" s="39">
        <f t="shared" si="72"/>
        <v>951.95295751872766</v>
      </c>
      <c r="F78" s="39">
        <f t="shared" si="72"/>
        <v>972.77422878484231</v>
      </c>
      <c r="G78" s="39">
        <f t="shared" si="72"/>
        <v>1035.7606616267321</v>
      </c>
      <c r="H78" s="39">
        <f t="shared" si="72"/>
        <v>1026.3191638841836</v>
      </c>
      <c r="I78" s="39">
        <f t="shared" si="72"/>
        <v>1030.8334278793175</v>
      </c>
      <c r="J78" s="39">
        <f t="shared" si="72"/>
        <v>1052.2719656846166</v>
      </c>
      <c r="K78" s="39">
        <f t="shared" si="72"/>
        <v>1044.9239254342031</v>
      </c>
      <c r="L78" s="39">
        <f t="shared" si="72"/>
        <v>1056.8968745278705</v>
      </c>
      <c r="M78" s="39">
        <f t="shared" si="72"/>
        <v>1048.0400742771117</v>
      </c>
      <c r="N78" s="39">
        <f t="shared" si="72"/>
        <v>1087.0197400351944</v>
      </c>
      <c r="O78" s="39">
        <f t="shared" si="72"/>
        <v>1086.0258177172354</v>
      </c>
      <c r="P78" s="39">
        <f t="shared" si="72"/>
        <v>1099.1414096216006</v>
      </c>
      <c r="Q78" s="39">
        <f t="shared" si="72"/>
        <v>1126.8925453907268</v>
      </c>
      <c r="R78" s="39">
        <f t="shared" si="72"/>
        <v>1154.9612621024708</v>
      </c>
      <c r="S78" s="39">
        <f t="shared" si="72"/>
        <v>1161.2066188996287</v>
      </c>
      <c r="T78" s="39">
        <f t="shared" si="72"/>
        <v>1176.1052781561493</v>
      </c>
      <c r="U78" s="39">
        <f t="shared" si="72"/>
        <v>1179.3374416011884</v>
      </c>
      <c r="V78" s="39">
        <f t="shared" si="72"/>
        <v>1193.9477071554293</v>
      </c>
      <c r="W78" s="39">
        <f t="shared" ref="W78:Y78" si="73">IF(W16=0,0,W16*1000000/W26)</f>
        <v>1210.4396909561649</v>
      </c>
      <c r="X78" s="39">
        <f t="shared" si="73"/>
        <v>1217.7953893091837</v>
      </c>
      <c r="Y78" s="39">
        <f t="shared" si="73"/>
        <v>1227.462687532691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1863.7666841560235</v>
      </c>
      <c r="C79" s="39">
        <f t="shared" si="65"/>
        <v>1863.7666841560235</v>
      </c>
      <c r="D79" s="39">
        <f t="shared" ref="D79:V79" si="74">IF(D17=0,0,D17*1000000/D27)</f>
        <v>1863.7666841560235</v>
      </c>
      <c r="E79" s="39">
        <f t="shared" si="74"/>
        <v>1863.7666841560235</v>
      </c>
      <c r="F79" s="39">
        <f t="shared" si="74"/>
        <v>1863.7666841560235</v>
      </c>
      <c r="G79" s="39">
        <f t="shared" si="74"/>
        <v>1884.6483061174752</v>
      </c>
      <c r="H79" s="39">
        <f t="shared" si="74"/>
        <v>2018.6032817993923</v>
      </c>
      <c r="I79" s="39">
        <f t="shared" si="74"/>
        <v>2136.3704622847886</v>
      </c>
      <c r="J79" s="39">
        <f t="shared" si="74"/>
        <v>1962.0072462885335</v>
      </c>
      <c r="K79" s="39">
        <f t="shared" si="74"/>
        <v>1750.5621910199777</v>
      </c>
      <c r="L79" s="39">
        <f t="shared" si="74"/>
        <v>1688.4414053289318</v>
      </c>
      <c r="M79" s="39">
        <f t="shared" si="74"/>
        <v>1720.2976497452689</v>
      </c>
      <c r="N79" s="39">
        <f t="shared" si="74"/>
        <v>1915.6961277619776</v>
      </c>
      <c r="O79" s="39">
        <f t="shared" si="74"/>
        <v>1955.718634601631</v>
      </c>
      <c r="P79" s="39">
        <f t="shared" si="74"/>
        <v>1888.7649876171702</v>
      </c>
      <c r="Q79" s="39">
        <f t="shared" si="74"/>
        <v>2028.8483465994743</v>
      </c>
      <c r="R79" s="39">
        <f t="shared" si="74"/>
        <v>2251.3980186836739</v>
      </c>
      <c r="S79" s="39">
        <f t="shared" si="74"/>
        <v>2215.7419275175293</v>
      </c>
      <c r="T79" s="39">
        <f t="shared" si="74"/>
        <v>2364.6443634213638</v>
      </c>
      <c r="U79" s="39">
        <f t="shared" si="74"/>
        <v>2425.4459862171725</v>
      </c>
      <c r="V79" s="39">
        <f t="shared" si="74"/>
        <v>2523.2379576107901</v>
      </c>
      <c r="W79" s="39">
        <f t="shared" ref="W79:Y79" si="75">IF(W17=0,0,W17*1000000/W27)</f>
        <v>2470.4521943573668</v>
      </c>
      <c r="X79" s="39">
        <f t="shared" si="75"/>
        <v>2667.1243374874657</v>
      </c>
      <c r="Y79" s="39">
        <f t="shared" si="75"/>
        <v>2934.0781428127266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824.45110346293154</v>
      </c>
      <c r="C80" s="15">
        <f t="shared" si="65"/>
        <v>814.69921726586529</v>
      </c>
      <c r="D80" s="15">
        <f t="shared" ref="D80:V80" si="76">IF(D18=0,0,D18*1000000/D28)</f>
        <v>813.61105658014537</v>
      </c>
      <c r="E80" s="15">
        <f t="shared" si="76"/>
        <v>820.35122354241048</v>
      </c>
      <c r="F80" s="15">
        <f t="shared" si="76"/>
        <v>790.89323844689068</v>
      </c>
      <c r="G80" s="15">
        <f t="shared" si="76"/>
        <v>807.33758223643167</v>
      </c>
      <c r="H80" s="15">
        <f t="shared" si="76"/>
        <v>914.11796421940892</v>
      </c>
      <c r="I80" s="15">
        <f t="shared" si="76"/>
        <v>815.92831307367385</v>
      </c>
      <c r="J80" s="15">
        <f t="shared" si="76"/>
        <v>836.74259542863672</v>
      </c>
      <c r="K80" s="15">
        <f t="shared" si="76"/>
        <v>815.34413793400324</v>
      </c>
      <c r="L80" s="15">
        <f t="shared" si="76"/>
        <v>802.45084591921875</v>
      </c>
      <c r="M80" s="15">
        <f t="shared" si="76"/>
        <v>681.88833123247139</v>
      </c>
      <c r="N80" s="15">
        <f t="shared" si="76"/>
        <v>683.10505062955281</v>
      </c>
      <c r="O80" s="15">
        <f t="shared" si="76"/>
        <v>686.63924718151748</v>
      </c>
      <c r="P80" s="15">
        <f t="shared" si="76"/>
        <v>668.64696464715723</v>
      </c>
      <c r="Q80" s="15">
        <f t="shared" si="76"/>
        <v>701.1122907860497</v>
      </c>
      <c r="R80" s="15">
        <f t="shared" si="76"/>
        <v>739.38866354346681</v>
      </c>
      <c r="S80" s="15">
        <f t="shared" si="76"/>
        <v>735.35173887415567</v>
      </c>
      <c r="T80" s="15">
        <f t="shared" si="76"/>
        <v>767.15952842204194</v>
      </c>
      <c r="U80" s="15">
        <f t="shared" si="76"/>
        <v>835.72732066759238</v>
      </c>
      <c r="V80" s="15">
        <f t="shared" si="76"/>
        <v>765.21280588900197</v>
      </c>
      <c r="W80" s="15">
        <f t="shared" ref="W80:Y80" si="77">IF(W18=0,0,W18*1000000/W28)</f>
        <v>931.65562173452724</v>
      </c>
      <c r="X80" s="15">
        <f t="shared" si="77"/>
        <v>1317.9612646076598</v>
      </c>
      <c r="Y80" s="15">
        <f t="shared" si="77"/>
        <v>1160.4212709889687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751.04638659293039</v>
      </c>
      <c r="C82" s="41">
        <f t="shared" si="65"/>
        <v>750.93909574744816</v>
      </c>
      <c r="D82" s="41">
        <f t="shared" ref="D82:V82" si="80">IF(D20=0,0,D20*1000000/D30)</f>
        <v>788.30432298526864</v>
      </c>
      <c r="E82" s="41">
        <f t="shared" si="80"/>
        <v>789.10104791264416</v>
      </c>
      <c r="F82" s="41">
        <f t="shared" si="80"/>
        <v>765.64020116649044</v>
      </c>
      <c r="G82" s="41">
        <f t="shared" si="80"/>
        <v>783.99295471566143</v>
      </c>
      <c r="H82" s="41">
        <f t="shared" si="80"/>
        <v>719.40050318935982</v>
      </c>
      <c r="I82" s="41">
        <f t="shared" si="80"/>
        <v>706.50764721808548</v>
      </c>
      <c r="J82" s="41">
        <f t="shared" si="80"/>
        <v>704.7161234161938</v>
      </c>
      <c r="K82" s="41">
        <f t="shared" si="80"/>
        <v>725.65207146520981</v>
      </c>
      <c r="L82" s="41">
        <f t="shared" si="80"/>
        <v>699.61836341028993</v>
      </c>
      <c r="M82" s="41">
        <f t="shared" si="80"/>
        <v>658.76706798157306</v>
      </c>
      <c r="N82" s="41">
        <f t="shared" si="80"/>
        <v>676.94020077748633</v>
      </c>
      <c r="O82" s="41">
        <f t="shared" si="80"/>
        <v>680.5852738178852</v>
      </c>
      <c r="P82" s="41">
        <f t="shared" si="80"/>
        <v>673.98008725046668</v>
      </c>
      <c r="Q82" s="41">
        <f t="shared" si="80"/>
        <v>700.52965565013403</v>
      </c>
      <c r="R82" s="41">
        <f t="shared" si="80"/>
        <v>715.39759548721815</v>
      </c>
      <c r="S82" s="41">
        <f t="shared" si="80"/>
        <v>723.8402874604368</v>
      </c>
      <c r="T82" s="41">
        <f t="shared" si="80"/>
        <v>738.1771626762951</v>
      </c>
      <c r="U82" s="41">
        <f t="shared" si="80"/>
        <v>754.69974577654341</v>
      </c>
      <c r="V82" s="41">
        <f t="shared" si="80"/>
        <v>666.92398478916186</v>
      </c>
      <c r="W82" s="41">
        <f t="shared" ref="W82:Y82" si="81">IF(W20=0,0,W20*1000000/W30)</f>
        <v>667.08676785005889</v>
      </c>
      <c r="X82" s="41">
        <f t="shared" si="81"/>
        <v>771.93486176126009</v>
      </c>
      <c r="Y82" s="41">
        <f t="shared" si="81"/>
        <v>722.31785653472127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1067.6244386446092</v>
      </c>
      <c r="C83" s="40">
        <f t="shared" si="65"/>
        <v>1067.6244386446092</v>
      </c>
      <c r="D83" s="40">
        <f t="shared" ref="D83:V83" si="82">IF(D21=0,0,D21*1000000/D31)</f>
        <v>1067.6244386446092</v>
      </c>
      <c r="E83" s="40">
        <f t="shared" si="82"/>
        <v>1067.6244386446092</v>
      </c>
      <c r="F83" s="40">
        <f t="shared" si="82"/>
        <v>1067.6244386446092</v>
      </c>
      <c r="G83" s="40">
        <f t="shared" si="82"/>
        <v>1088.5060606060606</v>
      </c>
      <c r="H83" s="40">
        <f t="shared" si="82"/>
        <v>1283.1279777798518</v>
      </c>
      <c r="I83" s="40">
        <f t="shared" si="82"/>
        <v>1461.562099757122</v>
      </c>
      <c r="J83" s="40">
        <f t="shared" si="82"/>
        <v>1347.8658252527416</v>
      </c>
      <c r="K83" s="40">
        <f t="shared" si="82"/>
        <v>1197.0877114760599</v>
      </c>
      <c r="L83" s="40">
        <f t="shared" si="82"/>
        <v>1195.6338672768879</v>
      </c>
      <c r="M83" s="40">
        <f t="shared" si="82"/>
        <v>887.06933168974331</v>
      </c>
      <c r="N83" s="40">
        <f t="shared" si="82"/>
        <v>742.04702970297035</v>
      </c>
      <c r="O83" s="40">
        <f t="shared" si="82"/>
        <v>732.48749131755994</v>
      </c>
      <c r="P83" s="40">
        <f t="shared" si="82"/>
        <v>615.95179910803608</v>
      </c>
      <c r="Q83" s="40">
        <f t="shared" si="82"/>
        <v>706.45311286527715</v>
      </c>
      <c r="R83" s="40">
        <f t="shared" si="82"/>
        <v>879.42073972441312</v>
      </c>
      <c r="S83" s="40">
        <f t="shared" si="82"/>
        <v>794.18260333320416</v>
      </c>
      <c r="T83" s="40">
        <f t="shared" si="82"/>
        <v>893.50299401197606</v>
      </c>
      <c r="U83" s="40">
        <f t="shared" si="82"/>
        <v>1133.6306818181818</v>
      </c>
      <c r="V83" s="40">
        <f t="shared" si="82"/>
        <v>1151.1602434077079</v>
      </c>
      <c r="W83" s="40">
        <f t="shared" ref="W83:Y83" si="83">IF(W21=0,0,W21*1000000/W31)</f>
        <v>1796.5220820189274</v>
      </c>
      <c r="X83" s="40">
        <f t="shared" si="83"/>
        <v>2890.559550561798</v>
      </c>
      <c r="Y83" s="40">
        <f t="shared" si="83"/>
        <v>2421.6280701754386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105071.11122366585</v>
      </c>
      <c r="C86" s="11">
        <f t="shared" si="84"/>
        <v>106422.16422314802</v>
      </c>
      <c r="D86" s="11">
        <f t="shared" ref="D86:V86" si="85">IF(D4=0,0,D4*1000000/D24)</f>
        <v>104652.5532200296</v>
      </c>
      <c r="E86" s="11">
        <f t="shared" si="85"/>
        <v>102014.83196364995</v>
      </c>
      <c r="F86" s="11">
        <f t="shared" si="85"/>
        <v>99705.119634842107</v>
      </c>
      <c r="G86" s="11">
        <f t="shared" si="85"/>
        <v>109728.45949968639</v>
      </c>
      <c r="H86" s="11">
        <f t="shared" si="85"/>
        <v>112891.27907864175</v>
      </c>
      <c r="I86" s="11">
        <f t="shared" si="85"/>
        <v>118845.77993860675</v>
      </c>
      <c r="J86" s="11">
        <f t="shared" si="85"/>
        <v>116910.84834417469</v>
      </c>
      <c r="K86" s="11">
        <f t="shared" si="85"/>
        <v>111948.89828906499</v>
      </c>
      <c r="L86" s="11">
        <f t="shared" si="85"/>
        <v>118260.61385714641</v>
      </c>
      <c r="M86" s="11">
        <f t="shared" si="85"/>
        <v>121296.73747281796</v>
      </c>
      <c r="N86" s="11">
        <f t="shared" si="85"/>
        <v>142135.16811526503</v>
      </c>
      <c r="O86" s="11">
        <f t="shared" si="85"/>
        <v>149249.1377065453</v>
      </c>
      <c r="P86" s="11">
        <f t="shared" si="85"/>
        <v>158481.75662829549</v>
      </c>
      <c r="Q86" s="11">
        <f t="shared" si="85"/>
        <v>173158.96491744134</v>
      </c>
      <c r="R86" s="11">
        <f t="shared" si="85"/>
        <v>189783.09535568877</v>
      </c>
      <c r="S86" s="11">
        <f t="shared" si="85"/>
        <v>202508.18521737223</v>
      </c>
      <c r="T86" s="11">
        <f t="shared" si="85"/>
        <v>215315.84506512579</v>
      </c>
      <c r="U86" s="11">
        <f t="shared" si="85"/>
        <v>222472.33690550836</v>
      </c>
      <c r="V86" s="11">
        <f t="shared" si="85"/>
        <v>164578.77644909022</v>
      </c>
      <c r="W86" s="11">
        <f t="shared" ref="W86:Y86" si="86">IF(W4=0,0,W4*1000000/W24)</f>
        <v>180085.31157283465</v>
      </c>
      <c r="X86" s="11">
        <f t="shared" si="86"/>
        <v>222417.2163141346</v>
      </c>
      <c r="Y86" s="11">
        <f t="shared" si="86"/>
        <v>259203.20951797636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81397.722446267173</v>
      </c>
      <c r="C88" s="36">
        <f t="shared" si="84"/>
        <v>82931.327918800933</v>
      </c>
      <c r="D88" s="36">
        <f t="shared" ref="D88:V88" si="89">IF(D6=0,0,D6*1000000/D26)</f>
        <v>84745.909406783889</v>
      </c>
      <c r="E88" s="36">
        <f t="shared" si="89"/>
        <v>78651.042555308857</v>
      </c>
      <c r="F88" s="36">
        <f t="shared" si="89"/>
        <v>77003.067842215532</v>
      </c>
      <c r="G88" s="36">
        <f t="shared" si="89"/>
        <v>90232.553358299803</v>
      </c>
      <c r="H88" s="36">
        <f t="shared" si="89"/>
        <v>91048.824300572378</v>
      </c>
      <c r="I88" s="36">
        <f t="shared" si="89"/>
        <v>92463.593948170746</v>
      </c>
      <c r="J88" s="36">
        <f t="shared" si="89"/>
        <v>93635.869863751635</v>
      </c>
      <c r="K88" s="36">
        <f t="shared" si="89"/>
        <v>94817.749801217709</v>
      </c>
      <c r="L88" s="36">
        <f t="shared" si="89"/>
        <v>101634.19798440691</v>
      </c>
      <c r="M88" s="36">
        <f t="shared" si="89"/>
        <v>105769.54560663555</v>
      </c>
      <c r="N88" s="36">
        <f t="shared" si="89"/>
        <v>132118.35889168552</v>
      </c>
      <c r="O88" s="36">
        <f t="shared" si="89"/>
        <v>137147.75444853815</v>
      </c>
      <c r="P88" s="36">
        <f t="shared" si="89"/>
        <v>142669.06227341841</v>
      </c>
      <c r="Q88" s="36">
        <f t="shared" si="89"/>
        <v>151037.5155088458</v>
      </c>
      <c r="R88" s="36">
        <f t="shared" si="89"/>
        <v>164842.81853818052</v>
      </c>
      <c r="S88" s="36">
        <f t="shared" si="89"/>
        <v>174208.1433256391</v>
      </c>
      <c r="T88" s="36">
        <f t="shared" si="89"/>
        <v>176569.53838210247</v>
      </c>
      <c r="U88" s="36">
        <f t="shared" si="89"/>
        <v>178864.34845734239</v>
      </c>
      <c r="V88" s="36">
        <f t="shared" si="89"/>
        <v>136753.67054209628</v>
      </c>
      <c r="W88" s="36">
        <f t="shared" ref="W88:Y88" si="90">IF(W6=0,0,W6*1000000/W26)</f>
        <v>146847.88144242147</v>
      </c>
      <c r="X88" s="36">
        <f t="shared" si="90"/>
        <v>180152.00589616492</v>
      </c>
      <c r="Y88" s="36">
        <f t="shared" si="90"/>
        <v>196361.77961986509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203355.29188712672</v>
      </c>
      <c r="C89" s="36">
        <f t="shared" si="84"/>
        <v>203944.62006653694</v>
      </c>
      <c r="D89" s="36">
        <f t="shared" ref="D89:V89" si="91">IF(D7=0,0,D7*1000000/D27)</f>
        <v>187095.35471444915</v>
      </c>
      <c r="E89" s="36">
        <f t="shared" si="91"/>
        <v>191330.0900702732</v>
      </c>
      <c r="F89" s="36">
        <f t="shared" si="91"/>
        <v>204726.87599843528</v>
      </c>
      <c r="G89" s="36">
        <f t="shared" si="91"/>
        <v>219216.69636783554</v>
      </c>
      <c r="H89" s="36">
        <f t="shared" si="91"/>
        <v>232634.27775554542</v>
      </c>
      <c r="I89" s="36">
        <f t="shared" si="91"/>
        <v>253113.99211514645</v>
      </c>
      <c r="J89" s="36">
        <f t="shared" si="91"/>
        <v>231237.56370095923</v>
      </c>
      <c r="K89" s="36">
        <f t="shared" si="91"/>
        <v>203567.61089116658</v>
      </c>
      <c r="L89" s="36">
        <f t="shared" si="91"/>
        <v>195526.78475405817</v>
      </c>
      <c r="M89" s="36">
        <f t="shared" si="91"/>
        <v>191634.53168384641</v>
      </c>
      <c r="N89" s="36">
        <f t="shared" si="91"/>
        <v>224679.73802260522</v>
      </c>
      <c r="O89" s="36">
        <f t="shared" si="91"/>
        <v>240273.83485283723</v>
      </c>
      <c r="P89" s="36">
        <f t="shared" si="91"/>
        <v>240816.91080860936</v>
      </c>
      <c r="Q89" s="36">
        <f t="shared" si="91"/>
        <v>286544.06582749274</v>
      </c>
      <c r="R89" s="36">
        <f t="shared" si="91"/>
        <v>345539.41690785199</v>
      </c>
      <c r="S89" s="36">
        <f t="shared" si="91"/>
        <v>353647.71025488153</v>
      </c>
      <c r="T89" s="36">
        <f t="shared" si="91"/>
        <v>380748.94524752552</v>
      </c>
      <c r="U89" s="36">
        <f t="shared" si="91"/>
        <v>411555.58653373166</v>
      </c>
      <c r="V89" s="36">
        <f t="shared" si="91"/>
        <v>325875.66400932136</v>
      </c>
      <c r="W89" s="36">
        <f t="shared" ref="W89:Y89" si="92">IF(W7=0,0,W7*1000000/W27)</f>
        <v>332837.07741813338</v>
      </c>
      <c r="X89" s="36">
        <f t="shared" si="92"/>
        <v>456973.9593002788</v>
      </c>
      <c r="Y89" s="36">
        <f t="shared" si="92"/>
        <v>523265.29243941512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36494.198489318434</v>
      </c>
      <c r="C90" s="13">
        <f t="shared" si="84"/>
        <v>35786.143085440315</v>
      </c>
      <c r="D90" s="13">
        <f t="shared" ref="D90:V90" si="93">IF(D8=0,0,D8*1000000/D28)</f>
        <v>25800.614157703785</v>
      </c>
      <c r="E90" s="13">
        <f t="shared" si="93"/>
        <v>26822.612150078468</v>
      </c>
      <c r="F90" s="13">
        <f t="shared" si="93"/>
        <v>22814.624203641615</v>
      </c>
      <c r="G90" s="13">
        <f t="shared" si="93"/>
        <v>22528.297927699059</v>
      </c>
      <c r="H90" s="13">
        <f t="shared" si="93"/>
        <v>40940.97120782717</v>
      </c>
      <c r="I90" s="13">
        <f t="shared" si="93"/>
        <v>26324.756669238017</v>
      </c>
      <c r="J90" s="13">
        <f t="shared" si="93"/>
        <v>29260.483153333858</v>
      </c>
      <c r="K90" s="13">
        <f t="shared" si="93"/>
        <v>28385.761074627506</v>
      </c>
      <c r="L90" s="13">
        <f t="shared" si="93"/>
        <v>29840.10567834922</v>
      </c>
      <c r="M90" s="13">
        <f t="shared" si="93"/>
        <v>18735.398592435136</v>
      </c>
      <c r="N90" s="13">
        <f t="shared" si="93"/>
        <v>18283.731421155124</v>
      </c>
      <c r="O90" s="13">
        <f t="shared" si="93"/>
        <v>18511.668037835363</v>
      </c>
      <c r="P90" s="13">
        <f t="shared" si="93"/>
        <v>19774.180035944777</v>
      </c>
      <c r="Q90" s="13">
        <f t="shared" si="93"/>
        <v>21528.197803409803</v>
      </c>
      <c r="R90" s="13">
        <f t="shared" si="93"/>
        <v>28529.796221957175</v>
      </c>
      <c r="S90" s="13">
        <f t="shared" si="93"/>
        <v>26826.287917238249</v>
      </c>
      <c r="T90" s="13">
        <f t="shared" si="93"/>
        <v>30513.042914643676</v>
      </c>
      <c r="U90" s="13">
        <f t="shared" si="93"/>
        <v>39234.771371127987</v>
      </c>
      <c r="V90" s="13">
        <f t="shared" si="93"/>
        <v>26496.23405850786</v>
      </c>
      <c r="W90" s="13">
        <f t="shared" ref="W90:Y90" si="94">IF(W8=0,0,W8*1000000/W28)</f>
        <v>37851.825141144218</v>
      </c>
      <c r="X90" s="13">
        <f t="shared" si="94"/>
        <v>66138.784666563879</v>
      </c>
      <c r="Y90" s="13">
        <f t="shared" si="94"/>
        <v>59323.890682446792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18515.979445622917</v>
      </c>
      <c r="C92" s="34">
        <f t="shared" si="84"/>
        <v>19433.334847509137</v>
      </c>
      <c r="D92" s="34">
        <f t="shared" ref="D92:V92" si="97">IF(D10=0,0,D10*1000000/D30)</f>
        <v>18902.842893501187</v>
      </c>
      <c r="E92" s="34">
        <f t="shared" si="97"/>
        <v>19299.282402807999</v>
      </c>
      <c r="F92" s="34">
        <f t="shared" si="97"/>
        <v>17248.345455603252</v>
      </c>
      <c r="G92" s="34">
        <f t="shared" si="97"/>
        <v>17726.678178349437</v>
      </c>
      <c r="H92" s="34">
        <f t="shared" si="97"/>
        <v>14222.779375682183</v>
      </c>
      <c r="I92" s="34">
        <f t="shared" si="97"/>
        <v>13403.006136790649</v>
      </c>
      <c r="J92" s="34">
        <f t="shared" si="97"/>
        <v>12877.659817417885</v>
      </c>
      <c r="K92" s="34">
        <f t="shared" si="97"/>
        <v>13242.82029869393</v>
      </c>
      <c r="L92" s="34">
        <f t="shared" si="97"/>
        <v>12991.392503273288</v>
      </c>
      <c r="M92" s="34">
        <f t="shared" si="97"/>
        <v>12931.824026615255</v>
      </c>
      <c r="N92" s="34">
        <f t="shared" si="97"/>
        <v>14444.025340863034</v>
      </c>
      <c r="O92" s="34">
        <f t="shared" si="97"/>
        <v>14418.758758852671</v>
      </c>
      <c r="P92" s="34">
        <f t="shared" si="97"/>
        <v>16668.205283569558</v>
      </c>
      <c r="Q92" s="34">
        <f t="shared" si="97"/>
        <v>17219.126957872428</v>
      </c>
      <c r="R92" s="34">
        <f t="shared" si="97"/>
        <v>19380.511355483235</v>
      </c>
      <c r="S92" s="34">
        <f t="shared" si="97"/>
        <v>17999.891409069147</v>
      </c>
      <c r="T92" s="34">
        <f t="shared" si="97"/>
        <v>18691.174044575037</v>
      </c>
      <c r="U92" s="34">
        <f t="shared" si="97"/>
        <v>20038.690141534196</v>
      </c>
      <c r="V92" s="34">
        <f t="shared" si="97"/>
        <v>15088.15788837658</v>
      </c>
      <c r="W92" s="34">
        <f t="shared" ref="W92:Y92" si="98">IF(W10=0,0,W10*1000000/W30)</f>
        <v>14649.689045774783</v>
      </c>
      <c r="X92" s="34">
        <f t="shared" si="98"/>
        <v>16835.272764734487</v>
      </c>
      <c r="Y92" s="34">
        <f t="shared" si="98"/>
        <v>15901.541238453305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96051.99902173708</v>
      </c>
      <c r="C93" s="35">
        <f t="shared" si="84"/>
        <v>100654.86581126211</v>
      </c>
      <c r="D93" s="35">
        <f t="shared" ref="D93:V93" si="99">IF(D11=0,0,D11*1000000/D31)</f>
        <v>95036.187407737321</v>
      </c>
      <c r="E93" s="35">
        <f t="shared" si="99"/>
        <v>86352.451499512274</v>
      </c>
      <c r="F93" s="35">
        <f t="shared" si="99"/>
        <v>83811.762150895331</v>
      </c>
      <c r="G93" s="35">
        <f t="shared" si="99"/>
        <v>80360.195970750676</v>
      </c>
      <c r="H93" s="35">
        <f t="shared" si="99"/>
        <v>91574.747337276756</v>
      </c>
      <c r="I93" s="35">
        <f t="shared" si="99"/>
        <v>102569.20886306252</v>
      </c>
      <c r="J93" s="35">
        <f t="shared" si="99"/>
        <v>92684.442374950479</v>
      </c>
      <c r="K93" s="35">
        <f t="shared" si="99"/>
        <v>92836.504081556603</v>
      </c>
      <c r="L93" s="35">
        <f t="shared" si="99"/>
        <v>94261.65605363957</v>
      </c>
      <c r="M93" s="35">
        <f t="shared" si="99"/>
        <v>70237.04980939618</v>
      </c>
      <c r="N93" s="35">
        <f t="shared" si="99"/>
        <v>54995.067603459953</v>
      </c>
      <c r="O93" s="35">
        <f t="shared" si="99"/>
        <v>49508.286717519564</v>
      </c>
      <c r="P93" s="35">
        <f t="shared" si="99"/>
        <v>50463.490203909118</v>
      </c>
      <c r="Q93" s="35">
        <f t="shared" si="99"/>
        <v>61028.013887502442</v>
      </c>
      <c r="R93" s="35">
        <f t="shared" si="99"/>
        <v>81932.727363639249</v>
      </c>
      <c r="S93" s="35">
        <f t="shared" si="99"/>
        <v>71934.807944093947</v>
      </c>
      <c r="T93" s="35">
        <f t="shared" si="99"/>
        <v>82048.376361790331</v>
      </c>
      <c r="U93" s="35">
        <f t="shared" si="99"/>
        <v>109810.46275649923</v>
      </c>
      <c r="V93" s="35">
        <f t="shared" si="99"/>
        <v>71291.946486556684</v>
      </c>
      <c r="W93" s="35">
        <f t="shared" ref="W93:Y93" si="100">IF(W11=0,0,W11*1000000/W31)</f>
        <v>113698.80796324843</v>
      </c>
      <c r="X93" s="35">
        <f t="shared" si="100"/>
        <v>208136.71352889261</v>
      </c>
      <c r="Y93" s="35">
        <f t="shared" si="100"/>
        <v>184327.62393030687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1223.5390945644401</v>
      </c>
      <c r="C95" s="62">
        <f t="shared" si="101"/>
        <v>1223.3921577404624</v>
      </c>
      <c r="D95" s="62">
        <f t="shared" ref="D95:V95" si="102">IF(D23=0,0,D23/D43)</f>
        <v>1211.2987290558556</v>
      </c>
      <c r="E95" s="62">
        <f t="shared" si="102"/>
        <v>1210.7614717573506</v>
      </c>
      <c r="F95" s="62">
        <f t="shared" si="102"/>
        <v>1234.0388820234498</v>
      </c>
      <c r="G95" s="62">
        <f t="shared" si="102"/>
        <v>1231.4521439606062</v>
      </c>
      <c r="H95" s="62">
        <f t="shared" si="102"/>
        <v>1192.7804914070171</v>
      </c>
      <c r="I95" s="62">
        <f t="shared" si="102"/>
        <v>1158.0693169643812</v>
      </c>
      <c r="J95" s="62">
        <f t="shared" si="102"/>
        <v>1171.137926849967</v>
      </c>
      <c r="K95" s="62">
        <f t="shared" si="102"/>
        <v>1165.8954893656116</v>
      </c>
      <c r="L95" s="62">
        <f t="shared" si="102"/>
        <v>1184.7089943245478</v>
      </c>
      <c r="M95" s="62">
        <f t="shared" si="102"/>
        <v>1199.2815415675827</v>
      </c>
      <c r="N95" s="62">
        <f t="shared" si="102"/>
        <v>992.72860626888928</v>
      </c>
      <c r="O95" s="62">
        <f t="shared" si="102"/>
        <v>1015.8129670478642</v>
      </c>
      <c r="P95" s="62">
        <f t="shared" si="102"/>
        <v>1126.8327760516941</v>
      </c>
      <c r="Q95" s="62">
        <f t="shared" si="102"/>
        <v>1160.2160880888127</v>
      </c>
      <c r="R95" s="62">
        <f t="shared" si="102"/>
        <v>1157.795280093156</v>
      </c>
      <c r="S95" s="62">
        <f t="shared" si="102"/>
        <v>1143.1492499379256</v>
      </c>
      <c r="T95" s="62">
        <f t="shared" si="102"/>
        <v>1097.8453084027192</v>
      </c>
      <c r="U95" s="62">
        <f t="shared" si="102"/>
        <v>1091.4521602251007</v>
      </c>
      <c r="V95" s="62">
        <f t="shared" si="102"/>
        <v>384.33649045559673</v>
      </c>
      <c r="W95" s="62">
        <f t="shared" ref="W95:Y95" si="103">IF(W23=0,0,W23/W43)</f>
        <v>419.51466715544552</v>
      </c>
      <c r="X95" s="62">
        <f t="shared" si="103"/>
        <v>888.29407809499514</v>
      </c>
      <c r="Y95" s="62">
        <f t="shared" si="103"/>
        <v>984.10901747175717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1227.0125208265151</v>
      </c>
      <c r="C96" s="11">
        <f t="shared" si="104"/>
        <v>1227.0064740782548</v>
      </c>
      <c r="D96" s="11">
        <f t="shared" ref="D96:V96" si="105">IF(D24=0,0,D24/D44)</f>
        <v>1218.5729042188632</v>
      </c>
      <c r="E96" s="11">
        <f t="shared" si="105"/>
        <v>1215.4882578941342</v>
      </c>
      <c r="F96" s="11">
        <f t="shared" si="105"/>
        <v>1238.5550790086961</v>
      </c>
      <c r="G96" s="11">
        <f t="shared" si="105"/>
        <v>1234.8523500802823</v>
      </c>
      <c r="H96" s="11">
        <f t="shared" si="105"/>
        <v>1203.5521003171364</v>
      </c>
      <c r="I96" s="11">
        <f t="shared" si="105"/>
        <v>1170.7884037832384</v>
      </c>
      <c r="J96" s="11">
        <f t="shared" si="105"/>
        <v>1189.2507231847715</v>
      </c>
      <c r="K96" s="11">
        <f t="shared" si="105"/>
        <v>1185.06977061404</v>
      </c>
      <c r="L96" s="11">
        <f t="shared" si="105"/>
        <v>1201.2475600774001</v>
      </c>
      <c r="M96" s="11">
        <f t="shared" si="105"/>
        <v>1212.4759180725791</v>
      </c>
      <c r="N96" s="11">
        <f t="shared" si="105"/>
        <v>998.73665457810637</v>
      </c>
      <c r="O96" s="11">
        <f t="shared" si="105"/>
        <v>1020.4907869461023</v>
      </c>
      <c r="P96" s="11">
        <f t="shared" si="105"/>
        <v>1138.7025827774792</v>
      </c>
      <c r="Q96" s="11">
        <f t="shared" si="105"/>
        <v>1171.330723763718</v>
      </c>
      <c r="R96" s="11">
        <f t="shared" si="105"/>
        <v>1165.5466229201527</v>
      </c>
      <c r="S96" s="11">
        <f t="shared" si="105"/>
        <v>1147.6076208934687</v>
      </c>
      <c r="T96" s="11">
        <f t="shared" si="105"/>
        <v>1098.4137885727025</v>
      </c>
      <c r="U96" s="11">
        <f t="shared" si="105"/>
        <v>1093.1940462013074</v>
      </c>
      <c r="V96" s="11">
        <f t="shared" si="105"/>
        <v>365.12855991932759</v>
      </c>
      <c r="W96" s="11">
        <f t="shared" ref="W96:Y96" si="106">IF(W24=0,0,W24/W44)</f>
        <v>396.9601357579229</v>
      </c>
      <c r="X96" s="11">
        <f t="shared" si="106"/>
        <v>888.33150588501712</v>
      </c>
      <c r="Y96" s="11">
        <f t="shared" si="106"/>
        <v>989.60468197521527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1430.8550716439163</v>
      </c>
      <c r="C98" s="36">
        <f t="shared" si="104"/>
        <v>1430.8541952895018</v>
      </c>
      <c r="D98" s="36">
        <f t="shared" ref="D98:V98" si="109">IF(D26=0,0,D26/D46)</f>
        <v>1417.2251951274368</v>
      </c>
      <c r="E98" s="36">
        <f t="shared" si="109"/>
        <v>1431.346315307173</v>
      </c>
      <c r="F98" s="36">
        <f t="shared" si="109"/>
        <v>1425.4097501867657</v>
      </c>
      <c r="G98" s="36">
        <f t="shared" si="109"/>
        <v>1386.4843657608176</v>
      </c>
      <c r="H98" s="36">
        <f t="shared" si="109"/>
        <v>1364.4461724799226</v>
      </c>
      <c r="I98" s="36">
        <f t="shared" si="109"/>
        <v>1346.8902491927122</v>
      </c>
      <c r="J98" s="36">
        <f t="shared" si="109"/>
        <v>1353.5724279310855</v>
      </c>
      <c r="K98" s="36">
        <f t="shared" si="109"/>
        <v>1354.3270918432338</v>
      </c>
      <c r="L98" s="36">
        <f t="shared" si="109"/>
        <v>1333.0865596267781</v>
      </c>
      <c r="M98" s="36">
        <f t="shared" si="109"/>
        <v>1359.9924638686841</v>
      </c>
      <c r="N98" s="36">
        <f t="shared" si="109"/>
        <v>1209.5623391841432</v>
      </c>
      <c r="O98" s="36">
        <f t="shared" si="109"/>
        <v>1214.1033371319861</v>
      </c>
      <c r="P98" s="36">
        <f t="shared" si="109"/>
        <v>1270.9160924810533</v>
      </c>
      <c r="Q98" s="36">
        <f t="shared" si="109"/>
        <v>1329.2605486633047</v>
      </c>
      <c r="R98" s="36">
        <f t="shared" si="109"/>
        <v>1317.8220016653904</v>
      </c>
      <c r="S98" s="36">
        <f t="shared" si="109"/>
        <v>1313.7340338384183</v>
      </c>
      <c r="T98" s="36">
        <f t="shared" si="109"/>
        <v>1306.3198812816217</v>
      </c>
      <c r="U98" s="36">
        <f t="shared" si="109"/>
        <v>1304.658965864704</v>
      </c>
      <c r="V98" s="36">
        <f t="shared" si="109"/>
        <v>457.56106969162954</v>
      </c>
      <c r="W98" s="36">
        <f t="shared" ref="W98:Y98" si="110">IF(W26=0,0,W26/W46)</f>
        <v>479.25777866424301</v>
      </c>
      <c r="X98" s="36">
        <f t="shared" si="110"/>
        <v>1107.0407968280608</v>
      </c>
      <c r="Y98" s="36">
        <f t="shared" si="110"/>
        <v>1212.8605182605404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771</v>
      </c>
      <c r="C99" s="36">
        <f t="shared" si="104"/>
        <v>771</v>
      </c>
      <c r="D99" s="36">
        <f t="shared" ref="D99:V99" si="111">IF(D27=0,0,D27/D47)</f>
        <v>771</v>
      </c>
      <c r="E99" s="36">
        <f t="shared" si="111"/>
        <v>771</v>
      </c>
      <c r="F99" s="36">
        <f t="shared" si="111"/>
        <v>771</v>
      </c>
      <c r="G99" s="36">
        <f t="shared" si="111"/>
        <v>765</v>
      </c>
      <c r="H99" s="36">
        <f t="shared" si="111"/>
        <v>731</v>
      </c>
      <c r="I99" s="36">
        <f t="shared" si="111"/>
        <v>703</v>
      </c>
      <c r="J99" s="36">
        <f t="shared" si="111"/>
        <v>745</v>
      </c>
      <c r="K99" s="36">
        <f t="shared" si="111"/>
        <v>710.31286987429314</v>
      </c>
      <c r="L99" s="36">
        <f t="shared" si="111"/>
        <v>823</v>
      </c>
      <c r="M99" s="36">
        <f t="shared" si="111"/>
        <v>813</v>
      </c>
      <c r="N99" s="36">
        <f t="shared" si="111"/>
        <v>409.9348065748693</v>
      </c>
      <c r="O99" s="36">
        <f t="shared" si="111"/>
        <v>463.9638305596323</v>
      </c>
      <c r="P99" s="36">
        <f t="shared" si="111"/>
        <v>738.61414412428132</v>
      </c>
      <c r="Q99" s="36">
        <f t="shared" si="111"/>
        <v>728.00000000000011</v>
      </c>
      <c r="R99" s="36">
        <f t="shared" si="111"/>
        <v>677</v>
      </c>
      <c r="S99" s="36">
        <f t="shared" si="111"/>
        <v>685</v>
      </c>
      <c r="T99" s="36">
        <f t="shared" si="111"/>
        <v>654</v>
      </c>
      <c r="U99" s="36">
        <f t="shared" si="111"/>
        <v>642</v>
      </c>
      <c r="V99" s="36">
        <f t="shared" si="111"/>
        <v>168.18284527397921</v>
      </c>
      <c r="W99" s="36">
        <f t="shared" ref="W99:Y99" si="112">IF(W27=0,0,W27/W47)</f>
        <v>221.86686056858719</v>
      </c>
      <c r="X99" s="36">
        <f t="shared" si="112"/>
        <v>423.7416886996383</v>
      </c>
      <c r="Y99" s="36">
        <f t="shared" si="112"/>
        <v>558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1106.7946135772938</v>
      </c>
      <c r="C100" s="13">
        <f t="shared" si="104"/>
        <v>1115.8957913047973</v>
      </c>
      <c r="D100" s="13">
        <f t="shared" ref="D100:V100" si="113">IF(D28=0,0,D28/D48)</f>
        <v>1036.3460489583965</v>
      </c>
      <c r="E100" s="13">
        <f t="shared" si="113"/>
        <v>1068.3769692651738</v>
      </c>
      <c r="F100" s="13">
        <f t="shared" si="113"/>
        <v>1067.8668476601788</v>
      </c>
      <c r="G100" s="13">
        <f t="shared" si="113"/>
        <v>1117.0949774119206</v>
      </c>
      <c r="H100" s="13">
        <f t="shared" si="113"/>
        <v>919.04533628181355</v>
      </c>
      <c r="I100" s="13">
        <f t="shared" si="113"/>
        <v>822.30483215991478</v>
      </c>
      <c r="J100" s="13">
        <f t="shared" si="113"/>
        <v>697.90420758063931</v>
      </c>
      <c r="K100" s="13">
        <f t="shared" si="113"/>
        <v>666.7493705086556</v>
      </c>
      <c r="L100" s="13">
        <f t="shared" si="113"/>
        <v>758.32920315435638</v>
      </c>
      <c r="M100" s="13">
        <f t="shared" si="113"/>
        <v>870.1784363414846</v>
      </c>
      <c r="N100" s="13">
        <f t="shared" si="113"/>
        <v>844.61224982684269</v>
      </c>
      <c r="O100" s="13">
        <f t="shared" si="113"/>
        <v>905.16601682660382</v>
      </c>
      <c r="P100" s="13">
        <f t="shared" si="113"/>
        <v>848.01121827897566</v>
      </c>
      <c r="Q100" s="13">
        <f t="shared" si="113"/>
        <v>894.52274832952185</v>
      </c>
      <c r="R100" s="13">
        <f t="shared" si="113"/>
        <v>948.32365541929494</v>
      </c>
      <c r="S100" s="13">
        <f t="shared" si="113"/>
        <v>1015.4982786766928</v>
      </c>
      <c r="T100" s="13">
        <f t="shared" si="113"/>
        <v>1079.3197081628</v>
      </c>
      <c r="U100" s="13">
        <f t="shared" si="113"/>
        <v>1026.2424138676074</v>
      </c>
      <c r="V100" s="13">
        <f t="shared" si="113"/>
        <v>1105.8416377770204</v>
      </c>
      <c r="W100" s="13">
        <f t="shared" ref="W100:Y100" si="114">IF(W28=0,0,W28/W48)</f>
        <v>1027.4922880067684</v>
      </c>
      <c r="X100" s="13">
        <f t="shared" si="114"/>
        <v>887.51196989848415</v>
      </c>
      <c r="Y100" s="13">
        <f t="shared" si="114"/>
        <v>866.41645624908881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1179.5547921036641</v>
      </c>
      <c r="C102" s="34">
        <f t="shared" si="104"/>
        <v>1179.6069093906603</v>
      </c>
      <c r="D102" s="34">
        <f t="shared" ref="D102:V102" si="117">IF(D30=0,0,D30/D50)</f>
        <v>1149.0513018011877</v>
      </c>
      <c r="E102" s="34">
        <f t="shared" si="117"/>
        <v>1144.7516685384503</v>
      </c>
      <c r="F102" s="34">
        <f t="shared" si="117"/>
        <v>1144.0436997855531</v>
      </c>
      <c r="G102" s="34">
        <f t="shared" si="117"/>
        <v>1144.9486954837719</v>
      </c>
      <c r="H102" s="34">
        <f t="shared" si="117"/>
        <v>963.60122288356104</v>
      </c>
      <c r="I102" s="34">
        <f t="shared" si="117"/>
        <v>1113.1868769300813</v>
      </c>
      <c r="J102" s="34">
        <f t="shared" si="117"/>
        <v>884.64719245638094</v>
      </c>
      <c r="K102" s="34">
        <f t="shared" si="117"/>
        <v>866.18218876998219</v>
      </c>
      <c r="L102" s="34">
        <f t="shared" si="117"/>
        <v>972.49821144373288</v>
      </c>
      <c r="M102" s="34">
        <f t="shared" si="117"/>
        <v>1186.8282469553542</v>
      </c>
      <c r="N102" s="34">
        <f t="shared" si="117"/>
        <v>1165.2039847604342</v>
      </c>
      <c r="O102" s="34">
        <f t="shared" si="117"/>
        <v>1209.5597485856131</v>
      </c>
      <c r="P102" s="34">
        <f t="shared" si="117"/>
        <v>1171.6080270887173</v>
      </c>
      <c r="Q102" s="34">
        <f t="shared" si="117"/>
        <v>1181.6674901028714</v>
      </c>
      <c r="R102" s="34">
        <f t="shared" si="117"/>
        <v>1179.9503584637432</v>
      </c>
      <c r="S102" s="34">
        <f t="shared" si="117"/>
        <v>1190.4414606184762</v>
      </c>
      <c r="T102" s="34">
        <f t="shared" si="117"/>
        <v>1186.0212142921287</v>
      </c>
      <c r="U102" s="34">
        <f t="shared" si="117"/>
        <v>1086.8799449976286</v>
      </c>
      <c r="V102" s="34">
        <f t="shared" si="117"/>
        <v>1186.2136100441783</v>
      </c>
      <c r="W102" s="34">
        <f t="shared" ref="W102:Y102" si="118">IF(W30=0,0,W30/W50)</f>
        <v>1190.3199578095762</v>
      </c>
      <c r="X102" s="34">
        <f t="shared" si="118"/>
        <v>1160.6195181314363</v>
      </c>
      <c r="Y102" s="34">
        <f t="shared" si="118"/>
        <v>1139.0349348051698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919</v>
      </c>
      <c r="C103" s="35">
        <f t="shared" si="104"/>
        <v>919</v>
      </c>
      <c r="D103" s="35">
        <f t="shared" ref="D103:V103" si="119">IF(D31=0,0,D31/D51)</f>
        <v>522.21455124800843</v>
      </c>
      <c r="E103" s="35">
        <f t="shared" si="119"/>
        <v>699.23913043478262</v>
      </c>
      <c r="F103" s="35">
        <f t="shared" si="119"/>
        <v>617.38278516445075</v>
      </c>
      <c r="G103" s="35">
        <f t="shared" si="119"/>
        <v>863.95174708818661</v>
      </c>
      <c r="H103" s="35">
        <f t="shared" si="119"/>
        <v>845</v>
      </c>
      <c r="I103" s="35">
        <f t="shared" si="119"/>
        <v>323.50932354564236</v>
      </c>
      <c r="J103" s="35">
        <f t="shared" si="119"/>
        <v>384.05055355475514</v>
      </c>
      <c r="K103" s="35">
        <f t="shared" si="119"/>
        <v>336.7501631513905</v>
      </c>
      <c r="L103" s="35">
        <f t="shared" si="119"/>
        <v>411.679214686975</v>
      </c>
      <c r="M103" s="35">
        <f t="shared" si="119"/>
        <v>258.39360527549638</v>
      </c>
      <c r="N103" s="35">
        <f t="shared" si="119"/>
        <v>232.63796979387632</v>
      </c>
      <c r="O103" s="35">
        <f t="shared" si="119"/>
        <v>311.49696919372229</v>
      </c>
      <c r="P103" s="35">
        <f t="shared" si="119"/>
        <v>227.40692232467157</v>
      </c>
      <c r="Q103" s="35">
        <f t="shared" si="119"/>
        <v>277.15685010955002</v>
      </c>
      <c r="R103" s="35">
        <f t="shared" si="119"/>
        <v>441.94735407499684</v>
      </c>
      <c r="S103" s="35">
        <f t="shared" si="119"/>
        <v>579.93947656524313</v>
      </c>
      <c r="T103" s="35">
        <f t="shared" si="119"/>
        <v>775.26726792784825</v>
      </c>
      <c r="U103" s="35">
        <f t="shared" si="119"/>
        <v>851.57049095485615</v>
      </c>
      <c r="V103" s="35">
        <f t="shared" si="119"/>
        <v>873.45705338321079</v>
      </c>
      <c r="W103" s="35">
        <f t="shared" ref="W103:Y103" si="120">IF(W31=0,0,W31/W51)</f>
        <v>710</v>
      </c>
      <c r="X103" s="35">
        <f t="shared" si="120"/>
        <v>529</v>
      </c>
      <c r="Y103" s="35">
        <f t="shared" si="120"/>
        <v>512.97180874313619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0.62431502792429638</v>
      </c>
      <c r="C108" s="43">
        <f t="shared" si="127"/>
        <v>0.62799774774276051</v>
      </c>
      <c r="D108" s="43">
        <f t="shared" ref="D108:V108" si="128">IF(D6=0,0,D6/D$4)</f>
        <v>0.65228315621779431</v>
      </c>
      <c r="E108" s="43">
        <f t="shared" si="128"/>
        <v>0.6111160017321039</v>
      </c>
      <c r="F108" s="43">
        <f t="shared" si="128"/>
        <v>0.63503547559469187</v>
      </c>
      <c r="G108" s="43">
        <f t="shared" si="128"/>
        <v>0.69803163371668886</v>
      </c>
      <c r="H108" s="43">
        <f t="shared" si="128"/>
        <v>0.68209590501624695</v>
      </c>
      <c r="I108" s="43">
        <f t="shared" si="128"/>
        <v>0.65024707119482317</v>
      </c>
      <c r="J108" s="43">
        <f t="shared" si="128"/>
        <v>0.66544380105662104</v>
      </c>
      <c r="K108" s="43">
        <f t="shared" si="128"/>
        <v>0.71355145257087871</v>
      </c>
      <c r="L108" s="43">
        <f t="shared" si="128"/>
        <v>0.70722535378213747</v>
      </c>
      <c r="M108" s="43">
        <f t="shared" si="128"/>
        <v>0.71430577240393833</v>
      </c>
      <c r="N108" s="43">
        <f t="shared" si="128"/>
        <v>0.82893469071776305</v>
      </c>
      <c r="O108" s="43">
        <f t="shared" si="128"/>
        <v>0.81108730079558311</v>
      </c>
      <c r="P108" s="43">
        <f t="shared" si="128"/>
        <v>0.75518794631767616</v>
      </c>
      <c r="Q108" s="43">
        <f t="shared" si="128"/>
        <v>0.72985326236050363</v>
      </c>
      <c r="R108" s="43">
        <f t="shared" si="128"/>
        <v>0.74870065139387609</v>
      </c>
      <c r="S108" s="43">
        <f t="shared" si="128"/>
        <v>0.72457894675073853</v>
      </c>
      <c r="T108" s="43">
        <f t="shared" si="128"/>
        <v>0.66443157307533984</v>
      </c>
      <c r="U108" s="43">
        <f t="shared" si="128"/>
        <v>0.65331224065370386</v>
      </c>
      <c r="V108" s="43">
        <f t="shared" si="128"/>
        <v>0.70867826426421232</v>
      </c>
      <c r="W108" s="43">
        <f t="shared" ref="W108:Y108" si="129">IF(W6=0,0,W6/W$4)</f>
        <v>0.66971174637972675</v>
      </c>
      <c r="X108" s="43">
        <f t="shared" si="129"/>
        <v>0.68630647243243803</v>
      </c>
      <c r="Y108" s="43">
        <f t="shared" si="129"/>
        <v>0.61193182725394857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0.37568497207570362</v>
      </c>
      <c r="C109" s="43">
        <f t="shared" si="130"/>
        <v>0.37200225225723943</v>
      </c>
      <c r="D109" s="43">
        <f t="shared" ref="D109:V109" si="131">IF(D7=0,0,D7/D$4)</f>
        <v>0.34771684378220563</v>
      </c>
      <c r="E109" s="43">
        <f t="shared" si="131"/>
        <v>0.38888399826789621</v>
      </c>
      <c r="F109" s="43">
        <f t="shared" si="131"/>
        <v>0.36496452440530813</v>
      </c>
      <c r="G109" s="43">
        <f t="shared" si="131"/>
        <v>0.3019683662833112</v>
      </c>
      <c r="H109" s="43">
        <f t="shared" si="131"/>
        <v>0.31790409498375305</v>
      </c>
      <c r="I109" s="43">
        <f t="shared" si="131"/>
        <v>0.34975292880517689</v>
      </c>
      <c r="J109" s="43">
        <f t="shared" si="131"/>
        <v>0.33455619894337896</v>
      </c>
      <c r="K109" s="43">
        <f t="shared" si="131"/>
        <v>0.28644854742912129</v>
      </c>
      <c r="L109" s="43">
        <f t="shared" si="131"/>
        <v>0.29277464621786253</v>
      </c>
      <c r="M109" s="43">
        <f t="shared" si="131"/>
        <v>0.28569422759606172</v>
      </c>
      <c r="N109" s="43">
        <f t="shared" si="131"/>
        <v>0.1710653092822369</v>
      </c>
      <c r="O109" s="43">
        <f t="shared" si="131"/>
        <v>0.18891269920441686</v>
      </c>
      <c r="P109" s="43">
        <f t="shared" si="131"/>
        <v>0.24481205368232384</v>
      </c>
      <c r="Q109" s="43">
        <f t="shared" si="131"/>
        <v>0.27014673763949631</v>
      </c>
      <c r="R109" s="43">
        <f t="shared" si="131"/>
        <v>0.25129934860612385</v>
      </c>
      <c r="S109" s="43">
        <f t="shared" si="131"/>
        <v>0.27542105324926153</v>
      </c>
      <c r="T109" s="43">
        <f t="shared" si="131"/>
        <v>0.3355684269246601</v>
      </c>
      <c r="U109" s="43">
        <f t="shared" si="131"/>
        <v>0.34668775934629609</v>
      </c>
      <c r="V109" s="43">
        <f t="shared" si="131"/>
        <v>0.29132173573578762</v>
      </c>
      <c r="W109" s="43">
        <f t="shared" ref="W109:Y109" si="132">IF(W7=0,0,W7/W$4)</f>
        <v>0.33028825362027331</v>
      </c>
      <c r="X109" s="43">
        <f t="shared" si="132"/>
        <v>0.31369352756756197</v>
      </c>
      <c r="Y109" s="43">
        <f t="shared" si="132"/>
        <v>0.38806817274605143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0.38972476960503388</v>
      </c>
      <c r="C112" s="44">
        <f t="shared" si="139"/>
        <v>0.43370718322821328</v>
      </c>
      <c r="D112" s="44">
        <f t="shared" ref="D112:V112" si="140">IF(D10=0,0,D10/D$8)</f>
        <v>0.66627184973832698</v>
      </c>
      <c r="E112" s="44">
        <f t="shared" si="140"/>
        <v>0.63878615299012176</v>
      </c>
      <c r="F112" s="44">
        <f t="shared" si="140"/>
        <v>0.69280015146566665</v>
      </c>
      <c r="G112" s="44">
        <f t="shared" si="140"/>
        <v>0.72654015313573217</v>
      </c>
      <c r="H112" s="44">
        <f t="shared" si="140"/>
        <v>0.22740252477370634</v>
      </c>
      <c r="I112" s="44">
        <f t="shared" si="140"/>
        <v>0.43535729633966125</v>
      </c>
      <c r="J112" s="44">
        <f t="shared" si="140"/>
        <v>0.34975908347410928</v>
      </c>
      <c r="K112" s="44">
        <f t="shared" si="140"/>
        <v>0.37777156554169378</v>
      </c>
      <c r="L112" s="44">
        <f t="shared" si="140"/>
        <v>0.34510786067873539</v>
      </c>
      <c r="M112" s="44">
        <f t="shared" si="140"/>
        <v>0.62033141374249701</v>
      </c>
      <c r="N112" s="44">
        <f t="shared" si="140"/>
        <v>0.71519024020922473</v>
      </c>
      <c r="O112" s="44">
        <f t="shared" si="140"/>
        <v>0.68804860197870332</v>
      </c>
      <c r="P112" s="44">
        <f t="shared" si="140"/>
        <v>0.76545800802853858</v>
      </c>
      <c r="Q112" s="44">
        <f t="shared" si="140"/>
        <v>0.72116776707645547</v>
      </c>
      <c r="R112" s="44">
        <f t="shared" si="140"/>
        <v>0.57994786924948671</v>
      </c>
      <c r="S112" s="44">
        <f t="shared" si="140"/>
        <v>0.56117442618447277</v>
      </c>
      <c r="T112" s="44">
        <f t="shared" si="140"/>
        <v>0.49826474590078462</v>
      </c>
      <c r="U112" s="44">
        <f t="shared" si="140"/>
        <v>0.40152588147490054</v>
      </c>
      <c r="V112" s="44">
        <f t="shared" si="140"/>
        <v>0.4538610618914411</v>
      </c>
      <c r="W112" s="44">
        <f t="shared" ref="W112:Y112" si="141">IF(W10=0,0,W10/W$8)</f>
        <v>0.29636661098900041</v>
      </c>
      <c r="X112" s="44">
        <f t="shared" si="141"/>
        <v>0.18894165536859947</v>
      </c>
      <c r="Y112" s="44">
        <f t="shared" si="141"/>
        <v>0.19894051118610473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0.61027523039496612</v>
      </c>
      <c r="C113" s="45">
        <f t="shared" si="142"/>
        <v>0.56629281677178678</v>
      </c>
      <c r="D113" s="45">
        <f t="shared" ref="D113:V113" si="143">IF(D11=0,0,D11/D$8)</f>
        <v>0.33372815026167302</v>
      </c>
      <c r="E113" s="45">
        <f t="shared" si="143"/>
        <v>0.3612138470098783</v>
      </c>
      <c r="F113" s="45">
        <f t="shared" si="143"/>
        <v>0.3071998485343333</v>
      </c>
      <c r="G113" s="45">
        <f t="shared" si="143"/>
        <v>0.27345984686426772</v>
      </c>
      <c r="H113" s="45">
        <f t="shared" si="143"/>
        <v>0.77259747522629363</v>
      </c>
      <c r="I113" s="45">
        <f t="shared" si="143"/>
        <v>0.56464270366033886</v>
      </c>
      <c r="J113" s="45">
        <f t="shared" si="143"/>
        <v>0.65024091652589078</v>
      </c>
      <c r="K113" s="45">
        <f t="shared" si="143"/>
        <v>0.62222843445830622</v>
      </c>
      <c r="L113" s="45">
        <f t="shared" si="143"/>
        <v>0.65489213932126467</v>
      </c>
      <c r="M113" s="45">
        <f t="shared" si="143"/>
        <v>0.3796685862575031</v>
      </c>
      <c r="N113" s="45">
        <f t="shared" si="143"/>
        <v>0.28480975979077527</v>
      </c>
      <c r="O113" s="45">
        <f t="shared" si="143"/>
        <v>0.31195139802129662</v>
      </c>
      <c r="P113" s="45">
        <f t="shared" si="143"/>
        <v>0.2345419919714615</v>
      </c>
      <c r="Q113" s="45">
        <f t="shared" si="143"/>
        <v>0.27883223292354453</v>
      </c>
      <c r="R113" s="45">
        <f t="shared" si="143"/>
        <v>0.42005213075051329</v>
      </c>
      <c r="S113" s="45">
        <f t="shared" si="143"/>
        <v>0.43882557381552717</v>
      </c>
      <c r="T113" s="45">
        <f t="shared" si="143"/>
        <v>0.50173525409921538</v>
      </c>
      <c r="U113" s="45">
        <f t="shared" si="143"/>
        <v>0.59847411852509946</v>
      </c>
      <c r="V113" s="45">
        <f t="shared" si="143"/>
        <v>0.54613893810855885</v>
      </c>
      <c r="W113" s="45">
        <f t="shared" ref="W113:Y113" si="144">IF(W11=0,0,W11/W$8)</f>
        <v>0.70363338901099948</v>
      </c>
      <c r="X113" s="45">
        <f t="shared" si="144"/>
        <v>0.81105834463140047</v>
      </c>
      <c r="Y113" s="45">
        <f t="shared" si="144"/>
        <v>0.80105948881389533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0.68234831978494992</v>
      </c>
      <c r="C118" s="43">
        <f t="shared" si="151"/>
        <v>0.68234011794740501</v>
      </c>
      <c r="D118" s="43">
        <f t="shared" ref="D118:V118" si="152">IF(D16=0,0,D16/D$14)</f>
        <v>0.68027974053278073</v>
      </c>
      <c r="E118" s="43">
        <f t="shared" si="152"/>
        <v>0.6613118576323177</v>
      </c>
      <c r="F118" s="43">
        <f t="shared" si="152"/>
        <v>0.70713491346875579</v>
      </c>
      <c r="G118" s="43">
        <f t="shared" si="152"/>
        <v>0.75528621789219919</v>
      </c>
      <c r="H118" s="43">
        <f t="shared" si="152"/>
        <v>0.73595805864629937</v>
      </c>
      <c r="I118" s="43">
        <f t="shared" si="152"/>
        <v>0.71062257733578105</v>
      </c>
      <c r="J118" s="43">
        <f t="shared" si="152"/>
        <v>0.72485330886510213</v>
      </c>
      <c r="K118" s="43">
        <f t="shared" si="152"/>
        <v>0.76146792757495441</v>
      </c>
      <c r="L118" s="43">
        <f t="shared" si="152"/>
        <v>0.74417731351264371</v>
      </c>
      <c r="M118" s="43">
        <f t="shared" si="152"/>
        <v>0.73402503789657136</v>
      </c>
      <c r="N118" s="43">
        <f t="shared" si="152"/>
        <v>0.82381805846435396</v>
      </c>
      <c r="O118" s="43">
        <f t="shared" si="152"/>
        <v>0.80683561437952622</v>
      </c>
      <c r="P118" s="43">
        <f t="shared" si="152"/>
        <v>0.75186638813009887</v>
      </c>
      <c r="Q118" s="43">
        <f t="shared" si="152"/>
        <v>0.74005181239168261</v>
      </c>
      <c r="R118" s="43">
        <f t="shared" si="152"/>
        <v>0.76211754629255335</v>
      </c>
      <c r="S118" s="43">
        <f t="shared" si="152"/>
        <v>0.7367631905469838</v>
      </c>
      <c r="T118" s="43">
        <f t="shared" si="152"/>
        <v>0.67985644841114323</v>
      </c>
      <c r="U118" s="43">
        <f t="shared" si="152"/>
        <v>0.67828127192267895</v>
      </c>
      <c r="V118" s="43">
        <f t="shared" si="152"/>
        <v>0.73283031938623355</v>
      </c>
      <c r="W118" s="43">
        <f t="shared" ref="W118:Y118" si="153">IF(W16=0,0,W16/W$14)</f>
        <v>0.69247589831628342</v>
      </c>
      <c r="X118" s="43">
        <f t="shared" si="153"/>
        <v>0.71702954135903907</v>
      </c>
      <c r="Y118" s="43">
        <f t="shared" si="153"/>
        <v>0.63740657234578824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0.31765168021505008</v>
      </c>
      <c r="C119" s="43">
        <f t="shared" si="154"/>
        <v>0.31765988205259504</v>
      </c>
      <c r="D119" s="43">
        <f t="shared" ref="D119:V119" si="155">IF(D17=0,0,D17/D$14)</f>
        <v>0.31972025946721938</v>
      </c>
      <c r="E119" s="43">
        <f t="shared" si="155"/>
        <v>0.3386881423676823</v>
      </c>
      <c r="F119" s="43">
        <f t="shared" si="155"/>
        <v>0.29286508653124421</v>
      </c>
      <c r="G119" s="43">
        <f t="shared" si="155"/>
        <v>0.24471378210780081</v>
      </c>
      <c r="H119" s="43">
        <f t="shared" si="155"/>
        <v>0.26404194135370063</v>
      </c>
      <c r="I119" s="43">
        <f t="shared" si="155"/>
        <v>0.28937742266421906</v>
      </c>
      <c r="J119" s="43">
        <f t="shared" si="155"/>
        <v>0.27514669113489792</v>
      </c>
      <c r="K119" s="43">
        <f t="shared" si="155"/>
        <v>0.23853207242504551</v>
      </c>
      <c r="L119" s="43">
        <f t="shared" si="155"/>
        <v>0.25582268648735629</v>
      </c>
      <c r="M119" s="43">
        <f t="shared" si="155"/>
        <v>0.26597496210342869</v>
      </c>
      <c r="N119" s="43">
        <f t="shared" si="155"/>
        <v>0.17618194153564609</v>
      </c>
      <c r="O119" s="43">
        <f t="shared" si="155"/>
        <v>0.19316438562047375</v>
      </c>
      <c r="P119" s="43">
        <f t="shared" si="155"/>
        <v>0.24813361186990104</v>
      </c>
      <c r="Q119" s="43">
        <f t="shared" si="155"/>
        <v>0.25994818760831745</v>
      </c>
      <c r="R119" s="43">
        <f t="shared" si="155"/>
        <v>0.23788245370744662</v>
      </c>
      <c r="S119" s="43">
        <f t="shared" si="155"/>
        <v>0.26323680945301631</v>
      </c>
      <c r="T119" s="43">
        <f t="shared" si="155"/>
        <v>0.32014355158885671</v>
      </c>
      <c r="U119" s="43">
        <f t="shared" si="155"/>
        <v>0.32171872807732094</v>
      </c>
      <c r="V119" s="43">
        <f t="shared" si="155"/>
        <v>0.2671696806137665</v>
      </c>
      <c r="W119" s="43">
        <f t="shared" ref="W119:Y119" si="156">IF(W17=0,0,W17/W$14)</f>
        <v>0.30752410168371647</v>
      </c>
      <c r="X119" s="43">
        <f t="shared" si="156"/>
        <v>0.28297045864096099</v>
      </c>
      <c r="Y119" s="43">
        <f t="shared" si="156"/>
        <v>0.36259342765421182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0.69974049223155654</v>
      </c>
      <c r="C122" s="44">
        <f t="shared" si="163"/>
        <v>0.7361589418197183</v>
      </c>
      <c r="D122" s="44">
        <f t="shared" ref="D122:V122" si="164">IF(D20=0,0,D20/D$18)</f>
        <v>0.88111267790742798</v>
      </c>
      <c r="E122" s="44">
        <f t="shared" si="164"/>
        <v>0.8539809679506587</v>
      </c>
      <c r="F122" s="44">
        <f t="shared" si="164"/>
        <v>0.88711662413841286</v>
      </c>
      <c r="G122" s="44">
        <f t="shared" si="164"/>
        <v>0.89663901444691052</v>
      </c>
      <c r="H122" s="44">
        <f t="shared" si="164"/>
        <v>0.51515443522371918</v>
      </c>
      <c r="I122" s="44">
        <f t="shared" si="164"/>
        <v>0.7404109617766842</v>
      </c>
      <c r="J122" s="44">
        <f t="shared" si="164"/>
        <v>0.66932319726086731</v>
      </c>
      <c r="K122" s="44">
        <f t="shared" si="164"/>
        <v>0.72067060674209804</v>
      </c>
      <c r="L122" s="44">
        <f t="shared" si="164"/>
        <v>0.69110218375593735</v>
      </c>
      <c r="M122" s="44">
        <f t="shared" si="164"/>
        <v>0.86825150984226207</v>
      </c>
      <c r="N122" s="44">
        <f t="shared" si="164"/>
        <v>0.89714156907159437</v>
      </c>
      <c r="O122" s="44">
        <f t="shared" si="164"/>
        <v>0.87556969037361709</v>
      </c>
      <c r="P122" s="44">
        <f t="shared" si="164"/>
        <v>0.91533738870268944</v>
      </c>
      <c r="Q122" s="44">
        <f t="shared" si="164"/>
        <v>0.90089006804963268</v>
      </c>
      <c r="R122" s="44">
        <f t="shared" si="164"/>
        <v>0.82603240252390164</v>
      </c>
      <c r="S122" s="44">
        <f t="shared" si="164"/>
        <v>0.82325844641133339</v>
      </c>
      <c r="T122" s="44">
        <f t="shared" si="164"/>
        <v>0.78267961055275814</v>
      </c>
      <c r="U122" s="44">
        <f t="shared" si="164"/>
        <v>0.7099453915636984</v>
      </c>
      <c r="V122" s="44">
        <f t="shared" si="164"/>
        <v>0.6946482778976405</v>
      </c>
      <c r="W122" s="44">
        <f t="shared" ref="W122:Y122" si="165">IF(W20=0,0,W20/W$18)</f>
        <v>0.54829540962099255</v>
      </c>
      <c r="X122" s="44">
        <f t="shared" si="165"/>
        <v>0.43475218910700658</v>
      </c>
      <c r="Y122" s="44">
        <f t="shared" si="165"/>
        <v>0.46198333101044964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0.30025950776844335</v>
      </c>
      <c r="C123" s="45">
        <f t="shared" si="166"/>
        <v>0.26384105818028164</v>
      </c>
      <c r="D123" s="45">
        <f t="shared" ref="D123:V123" si="167">IF(D21=0,0,D21/D$18)</f>
        <v>0.11888732209257202</v>
      </c>
      <c r="E123" s="45">
        <f t="shared" si="167"/>
        <v>0.14601903204934133</v>
      </c>
      <c r="F123" s="45">
        <f t="shared" si="167"/>
        <v>0.11288337586158716</v>
      </c>
      <c r="G123" s="45">
        <f t="shared" si="167"/>
        <v>0.10336098555308949</v>
      </c>
      <c r="H123" s="45">
        <f t="shared" si="167"/>
        <v>0.48484556477628077</v>
      </c>
      <c r="I123" s="45">
        <f t="shared" si="167"/>
        <v>0.2595890382233158</v>
      </c>
      <c r="J123" s="45">
        <f t="shared" si="167"/>
        <v>0.33067680273913275</v>
      </c>
      <c r="K123" s="45">
        <f t="shared" si="167"/>
        <v>0.2793293932579019</v>
      </c>
      <c r="L123" s="45">
        <f t="shared" si="167"/>
        <v>0.30889781624406265</v>
      </c>
      <c r="M123" s="45">
        <f t="shared" si="167"/>
        <v>0.1317484901577379</v>
      </c>
      <c r="N123" s="45">
        <f t="shared" si="167"/>
        <v>0.10285843092840563</v>
      </c>
      <c r="O123" s="45">
        <f t="shared" si="167"/>
        <v>0.12443030962638289</v>
      </c>
      <c r="P123" s="45">
        <f t="shared" si="167"/>
        <v>8.4662611297310578E-2</v>
      </c>
      <c r="Q123" s="45">
        <f t="shared" si="167"/>
        <v>9.9109931950367311E-2</v>
      </c>
      <c r="R123" s="45">
        <f t="shared" si="167"/>
        <v>0.17396759747609836</v>
      </c>
      <c r="S123" s="45">
        <f t="shared" si="167"/>
        <v>0.17674155358866667</v>
      </c>
      <c r="T123" s="45">
        <f t="shared" si="167"/>
        <v>0.21732038944724186</v>
      </c>
      <c r="U123" s="45">
        <f t="shared" si="167"/>
        <v>0.29005460843630165</v>
      </c>
      <c r="V123" s="45">
        <f t="shared" si="167"/>
        <v>0.30535172210235956</v>
      </c>
      <c r="W123" s="45">
        <f t="shared" ref="W123:Y123" si="168">IF(W21=0,0,W21/W$18)</f>
        <v>0.4517045903790074</v>
      </c>
      <c r="X123" s="45">
        <f t="shared" si="168"/>
        <v>0.56524781089299347</v>
      </c>
      <c r="Y123" s="45">
        <f t="shared" si="168"/>
        <v>0.53801666898955036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240.17386070507308</v>
      </c>
      <c r="C3" s="79">
        <f t="shared" si="0"/>
        <v>225.4179707652622</v>
      </c>
      <c r="D3" s="79">
        <f t="shared" ref="D3" si="1">SUM(D4:D5)</f>
        <v>212.77824591573514</v>
      </c>
      <c r="E3" s="79">
        <f t="shared" ref="E3" si="2">SUM(E4:E5)</f>
        <v>208.56500429922616</v>
      </c>
      <c r="F3" s="79">
        <f t="shared" ref="F3" si="3">SUM(F4:F5)</f>
        <v>225.63774720550305</v>
      </c>
      <c r="G3" s="79">
        <f t="shared" ref="G3" si="4">SUM(G4:G5)</f>
        <v>260.57609630266546</v>
      </c>
      <c r="H3" s="79">
        <f t="shared" ref="H3" si="5">SUM(H4:H5)</f>
        <v>264.83233018056751</v>
      </c>
      <c r="I3" s="79">
        <f t="shared" ref="I3" si="6">SUM(I4:I5)</f>
        <v>242.76294067067931</v>
      </c>
      <c r="J3" s="79">
        <f t="shared" ref="J3" si="7">SUM(J4:J5)</f>
        <v>269.84806534823724</v>
      </c>
      <c r="K3" s="79">
        <f t="shared" ref="K3" si="8">SUM(K4:K5)</f>
        <v>230.72510748065352</v>
      </c>
      <c r="L3" s="79">
        <f t="shared" ref="L3" si="9">SUM(L4:L5)</f>
        <v>229.72201203783322</v>
      </c>
      <c r="M3" s="79">
        <f t="shared" ref="M3" si="10">SUM(M4:M5)</f>
        <v>232.72184006878769</v>
      </c>
      <c r="N3" s="79">
        <f t="shared" ref="N3" si="11">SUM(N4:N5)</f>
        <v>166.52338779019769</v>
      </c>
      <c r="O3" s="79">
        <f t="shared" ref="O3" si="12">SUM(O4:O5)</f>
        <v>162.5107480653482</v>
      </c>
      <c r="P3" s="79">
        <f t="shared" ref="P3" si="13">SUM(P4:P5)</f>
        <v>170.7222699914015</v>
      </c>
      <c r="Q3" s="79">
        <f t="shared" ref="Q3" si="14">SUM(Q4:Q5)</f>
        <v>174.71573516766978</v>
      </c>
      <c r="R3" s="79">
        <f t="shared" ref="R3" si="15">SUM(R4:R5)</f>
        <v>192.27282889079962</v>
      </c>
      <c r="S3" s="79">
        <f t="shared" ref="S3" si="16">SUM(S4:S5)</f>
        <v>223.50128976784183</v>
      </c>
      <c r="T3" s="79">
        <f t="shared" ref="T3" si="17">SUM(T4:T5)</f>
        <v>276.27239896818566</v>
      </c>
      <c r="U3" s="79">
        <f t="shared" ref="U3" si="18">SUM(U4:U5)</f>
        <v>279.3766122098022</v>
      </c>
      <c r="V3" s="79">
        <f t="shared" ref="V3:W3" si="19">SUM(V4:V5)</f>
        <v>101.4033533963886</v>
      </c>
      <c r="W3" s="79">
        <f t="shared" si="19"/>
        <v>123.1326741186586</v>
      </c>
      <c r="X3" s="79">
        <f t="shared" ref="X3:Y3" si="20">SUM(X4:X5)</f>
        <v>258.68202923473768</v>
      </c>
      <c r="Y3" s="79">
        <f t="shared" si="20"/>
        <v>298.86388650042994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240.17386070507308</v>
      </c>
      <c r="C5" s="96">
        <f t="shared" si="24"/>
        <v>225.4179707652622</v>
      </c>
      <c r="D5" s="96">
        <f t="shared" ref="D5:V5" si="25">SUM(D8:D9,D12:D13)</f>
        <v>212.77824591573514</v>
      </c>
      <c r="E5" s="96">
        <f t="shared" si="25"/>
        <v>208.56500429922616</v>
      </c>
      <c r="F5" s="96">
        <f t="shared" si="25"/>
        <v>225.63774720550305</v>
      </c>
      <c r="G5" s="96">
        <f t="shared" si="25"/>
        <v>260.57609630266546</v>
      </c>
      <c r="H5" s="96">
        <f t="shared" si="25"/>
        <v>264.83233018056751</v>
      </c>
      <c r="I5" s="96">
        <f t="shared" si="25"/>
        <v>242.76294067067931</v>
      </c>
      <c r="J5" s="96">
        <f t="shared" si="25"/>
        <v>269.84806534823724</v>
      </c>
      <c r="K5" s="96">
        <f t="shared" si="25"/>
        <v>230.72510748065352</v>
      </c>
      <c r="L5" s="96">
        <f t="shared" si="25"/>
        <v>229.72201203783322</v>
      </c>
      <c r="M5" s="96">
        <f t="shared" si="25"/>
        <v>232.72184006878769</v>
      </c>
      <c r="N5" s="96">
        <f t="shared" si="25"/>
        <v>166.52338779019769</v>
      </c>
      <c r="O5" s="96">
        <f t="shared" si="25"/>
        <v>162.5107480653482</v>
      </c>
      <c r="P5" s="96">
        <f t="shared" si="25"/>
        <v>170.7222699914015</v>
      </c>
      <c r="Q5" s="96">
        <f t="shared" si="25"/>
        <v>174.71573516766978</v>
      </c>
      <c r="R5" s="96">
        <f t="shared" si="25"/>
        <v>192.27282889079962</v>
      </c>
      <c r="S5" s="96">
        <f t="shared" si="25"/>
        <v>223.50128976784183</v>
      </c>
      <c r="T5" s="96">
        <f t="shared" si="25"/>
        <v>276.27239896818566</v>
      </c>
      <c r="U5" s="96">
        <f t="shared" si="25"/>
        <v>279.3766122098022</v>
      </c>
      <c r="V5" s="96">
        <f t="shared" si="25"/>
        <v>101.4033533963886</v>
      </c>
      <c r="W5" s="96">
        <f t="shared" ref="W5:Y5" si="26">SUM(W8:W9,W12:W13)</f>
        <v>123.1326741186586</v>
      </c>
      <c r="X5" s="96">
        <f t="shared" si="26"/>
        <v>258.68202923473768</v>
      </c>
      <c r="Y5" s="96">
        <f t="shared" si="26"/>
        <v>298.86388650042994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235.41380753797844</v>
      </c>
      <c r="C6" s="21">
        <f t="shared" si="27"/>
        <v>220.36675354763833</v>
      </c>
      <c r="D6" s="21">
        <f t="shared" ref="D6:V6" si="28">SUM(D7:D9)</f>
        <v>207.1314045718824</v>
      </c>
      <c r="E6" s="21">
        <f t="shared" si="28"/>
        <v>203.99494772494054</v>
      </c>
      <c r="F6" s="21">
        <f t="shared" si="28"/>
        <v>221.72619969494224</v>
      </c>
      <c r="G6" s="21">
        <f t="shared" si="28"/>
        <v>255.71305896147601</v>
      </c>
      <c r="H6" s="21">
        <f t="shared" si="28"/>
        <v>258.98829384863558</v>
      </c>
      <c r="I6" s="21">
        <f t="shared" si="28"/>
        <v>238.35664743491586</v>
      </c>
      <c r="J6" s="21">
        <f t="shared" si="28"/>
        <v>265.57749421727027</v>
      </c>
      <c r="K6" s="21">
        <f t="shared" si="28"/>
        <v>226.95360467879132</v>
      </c>
      <c r="L6" s="21">
        <f t="shared" si="28"/>
        <v>225.52039727627587</v>
      </c>
      <c r="M6" s="21">
        <f t="shared" si="28"/>
        <v>228.41602265420738</v>
      </c>
      <c r="N6" s="21">
        <f t="shared" si="28"/>
        <v>162.98856309671197</v>
      </c>
      <c r="O6" s="21">
        <f t="shared" si="28"/>
        <v>158.70676080767174</v>
      </c>
      <c r="P6" s="21">
        <f t="shared" si="28"/>
        <v>167.44682461876181</v>
      </c>
      <c r="Q6" s="21">
        <f t="shared" si="28"/>
        <v>171.39199092535318</v>
      </c>
      <c r="R6" s="21">
        <f t="shared" si="28"/>
        <v>188.84510030905423</v>
      </c>
      <c r="S6" s="21">
        <f t="shared" si="28"/>
        <v>219.47269480582256</v>
      </c>
      <c r="T6" s="21">
        <f t="shared" si="28"/>
        <v>271.54959936616575</v>
      </c>
      <c r="U6" s="21">
        <f t="shared" si="28"/>
        <v>275.18603972426922</v>
      </c>
      <c r="V6" s="21">
        <f t="shared" si="28"/>
        <v>96.112104378611988</v>
      </c>
      <c r="W6" s="21">
        <f t="shared" ref="W6:Y6" si="29">SUM(W7:W9)</f>
        <v>114.61159210972181</v>
      </c>
      <c r="X6" s="21">
        <f t="shared" si="29"/>
        <v>246.81353072898492</v>
      </c>
      <c r="Y6" s="21">
        <f t="shared" si="29"/>
        <v>290.27029142169215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154.85520451931362</v>
      </c>
      <c r="C8" s="96">
        <v>144.95541384015615</v>
      </c>
      <c r="D8" s="96">
        <v>135.84524007063067</v>
      </c>
      <c r="E8" s="96">
        <v>129.63016746593922</v>
      </c>
      <c r="F8" s="96">
        <v>151.72394513571618</v>
      </c>
      <c r="G8" s="96">
        <v>179.45209526526381</v>
      </c>
      <c r="H8" s="96">
        <v>181.38408552799413</v>
      </c>
      <c r="I8" s="96">
        <v>166.8570894548196</v>
      </c>
      <c r="J8" s="96">
        <v>186.75385369363383</v>
      </c>
      <c r="K8" s="96">
        <v>156.18748013109746</v>
      </c>
      <c r="L8" s="96">
        <v>154.18641534110853</v>
      </c>
      <c r="M8" s="96">
        <v>155.90049903455031</v>
      </c>
      <c r="N8" s="96">
        <v>111.12523422030608</v>
      </c>
      <c r="O8" s="96">
        <v>108.6172102309183</v>
      </c>
      <c r="P8" s="96">
        <v>115.28554616787328</v>
      </c>
      <c r="Q8" s="96">
        <v>119.02436079110697</v>
      </c>
      <c r="R8" s="96">
        <v>134.65664169633436</v>
      </c>
      <c r="S8" s="96">
        <v>158.20236390487344</v>
      </c>
      <c r="T8" s="96">
        <v>195.92122149421905</v>
      </c>
      <c r="U8" s="96">
        <v>198.63537549827441</v>
      </c>
      <c r="V8" s="96">
        <v>61.941285700830363</v>
      </c>
      <c r="W8" s="96">
        <v>76.472185762355039</v>
      </c>
      <c r="X8" s="96">
        <v>179.50533032275604</v>
      </c>
      <c r="Y8" s="96">
        <v>208.51859336056285</v>
      </c>
      <c r="DA8" s="171" t="s">
        <v>282</v>
      </c>
    </row>
    <row r="9" spans="1:105" ht="11.45" customHeight="1" x14ac:dyDescent="0.25">
      <c r="A9" s="83" t="s">
        <v>182</v>
      </c>
      <c r="B9" s="96">
        <v>80.558603018664826</v>
      </c>
      <c r="C9" s="96">
        <v>75.411339707482185</v>
      </c>
      <c r="D9" s="96">
        <v>71.286164501251733</v>
      </c>
      <c r="E9" s="96">
        <v>74.364780259001321</v>
      </c>
      <c r="F9" s="96">
        <v>70.00225455922606</v>
      </c>
      <c r="G9" s="96">
        <v>76.260963696212215</v>
      </c>
      <c r="H9" s="96">
        <v>77.604208320641447</v>
      </c>
      <c r="I9" s="96">
        <v>71.499557980096256</v>
      </c>
      <c r="J9" s="96">
        <v>78.823640523636456</v>
      </c>
      <c r="K9" s="96">
        <v>70.766124547693863</v>
      </c>
      <c r="L9" s="96">
        <v>71.333981935167344</v>
      </c>
      <c r="M9" s="96">
        <v>72.515523619657074</v>
      </c>
      <c r="N9" s="96">
        <v>51.863328876405873</v>
      </c>
      <c r="O9" s="96">
        <v>50.089550576753453</v>
      </c>
      <c r="P9" s="96">
        <v>52.161278450888545</v>
      </c>
      <c r="Q9" s="96">
        <v>52.367630134246205</v>
      </c>
      <c r="R9" s="96">
        <v>54.188458612719863</v>
      </c>
      <c r="S9" s="96">
        <v>61.270330900949112</v>
      </c>
      <c r="T9" s="96">
        <v>75.628377871946697</v>
      </c>
      <c r="U9" s="96">
        <v>76.550664225994794</v>
      </c>
      <c r="V9" s="96">
        <v>34.170818677781625</v>
      </c>
      <c r="W9" s="96">
        <v>38.13940634736678</v>
      </c>
      <c r="X9" s="96">
        <v>67.308200406228892</v>
      </c>
      <c r="Y9" s="96">
        <v>81.751698061129289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4.7600531670946644</v>
      </c>
      <c r="C10" s="22">
        <f t="shared" si="30"/>
        <v>5.0512172176238934</v>
      </c>
      <c r="D10" s="22">
        <f t="shared" ref="D10:V10" si="31">SUM(D11:D13)</f>
        <v>5.6468413438527429</v>
      </c>
      <c r="E10" s="22">
        <f t="shared" si="31"/>
        <v>4.5700565742856254</v>
      </c>
      <c r="F10" s="22">
        <f t="shared" si="31"/>
        <v>3.9115475105607862</v>
      </c>
      <c r="G10" s="22">
        <f t="shared" si="31"/>
        <v>4.8630373411894867</v>
      </c>
      <c r="H10" s="22">
        <f t="shared" si="31"/>
        <v>5.8440363319319291</v>
      </c>
      <c r="I10" s="22">
        <f t="shared" si="31"/>
        <v>4.4062932357634406</v>
      </c>
      <c r="J10" s="22">
        <f t="shared" si="31"/>
        <v>4.2705711309669852</v>
      </c>
      <c r="K10" s="22">
        <f t="shared" si="31"/>
        <v>3.7715028018621788</v>
      </c>
      <c r="L10" s="22">
        <f t="shared" si="31"/>
        <v>4.2016147615573365</v>
      </c>
      <c r="M10" s="22">
        <f t="shared" si="31"/>
        <v>4.3058174145803143</v>
      </c>
      <c r="N10" s="22">
        <f t="shared" si="31"/>
        <v>3.5348246934857381</v>
      </c>
      <c r="O10" s="22">
        <f t="shared" si="31"/>
        <v>3.8039872576764457</v>
      </c>
      <c r="P10" s="22">
        <f t="shared" si="31"/>
        <v>3.2754453726397035</v>
      </c>
      <c r="Q10" s="22">
        <f t="shared" si="31"/>
        <v>3.3237442423165993</v>
      </c>
      <c r="R10" s="22">
        <f t="shared" si="31"/>
        <v>3.4277285817453893</v>
      </c>
      <c r="S10" s="22">
        <f t="shared" si="31"/>
        <v>4.02859496201929</v>
      </c>
      <c r="T10" s="22">
        <f t="shared" si="31"/>
        <v>4.7227996020199283</v>
      </c>
      <c r="U10" s="22">
        <f t="shared" si="31"/>
        <v>4.1905724855329929</v>
      </c>
      <c r="V10" s="22">
        <f t="shared" si="31"/>
        <v>5.291249017776618</v>
      </c>
      <c r="W10" s="22">
        <f t="shared" ref="W10:Y10" si="32">SUM(W11:W13)</f>
        <v>8.5210820089367907</v>
      </c>
      <c r="X10" s="22">
        <f t="shared" si="32"/>
        <v>11.868498505752735</v>
      </c>
      <c r="Y10" s="22">
        <f t="shared" si="32"/>
        <v>8.5935950787377919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3.5798704602027689</v>
      </c>
      <c r="C12" s="97">
        <v>3.958248717565775</v>
      </c>
      <c r="D12" s="97">
        <v>5.1102433219886354</v>
      </c>
      <c r="E12" s="97">
        <v>4.0334685074543879</v>
      </c>
      <c r="F12" s="97">
        <v>3.558875578013633</v>
      </c>
      <c r="G12" s="97">
        <v>4.3875936065933372</v>
      </c>
      <c r="H12" s="97">
        <v>3.2777921662103413</v>
      </c>
      <c r="I12" s="97">
        <v>3.5186384710288157</v>
      </c>
      <c r="J12" s="97">
        <v>3.0479455118244942</v>
      </c>
      <c r="K12" s="97">
        <v>2.6401394810989927</v>
      </c>
      <c r="L12" s="97">
        <v>2.8529987254283053</v>
      </c>
      <c r="M12" s="97">
        <v>3.6947774957388693</v>
      </c>
      <c r="N12" s="97">
        <v>2.8908051296592827</v>
      </c>
      <c r="O12" s="97">
        <v>3.0791964225265351</v>
      </c>
      <c r="P12" s="97">
        <v>2.931487550795921</v>
      </c>
      <c r="Q12" s="97">
        <v>2.9782272437433304</v>
      </c>
      <c r="R12" s="97">
        <v>2.8700932072060454</v>
      </c>
      <c r="S12" s="97">
        <v>3.4318043406031014</v>
      </c>
      <c r="T12" s="97">
        <v>4.0809563172106271</v>
      </c>
      <c r="U12" s="97">
        <v>3.2737403064165558</v>
      </c>
      <c r="V12" s="97">
        <v>3.6873272892986697</v>
      </c>
      <c r="W12" s="97">
        <v>5.135554280223138</v>
      </c>
      <c r="X12" s="97">
        <v>5.5737724225876528</v>
      </c>
      <c r="Y12" s="97">
        <v>5.310339951681768</v>
      </c>
      <c r="DA12" s="175" t="s">
        <v>286</v>
      </c>
    </row>
    <row r="13" spans="1:105" ht="11.45" customHeight="1" x14ac:dyDescent="0.25">
      <c r="A13" s="85" t="s">
        <v>182</v>
      </c>
      <c r="B13" s="98">
        <v>1.180182706891896</v>
      </c>
      <c r="C13" s="98">
        <v>1.0929685000581182</v>
      </c>
      <c r="D13" s="98">
        <v>0.53659802186410721</v>
      </c>
      <c r="E13" s="98">
        <v>0.53658806683123716</v>
      </c>
      <c r="F13" s="98">
        <v>0.35267193254715329</v>
      </c>
      <c r="G13" s="98">
        <v>0.4754437345961493</v>
      </c>
      <c r="H13" s="98">
        <v>2.5662441657215878</v>
      </c>
      <c r="I13" s="98">
        <v>0.88765476473462479</v>
      </c>
      <c r="J13" s="98">
        <v>1.2226256191424905</v>
      </c>
      <c r="K13" s="98">
        <v>1.1313633207631861</v>
      </c>
      <c r="L13" s="98">
        <v>1.3486160361290314</v>
      </c>
      <c r="M13" s="98">
        <v>0.61103991884144504</v>
      </c>
      <c r="N13" s="98">
        <v>0.64401956382645542</v>
      </c>
      <c r="O13" s="98">
        <v>0.72479083514991072</v>
      </c>
      <c r="P13" s="98">
        <v>0.3439578218437826</v>
      </c>
      <c r="Q13" s="98">
        <v>0.34551699857326895</v>
      </c>
      <c r="R13" s="98">
        <v>0.55763537453934398</v>
      </c>
      <c r="S13" s="98">
        <v>0.59679062141618866</v>
      </c>
      <c r="T13" s="98">
        <v>0.64184328480930097</v>
      </c>
      <c r="U13" s="98">
        <v>0.91683217911643689</v>
      </c>
      <c r="V13" s="98">
        <v>1.6039217284779486</v>
      </c>
      <c r="W13" s="98">
        <v>3.3855277287136536</v>
      </c>
      <c r="X13" s="98">
        <v>6.2947260831650818</v>
      </c>
      <c r="Y13" s="98">
        <v>3.283255127056024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567.06715671704933</v>
      </c>
      <c r="C17" s="62">
        <f>IF(C3=0,0,C3/TrAvia_act!C13*100)</f>
        <v>565.125414543852</v>
      </c>
      <c r="D17" s="62">
        <f>IF(D3=0,0,D3/TrAvia_act!D13*100)</f>
        <v>547.99584081737544</v>
      </c>
      <c r="E17" s="62">
        <f>IF(E3=0,0,E3/TrAvia_act!E13*100)</f>
        <v>465.18979446768247</v>
      </c>
      <c r="F17" s="62">
        <f>IF(F3=0,0,F3/TrAvia_act!F13*100)</f>
        <v>400.60061607966111</v>
      </c>
      <c r="G17" s="62">
        <f>IF(G3=0,0,G3/TrAvia_act!G13*100)</f>
        <v>401.00329494564949</v>
      </c>
      <c r="H17" s="62">
        <f>IF(H3=0,0,H3/TrAvia_act!H13*100)</f>
        <v>398.17432407681025</v>
      </c>
      <c r="I17" s="62">
        <f>IF(I3=0,0,I3/TrAvia_act!I13*100)</f>
        <v>359.45808961092712</v>
      </c>
      <c r="J17" s="62">
        <f>IF(J3=0,0,J3/TrAvia_act!J13*100)</f>
        <v>421.46995897138328</v>
      </c>
      <c r="K17" s="62">
        <f>IF(K3=0,0,K3/TrAvia_act!K13*100)</f>
        <v>398.18244649984507</v>
      </c>
      <c r="L17" s="62">
        <f>IF(L3=0,0,L3/TrAvia_act!L13*100)</f>
        <v>412.31781004777287</v>
      </c>
      <c r="M17" s="62">
        <f>IF(M3=0,0,M3/TrAvia_act!M13*100)</f>
        <v>398.77687506958051</v>
      </c>
      <c r="N17" s="62">
        <f>IF(N3=0,0,N3/TrAvia_act!N13*100)</f>
        <v>366.41604426503829</v>
      </c>
      <c r="O17" s="62">
        <f>IF(O3=0,0,O3/TrAvia_act!O13*100)</f>
        <v>372.99479393077252</v>
      </c>
      <c r="P17" s="62">
        <f>IF(P3=0,0,P3/TrAvia_act!P13*100)</f>
        <v>365.80842278314122</v>
      </c>
      <c r="Q17" s="62">
        <f>IF(Q3=0,0,Q3/TrAvia_act!Q13*100)</f>
        <v>336.06634822820058</v>
      </c>
      <c r="R17" s="62">
        <f>IF(R3=0,0,R3/TrAvia_act!R13*100)</f>
        <v>335.43437302353669</v>
      </c>
      <c r="S17" s="62">
        <f>IF(S3=0,0,S3/TrAvia_act!S13*100)</f>
        <v>356.24602493845958</v>
      </c>
      <c r="T17" s="62">
        <f>IF(T3=0,0,T3/TrAvia_act!T13*100)</f>
        <v>369.8149879179154</v>
      </c>
      <c r="U17" s="62">
        <f>IF(U3=0,0,U3/TrAvia_act!U13*100)</f>
        <v>344.81355132554353</v>
      </c>
      <c r="V17" s="62">
        <f>IF(V3=0,0,V3/TrAvia_act!V13*100)</f>
        <v>381.18214257579399</v>
      </c>
      <c r="W17" s="62">
        <f>IF(W3=0,0,W3/TrAvia_act!W13*100)</f>
        <v>417.49257096009853</v>
      </c>
      <c r="X17" s="62">
        <f>IF(X3=0,0,X3/TrAvia_act!X13*100)</f>
        <v>410.45477043858784</v>
      </c>
      <c r="Y17" s="62">
        <f>IF(Y3=0,0,Y3/TrAvia_act!Y13*100)</f>
        <v>396.9930659470873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566.62658884892426</v>
      </c>
      <c r="C18" s="14">
        <f>IF(C6=0,0,C6/TrAvia_act!C14*100)</f>
        <v>564.54605418682445</v>
      </c>
      <c r="D18" s="14">
        <f>IF(D6=0,0,D6/TrAvia_act!D14*100)</f>
        <v>546.98894174074587</v>
      </c>
      <c r="E18" s="14">
        <f>IF(E6=0,0,E6/TrAvia_act!E14*100)</f>
        <v>464.54198143365744</v>
      </c>
      <c r="F18" s="14">
        <f>IF(F6=0,0,F6/TrAvia_act!F14*100)</f>
        <v>400.10561833060729</v>
      </c>
      <c r="G18" s="14">
        <f>IF(G6=0,0,G6/TrAvia_act!G14*100)</f>
        <v>400.86058584785735</v>
      </c>
      <c r="H18" s="14">
        <f>IF(H6=0,0,H6/TrAvia_act!H14*100)</f>
        <v>398.45655539271883</v>
      </c>
      <c r="I18" s="14">
        <f>IF(I6=0,0,I6/TrAvia_act!I14*100)</f>
        <v>359.25316767284892</v>
      </c>
      <c r="J18" s="14">
        <f>IF(J6=0,0,J6/TrAvia_act!J14*100)</f>
        <v>421.26324203443886</v>
      </c>
      <c r="K18" s="14">
        <f>IF(K6=0,0,K6/TrAvia_act!K14*100)</f>
        <v>397.64380717226373</v>
      </c>
      <c r="L18" s="14">
        <f>IF(L6=0,0,L6/TrAvia_act!L14*100)</f>
        <v>411.58179836969111</v>
      </c>
      <c r="M18" s="14">
        <f>IF(M6=0,0,M6/TrAvia_act!M14*100)</f>
        <v>397.96447001729933</v>
      </c>
      <c r="N18" s="14">
        <f>IF(N6=0,0,N6/TrAvia_act!N14*100)</f>
        <v>365.77999295527553</v>
      </c>
      <c r="O18" s="14">
        <f>IF(O6=0,0,O6/TrAvia_act!O14*100)</f>
        <v>372.15833370712124</v>
      </c>
      <c r="P18" s="14">
        <f>IF(P6=0,0,P6/TrAvia_act!P14*100)</f>
        <v>364.9920444269469</v>
      </c>
      <c r="Q18" s="14">
        <f>IF(Q6=0,0,Q6/TrAvia_act!Q14*100)</f>
        <v>335.4684878985845</v>
      </c>
      <c r="R18" s="14">
        <f>IF(R6=0,0,R6/TrAvia_act!R14*100)</f>
        <v>335.06887339544835</v>
      </c>
      <c r="S18" s="14">
        <f>IF(S6=0,0,S6/TrAvia_act!S14*100)</f>
        <v>355.81354618843005</v>
      </c>
      <c r="T18" s="14">
        <f>IF(T6=0,0,T6/TrAvia_act!T14*100)</f>
        <v>369.49197555382153</v>
      </c>
      <c r="U18" s="14">
        <f>IF(U6=0,0,U6/TrAvia_act!U14*100)</f>
        <v>344.67927729137159</v>
      </c>
      <c r="V18" s="14">
        <f>IF(V6=0,0,V6/TrAvia_act!V14*100)</f>
        <v>377.33414112314296</v>
      </c>
      <c r="W18" s="14">
        <f>IF(W6=0,0,W6/TrAvia_act!W14*100)</f>
        <v>412.81694535998747</v>
      </c>
      <c r="X18" s="14">
        <f>IF(X6=0,0,X6/TrAvia_act!X14*100)</f>
        <v>408.77080170692028</v>
      </c>
      <c r="Y18" s="14">
        <f>IF(Y6=0,0,Y6/TrAvia_act!Y14*100)</f>
        <v>397.3372578217635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546.24150739554102</v>
      </c>
      <c r="C20" s="87">
        <f>IF(C8=0,0,C8/TrAvia_act!C16*100)</f>
        <v>544.23546186961266</v>
      </c>
      <c r="D20" s="87">
        <f>IF(D8=0,0,D8/TrAvia_act!D16*100)</f>
        <v>527.33850608112209</v>
      </c>
      <c r="E20" s="87">
        <f>IF(E8=0,0,E8/TrAvia_act!E16*100)</f>
        <v>446.38061756029435</v>
      </c>
      <c r="F20" s="87">
        <f>IF(F8=0,0,F8/TrAvia_act!F16*100)</f>
        <v>387.17693980413185</v>
      </c>
      <c r="G20" s="87">
        <f>IF(G8=0,0,G8/TrAvia_act!G16*100)</f>
        <v>372.45809946019625</v>
      </c>
      <c r="H20" s="87">
        <f>IF(H8=0,0,H8/TrAvia_act!H16*100)</f>
        <v>379.18133936182193</v>
      </c>
      <c r="I20" s="87">
        <f>IF(I8=0,0,I8/TrAvia_act!I16*100)</f>
        <v>353.89872679491623</v>
      </c>
      <c r="J20" s="87">
        <f>IF(J8=0,0,J8/TrAvia_act!J16*100)</f>
        <v>408.67845549328871</v>
      </c>
      <c r="K20" s="87">
        <f>IF(K8=0,0,K8/TrAvia_act!K16*100)</f>
        <v>359.37820944838097</v>
      </c>
      <c r="L20" s="87">
        <f>IF(L8=0,0,L8/TrAvia_act!L16*100)</f>
        <v>378.12902768186791</v>
      </c>
      <c r="M20" s="87">
        <f>IF(M8=0,0,M8/TrAvia_act!M16*100)</f>
        <v>370.04485179625777</v>
      </c>
      <c r="N20" s="87">
        <f>IF(N8=0,0,N8/TrAvia_act!N16*100)</f>
        <v>302.72214907687248</v>
      </c>
      <c r="O20" s="87">
        <f>IF(O8=0,0,O8/TrAvia_act!O16*100)</f>
        <v>315.67915445954304</v>
      </c>
      <c r="P20" s="87">
        <f>IF(P8=0,0,P8/TrAvia_act!P16*100)</f>
        <v>334.2263401129365</v>
      </c>
      <c r="Q20" s="87">
        <f>IF(Q8=0,0,Q8/TrAvia_act!Q16*100)</f>
        <v>314.80015587929887</v>
      </c>
      <c r="R20" s="87">
        <f>IF(R8=0,0,R8/TrAvia_act!R16*100)</f>
        <v>313.49757274978134</v>
      </c>
      <c r="S20" s="87">
        <f>IF(S8=0,0,S8/TrAvia_act!S16*100)</f>
        <v>348.11844150129048</v>
      </c>
      <c r="T20" s="87">
        <f>IF(T8=0,0,T8/TrAvia_act!T16*100)</f>
        <v>392.12100157651457</v>
      </c>
      <c r="U20" s="87">
        <f>IF(U8=0,0,U8/TrAvia_act!U16*100)</f>
        <v>366.80525189694725</v>
      </c>
      <c r="V20" s="87">
        <f>IF(V8=0,0,V8/TrAvia_act!V16*100)</f>
        <v>331.83699520808261</v>
      </c>
      <c r="W20" s="87">
        <f>IF(W8=0,0,W8/TrAvia_act!W16*100)</f>
        <v>397.76614073355438</v>
      </c>
      <c r="X20" s="87">
        <f>IF(X8=0,0,X8/TrAvia_act!X16*100)</f>
        <v>414.62091192040742</v>
      </c>
      <c r="Y20" s="87">
        <f>IF(Y8=0,0,Y8/TrAvia_act!Y16*100)</f>
        <v>447.80088818979414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610.41583016185723</v>
      </c>
      <c r="C21" s="87">
        <f>IF(C9=0,0,C9/TrAvia_act!C17*100)</f>
        <v>608.17363431358865</v>
      </c>
      <c r="D21" s="87">
        <f>IF(D9=0,0,D9/TrAvia_act!D17*100)</f>
        <v>588.79984635517667</v>
      </c>
      <c r="E21" s="87">
        <f>IF(E9=0,0,E9/TrAvia_act!E17*100)</f>
        <v>500.00329164153516</v>
      </c>
      <c r="F21" s="87">
        <f>IF(F9=0,0,F9/TrAvia_act!F17*100)</f>
        <v>431.32244953219612</v>
      </c>
      <c r="G21" s="87">
        <f>IF(G9=0,0,G9/TrAvia_act!G17*100)</f>
        <v>488.52220562953869</v>
      </c>
      <c r="H21" s="87">
        <f>IF(H9=0,0,H9/TrAvia_act!H17*100)</f>
        <v>452.18192378441779</v>
      </c>
      <c r="I21" s="87">
        <f>IF(I9=0,0,I9/TrAvia_act!I17*100)</f>
        <v>372.4020392808585</v>
      </c>
      <c r="J21" s="87">
        <f>IF(J9=0,0,J9/TrAvia_act!J17*100)</f>
        <v>454.41691772680377</v>
      </c>
      <c r="K21" s="87">
        <f>IF(K9=0,0,K9/TrAvia_act!K17*100)</f>
        <v>519.79939446913761</v>
      </c>
      <c r="L21" s="87">
        <f>IF(L9=0,0,L9/TrAvia_act!L17*100)</f>
        <v>508.89448537897738</v>
      </c>
      <c r="M21" s="87">
        <f>IF(M9=0,0,M9/TrAvia_act!M17*100)</f>
        <v>475.0157031885949</v>
      </c>
      <c r="N21" s="87">
        <f>IF(N9=0,0,N9/TrAvia_act!N17*100)</f>
        <v>660.63535702982733</v>
      </c>
      <c r="O21" s="87">
        <f>IF(O9=0,0,O9/TrAvia_act!O17*100)</f>
        <v>608.06834963213385</v>
      </c>
      <c r="P21" s="87">
        <f>IF(P9=0,0,P9/TrAvia_act!P17*100)</f>
        <v>458.21479972614378</v>
      </c>
      <c r="Q21" s="87">
        <f>IF(Q9=0,0,Q9/TrAvia_act!Q17*100)</f>
        <v>394.30958508304496</v>
      </c>
      <c r="R21" s="87">
        <f>IF(R9=0,0,R9/TrAvia_act!R17*100)</f>
        <v>404.17807612224072</v>
      </c>
      <c r="S21" s="87">
        <f>IF(S9=0,0,S9/TrAvia_act!S17*100)</f>
        <v>377.35107315006832</v>
      </c>
      <c r="T21" s="87">
        <f>IF(T9=0,0,T9/TrAvia_act!T17*100)</f>
        <v>321.43700400609265</v>
      </c>
      <c r="U21" s="87">
        <f>IF(U9=0,0,U9/TrAvia_act!U17*100)</f>
        <v>298.03096966039078</v>
      </c>
      <c r="V21" s="87">
        <f>IF(V9=0,0,V9/TrAvia_act!V17*100)</f>
        <v>502.13006817407245</v>
      </c>
      <c r="W21" s="87">
        <f>IF(W9=0,0,W9/TrAvia_act!W17*100)</f>
        <v>446.7080107984662</v>
      </c>
      <c r="X21" s="87">
        <f>IF(X9=0,0,X9/TrAvia_act!X17*100)</f>
        <v>393.94698630434226</v>
      </c>
      <c r="Y21" s="87">
        <f>IF(Y9=0,0,Y9/TrAvia_act!Y17*100)</f>
        <v>308.62674293706925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589.74491938669314</v>
      </c>
      <c r="C22" s="15">
        <f>IF(C10=0,0,C10/TrAvia_act!C18*100)</f>
        <v>591.61266577009792</v>
      </c>
      <c r="D22" s="15">
        <f>IF(D10=0,0,D10/TrAvia_act!D18*100)</f>
        <v>587.67720616727865</v>
      </c>
      <c r="E22" s="15">
        <f>IF(E10=0,0,E10/TrAvia_act!E18*100)</f>
        <v>496.06888770788566</v>
      </c>
      <c r="F22" s="15">
        <f>IF(F10=0,0,F10/TrAvia_act!F18*100)</f>
        <v>430.81305858091588</v>
      </c>
      <c r="G22" s="15">
        <f>IF(G10=0,0,G10/TrAvia_act!G18*100)</f>
        <v>408.6532442642669</v>
      </c>
      <c r="H22" s="15">
        <f>IF(H10=0,0,H10/TrAvia_act!H18*100)</f>
        <v>386.0560217556075</v>
      </c>
      <c r="I22" s="15">
        <f>IF(I10=0,0,I10/TrAvia_act!I18*100)</f>
        <v>370.90271912341626</v>
      </c>
      <c r="J22" s="15">
        <f>IF(J10=0,0,J10/TrAvia_act!J18*100)</f>
        <v>434.73638040993939</v>
      </c>
      <c r="K22" s="15">
        <f>IF(K10=0,0,K10/TrAvia_act!K18*100)</f>
        <v>433.51992428918925</v>
      </c>
      <c r="L22" s="15">
        <f>IF(L10=0,0,L10/TrAvia_act!L18*100)</f>
        <v>456.09562139544579</v>
      </c>
      <c r="M22" s="15">
        <f>IF(M10=0,0,M10/TrAvia_act!M18*100)</f>
        <v>447.20603379772331</v>
      </c>
      <c r="N22" s="15">
        <f>IF(N10=0,0,N10/TrAvia_act!N18*100)</f>
        <v>398.35588069124162</v>
      </c>
      <c r="O22" s="15">
        <f>IF(O10=0,0,O10/TrAvia_act!O18*100)</f>
        <v>411.59052660781094</v>
      </c>
      <c r="P22" s="15">
        <f>IF(P10=0,0,P10/TrAvia_act!P18*100)</f>
        <v>413.03684460366196</v>
      </c>
      <c r="Q22" s="15">
        <f>IF(Q10=0,0,Q10/TrAvia_act!Q18*100)</f>
        <v>370.07597136212638</v>
      </c>
      <c r="R22" s="15">
        <f>IF(R10=0,0,R10/TrAvia_act!R18*100)</f>
        <v>356.88187105218714</v>
      </c>
      <c r="S22" s="15">
        <f>IF(S10=0,0,S10/TrAvia_act!S18*100)</f>
        <v>381.50834467689282</v>
      </c>
      <c r="T22" s="15">
        <f>IF(T10=0,0,T10/TrAvia_act!T18*100)</f>
        <v>389.38746297330192</v>
      </c>
      <c r="U22" s="15">
        <f>IF(U10=0,0,U10/TrAvia_act!U18*100)</f>
        <v>353.86605712328458</v>
      </c>
      <c r="V22" s="15">
        <f>IF(V10=0,0,V10/TrAvia_act!V18*100)</f>
        <v>467.84450989136451</v>
      </c>
      <c r="W22" s="15">
        <f>IF(W10=0,0,W10/TrAvia_act!W18*100)</f>
        <v>492.52403916405763</v>
      </c>
      <c r="X22" s="15">
        <f>IF(X10=0,0,X10/TrAvia_act!X18*100)</f>
        <v>448.91302290107797</v>
      </c>
      <c r="Y22" s="15">
        <f>IF(Y10=0,0,Y10/TrAvia_act!Y18*100)</f>
        <v>385.7074048945525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633.84447651751634</v>
      </c>
      <c r="C24" s="101">
        <f>IF(C12=0,0,C12/TrAvia_act!C20*100)</f>
        <v>629.75685908781202</v>
      </c>
      <c r="D24" s="101">
        <f>IF(D12=0,0,D12/TrAvia_act!D20*100)</f>
        <v>603.59188158293045</v>
      </c>
      <c r="E24" s="101">
        <f>IF(E12=0,0,E12/TrAvia_act!E20*100)</f>
        <v>512.68533150807855</v>
      </c>
      <c r="F24" s="101">
        <f>IF(F12=0,0,F12/TrAvia_act!F20*100)</f>
        <v>441.84743315521808</v>
      </c>
      <c r="G24" s="101">
        <f>IF(G12=0,0,G12/TrAvia_act!G20*100)</f>
        <v>411.20284410854578</v>
      </c>
      <c r="H24" s="101">
        <f>IF(H12=0,0,H12/TrAvia_act!H20*100)</f>
        <v>420.32129500307462</v>
      </c>
      <c r="I24" s="101">
        <f>IF(I12=0,0,I12/TrAvia_act!I20*100)</f>
        <v>400.02619228665975</v>
      </c>
      <c r="J24" s="101">
        <f>IF(J12=0,0,J12/TrAvia_act!J20*100)</f>
        <v>463.56575638670552</v>
      </c>
      <c r="K24" s="101">
        <f>IF(K12=0,0,K12/TrAvia_act!K20*100)</f>
        <v>421.09946518070745</v>
      </c>
      <c r="L24" s="101">
        <f>IF(L12=0,0,L12/TrAvia_act!L20*100)</f>
        <v>448.12480610918277</v>
      </c>
      <c r="M24" s="101">
        <f>IF(M12=0,0,M12/TrAvia_act!M20*100)</f>
        <v>441.97203108777813</v>
      </c>
      <c r="N24" s="101">
        <f>IF(N12=0,0,N12/TrAvia_act!N20*100)</f>
        <v>363.12921354619135</v>
      </c>
      <c r="O24" s="101">
        <f>IF(O12=0,0,O12/TrAvia_act!O20*100)</f>
        <v>380.51605985636627</v>
      </c>
      <c r="P24" s="101">
        <f>IF(P12=0,0,P12/TrAvia_act!P20*100)</f>
        <v>403.85483382372962</v>
      </c>
      <c r="Q24" s="101">
        <f>IF(Q12=0,0,Q12/TrAvia_act!Q20*100)</f>
        <v>368.08601968344215</v>
      </c>
      <c r="R24" s="101">
        <f>IF(R12=0,0,R12/TrAvia_act!R20*100)</f>
        <v>361.75702922109303</v>
      </c>
      <c r="S24" s="101">
        <f>IF(S12=0,0,S12/TrAvia_act!S20*100)</f>
        <v>394.76329058905486</v>
      </c>
      <c r="T24" s="101">
        <f>IF(T12=0,0,T12/TrAvia_act!T20*100)</f>
        <v>429.89299890262191</v>
      </c>
      <c r="U24" s="101">
        <f>IF(U12=0,0,U12/TrAvia_act!U20*100)</f>
        <v>389.3900330149292</v>
      </c>
      <c r="V24" s="101">
        <f>IF(V12=0,0,V12/TrAvia_act!V20*100)</f>
        <v>469.34269281190114</v>
      </c>
      <c r="W24" s="101">
        <f>IF(W12=0,0,W12/TrAvia_act!W20*100)</f>
        <v>541.38398096802337</v>
      </c>
      <c r="X24" s="101">
        <f>IF(X12=0,0,X12/TrAvia_act!X20*100)</f>
        <v>484.9242245077167</v>
      </c>
      <c r="Y24" s="101">
        <f>IF(Y12=0,0,Y12/TrAvia_act!Y20*100)</f>
        <v>515.91613281378818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486.9730003781757</v>
      </c>
      <c r="C25" s="88">
        <f>IF(C13=0,0,C13/TrAvia_act!C21*100)</f>
        <v>485.18423805302888</v>
      </c>
      <c r="D25" s="88">
        <f>IF(D13=0,0,D13/TrAvia_act!D21*100)</f>
        <v>469.72836160844702</v>
      </c>
      <c r="E25" s="88">
        <f>IF(E13=0,0,E13/TrAvia_act!E21*100)</f>
        <v>398.88890670656326</v>
      </c>
      <c r="F25" s="88">
        <f>IF(F13=0,0,F13/TrAvia_act!F21*100)</f>
        <v>344.09721537441658</v>
      </c>
      <c r="G25" s="88">
        <f>IF(G13=0,0,G13/TrAvia_act!G21*100)</f>
        <v>386.53589815562322</v>
      </c>
      <c r="H25" s="88">
        <f>IF(H13=0,0,H13/TrAvia_act!H21*100)</f>
        <v>349.64874329420638</v>
      </c>
      <c r="I25" s="88">
        <f>IF(I13=0,0,I13/TrAvia_act!I21*100)</f>
        <v>287.83550287014606</v>
      </c>
      <c r="J25" s="88">
        <f>IF(J13=0,0,J13/TrAvia_act!J21*100)</f>
        <v>376.38281601120707</v>
      </c>
      <c r="K25" s="88">
        <f>IF(K13=0,0,K13/TrAvia_act!K21*100)</f>
        <v>465.56474312234604</v>
      </c>
      <c r="L25" s="88">
        <f>IF(L13=0,0,L13/TrAvia_act!L21*100)</f>
        <v>473.92885802247065</v>
      </c>
      <c r="M25" s="88">
        <f>IF(M13=0,0,M13/TrAvia_act!M21*100)</f>
        <v>481.69926214506472</v>
      </c>
      <c r="N25" s="88">
        <f>IF(N13=0,0,N13/TrAvia_act!N21*100)</f>
        <v>705.60641086577436</v>
      </c>
      <c r="O25" s="88">
        <f>IF(O13=0,0,O13/TrAvia_act!O21*100)</f>
        <v>630.24996186745602</v>
      </c>
      <c r="P25" s="88">
        <f>IF(P13=0,0,P13/TrAvia_act!P21*100)</f>
        <v>512.30897478670863</v>
      </c>
      <c r="Q25" s="88">
        <f>IF(Q13=0,0,Q13/TrAvia_act!Q21*100)</f>
        <v>388.16424635078312</v>
      </c>
      <c r="R25" s="88">
        <f>IF(R13=0,0,R13/TrAvia_act!R21*100)</f>
        <v>333.73366027403569</v>
      </c>
      <c r="S25" s="88">
        <f>IF(S13=0,0,S13/TrAvia_act!S21*100)</f>
        <v>319.76708486931523</v>
      </c>
      <c r="T25" s="88">
        <f>IF(T13=0,0,T13/TrAvia_act!T21*100)</f>
        <v>243.50673283551885</v>
      </c>
      <c r="U25" s="88">
        <f>IF(U13=0,0,U13/TrAvia_act!U21*100)</f>
        <v>266.91662677202845</v>
      </c>
      <c r="V25" s="88">
        <f>IF(V13=0,0,V13/TrAvia_act!V21*100)</f>
        <v>464.43627568013738</v>
      </c>
      <c r="W25" s="88">
        <f>IF(W13=0,0,W13/TrAvia_act!W21*100)</f>
        <v>433.21607024794571</v>
      </c>
      <c r="X25" s="88">
        <f>IF(X13=0,0,X13/TrAvia_act!X21*100)</f>
        <v>421.21552734399421</v>
      </c>
      <c r="Y25" s="88">
        <f>IF(Y13=0,0,Y13/TrAvia_act!Y21*100)</f>
        <v>273.89997341898561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61.419415867285721</v>
      </c>
      <c r="C28" s="14">
        <f>IF(C6=0,0,C6/TrAvia_act!C4*1000)</f>
        <v>60.417376934230397</v>
      </c>
      <c r="D28" s="14">
        <f>IF(D6=0,0,D6/TrAvia_act!D4*1000)</f>
        <v>59.26013793835331</v>
      </c>
      <c r="E28" s="14">
        <f>IF(E6=0,0,E6/TrAvia_act!E4*1000)</f>
        <v>51.958106702676346</v>
      </c>
      <c r="F28" s="14">
        <f>IF(F6=0,0,F6/TrAvia_act!F4*1000)</f>
        <v>45.391484412130374</v>
      </c>
      <c r="G28" s="14">
        <f>IF(G6=0,0,G6/TrAvia_act!G4*1000)</f>
        <v>42.525856260568723</v>
      </c>
      <c r="H28" s="14">
        <f>IF(H6=0,0,H6/TrAvia_act!H4*1000)</f>
        <v>41.627607350428164</v>
      </c>
      <c r="I28" s="14">
        <f>IF(I6=0,0,I6/TrAvia_act!I4*1000)</f>
        <v>36.648629028664878</v>
      </c>
      <c r="J28" s="14">
        <f>IF(J6=0,0,J6/TrAvia_act!J4*1000)</f>
        <v>43.461086036903254</v>
      </c>
      <c r="K28" s="14">
        <f>IF(K6=0,0,K6/TrAvia_act!K4*1000)</f>
        <v>41.064158790404697</v>
      </c>
      <c r="L28" s="14">
        <f>IF(L6=0,0,L6/TrAvia_act!L4*1000)</f>
        <v>40.675256935264031</v>
      </c>
      <c r="M28" s="14">
        <f>IF(M6=0,0,M6/TrAvia_act!M4*1000)</f>
        <v>38.373802545963017</v>
      </c>
      <c r="N28" s="14">
        <f>IF(N6=0,0,N6/TrAvia_act!N4*1000)</f>
        <v>30.281906563362568</v>
      </c>
      <c r="O28" s="14">
        <f>IF(O6=0,0,O6/TrAvia_act!O4*1000)</f>
        <v>29.625230542108909</v>
      </c>
      <c r="P28" s="14">
        <f>IF(P6=0,0,P6/TrAvia_act!P4*1000)</f>
        <v>28.243696816122867</v>
      </c>
      <c r="Q28" s="14">
        <f>IF(Q6=0,0,Q6/TrAvia_act!Q4*1000)</f>
        <v>24.684414534236822</v>
      </c>
      <c r="R28" s="14">
        <f>IF(R6=0,0,R6/TrAvia_act!R4*1000)</f>
        <v>23.063102135539566</v>
      </c>
      <c r="S28" s="14">
        <f>IF(S6=0,0,S6/TrAvia_act!S4*1000)</f>
        <v>23.324982133696746</v>
      </c>
      <c r="T28" s="14">
        <f>IF(T6=0,0,T6/TrAvia_act!T4*1000)</f>
        <v>24.052956660382861</v>
      </c>
      <c r="U28" s="14">
        <f>IF(U6=0,0,U6/TrAvia_act!U4*1000)</f>
        <v>21.889732025618112</v>
      </c>
      <c r="V28" s="14">
        <f>IF(V6=0,0,V6/TrAvia_act!V4*1000)</f>
        <v>31.857970044697737</v>
      </c>
      <c r="W28" s="14">
        <f>IF(W6=0,0,W6/TrAvia_act!W4*1000)</f>
        <v>32.909117820090366</v>
      </c>
      <c r="X28" s="14">
        <f>IF(X6=0,0,X6/TrAvia_act!X4*1000)</f>
        <v>26.448200950823757</v>
      </c>
      <c r="Y28" s="14">
        <f>IF(Y6=0,0,Y6/TrAvia_act!Y4*1000)</f>
        <v>23.844989459310089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64.713630861924628</v>
      </c>
      <c r="C30" s="87">
        <f>IF(C8=0,0,C8/TrAvia_act!C6*1000)</f>
        <v>63.283741291175048</v>
      </c>
      <c r="D30" s="87">
        <f>IF(D8=0,0,D8/TrAvia_act!D6*1000)</f>
        <v>59.583357175425057</v>
      </c>
      <c r="E30" s="87">
        <f>IF(E8=0,0,E8/TrAvia_act!E6*1000)</f>
        <v>54.027681675896076</v>
      </c>
      <c r="F30" s="87">
        <f>IF(F8=0,0,F8/TrAvia_act!F6*1000)</f>
        <v>48.911784890569763</v>
      </c>
      <c r="G30" s="87">
        <f>IF(G8=0,0,G8/TrAvia_act!G6*1000)</f>
        <v>42.753688460223906</v>
      </c>
      <c r="H30" s="87">
        <f>IF(H8=0,0,H8/TrAvia_act!H6*1000)</f>
        <v>42.742020906234096</v>
      </c>
      <c r="I30" s="87">
        <f>IF(I8=0,0,I8/TrAvia_act!I6*1000)</f>
        <v>39.454516322242398</v>
      </c>
      <c r="J30" s="87">
        <f>IF(J8=0,0,J8/TrAvia_act!J6*1000)</f>
        <v>45.926938289848017</v>
      </c>
      <c r="K30" s="87">
        <f>IF(K8=0,0,K8/TrAvia_act!K6*1000)</f>
        <v>39.604703773248026</v>
      </c>
      <c r="L30" s="87">
        <f>IF(L8=0,0,L8/TrAvia_act!L6*1000)</f>
        <v>39.32174361099829</v>
      </c>
      <c r="M30" s="87">
        <f>IF(M8=0,0,M8/TrAvia_act!M6*1000)</f>
        <v>36.666682430947532</v>
      </c>
      <c r="N30" s="87">
        <f>IF(N8=0,0,N8/TrAvia_act!N6*1000)</f>
        <v>24.906830099381899</v>
      </c>
      <c r="O30" s="87">
        <f>IF(O8=0,0,O8/TrAvia_act!O6*1000)</f>
        <v>24.997544672658325</v>
      </c>
      <c r="P30" s="87">
        <f>IF(P8=0,0,P8/TrAvia_act!P6*1000)</f>
        <v>25.749241268605932</v>
      </c>
      <c r="Q30" s="87">
        <f>IF(Q8=0,0,Q8/TrAvia_act!Q6*1000)</f>
        <v>23.487273857298337</v>
      </c>
      <c r="R30" s="87">
        <f>IF(R8=0,0,R8/TrAvia_act!R6*1000)</f>
        <v>21.96501828226657</v>
      </c>
      <c r="S30" s="87">
        <f>IF(S8=0,0,S8/TrAvia_act!S6*1000)</f>
        <v>23.204279129288444</v>
      </c>
      <c r="T30" s="87">
        <f>IF(T8=0,0,T8/TrAvia_act!T6*1000)</f>
        <v>26.118637668520989</v>
      </c>
      <c r="U30" s="87">
        <f>IF(U8=0,0,U8/TrAvia_act!U6*1000)</f>
        <v>24.18520913021376</v>
      </c>
      <c r="V30" s="87">
        <f>IF(V8=0,0,V8/TrAvia_act!V6*1000)</f>
        <v>28.971508991861256</v>
      </c>
      <c r="W30" s="87">
        <f>IF(W8=0,0,W8/TrAvia_act!W6*1000)</f>
        <v>32.787120912679512</v>
      </c>
      <c r="X30" s="87">
        <f>IF(X8=0,0,X8/TrAvia_act!X6*1000)</f>
        <v>28.027633238725432</v>
      </c>
      <c r="Y30" s="87">
        <f>IF(Y8=0,0,Y8/TrAvia_act!Y6*1000)</f>
        <v>27.99215217752916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55.945074120253601</v>
      </c>
      <c r="C31" s="87">
        <f>IF(C9=0,0,C9/TrAvia_act!C7*1000)</f>
        <v>55.578507412745317</v>
      </c>
      <c r="D31" s="87">
        <f>IF(D9=0,0,D9/TrAvia_act!D7*1000)</f>
        <v>58.653809922102475</v>
      </c>
      <c r="E31" s="87">
        <f>IF(E9=0,0,E9/TrAvia_act!E7*1000)</f>
        <v>48.705850532321897</v>
      </c>
      <c r="F31" s="87">
        <f>IF(F9=0,0,F9/TrAvia_act!F7*1000)</f>
        <v>39.266188557130093</v>
      </c>
      <c r="G31" s="87">
        <f>IF(G9=0,0,G9/TrAvia_act!G7*1000)</f>
        <v>41.999198172186816</v>
      </c>
      <c r="H31" s="87">
        <f>IF(H9=0,0,H9/TrAvia_act!H7*1000)</f>
        <v>39.236518544388495</v>
      </c>
      <c r="I31" s="87">
        <f>IF(I9=0,0,I9/TrAvia_act!I7*1000)</f>
        <v>31.432032269963052</v>
      </c>
      <c r="J31" s="87">
        <f>IF(J9=0,0,J9/TrAvia_act!J7*1000)</f>
        <v>38.556420987425881</v>
      </c>
      <c r="K31" s="87">
        <f>IF(K9=0,0,K9/TrAvia_act!K7*1000)</f>
        <v>44.699702614245119</v>
      </c>
      <c r="L31" s="87">
        <f>IF(L9=0,0,L9/TrAvia_act!L7*1000)</f>
        <v>43.944798720963497</v>
      </c>
      <c r="M31" s="87">
        <f>IF(M9=0,0,M9/TrAvia_act!M7*1000)</f>
        <v>42.642022322760646</v>
      </c>
      <c r="N31" s="87">
        <f>IF(N9=0,0,N9/TrAvia_act!N7*1000)</f>
        <v>56.328025235518169</v>
      </c>
      <c r="O31" s="87">
        <f>IF(O9=0,0,O9/TrAvia_act!O7*1000)</f>
        <v>49.493970211754061</v>
      </c>
      <c r="P31" s="87">
        <f>IF(P9=0,0,P9/TrAvia_act!P7*1000)</f>
        <v>35.938508953741348</v>
      </c>
      <c r="Q31" s="87">
        <f>IF(Q9=0,0,Q9/TrAvia_act!Q7*1000)</f>
        <v>27.91871984624099</v>
      </c>
      <c r="R31" s="87">
        <f>IF(R9=0,0,R9/TrAvia_act!R7*1000)</f>
        <v>26.334643032046916</v>
      </c>
      <c r="S31" s="87">
        <f>IF(S9=0,0,S9/TrAvia_act!S7*1000)</f>
        <v>23.642528141062648</v>
      </c>
      <c r="T31" s="87">
        <f>IF(T9=0,0,T9/TrAvia_act!T7*1000)</f>
        <v>19.962870789410204</v>
      </c>
      <c r="U31" s="87">
        <f>IF(U9=0,0,U9/TrAvia_act!U7*1000)</f>
        <v>17.56404341924685</v>
      </c>
      <c r="V31" s="87">
        <f>IF(V9=0,0,V9/TrAvia_act!V7*1000)</f>
        <v>38.879664473449978</v>
      </c>
      <c r="W31" s="87">
        <f>IF(W9=0,0,W9/TrAvia_act!W7*1000)</f>
        <v>33.15648587214644</v>
      </c>
      <c r="X31" s="87">
        <f>IF(X9=0,0,X9/TrAvia_act!X7*1000)</f>
        <v>22.992679855565491</v>
      </c>
      <c r="Y31" s="87">
        <f>IF(Y9=0,0,Y9/TrAvia_act!Y7*1000)</f>
        <v>17.305466153079166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133.2309982619096</v>
      </c>
      <c r="C32" s="15">
        <f>IF(C10=0,0,C10/TrAvia_act!C8*1000)</f>
        <v>134.6851977249172</v>
      </c>
      <c r="D32" s="15">
        <f>IF(D10=0,0,D10/TrAvia_act!D8*1000)</f>
        <v>185.32143061217008</v>
      </c>
      <c r="E32" s="15">
        <f>IF(E10=0,0,E10/TrAvia_act!E8*1000)</f>
        <v>151.71927205132263</v>
      </c>
      <c r="F32" s="15">
        <f>IF(F10=0,0,F10/TrAvia_act!F8*1000)</f>
        <v>149.34593356654304</v>
      </c>
      <c r="G32" s="15">
        <f>IF(G10=0,0,G10/TrAvia_act!G8*1000)</f>
        <v>146.4474250368207</v>
      </c>
      <c r="H32" s="15">
        <f>IF(H10=0,0,H10/TrAvia_act!H8*1000)</f>
        <v>86.19745313086554</v>
      </c>
      <c r="I32" s="15">
        <f>IF(I10=0,0,I10/TrAvia_act!I8*1000)</f>
        <v>114.96023827732024</v>
      </c>
      <c r="J32" s="15">
        <f>IF(J10=0,0,J10/TrAvia_act!J8*1000)</f>
        <v>124.31867422189769</v>
      </c>
      <c r="K32" s="15">
        <f>IF(K10=0,0,K10/TrAvia_act!K8*1000)</f>
        <v>124.52297051944443</v>
      </c>
      <c r="L32" s="15">
        <f>IF(L10=0,0,L10/TrAvia_act!L8*1000)</f>
        <v>122.65181670397969</v>
      </c>
      <c r="M32" s="15">
        <f>IF(M10=0,0,M10/TrAvia_act!M8*1000)</f>
        <v>162.76385826483047</v>
      </c>
      <c r="N32" s="15">
        <f>IF(N10=0,0,N10/TrAvia_act!N8*1000)</f>
        <v>148.83117006045964</v>
      </c>
      <c r="O32" s="15">
        <f>IF(O10=0,0,O10/TrAvia_act!O8*1000)</f>
        <v>152.66814895308525</v>
      </c>
      <c r="P32" s="15">
        <f>IF(P10=0,0,P10/TrAvia_act!P8*1000)</f>
        <v>139.66487203497485</v>
      </c>
      <c r="Q32" s="15">
        <f>IF(Q10=0,0,Q10/TrAvia_act!Q8*1000)</f>
        <v>120.52323859894899</v>
      </c>
      <c r="R32" s="15">
        <f>IF(R10=0,0,R10/TrAvia_act!R8*1000)</f>
        <v>92.490814735327447</v>
      </c>
      <c r="S32" s="15">
        <f>IF(S10=0,0,S10/TrAvia_act!S8*1000)</f>
        <v>104.57757909654003</v>
      </c>
      <c r="T32" s="15">
        <f>IF(T10=0,0,T10/TrAvia_act!T8*1000)</f>
        <v>97.899872950623447</v>
      </c>
      <c r="U32" s="15">
        <f>IF(U10=0,0,U10/TrAvia_act!U8*1000)</f>
        <v>75.375877432147618</v>
      </c>
      <c r="V32" s="15">
        <f>IF(V10=0,0,V10/TrAvia_act!V8*1000)</f>
        <v>135.11377101485979</v>
      </c>
      <c r="W32" s="15">
        <f>IF(W10=0,0,W10/TrAvia_act!W8*1000)</f>
        <v>121.22606722808078</v>
      </c>
      <c r="X32" s="15">
        <f>IF(X10=0,0,X10/TrAvia_act!X8*1000)</f>
        <v>89.455828126315382</v>
      </c>
      <c r="Y32" s="15">
        <f>IF(Y10=0,0,Y10/TrAvia_act!Y8*1000)</f>
        <v>75.447357189272751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257.10041704701894</v>
      </c>
      <c r="C34" s="101">
        <f>IF(C12=0,0,C12/TrAvia_act!C10*1000)</f>
        <v>243.34940452321268</v>
      </c>
      <c r="D34" s="101">
        <f>IF(D12=0,0,D12/TrAvia_act!D10*1000)</f>
        <v>251.71562407378505</v>
      </c>
      <c r="E34" s="101">
        <f>IF(E12=0,0,E12/TrAvia_act!E10*1000)</f>
        <v>209.62465023238568</v>
      </c>
      <c r="F34" s="101">
        <f>IF(F12=0,0,F12/TrAvia_act!F10*1000)</f>
        <v>196.13252672647548</v>
      </c>
      <c r="G34" s="101">
        <f>IF(G12=0,0,G12/TrAvia_act!G10*1000)</f>
        <v>181.86155888692267</v>
      </c>
      <c r="H34" s="101">
        <f>IF(H12=0,0,H12/TrAvia_act!H10*1000)</f>
        <v>212.60215260275868</v>
      </c>
      <c r="I34" s="101">
        <f>IF(I12=0,0,I12/TrAvia_act!I10*1000)</f>
        <v>210.86430988214948</v>
      </c>
      <c r="J34" s="101">
        <f>IF(J12=0,0,J12/TrAvia_act!J10*1000)</f>
        <v>253.68138887119497</v>
      </c>
      <c r="K34" s="101">
        <f>IF(K12=0,0,K12/TrAvia_act!K10*1000)</f>
        <v>230.74518290594733</v>
      </c>
      <c r="L34" s="101">
        <f>IF(L12=0,0,L12/TrAvia_act!L10*1000)</f>
        <v>241.32620377274176</v>
      </c>
      <c r="M34" s="101">
        <f>IF(M12=0,0,M12/TrAvia_act!M10*1000)</f>
        <v>225.14737167032339</v>
      </c>
      <c r="N34" s="101">
        <f>IF(N12=0,0,N12/TrAvia_act!N10*1000)</f>
        <v>170.18577365043717</v>
      </c>
      <c r="O34" s="101">
        <f>IF(O12=0,0,O12/TrAvia_act!O10*1000)</f>
        <v>179.60882148086853</v>
      </c>
      <c r="P34" s="101">
        <f>IF(P12=0,0,P12/TrAvia_act!P10*1000)</f>
        <v>163.29899440664286</v>
      </c>
      <c r="Q34" s="101">
        <f>IF(Q12=0,0,Q12/TrAvia_act!Q10*1000)</f>
        <v>149.74927198651099</v>
      </c>
      <c r="R34" s="101">
        <f>IF(R12=0,0,R12/TrAvia_act!R10*1000)</f>
        <v>133.53626439900322</v>
      </c>
      <c r="S34" s="101">
        <f>IF(S12=0,0,S12/TrAvia_act!S10*1000)</f>
        <v>158.74849866862979</v>
      </c>
      <c r="T34" s="101">
        <f>IF(T12=0,0,T12/TrAvia_act!T10*1000)</f>
        <v>169.77916605321306</v>
      </c>
      <c r="U34" s="101">
        <f>IF(U12=0,0,U12/TrAvia_act!U10*1000)</f>
        <v>146.6525790102304</v>
      </c>
      <c r="V34" s="101">
        <f>IF(V12=0,0,V12/TrAvia_act!V10*1000)</f>
        <v>207.45799536133285</v>
      </c>
      <c r="W34" s="101">
        <f>IF(W12=0,0,W12/TrAvia_act!W10*1000)</f>
        <v>246.5240653923083</v>
      </c>
      <c r="X34" s="101">
        <f>IF(X12=0,0,X12/TrAvia_act!X10*1000)</f>
        <v>222.3485888474431</v>
      </c>
      <c r="Y34" s="101">
        <f>IF(Y12=0,0,Y12/TrAvia_act!Y10*1000)</f>
        <v>234.3517710752327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54.127376989433998</v>
      </c>
      <c r="C35" s="88">
        <f>IF(C13=0,0,C13/TrAvia_act!C11*1000)</f>
        <v>51.462445020975807</v>
      </c>
      <c r="D35" s="88">
        <f>IF(D13=0,0,D13/TrAvia_act!D11*1000)</f>
        <v>52.768686545272907</v>
      </c>
      <c r="E35" s="88">
        <f>IF(E13=0,0,E13/TrAvia_act!E11*1000)</f>
        <v>49.316902729340782</v>
      </c>
      <c r="F35" s="88">
        <f>IF(F13=0,0,F13/TrAvia_act!F11*1000)</f>
        <v>43.832343692031564</v>
      </c>
      <c r="G35" s="88">
        <f>IF(G13=0,0,G13/TrAvia_act!G11*1000)</f>
        <v>52.357596033905317</v>
      </c>
      <c r="H35" s="88">
        <f>IF(H13=0,0,H13/TrAvia_act!H11*1000)</f>
        <v>48.99211823800848</v>
      </c>
      <c r="I35" s="88">
        <f>IF(I13=0,0,I13/TrAvia_act!I11*1000)</f>
        <v>41.015180542260921</v>
      </c>
      <c r="J35" s="88">
        <f>IF(J13=0,0,J13/TrAvia_act!J11*1000)</f>
        <v>54.735565313279203</v>
      </c>
      <c r="K35" s="88">
        <f>IF(K13=0,0,K13/TrAvia_act!K11*1000)</f>
        <v>60.032617384931186</v>
      </c>
      <c r="L35" s="88">
        <f>IF(L13=0,0,L13/TrAvia_act!L11*1000)</f>
        <v>60.114092734491791</v>
      </c>
      <c r="M35" s="88">
        <f>IF(M13=0,0,M13/TrAvia_act!M11*1000)</f>
        <v>60.836929185670549</v>
      </c>
      <c r="N35" s="88">
        <f>IF(N13=0,0,N13/TrAvia_act!N11*1000)</f>
        <v>95.207291151575959</v>
      </c>
      <c r="O35" s="88">
        <f>IF(O13=0,0,O13/TrAvia_act!O11*1000)</f>
        <v>93.247059043939004</v>
      </c>
      <c r="P35" s="88">
        <f>IF(P13=0,0,P13/TrAvia_act!P11*1000)</f>
        <v>62.53186877165745</v>
      </c>
      <c r="Q35" s="88">
        <f>IF(Q13=0,0,Q13/TrAvia_act!Q11*1000)</f>
        <v>44.933436739888869</v>
      </c>
      <c r="R35" s="88">
        <f>IF(R13=0,0,R13/TrAvia_act!R11*1000)</f>
        <v>35.821131778822817</v>
      </c>
      <c r="S35" s="88">
        <f>IF(S13=0,0,S13/TrAvia_act!S11*1000)</f>
        <v>35.303278507276907</v>
      </c>
      <c r="T35" s="88">
        <f>IF(T13=0,0,T13/TrAvia_act!T11*1000)</f>
        <v>26.517769698601128</v>
      </c>
      <c r="U35" s="88">
        <f>IF(U13=0,0,U13/TrAvia_act!U11*1000)</f>
        <v>27.55519556157002</v>
      </c>
      <c r="V35" s="88">
        <f>IF(V13=0,0,V13/TrAvia_act!V11*1000)</f>
        <v>74.993123698780167</v>
      </c>
      <c r="W35" s="88">
        <f>IF(W13=0,0,W13/TrAvia_act!W11*1000)</f>
        <v>68.451222174419485</v>
      </c>
      <c r="X35" s="88">
        <f>IF(X13=0,0,X13/TrAvia_act!X11*1000)</f>
        <v>58.497539658715333</v>
      </c>
      <c r="Y35" s="88">
        <f>IF(Y13=0,0,Y13/TrAvia_act!Y11*1000)</f>
        <v>35.983964308166072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6411.8175210922391</v>
      </c>
      <c r="C37" s="62">
        <f>IF(C3=0,0,C3/TrAvia_act!C23*1000000)</f>
        <v>6381.9815623924069</v>
      </c>
      <c r="D37" s="62">
        <f>IF(D3=0,0,D3/TrAvia_act!D23*1000000)</f>
        <v>6153.2170594486743</v>
      </c>
      <c r="E37" s="62">
        <f>IF(E3=0,0,E3/TrAvia_act!E23*1000000)</f>
        <v>5265.5963114248325</v>
      </c>
      <c r="F37" s="62">
        <f>IF(F3=0,0,F3/TrAvia_act!F23*1000000)</f>
        <v>4500.1545114779228</v>
      </c>
      <c r="G37" s="62">
        <f>IF(G3=0,0,G3/TrAvia_act!G23*1000000)</f>
        <v>4630.4882592789827</v>
      </c>
      <c r="H37" s="62">
        <f>IF(H3=0,0,H3/TrAvia_act!H23*1000000)</f>
        <v>4665.251469701896</v>
      </c>
      <c r="I37" s="62">
        <f>IF(I3=0,0,I3/TrAvia_act!I23*1000000)</f>
        <v>4321.0861442601472</v>
      </c>
      <c r="J37" s="62">
        <f>IF(J3=0,0,J3/TrAvia_act!J23*1000000)</f>
        <v>5049.3631478656725</v>
      </c>
      <c r="K37" s="62">
        <f>IF(K3=0,0,K3/TrAvia_act!K23*1000000)</f>
        <v>4574.6115370103398</v>
      </c>
      <c r="L37" s="62">
        <f>IF(L3=0,0,L3/TrAvia_act!L23*1000000)</f>
        <v>4782.7863679255734</v>
      </c>
      <c r="M37" s="62">
        <f>IF(M3=0,0,M3/TrAvia_act!M23*1000000)</f>
        <v>4609.7224931917926</v>
      </c>
      <c r="N37" s="62">
        <f>IF(N3=0,0,N3/TrAvia_act!N23*1000000)</f>
        <v>4251.624780815423</v>
      </c>
      <c r="O37" s="62">
        <f>IF(O3=0,0,O3/TrAvia_act!O23*1000000)</f>
        <v>4363.8761564271799</v>
      </c>
      <c r="P37" s="62">
        <f>IF(P3=0,0,P3/TrAvia_act!P23*1000000)</f>
        <v>4423.4297186527137</v>
      </c>
      <c r="Q37" s="62">
        <f>IF(Q3=0,0,Q3/TrAvia_act!Q23*1000000)</f>
        <v>4222.3286006831913</v>
      </c>
      <c r="R37" s="62">
        <f>IF(R3=0,0,R3/TrAvia_act!R23*1000000)</f>
        <v>4326.1819118621106</v>
      </c>
      <c r="S37" s="62">
        <f>IF(S3=0,0,S3/TrAvia_act!S23*1000000)</f>
        <v>4665.9976987023347</v>
      </c>
      <c r="T37" s="62">
        <f>IF(T3=0,0,T3/TrAvia_act!T23*1000000)</f>
        <v>5114.8294695483701</v>
      </c>
      <c r="U37" s="62">
        <f>IF(U3=0,0,U3/TrAvia_act!U23*1000000)</f>
        <v>4823.0748763021529</v>
      </c>
      <c r="V37" s="62">
        <f>IF(V3=0,0,V3/TrAvia_act!V23*1000000)</f>
        <v>5119.0546416471607</v>
      </c>
      <c r="W37" s="62">
        <f>IF(W3=0,0,W3/TrAvia_act!W23*1000000)</f>
        <v>5809.2410888214099</v>
      </c>
      <c r="X37" s="62">
        <f>IF(X3=0,0,X3/TrAvia_act!X23*1000000)</f>
        <v>5884.0850086376649</v>
      </c>
      <c r="Y37" s="62">
        <f>IF(Y3=0,0,Y3/TrAvia_act!Y23*1000000)</f>
        <v>6113.7363247776357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6453.4062758841646</v>
      </c>
      <c r="C38" s="14">
        <f>IF(C6=0,0,C6/TrAvia_act!C24*1000000)</f>
        <v>6429.7480100265029</v>
      </c>
      <c r="D38" s="14">
        <f>IF(D6=0,0,D6/TrAvia_act!D24*1000000)</f>
        <v>6201.7247394198148</v>
      </c>
      <c r="E38" s="14">
        <f>IF(E6=0,0,E6/TrAvia_act!E24*1000000)</f>
        <v>5300.4975244229208</v>
      </c>
      <c r="F38" s="14">
        <f>IF(F6=0,0,F6/TrAvia_act!F24*1000000)</f>
        <v>4525.7633837145295</v>
      </c>
      <c r="G38" s="14">
        <f>IF(G6=0,0,G6/TrAvia_act!G24*1000000)</f>
        <v>4666.2966963772988</v>
      </c>
      <c r="H38" s="14">
        <f>IF(H6=0,0,H6/TrAvia_act!H24*1000000)</f>
        <v>4699.3938387733051</v>
      </c>
      <c r="I38" s="14">
        <f>IF(I6=0,0,I6/TrAvia_act!I24*1000000)</f>
        <v>4355.5349005923408</v>
      </c>
      <c r="J38" s="14">
        <f>IF(J6=0,0,J6/TrAvia_act!J24*1000000)</f>
        <v>5081.0724385335243</v>
      </c>
      <c r="K38" s="14">
        <f>IF(K6=0,0,K6/TrAvia_act!K24*1000000)</f>
        <v>4597.087335753029</v>
      </c>
      <c r="L38" s="14">
        <f>IF(L6=0,0,L6/TrAvia_act!L24*1000000)</f>
        <v>4810.2808539614753</v>
      </c>
      <c r="M38" s="14">
        <f>IF(M6=0,0,M6/TrAvia_act!M24*1000000)</f>
        <v>4654.6170532514288</v>
      </c>
      <c r="N38" s="14">
        <f>IF(N6=0,0,N6/TrAvia_act!N24*1000000)</f>
        <v>4304.1238802342868</v>
      </c>
      <c r="O38" s="14">
        <f>IF(O6=0,0,O6/TrAvia_act!O24*1000000)</f>
        <v>4421.5401127673631</v>
      </c>
      <c r="P38" s="14">
        <f>IF(P6=0,0,P6/TrAvia_act!P24*1000000)</f>
        <v>4476.1106850961487</v>
      </c>
      <c r="Q38" s="14">
        <f>IF(Q6=0,0,Q6/TrAvia_act!Q24*1000000)</f>
        <v>4274.3276703414931</v>
      </c>
      <c r="R38" s="14">
        <f>IF(R6=0,0,R6/TrAvia_act!R24*1000000)</f>
        <v>4376.9869117870958</v>
      </c>
      <c r="S38" s="14">
        <f>IF(S6=0,0,S6/TrAvia_act!S24*1000000)</f>
        <v>4723.4998021225583</v>
      </c>
      <c r="T38" s="14">
        <f>IF(T6=0,0,T6/TrAvia_act!T24*1000000)</f>
        <v>5178.9826896451805</v>
      </c>
      <c r="U38" s="14">
        <f>IF(U6=0,0,U6/TrAvia_act!U24*1000000)</f>
        <v>4869.8598379746099</v>
      </c>
      <c r="V38" s="14">
        <f>IF(V6=0,0,V6/TrAvia_act!V24*1000000)</f>
        <v>5243.1457301081218</v>
      </c>
      <c r="W38" s="14">
        <f>IF(W6=0,0,W6/TrAvia_act!W24*1000000)</f>
        <v>5926.4487362180989</v>
      </c>
      <c r="X38" s="14">
        <f>IF(X6=0,0,X6/TrAvia_act!X24*1000000)</f>
        <v>5882.5352319990689</v>
      </c>
      <c r="Y38" s="14">
        <f>IF(Y6=0,0,Y6/TrAvia_act!Y24*1000000)</f>
        <v>6180.6977987754908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5267.5421633891283</v>
      </c>
      <c r="C40" s="87">
        <f>IF(C8=0,0,C8/TrAvia_act!C26*1000000)</f>
        <v>5248.2047009470007</v>
      </c>
      <c r="D40" s="87">
        <f>IF(D8=0,0,D8/TrAvia_act!D26*1000000)</f>
        <v>5049.4457893406188</v>
      </c>
      <c r="E40" s="87">
        <f>IF(E8=0,0,E8/TrAvia_act!E26*1000000)</f>
        <v>4249.3334906555829</v>
      </c>
      <c r="F40" s="87">
        <f>IF(F8=0,0,F8/TrAvia_act!F26*1000000)</f>
        <v>3766.3574902123964</v>
      </c>
      <c r="G40" s="87">
        <f>IF(G8=0,0,G8/TrAvia_act!G26*1000000)</f>
        <v>3857.7744752512804</v>
      </c>
      <c r="H40" s="87">
        <f>IF(H8=0,0,H8/TrAvia_act!H26*1000000)</f>
        <v>3891.6107517430996</v>
      </c>
      <c r="I40" s="87">
        <f>IF(I8=0,0,I8/TrAvia_act!I26*1000000)</f>
        <v>3648.1063766412963</v>
      </c>
      <c r="J40" s="87">
        <f>IF(J8=0,0,J8/TrAvia_act!J26*1000000)</f>
        <v>4300.4088169487604</v>
      </c>
      <c r="K40" s="87">
        <f>IF(K8=0,0,K8/TrAvia_act!K26*1000000)</f>
        <v>3755.2288933231744</v>
      </c>
      <c r="L40" s="87">
        <f>IF(L8=0,0,L8/TrAvia_act!L26*1000000)</f>
        <v>3996.4338752522881</v>
      </c>
      <c r="M40" s="87">
        <f>IF(M8=0,0,M8/TrAvia_act!M26*1000000)</f>
        <v>3878.2183396241276</v>
      </c>
      <c r="N40" s="87">
        <f>IF(N8=0,0,N8/TrAvia_act!N26*1000000)</f>
        <v>3290.649517924373</v>
      </c>
      <c r="O40" s="87">
        <f>IF(O8=0,0,O8/TrAvia_act!O26*1000000)</f>
        <v>3428.3571185821065</v>
      </c>
      <c r="P40" s="87">
        <f>IF(P8=0,0,P8/TrAvia_act!P26*1000000)</f>
        <v>3673.6201060440148</v>
      </c>
      <c r="Q40" s="87">
        <f>IF(Q8=0,0,Q8/TrAvia_act!Q26*1000000)</f>
        <v>3547.4594894822058</v>
      </c>
      <c r="R40" s="87">
        <f>IF(R8=0,0,R8/TrAvia_act!R26*1000000)</f>
        <v>3620.7755228914857</v>
      </c>
      <c r="S40" s="87">
        <f>IF(S8=0,0,S8/TrAvia_act!S26*1000000)</f>
        <v>4042.3743843232178</v>
      </c>
      <c r="T40" s="87">
        <f>IF(T8=0,0,T8/TrAvia_act!T26*1000000)</f>
        <v>4611.7557963001454</v>
      </c>
      <c r="U40" s="87">
        <f>IF(U8=0,0,U8/TrAvia_act!U26*1000000)</f>
        <v>4325.8716733802521</v>
      </c>
      <c r="V40" s="87">
        <f>IF(V8=0,0,V8/TrAvia_act!V26*1000000)</f>
        <v>3961.9601957803743</v>
      </c>
      <c r="W40" s="87">
        <f>IF(W8=0,0,W8/TrAvia_act!W26*1000000)</f>
        <v>4814.7192446234994</v>
      </c>
      <c r="X40" s="87">
        <f>IF(X8=0,0,X8/TrAvia_act!X26*1000000)</f>
        <v>5049.2343484784124</v>
      </c>
      <c r="Y40" s="87">
        <f>IF(Y8=0,0,Y8/TrAvia_act!Y26*1000000)</f>
        <v>5496.5888169697082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11376.726877371109</v>
      </c>
      <c r="C41" s="87">
        <f>IF(C9=0,0,C9/TrAvia_act!C27*1000000)</f>
        <v>11334.937578157551</v>
      </c>
      <c r="D41" s="87">
        <f>IF(D9=0,0,D9/TrAvia_act!D27*1000000)</f>
        <v>10973.855372729638</v>
      </c>
      <c r="E41" s="87">
        <f>IF(E9=0,0,E9/TrAvia_act!E27*1000000)</f>
        <v>9318.8947692984111</v>
      </c>
      <c r="F41" s="87">
        <f>IF(F9=0,0,F9/TrAvia_act!F27*1000000)</f>
        <v>8038.8441156667504</v>
      </c>
      <c r="G41" s="87">
        <f>IF(G9=0,0,G9/TrAvia_act!G27*1000000)</f>
        <v>9206.92547340483</v>
      </c>
      <c r="H41" s="87">
        <f>IF(H9=0,0,H9/TrAvia_act!H27*1000000)</f>
        <v>9127.759153215884</v>
      </c>
      <c r="I41" s="87">
        <f>IF(I9=0,0,I9/TrAvia_act!I27*1000000)</f>
        <v>7955.8871681424562</v>
      </c>
      <c r="J41" s="87">
        <f>IF(J9=0,0,J9/TrAvia_act!J27*1000000)</f>
        <v>8915.6928541608922</v>
      </c>
      <c r="K41" s="87">
        <f>IF(K9=0,0,K9/TrAvia_act!K27*1000000)</f>
        <v>9099.4116687275127</v>
      </c>
      <c r="L41" s="87">
        <f>IF(L9=0,0,L9/TrAvia_act!L27*1000000)</f>
        <v>8592.385200574241</v>
      </c>
      <c r="M41" s="87">
        <f>IF(M9=0,0,M9/TrAvia_act!M27*1000000)</f>
        <v>8171.6839778743606</v>
      </c>
      <c r="N41" s="87">
        <f>IF(N9=0,0,N9/TrAvia_act!N27*1000000)</f>
        <v>12655.765953246919</v>
      </c>
      <c r="O41" s="87">
        <f>IF(O9=0,0,O9/TrAvia_act!O27*1000000)</f>
        <v>11892.106024870242</v>
      </c>
      <c r="P41" s="87">
        <f>IF(P9=0,0,P9/TrAvia_act!P27*1000000)</f>
        <v>8654.6007053075391</v>
      </c>
      <c r="Q41" s="87">
        <f>IF(Q9=0,0,Q9/TrAvia_act!Q27*1000000)</f>
        <v>7999.9434974406049</v>
      </c>
      <c r="R41" s="87">
        <f>IF(R9=0,0,R9/TrAvia_act!R27*1000000)</f>
        <v>9099.6571977699186</v>
      </c>
      <c r="S41" s="87">
        <f>IF(S9=0,0,S9/TrAvia_act!S27*1000000)</f>
        <v>8361.125941723405</v>
      </c>
      <c r="T41" s="87">
        <f>IF(T9=0,0,T9/TrAvia_act!T27*1000000)</f>
        <v>7600.8419971805724</v>
      </c>
      <c r="U41" s="87">
        <f>IF(U9=0,0,U9/TrAvia_act!U27*1000000)</f>
        <v>7228.5801913120677</v>
      </c>
      <c r="V41" s="87">
        <f>IF(V9=0,0,V9/TrAvia_act!V27*1000000)</f>
        <v>12669.936476745135</v>
      </c>
      <c r="W41" s="87">
        <f>IF(W9=0,0,W9/TrAvia_act!W27*1000000)</f>
        <v>11035.70785514085</v>
      </c>
      <c r="X41" s="87">
        <f>IF(X9=0,0,X9/TrAvia_act!X27*1000000)</f>
        <v>10507.055948521525</v>
      </c>
      <c r="Y41" s="87">
        <f>IF(Y9=0,0,Y9/TrAvia_act!Y27*1000000)</f>
        <v>9055.3498073913706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4862.1584955001681</v>
      </c>
      <c r="C42" s="15">
        <f>IF(C10=0,0,C10/TrAvia_act!C28*1000000)</f>
        <v>4819.8637572747075</v>
      </c>
      <c r="D42" s="15">
        <f>IF(D10=0,0,D10/TrAvia_act!D28*1000000)</f>
        <v>4781.4067263782754</v>
      </c>
      <c r="E42" s="15">
        <f>IF(E10=0,0,E10/TrAvia_act!E28*1000000)</f>
        <v>4069.5071899248665</v>
      </c>
      <c r="F42" s="15">
        <f>IF(F10=0,0,F10/TrAvia_act!F28*1000000)</f>
        <v>3407.271350662706</v>
      </c>
      <c r="G42" s="15">
        <f>IF(G10=0,0,G10/TrAvia_act!G28*1000000)</f>
        <v>3299.2112219738715</v>
      </c>
      <c r="H42" s="15">
        <f>IF(H10=0,0,H10/TrAvia_act!H28*1000000)</f>
        <v>3529.0074468187977</v>
      </c>
      <c r="I42" s="15">
        <f>IF(I10=0,0,I10/TrAvia_act!I28*1000000)</f>
        <v>3026.3002992880774</v>
      </c>
      <c r="J42" s="15">
        <f>IF(J10=0,0,J10/TrAvia_act!J28*1000000)</f>
        <v>3637.6244727146382</v>
      </c>
      <c r="K42" s="15">
        <f>IF(K10=0,0,K10/TrAvia_act!K28*1000000)</f>
        <v>3534.6792894678342</v>
      </c>
      <c r="L42" s="15">
        <f>IF(L10=0,0,L10/TrAvia_act!L28*1000000)</f>
        <v>3659.9431720882721</v>
      </c>
      <c r="M42" s="15">
        <f>IF(M10=0,0,M10/TrAvia_act!M28*1000000)</f>
        <v>3049.445761034217</v>
      </c>
      <c r="N42" s="15">
        <f>IF(N10=0,0,N10/TrAvia_act!N28*1000000)</f>
        <v>2721.1891404817075</v>
      </c>
      <c r="O42" s="15">
        <f>IF(O10=0,0,O10/TrAvia_act!O28*1000000)</f>
        <v>2826.1420933703166</v>
      </c>
      <c r="P42" s="15">
        <f>IF(P10=0,0,P10/TrAvia_act!P28*1000000)</f>
        <v>2761.7583243167824</v>
      </c>
      <c r="Q42" s="15">
        <f>IF(Q10=0,0,Q10/TrAvia_act!Q28*1000000)</f>
        <v>2594.6481204657293</v>
      </c>
      <c r="R42" s="15">
        <f>IF(R10=0,0,R10/TrAvia_act!R28*1000000)</f>
        <v>2638.7440968016854</v>
      </c>
      <c r="S42" s="15">
        <f>IF(S10=0,0,S10/TrAvia_act!S28*1000000)</f>
        <v>2805.4282465315391</v>
      </c>
      <c r="T42" s="15">
        <f>IF(T10=0,0,T10/TrAvia_act!T28*1000000)</f>
        <v>2987.2230246805366</v>
      </c>
      <c r="U42" s="15">
        <f>IF(U10=0,0,U10/TrAvia_act!U28*1000000)</f>
        <v>2957.3553179484775</v>
      </c>
      <c r="V42" s="15">
        <f>IF(V10=0,0,V10/TrAvia_act!V28*1000000)</f>
        <v>3580.0061013373602</v>
      </c>
      <c r="W42" s="15">
        <f>IF(W10=0,0,W10/TrAvia_act!W28*1000000)</f>
        <v>4588.6278992659081</v>
      </c>
      <c r="X42" s="15">
        <f>IF(X10=0,0,X10/TrAvia_act!X28*1000000)</f>
        <v>5916.4997536155215</v>
      </c>
      <c r="Y42" s="15">
        <f>IF(Y10=0,0,Y10/TrAvia_act!Y28*1000000)</f>
        <v>4475.8307701759331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4760.4660375036819</v>
      </c>
      <c r="C44" s="101">
        <f>IF(C12=0,0,C12/TrAvia_act!C30*1000000)</f>
        <v>4729.0904630415471</v>
      </c>
      <c r="D44" s="101">
        <f>IF(D12=0,0,D12/TrAvia_act!D30*1000000)</f>
        <v>4758.1408957063641</v>
      </c>
      <c r="E44" s="101">
        <f>IF(E12=0,0,E12/TrAvia_act!E30*1000000)</f>
        <v>4045.6053234246619</v>
      </c>
      <c r="F44" s="101">
        <f>IF(F12=0,0,F12/TrAvia_act!F30*1000000)</f>
        <v>3382.9615760585866</v>
      </c>
      <c r="G44" s="101">
        <f>IF(G12=0,0,G12/TrAvia_act!G30*1000000)</f>
        <v>3223.8013274014234</v>
      </c>
      <c r="H44" s="101">
        <f>IF(H12=0,0,H12/TrAvia_act!H30*1000000)</f>
        <v>3023.7935112641526</v>
      </c>
      <c r="I44" s="101">
        <f>IF(I12=0,0,I12/TrAvia_act!I30*1000000)</f>
        <v>2826.2156393805749</v>
      </c>
      <c r="J44" s="101">
        <f>IF(J12=0,0,J12/TrAvia_act!J30*1000000)</f>
        <v>3266.8226278933489</v>
      </c>
      <c r="K44" s="101">
        <f>IF(K12=0,0,K12/TrAvia_act!K30*1000000)</f>
        <v>3055.716992012723</v>
      </c>
      <c r="L44" s="101">
        <f>IF(L12=0,0,L12/TrAvia_act!L30*1000000)</f>
        <v>3135.1634345365992</v>
      </c>
      <c r="M44" s="101">
        <f>IF(M12=0,0,M12/TrAvia_act!M30*1000000)</f>
        <v>2911.5661904955628</v>
      </c>
      <c r="N44" s="101">
        <f>IF(N12=0,0,N12/TrAvia_act!N30*1000000)</f>
        <v>2458.1676272612949</v>
      </c>
      <c r="O44" s="101">
        <f>IF(O12=0,0,O12/TrAvia_act!O30*1000000)</f>
        <v>2589.7362678944787</v>
      </c>
      <c r="P44" s="101">
        <f>IF(P12=0,0,P12/TrAvia_act!P30*1000000)</f>
        <v>2721.9011613704001</v>
      </c>
      <c r="Q44" s="101">
        <f>IF(Q12=0,0,Q12/TrAvia_act!Q30*1000000)</f>
        <v>2578.5517261847012</v>
      </c>
      <c r="R44" s="101">
        <f>IF(R12=0,0,R12/TrAvia_act!R30*1000000)</f>
        <v>2588.0010885536931</v>
      </c>
      <c r="S44" s="101">
        <f>IF(S12=0,0,S12/TrAvia_act!S30*1000000)</f>
        <v>2857.4557373880943</v>
      </c>
      <c r="T44" s="101">
        <f>IF(T12=0,0,T12/TrAvia_act!T30*1000000)</f>
        <v>3173.3719418434112</v>
      </c>
      <c r="U44" s="101">
        <f>IF(U12=0,0,U12/TrAvia_act!U30*1000000)</f>
        <v>2938.7255892428684</v>
      </c>
      <c r="V44" s="101">
        <f>IF(V12=0,0,V12/TrAvia_act!V30*1000000)</f>
        <v>3130.1589892178858</v>
      </c>
      <c r="W44" s="101">
        <f>IF(W12=0,0,W12/TrAvia_act!W30*1000000)</f>
        <v>3611.5009002975653</v>
      </c>
      <c r="X44" s="101">
        <f>IF(X12=0,0,X12/TrAvia_act!X30*1000000)</f>
        <v>3743.2991421005058</v>
      </c>
      <c r="Y44" s="101">
        <f>IF(Y12=0,0,Y12/TrAvia_act!Y30*1000000)</f>
        <v>3726.554352057381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5199.0427616383076</v>
      </c>
      <c r="C45" s="88">
        <f>IF(C13=0,0,C13/TrAvia_act!C31*1000000)</f>
        <v>5179.9454979057728</v>
      </c>
      <c r="D45" s="88">
        <f>IF(D13=0,0,D13/TrAvia_act!D31*1000000)</f>
        <v>5014.9347837767027</v>
      </c>
      <c r="E45" s="88">
        <f>IF(E13=0,0,E13/TrAvia_act!E31*1000000)</f>
        <v>4258.6354510415649</v>
      </c>
      <c r="F45" s="88">
        <f>IF(F13=0,0,F13/TrAvia_act!F31*1000000)</f>
        <v>3673.6659640328467</v>
      </c>
      <c r="G45" s="88">
        <f>IF(G13=0,0,G13/TrAvia_act!G31*1000000)</f>
        <v>4207.4666778420287</v>
      </c>
      <c r="H45" s="88">
        <f>IF(H13=0,0,H13/TrAvia_act!H31*1000000)</f>
        <v>4486.440849163615</v>
      </c>
      <c r="I45" s="88">
        <f>IF(I13=0,0,I13/TrAvia_act!I31*1000000)</f>
        <v>4206.8946195953786</v>
      </c>
      <c r="J45" s="88">
        <f>IF(J13=0,0,J13/TrAvia_act!J31*1000000)</f>
        <v>5073.1353491389646</v>
      </c>
      <c r="K45" s="88">
        <f>IF(K13=0,0,K13/TrAvia_act!K31*1000000)</f>
        <v>5573.2183288826909</v>
      </c>
      <c r="L45" s="88">
        <f>IF(L13=0,0,L13/TrAvia_act!L31*1000000)</f>
        <v>5666.4539333152579</v>
      </c>
      <c r="M45" s="88">
        <f>IF(M13=0,0,M13/TrAvia_act!M31*1000000)</f>
        <v>4273.0064254646504</v>
      </c>
      <c r="N45" s="88">
        <f>IF(N13=0,0,N13/TrAvia_act!N31*1000000)</f>
        <v>5235.9314132232148</v>
      </c>
      <c r="O45" s="88">
        <f>IF(O13=0,0,O13/TrAvia_act!O31*1000000)</f>
        <v>4616.5021347128077</v>
      </c>
      <c r="P45" s="88">
        <f>IF(P13=0,0,P13/TrAvia_act!P31*1000000)</f>
        <v>3155.5763471906662</v>
      </c>
      <c r="Q45" s="88">
        <f>IF(Q13=0,0,Q13/TrAvia_act!Q31*1000000)</f>
        <v>2742.1984013751503</v>
      </c>
      <c r="R45" s="88">
        <f>IF(R13=0,0,R13/TrAvia_act!R31*1000000)</f>
        <v>2934.9230238912842</v>
      </c>
      <c r="S45" s="88">
        <f>IF(S13=0,0,S13/TrAvia_act!S31*1000000)</f>
        <v>2539.5345592178242</v>
      </c>
      <c r="T45" s="88">
        <f>IF(T13=0,0,T13/TrAvia_act!T31*1000000)</f>
        <v>2175.7399485061051</v>
      </c>
      <c r="U45" s="88">
        <f>IF(U13=0,0,U13/TrAvia_act!U31*1000000)</f>
        <v>3025.8487759618379</v>
      </c>
      <c r="V45" s="88">
        <f>IF(V13=0,0,V13/TrAvia_act!V31*1000000)</f>
        <v>5346.4057615931624</v>
      </c>
      <c r="W45" s="88">
        <f>IF(W13=0,0,W13/TrAvia_act!W31*1000000)</f>
        <v>7782.8223648589737</v>
      </c>
      <c r="X45" s="88">
        <f>IF(X13=0,0,X13/TrAvia_act!X31*1000000)</f>
        <v>12175.485654091068</v>
      </c>
      <c r="Y45" s="88">
        <f>IF(Y13=0,0,Y13/TrAvia_act!Y31*1000000)</f>
        <v>6632.8386405172205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0.98018080255228168</v>
      </c>
      <c r="C48" s="16">
        <f t="shared" si="36"/>
        <v>0.97759177229536887</v>
      </c>
      <c r="D48" s="16">
        <f t="shared" ref="D48:V48" si="37">IF(D6=0,0,D6/D$3)</f>
        <v>0.97346137844331593</v>
      </c>
      <c r="E48" s="16">
        <f t="shared" si="37"/>
        <v>0.9780880949340427</v>
      </c>
      <c r="F48" s="16">
        <f t="shared" si="37"/>
        <v>0.98266448074843471</v>
      </c>
      <c r="G48" s="16">
        <f t="shared" si="37"/>
        <v>0.98133736205971511</v>
      </c>
      <c r="H48" s="16">
        <f t="shared" si="37"/>
        <v>0.97793307060377654</v>
      </c>
      <c r="I48" s="16">
        <f t="shared" si="37"/>
        <v>0.98184939915627067</v>
      </c>
      <c r="J48" s="16">
        <f t="shared" si="37"/>
        <v>0.98417416435631722</v>
      </c>
      <c r="K48" s="16">
        <f t="shared" si="37"/>
        <v>0.9836536957635682</v>
      </c>
      <c r="L48" s="16">
        <f t="shared" si="37"/>
        <v>0.98171000365056271</v>
      </c>
      <c r="M48" s="16">
        <f t="shared" si="37"/>
        <v>0.98149800889633909</v>
      </c>
      <c r="N48" s="16">
        <f t="shared" si="37"/>
        <v>0.97877280338579686</v>
      </c>
      <c r="O48" s="16">
        <f t="shared" si="37"/>
        <v>0.97659239586943003</v>
      </c>
      <c r="P48" s="16">
        <f t="shared" si="37"/>
        <v>0.98081418802125431</v>
      </c>
      <c r="Q48" s="16">
        <f t="shared" si="37"/>
        <v>0.98097627417973032</v>
      </c>
      <c r="R48" s="16">
        <f t="shared" si="37"/>
        <v>0.98217257944599057</v>
      </c>
      <c r="S48" s="16">
        <f t="shared" si="37"/>
        <v>0.98197507063067102</v>
      </c>
      <c r="T48" s="16">
        <f t="shared" si="37"/>
        <v>0.98290527892160606</v>
      </c>
      <c r="U48" s="16">
        <f t="shared" si="37"/>
        <v>0.98500027453126249</v>
      </c>
      <c r="V48" s="16">
        <f t="shared" si="37"/>
        <v>0.94781978267431688</v>
      </c>
      <c r="W48" s="16">
        <f t="shared" ref="W48:Y48" si="38">IF(W6=0,0,W6/W$3)</f>
        <v>0.9307975558077678</v>
      </c>
      <c r="X48" s="16">
        <f t="shared" si="38"/>
        <v>0.95411935440253237</v>
      </c>
      <c r="Y48" s="16">
        <f t="shared" si="38"/>
        <v>0.97124578958212326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0.64476293991656142</v>
      </c>
      <c r="C50" s="103">
        <f t="shared" si="42"/>
        <v>0.64305172009158362</v>
      </c>
      <c r="D50" s="103">
        <f t="shared" ref="D50:V50" si="43">IF(D8=0,0,D8/D$3)</f>
        <v>0.6384357549616626</v>
      </c>
      <c r="E50" s="103">
        <f t="shared" si="43"/>
        <v>0.62153364559645918</v>
      </c>
      <c r="F50" s="103">
        <f t="shared" si="43"/>
        <v>0.67242270858843167</v>
      </c>
      <c r="G50" s="103">
        <f t="shared" si="43"/>
        <v>0.68867443258043837</v>
      </c>
      <c r="H50" s="103">
        <f t="shared" si="43"/>
        <v>0.68490159567875708</v>
      </c>
      <c r="I50" s="103">
        <f t="shared" si="43"/>
        <v>0.68732521114567491</v>
      </c>
      <c r="J50" s="103">
        <f t="shared" si="43"/>
        <v>0.69207038209678895</v>
      </c>
      <c r="K50" s="103">
        <f t="shared" si="43"/>
        <v>0.67694184580320937</v>
      </c>
      <c r="L50" s="103">
        <f t="shared" si="43"/>
        <v>0.67118694448712801</v>
      </c>
      <c r="M50" s="103">
        <f t="shared" si="43"/>
        <v>0.66990059458308426</v>
      </c>
      <c r="N50" s="103">
        <f t="shared" si="43"/>
        <v>0.66732508685394043</v>
      </c>
      <c r="O50" s="103">
        <f t="shared" si="43"/>
        <v>0.6683693941722646</v>
      </c>
      <c r="P50" s="103">
        <f t="shared" si="43"/>
        <v>0.67528123995586331</v>
      </c>
      <c r="Q50" s="103">
        <f t="shared" si="43"/>
        <v>0.68124580008138724</v>
      </c>
      <c r="R50" s="103">
        <f t="shared" si="43"/>
        <v>0.7003415015691683</v>
      </c>
      <c r="S50" s="103">
        <f t="shared" si="43"/>
        <v>0.70783646962039215</v>
      </c>
      <c r="T50" s="103">
        <f t="shared" si="43"/>
        <v>0.70915959113519877</v>
      </c>
      <c r="U50" s="103">
        <f t="shared" si="43"/>
        <v>0.71099500393793202</v>
      </c>
      <c r="V50" s="103">
        <f t="shared" si="43"/>
        <v>0.61084060463661505</v>
      </c>
      <c r="W50" s="103">
        <f t="shared" ref="W50:Y50" si="44">IF(W8=0,0,W8/W$3)</f>
        <v>0.6210551854714168</v>
      </c>
      <c r="X50" s="103">
        <f t="shared" si="44"/>
        <v>0.69392269286656261</v>
      </c>
      <c r="Y50" s="103">
        <f t="shared" si="44"/>
        <v>0.69770421512691827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0.33541786263572032</v>
      </c>
      <c r="C51" s="103">
        <f t="shared" si="45"/>
        <v>0.33454005220378541</v>
      </c>
      <c r="D51" s="103">
        <f t="shared" ref="D51:V51" si="46">IF(D9=0,0,D9/D$3)</f>
        <v>0.33502562348165338</v>
      </c>
      <c r="E51" s="103">
        <f t="shared" si="46"/>
        <v>0.35655444933758351</v>
      </c>
      <c r="F51" s="103">
        <f t="shared" si="46"/>
        <v>0.31024177216000315</v>
      </c>
      <c r="G51" s="103">
        <f t="shared" si="46"/>
        <v>0.29266292947927675</v>
      </c>
      <c r="H51" s="103">
        <f t="shared" si="46"/>
        <v>0.29303147492501946</v>
      </c>
      <c r="I51" s="103">
        <f t="shared" si="46"/>
        <v>0.29452418801059577</v>
      </c>
      <c r="J51" s="103">
        <f t="shared" si="46"/>
        <v>0.29210378225952832</v>
      </c>
      <c r="K51" s="103">
        <f t="shared" si="46"/>
        <v>0.30671184996035883</v>
      </c>
      <c r="L51" s="103">
        <f t="shared" si="46"/>
        <v>0.3105230591634347</v>
      </c>
      <c r="M51" s="103">
        <f t="shared" si="46"/>
        <v>0.31159741431325488</v>
      </c>
      <c r="N51" s="103">
        <f t="shared" si="46"/>
        <v>0.31144771653185632</v>
      </c>
      <c r="O51" s="103">
        <f t="shared" si="46"/>
        <v>0.30822300169716549</v>
      </c>
      <c r="P51" s="103">
        <f t="shared" si="46"/>
        <v>0.30553294806539105</v>
      </c>
      <c r="Q51" s="103">
        <f t="shared" si="46"/>
        <v>0.29973047409834302</v>
      </c>
      <c r="R51" s="103">
        <f t="shared" si="46"/>
        <v>0.28183107787682221</v>
      </c>
      <c r="S51" s="103">
        <f t="shared" si="46"/>
        <v>0.27413860101027887</v>
      </c>
      <c r="T51" s="103">
        <f t="shared" si="46"/>
        <v>0.27374568778640729</v>
      </c>
      <c r="U51" s="103">
        <f t="shared" si="46"/>
        <v>0.27400527059333041</v>
      </c>
      <c r="V51" s="103">
        <f t="shared" si="46"/>
        <v>0.33697917803770178</v>
      </c>
      <c r="W51" s="103">
        <f t="shared" ref="W51:Y51" si="47">IF(W9=0,0,W9/W$3)</f>
        <v>0.30974237033635105</v>
      </c>
      <c r="X51" s="103">
        <f t="shared" si="47"/>
        <v>0.26019666153596982</v>
      </c>
      <c r="Y51" s="103">
        <f t="shared" si="47"/>
        <v>0.27354157445520499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1.9819197447718422E-2</v>
      </c>
      <c r="C52" s="17">
        <f t="shared" si="48"/>
        <v>2.2408227704631196E-2</v>
      </c>
      <c r="D52" s="17">
        <f t="shared" ref="D52:V52" si="49">IF(D10=0,0,D10/D$3)</f>
        <v>2.6538621556684024E-2</v>
      </c>
      <c r="E52" s="17">
        <f t="shared" si="49"/>
        <v>2.1911905065957329E-2</v>
      </c>
      <c r="F52" s="17">
        <f t="shared" si="49"/>
        <v>1.7335519251565137E-2</v>
      </c>
      <c r="G52" s="17">
        <f t="shared" si="49"/>
        <v>1.8662637940285016E-2</v>
      </c>
      <c r="H52" s="17">
        <f t="shared" si="49"/>
        <v>2.2066929396223484E-2</v>
      </c>
      <c r="I52" s="17">
        <f t="shared" si="49"/>
        <v>1.8150600843729311E-2</v>
      </c>
      <c r="J52" s="17">
        <f t="shared" si="49"/>
        <v>1.5825835643682826E-2</v>
      </c>
      <c r="K52" s="17">
        <f t="shared" si="49"/>
        <v>1.6346304236431755E-2</v>
      </c>
      <c r="L52" s="17">
        <f t="shared" si="49"/>
        <v>1.8289996349437194E-2</v>
      </c>
      <c r="M52" s="17">
        <f t="shared" si="49"/>
        <v>1.8501991103660943E-2</v>
      </c>
      <c r="N52" s="17">
        <f t="shared" si="49"/>
        <v>2.1227196614203244E-2</v>
      </c>
      <c r="O52" s="17">
        <f t="shared" si="49"/>
        <v>2.340760413056988E-2</v>
      </c>
      <c r="P52" s="17">
        <f t="shared" si="49"/>
        <v>1.9185811978745786E-2</v>
      </c>
      <c r="Q52" s="17">
        <f t="shared" si="49"/>
        <v>1.902372582026968E-2</v>
      </c>
      <c r="R52" s="17">
        <f t="shared" si="49"/>
        <v>1.7827420554009481E-2</v>
      </c>
      <c r="S52" s="17">
        <f t="shared" si="49"/>
        <v>1.8024929369329031E-2</v>
      </c>
      <c r="T52" s="17">
        <f t="shared" si="49"/>
        <v>1.7094721078394031E-2</v>
      </c>
      <c r="U52" s="17">
        <f t="shared" si="49"/>
        <v>1.4999725468737582E-2</v>
      </c>
      <c r="V52" s="17">
        <f t="shared" si="49"/>
        <v>5.2180217325683252E-2</v>
      </c>
      <c r="W52" s="17">
        <f t="shared" ref="W52:Y52" si="50">IF(W10=0,0,W10/W$3)</f>
        <v>6.9202444192232232E-2</v>
      </c>
      <c r="X52" s="17">
        <f t="shared" si="50"/>
        <v>4.5880645597467531E-2</v>
      </c>
      <c r="Y52" s="17">
        <f t="shared" si="50"/>
        <v>2.8754210417876732E-2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1.4905329204824465E-2</v>
      </c>
      <c r="C54" s="104">
        <f t="shared" si="54"/>
        <v>1.7559596975024128E-2</v>
      </c>
      <c r="D54" s="104">
        <f t="shared" ref="D54:V54" si="55">IF(D12=0,0,D12/D$3)</f>
        <v>2.4016756506266172E-2</v>
      </c>
      <c r="E54" s="104">
        <f t="shared" si="55"/>
        <v>1.9339143309333E-2</v>
      </c>
      <c r="F54" s="104">
        <f t="shared" si="55"/>
        <v>1.5772518659177767E-2</v>
      </c>
      <c r="G54" s="104">
        <f t="shared" si="55"/>
        <v>1.6838051029427661E-2</v>
      </c>
      <c r="H54" s="104">
        <f t="shared" si="55"/>
        <v>1.2376858082151386E-2</v>
      </c>
      <c r="I54" s="104">
        <f t="shared" si="55"/>
        <v>1.4494133500393018E-2</v>
      </c>
      <c r="J54" s="104">
        <f t="shared" si="55"/>
        <v>1.1295043037981909E-2</v>
      </c>
      <c r="K54" s="104">
        <f t="shared" si="55"/>
        <v>1.1442792290476537E-2</v>
      </c>
      <c r="L54" s="104">
        <f t="shared" si="55"/>
        <v>1.2419352852257107E-2</v>
      </c>
      <c r="M54" s="104">
        <f t="shared" si="55"/>
        <v>1.5876367661267935E-2</v>
      </c>
      <c r="N54" s="104">
        <f t="shared" si="55"/>
        <v>1.7359754494674341E-2</v>
      </c>
      <c r="O54" s="104">
        <f t="shared" si="55"/>
        <v>1.8947647827504556E-2</v>
      </c>
      <c r="P54" s="104">
        <f t="shared" si="55"/>
        <v>1.717109051410555E-2</v>
      </c>
      <c r="Q54" s="104">
        <f t="shared" si="55"/>
        <v>1.7046130624040298E-2</v>
      </c>
      <c r="R54" s="104">
        <f t="shared" si="55"/>
        <v>1.4927190824430531E-2</v>
      </c>
      <c r="S54" s="104">
        <f t="shared" si="55"/>
        <v>1.5354740655715364E-2</v>
      </c>
      <c r="T54" s="104">
        <f t="shared" si="55"/>
        <v>1.4771494845131353E-2</v>
      </c>
      <c r="U54" s="104">
        <f t="shared" si="55"/>
        <v>1.1718018485950032E-2</v>
      </c>
      <c r="V54" s="104">
        <f t="shared" si="55"/>
        <v>3.6362971891913697E-2</v>
      </c>
      <c r="W54" s="104">
        <f t="shared" ref="W54:Y54" si="56">IF(W12=0,0,W12/W$3)</f>
        <v>4.1707485986003892E-2</v>
      </c>
      <c r="X54" s="104">
        <f t="shared" si="56"/>
        <v>2.1546809568011409E-2</v>
      </c>
      <c r="Y54" s="104">
        <f t="shared" si="56"/>
        <v>1.7768422989688077E-2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4.9138682428939593E-3</v>
      </c>
      <c r="C55" s="105">
        <f t="shared" si="57"/>
        <v>4.8486307296070688E-3</v>
      </c>
      <c r="D55" s="105">
        <f t="shared" ref="D55:V55" si="58">IF(D13=0,0,D13/D$3)</f>
        <v>2.5218650504178508E-3</v>
      </c>
      <c r="E55" s="105">
        <f t="shared" si="58"/>
        <v>2.5727617566243259E-3</v>
      </c>
      <c r="F55" s="105">
        <f t="shared" si="58"/>
        <v>1.5630005923873717E-3</v>
      </c>
      <c r="G55" s="105">
        <f t="shared" si="58"/>
        <v>1.8245869108573561E-3</v>
      </c>
      <c r="H55" s="105">
        <f t="shared" si="58"/>
        <v>9.6900713140720979E-3</v>
      </c>
      <c r="I55" s="105">
        <f t="shared" si="58"/>
        <v>3.6564673433362926E-3</v>
      </c>
      <c r="J55" s="105">
        <f t="shared" si="58"/>
        <v>4.5307926057009144E-3</v>
      </c>
      <c r="K55" s="105">
        <f t="shared" si="58"/>
        <v>4.903511945955218E-3</v>
      </c>
      <c r="L55" s="105">
        <f t="shared" si="58"/>
        <v>5.8706434971800871E-3</v>
      </c>
      <c r="M55" s="105">
        <f t="shared" si="58"/>
        <v>2.6256234423930064E-3</v>
      </c>
      <c r="N55" s="105">
        <f t="shared" si="58"/>
        <v>3.867442119528902E-3</v>
      </c>
      <c r="O55" s="105">
        <f t="shared" si="58"/>
        <v>4.4599563030653247E-3</v>
      </c>
      <c r="P55" s="105">
        <f t="shared" si="58"/>
        <v>2.0147214646402379E-3</v>
      </c>
      <c r="Q55" s="105">
        <f t="shared" si="58"/>
        <v>1.9775951962293838E-3</v>
      </c>
      <c r="R55" s="105">
        <f t="shared" si="58"/>
        <v>2.9002297295789526E-3</v>
      </c>
      <c r="S55" s="105">
        <f t="shared" si="58"/>
        <v>2.6701887136136655E-3</v>
      </c>
      <c r="T55" s="105">
        <f t="shared" si="58"/>
        <v>2.3232262332626751E-3</v>
      </c>
      <c r="U55" s="105">
        <f t="shared" si="58"/>
        <v>3.2817069827875481E-3</v>
      </c>
      <c r="V55" s="105">
        <f t="shared" si="58"/>
        <v>1.5817245433769559E-2</v>
      </c>
      <c r="W55" s="105">
        <f t="shared" ref="W55:Y55" si="59">IF(W13=0,0,W13/W$3)</f>
        <v>2.749495820622835E-2</v>
      </c>
      <c r="X55" s="105">
        <f t="shared" si="59"/>
        <v>2.4333836029456123E-2</v>
      </c>
      <c r="Y55" s="105">
        <f t="shared" si="59"/>
        <v>1.0985787428188653E-2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390.2741751673048</v>
      </c>
      <c r="C57" s="62">
        <v>390.26010529109845</v>
      </c>
      <c r="D57" s="62">
        <v>390.96551234386084</v>
      </c>
      <c r="E57" s="62">
        <v>393.94852473217867</v>
      </c>
      <c r="F57" s="62">
        <v>385.47043140655313</v>
      </c>
      <c r="G57" s="62">
        <v>373.23971518509802</v>
      </c>
      <c r="H57" s="62">
        <v>377.97999453878481</v>
      </c>
      <c r="I57" s="62">
        <v>381.67284183478546</v>
      </c>
      <c r="J57" s="62">
        <v>372.53764347996588</v>
      </c>
      <c r="K57" s="62">
        <v>363.88709783246162</v>
      </c>
      <c r="L57" s="62">
        <v>362.73108660273931</v>
      </c>
      <c r="M57" s="62">
        <v>355.3564838491634</v>
      </c>
      <c r="N57" s="62">
        <v>340.74001828705303</v>
      </c>
      <c r="O57" s="62">
        <v>346.25254359182662</v>
      </c>
      <c r="P57" s="62">
        <v>351.9106574574825</v>
      </c>
      <c r="Q57" s="62">
        <v>357.02721574388153</v>
      </c>
      <c r="R57" s="62">
        <v>361.58331493247766</v>
      </c>
      <c r="S57" s="62">
        <v>368.05532471671035</v>
      </c>
      <c r="T57" s="62">
        <v>384.86249169237948</v>
      </c>
      <c r="U57" s="62">
        <v>387.86744063556279</v>
      </c>
      <c r="V57" s="62">
        <v>384.24514066770837</v>
      </c>
      <c r="W57" s="62">
        <v>381.50118700277864</v>
      </c>
      <c r="X57" s="62">
        <v>386.58947740416016</v>
      </c>
      <c r="Y57" s="62">
        <v>423.39786037345669</v>
      </c>
      <c r="DA57" s="172" t="s">
        <v>314</v>
      </c>
    </row>
    <row r="58" spans="1:105" ht="11.45" customHeight="1" x14ac:dyDescent="0.25">
      <c r="A58" s="10" t="s">
        <v>33</v>
      </c>
      <c r="B58" s="14">
        <v>389.93015524563339</v>
      </c>
      <c r="C58" s="14">
        <v>389.93116154557526</v>
      </c>
      <c r="D58" s="14">
        <v>391.02227835686375</v>
      </c>
      <c r="E58" s="14">
        <v>394.02588621539007</v>
      </c>
      <c r="F58" s="14">
        <v>385.3763147722666</v>
      </c>
      <c r="G58" s="14">
        <v>373.04166976997277</v>
      </c>
      <c r="H58" s="14">
        <v>377.29567696084928</v>
      </c>
      <c r="I58" s="14">
        <v>381.31247340748166</v>
      </c>
      <c r="J58" s="14">
        <v>371.98090056904073</v>
      </c>
      <c r="K58" s="14">
        <v>363.18253520358877</v>
      </c>
      <c r="L58" s="14">
        <v>361.80219745770694</v>
      </c>
      <c r="M58" s="14">
        <v>354.31075313612087</v>
      </c>
      <c r="N58" s="14">
        <v>339.40415094838431</v>
      </c>
      <c r="O58" s="14">
        <v>344.87614161438745</v>
      </c>
      <c r="P58" s="14">
        <v>350.86867636037488</v>
      </c>
      <c r="Q58" s="14">
        <v>356.2497251931697</v>
      </c>
      <c r="R58" s="14">
        <v>361.02183840928427</v>
      </c>
      <c r="S58" s="14">
        <v>367.56795688470044</v>
      </c>
      <c r="T58" s="14">
        <v>384.77441961654654</v>
      </c>
      <c r="U58" s="14">
        <v>387.4681389759433</v>
      </c>
      <c r="V58" s="14">
        <v>381.68088285552619</v>
      </c>
      <c r="W58" s="14">
        <v>376.84621023143222</v>
      </c>
      <c r="X58" s="14">
        <v>381.26422693746275</v>
      </c>
      <c r="Y58" s="14">
        <v>421.46436577693669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341.23616673875324</v>
      </c>
      <c r="C60" s="87">
        <v>341.23579890203467</v>
      </c>
      <c r="D60" s="87">
        <v>342.37543780846062</v>
      </c>
      <c r="E60" s="87">
        <v>342.55320754691127</v>
      </c>
      <c r="F60" s="87">
        <v>340.1695911721385</v>
      </c>
      <c r="G60" s="87">
        <v>333.29617268872823</v>
      </c>
      <c r="H60" s="87">
        <v>335.17102084909658</v>
      </c>
      <c r="I60" s="87">
        <v>335.33056243057564</v>
      </c>
      <c r="J60" s="87">
        <v>334.519401881264</v>
      </c>
      <c r="K60" s="87">
        <v>335.91895270020194</v>
      </c>
      <c r="L60" s="87">
        <v>335.38751704645387</v>
      </c>
      <c r="M60" s="87">
        <v>335.24768306393997</v>
      </c>
      <c r="N60" s="87">
        <v>330.3945568006248</v>
      </c>
      <c r="O60" s="87">
        <v>332.64111527980896</v>
      </c>
      <c r="P60" s="87">
        <v>333.02295137704169</v>
      </c>
      <c r="Q60" s="87">
        <v>331.96966097656929</v>
      </c>
      <c r="R60" s="87">
        <v>331.41622540784817</v>
      </c>
      <c r="S60" s="87">
        <v>332.53477265553227</v>
      </c>
      <c r="T60" s="87">
        <v>333.38689137680791</v>
      </c>
      <c r="U60" s="87">
        <v>332.21437135177001</v>
      </c>
      <c r="V60" s="87">
        <v>330.90336806705517</v>
      </c>
      <c r="W60" s="87">
        <v>328.8406148785653</v>
      </c>
      <c r="X60" s="87">
        <v>328.63915515374646</v>
      </c>
      <c r="Y60" s="87">
        <v>330.51573187000764</v>
      </c>
      <c r="DA60" s="171" t="s">
        <v>317</v>
      </c>
    </row>
    <row r="61" spans="1:105" ht="11.45" customHeight="1" x14ac:dyDescent="0.25">
      <c r="A61" s="83" t="s">
        <v>182</v>
      </c>
      <c r="B61" s="87">
        <v>494.5298262399852</v>
      </c>
      <c r="C61" s="87">
        <v>494.52982623998508</v>
      </c>
      <c r="D61" s="87">
        <v>494.52982623998514</v>
      </c>
      <c r="E61" s="87">
        <v>494.52982623998514</v>
      </c>
      <c r="F61" s="87">
        <v>494.52982623998508</v>
      </c>
      <c r="G61" s="87">
        <v>495.71243195661003</v>
      </c>
      <c r="H61" s="87">
        <v>494.70876661700891</v>
      </c>
      <c r="I61" s="87">
        <v>494.23000438967227</v>
      </c>
      <c r="J61" s="87">
        <v>470.67040748943339</v>
      </c>
      <c r="K61" s="87">
        <v>450.21629739775364</v>
      </c>
      <c r="L61" s="87">
        <v>438.64137921930154</v>
      </c>
      <c r="M61" s="87">
        <v>406.92010636808504</v>
      </c>
      <c r="N61" s="87">
        <v>381.53256827461382</v>
      </c>
      <c r="O61" s="87">
        <v>395.98108499150158</v>
      </c>
      <c r="P61" s="87">
        <v>404.94277251231756</v>
      </c>
      <c r="Q61" s="87">
        <v>425.373136646055</v>
      </c>
      <c r="R61" s="87">
        <v>455.87102457452301</v>
      </c>
      <c r="S61" s="87">
        <v>465.62096338229316</v>
      </c>
      <c r="T61" s="87">
        <v>493.9009107431354</v>
      </c>
      <c r="U61" s="87">
        <v>503.95994536415327</v>
      </c>
      <c r="V61" s="87">
        <v>520.96054323685837</v>
      </c>
      <c r="W61" s="87">
        <v>484.94413681402642</v>
      </c>
      <c r="X61" s="87">
        <v>514.61288554405587</v>
      </c>
      <c r="Y61" s="87">
        <v>581.34386875963264</v>
      </c>
      <c r="DA61" s="171" t="s">
        <v>318</v>
      </c>
    </row>
    <row r="62" spans="1:105" ht="11.45" customHeight="1" x14ac:dyDescent="0.25">
      <c r="A62" s="12" t="s">
        <v>34</v>
      </c>
      <c r="B62" s="15">
        <v>407.9822349277627</v>
      </c>
      <c r="C62" s="15">
        <v>405.29878634908209</v>
      </c>
      <c r="D62" s="15">
        <v>388.72839349679367</v>
      </c>
      <c r="E62" s="15">
        <v>390.26096006796558</v>
      </c>
      <c r="F62" s="15">
        <v>391.21488864343075</v>
      </c>
      <c r="G62" s="15">
        <v>383.85597870250461</v>
      </c>
      <c r="H62" s="15">
        <v>407.36286888934768</v>
      </c>
      <c r="I62" s="15">
        <v>401.79895999065036</v>
      </c>
      <c r="J62" s="15">
        <v>408.2675947768335</v>
      </c>
      <c r="K62" s="15">
        <v>410.10998757353121</v>
      </c>
      <c r="L62" s="15">
        <v>417.98120689990935</v>
      </c>
      <c r="M62" s="15">
        <v>417.69467161230693</v>
      </c>
      <c r="N62" s="15">
        <v>407.82168863232806</v>
      </c>
      <c r="O62" s="15">
        <v>409.76212991201976</v>
      </c>
      <c r="P62" s="15">
        <v>412.19045592324699</v>
      </c>
      <c r="Q62" s="15">
        <v>401.25520564393133</v>
      </c>
      <c r="R62" s="15">
        <v>394.53072636298833</v>
      </c>
      <c r="S62" s="15">
        <v>396.52387259708684</v>
      </c>
      <c r="T62" s="15">
        <v>390.19909393716171</v>
      </c>
      <c r="U62" s="15">
        <v>414.78761631245646</v>
      </c>
      <c r="V62" s="15">
        <v>441.99580816240376</v>
      </c>
      <c r="W62" s="15">
        <v>456.20129592534732</v>
      </c>
      <c r="X62" s="15">
        <v>508.20683467625071</v>
      </c>
      <c r="Y62" s="15">
        <v>486.79495446165015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394.94789652558495</v>
      </c>
      <c r="C64" s="101">
        <v>393.45023787519023</v>
      </c>
      <c r="D64" s="101">
        <v>382.03192001348407</v>
      </c>
      <c r="E64" s="101">
        <v>382.03700197886332</v>
      </c>
      <c r="F64" s="101">
        <v>385.21602756739526</v>
      </c>
      <c r="G64" s="101">
        <v>377.86743040052801</v>
      </c>
      <c r="H64" s="101">
        <v>390.72938479838706</v>
      </c>
      <c r="I64" s="101">
        <v>393.86009044110381</v>
      </c>
      <c r="J64" s="101">
        <v>395.96893059104627</v>
      </c>
      <c r="K64" s="101">
        <v>395.40595741639152</v>
      </c>
      <c r="L64" s="101">
        <v>401.93038804833924</v>
      </c>
      <c r="M64" s="101">
        <v>411.50362146273369</v>
      </c>
      <c r="N64" s="101">
        <v>402.66685267843349</v>
      </c>
      <c r="O64" s="101">
        <v>403.18699609098041</v>
      </c>
      <c r="P64" s="101">
        <v>403.78624893787145</v>
      </c>
      <c r="Q64" s="101">
        <v>394.21264186884207</v>
      </c>
      <c r="R64" s="101">
        <v>389.53716691866885</v>
      </c>
      <c r="S64" s="101">
        <v>387.53202482789885</v>
      </c>
      <c r="T64" s="101">
        <v>383.10985111527043</v>
      </c>
      <c r="U64" s="101">
        <v>379.36199518134998</v>
      </c>
      <c r="V64" s="101">
        <v>400.94075801547541</v>
      </c>
      <c r="W64" s="101">
        <v>401.53880449794542</v>
      </c>
      <c r="X64" s="101">
        <v>374.07699605888644</v>
      </c>
      <c r="Y64" s="101">
        <v>386.10349312185053</v>
      </c>
      <c r="DA64" s="175" t="s">
        <v>321</v>
      </c>
    </row>
    <row r="65" spans="1:105" ht="11.45" customHeight="1" x14ac:dyDescent="0.25">
      <c r="A65" s="85" t="s">
        <v>182</v>
      </c>
      <c r="B65" s="88">
        <v>438.35814021461988</v>
      </c>
      <c r="C65" s="88">
        <v>438.35814021461988</v>
      </c>
      <c r="D65" s="88">
        <v>438.35814021461982</v>
      </c>
      <c r="E65" s="88">
        <v>438.35814021461988</v>
      </c>
      <c r="F65" s="88">
        <v>438.35814021461988</v>
      </c>
      <c r="G65" s="88">
        <v>435.80561926290807</v>
      </c>
      <c r="H65" s="88">
        <v>425.03615235360991</v>
      </c>
      <c r="I65" s="88">
        <v>424.44254339783078</v>
      </c>
      <c r="J65" s="88">
        <v>433.16133140027233</v>
      </c>
      <c r="K65" s="88">
        <v>448.04642602459012</v>
      </c>
      <c r="L65" s="88">
        <v>453.89196889321067</v>
      </c>
      <c r="M65" s="88">
        <v>458.49505295588324</v>
      </c>
      <c r="N65" s="88">
        <v>452.7826857449769</v>
      </c>
      <c r="O65" s="88">
        <v>456.02889482756626</v>
      </c>
      <c r="P65" s="88">
        <v>503.05329086577007</v>
      </c>
      <c r="Q65" s="88">
        <v>465.27074509321039</v>
      </c>
      <c r="R65" s="88">
        <v>418.24112970694341</v>
      </c>
      <c r="S65" s="88">
        <v>438.40771074675678</v>
      </c>
      <c r="T65" s="88">
        <v>415.73100939647384</v>
      </c>
      <c r="U65" s="88">
        <v>501.49631092998698</v>
      </c>
      <c r="V65" s="88">
        <v>535.39243185658756</v>
      </c>
      <c r="W65" s="88">
        <v>522.55260996212451</v>
      </c>
      <c r="X65" s="88">
        <v>611.37086262948378</v>
      </c>
      <c r="Y65" s="88">
        <v>573.25654458568044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1.4529968745022803</v>
      </c>
      <c r="C67" s="59">
        <f t="shared" ref="C67:W67" si="61">IF(C3=0,0,C17/C57)</f>
        <v>1.4480737510238715</v>
      </c>
      <c r="D67" s="59">
        <f t="shared" si="61"/>
        <v>1.4016475200897101</v>
      </c>
      <c r="E67" s="59">
        <f t="shared" si="61"/>
        <v>1.1808390316575912</v>
      </c>
      <c r="F67" s="59">
        <f t="shared" si="61"/>
        <v>1.0392512199130268</v>
      </c>
      <c r="G67" s="59">
        <f t="shared" si="61"/>
        <v>1.0743853845960172</v>
      </c>
      <c r="H67" s="59">
        <f t="shared" si="61"/>
        <v>1.0534269798132221</v>
      </c>
      <c r="I67" s="59">
        <f t="shared" si="61"/>
        <v>0.9417963507252255</v>
      </c>
      <c r="J67" s="59">
        <f t="shared" si="61"/>
        <v>1.1313486471711385</v>
      </c>
      <c r="K67" s="59">
        <f t="shared" si="61"/>
        <v>1.0942472235802476</v>
      </c>
      <c r="L67" s="59">
        <f t="shared" si="61"/>
        <v>1.1367038152407947</v>
      </c>
      <c r="M67" s="59">
        <f t="shared" si="61"/>
        <v>1.1221882621926424</v>
      </c>
      <c r="N67" s="59">
        <f t="shared" si="61"/>
        <v>1.0753537142689085</v>
      </c>
      <c r="O67" s="59">
        <f t="shared" si="61"/>
        <v>1.0772333686318576</v>
      </c>
      <c r="P67" s="59">
        <f t="shared" si="61"/>
        <v>1.0394923115601802</v>
      </c>
      <c r="Q67" s="59">
        <f t="shared" si="61"/>
        <v>0.94129056107947384</v>
      </c>
      <c r="R67" s="59">
        <f t="shared" si="61"/>
        <v>0.92768211134459</v>
      </c>
      <c r="S67" s="59">
        <f t="shared" si="61"/>
        <v>0.96791433519582881</v>
      </c>
      <c r="T67" s="59">
        <f t="shared" si="61"/>
        <v>0.96090161005741359</v>
      </c>
      <c r="U67" s="59">
        <f t="shared" si="61"/>
        <v>0.88899844431522579</v>
      </c>
      <c r="V67" s="59">
        <f t="shared" si="61"/>
        <v>0.99202853135216817</v>
      </c>
      <c r="W67" s="59">
        <f t="shared" si="61"/>
        <v>1.0943414730635104</v>
      </c>
      <c r="X67" s="59">
        <f t="shared" ref="X67:Y67" si="62">IF(X3=0,0,X17/X57)</f>
        <v>1.0617329090141729</v>
      </c>
      <c r="Y67" s="59">
        <f t="shared" si="62"/>
        <v>0.93763597576265711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1.4531489325107014</v>
      </c>
      <c r="C68" s="23">
        <f t="shared" ref="C68:W68" si="64">IF(C6=0,0,C18/C58)</f>
        <v>1.4478095363015508</v>
      </c>
      <c r="D68" s="23">
        <f t="shared" si="64"/>
        <v>1.3988689954937561</v>
      </c>
      <c r="E68" s="23">
        <f t="shared" si="64"/>
        <v>1.1789631028955303</v>
      </c>
      <c r="F68" s="23">
        <f t="shared" si="64"/>
        <v>1.0382205729665686</v>
      </c>
      <c r="G68" s="23">
        <f t="shared" si="64"/>
        <v>1.0745732134831973</v>
      </c>
      <c r="H68" s="23">
        <f t="shared" si="64"/>
        <v>1.0560856636426963</v>
      </c>
      <c r="I68" s="23">
        <f t="shared" si="64"/>
        <v>0.94214900567635107</v>
      </c>
      <c r="J68" s="23">
        <f t="shared" si="64"/>
        <v>1.1324862147223367</v>
      </c>
      <c r="K68" s="23">
        <f t="shared" si="64"/>
        <v>1.0948869194642221</v>
      </c>
      <c r="L68" s="23">
        <f t="shared" si="64"/>
        <v>1.1375878899071727</v>
      </c>
      <c r="M68" s="23">
        <f t="shared" si="64"/>
        <v>1.1232074287748399</v>
      </c>
      <c r="N68" s="23">
        <f t="shared" si="64"/>
        <v>1.0777121963098866</v>
      </c>
      <c r="O68" s="23">
        <f t="shared" si="64"/>
        <v>1.0791072179276424</v>
      </c>
      <c r="P68" s="23">
        <f t="shared" si="64"/>
        <v>1.0402525760152668</v>
      </c>
      <c r="Q68" s="23">
        <f t="shared" si="64"/>
        <v>0.94166665733337207</v>
      </c>
      <c r="R68" s="23">
        <f t="shared" si="64"/>
        <v>0.92811247893427018</v>
      </c>
      <c r="S68" s="23">
        <f t="shared" si="64"/>
        <v>0.96802112241803073</v>
      </c>
      <c r="T68" s="23">
        <f t="shared" si="64"/>
        <v>0.96028206844427189</v>
      </c>
      <c r="U68" s="23">
        <f t="shared" si="64"/>
        <v>0.88956805120116378</v>
      </c>
      <c r="V68" s="23">
        <f t="shared" si="64"/>
        <v>0.98861158122496651</v>
      </c>
      <c r="W68" s="23">
        <f t="shared" si="64"/>
        <v>1.0954520283127289</v>
      </c>
      <c r="X68" s="23">
        <f t="shared" ref="X68:Y68" si="65">IF(X6=0,0,X18/X58)</f>
        <v>1.0721457006087523</v>
      </c>
      <c r="Y68" s="23">
        <f t="shared" si="65"/>
        <v>0.94275409758379747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1.6007726045455717</v>
      </c>
      <c r="C70" s="91">
        <f t="shared" ref="C70:W70" si="68">IF(C8=0,0,C20/C60)</f>
        <v>1.5948955637736506</v>
      </c>
      <c r="D70" s="91">
        <f t="shared" si="68"/>
        <v>1.5402346308970263</v>
      </c>
      <c r="E70" s="91">
        <f t="shared" si="68"/>
        <v>1.3030986361415529</v>
      </c>
      <c r="F70" s="91">
        <f t="shared" si="68"/>
        <v>1.1381879799132484</v>
      </c>
      <c r="G70" s="91">
        <f t="shared" si="68"/>
        <v>1.1174988793166913</v>
      </c>
      <c r="H70" s="91">
        <f t="shared" si="68"/>
        <v>1.1313070515500803</v>
      </c>
      <c r="I70" s="91">
        <f t="shared" si="68"/>
        <v>1.0553727170877387</v>
      </c>
      <c r="J70" s="91">
        <f t="shared" si="68"/>
        <v>1.2216883481046852</v>
      </c>
      <c r="K70" s="91">
        <f t="shared" si="68"/>
        <v>1.0698360618226734</v>
      </c>
      <c r="L70" s="91">
        <f t="shared" si="68"/>
        <v>1.1274391814334999</v>
      </c>
      <c r="M70" s="91">
        <f t="shared" si="68"/>
        <v>1.1037954040854061</v>
      </c>
      <c r="N70" s="91">
        <f t="shared" si="68"/>
        <v>0.91624435949636085</v>
      </c>
      <c r="O70" s="91">
        <f t="shared" si="68"/>
        <v>0.9490082252580293</v>
      </c>
      <c r="P70" s="91">
        <f t="shared" si="68"/>
        <v>1.0036135309320839</v>
      </c>
      <c r="Q70" s="91">
        <f t="shared" si="68"/>
        <v>0.9482798968834617</v>
      </c>
      <c r="R70" s="91">
        <f t="shared" si="68"/>
        <v>0.94593308569604362</v>
      </c>
      <c r="S70" s="91">
        <f t="shared" si="68"/>
        <v>1.0468632760457237</v>
      </c>
      <c r="T70" s="91">
        <f t="shared" si="68"/>
        <v>1.1761740239910119</v>
      </c>
      <c r="U70" s="91">
        <f t="shared" si="68"/>
        <v>1.10412216787741</v>
      </c>
      <c r="V70" s="91">
        <f t="shared" si="68"/>
        <v>1.0028214494959091</v>
      </c>
      <c r="W70" s="91">
        <f t="shared" si="68"/>
        <v>1.2096016207743743</v>
      </c>
      <c r="X70" s="91">
        <f t="shared" ref="X70:Y70" si="69">IF(X8=0,0,X20/X60)</f>
        <v>1.2616296792950199</v>
      </c>
      <c r="Y70" s="91">
        <f t="shared" si="69"/>
        <v>1.3548549887662078</v>
      </c>
      <c r="DA70" s="171"/>
    </row>
    <row r="71" spans="1:105" ht="11.45" customHeight="1" x14ac:dyDescent="0.25">
      <c r="A71" s="83" t="s">
        <v>182</v>
      </c>
      <c r="B71" s="91">
        <f t="shared" si="63"/>
        <v>1.2343357220796525</v>
      </c>
      <c r="C71" s="91">
        <f t="shared" ref="C71:W71" si="70">IF(C9=0,0,C21/C61)</f>
        <v>1.2298017269001982</v>
      </c>
      <c r="D71" s="91">
        <f t="shared" si="70"/>
        <v>1.1906255499935088</v>
      </c>
      <c r="E71" s="91">
        <f t="shared" si="70"/>
        <v>1.0110680187748551</v>
      </c>
      <c r="F71" s="91">
        <f t="shared" si="70"/>
        <v>0.87218692714983836</v>
      </c>
      <c r="G71" s="91">
        <f t="shared" si="70"/>
        <v>0.98549516642402724</v>
      </c>
      <c r="H71" s="91">
        <f t="shared" si="70"/>
        <v>0.91403660961295574</v>
      </c>
      <c r="I71" s="91">
        <f t="shared" si="70"/>
        <v>0.7534994556648581</v>
      </c>
      <c r="J71" s="91">
        <f t="shared" si="70"/>
        <v>0.9654673642022108</v>
      </c>
      <c r="K71" s="91">
        <f t="shared" si="70"/>
        <v>1.1545548161485351</v>
      </c>
      <c r="L71" s="91">
        <f t="shared" si="70"/>
        <v>1.1601606904590558</v>
      </c>
      <c r="M71" s="91">
        <f t="shared" si="70"/>
        <v>1.1673438981137814</v>
      </c>
      <c r="N71" s="91">
        <f t="shared" si="70"/>
        <v>1.7315307052747462</v>
      </c>
      <c r="O71" s="91">
        <f t="shared" si="70"/>
        <v>1.5355994836096376</v>
      </c>
      <c r="P71" s="91">
        <f t="shared" si="70"/>
        <v>1.1315544586295976</v>
      </c>
      <c r="Q71" s="91">
        <f t="shared" si="70"/>
        <v>0.92697340549537943</v>
      </c>
      <c r="R71" s="91">
        <f t="shared" si="70"/>
        <v>0.88660619853931555</v>
      </c>
      <c r="S71" s="91">
        <f t="shared" si="70"/>
        <v>0.81042543791192712</v>
      </c>
      <c r="T71" s="91">
        <f t="shared" si="70"/>
        <v>0.65081273796893924</v>
      </c>
      <c r="U71" s="91">
        <f t="shared" si="70"/>
        <v>0.59137828790150859</v>
      </c>
      <c r="V71" s="91">
        <f t="shared" si="70"/>
        <v>0.96385431621023065</v>
      </c>
      <c r="W71" s="91">
        <f t="shared" si="70"/>
        <v>0.92115354509333192</v>
      </c>
      <c r="X71" s="91">
        <f t="shared" ref="X71:Y71" si="71">IF(X9=0,0,X21/X61)</f>
        <v>0.76552103021644324</v>
      </c>
      <c r="Y71" s="91">
        <f t="shared" si="71"/>
        <v>0.53088500545393502</v>
      </c>
      <c r="DA71" s="171"/>
    </row>
    <row r="72" spans="1:105" ht="11.45" customHeight="1" x14ac:dyDescent="0.25">
      <c r="A72" s="12" t="s">
        <v>34</v>
      </c>
      <c r="B72" s="24">
        <f t="shared" si="63"/>
        <v>1.445516174230266</v>
      </c>
      <c r="C72" s="24">
        <f t="shared" ref="C72:W72" si="72">IF(C10=0,0,C22/C62)</f>
        <v>1.4596951328162737</v>
      </c>
      <c r="D72" s="24">
        <f t="shared" si="72"/>
        <v>1.5117938797339896</v>
      </c>
      <c r="E72" s="24">
        <f t="shared" si="72"/>
        <v>1.2711209638327472</v>
      </c>
      <c r="F72" s="24">
        <f t="shared" si="72"/>
        <v>1.1012184635272828</v>
      </c>
      <c r="G72" s="24">
        <f t="shared" si="72"/>
        <v>1.0646004411487378</v>
      </c>
      <c r="H72" s="24">
        <f t="shared" si="72"/>
        <v>0.9476956572113896</v>
      </c>
      <c r="I72" s="24">
        <f t="shared" si="72"/>
        <v>0.92310522439392817</v>
      </c>
      <c r="J72" s="24">
        <f t="shared" si="72"/>
        <v>1.0648319532868491</v>
      </c>
      <c r="K72" s="24">
        <f t="shared" si="72"/>
        <v>1.0570820936455754</v>
      </c>
      <c r="L72" s="24">
        <f t="shared" si="72"/>
        <v>1.0911869095221389</v>
      </c>
      <c r="M72" s="24">
        <f t="shared" si="72"/>
        <v>1.0706529534396552</v>
      </c>
      <c r="N72" s="24">
        <f t="shared" si="72"/>
        <v>0.97678934641060655</v>
      </c>
      <c r="O72" s="24">
        <f t="shared" si="72"/>
        <v>1.0044620929127437</v>
      </c>
      <c r="P72" s="24">
        <f t="shared" si="72"/>
        <v>1.0020533922322854</v>
      </c>
      <c r="Q72" s="24">
        <f t="shared" si="72"/>
        <v>0.92229575132422581</v>
      </c>
      <c r="R72" s="24">
        <f t="shared" si="72"/>
        <v>0.9045730717658671</v>
      </c>
      <c r="S72" s="24">
        <f t="shared" si="72"/>
        <v>0.96213209605301242</v>
      </c>
      <c r="T72" s="24">
        <f t="shared" si="72"/>
        <v>0.99791995682083645</v>
      </c>
      <c r="U72" s="24">
        <f t="shared" si="72"/>
        <v>0.85312589674017625</v>
      </c>
      <c r="V72" s="24">
        <f t="shared" si="72"/>
        <v>1.0584817802603754</v>
      </c>
      <c r="W72" s="24">
        <f t="shared" si="72"/>
        <v>1.0796199913571796</v>
      </c>
      <c r="X72" s="24">
        <f t="shared" ref="X72:Y72" si="73">IF(X10=0,0,X22/X62)</f>
        <v>0.88332740189740777</v>
      </c>
      <c r="Y72" s="24">
        <f t="shared" si="73"/>
        <v>0.79234059712288707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1.6048812567266213</v>
      </c>
      <c r="C74" s="93">
        <f t="shared" ref="C74:W74" si="76">IF(C12=0,0,C24/C64)</f>
        <v>1.600601037856235</v>
      </c>
      <c r="D74" s="93">
        <f t="shared" si="76"/>
        <v>1.5799514385123272</v>
      </c>
      <c r="E74" s="93">
        <f t="shared" si="76"/>
        <v>1.3419782085308154</v>
      </c>
      <c r="F74" s="93">
        <f t="shared" si="76"/>
        <v>1.147012069942793</v>
      </c>
      <c r="G74" s="93">
        <f t="shared" si="76"/>
        <v>1.0882198650269572</v>
      </c>
      <c r="H74" s="93">
        <f t="shared" si="76"/>
        <v>1.0757350518184261</v>
      </c>
      <c r="I74" s="93">
        <f t="shared" si="76"/>
        <v>1.0156555639812357</v>
      </c>
      <c r="J74" s="93">
        <f t="shared" si="76"/>
        <v>1.1707124488145075</v>
      </c>
      <c r="K74" s="93">
        <f t="shared" si="76"/>
        <v>1.0649800724607161</v>
      </c>
      <c r="L74" s="93">
        <f t="shared" si="76"/>
        <v>1.1149313896994717</v>
      </c>
      <c r="M74" s="93">
        <f t="shared" si="76"/>
        <v>1.0740416561019348</v>
      </c>
      <c r="N74" s="93">
        <f t="shared" si="76"/>
        <v>0.90181054420236428</v>
      </c>
      <c r="O74" s="93">
        <f t="shared" si="76"/>
        <v>0.9437706660819527</v>
      </c>
      <c r="P74" s="93">
        <f t="shared" si="76"/>
        <v>1.0001698544366942</v>
      </c>
      <c r="Q74" s="93">
        <f t="shared" si="76"/>
        <v>0.93372454505380253</v>
      </c>
      <c r="R74" s="93">
        <f t="shared" si="76"/>
        <v>0.9286842436183349</v>
      </c>
      <c r="S74" s="93">
        <f t="shared" si="76"/>
        <v>1.0186597888635587</v>
      </c>
      <c r="T74" s="93">
        <f t="shared" si="76"/>
        <v>1.1221141864432906</v>
      </c>
      <c r="U74" s="93">
        <f t="shared" si="76"/>
        <v>1.0264339548003101</v>
      </c>
      <c r="V74" s="93">
        <f t="shared" si="76"/>
        <v>1.1706035952418326</v>
      </c>
      <c r="W74" s="93">
        <f t="shared" si="76"/>
        <v>1.3482731305257785</v>
      </c>
      <c r="X74" s="93">
        <f t="shared" ref="X74:Y74" si="77">IF(X12=0,0,X24/X64)</f>
        <v>1.2963219594272537</v>
      </c>
      <c r="Y74" s="93">
        <f t="shared" si="77"/>
        <v>1.3362120312415044</v>
      </c>
      <c r="DA74" s="175"/>
    </row>
    <row r="75" spans="1:105" ht="11.45" customHeight="1" x14ac:dyDescent="0.25">
      <c r="A75" s="85" t="s">
        <v>182</v>
      </c>
      <c r="B75" s="94">
        <f t="shared" si="63"/>
        <v>1.1109021498716871</v>
      </c>
      <c r="C75" s="94">
        <f t="shared" ref="C75:W75" si="78">IF(C13=0,0,C25/C65)</f>
        <v>1.1068215542101785</v>
      </c>
      <c r="D75" s="94">
        <f t="shared" si="78"/>
        <v>1.0715629949941579</v>
      </c>
      <c r="E75" s="94">
        <f t="shared" si="78"/>
        <v>0.90996121689736953</v>
      </c>
      <c r="F75" s="94">
        <f t="shared" si="78"/>
        <v>0.78496823443485453</v>
      </c>
      <c r="G75" s="94">
        <f t="shared" si="78"/>
        <v>0.88694564978162438</v>
      </c>
      <c r="H75" s="94">
        <f t="shared" si="78"/>
        <v>0.82263294865166015</v>
      </c>
      <c r="I75" s="94">
        <f t="shared" si="78"/>
        <v>0.67814951009837232</v>
      </c>
      <c r="J75" s="94">
        <f t="shared" si="78"/>
        <v>0.86892062778198953</v>
      </c>
      <c r="K75" s="94">
        <f t="shared" si="78"/>
        <v>1.0390993345336816</v>
      </c>
      <c r="L75" s="94">
        <f t="shared" si="78"/>
        <v>1.0441446214131498</v>
      </c>
      <c r="M75" s="94">
        <f t="shared" si="78"/>
        <v>1.050609508302403</v>
      </c>
      <c r="N75" s="94">
        <f t="shared" si="78"/>
        <v>1.5583776347472718</v>
      </c>
      <c r="O75" s="94">
        <f t="shared" si="78"/>
        <v>1.3820395352486738</v>
      </c>
      <c r="P75" s="94">
        <f t="shared" si="78"/>
        <v>1.018399012766638</v>
      </c>
      <c r="Q75" s="94">
        <f t="shared" si="78"/>
        <v>0.83427606494584117</v>
      </c>
      <c r="R75" s="94">
        <f t="shared" si="78"/>
        <v>0.79794557868538396</v>
      </c>
      <c r="S75" s="94">
        <f t="shared" si="78"/>
        <v>0.72938289412073432</v>
      </c>
      <c r="T75" s="94">
        <f t="shared" si="78"/>
        <v>0.58573146417204502</v>
      </c>
      <c r="U75" s="94">
        <f t="shared" si="78"/>
        <v>0.53224045911135764</v>
      </c>
      <c r="V75" s="94">
        <f t="shared" si="78"/>
        <v>0.86746888458920768</v>
      </c>
      <c r="W75" s="94">
        <f t="shared" si="78"/>
        <v>0.82903819058399864</v>
      </c>
      <c r="X75" s="94">
        <f t="shared" ref="X75:Y75" si="79">IF(X13=0,0,X25/X65)</f>
        <v>0.68896892719479885</v>
      </c>
      <c r="Y75" s="94">
        <f t="shared" si="79"/>
        <v>0.47779650490854153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722.6609040000003</v>
      </c>
      <c r="C3" s="79">
        <f t="shared" si="0"/>
        <v>678.4094520000001</v>
      </c>
      <c r="D3" s="79">
        <f t="shared" ref="D3" si="1">SUM(D4:D5)</f>
        <v>640.35997199999997</v>
      </c>
      <c r="E3" s="79">
        <f t="shared" ref="E3" si="2">SUM(E4:E5)</f>
        <v>627.67681200000004</v>
      </c>
      <c r="F3" s="79">
        <f t="shared" ref="F3" si="3">SUM(F4:F5)</f>
        <v>679.15958399999977</v>
      </c>
      <c r="G3" s="79">
        <f t="shared" ref="G3" si="4">SUM(G4:G5)</f>
        <v>784.41462000000024</v>
      </c>
      <c r="H3" s="79">
        <f t="shared" ref="H3" si="5">SUM(H4:H5)</f>
        <v>797.22720000000038</v>
      </c>
      <c r="I3" s="79">
        <f t="shared" ref="I3" si="6">SUM(I4:I5)</f>
        <v>730.79151372000013</v>
      </c>
      <c r="J3" s="79">
        <f t="shared" ref="J3" si="7">SUM(J4:J5)</f>
        <v>812.32611372000019</v>
      </c>
      <c r="K3" s="79">
        <f t="shared" ref="K3" si="8">SUM(K4:K5)</f>
        <v>694.55391372000008</v>
      </c>
      <c r="L3" s="79">
        <f t="shared" ref="L3" si="9">SUM(L4:L5)</f>
        <v>691.53428628000006</v>
      </c>
      <c r="M3" s="79">
        <f t="shared" ref="M3" si="10">SUM(M4:M5)</f>
        <v>700.56469619999996</v>
      </c>
      <c r="N3" s="79">
        <f t="shared" ref="N3" si="11">SUM(N4:N5)</f>
        <v>501.28688627999981</v>
      </c>
      <c r="O3" s="79">
        <f t="shared" ref="O3" si="12">SUM(O4:O5)</f>
        <v>489.2075999999999</v>
      </c>
      <c r="P3" s="79">
        <f t="shared" ref="P3" si="13">SUM(P4:P5)</f>
        <v>513.92681999999991</v>
      </c>
      <c r="Q3" s="79">
        <f t="shared" ref="Q3" si="14">SUM(Q4:Q5)</f>
        <v>525.94838496</v>
      </c>
      <c r="R3" s="79">
        <f t="shared" ref="R3" si="15">SUM(R4:R5)</f>
        <v>578.80066571999998</v>
      </c>
      <c r="S3" s="79">
        <f t="shared" ref="S3" si="16">SUM(S4:S5)</f>
        <v>672.80798880000009</v>
      </c>
      <c r="T3" s="79">
        <f t="shared" ref="T3" si="17">SUM(T4:T5)</f>
        <v>831.66534432000014</v>
      </c>
      <c r="U3" s="79">
        <f t="shared" ref="U3" si="18">SUM(U4:U5)</f>
        <v>841.00998600000025</v>
      </c>
      <c r="V3" s="79">
        <f t="shared" ref="V3:W3" si="19">SUM(V4:V5)</f>
        <v>305.25544763999994</v>
      </c>
      <c r="W3" s="79">
        <f t="shared" si="19"/>
        <v>370.66742171999988</v>
      </c>
      <c r="X3" s="79">
        <f t="shared" ref="X3:Y3" si="20">SUM(X4:X5)</f>
        <v>778.71289247999994</v>
      </c>
      <c r="Y3" s="79">
        <f t="shared" si="20"/>
        <v>899.67270708000024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722.6609040000003</v>
      </c>
      <c r="C5" s="96">
        <f t="shared" si="24"/>
        <v>678.4094520000001</v>
      </c>
      <c r="D5" s="96">
        <f t="shared" ref="D5:V5" si="25">SUM(D8:D9,D12:D13)</f>
        <v>640.35997199999997</v>
      </c>
      <c r="E5" s="96">
        <f t="shared" si="25"/>
        <v>627.67681200000004</v>
      </c>
      <c r="F5" s="96">
        <f t="shared" si="25"/>
        <v>679.15958399999977</v>
      </c>
      <c r="G5" s="96">
        <f t="shared" si="25"/>
        <v>784.41462000000024</v>
      </c>
      <c r="H5" s="96">
        <f t="shared" si="25"/>
        <v>797.22720000000038</v>
      </c>
      <c r="I5" s="96">
        <f t="shared" si="25"/>
        <v>730.79151372000013</v>
      </c>
      <c r="J5" s="96">
        <f t="shared" si="25"/>
        <v>812.32611372000019</v>
      </c>
      <c r="K5" s="96">
        <f t="shared" si="25"/>
        <v>694.55391372000008</v>
      </c>
      <c r="L5" s="96">
        <f t="shared" si="25"/>
        <v>691.53428628000006</v>
      </c>
      <c r="M5" s="96">
        <f t="shared" si="25"/>
        <v>700.56469619999996</v>
      </c>
      <c r="N5" s="96">
        <f t="shared" si="25"/>
        <v>501.28688627999981</v>
      </c>
      <c r="O5" s="96">
        <f t="shared" si="25"/>
        <v>489.2075999999999</v>
      </c>
      <c r="P5" s="96">
        <f t="shared" si="25"/>
        <v>513.92681999999991</v>
      </c>
      <c r="Q5" s="96">
        <f t="shared" si="25"/>
        <v>525.94838496</v>
      </c>
      <c r="R5" s="96">
        <f t="shared" si="25"/>
        <v>578.80066571999998</v>
      </c>
      <c r="S5" s="96">
        <f t="shared" si="25"/>
        <v>672.80798880000009</v>
      </c>
      <c r="T5" s="96">
        <f t="shared" si="25"/>
        <v>831.66534432000014</v>
      </c>
      <c r="U5" s="96">
        <f t="shared" si="25"/>
        <v>841.00998600000025</v>
      </c>
      <c r="V5" s="96">
        <f t="shared" si="25"/>
        <v>305.25544763999994</v>
      </c>
      <c r="W5" s="96">
        <f t="shared" ref="W5:Y5" si="26">SUM(W8:W9,W12:W13)</f>
        <v>370.66742171999988</v>
      </c>
      <c r="X5" s="96">
        <f t="shared" si="26"/>
        <v>778.71289247999994</v>
      </c>
      <c r="Y5" s="96">
        <f t="shared" si="26"/>
        <v>899.67270708000024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708.33834485587761</v>
      </c>
      <c r="C6" s="21">
        <f t="shared" si="27"/>
        <v>663.20749852260997</v>
      </c>
      <c r="D6" s="21">
        <f t="shared" ref="D6:V6" si="28">SUM(D7:D9)</f>
        <v>623.36570104304326</v>
      </c>
      <c r="E6" s="21">
        <f t="shared" si="28"/>
        <v>613.92321728335332</v>
      </c>
      <c r="F6" s="21">
        <f t="shared" si="28"/>
        <v>667.38599995668278</v>
      </c>
      <c r="G6" s="21">
        <f t="shared" si="28"/>
        <v>769.77537395187392</v>
      </c>
      <c r="H6" s="21">
        <f t="shared" si="28"/>
        <v>779.63484366485136</v>
      </c>
      <c r="I6" s="21">
        <f t="shared" si="28"/>
        <v>717.52720865448373</v>
      </c>
      <c r="J6" s="21">
        <f t="shared" si="28"/>
        <v>799.47037415519583</v>
      </c>
      <c r="K6" s="21">
        <f t="shared" si="28"/>
        <v>683.20052413772851</v>
      </c>
      <c r="L6" s="21">
        <f t="shared" si="28"/>
        <v>678.88612670842826</v>
      </c>
      <c r="M6" s="21">
        <f t="shared" si="28"/>
        <v>687.60285442336863</v>
      </c>
      <c r="N6" s="21">
        <f t="shared" si="28"/>
        <v>490.64597098481249</v>
      </c>
      <c r="O6" s="21">
        <f t="shared" si="28"/>
        <v>477.75642216153369</v>
      </c>
      <c r="P6" s="21">
        <f t="shared" si="28"/>
        <v>504.06671666064523</v>
      </c>
      <c r="Q6" s="21">
        <f t="shared" si="28"/>
        <v>515.94288708890724</v>
      </c>
      <c r="R6" s="21">
        <f t="shared" si="28"/>
        <v>568.48214283526886</v>
      </c>
      <c r="S6" s="21">
        <f t="shared" si="28"/>
        <v>660.68067232275973</v>
      </c>
      <c r="T6" s="21">
        <f t="shared" si="28"/>
        <v>817.44825722828318</v>
      </c>
      <c r="U6" s="21">
        <f t="shared" si="28"/>
        <v>828.39506709353338</v>
      </c>
      <c r="V6" s="21">
        <f t="shared" si="28"/>
        <v>289.32715204229601</v>
      </c>
      <c r="W6" s="21">
        <f t="shared" ref="W6:Y6" si="29">SUM(W7:W9)</f>
        <v>345.01633015454297</v>
      </c>
      <c r="X6" s="21">
        <f t="shared" si="29"/>
        <v>742.98504223794623</v>
      </c>
      <c r="Y6" s="21">
        <f t="shared" si="29"/>
        <v>873.80332875340105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465.94496902580011</v>
      </c>
      <c r="C8" s="96">
        <v>436.25236503498854</v>
      </c>
      <c r="D8" s="96">
        <v>408.82870217104914</v>
      </c>
      <c r="E8" s="96">
        <v>390.12225721872341</v>
      </c>
      <c r="F8" s="96">
        <v>456.68232703707235</v>
      </c>
      <c r="G8" s="96">
        <v>540.20629333630018</v>
      </c>
      <c r="H8" s="96">
        <v>546.02218139850777</v>
      </c>
      <c r="I8" s="96">
        <v>502.29143147106652</v>
      </c>
      <c r="J8" s="96">
        <v>562.18684390940007</v>
      </c>
      <c r="K8" s="96">
        <v>470.17260836345986</v>
      </c>
      <c r="L8" s="96">
        <v>464.14878461636016</v>
      </c>
      <c r="M8" s="96">
        <v>469.30870652829771</v>
      </c>
      <c r="N8" s="96">
        <v>334.52131492554224</v>
      </c>
      <c r="O8" s="96">
        <v>326.97138723646748</v>
      </c>
      <c r="P8" s="96">
        <v>347.04514025617368</v>
      </c>
      <c r="Q8" s="96">
        <v>358.30012831358863</v>
      </c>
      <c r="R8" s="96">
        <v>405.35812733957897</v>
      </c>
      <c r="S8" s="96">
        <v>476.23803152458834</v>
      </c>
      <c r="T8" s="96">
        <v>589.78345553928557</v>
      </c>
      <c r="U8" s="96">
        <v>597.95389830791032</v>
      </c>
      <c r="V8" s="96">
        <v>186.46242220503811</v>
      </c>
      <c r="W8" s="96">
        <v>230.20492434452635</v>
      </c>
      <c r="X8" s="96">
        <v>540.36654731963165</v>
      </c>
      <c r="Y8" s="96">
        <v>627.70543996436129</v>
      </c>
      <c r="DA8" s="171" t="s">
        <v>329</v>
      </c>
    </row>
    <row r="9" spans="1:105" ht="11.45" customHeight="1" x14ac:dyDescent="0.25">
      <c r="A9" s="83" t="s">
        <v>182</v>
      </c>
      <c r="B9" s="96">
        <v>242.3933758300775</v>
      </c>
      <c r="C9" s="96">
        <v>226.95513348762145</v>
      </c>
      <c r="D9" s="96">
        <v>214.53699887199409</v>
      </c>
      <c r="E9" s="96">
        <v>223.80096006462995</v>
      </c>
      <c r="F9" s="96">
        <v>210.70367291961048</v>
      </c>
      <c r="G9" s="96">
        <v>229.56908061557371</v>
      </c>
      <c r="H9" s="96">
        <v>233.61266226634356</v>
      </c>
      <c r="I9" s="96">
        <v>215.23577718341721</v>
      </c>
      <c r="J9" s="96">
        <v>237.28353024579576</v>
      </c>
      <c r="K9" s="96">
        <v>213.02791577426868</v>
      </c>
      <c r="L9" s="96">
        <v>214.73734209206813</v>
      </c>
      <c r="M9" s="96">
        <v>218.29414789507092</v>
      </c>
      <c r="N9" s="96">
        <v>156.12465605927028</v>
      </c>
      <c r="O9" s="96">
        <v>150.78503492506621</v>
      </c>
      <c r="P9" s="96">
        <v>157.02157640447155</v>
      </c>
      <c r="Q9" s="96">
        <v>157.64275877531861</v>
      </c>
      <c r="R9" s="96">
        <v>163.12401549568986</v>
      </c>
      <c r="S9" s="96">
        <v>184.44264079817137</v>
      </c>
      <c r="T9" s="96">
        <v>227.66480168899764</v>
      </c>
      <c r="U9" s="96">
        <v>230.44116878562303</v>
      </c>
      <c r="V9" s="96">
        <v>102.86472983725787</v>
      </c>
      <c r="W9" s="96">
        <v>114.81140581001664</v>
      </c>
      <c r="X9" s="96">
        <v>202.61849491831461</v>
      </c>
      <c r="Y9" s="96">
        <v>246.0978887890397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14.322559144122692</v>
      </c>
      <c r="C10" s="22">
        <f t="shared" si="30"/>
        <v>15.20195347739007</v>
      </c>
      <c r="D10" s="22">
        <f t="shared" ref="D10:V10" si="31">SUM(D11:D13)</f>
        <v>16.994270956956775</v>
      </c>
      <c r="E10" s="22">
        <f t="shared" si="31"/>
        <v>13.753594716646745</v>
      </c>
      <c r="F10" s="22">
        <f t="shared" si="31"/>
        <v>11.773584043316969</v>
      </c>
      <c r="G10" s="22">
        <f t="shared" si="31"/>
        <v>14.639246048126257</v>
      </c>
      <c r="H10" s="22">
        <f t="shared" si="31"/>
        <v>17.592356335148949</v>
      </c>
      <c r="I10" s="22">
        <f t="shared" si="31"/>
        <v>13.264305065516456</v>
      </c>
      <c r="J10" s="22">
        <f t="shared" si="31"/>
        <v>12.855739564804326</v>
      </c>
      <c r="K10" s="22">
        <f t="shared" si="31"/>
        <v>11.353389582271495</v>
      </c>
      <c r="L10" s="22">
        <f t="shared" si="31"/>
        <v>12.648159571571862</v>
      </c>
      <c r="M10" s="22">
        <f t="shared" si="31"/>
        <v>12.96184177663133</v>
      </c>
      <c r="N10" s="22">
        <f t="shared" si="31"/>
        <v>10.640915295187297</v>
      </c>
      <c r="O10" s="22">
        <f t="shared" si="31"/>
        <v>11.451177838466176</v>
      </c>
      <c r="P10" s="22">
        <f t="shared" si="31"/>
        <v>9.8601033393547262</v>
      </c>
      <c r="Q10" s="22">
        <f t="shared" si="31"/>
        <v>10.005497871092691</v>
      </c>
      <c r="R10" s="22">
        <f t="shared" si="31"/>
        <v>10.318522884731099</v>
      </c>
      <c r="S10" s="22">
        <f t="shared" si="31"/>
        <v>12.127316477240319</v>
      </c>
      <c r="T10" s="22">
        <f t="shared" si="31"/>
        <v>14.217087091716934</v>
      </c>
      <c r="U10" s="22">
        <f t="shared" si="31"/>
        <v>12.614918906466835</v>
      </c>
      <c r="V10" s="22">
        <f t="shared" si="31"/>
        <v>15.928295597703917</v>
      </c>
      <c r="W10" s="22">
        <f t="shared" ref="W10:Y10" si="32">SUM(W11:W13)</f>
        <v>25.651091565456909</v>
      </c>
      <c r="X10" s="22">
        <f t="shared" si="32"/>
        <v>35.727850242053719</v>
      </c>
      <c r="Y10" s="22">
        <f t="shared" si="32"/>
        <v>25.869378326599104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10.771498677576052</v>
      </c>
      <c r="C12" s="97">
        <v>11.912596561166978</v>
      </c>
      <c r="D12" s="97">
        <v>15.379369523883422</v>
      </c>
      <c r="E12" s="97">
        <v>12.138731819213268</v>
      </c>
      <c r="F12" s="97">
        <v>10.712057211199408</v>
      </c>
      <c r="G12" s="97">
        <v>13.20801339978911</v>
      </c>
      <c r="H12" s="97">
        <v>9.8671679136309258</v>
      </c>
      <c r="I12" s="97">
        <v>10.59218976081198</v>
      </c>
      <c r="J12" s="97">
        <v>9.1752584153439898</v>
      </c>
      <c r="K12" s="97">
        <v>7.9476361692355244</v>
      </c>
      <c r="L12" s="97">
        <v>8.5884083107451055</v>
      </c>
      <c r="M12" s="97">
        <v>11.122422687375675</v>
      </c>
      <c r="N12" s="97">
        <v>8.7022172772205302</v>
      </c>
      <c r="O12" s="97">
        <v>9.2693333193387168</v>
      </c>
      <c r="P12" s="97">
        <v>8.8246839438464271</v>
      </c>
      <c r="Q12" s="97">
        <v>8.9653848715311923</v>
      </c>
      <c r="R12" s="97">
        <v>8.6398679865098664</v>
      </c>
      <c r="S12" s="97">
        <v>10.330792179117449</v>
      </c>
      <c r="T12" s="97">
        <v>12.284940346497274</v>
      </c>
      <c r="U12" s="97">
        <v>9.8549705628165771</v>
      </c>
      <c r="V12" s="97">
        <v>11.099995262386846</v>
      </c>
      <c r="W12" s="97">
        <v>15.459606296855092</v>
      </c>
      <c r="X12" s="97">
        <v>16.778778402421903</v>
      </c>
      <c r="Y12" s="97">
        <v>15.985765211675188</v>
      </c>
      <c r="DA12" s="175" t="s">
        <v>333</v>
      </c>
    </row>
    <row r="13" spans="1:105" ht="11.45" customHeight="1" x14ac:dyDescent="0.25">
      <c r="A13" s="85" t="s">
        <v>182</v>
      </c>
      <c r="B13" s="98">
        <v>3.5510604665466405</v>
      </c>
      <c r="C13" s="98">
        <v>3.2893569162230918</v>
      </c>
      <c r="D13" s="98">
        <v>1.6149014330733533</v>
      </c>
      <c r="E13" s="98">
        <v>1.6148628974334769</v>
      </c>
      <c r="F13" s="98">
        <v>1.0615268321175608</v>
      </c>
      <c r="G13" s="98">
        <v>1.4312326483371471</v>
      </c>
      <c r="H13" s="98">
        <v>7.7251884215180233</v>
      </c>
      <c r="I13" s="98">
        <v>2.672115304704477</v>
      </c>
      <c r="J13" s="98">
        <v>3.6804811494603364</v>
      </c>
      <c r="K13" s="98">
        <v>3.4057534130359701</v>
      </c>
      <c r="L13" s="98">
        <v>4.0597512608267561</v>
      </c>
      <c r="M13" s="98">
        <v>1.8394190892556546</v>
      </c>
      <c r="N13" s="98">
        <v>1.9386980179667659</v>
      </c>
      <c r="O13" s="98">
        <v>2.1818445191274596</v>
      </c>
      <c r="P13" s="98">
        <v>1.0354193955082998</v>
      </c>
      <c r="Q13" s="98">
        <v>1.0401129995614986</v>
      </c>
      <c r="R13" s="98">
        <v>1.6786548982212333</v>
      </c>
      <c r="S13" s="98">
        <v>1.7965242981228695</v>
      </c>
      <c r="T13" s="98">
        <v>1.9321467452196595</v>
      </c>
      <c r="U13" s="98">
        <v>2.7599483436502581</v>
      </c>
      <c r="V13" s="98">
        <v>4.8283003353170706</v>
      </c>
      <c r="W13" s="98">
        <v>10.191485268601816</v>
      </c>
      <c r="X13" s="98">
        <v>18.949071839631813</v>
      </c>
      <c r="Y13" s="98">
        <v>9.8836131149239179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3.0089073884997339</v>
      </c>
      <c r="C19" s="98">
        <f>IF(C5=0,0,C5/TrAvia_ene!C5)</f>
        <v>3.0095624128675089</v>
      </c>
      <c r="D19" s="98">
        <f>IF(D5=0,0,D5/TrAvia_ene!D5)</f>
        <v>3.0095180512654314</v>
      </c>
      <c r="E19" s="98">
        <f>IF(E5=0,0,E5/TrAvia_ene!E5)</f>
        <v>3.0095020691941121</v>
      </c>
      <c r="F19" s="98">
        <f>IF(F5=0,0,F5/TrAvia_ene!F5)</f>
        <v>3.0099555256658572</v>
      </c>
      <c r="G19" s="98">
        <f>IF(G5=0,0,G5/TrAvia_ene!G5)</f>
        <v>3.0103092000000018</v>
      </c>
      <c r="H19" s="98">
        <f>IF(H5=0,0,H5/TrAvia_ene!H5)</f>
        <v>3.0103092000000014</v>
      </c>
      <c r="I19" s="98">
        <f>IF(I5=0,0,I5/TrAvia_ene!I5)</f>
        <v>3.0103092</v>
      </c>
      <c r="J19" s="98">
        <f>IF(J5=0,0,J5/TrAvia_ene!J5)</f>
        <v>3.0103092000000014</v>
      </c>
      <c r="K19" s="98">
        <f>IF(K5=0,0,K5/TrAvia_ene!K5)</f>
        <v>3.0103092</v>
      </c>
      <c r="L19" s="98">
        <f>IF(L5=0,0,L5/TrAvia_ene!L5)</f>
        <v>3.0103092</v>
      </c>
      <c r="M19" s="98">
        <f>IF(M5=0,0,M5/TrAvia_ene!M5)</f>
        <v>3.0103091999999991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3.0103092000000014</v>
      </c>
      <c r="U19" s="98">
        <f>IF(U5=0,0,U5/TrAvia_ene!U5)</f>
        <v>3.0103092000000014</v>
      </c>
      <c r="V19" s="98">
        <f>IF(V5=0,0,V5/TrAvia_ene!V5)</f>
        <v>3.0103092000000009</v>
      </c>
      <c r="W19" s="98">
        <f>IF(W5=0,0,W5/TrAvia_ene!W5)</f>
        <v>3.0103092</v>
      </c>
      <c r="X19" s="98">
        <f>IF(X5=0,0,X5/TrAvia_ene!X5)</f>
        <v>3.0103092000000005</v>
      </c>
      <c r="Y19" s="98">
        <f>IF(Y5=0,0,Y5/TrAvia_ene!Y5)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17062.525576214663</v>
      </c>
      <c r="C21" s="54">
        <f>IF(C3=0,0,C3/TrAvia_act!C13*1000)</f>
        <v>17007.802061673465</v>
      </c>
      <c r="D21" s="54">
        <f>IF(D3=0,0,D3/TrAvia_act!D13*1000)</f>
        <v>16492.033749582693</v>
      </c>
      <c r="E21" s="54">
        <f>IF(E3=0,0,E3/TrAvia_act!E13*1000)</f>
        <v>13999.896490184741</v>
      </c>
      <c r="F21" s="54">
        <f>IF(F3=0,0,F3/TrAvia_act!F13*1000)</f>
        <v>12057.900379541226</v>
      </c>
      <c r="G21" s="54">
        <f>IF(G3=0,0,G3/TrAvia_act!G13*1000)</f>
        <v>12071.439080052029</v>
      </c>
      <c r="H21" s="54">
        <f>IF(H3=0,0,H3/TrAvia_act!H13*1000)</f>
        <v>11986.27830972204</v>
      </c>
      <c r="I21" s="54">
        <f>IF(I3=0,0,I3/TrAvia_act!I13*1000)</f>
        <v>10820.799941701984</v>
      </c>
      <c r="J21" s="54">
        <f>IF(J3=0,0,J3/TrAvia_act!J13*1000)</f>
        <v>12687.548950151782</v>
      </c>
      <c r="K21" s="54">
        <f>IF(K3=0,0,K3/TrAvia_act!K13*1000)</f>
        <v>11986.522819769913</v>
      </c>
      <c r="L21" s="54">
        <f>IF(L3=0,0,L3/TrAvia_act!L13*1000)</f>
        <v>12412.040969106629</v>
      </c>
      <c r="M21" s="54">
        <f>IF(M3=0,0,M3/TrAvia_act!M13*1000)</f>
        <v>12004.416957692083</v>
      </c>
      <c r="N21" s="54">
        <f>IF(N3=0,0,N3/TrAvia_act!N13*1000)</f>
        <v>11030.25589078652</v>
      </c>
      <c r="O21" s="54">
        <f>IF(O3=0,0,O3/TrAvia_act!O13*1000)</f>
        <v>11228.296597219087</v>
      </c>
      <c r="P21" s="54">
        <f>IF(P3=0,0,P3/TrAvia_act!P13*1000)</f>
        <v>11011.964605415798</v>
      </c>
      <c r="Q21" s="54">
        <f>IF(Q3=0,0,Q3/TrAvia_act!Q13*1000)</f>
        <v>10116.636198817561</v>
      </c>
      <c r="R21" s="54">
        <f>IF(R3=0,0,R3/TrAvia_act!R13*1000)</f>
        <v>10097.611791089845</v>
      </c>
      <c r="S21" s="54">
        <f>IF(S3=0,0,S3/TrAvia_act!S13*1000)</f>
        <v>10724.106863356743</v>
      </c>
      <c r="T21" s="54">
        <f>IF(T3=0,0,T3/TrAvia_act!T13*1000)</f>
        <v>11132.5746042719</v>
      </c>
      <c r="U21" s="54">
        <f>IF(U3=0,0,U3/TrAvia_act!U13*1000)</f>
        <v>10379.954058399562</v>
      </c>
      <c r="V21" s="54">
        <f>IF(V3=0,0,V3/TrAvia_act!V13*1000)</f>
        <v>11474.761106716247</v>
      </c>
      <c r="W21" s="54">
        <f>IF(W3=0,0,W3/TrAvia_act!W13*1000)</f>
        <v>12567.817272928374</v>
      </c>
      <c r="X21" s="54">
        <f>IF(X3=0,0,X3/TrAvia_act!X13*1000)</f>
        <v>12355.957716351693</v>
      </c>
      <c r="Y21" s="54">
        <f>IF(Y3=0,0,Y3/TrAvia_act!Y13*1000)</f>
        <v>11950.718787567241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17049.269297079289</v>
      </c>
      <c r="C22" s="11">
        <f>IF(C6=0,0,C6/TrAvia_act!C14*1000)</f>
        <v>16990.365850133305</v>
      </c>
      <c r="D22" s="11">
        <f>IF(D6=0,0,D6/TrAvia_act!D14*1000)</f>
        <v>16461.730940113506</v>
      </c>
      <c r="E22" s="11">
        <f>IF(E6=0,0,E6/TrAvia_act!E14*1000)</f>
        <v>13980.400543521251</v>
      </c>
      <c r="F22" s="11">
        <f>IF(F6=0,0,F6/TrAvia_act!F14*1000)</f>
        <v>12043.00116744166</v>
      </c>
      <c r="G22" s="11">
        <f>IF(G6=0,0,G6/TrAvia_act!G14*1000)</f>
        <v>12067.143094951953</v>
      </c>
      <c r="H22" s="11">
        <f>IF(H6=0,0,H6/TrAvia_act!H14*1000)</f>
        <v>11994.774344990115</v>
      </c>
      <c r="I22" s="11">
        <f>IF(I6=0,0,I6/TrAvia_act!I14*1000)</f>
        <v>10814.631157747199</v>
      </c>
      <c r="J22" s="11">
        <f>IF(J6=0,0,J6/TrAvia_act!J14*1000)</f>
        <v>12681.326131180984</v>
      </c>
      <c r="K22" s="11">
        <f>IF(K6=0,0,K6/TrAvia_act!K14*1000)</f>
        <v>11970.308110536915</v>
      </c>
      <c r="L22" s="11">
        <f>IF(L6=0,0,L6/TrAvia_act!L14*1000)</f>
        <v>12389.884741848266</v>
      </c>
      <c r="M22" s="11">
        <f>IF(M6=0,0,M6/TrAvia_act!M14*1000)</f>
        <v>11979.961053661998</v>
      </c>
      <c r="N22" s="11">
        <f>IF(N6=0,0,N6/TrAvia_act!N14*1000)</f>
        <v>11011.108779692011</v>
      </c>
      <c r="O22" s="11">
        <f>IF(O6=0,0,O6/TrAvia_act!O14*1000)</f>
        <v>11203.116558152173</v>
      </c>
      <c r="P22" s="11">
        <f>IF(P6=0,0,P6/TrAvia_act!P14*1000)</f>
        <v>10987.389092652471</v>
      </c>
      <c r="Q22" s="11">
        <f>IF(Q6=0,0,Q6/TrAvia_act!Q14*1000)</f>
        <v>10098.638754311978</v>
      </c>
      <c r="R22" s="11">
        <f>IF(R6=0,0,R6/TrAvia_act!R14*1000)</f>
        <v>10086.609122159536</v>
      </c>
      <c r="S22" s="11">
        <f>IF(S6=0,0,S6/TrAvia_act!S14*1000)</f>
        <v>10711.087915756558</v>
      </c>
      <c r="T22" s="11">
        <f>IF(T6=0,0,T6/TrAvia_act!T14*1000)</f>
        <v>11122.850933358444</v>
      </c>
      <c r="U22" s="11">
        <f>IF(U6=0,0,U6/TrAvia_act!U14*1000)</f>
        <v>10375.911994795673</v>
      </c>
      <c r="V22" s="11">
        <f>IF(V6=0,0,V6/TrAvia_act!V14*1000)</f>
        <v>11358.924364970959</v>
      </c>
      <c r="W22" s="11">
        <f>IF(W6=0,0,W6/TrAvia_act!W14*1000)</f>
        <v>12427.066485330677</v>
      </c>
      <c r="X22" s="11">
        <f>IF(X6=0,0,X6/TrAvia_act!X14*1000)</f>
        <v>12305.265050697184</v>
      </c>
      <c r="Y22" s="11">
        <f>IF(Y6=0,0,Y6/TrAvia_act!Y14*1000)</f>
        <v>11961.080027236267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16435.901075076752</v>
      </c>
      <c r="C24" s="84">
        <f>IF(C8=0,0,C8/TrAvia_act!C16*1000)</f>
        <v>16379.10589792374</v>
      </c>
      <c r="D24" s="84">
        <f>IF(D8=0,0,D8/TrAvia_act!D16*1000)</f>
        <v>15870.347531784824</v>
      </c>
      <c r="E24" s="84">
        <f>IF(E8=0,0,E8/TrAvia_act!E16*1000)</f>
        <v>13433.833921958516</v>
      </c>
      <c r="F24" s="84">
        <f>IF(F8=0,0,F8/TrAvia_act!F16*1000)</f>
        <v>11653.85369373844</v>
      </c>
      <c r="G24" s="84">
        <f>IF(G8=0,0,G8/TrAvia_act!G16*1000)</f>
        <v>11212.14043419544</v>
      </c>
      <c r="H24" s="84">
        <f>IF(H8=0,0,H8/TrAvia_act!H16*1000)</f>
        <v>11414.530743492151</v>
      </c>
      <c r="I24" s="84">
        <f>IF(I8=0,0,I8/TrAvia_act!I16*1000)</f>
        <v>10653.445931390232</v>
      </c>
      <c r="J24" s="84">
        <f>IF(J8=0,0,J8/TrAvia_act!J16*1000)</f>
        <v>12302.485144132379</v>
      </c>
      <c r="K24" s="84">
        <f>IF(K8=0,0,K8/TrAvia_act!K16*1000)</f>
        <v>10818.395301819881</v>
      </c>
      <c r="L24" s="84">
        <f>IF(L8=0,0,L8/TrAvia_act!L16*1000)</f>
        <v>11382.852908177816</v>
      </c>
      <c r="M24" s="84">
        <f>IF(M8=0,0,M8/TrAvia_act!M16*1000)</f>
        <v>11139.494217749108</v>
      </c>
      <c r="N24" s="84">
        <f>IF(N8=0,0,N8/TrAvia_act!N16*1000)</f>
        <v>9112.8727040988069</v>
      </c>
      <c r="O24" s="84">
        <f>IF(O8=0,0,O8/TrAvia_act!O16*1000)</f>
        <v>9502.9186291778333</v>
      </c>
      <c r="P24" s="84">
        <f>IF(P8=0,0,P8/TrAvia_act!P16*1000)</f>
        <v>10061.246265243017</v>
      </c>
      <c r="Q24" s="84">
        <f>IF(Q8=0,0,Q8/TrAvia_act!Q16*1000)</f>
        <v>9476.4580540488751</v>
      </c>
      <c r="R24" s="84">
        <f>IF(R8=0,0,R8/TrAvia_act!R16*1000)</f>
        <v>9437.2462742633616</v>
      </c>
      <c r="S24" s="84">
        <f>IF(S8=0,0,S8/TrAvia_act!S16*1000)</f>
        <v>10479.441471409964</v>
      </c>
      <c r="T24" s="84">
        <f>IF(T8=0,0,T8/TrAvia_act!T16*1000)</f>
        <v>11804.054585589967</v>
      </c>
      <c r="U24" s="84">
        <f>IF(U8=0,0,U8/TrAvia_act!U16*1000)</f>
        <v>11041.972243936982</v>
      </c>
      <c r="V24" s="84">
        <f>IF(V8=0,0,V8/TrAvia_act!V16*1000)</f>
        <v>9989.3195957524713</v>
      </c>
      <c r="W24" s="84">
        <f>IF(W8=0,0,W8/TrAvia_act!W16*1000)</f>
        <v>11973.990728987133</v>
      </c>
      <c r="X24" s="84">
        <f>IF(X8=0,0,X8/TrAvia_act!X16*1000)</f>
        <v>12481.371456663925</v>
      </c>
      <c r="Y24" s="84">
        <f>IF(Y8=0,0,Y8/TrAvia_act!Y16*1000)</f>
        <v>13480.191334859086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18366.847014312105</v>
      </c>
      <c r="C25" s="84">
        <f>IF(C9=0,0,C9/TrAvia_act!C17*1000)</f>
        <v>18303.365103272055</v>
      </c>
      <c r="D25" s="84">
        <f>IF(D9=0,0,D9/TrAvia_act!D17*1000)</f>
        <v>17720.037661882165</v>
      </c>
      <c r="E25" s="84">
        <f>IF(E9=0,0,E9/TrAvia_act!E17*1000)</f>
        <v>15047.609407990672</v>
      </c>
      <c r="F25" s="84">
        <f>IF(F9=0,0,F9/TrAvia_act!F17*1000)</f>
        <v>12982.613903131669</v>
      </c>
      <c r="G25" s="84">
        <f>IF(G9=0,0,G9/TrAvia_act!G17*1000)</f>
        <v>14706.028900108926</v>
      </c>
      <c r="H25" s="84">
        <f>IF(H9=0,0,H9/TrAvia_act!H17*1000)</f>
        <v>13612.074052419321</v>
      </c>
      <c r="I25" s="84">
        <f>IF(I9=0,0,I9/TrAvia_act!I17*1000)</f>
        <v>11210.4528494593</v>
      </c>
      <c r="J25" s="84">
        <f>IF(J9=0,0,J9/TrAvia_act!J17*1000)</f>
        <v>13679.354280686412</v>
      </c>
      <c r="K25" s="84">
        <f>IF(K9=0,0,K9/TrAvia_act!K17*1000)</f>
        <v>15647.56899324874</v>
      </c>
      <c r="L25" s="84">
        <f>IF(L9=0,0,L9/TrAvia_act!L17*1000)</f>
        <v>15319.297511656014</v>
      </c>
      <c r="M25" s="84">
        <f>IF(M9=0,0,M9/TrAvia_act!M17*1000)</f>
        <v>14299.44141453096</v>
      </c>
      <c r="N25" s="84">
        <f>IF(N9=0,0,N9/TrAvia_act!N17*1000)</f>
        <v>19887.166931121745</v>
      </c>
      <c r="O25" s="84">
        <f>IF(O9=0,0,O9/TrAvia_act!O17*1000)</f>
        <v>18304.737471264289</v>
      </c>
      <c r="P25" s="84">
        <f>IF(P9=0,0,P9/TrAvia_act!P17*1000)</f>
        <v>13793.682271917682</v>
      </c>
      <c r="Q25" s="84">
        <f>IF(Q9=0,0,Q9/TrAvia_act!Q17*1000)</f>
        <v>11869.937716236733</v>
      </c>
      <c r="R25" s="84">
        <f>IF(R9=0,0,R9/TrAvia_act!R17*1000)</f>
        <v>12167.009809890817</v>
      </c>
      <c r="S25" s="84">
        <f>IF(S9=0,0,S9/TrAvia_act!S17*1000)</f>
        <v>11359.434071335234</v>
      </c>
      <c r="T25" s="84">
        <f>IF(T9=0,0,T9/TrAvia_act!T17*1000)</f>
        <v>9676.2477037997778</v>
      </c>
      <c r="U25" s="84">
        <f>IF(U9=0,0,U9/TrAvia_act!U17*1000)</f>
        <v>8971.6536985359544</v>
      </c>
      <c r="V25" s="84">
        <f>IF(V9=0,0,V9/TrAvia_act!V17*1000)</f>
        <v>15115.667638210376</v>
      </c>
      <c r="W25" s="84">
        <f>IF(W9=0,0,W9/TrAvia_act!W17*1000)</f>
        <v>13447.292346203223</v>
      </c>
      <c r="X25" s="84">
        <f>IF(X9=0,0,X9/TrAvia_act!X17*1000)</f>
        <v>11859.022371842357</v>
      </c>
      <c r="Y25" s="84">
        <f>IF(Y9=0,0,Y9/TrAvia_act!Y17*1000)</f>
        <v>9290.6192362949478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17744.878452728008</v>
      </c>
      <c r="C26" s="13">
        <f>IF(C10=0,0,C10/TrAvia_act!C18*1000)</f>
        <v>17804.952418780354</v>
      </c>
      <c r="D26" s="13">
        <f>IF(D10=0,0,D10/TrAvia_act!D18*1000)</f>
        <v>17686.251602776614</v>
      </c>
      <c r="E26" s="13">
        <f>IF(E10=0,0,E10/TrAvia_act!E18*1000)</f>
        <v>14929.203440197038</v>
      </c>
      <c r="F26" s="13">
        <f>IF(F10=0,0,F10/TrAvia_act!F18*1000)</f>
        <v>12967.281462046367</v>
      </c>
      <c r="G26" s="13">
        <f>IF(G10=0,0,G10/TrAvia_act!G18*1000)</f>
        <v>12301.726208185704</v>
      </c>
      <c r="H26" s="13">
        <f>IF(H10=0,0,H10/TrAvia_act!H18*1000)</f>
        <v>11621.47994006306</v>
      </c>
      <c r="I26" s="13">
        <f>IF(I10=0,0,I10/TrAvia_act!I18*1000)</f>
        <v>11165.31867682236</v>
      </c>
      <c r="J26" s="13">
        <f>IF(J10=0,0,J10/TrAvia_act!J18*1000)</f>
        <v>13086.909255227407</v>
      </c>
      <c r="K26" s="13">
        <f>IF(K10=0,0,K10/TrAvia_act!K18*1000)</f>
        <v>13050.290164710501</v>
      </c>
      <c r="L26" s="13">
        <f>IF(L10=0,0,L10/TrAvia_act!L18*1000)</f>
        <v>13729.888451664277</v>
      </c>
      <c r="M26" s="13">
        <f>IF(M10=0,0,M10/TrAvia_act!M18*1000)</f>
        <v>13462.284378367967</v>
      </c>
      <c r="N26" s="13">
        <f>IF(N10=0,0,N10/TrAvia_act!N18*1000)</f>
        <v>11991.74372518947</v>
      </c>
      <c r="O26" s="13">
        <f>IF(O10=0,0,O10/TrAvia_act!O18*1000)</f>
        <v>12390.147488803383</v>
      </c>
      <c r="P26" s="13">
        <f>IF(P10=0,0,P10/TrAvia_act!P18*1000)</f>
        <v>12433.68613249374</v>
      </c>
      <c r="Q26" s="13">
        <f>IF(Q10=0,0,Q10/TrAvia_act!Q18*1000)</f>
        <v>11140.431012903458</v>
      </c>
      <c r="R26" s="13">
        <f>IF(R10=0,0,R10/TrAvia_act!R18*1000)</f>
        <v>10743.247797416128</v>
      </c>
      <c r="S26" s="13">
        <f>IF(S10=0,0,S10/TrAvia_act!S18*1000)</f>
        <v>11484.580798576215</v>
      </c>
      <c r="T26" s="13">
        <f>IF(T10=0,0,T10/TrAvia_act!T18*1000)</f>
        <v>11721.766621531906</v>
      </c>
      <c r="U26" s="13">
        <f>IF(U10=0,0,U10/TrAvia_act!U18*1000)</f>
        <v>10652.462473259489</v>
      </c>
      <c r="V26" s="13">
        <f>IF(V10=0,0,V10/TrAvia_act!V18*1000)</f>
        <v>14083.566322954655</v>
      </c>
      <c r="W26" s="13">
        <f>IF(W10=0,0,W10/TrAvia_act!W18*1000)</f>
        <v>14826.496463167234</v>
      </c>
      <c r="X26" s="13">
        <f>IF(X10=0,0,X10/TrAvia_act!X18*1000)</f>
        <v>13513.670028389261</v>
      </c>
      <c r="Y26" s="13">
        <f>IF(Y10=0,0,Y10/TrAvia_act!Y18*1000)</f>
        <v>11610.985494621966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19071.793285533004</v>
      </c>
      <c r="C28" s="102">
        <f>IF(C12=0,0,C12/TrAvia_act!C20*1000)</f>
        <v>18952.925723561795</v>
      </c>
      <c r="D28" s="102">
        <f>IF(D12=0,0,D12/TrAvia_act!D20*1000)</f>
        <v>18165.20663221096</v>
      </c>
      <c r="E28" s="102">
        <f>IF(E12=0,0,E12/TrAvia_act!E20*1000)</f>
        <v>15429.275660190318</v>
      </c>
      <c r="F28" s="102">
        <f>IF(F12=0,0,F12/TrAvia_act!F20*1000)</f>
        <v>13299.411229268244</v>
      </c>
      <c r="G28" s="102">
        <f>IF(G12=0,0,G12/TrAvia_act!G20*1000)</f>
        <v>12378.477046861215</v>
      </c>
      <c r="H28" s="102">
        <f>IF(H12=0,0,H12/TrAvia_act!H20*1000)</f>
        <v>12652.970613036703</v>
      </c>
      <c r="I28" s="102">
        <f>IF(I12=0,0,I12/TrAvia_act!I20*1000)</f>
        <v>12042.025268815014</v>
      </c>
      <c r="J28" s="102">
        <f>IF(J12=0,0,J12/TrAvia_act!J20*1000)</f>
        <v>13954.762612558594</v>
      </c>
      <c r="K28" s="102">
        <f>IF(K12=0,0,K12/TrAvia_act!K20*1000)</f>
        <v>12676.395941485633</v>
      </c>
      <c r="L28" s="102">
        <f>IF(L12=0,0,L12/TrAvia_act!L20*1000)</f>
        <v>13489.942265786898</v>
      </c>
      <c r="M28" s="102">
        <f>IF(M12=0,0,M12/TrAvia_act!M20*1000)</f>
        <v>13304.724713262241</v>
      </c>
      <c r="N28" s="102">
        <f>IF(N12=0,0,N12/TrAvia_act!N20*1000)</f>
        <v>10931.312123268643</v>
      </c>
      <c r="O28" s="102">
        <f>IF(O12=0,0,O12/TrAvia_act!O20*1000)</f>
        <v>11454.709957333704</v>
      </c>
      <c r="P28" s="102">
        <f>IF(P12=0,0,P12/TrAvia_act!P20*1000)</f>
        <v>12157.279217240444</v>
      </c>
      <c r="Q28" s="102">
        <f>IF(Q12=0,0,Q12/TrAvia_act!Q20*1000)</f>
        <v>11080.527314444475</v>
      </c>
      <c r="R28" s="102">
        <f>IF(R12=0,0,R12/TrAvia_act!R20*1000)</f>
        <v>10890.005132289254</v>
      </c>
      <c r="S28" s="102">
        <f>IF(S12=0,0,S12/TrAvia_act!S20*1000)</f>
        <v>11883.595654825051</v>
      </c>
      <c r="T28" s="102">
        <f>IF(T12=0,0,T12/TrAvia_act!T20*1000)</f>
        <v>12941.108496121533</v>
      </c>
      <c r="U28" s="102">
        <f>IF(U12=0,0,U12/TrAvia_act!U20*1000)</f>
        <v>11721.84398773145</v>
      </c>
      <c r="V28" s="102">
        <f>IF(V12=0,0,V12/TrAvia_act!V20*1000)</f>
        <v>14128.666261244398</v>
      </c>
      <c r="W28" s="102">
        <f>IF(W12=0,0,W12/TrAvia_act!W20*1000)</f>
        <v>16297.331786406659</v>
      </c>
      <c r="X28" s="102">
        <f>IF(X12=0,0,X12/TrAvia_act!X20*1000)</f>
        <v>14597.718543384455</v>
      </c>
      <c r="Y28" s="102">
        <f>IF(Y12=0,0,Y12/TrAvia_act!Y20*1000)</f>
        <v>15530.670810377693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14652.56658837776</v>
      </c>
      <c r="C29" s="86">
        <f>IF(C13=0,0,C13/TrAvia_act!C21*1000)</f>
        <v>14601.922461601571</v>
      </c>
      <c r="D29" s="86">
        <f>IF(D13=0,0,D13/TrAvia_act!D21*1000)</f>
        <v>14136.559834519576</v>
      </c>
      <c r="E29" s="86">
        <f>IF(E13=0,0,E13/TrAvia_act!E21*1000)</f>
        <v>12004.569901119794</v>
      </c>
      <c r="F29" s="86">
        <f>IF(F13=0,0,F13/TrAvia_act!F21*1000)</f>
        <v>10357.1731478246</v>
      </c>
      <c r="G29" s="86">
        <f>IF(G13=0,0,G13/TrAvia_act!G21*1000)</f>
        <v>11635.925703481362</v>
      </c>
      <c r="H29" s="86">
        <f>IF(H13=0,0,H13/TrAvia_act!H21*1000)</f>
        <v>10525.508287069881</v>
      </c>
      <c r="I29" s="86">
        <f>IF(I13=0,0,I13/TrAvia_act!I21*1000)</f>
        <v>8664.7386237662722</v>
      </c>
      <c r="J29" s="86">
        <f>IF(J13=0,0,J13/TrAvia_act!J21*1000)</f>
        <v>11330.286537604443</v>
      </c>
      <c r="K29" s="86">
        <f>IF(K13=0,0,K13/TrAvia_act!K21*1000)</f>
        <v>14014.938294168351</v>
      </c>
      <c r="L29" s="86">
        <f>IF(L13=0,0,L13/TrAvia_act!L21*1000)</f>
        <v>14266.724014505377</v>
      </c>
      <c r="M29" s="86">
        <f>IF(M13=0,0,M13/TrAvia_act!M21*1000)</f>
        <v>14500.637204684996</v>
      </c>
      <c r="N29" s="86">
        <f>IF(N13=0,0,N13/TrAvia_act!N21*1000)</f>
        <v>21240.934702082202</v>
      </c>
      <c r="O29" s="86">
        <f>IF(O13=0,0,O13/TrAvia_act!O21*1000)</f>
        <v>18972.472585092521</v>
      </c>
      <c r="P29" s="86">
        <f>IF(P13=0,0,P13/TrAvia_act!P21*1000)</f>
        <v>15422.08420042997</v>
      </c>
      <c r="Q29" s="86">
        <f>IF(Q13=0,0,Q13/TrAvia_act!Q21*1000)</f>
        <v>11684.944019008291</v>
      </c>
      <c r="R29" s="86">
        <f>IF(R13=0,0,R13/TrAvia_act!R21*1000)</f>
        <v>10046.415078726042</v>
      </c>
      <c r="S29" s="86">
        <f>IF(S13=0,0,S13/TrAvia_act!S21*1000)</f>
        <v>9625.9779743928011</v>
      </c>
      <c r="T29" s="86">
        <f>IF(T13=0,0,T13/TrAvia_act!T21*1000)</f>
        <v>7330.3055811670474</v>
      </c>
      <c r="U29" s="86">
        <f>IF(U13=0,0,U13/TrAvia_act!U21*1000)</f>
        <v>8035.0157720480374</v>
      </c>
      <c r="V29" s="86">
        <f>IF(V13=0,0,V13/TrAvia_act!V21*1000)</f>
        <v>13980.967934936536</v>
      </c>
      <c r="W29" s="86">
        <f>IF(W13=0,0,W13/TrAvia_act!W21*1000)</f>
        <v>13041.143218552374</v>
      </c>
      <c r="X29" s="86">
        <f>IF(X13=0,0,X13/TrAvia_act!X21*1000)</f>
        <v>12679.889771464776</v>
      </c>
      <c r="Y29" s="86">
        <f>IF(Y13=0,0,Y13/TrAvia_act!Y21*1000)</f>
        <v>8245.236098629277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184.8053342004138</v>
      </c>
      <c r="C32" s="14">
        <f>IF(C6=0,0,C6/TrAvia_act!C4*1000)</f>
        <v>181.82986670530818</v>
      </c>
      <c r="D32" s="14">
        <f>IF(D6=0,0,D6/TrAvia_act!D4*1000)</f>
        <v>178.34445484595375</v>
      </c>
      <c r="E32" s="14">
        <f>IF(E6=0,0,E6/TrAvia_act!E4*1000)</f>
        <v>156.36802963311291</v>
      </c>
      <c r="F32" s="14">
        <f>IF(F6=0,0,F6/TrAvia_act!F4*1000)</f>
        <v>136.62634932446747</v>
      </c>
      <c r="G32" s="14">
        <f>IF(G6=0,0,G6/TrAvia_act!G4*1000)</f>
        <v>128.01597633906766</v>
      </c>
      <c r="H32" s="14">
        <f>IF(H6=0,0,H6/TrAvia_act!H4*1000)</f>
        <v>125.31196938098158</v>
      </c>
      <c r="I32" s="14">
        <f>IF(I6=0,0,I6/TrAvia_act!I4*1000)</f>
        <v>110.32370513237696</v>
      </c>
      <c r="J32" s="14">
        <f>IF(J6=0,0,J6/TrAvia_act!J4*1000)</f>
        <v>130.83130713888147</v>
      </c>
      <c r="K32" s="14">
        <f>IF(K6=0,0,K6/TrAvia_act!K4*1000)</f>
        <v>123.61581499701613</v>
      </c>
      <c r="L32" s="14">
        <f>IF(L6=0,0,L6/TrAvia_act!L4*1000)</f>
        <v>122.44510016458914</v>
      </c>
      <c r="M32" s="14">
        <f>IF(M6=0,0,M6/TrAvia_act!M4*1000)</f>
        <v>115.51701084309585</v>
      </c>
      <c r="N32" s="14">
        <f>IF(N6=0,0,N6/TrAvia_act!N4*1000)</f>
        <v>91.157901921230717</v>
      </c>
      <c r="O32" s="14">
        <f>IF(O6=0,0,O6/TrAvia_act!O4*1000)</f>
        <v>89.181104053031433</v>
      </c>
      <c r="P32" s="14">
        <f>IF(P6=0,0,P6/TrAvia_act!P4*1000)</f>
        <v>85.022260367585375</v>
      </c>
      <c r="Q32" s="14">
        <f>IF(Q6=0,0,Q6/TrAvia_act!Q4*1000)</f>
        <v>74.307720169026823</v>
      </c>
      <c r="R32" s="14">
        <f>IF(R6=0,0,R6/TrAvia_act!R4*1000)</f>
        <v>69.427068539154419</v>
      </c>
      <c r="S32" s="14">
        <f>IF(S6=0,0,S6/TrAvia_act!S4*1000)</f>
        <v>70.21540830690293</v>
      </c>
      <c r="T32" s="14">
        <f>IF(T6=0,0,T6/TrAvia_act!T4*1000)</f>
        <v>72.406836721951819</v>
      </c>
      <c r="U32" s="14">
        <f>IF(U6=0,0,U6/TrAvia_act!U4*1000)</f>
        <v>65.894861702252868</v>
      </c>
      <c r="V32" s="14">
        <f>IF(V6=0,0,V6/TrAvia_act!V4*1000)</f>
        <v>95.902340318878032</v>
      </c>
      <c r="W32" s="14">
        <f>IF(W6=0,0,W6/TrAvia_act!W4*1000)</f>
        <v>99.066620137701975</v>
      </c>
      <c r="X32" s="14">
        <f>IF(X6=0,0,X6/TrAvia_act!X4*1000)</f>
        <v>79.617262645713538</v>
      </c>
      <c r="Y32" s="14">
        <f>IF(Y6=0,0,Y6/TrAvia_act!Y4*1000)</f>
        <v>71.780791143264196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194.71732203708939</v>
      </c>
      <c r="C34" s="87">
        <f>IF(C8=0,0,C8/TrAvia_act!C6*1000)</f>
        <v>190.45636913555191</v>
      </c>
      <c r="D34" s="87">
        <f>IF(D8=0,0,D8/TrAvia_act!D6*1000)</f>
        <v>179.31718897443741</v>
      </c>
      <c r="E34" s="87">
        <f>IF(E8=0,0,E8/TrAvia_act!E6*1000)</f>
        <v>162.59641979737009</v>
      </c>
      <c r="F34" s="87">
        <f>IF(F8=0,0,F8/TrAvia_act!F6*1000)</f>
        <v>147.22229720155028</v>
      </c>
      <c r="G34" s="87">
        <f>IF(G8=0,0,G8/TrAvia_act!G6*1000)</f>
        <v>128.70182170574589</v>
      </c>
      <c r="H34" s="87">
        <f>IF(H8=0,0,H8/TrAvia_act!H6*1000)</f>
        <v>128.66669876062889</v>
      </c>
      <c r="I34" s="87">
        <f>IF(I8=0,0,I8/TrAvia_act!I6*1000)</f>
        <v>118.77029346639648</v>
      </c>
      <c r="J34" s="87">
        <f>IF(J8=0,0,J8/TrAvia_act!J6*1000)</f>
        <v>138.25428486176179</v>
      </c>
      <c r="K34" s="87">
        <f>IF(K8=0,0,K8/TrAvia_act!K6*1000)</f>
        <v>119.22240413188322</v>
      </c>
      <c r="L34" s="87">
        <f>IF(L8=0,0,L8/TrAvia_act!L6*1000)</f>
        <v>118.37060655222939</v>
      </c>
      <c r="M34" s="87">
        <f>IF(M8=0,0,M8/TrAvia_act!M6*1000)</f>
        <v>110.37805145535967</v>
      </c>
      <c r="N34" s="87">
        <f>IF(N8=0,0,N8/TrAvia_act!N6*1000)</f>
        <v>74.977259791006247</v>
      </c>
      <c r="O34" s="87">
        <f>IF(O8=0,0,O8/TrAvia_act!O6*1000)</f>
        <v>75.250338705514338</v>
      </c>
      <c r="P34" s="87">
        <f>IF(P8=0,0,P8/TrAvia_act!P6*1000)</f>
        <v>77.513177883904106</v>
      </c>
      <c r="Q34" s="87">
        <f>IF(Q8=0,0,Q8/TrAvia_act!Q6*1000)</f>
        <v>70.703956575544666</v>
      </c>
      <c r="R34" s="87">
        <f>IF(R8=0,0,R8/TrAvia_act!R6*1000)</f>
        <v>66.121496613275269</v>
      </c>
      <c r="S34" s="87">
        <f>IF(S8=0,0,S8/TrAvia_act!S6*1000)</f>
        <v>69.852054942264985</v>
      </c>
      <c r="T34" s="87">
        <f>IF(T8=0,0,T8/TrAvia_act!T6*1000)</f>
        <v>78.625175265015315</v>
      </c>
      <c r="U34" s="87">
        <f>IF(U8=0,0,U8/TrAvia_act!U6*1000)</f>
        <v>72.804957548606509</v>
      </c>
      <c r="V34" s="87">
        <f>IF(V8=0,0,V8/TrAvia_act!V6*1000)</f>
        <v>87.21320005608267</v>
      </c>
      <c r="W34" s="87">
        <f>IF(W8=0,0,W8/TrAvia_act!W6*1000)</f>
        <v>98.699371724951519</v>
      </c>
      <c r="X34" s="87">
        <f>IF(X8=0,0,X8/TrAvia_act!X6*1000)</f>
        <v>84.371842192760994</v>
      </c>
      <c r="Y34" s="87">
        <f>IF(Y8=0,0,Y8/TrAvia_act!Y6*1000)</f>
        <v>84.265033227816076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168.33354687059625</v>
      </c>
      <c r="C35" s="87">
        <f>IF(C9=0,0,C9/TrAvia_act!C7*1000)</f>
        <v>167.26698687267651</v>
      </c>
      <c r="D35" s="87">
        <f>IF(D9=0,0,D9/TrAvia_act!D7*1000)</f>
        <v>176.51969973605887</v>
      </c>
      <c r="E35" s="87">
        <f>IF(E9=0,0,E9/TrAvia_act!E7*1000)</f>
        <v>146.58035795888188</v>
      </c>
      <c r="F35" s="87">
        <f>IF(F9=0,0,F9/TrAvia_act!F7*1000)</f>
        <v>118.18948121937122</v>
      </c>
      <c r="G35" s="87">
        <f>IF(G9=0,0,G9/TrAvia_act!G7*1000)</f>
        <v>126.43057265035721</v>
      </c>
      <c r="H35" s="87">
        <f>IF(H9=0,0,H9/TrAvia_act!H7*1000)</f>
        <v>118.11405275014334</v>
      </c>
      <c r="I35" s="87">
        <f>IF(I9=0,0,I9/TrAvia_act!I7*1000)</f>
        <v>94.62013591696666</v>
      </c>
      <c r="J35" s="87">
        <f>IF(J9=0,0,J9/TrAvia_act!J7*1000)</f>
        <v>116.06674881752126</v>
      </c>
      <c r="K35" s="87">
        <f>IF(K9=0,0,K9/TrAvia_act!K7*1000)</f>
        <v>134.55992601692611</v>
      </c>
      <c r="L35" s="87">
        <f>IF(L9=0,0,L9/TrAvia_act!L7*1000)</f>
        <v>132.28743188186471</v>
      </c>
      <c r="M35" s="87">
        <f>IF(M9=0,0,M9/TrAvia_act!M7*1000)</f>
        <v>128.36567210481169</v>
      </c>
      <c r="N35" s="87">
        <f>IF(N9=0,0,N9/TrAvia_act!N7*1000)</f>
        <v>169.56477258431252</v>
      </c>
      <c r="O35" s="87">
        <f>IF(O9=0,0,O9/TrAvia_act!O7*1000)</f>
        <v>148.9921538729692</v>
      </c>
      <c r="P35" s="87">
        <f>IF(P9=0,0,P9/TrAvia_act!P7*1000)</f>
        <v>108.18602413772997</v>
      </c>
      <c r="Q35" s="87">
        <f>IF(Q9=0,0,Q9/TrAvia_act!Q7*1000)</f>
        <v>84.04397920536185</v>
      </c>
      <c r="R35" s="87">
        <f>IF(R9=0,0,R9/TrAvia_act!R7*1000)</f>
        <v>79.275418198086726</v>
      </c>
      <c r="S35" s="87">
        <f>IF(S9=0,0,S9/TrAvia_act!S7*1000)</f>
        <v>71.171319974299777</v>
      </c>
      <c r="T35" s="87">
        <f>IF(T9=0,0,T9/TrAvia_act!T7*1000)</f>
        <v>60.094413595772821</v>
      </c>
      <c r="U35" s="87">
        <f>IF(U9=0,0,U9/TrAvia_act!U7*1000)</f>
        <v>52.873201494158259</v>
      </c>
      <c r="V35" s="87">
        <f>IF(V9=0,0,V9/TrAvia_act!V7*1000)</f>
        <v>117.03981165733963</v>
      </c>
      <c r="W35" s="87">
        <f>IF(W9=0,0,W9/TrAvia_act!W7*1000)</f>
        <v>99.811274460592472</v>
      </c>
      <c r="X35" s="87">
        <f>IF(X9=0,0,X9/TrAvia_act!X7*1000)</f>
        <v>69.215075701863483</v>
      </c>
      <c r="Y35" s="87">
        <f>IF(Y9=0,0,Y9/TrAvia_act!Y7*1000)</f>
        <v>52.094803970902824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400.87973504745491</v>
      </c>
      <c r="C36" s="15">
        <f>IF(C10=0,0,C10/TrAvia_act!C8*1000)</f>
        <v>405.34350864253935</v>
      </c>
      <c r="D36" s="15">
        <f>IF(D10=0,0,D10/TrAvia_act!D8*1000)</f>
        <v>557.72819071365984</v>
      </c>
      <c r="E36" s="15">
        <f>IF(E10=0,0,E10/TrAvia_act!E8*1000)</f>
        <v>456.5994631750799</v>
      </c>
      <c r="F36" s="15">
        <f>IF(F10=0,0,F10/TrAvia_act!F8*1000)</f>
        <v>449.52461797434239</v>
      </c>
      <c r="G36" s="15">
        <f>IF(G10=0,0,G10/TrAvia_act!G8*1000)</f>
        <v>440.85203090465194</v>
      </c>
      <c r="H36" s="15">
        <f>IF(H10=0,0,H10/TrAvia_act!H8*1000)</f>
        <v>259.48098617641347</v>
      </c>
      <c r="I36" s="15">
        <f>IF(I10=0,0,I10/TrAvia_act!I8*1000)</f>
        <v>346.06586292040936</v>
      </c>
      <c r="J36" s="15">
        <f>IF(J10=0,0,J10/TrAvia_act!J8*1000)</f>
        <v>374.23764874198162</v>
      </c>
      <c r="K36" s="15">
        <f>IF(K10=0,0,K10/TrAvia_act!K8*1000)</f>
        <v>374.85264376601236</v>
      </c>
      <c r="L36" s="15">
        <f>IF(L10=0,0,L10/TrAvia_act!L8*1000)</f>
        <v>369.21989222070391</v>
      </c>
      <c r="M36" s="15">
        <f>IF(M10=0,0,M10/TrAvia_act!M8*1000)</f>
        <v>489.96953996211505</v>
      </c>
      <c r="N36" s="15">
        <f>IF(N10=0,0,N10/TrAvia_act!N8*1000)</f>
        <v>448.02784047976616</v>
      </c>
      <c r="O36" s="15">
        <f>IF(O10=0,0,O10/TrAvia_act!O8*1000)</f>
        <v>459.57833334044295</v>
      </c>
      <c r="P36" s="15">
        <f>IF(P10=0,0,P10/TrAvia_act!P8*1000)</f>
        <v>420.43444920370746</v>
      </c>
      <c r="Q36" s="15">
        <f>IF(Q10=0,0,Q10/TrAvia_act!Q8*1000)</f>
        <v>362.81221396821138</v>
      </c>
      <c r="R36" s="15">
        <f>IF(R10=0,0,R10/TrAvia_act!R8*1000)</f>
        <v>278.42595051325179</v>
      </c>
      <c r="S36" s="15">
        <f>IF(S10=0,0,S10/TrAvia_act!S8*1000)</f>
        <v>314.81084846804208</v>
      </c>
      <c r="T36" s="15">
        <f>IF(T10=0,0,T10/TrAvia_act!T8*1000)</f>
        <v>294.70888822209304</v>
      </c>
      <c r="U36" s="15">
        <f>IF(U10=0,0,U10/TrAvia_act!U8*1000)</f>
        <v>226.90469729206637</v>
      </c>
      <c r="V36" s="15">
        <f>IF(V10=0,0,V10/TrAvia_act!V8*1000)</f>
        <v>406.73422793272579</v>
      </c>
      <c r="W36" s="15">
        <f>IF(W10=0,0,W10/TrAvia_act!W8*1000)</f>
        <v>364.9279454565102</v>
      </c>
      <c r="X36" s="15">
        <f>IF(X10=0,0,X10/TrAvia_act!X8*1000)</f>
        <v>269.28970240226602</v>
      </c>
      <c r="Y36" s="15">
        <f>IF(Y10=0,0,Y10/TrAvia_act!Y8*1000)</f>
        <v>227.11987346255395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773.59134443913797</v>
      </c>
      <c r="C38" s="101">
        <f>IF(C12=0,0,C12/TrAvia_act!C10*1000)</f>
        <v>732.37522104675156</v>
      </c>
      <c r="D38" s="101">
        <f>IF(D12=0,0,D12/TrAvia_act!D10*1000)</f>
        <v>757.54271443559935</v>
      </c>
      <c r="E38" s="101">
        <f>IF(E12=0,0,E12/TrAvia_act!E10*1000)</f>
        <v>630.86581862845674</v>
      </c>
      <c r="F38" s="101">
        <f>IF(F12=0,0,F12/TrAvia_act!F10*1000)</f>
        <v>590.35018258316131</v>
      </c>
      <c r="G38" s="101">
        <f>IF(G12=0,0,G12/TrAvia_act!G10*1000)</f>
        <v>547.45952384364523</v>
      </c>
      <c r="H38" s="101">
        <f>IF(H12=0,0,H12/TrAvia_act!H10*1000)</f>
        <v>639.99821591988882</v>
      </c>
      <c r="I38" s="101">
        <f>IF(I12=0,0,I12/TrAvia_act!I10*1000)</f>
        <v>634.76677198988557</v>
      </c>
      <c r="J38" s="101">
        <f>IF(J12=0,0,J12/TrAvia_act!J10*1000)</f>
        <v>763.6594187877364</v>
      </c>
      <c r="K38" s="101">
        <f>IF(K12=0,0,K12/TrAvia_act!K10*1000)</f>
        <v>694.61434695745606</v>
      </c>
      <c r="L38" s="101">
        <f>IF(L12=0,0,L12/TrAvia_act!L10*1000)</f>
        <v>726.46649141815965</v>
      </c>
      <c r="M38" s="101">
        <f>IF(M12=0,0,M12/TrAvia_act!M10*1000)</f>
        <v>677.76320429499356</v>
      </c>
      <c r="N38" s="101">
        <f>IF(N12=0,0,N12/TrAvia_act!N10*1000)</f>
        <v>512.31180012902848</v>
      </c>
      <c r="O38" s="101">
        <f>IF(O12=0,0,O12/TrAvia_act!O10*1000)</f>
        <v>540.6780877050162</v>
      </c>
      <c r="P38" s="101">
        <f>IF(P12=0,0,P12/TrAvia_act!P10*1000)</f>
        <v>491.58046521306545</v>
      </c>
      <c r="Q38" s="101">
        <f>IF(Q12=0,0,Q12/TrAvia_act!Q10*1000)</f>
        <v>450.7916111542965</v>
      </c>
      <c r="R38" s="101">
        <f>IF(R12=0,0,R12/TrAvia_act!R10*1000)</f>
        <v>401.98544525395192</v>
      </c>
      <c r="S38" s="101">
        <f>IF(S12=0,0,S12/TrAvia_act!S10*1000)</f>
        <v>477.88206602836402</v>
      </c>
      <c r="T38" s="101">
        <f>IF(T12=0,0,T12/TrAvia_act!T10*1000)</f>
        <v>511.08778553831513</v>
      </c>
      <c r="U38" s="101">
        <f>IF(U12=0,0,U12/TrAvia_act!U10*1000)</f>
        <v>441.46960779822354</v>
      </c>
      <c r="V38" s="101">
        <f>IF(V12=0,0,V12/TrAvia_act!V10*1000)</f>
        <v>624.51271204977752</v>
      </c>
      <c r="W38" s="101">
        <f>IF(W12=0,0,W12/TrAvia_act!W10*1000)</f>
        <v>742.11366207186745</v>
      </c>
      <c r="X38" s="101">
        <f>IF(X12=0,0,X12/TrAvia_act!X10*1000)</f>
        <v>669.3380026144755</v>
      </c>
      <c r="Y38" s="101">
        <f>IF(Y12=0,0,Y12/TrAvia_act!Y10*1000)</f>
        <v>705.47129250406715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162.86426454361839</v>
      </c>
      <c r="C39" s="88">
        <f>IF(C13=0,0,C13/TrAvia_act!C11*1000)</f>
        <v>154.87944020938946</v>
      </c>
      <c r="D39" s="88">
        <f>IF(D13=0,0,D13/TrAvia_act!D11*1000)</f>
        <v>158.8083146995661</v>
      </c>
      <c r="E39" s="88">
        <f>IF(E13=0,0,E13/TrAvia_act!E11*1000)</f>
        <v>148.41932081019584</v>
      </c>
      <c r="F39" s="88">
        <f>IF(F13=0,0,F13/TrAvia_act!F11*1000)</f>
        <v>131.93340509871544</v>
      </c>
      <c r="G39" s="88">
        <f>IF(G13=0,0,G13/TrAvia_act!G11*1000)</f>
        <v>157.61255303074876</v>
      </c>
      <c r="H39" s="88">
        <f>IF(H13=0,0,H13/TrAvia_act!H11*1000)</f>
        <v>147.48142425936479</v>
      </c>
      <c r="I39" s="88">
        <f>IF(I13=0,0,I13/TrAvia_act!I11*1000)</f>
        <v>123.46837532602906</v>
      </c>
      <c r="J39" s="88">
        <f>IF(J13=0,0,J13/TrAvia_act!J11*1000)</f>
        <v>164.77097582976532</v>
      </c>
      <c r="K39" s="88">
        <f>IF(K13=0,0,K13/TrAvia_act!K11*1000)</f>
        <v>180.71674041393828</v>
      </c>
      <c r="L39" s="88">
        <f>IF(L13=0,0,L13/TrAvia_act!L11*1000)</f>
        <v>180.9620064082938</v>
      </c>
      <c r="M39" s="88">
        <f>IF(M13=0,0,M13/TrAvia_act!M11*1000)</f>
        <v>183.13796762737246</v>
      </c>
      <c r="N39" s="88">
        <f>IF(N13=0,0,N13/TrAvia_act!N11*1000)</f>
        <v>286.60338446066771</v>
      </c>
      <c r="O39" s="88">
        <f>IF(O13=0,0,O13/TrAvia_act!O11*1000)</f>
        <v>280.70247971291275</v>
      </c>
      <c r="P39" s="88">
        <f>IF(P13=0,0,P13/TrAvia_act!P11*1000)</f>
        <v>188.24025985651309</v>
      </c>
      <c r="Q39" s="88">
        <f>IF(Q13=0,0,Q13/TrAvia_act!Q11*1000)</f>
        <v>135.2635380057055</v>
      </c>
      <c r="R39" s="88">
        <f>IF(R13=0,0,R13/TrAvia_act!R11*1000)</f>
        <v>107.83268254820271</v>
      </c>
      <c r="S39" s="88">
        <f>IF(S13=0,0,S13/TrAvia_act!S11*1000)</f>
        <v>106.27378408061793</v>
      </c>
      <c r="T39" s="88">
        <f>IF(T13=0,0,T13/TrAvia_act!T11*1000)</f>
        <v>79.826686087180235</v>
      </c>
      <c r="U39" s="88">
        <f>IF(U13=0,0,U13/TrAvia_act!U11*1000)</f>
        <v>82.949658706793414</v>
      </c>
      <c r="V39" s="88">
        <f>IF(V13=0,0,V13/TrAvia_act!V11*1000)</f>
        <v>225.75249020717598</v>
      </c>
      <c r="W39" s="88">
        <f>IF(W13=0,0,W13/TrAvia_act!W11*1000)</f>
        <v>206.05934386289897</v>
      </c>
      <c r="X39" s="88">
        <f>IF(X13=0,0,X13/TrAvia_act!X11*1000)</f>
        <v>176.09568181199563</v>
      </c>
      <c r="Y39" s="88">
        <f>IF(Y13=0,0,Y13/TrAvia_act!Y11*1000)</f>
        <v>108.32285880934396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19292.565112926484</v>
      </c>
      <c r="C41" s="54">
        <f>IF(C3=0,0,C3/TrAvia_act!C23*1000000)</f>
        <v>19206.971829789647</v>
      </c>
      <c r="D41" s="54">
        <f>IF(D3=0,0,D3/TrAvia_act!D23*1000000)</f>
        <v>18518.217813765179</v>
      </c>
      <c r="E41" s="54">
        <f>IF(E3=0,0,E3/TrAvia_act!E23*1000000)</f>
        <v>15846.822994773916</v>
      </c>
      <c r="F41" s="54">
        <f>IF(F3=0,0,F3/TrAvia_act!F23*1000000)</f>
        <v>13545.26493817311</v>
      </c>
      <c r="G41" s="54">
        <f>IF(G3=0,0,G3/TrAvia_act!G23*1000000)</f>
        <v>13939.201407399514</v>
      </c>
      <c r="H41" s="54">
        <f>IF(H3=0,0,H3/TrAvia_act!H23*1000000)</f>
        <v>14043.849419557144</v>
      </c>
      <c r="I41" s="54">
        <f>IF(I3=0,0,I3/TrAvia_act!I23*1000000)</f>
        <v>13007.805374058848</v>
      </c>
      <c r="J41" s="54">
        <f>IF(J3=0,0,J3/TrAvia_act!J23*1000000)</f>
        <v>15200.144338161001</v>
      </c>
      <c r="K41" s="54">
        <f>IF(K3=0,0,K3/TrAvia_act!K23*1000000)</f>
        <v>13770.995196288366</v>
      </c>
      <c r="L41" s="54">
        <f>IF(L3=0,0,L3/TrAvia_act!L23*1000000)</f>
        <v>14397.665805000937</v>
      </c>
      <c r="M41" s="54">
        <f>IF(M3=0,0,M3/TrAvia_act!M23*1000000)</f>
        <v>13876.690030702188</v>
      </c>
      <c r="N41" s="54">
        <f>IF(N3=0,0,N3/TrAvia_act!N23*1000000)</f>
        <v>12798.705192636653</v>
      </c>
      <c r="O41" s="54">
        <f>IF(O3=0,0,O3/TrAvia_act!O23*1000000)</f>
        <v>13136.61654135338</v>
      </c>
      <c r="P41" s="54">
        <f>IF(P3=0,0,P3/TrAvia_act!P23*1000000)</f>
        <v>13315.891177613679</v>
      </c>
      <c r="Q41" s="54">
        <f>IF(Q3=0,0,Q3/TrAvia_act!Q23*1000000)</f>
        <v>12710.51463205974</v>
      </c>
      <c r="R41" s="54">
        <f>IF(R3=0,0,R3/TrAvia_act!R23*1000000)</f>
        <v>13023.145210152101</v>
      </c>
      <c r="S41" s="54">
        <f>IF(S3=0,0,S3/TrAvia_act!S23*1000000)</f>
        <v>14046.095799582466</v>
      </c>
      <c r="T41" s="54">
        <f>IF(T3=0,0,T3/TrAvia_act!T23*1000000)</f>
        <v>15397.218208612585</v>
      </c>
      <c r="U41" s="54">
        <f>IF(U3=0,0,U3/TrAvia_act!U23*1000000)</f>
        <v>14518.946672421238</v>
      </c>
      <c r="V41" s="54">
        <f>IF(V3=0,0,V3/TrAvia_act!V23*1000000)</f>
        <v>15409.937283053154</v>
      </c>
      <c r="W41" s="54">
        <f>IF(W3=0,0,W3/TrAvia_act!W23*1000000)</f>
        <v>17487.611894697107</v>
      </c>
      <c r="X41" s="54">
        <f>IF(X3=0,0,X3/TrAvia_act!X23*1000000)</f>
        <v>17712.915235084045</v>
      </c>
      <c r="Y41" s="54">
        <f>IF(Y3=0,0,Y3/TrAvia_act!Y23*1000000)</f>
        <v>18404.236704852308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19417.701824498414</v>
      </c>
      <c r="C42" s="11">
        <f>IF(C6=0,0,C6/TrAvia_act!C24*1000000)</f>
        <v>19350.727935185419</v>
      </c>
      <c r="D42" s="11">
        <f>IF(D6=0,0,D6/TrAvia_act!D24*1000000)</f>
        <v>18664.202552263341</v>
      </c>
      <c r="E42" s="11">
        <f>IF(E6=0,0,E6/TrAvia_act!E24*1000000)</f>
        <v>15951.858267509049</v>
      </c>
      <c r="F42" s="11">
        <f>IF(F6=0,0,F6/TrAvia_act!F24*1000000)</f>
        <v>13622.346504667757</v>
      </c>
      <c r="G42" s="11">
        <f>IF(G6=0,0,G6/TrAvia_act!G24*1000000)</f>
        <v>14046.995875034196</v>
      </c>
      <c r="H42" s="11">
        <f>IF(H6=0,0,H6/TrAvia_act!H24*1000000)</f>
        <v>14146.628507282599</v>
      </c>
      <c r="I42" s="11">
        <f>IF(I6=0,0,I6/TrAvia_act!I24*1000000)</f>
        <v>13111.50678217421</v>
      </c>
      <c r="J42" s="11">
        <f>IF(J6=0,0,J6/TrAvia_act!J24*1000000)</f>
        <v>15295.59910758391</v>
      </c>
      <c r="K42" s="11">
        <f>IF(K6=0,0,K6/TrAvia_act!K24*1000000)</f>
        <v>13838.654300020833</v>
      </c>
      <c r="L42" s="11">
        <f>IF(L6=0,0,L6/TrAvia_act!L24*1000000)</f>
        <v>14480.432709264089</v>
      </c>
      <c r="M42" s="11">
        <f>IF(M6=0,0,M6/TrAvia_act!M24*1000000)</f>
        <v>14011.836537879661</v>
      </c>
      <c r="N42" s="11">
        <f>IF(N6=0,0,N6/TrAvia_act!N24*1000000)</f>
        <v>12956.743714608971</v>
      </c>
      <c r="O42" s="11">
        <f>IF(O6=0,0,O6/TrAvia_act!O24*1000000)</f>
        <v>13310.202879632632</v>
      </c>
      <c r="P42" s="11">
        <f>IF(P6=0,0,P6/TrAvia_act!P24*1000000)</f>
        <v>13474.477175563239</v>
      </c>
      <c r="Q42" s="11">
        <f>IF(Q6=0,0,Q6/TrAvia_act!Q24*1000000)</f>
        <v>12867.047909843564</v>
      </c>
      <c r="R42" s="11">
        <f>IF(R6=0,0,R6/TrAvia_act!R24*1000000)</f>
        <v>13176.083968832283</v>
      </c>
      <c r="S42" s="11">
        <f>IF(S6=0,0,S6/TrAvia_act!S24*1000000)</f>
        <v>14219.194910527714</v>
      </c>
      <c r="T42" s="11">
        <f>IF(T6=0,0,T6/TrAvia_act!T24*1000000)</f>
        <v>15590.339237279637</v>
      </c>
      <c r="U42" s="11">
        <f>IF(U6=0,0,U6/TrAvia_act!U24*1000000)</f>
        <v>14659.78387296548</v>
      </c>
      <c r="V42" s="11">
        <f>IF(V6=0,0,V6/TrAvia_act!V24*1000000)</f>
        <v>15783.489828285199</v>
      </c>
      <c r="W42" s="11">
        <f>IF(W6=0,0,W6/TrAvia_act!W24*1000000)</f>
        <v>17840.443153965716</v>
      </c>
      <c r="X42" s="11">
        <f>IF(X6=0,0,X6/TrAvia_act!X24*1000000)</f>
        <v>17708.249928210938</v>
      </c>
      <c r="Y42" s="11">
        <f>IF(Y6=0,0,Y6/TrAvia_act!Y24*1000000)</f>
        <v>18605.811446073611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15849.546534655423</v>
      </c>
      <c r="C44" s="84">
        <f>IF(C8=0,0,C8/TrAvia_act!C26*1000000)</f>
        <v>15794.799603004654</v>
      </c>
      <c r="D44" s="84">
        <f>IF(D8=0,0,D8/TrAvia_act!D26*1000000)</f>
        <v>15196.398251906818</v>
      </c>
      <c r="E44" s="84">
        <f>IF(E8=0,0,E8/TrAvia_act!E26*1000000)</f>
        <v>12788.377932823818</v>
      </c>
      <c r="F44" s="84">
        <f>IF(F8=0,0,F8/TrAvia_act!F26*1000000)</f>
        <v>11336.568539297794</v>
      </c>
      <c r="G44" s="84">
        <f>IF(G8=0,0,G8/TrAvia_act!G26*1000000)</f>
        <v>11613.093994374103</v>
      </c>
      <c r="H44" s="84">
        <f>IF(H8=0,0,H8/TrAvia_act!H26*1000000)</f>
        <v>11714.951648791173</v>
      </c>
      <c r="I44" s="84">
        <f>IF(I8=0,0,I8/TrAvia_act!I26*1000000)</f>
        <v>10981.928188181961</v>
      </c>
      <c r="J44" s="84">
        <f>IF(J8=0,0,J8/TrAvia_act!J26*1000000)</f>
        <v>12945.560225421974</v>
      </c>
      <c r="K44" s="84">
        <f>IF(K8=0,0,K8/TrAvia_act!K26*1000000)</f>
        <v>11304.400085676569</v>
      </c>
      <c r="L44" s="84">
        <f>IF(L8=0,0,L8/TrAvia_act!L26*1000000)</f>
        <v>12030.501661863615</v>
      </c>
      <c r="M44" s="84">
        <f>IF(M8=0,0,M8/TrAvia_act!M26*1000000)</f>
        <v>11674.636347379232</v>
      </c>
      <c r="N44" s="84">
        <f>IF(N8=0,0,N8/TrAvia_act!N26*1000000)</f>
        <v>9905.8725177833057</v>
      </c>
      <c r="O44" s="84">
        <f>IF(O8=0,0,O8/TrAvia_act!O26*1000000)</f>
        <v>10320.414974953206</v>
      </c>
      <c r="P44" s="84">
        <f>IF(P8=0,0,P8/TrAvia_act!P26*1000000)</f>
        <v>11058.732402529275</v>
      </c>
      <c r="Q44" s="84">
        <f>IF(Q8=0,0,Q8/TrAvia_act!Q26*1000000)</f>
        <v>10678.949937815589</v>
      </c>
      <c r="R44" s="84">
        <f>IF(R8=0,0,R8/TrAvia_act!R26*1000000)</f>
        <v>10899.653867695051</v>
      </c>
      <c r="S44" s="84">
        <f>IF(S8=0,0,S8/TrAvia_act!S26*1000000)</f>
        <v>12168.796798972515</v>
      </c>
      <c r="T44" s="84">
        <f>IF(T8=0,0,T8/TrAvia_act!T26*1000000)</f>
        <v>13882.810901755656</v>
      </c>
      <c r="U44" s="84">
        <f>IF(U8=0,0,U8/TrAvia_act!U26*1000000)</f>
        <v>13022.211296395973</v>
      </c>
      <c r="V44" s="84">
        <f>IF(V8=0,0,V8/TrAvia_act!V26*1000000)</f>
        <v>11926.72522739146</v>
      </c>
      <c r="W44" s="84">
        <f>IF(W8=0,0,W8/TrAvia_act!W26*1000000)</f>
        <v>14493.793637507168</v>
      </c>
      <c r="X44" s="84">
        <f>IF(X8=0,0,X8/TrAvia_act!X26*1000000)</f>
        <v>15199.756612180576</v>
      </c>
      <c r="Y44" s="84">
        <f>IF(Y8=0,0,Y8/TrAvia_act!Y26*1000000)</f>
        <v>16546.431884341029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34231.517558265426</v>
      </c>
      <c r="C45" s="84">
        <f>IF(C9=0,0,C9/TrAvia_act!C27*1000000)</f>
        <v>34113.202087422433</v>
      </c>
      <c r="D45" s="84">
        <f>IF(D9=0,0,D9/TrAvia_act!D27*1000000)</f>
        <v>33026.015836205988</v>
      </c>
      <c r="E45" s="84">
        <f>IF(E9=0,0,E9/TrAvia_act!E27*1000000)</f>
        <v>28045.233090805759</v>
      </c>
      <c r="F45" s="84">
        <f>IF(F9=0,0,F9/TrAvia_act!F27*1000000)</f>
        <v>24196.563265917601</v>
      </c>
      <c r="G45" s="84">
        <f>IF(G9=0,0,G9/TrAvia_act!G27*1000000)</f>
        <v>27715.692456304929</v>
      </c>
      <c r="H45" s="84">
        <f>IF(H9=0,0,H9/TrAvia_act!H27*1000000)</f>
        <v>27477.377354309992</v>
      </c>
      <c r="I45" s="84">
        <f>IF(I9=0,0,I9/TrAvia_act!I27*1000000)</f>
        <v>23949.680336421188</v>
      </c>
      <c r="J45" s="84">
        <f>IF(J9=0,0,J9/TrAvia_act!J27*1000000)</f>
        <v>26838.992223254809</v>
      </c>
      <c r="K45" s="84">
        <f>IF(K9=0,0,K9/TrAvia_act!K27*1000000)</f>
        <v>27392.042660957784</v>
      </c>
      <c r="L45" s="84">
        <f>IF(L9=0,0,L9/TrAvia_act!L27*1000000)</f>
        <v>25865.736219232491</v>
      </c>
      <c r="M45" s="84">
        <f>IF(M9=0,0,M9/TrAvia_act!M27*1000000)</f>
        <v>24599.295458087778</v>
      </c>
      <c r="N45" s="84">
        <f>IF(N9=0,0,N9/TrAvia_act!N27*1000000)</f>
        <v>38097.768682105976</v>
      </c>
      <c r="O45" s="84">
        <f>IF(O9=0,0,O9/TrAvia_act!O27*1000000)</f>
        <v>35798.916174042308</v>
      </c>
      <c r="P45" s="84">
        <f>IF(P9=0,0,P9/TrAvia_act!P27*1000000)</f>
        <v>26053.024125513777</v>
      </c>
      <c r="Q45" s="84">
        <f>IF(Q9=0,0,Q9/TrAvia_act!Q27*1000000)</f>
        <v>24082.303509825637</v>
      </c>
      <c r="R45" s="84">
        <f>IF(R9=0,0,R9/TrAvia_act!R27*1000000)</f>
        <v>27392.781779293007</v>
      </c>
      <c r="S45" s="84">
        <f>IF(S9=0,0,S9/TrAvia_act!S27*1000000)</f>
        <v>25169.574344728626</v>
      </c>
      <c r="T45" s="84">
        <f>IF(T9=0,0,T9/TrAvia_act!T27*1000000)</f>
        <v>22880.88459185906</v>
      </c>
      <c r="U45" s="84">
        <f>IF(U9=0,0,U9/TrAvia_act!U27*1000000)</f>
        <v>21760.261452844479</v>
      </c>
      <c r="V45" s="84">
        <f>IF(V9=0,0,V9/TrAvia_act!V27*1000000)</f>
        <v>38140.426339361467</v>
      </c>
      <c r="W45" s="84">
        <f>IF(W9=0,0,W9/TrAvia_act!W27*1000000)</f>
        <v>33220.892884842775</v>
      </c>
      <c r="X45" s="84">
        <f>IF(X9=0,0,X9/TrAvia_act!X27*1000000)</f>
        <v>31629.48718674908</v>
      </c>
      <c r="Y45" s="84">
        <f>IF(Y9=0,0,Y9/TrAvia_act!Y27*1000000)</f>
        <v>27259.402834408476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14629.784621167204</v>
      </c>
      <c r="C46" s="13">
        <f>IF(C10=0,0,C10/TrAvia_act!C28*1000000)</f>
        <v>14505.680799036327</v>
      </c>
      <c r="D46" s="13">
        <f>IF(D10=0,0,D10/TrAvia_act!D28*1000000)</f>
        <v>14389.729853477371</v>
      </c>
      <c r="E46" s="13">
        <f>IF(E10=0,0,E10/TrAvia_act!E28*1000000)</f>
        <v>12247.190308679203</v>
      </c>
      <c r="F46" s="13">
        <f>IF(F10=0,0,F10/TrAvia_act!F28*1000000)</f>
        <v>10255.735229370182</v>
      </c>
      <c r="G46" s="13">
        <f>IF(G10=0,0,G10/TrAvia_act!G28*1000000)</f>
        <v>9931.6458942511908</v>
      </c>
      <c r="H46" s="13">
        <f>IF(H10=0,0,H10/TrAvia_act!H28*1000000)</f>
        <v>10623.403584027143</v>
      </c>
      <c r="I46" s="13">
        <f>IF(I10=0,0,I10/TrAvia_act!I28*1000000)</f>
        <v>9110.0996329096542</v>
      </c>
      <c r="J46" s="13">
        <f>IF(J10=0,0,J10/TrAvia_act!J28*1000000)</f>
        <v>10950.374416358029</v>
      </c>
      <c r="K46" s="13">
        <f>IF(K10=0,0,K10/TrAvia_act!K28*1000000)</f>
        <v>10640.477584134484</v>
      </c>
      <c r="L46" s="13">
        <f>IF(L10=0,0,L10/TrAvia_act!L28*1000000)</f>
        <v>11017.560602414513</v>
      </c>
      <c r="M46" s="13">
        <f>IF(M10=0,0,M10/TrAvia_act!M28*1000000)</f>
        <v>9179.7746293423024</v>
      </c>
      <c r="N46" s="13">
        <f>IF(N10=0,0,N10/TrAvia_act!N28*1000000)</f>
        <v>8191.6207045321762</v>
      </c>
      <c r="O46" s="13">
        <f>IF(O10=0,0,O10/TrAvia_act!O28*1000000)</f>
        <v>8507.5615441799218</v>
      </c>
      <c r="P46" s="13">
        <f>IF(P10=0,0,P10/TrAvia_act!P28*1000000)</f>
        <v>8313.7464918673904</v>
      </c>
      <c r="Q46" s="13">
        <f>IF(Q10=0,0,Q10/TrAvia_act!Q28*1000000)</f>
        <v>7810.6931078006955</v>
      </c>
      <c r="R46" s="13">
        <f>IF(R10=0,0,R10/TrAvia_act!R28*1000000)</f>
        <v>7943.4356310478051</v>
      </c>
      <c r="S46" s="13">
        <f>IF(S10=0,0,S10/TrAvia_act!S28*1000000)</f>
        <v>8445.2064604737607</v>
      </c>
      <c r="T46" s="13">
        <f>IF(T10=0,0,T10/TrAvia_act!T28*1000000)</f>
        <v>8992.46495364765</v>
      </c>
      <c r="U46" s="13">
        <f>IF(U10=0,0,U10/TrAvia_act!U28*1000000)</f>
        <v>8902.5539212892272</v>
      </c>
      <c r="V46" s="13">
        <f>IF(V10=0,0,V10/TrAvia_act!V28*1000000)</f>
        <v>10776.925302911986</v>
      </c>
      <c r="W46" s="13">
        <f>IF(W10=0,0,W10/TrAvia_act!W28*1000000)</f>
        <v>13813.188780536839</v>
      </c>
      <c r="X46" s="13">
        <f>IF(X10=0,0,X10/TrAvia_act!X28*1000000)</f>
        <v>17810.493640106542</v>
      </c>
      <c r="Y46" s="13">
        <f>IF(Y10=0,0,Y10/TrAvia_act!Y28*1000000)</f>
        <v>13473.6345451037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14323.801432946877</v>
      </c>
      <c r="C48" s="102">
        <f>IF(C12=0,0,C12/TrAvia_act!C30*1000000)</f>
        <v>14232.492904620047</v>
      </c>
      <c r="D48" s="102">
        <f>IF(D12=0,0,D12/TrAvia_act!D30*1000000)</f>
        <v>14319.710916092572</v>
      </c>
      <c r="E48" s="102">
        <f>IF(E12=0,0,E12/TrAvia_act!E30*1000000)</f>
        <v>12175.257591989235</v>
      </c>
      <c r="F48" s="102">
        <f>IF(F12=0,0,F12/TrAvia_act!F30*1000000)</f>
        <v>10182.563888972822</v>
      </c>
      <c r="G48" s="102">
        <f>IF(G12=0,0,G12/TrAvia_act!G30*1000000)</f>
        <v>9704.6387948487209</v>
      </c>
      <c r="H48" s="102">
        <f>IF(H12=0,0,H12/TrAvia_act!H30*1000000)</f>
        <v>9102.5534258587868</v>
      </c>
      <c r="I48" s="102">
        <f>IF(I12=0,0,I12/TrAvia_act!I30*1000000)</f>
        <v>8507.782940411229</v>
      </c>
      <c r="J48" s="102">
        <f>IF(J12=0,0,J12/TrAvia_act!J30*1000000)</f>
        <v>9834.1462115155318</v>
      </c>
      <c r="K48" s="102">
        <f>IF(K12=0,0,K12/TrAvia_act!K30*1000000)</f>
        <v>9198.652973652228</v>
      </c>
      <c r="L48" s="102">
        <f>IF(L12=0,0,L12/TrAvia_act!L30*1000000)</f>
        <v>9437.8113304891267</v>
      </c>
      <c r="M48" s="102">
        <f>IF(M12=0,0,M12/TrAvia_act!M30*1000000)</f>
        <v>8764.7144896577429</v>
      </c>
      <c r="N48" s="102">
        <f>IF(N12=0,0,N12/TrAvia_act!N30*1000000)</f>
        <v>7399.8446234868452</v>
      </c>
      <c r="O48" s="102">
        <f>IF(O12=0,0,O12/TrAvia_act!O30*1000000)</f>
        <v>7795.9069128164147</v>
      </c>
      <c r="P48" s="102">
        <f>IF(P12=0,0,P12/TrAvia_act!P30*1000000)</f>
        <v>8193.7641075639986</v>
      </c>
      <c r="Q48" s="102">
        <f>IF(Q12=0,0,Q12/TrAvia_act!Q30*1000000)</f>
        <v>7762.2379840096901</v>
      </c>
      <c r="R48" s="102">
        <f>IF(R12=0,0,R12/TrAvia_act!R30*1000000)</f>
        <v>7790.6834864831981</v>
      </c>
      <c r="S48" s="102">
        <f>IF(S12=0,0,S12/TrAvia_act!S30*1000000)</f>
        <v>8601.825294852164</v>
      </c>
      <c r="T48" s="102">
        <f>IF(T12=0,0,T12/TrAvia_act!T30*1000000)</f>
        <v>9552.8307515530905</v>
      </c>
      <c r="U48" s="102">
        <f>IF(U12=0,0,U12/TrAvia_act!U30*1000000)</f>
        <v>8846.4726775732288</v>
      </c>
      <c r="V48" s="102">
        <f>IF(V12=0,0,V12/TrAvia_act!V30*1000000)</f>
        <v>9422.7464027053029</v>
      </c>
      <c r="W48" s="102">
        <f>IF(W12=0,0,W12/TrAvia_act!W30*1000000)</f>
        <v>10871.734385974045</v>
      </c>
      <c r="X48" s="102">
        <f>IF(X12=0,0,X12/TrAvia_act!X30*1000000)</f>
        <v>11268.487845817262</v>
      </c>
      <c r="Y48" s="102">
        <f>IF(Y12=0,0,Y12/TrAvia_act!Y30*1000000)</f>
        <v>11218.080850298376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15643.438178619563</v>
      </c>
      <c r="C49" s="86">
        <f>IF(C13=0,0,C13/TrAvia_act!C31*1000000)</f>
        <v>15589.369271199486</v>
      </c>
      <c r="D49" s="86">
        <f>IF(D13=0,0,D13/TrAvia_act!D31*1000000)</f>
        <v>15092.536757694892</v>
      </c>
      <c r="E49" s="86">
        <f>IF(E13=0,0,E13/TrAvia_act!E31*1000000)</f>
        <v>12816.37220185299</v>
      </c>
      <c r="F49" s="86">
        <f>IF(F13=0,0,F13/TrAvia_act!F31*1000000)</f>
        <v>11057.571167891259</v>
      </c>
      <c r="G49" s="86">
        <f>IF(G13=0,0,G13/TrAvia_act!G31*1000000)</f>
        <v>12665.775649001302</v>
      </c>
      <c r="H49" s="86">
        <f>IF(H13=0,0,H13/TrAvia_act!H31*1000000)</f>
        <v>13505.574163493049</v>
      </c>
      <c r="I49" s="86">
        <f>IF(I13=0,0,I13/TrAvia_act!I31*1000000)</f>
        <v>12664.053576798469</v>
      </c>
      <c r="J49" s="86">
        <f>IF(J13=0,0,J13/TrAvia_act!J31*1000000)</f>
        <v>15271.706014358244</v>
      </c>
      <c r="K49" s="86">
        <f>IF(K13=0,0,K13/TrAvia_act!K31*1000000)</f>
        <v>16777.110409044188</v>
      </c>
      <c r="L49" s="86">
        <f>IF(L13=0,0,L13/TrAvia_act!L31*1000000)</f>
        <v>17057.77840683511</v>
      </c>
      <c r="M49" s="86">
        <f>IF(M13=0,0,M13/TrAvia_act!M31*1000000)</f>
        <v>12863.070554235346</v>
      </c>
      <c r="N49" s="86">
        <f>IF(N13=0,0,N13/TrAvia_act!N31*1000000)</f>
        <v>15761.772503794842</v>
      </c>
      <c r="O49" s="86">
        <f>IF(O13=0,0,O13/TrAvia_act!O31*1000000)</f>
        <v>13897.098847945603</v>
      </c>
      <c r="P49" s="86">
        <f>IF(P13=0,0,P13/TrAvia_act!P31*1000000)</f>
        <v>9499.2605092504564</v>
      </c>
      <c r="Q49" s="86">
        <f>IF(Q13=0,0,Q13/TrAvia_act!Q31*1000000)</f>
        <v>8254.8650758849089</v>
      </c>
      <c r="R49" s="86">
        <f>IF(R13=0,0,R13/TrAvia_act!R31*1000000)</f>
        <v>8835.025780111755</v>
      </c>
      <c r="S49" s="86">
        <f>IF(S13=0,0,S13/TrAvia_act!S31*1000000)</f>
        <v>7644.7842473313594</v>
      </c>
      <c r="T49" s="86">
        <f>IF(T13=0,0,T13/TrAvia_act!T31*1000000)</f>
        <v>6549.6499837954561</v>
      </c>
      <c r="U49" s="86">
        <f>IF(U13=0,0,U13/TrAvia_act!U31*1000000)</f>
        <v>9108.74040808666</v>
      </c>
      <c r="V49" s="86">
        <f>IF(V13=0,0,V13/TrAvia_act!V31*1000000)</f>
        <v>16094.334451056902</v>
      </c>
      <c r="W49" s="86">
        <f>IF(W13=0,0,W13/TrAvia_act!W31*1000000)</f>
        <v>23428.701766900725</v>
      </c>
      <c r="X49" s="86">
        <f>IF(X13=0,0,X13/TrAvia_act!X31*1000000)</f>
        <v>36651.976478978359</v>
      </c>
      <c r="Y49" s="86">
        <f>IF(Y13=0,0,Y13/TrAvia_act!Y31*1000000)</f>
        <v>19966.89518166448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0.98018080255228157</v>
      </c>
      <c r="C52" s="16">
        <f t="shared" si="36"/>
        <v>0.97759177229536875</v>
      </c>
      <c r="D52" s="16">
        <f t="shared" ref="D52:V52" si="37">IF(D6=0,0,D6/D$3)</f>
        <v>0.97346137844331604</v>
      </c>
      <c r="E52" s="16">
        <f t="shared" si="37"/>
        <v>0.9780880949340427</v>
      </c>
      <c r="F52" s="16">
        <f t="shared" si="37"/>
        <v>0.98266448074843482</v>
      </c>
      <c r="G52" s="16">
        <f t="shared" si="37"/>
        <v>0.98133736205971489</v>
      </c>
      <c r="H52" s="16">
        <f t="shared" si="37"/>
        <v>0.97793307060377643</v>
      </c>
      <c r="I52" s="16">
        <f t="shared" si="37"/>
        <v>0.98184939915627079</v>
      </c>
      <c r="J52" s="16">
        <f t="shared" si="37"/>
        <v>0.9841741643563171</v>
      </c>
      <c r="K52" s="16">
        <f t="shared" si="37"/>
        <v>0.98365369576356809</v>
      </c>
      <c r="L52" s="16">
        <f t="shared" si="37"/>
        <v>0.98171000365056293</v>
      </c>
      <c r="M52" s="16">
        <f t="shared" si="37"/>
        <v>0.98149800889633909</v>
      </c>
      <c r="N52" s="16">
        <f t="shared" si="37"/>
        <v>0.97877280338579675</v>
      </c>
      <c r="O52" s="16">
        <f t="shared" si="37"/>
        <v>0.97659239586943003</v>
      </c>
      <c r="P52" s="16">
        <f t="shared" si="37"/>
        <v>0.98081418802125431</v>
      </c>
      <c r="Q52" s="16">
        <f t="shared" si="37"/>
        <v>0.98097627417973021</v>
      </c>
      <c r="R52" s="16">
        <f t="shared" si="37"/>
        <v>0.98217257944599046</v>
      </c>
      <c r="S52" s="16">
        <f t="shared" si="37"/>
        <v>0.98197507063067091</v>
      </c>
      <c r="T52" s="16">
        <f t="shared" si="37"/>
        <v>0.98290527892160595</v>
      </c>
      <c r="U52" s="16">
        <f t="shared" si="37"/>
        <v>0.98500027453126238</v>
      </c>
      <c r="V52" s="16">
        <f t="shared" si="37"/>
        <v>0.94781978267431666</v>
      </c>
      <c r="W52" s="16">
        <f t="shared" ref="W52:Y52" si="38">IF(W6=0,0,W6/W$3)</f>
        <v>0.9307975558077678</v>
      </c>
      <c r="X52" s="16">
        <f t="shared" si="38"/>
        <v>0.95411935440253248</v>
      </c>
      <c r="Y52" s="16">
        <f t="shared" si="38"/>
        <v>0.97124578958212315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0.64476293991656131</v>
      </c>
      <c r="C54" s="103">
        <f t="shared" si="42"/>
        <v>0.6430517200915834</v>
      </c>
      <c r="D54" s="103">
        <f t="shared" ref="D54:V54" si="43">IF(D8=0,0,D8/D$3)</f>
        <v>0.63843575496166272</v>
      </c>
      <c r="E54" s="103">
        <f t="shared" si="43"/>
        <v>0.62153364559645929</v>
      </c>
      <c r="F54" s="103">
        <f t="shared" si="43"/>
        <v>0.67242270858843167</v>
      </c>
      <c r="G54" s="103">
        <f t="shared" si="43"/>
        <v>0.68867443258043815</v>
      </c>
      <c r="H54" s="103">
        <f t="shared" si="43"/>
        <v>0.68490159567875697</v>
      </c>
      <c r="I54" s="103">
        <f t="shared" si="43"/>
        <v>0.68732521114567502</v>
      </c>
      <c r="J54" s="103">
        <f t="shared" si="43"/>
        <v>0.69207038209678884</v>
      </c>
      <c r="K54" s="103">
        <f t="shared" si="43"/>
        <v>0.67694184580320937</v>
      </c>
      <c r="L54" s="103">
        <f t="shared" si="43"/>
        <v>0.67118694448712812</v>
      </c>
      <c r="M54" s="103">
        <f t="shared" si="43"/>
        <v>0.66990059458308415</v>
      </c>
      <c r="N54" s="103">
        <f t="shared" si="43"/>
        <v>0.66732508685394043</v>
      </c>
      <c r="O54" s="103">
        <f t="shared" si="43"/>
        <v>0.6683693941722646</v>
      </c>
      <c r="P54" s="103">
        <f t="shared" si="43"/>
        <v>0.67528123995586331</v>
      </c>
      <c r="Q54" s="103">
        <f t="shared" si="43"/>
        <v>0.68124580008138724</v>
      </c>
      <c r="R54" s="103">
        <f t="shared" si="43"/>
        <v>0.70034150156916819</v>
      </c>
      <c r="S54" s="103">
        <f t="shared" si="43"/>
        <v>0.70783646962039204</v>
      </c>
      <c r="T54" s="103">
        <f t="shared" si="43"/>
        <v>0.70915959113519877</v>
      </c>
      <c r="U54" s="103">
        <f t="shared" si="43"/>
        <v>0.71099500393793202</v>
      </c>
      <c r="V54" s="103">
        <f t="shared" si="43"/>
        <v>0.61084060463661494</v>
      </c>
      <c r="W54" s="103">
        <f t="shared" ref="W54:Y54" si="44">IF(W8=0,0,W8/W$3)</f>
        <v>0.62105518547141669</v>
      </c>
      <c r="X54" s="103">
        <f t="shared" si="44"/>
        <v>0.69392269286656272</v>
      </c>
      <c r="Y54" s="103">
        <f t="shared" si="44"/>
        <v>0.69770421512691816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0.33541786263572021</v>
      </c>
      <c r="C55" s="103">
        <f t="shared" si="45"/>
        <v>0.33454005220378535</v>
      </c>
      <c r="D55" s="103">
        <f t="shared" ref="D55:V55" si="46">IF(D9=0,0,D9/D$3)</f>
        <v>0.33502562348165338</v>
      </c>
      <c r="E55" s="103">
        <f t="shared" si="46"/>
        <v>0.35655444933758351</v>
      </c>
      <c r="F55" s="103">
        <f t="shared" si="46"/>
        <v>0.3102417721600032</v>
      </c>
      <c r="G55" s="103">
        <f t="shared" si="46"/>
        <v>0.29266292947927669</v>
      </c>
      <c r="H55" s="103">
        <f t="shared" si="46"/>
        <v>0.29303147492501941</v>
      </c>
      <c r="I55" s="103">
        <f t="shared" si="46"/>
        <v>0.29452418801059577</v>
      </c>
      <c r="J55" s="103">
        <f t="shared" si="46"/>
        <v>0.29210378225952832</v>
      </c>
      <c r="K55" s="103">
        <f t="shared" si="46"/>
        <v>0.30671184996035883</v>
      </c>
      <c r="L55" s="103">
        <f t="shared" si="46"/>
        <v>0.31052305916343481</v>
      </c>
      <c r="M55" s="103">
        <f t="shared" si="46"/>
        <v>0.31159741431325488</v>
      </c>
      <c r="N55" s="103">
        <f t="shared" si="46"/>
        <v>0.31144771653185632</v>
      </c>
      <c r="O55" s="103">
        <f t="shared" si="46"/>
        <v>0.30822300169716549</v>
      </c>
      <c r="P55" s="103">
        <f t="shared" si="46"/>
        <v>0.30553294806539105</v>
      </c>
      <c r="Q55" s="103">
        <f t="shared" si="46"/>
        <v>0.29973047409834302</v>
      </c>
      <c r="R55" s="103">
        <f t="shared" si="46"/>
        <v>0.28183107787682221</v>
      </c>
      <c r="S55" s="103">
        <f t="shared" si="46"/>
        <v>0.27413860101027882</v>
      </c>
      <c r="T55" s="103">
        <f t="shared" si="46"/>
        <v>0.27374568778640723</v>
      </c>
      <c r="U55" s="103">
        <f t="shared" si="46"/>
        <v>0.27400527059333035</v>
      </c>
      <c r="V55" s="103">
        <f t="shared" si="46"/>
        <v>0.33697917803770172</v>
      </c>
      <c r="W55" s="103">
        <f t="shared" ref="W55:Y55" si="47">IF(W9=0,0,W9/W$3)</f>
        <v>0.3097423703363511</v>
      </c>
      <c r="X55" s="103">
        <f t="shared" si="47"/>
        <v>0.26019666153596982</v>
      </c>
      <c r="Y55" s="103">
        <f t="shared" si="47"/>
        <v>0.27354157445520499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1.9819197447718422E-2</v>
      </c>
      <c r="C56" s="17">
        <f t="shared" si="48"/>
        <v>2.2408227704631196E-2</v>
      </c>
      <c r="D56" s="17">
        <f t="shared" ref="D56:V56" si="49">IF(D10=0,0,D10/D$3)</f>
        <v>2.653862155668402E-2</v>
      </c>
      <c r="E56" s="17">
        <f t="shared" si="49"/>
        <v>2.1911905065957325E-2</v>
      </c>
      <c r="F56" s="17">
        <f t="shared" si="49"/>
        <v>1.7335519251565141E-2</v>
      </c>
      <c r="G56" s="17">
        <f t="shared" si="49"/>
        <v>1.8662637940285016E-2</v>
      </c>
      <c r="H56" s="17">
        <f t="shared" si="49"/>
        <v>2.2066929396223487E-2</v>
      </c>
      <c r="I56" s="17">
        <f t="shared" si="49"/>
        <v>1.8150600843729315E-2</v>
      </c>
      <c r="J56" s="17">
        <f t="shared" si="49"/>
        <v>1.5825835643682822E-2</v>
      </c>
      <c r="K56" s="17">
        <f t="shared" si="49"/>
        <v>1.6346304236431759E-2</v>
      </c>
      <c r="L56" s="17">
        <f t="shared" si="49"/>
        <v>1.8289996349437201E-2</v>
      </c>
      <c r="M56" s="17">
        <f t="shared" si="49"/>
        <v>1.8501991103660943E-2</v>
      </c>
      <c r="N56" s="17">
        <f t="shared" si="49"/>
        <v>2.1227196614203241E-2</v>
      </c>
      <c r="O56" s="17">
        <f t="shared" si="49"/>
        <v>2.340760413056988E-2</v>
      </c>
      <c r="P56" s="17">
        <f t="shared" si="49"/>
        <v>1.9185811978745783E-2</v>
      </c>
      <c r="Q56" s="17">
        <f t="shared" si="49"/>
        <v>1.9023725820269684E-2</v>
      </c>
      <c r="R56" s="17">
        <f t="shared" si="49"/>
        <v>1.7827420554009481E-2</v>
      </c>
      <c r="S56" s="17">
        <f t="shared" si="49"/>
        <v>1.8024929369329031E-2</v>
      </c>
      <c r="T56" s="17">
        <f t="shared" si="49"/>
        <v>1.7094721078394028E-2</v>
      </c>
      <c r="U56" s="17">
        <f t="shared" si="49"/>
        <v>1.4999725468737575E-2</v>
      </c>
      <c r="V56" s="17">
        <f t="shared" si="49"/>
        <v>5.2180217325683238E-2</v>
      </c>
      <c r="W56" s="17">
        <f t="shared" ref="W56:Y56" si="50">IF(W10=0,0,W10/W$3)</f>
        <v>6.920244419223226E-2</v>
      </c>
      <c r="X56" s="17">
        <f t="shared" si="50"/>
        <v>4.5880645597467538E-2</v>
      </c>
      <c r="Y56" s="17">
        <f t="shared" si="50"/>
        <v>2.8754210417876732E-2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1.4905329204824461E-2</v>
      </c>
      <c r="C58" s="104">
        <f t="shared" si="54"/>
        <v>1.7559596975024128E-2</v>
      </c>
      <c r="D58" s="104">
        <f t="shared" ref="D58:V58" si="55">IF(D12=0,0,D12/D$3)</f>
        <v>2.4016756506266172E-2</v>
      </c>
      <c r="E58" s="104">
        <f t="shared" si="55"/>
        <v>1.9339143309333E-2</v>
      </c>
      <c r="F58" s="104">
        <f t="shared" si="55"/>
        <v>1.5772518659177771E-2</v>
      </c>
      <c r="G58" s="104">
        <f t="shared" si="55"/>
        <v>1.6838051029427658E-2</v>
      </c>
      <c r="H58" s="104">
        <f t="shared" si="55"/>
        <v>1.2376858082151387E-2</v>
      </c>
      <c r="I58" s="104">
        <f t="shared" si="55"/>
        <v>1.4494133500393021E-2</v>
      </c>
      <c r="J58" s="104">
        <f t="shared" si="55"/>
        <v>1.129504303798191E-2</v>
      </c>
      <c r="K58" s="104">
        <f t="shared" si="55"/>
        <v>1.1442792290476539E-2</v>
      </c>
      <c r="L58" s="104">
        <f t="shared" si="55"/>
        <v>1.2419352852257112E-2</v>
      </c>
      <c r="M58" s="104">
        <f t="shared" si="55"/>
        <v>1.5876367661267935E-2</v>
      </c>
      <c r="N58" s="104">
        <f t="shared" si="55"/>
        <v>1.7359754494674338E-2</v>
      </c>
      <c r="O58" s="104">
        <f t="shared" si="55"/>
        <v>1.8947647827504559E-2</v>
      </c>
      <c r="P58" s="104">
        <f t="shared" si="55"/>
        <v>1.7171090514105546E-2</v>
      </c>
      <c r="Q58" s="104">
        <f t="shared" si="55"/>
        <v>1.7046130624040298E-2</v>
      </c>
      <c r="R58" s="104">
        <f t="shared" si="55"/>
        <v>1.4927190824430531E-2</v>
      </c>
      <c r="S58" s="104">
        <f t="shared" si="55"/>
        <v>1.5354740655715364E-2</v>
      </c>
      <c r="T58" s="104">
        <f t="shared" si="55"/>
        <v>1.4771494845131353E-2</v>
      </c>
      <c r="U58" s="104">
        <f t="shared" si="55"/>
        <v>1.1718018485950029E-2</v>
      </c>
      <c r="V58" s="104">
        <f t="shared" si="55"/>
        <v>3.6362971891913683E-2</v>
      </c>
      <c r="W58" s="104">
        <f t="shared" ref="W58:Y58" si="56">IF(W12=0,0,W12/W$3)</f>
        <v>4.1707485986003899E-2</v>
      </c>
      <c r="X58" s="104">
        <f t="shared" si="56"/>
        <v>2.1546809568011409E-2</v>
      </c>
      <c r="Y58" s="104">
        <f t="shared" si="56"/>
        <v>1.7768422989688084E-2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4.9138682428939576E-3</v>
      </c>
      <c r="C59" s="105">
        <f t="shared" si="57"/>
        <v>4.8486307296070679E-3</v>
      </c>
      <c r="D59" s="105">
        <f t="shared" ref="D59:V59" si="58">IF(D13=0,0,D13/D$3)</f>
        <v>2.5218650504178508E-3</v>
      </c>
      <c r="E59" s="105">
        <f t="shared" si="58"/>
        <v>2.5727617566243259E-3</v>
      </c>
      <c r="F59" s="105">
        <f t="shared" si="58"/>
        <v>1.5630005923873722E-3</v>
      </c>
      <c r="G59" s="105">
        <f t="shared" si="58"/>
        <v>1.8245869108573559E-3</v>
      </c>
      <c r="H59" s="105">
        <f t="shared" si="58"/>
        <v>9.6900713140720979E-3</v>
      </c>
      <c r="I59" s="105">
        <f t="shared" si="58"/>
        <v>3.656467343336293E-3</v>
      </c>
      <c r="J59" s="105">
        <f t="shared" si="58"/>
        <v>4.5307926057009135E-3</v>
      </c>
      <c r="K59" s="105">
        <f t="shared" si="58"/>
        <v>4.903511945955218E-3</v>
      </c>
      <c r="L59" s="105">
        <f t="shared" si="58"/>
        <v>5.8706434971800888E-3</v>
      </c>
      <c r="M59" s="105">
        <f t="shared" si="58"/>
        <v>2.6256234423930064E-3</v>
      </c>
      <c r="N59" s="105">
        <f t="shared" si="58"/>
        <v>3.8674421195289015E-3</v>
      </c>
      <c r="O59" s="105">
        <f t="shared" si="58"/>
        <v>4.4599563030653247E-3</v>
      </c>
      <c r="P59" s="105">
        <f t="shared" si="58"/>
        <v>2.0147214646402379E-3</v>
      </c>
      <c r="Q59" s="105">
        <f t="shared" si="58"/>
        <v>1.9775951962293838E-3</v>
      </c>
      <c r="R59" s="105">
        <f t="shared" si="58"/>
        <v>2.9002297295789526E-3</v>
      </c>
      <c r="S59" s="105">
        <f t="shared" si="58"/>
        <v>2.6701887136136651E-3</v>
      </c>
      <c r="T59" s="105">
        <f t="shared" si="58"/>
        <v>2.3232262332626747E-3</v>
      </c>
      <c r="U59" s="105">
        <f t="shared" si="58"/>
        <v>3.2817069827875472E-3</v>
      </c>
      <c r="V59" s="105">
        <f t="shared" si="58"/>
        <v>1.5817245433769556E-2</v>
      </c>
      <c r="W59" s="105">
        <f t="shared" ref="W59:Y59" si="59">IF(W13=0,0,W13/W$3)</f>
        <v>2.7494958206228354E-2</v>
      </c>
      <c r="X59" s="105">
        <f t="shared" si="59"/>
        <v>2.4333836029456123E-2</v>
      </c>
      <c r="Y59" s="105">
        <f t="shared" si="59"/>
        <v>1.0985787428188652E-2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3596670</v>
      </c>
      <c r="C4" s="11">
        <f t="shared" si="0"/>
        <v>3417184</v>
      </c>
      <c r="D4" s="11">
        <f t="shared" ref="D4" si="1">SUM(D5:D7)</f>
        <v>3333177</v>
      </c>
      <c r="E4" s="11">
        <f t="shared" ref="E4" si="2">SUM(E5:E7)</f>
        <v>3714604</v>
      </c>
      <c r="F4" s="11">
        <f t="shared" ref="F4" si="3">SUM(F5:F7)</f>
        <v>4713368</v>
      </c>
      <c r="G4" s="11">
        <f t="shared" ref="G4" si="4">SUM(G5:G7)</f>
        <v>5788396</v>
      </c>
      <c r="H4" s="11">
        <f t="shared" ref="H4" si="5">SUM(H5:H7)</f>
        <v>6056731</v>
      </c>
      <c r="I4" s="11">
        <f t="shared" ref="I4" si="6">SUM(I5:I7)</f>
        <v>6326950</v>
      </c>
      <c r="J4" s="11">
        <f t="shared" ref="J4" si="7">SUM(J5:J7)</f>
        <v>6215077</v>
      </c>
      <c r="K4" s="11">
        <f t="shared" ref="K4" si="8">SUM(K5:K7)</f>
        <v>5862746</v>
      </c>
      <c r="L4" s="11">
        <f t="shared" ref="L4" si="9">SUM(L5:L7)</f>
        <v>5745255</v>
      </c>
      <c r="M4" s="11">
        <f t="shared" ref="M4" si="10">SUM(M5:M7)</f>
        <v>6150396</v>
      </c>
      <c r="N4" s="11">
        <f t="shared" ref="N4" si="11">SUM(N5:N7)</f>
        <v>5590272</v>
      </c>
      <c r="O4" s="11">
        <f t="shared" ref="O4" si="12">SUM(O5:O7)</f>
        <v>5456137</v>
      </c>
      <c r="P4" s="11">
        <f t="shared" ref="P4" si="13">SUM(P5:P7)</f>
        <v>5666551</v>
      </c>
      <c r="Q4" s="11">
        <f t="shared" ref="Q4" si="14">SUM(Q5:Q7)</f>
        <v>6298239</v>
      </c>
      <c r="R4" s="11">
        <f t="shared" ref="R4" si="15">SUM(R5:R7)</f>
        <v>7172882</v>
      </c>
      <c r="S4" s="11">
        <f t="shared" ref="S4" si="16">SUM(S5:S7)</f>
        <v>7945632</v>
      </c>
      <c r="T4" s="11">
        <f t="shared" ref="T4" si="17">SUM(T5:T7)</f>
        <v>9150364</v>
      </c>
      <c r="U4" s="11">
        <f t="shared" ref="U4" si="18">SUM(U5:U7)</f>
        <v>10029999</v>
      </c>
      <c r="V4" s="11">
        <f t="shared" ref="V4:W4" si="19">SUM(V5:V7)</f>
        <v>3279279</v>
      </c>
      <c r="W4" s="11">
        <f t="shared" si="19"/>
        <v>3450410</v>
      </c>
      <c r="X4" s="11">
        <f t="shared" ref="X4:Y4" si="20">SUM(X5:X7)</f>
        <v>7705416</v>
      </c>
      <c r="Y4" s="11">
        <f t="shared" si="20"/>
        <v>8808379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2783401</v>
      </c>
      <c r="C6" s="84">
        <v>2650679</v>
      </c>
      <c r="D6" s="84">
        <v>2640244</v>
      </c>
      <c r="E6" s="84">
        <v>2839133</v>
      </c>
      <c r="F6" s="84">
        <v>3693442</v>
      </c>
      <c r="G6" s="84">
        <v>4767244</v>
      </c>
      <c r="H6" s="84">
        <v>5016884</v>
      </c>
      <c r="I6" s="84">
        <v>5204662</v>
      </c>
      <c r="J6" s="84">
        <v>5096554</v>
      </c>
      <c r="K6" s="84">
        <v>4919488</v>
      </c>
      <c r="L6" s="84">
        <v>4711703</v>
      </c>
      <c r="M6" s="84">
        <v>5041906</v>
      </c>
      <c r="N6" s="84">
        <v>5020225</v>
      </c>
      <c r="O6" s="84">
        <v>4789348</v>
      </c>
      <c r="P6" s="84">
        <v>4717314</v>
      </c>
      <c r="Q6" s="84">
        <v>5225138</v>
      </c>
      <c r="R6" s="84">
        <v>6140319</v>
      </c>
      <c r="S6" s="84">
        <v>6633657</v>
      </c>
      <c r="T6" s="84">
        <v>7320754</v>
      </c>
      <c r="U6" s="84">
        <v>8030042</v>
      </c>
      <c r="V6" s="84">
        <v>2757335</v>
      </c>
      <c r="W6" s="84">
        <v>2781895</v>
      </c>
      <c r="X6" s="84">
        <v>6442827</v>
      </c>
      <c r="Y6" s="84">
        <v>6968768</v>
      </c>
      <c r="DA6" s="171" t="s">
        <v>364</v>
      </c>
    </row>
    <row r="7" spans="1:105" ht="11.45" customHeight="1" x14ac:dyDescent="0.25">
      <c r="A7" s="85" t="s">
        <v>182</v>
      </c>
      <c r="B7" s="86">
        <v>813269</v>
      </c>
      <c r="C7" s="86">
        <v>766505</v>
      </c>
      <c r="D7" s="86">
        <v>692933</v>
      </c>
      <c r="E7" s="86">
        <v>875471</v>
      </c>
      <c r="F7" s="86">
        <v>1019926</v>
      </c>
      <c r="G7" s="86">
        <v>1021152</v>
      </c>
      <c r="H7" s="86">
        <v>1039847</v>
      </c>
      <c r="I7" s="86">
        <v>1122288</v>
      </c>
      <c r="J7" s="86">
        <v>1118523</v>
      </c>
      <c r="K7" s="86">
        <v>943258</v>
      </c>
      <c r="L7" s="86">
        <v>1033552</v>
      </c>
      <c r="M7" s="86">
        <v>1108490</v>
      </c>
      <c r="N7" s="86">
        <v>570047</v>
      </c>
      <c r="O7" s="86">
        <v>666789</v>
      </c>
      <c r="P7" s="86">
        <v>949237</v>
      </c>
      <c r="Q7" s="86">
        <v>1073101</v>
      </c>
      <c r="R7" s="86">
        <v>1032563</v>
      </c>
      <c r="S7" s="86">
        <v>1311975</v>
      </c>
      <c r="T7" s="86">
        <v>1829610</v>
      </c>
      <c r="U7" s="86">
        <v>1999957</v>
      </c>
      <c r="V7" s="86">
        <v>521944</v>
      </c>
      <c r="W7" s="86">
        <v>668515</v>
      </c>
      <c r="X7" s="86">
        <v>1262589</v>
      </c>
      <c r="Y7" s="86">
        <v>1839611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98.595630362674413</v>
      </c>
      <c r="C12" s="14">
        <f>IF(C4=0,0,C4/TrAvia_act!C24)</f>
        <v>99.704840545035452</v>
      </c>
      <c r="D12" s="14">
        <f>IF(D4=0,0,D4/TrAvia_act!D24)</f>
        <v>99.798706548100242</v>
      </c>
      <c r="E12" s="14">
        <f>IF(E4=0,0,E4/TrAvia_act!E24)</f>
        <v>96.518318349529693</v>
      </c>
      <c r="F12" s="14">
        <f>IF(F4=0,0,F4/TrAvia_act!F24)</f>
        <v>96.206890920966686</v>
      </c>
      <c r="G12" s="14">
        <f>IF(G4=0,0,G4/TrAvia_act!G24)</f>
        <v>105.62766423357664</v>
      </c>
      <c r="H12" s="14">
        <f>IF(H4=0,0,H4/TrAvia_act!H24)</f>
        <v>109.90058246085174</v>
      </c>
      <c r="I12" s="14">
        <f>IF(I4=0,0,I4/TrAvia_act!I24)</f>
        <v>115.61352215623572</v>
      </c>
      <c r="J12" s="14">
        <f>IF(J4=0,0,J4/TrAvia_act!J24)</f>
        <v>118.90787862554527</v>
      </c>
      <c r="K12" s="14">
        <f>IF(K4=0,0,K4/TrAvia_act!K24)</f>
        <v>118.75359030970853</v>
      </c>
      <c r="L12" s="14">
        <f>IF(L4=0,0,L4/TrAvia_act!L24)</f>
        <v>122.54452573427469</v>
      </c>
      <c r="M12" s="14">
        <f>IF(M4=0,0,M4/TrAvia_act!M24)</f>
        <v>125.33156725694374</v>
      </c>
      <c r="N12" s="14">
        <f>IF(N4=0,0,N4/TrAvia_act!N24)</f>
        <v>147.62522446392734</v>
      </c>
      <c r="O12" s="14">
        <f>IF(O4=0,0,O4/TrAvia_act!O24)</f>
        <v>152.00693709255029</v>
      </c>
      <c r="P12" s="14">
        <f>IF(P4=0,0,P4/TrAvia_act!P24)</f>
        <v>151.47560747413723</v>
      </c>
      <c r="Q12" s="14">
        <f>IF(Q4=0,0,Q4/TrAvia_act!Q24)</f>
        <v>157.07115068083195</v>
      </c>
      <c r="R12" s="14">
        <f>IF(R4=0,0,R4/TrAvia_act!R24)</f>
        <v>166.25059682466102</v>
      </c>
      <c r="S12" s="14">
        <f>IF(S4=0,0,S4/TrAvia_act!S24)</f>
        <v>171.00619834710744</v>
      </c>
      <c r="T12" s="14">
        <f>IF(T4=0,0,T4/TrAvia_act!T24)</f>
        <v>174.51536246257129</v>
      </c>
      <c r="U12" s="14">
        <f>IF(U4=0,0,U4/TrAvia_act!U24)</f>
        <v>177.49697387980464</v>
      </c>
      <c r="V12" s="14">
        <f>IF(V4=0,0,V4/TrAvia_act!V24)</f>
        <v>178.89253177677159</v>
      </c>
      <c r="W12" s="14">
        <f>IF(W4=0,0,W4/TrAvia_act!W24)</f>
        <v>178.41718806556699</v>
      </c>
      <c r="X12" s="14">
        <f>IF(X4=0,0,X4/TrAvia_act!X24)</f>
        <v>183.65030864933146</v>
      </c>
      <c r="Y12" s="14">
        <f>IF(Y4=0,0,Y4/TrAvia_act!Y24)</f>
        <v>187.55597904778128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94.679944213892099</v>
      </c>
      <c r="C14" s="87">
        <f>IF(C6=0,0,C6/TrAvia_act!C26)</f>
        <v>95.969551049963798</v>
      </c>
      <c r="D14" s="87">
        <f>IF(D6=0,0,D6/TrAvia_act!D26)</f>
        <v>98.13938965914582</v>
      </c>
      <c r="E14" s="87">
        <f>IF(E6=0,0,E6/TrAvia_act!E26)</f>
        <v>93.068019406018493</v>
      </c>
      <c r="F14" s="87">
        <f>IF(F6=0,0,F6/TrAvia_act!F26)</f>
        <v>91.685085890179721</v>
      </c>
      <c r="G14" s="87">
        <f>IF(G6=0,0,G6/TrAvia_act!G26)</f>
        <v>102.48390910849797</v>
      </c>
      <c r="H14" s="87">
        <f>IF(H6=0,0,H6/TrAvia_act!H26)</f>
        <v>107.63766654508785</v>
      </c>
      <c r="I14" s="87">
        <f>IF(I6=0,0,I6/TrAvia_act!I26)</f>
        <v>113.79295115658752</v>
      </c>
      <c r="J14" s="87">
        <f>IF(J6=0,0,J6/TrAvia_act!J26)</f>
        <v>117.35910838879039</v>
      </c>
      <c r="K14" s="87">
        <f>IF(K6=0,0,K6/TrAvia_act!K26)</f>
        <v>118.27966916714753</v>
      </c>
      <c r="L14" s="87">
        <f>IF(L6=0,0,L6/TrAvia_act!L26)</f>
        <v>122.12495788082217</v>
      </c>
      <c r="M14" s="87">
        <f>IF(M6=0,0,M6/TrAvia_act!M26)</f>
        <v>125.42366725540437</v>
      </c>
      <c r="N14" s="87">
        <f>IF(N6=0,0,N6/TrAvia_act!N26)</f>
        <v>148.65931299970387</v>
      </c>
      <c r="O14" s="87">
        <f>IF(O6=0,0,O6/TrAvia_act!O26)</f>
        <v>151.16937062054163</v>
      </c>
      <c r="P14" s="87">
        <f>IF(P6=0,0,P6/TrAvia_act!P26)</f>
        <v>150.31910012108852</v>
      </c>
      <c r="Q14" s="87">
        <f>IF(Q6=0,0,Q6/TrAvia_act!Q26)</f>
        <v>155.73253457319981</v>
      </c>
      <c r="R14" s="87">
        <f>IF(R6=0,0,R6/TrAvia_act!R26)</f>
        <v>165.10672223716054</v>
      </c>
      <c r="S14" s="87">
        <f>IF(S6=0,0,S6/TrAvia_act!S26)</f>
        <v>169.50268295175798</v>
      </c>
      <c r="T14" s="87">
        <f>IF(T6=0,0,T6/TrAvia_act!T26)</f>
        <v>172.32196407974953</v>
      </c>
      <c r="U14" s="87">
        <f>IF(U6=0,0,U6/TrAvia_act!U26)</f>
        <v>174.87786924517619</v>
      </c>
      <c r="V14" s="87">
        <f>IF(V6=0,0,V6/TrAvia_act!V26)</f>
        <v>176.36785211718049</v>
      </c>
      <c r="W14" s="87">
        <f>IF(W6=0,0,W6/TrAvia_act!W26)</f>
        <v>175.14921614304603</v>
      </c>
      <c r="X14" s="87">
        <f>IF(X6=0,0,X6/TrAvia_act!X26)</f>
        <v>181.22772917780091</v>
      </c>
      <c r="Y14" s="87">
        <f>IF(Y6=0,0,Y6/TrAvia_act!Y26)</f>
        <v>183.69801771404471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114.85228075130631</v>
      </c>
      <c r="C15" s="88">
        <f>IF(C7=0,0,C7/TrAvia_act!C27)</f>
        <v>115.21193446565459</v>
      </c>
      <c r="D15" s="88">
        <f>IF(D7=0,0,D7/TrAvia_act!D27)</f>
        <v>106.67072044334975</v>
      </c>
      <c r="E15" s="88">
        <f>IF(E7=0,0,E7/TrAvia_act!E27)</f>
        <v>109.70814536340852</v>
      </c>
      <c r="F15" s="88">
        <f>IF(F7=0,0,F7/TrAvia_act!F27)</f>
        <v>117.12517225539733</v>
      </c>
      <c r="G15" s="88">
        <f>IF(G7=0,0,G7/TrAvia_act!G27)</f>
        <v>123.28286852589642</v>
      </c>
      <c r="H15" s="88">
        <f>IF(H7=0,0,H7/TrAvia_act!H27)</f>
        <v>122.30616325570455</v>
      </c>
      <c r="I15" s="88">
        <f>IF(I7=0,0,I7/TrAvia_act!I27)</f>
        <v>124.87904751307444</v>
      </c>
      <c r="J15" s="88">
        <f>IF(J7=0,0,J7/TrAvia_act!J27)</f>
        <v>126.51543942992875</v>
      </c>
      <c r="K15" s="88">
        <f>IF(K7=0,0,K7/TrAvia_act!K27)</f>
        <v>121.28815738716729</v>
      </c>
      <c r="L15" s="88">
        <f>IF(L7=0,0,L7/TrAvia_act!L27)</f>
        <v>124.494338713563</v>
      </c>
      <c r="M15" s="88">
        <f>IF(M7=0,0,M7/TrAvia_act!M27)</f>
        <v>124.91435654721658</v>
      </c>
      <c r="N15" s="88">
        <f>IF(N7=0,0,N7/TrAvia_act!N27)</f>
        <v>139.10370912640312</v>
      </c>
      <c r="O15" s="88">
        <f>IF(O7=0,0,O7/TrAvia_act!O27)</f>
        <v>158.30698005698005</v>
      </c>
      <c r="P15" s="88">
        <f>IF(P7=0,0,P7/TrAvia_act!P27)</f>
        <v>157.49742823958852</v>
      </c>
      <c r="Q15" s="88">
        <f>IF(Q7=0,0,Q7/TrAvia_act!Q27)</f>
        <v>163.93232508402079</v>
      </c>
      <c r="R15" s="88">
        <f>IF(R7=0,0,R7/TrAvia_act!R27)</f>
        <v>173.39429051217465</v>
      </c>
      <c r="S15" s="88">
        <f>IF(S7=0,0,S7/TrAvia_act!S27)</f>
        <v>179.03588973799125</v>
      </c>
      <c r="T15" s="88">
        <f>IF(T7=0,0,T7/TrAvia_act!T27)</f>
        <v>183.88040201005026</v>
      </c>
      <c r="U15" s="88">
        <f>IF(U7=0,0,U7/TrAvia_act!U27)</f>
        <v>188.85335221907459</v>
      </c>
      <c r="V15" s="88">
        <f>IF(V7=0,0,V7/TrAvia_act!V27)</f>
        <v>193.52762328513163</v>
      </c>
      <c r="W15" s="88">
        <f>IF(W7=0,0,W7/TrAvia_act!W27)</f>
        <v>193.43605324074073</v>
      </c>
      <c r="X15" s="88">
        <f>IF(X7=0,0,X7/TrAvia_act!X27)</f>
        <v>197.09475491726508</v>
      </c>
      <c r="Y15" s="88">
        <f>IF(Y7=0,0,Y7/TrAvia_act!Y27)</f>
        <v>203.76727957465661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0.67840752696244033</v>
      </c>
      <c r="C18" s="25">
        <f>IF(TrAvia_act!C34=0,0,(TrAvia_act!C34/TrAvia_act!C24)/TrAvia_png!C12)</f>
        <v>0.67898509415940145</v>
      </c>
      <c r="D18" s="25">
        <f>IF(TrAvia_act!D34=0,0,(TrAvia_act!D34/TrAvia_act!D24)/TrAvia_png!D12)</f>
        <v>0.68016879991671608</v>
      </c>
      <c r="E18" s="25">
        <f>IF(TrAvia_act!E34=0,0,(TrAvia_act!E34/TrAvia_act!E24)/TrAvia_png!E12)</f>
        <v>0.67925517767169807</v>
      </c>
      <c r="F18" s="25">
        <f>IF(TrAvia_act!F34=0,0,(TrAvia_act!F34/TrAvia_act!F24)/TrAvia_png!F12)</f>
        <v>0.68406052741903467</v>
      </c>
      <c r="G18" s="25">
        <f>IF(TrAvia_act!G34=0,0,(TrAvia_act!G34/TrAvia_act!G24)/TrAvia_png!G12)</f>
        <v>0.69003157351362965</v>
      </c>
      <c r="H18" s="25">
        <f>IF(TrAvia_act!H34=0,0,(TrAvia_act!H34/TrAvia_act!H24)/TrAvia_png!H12)</f>
        <v>0.69087004194176693</v>
      </c>
      <c r="I18" s="25">
        <f>IF(TrAvia_act!I34=0,0,(TrAvia_act!I34/TrAvia_act!I24)/TrAvia_png!I12)</f>
        <v>0.69397545420779372</v>
      </c>
      <c r="J18" s="25">
        <f>IF(TrAvia_act!J34=0,0,(TrAvia_act!J34/TrAvia_act!J24)/TrAvia_png!J12)</f>
        <v>0.6887134302599951</v>
      </c>
      <c r="K18" s="25">
        <f>IF(TrAvia_act!K34=0,0,(TrAvia_act!K34/TrAvia_act!K24)/TrAvia_png!K12)</f>
        <v>0.70042570495122924</v>
      </c>
      <c r="L18" s="25">
        <f>IF(TrAvia_act!L34=0,0,(TrAvia_act!L34/TrAvia_act!L24)/TrAvia_png!L12)</f>
        <v>0.71614958779027216</v>
      </c>
      <c r="M18" s="25">
        <f>IF(TrAvia_act!M34=0,0,(TrAvia_act!M34/TrAvia_act!M24)/TrAvia_png!M12)</f>
        <v>0.72657272799995309</v>
      </c>
      <c r="N18" s="25">
        <f>IF(TrAvia_act!N34=0,0,(TrAvia_act!N34/TrAvia_act!N24)/TrAvia_png!N12)</f>
        <v>0.75966088948802479</v>
      </c>
      <c r="O18" s="25">
        <f>IF(TrAvia_act!O34=0,0,(TrAvia_act!O34/TrAvia_act!O24)/TrAvia_png!O12)</f>
        <v>0.77978723774714598</v>
      </c>
      <c r="P18" s="25">
        <f>IF(TrAvia_act!P34=0,0,(TrAvia_act!P34/TrAvia_act!P24)/TrAvia_png!P12)</f>
        <v>0.80459489378989091</v>
      </c>
      <c r="Q18" s="25">
        <f>IF(TrAvia_act!Q34=0,0,(TrAvia_act!Q34/TrAvia_act!Q24)/TrAvia_png!Q12)</f>
        <v>0.81918469591261955</v>
      </c>
      <c r="R18" s="25">
        <f>IF(TrAvia_act!R34=0,0,(TrAvia_act!R34/TrAvia_act!R24)/TrAvia_png!R12)</f>
        <v>0.82227896680859935</v>
      </c>
      <c r="S18" s="25">
        <f>IF(TrAvia_act!S34=0,0,(TrAvia_act!S34/TrAvia_act!S24)/TrAvia_png!S12)</f>
        <v>0.84758556651000205</v>
      </c>
      <c r="T18" s="25">
        <f>IF(TrAvia_act!T34=0,0,(TrAvia_act!T34/TrAvia_act!T24)/TrAvia_png!T12)</f>
        <v>0.83645634206464348</v>
      </c>
      <c r="U18" s="25">
        <f>IF(TrAvia_act!U34=0,0,(TrAvia_act!U34/TrAvia_act!U24)/TrAvia_png!U12)</f>
        <v>0.83855362298640301</v>
      </c>
      <c r="V18" s="25">
        <f>IF(TrAvia_act!V34=0,0,(TrAvia_act!V34/TrAvia_act!V24)/TrAvia_png!V12)</f>
        <v>0.6174448712659093</v>
      </c>
      <c r="W18" s="25">
        <f>IF(TrAvia_act!W34=0,0,(TrAvia_act!W34/TrAvia_act!W24)/TrAvia_png!W12)</f>
        <v>0.67404685240304774</v>
      </c>
      <c r="X18" s="25">
        <f>IF(TrAvia_act!X34=0,0,(TrAvia_act!X34/TrAvia_act!X24)/TrAvia_png!X12)</f>
        <v>0.8087451735247001</v>
      </c>
      <c r="Y18" s="25">
        <f>IF(TrAvia_act!Y34=0,0,(TrAvia_act!Y34/TrAvia_act!Y24)/TrAvia_png!Y12)</f>
        <v>0.84774258691638948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0.67578117561932327</v>
      </c>
      <c r="C20" s="89">
        <f>IF(TrAvia_act!C36=0,0,(TrAvia_act!C36/TrAvia_act!C26)/TrAvia_png!C14)</f>
        <v>0.67659909027083243</v>
      </c>
      <c r="D20" s="89">
        <f>IF(TrAvia_act!D36=0,0,(TrAvia_act!D36/TrAvia_act!D26)/TrAvia_png!D14)</f>
        <v>0.67996632129454704</v>
      </c>
      <c r="E20" s="89">
        <f>IF(TrAvia_act!E36=0,0,(TrAvia_act!E36/TrAvia_act!E26)/TrAvia_png!E14)</f>
        <v>0.67992799210181409</v>
      </c>
      <c r="F20" s="89">
        <f>IF(TrAvia_act!F36=0,0,(TrAvia_act!F36/TrAvia_act!F26)/TrAvia_png!F14)</f>
        <v>0.6855675546008303</v>
      </c>
      <c r="G20" s="89">
        <f>IF(TrAvia_act!G36=0,0,(TrAvia_act!G36/TrAvia_act!G26)/TrAvia_png!G14)</f>
        <v>0.69160420570040049</v>
      </c>
      <c r="H20" s="89">
        <f>IF(TrAvia_act!H36=0,0,(TrAvia_act!H36/TrAvia_act!H26)/TrAvia_png!H14)</f>
        <v>0.69274992206317709</v>
      </c>
      <c r="I20" s="89">
        <f>IF(TrAvia_act!I36=0,0,(TrAvia_act!I36/TrAvia_act!I26)/TrAvia_png!I14)</f>
        <v>0.69559003063023117</v>
      </c>
      <c r="J20" s="89">
        <f>IF(TrAvia_act!J36=0,0,(TrAvia_act!J36/TrAvia_act!J26)/TrAvia_png!J14)</f>
        <v>0.69192988046432935</v>
      </c>
      <c r="K20" s="89">
        <f>IF(TrAvia_act!K36=0,0,(TrAvia_act!K36/TrAvia_act!K26)/TrAvia_png!K14)</f>
        <v>0.70170798261932943</v>
      </c>
      <c r="L20" s="89">
        <f>IF(TrAvia_act!L36=0,0,(TrAvia_act!L36/TrAvia_act!L26)/TrAvia_png!L14)</f>
        <v>0.72560176225029471</v>
      </c>
      <c r="M20" s="89">
        <f>IF(TrAvia_act!M36=0,0,(TrAvia_act!M36/TrAvia_act!M26)/TrAvia_png!M14)</f>
        <v>0.73900822427074198</v>
      </c>
      <c r="N20" s="89">
        <f>IF(TrAvia_act!N36=0,0,(TrAvia_act!N36/TrAvia_act!N26)/TrAvia_png!N14)</f>
        <v>0.76212679710570752</v>
      </c>
      <c r="O20" s="89">
        <f>IF(TrAvia_act!O36=0,0,(TrAvia_act!O36/TrAvia_act!O26)/TrAvia_png!O14)</f>
        <v>0.78370417017097116</v>
      </c>
      <c r="P20" s="89">
        <f>IF(TrAvia_act!P36=0,0,(TrAvia_act!P36/TrAvia_act!P26)/TrAvia_png!P14)</f>
        <v>0.81697296385188689</v>
      </c>
      <c r="Q20" s="89">
        <f>IF(TrAvia_act!Q36=0,0,(TrAvia_act!Q36/TrAvia_act!Q26)/TrAvia_png!Q14)</f>
        <v>0.83372286052540612</v>
      </c>
      <c r="R20" s="89">
        <f>IF(TrAvia_act!R36=0,0,(TrAvia_act!R36/TrAvia_act!R26)/TrAvia_png!R14)</f>
        <v>0.83007088068225776</v>
      </c>
      <c r="S20" s="89">
        <f>IF(TrAvia_act!S36=0,0,(TrAvia_act!S36/TrAvia_act!S26)/TrAvia_png!S14)</f>
        <v>0.85705516580070396</v>
      </c>
      <c r="T20" s="89">
        <f>IF(TrAvia_act!T36=0,0,(TrAvia_act!T36/TrAvia_act!T26)/TrAvia_png!T14)</f>
        <v>0.84835510112756141</v>
      </c>
      <c r="U20" s="89">
        <f>IF(TrAvia_act!U36=0,0,(TrAvia_act!U36/TrAvia_act!U26)/TrAvia_png!U14)</f>
        <v>0.84812022153806921</v>
      </c>
      <c r="V20" s="89">
        <f>IF(TrAvia_act!V36=0,0,(TrAvia_act!V36/TrAvia_act!V26)/TrAvia_png!V14)</f>
        <v>0.61908001748064712</v>
      </c>
      <c r="W20" s="89">
        <f>IF(TrAvia_act!W36=0,0,(TrAvia_act!W36/TrAvia_act!W26)/TrAvia_png!W14)</f>
        <v>0.68115475242595425</v>
      </c>
      <c r="X20" s="89">
        <f>IF(TrAvia_act!X36=0,0,(TrAvia_act!X36/TrAvia_act!X26)/TrAvia_png!X14)</f>
        <v>0.81261952245497204</v>
      </c>
      <c r="Y20" s="89">
        <f>IF(TrAvia_act!Y36=0,0,(TrAvia_act!Y36/TrAvia_act!Y26)/TrAvia_png!Y14)</f>
        <v>0.86577857090378096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0.68739617518926699</v>
      </c>
      <c r="C21" s="90">
        <f>IF(TrAvia_act!C37=0,0,(TrAvia_act!C37/TrAvia_act!C27)/TrAvia_png!C15)</f>
        <v>0.68723622155106623</v>
      </c>
      <c r="D21" s="90">
        <f>IF(TrAvia_act!D37=0,0,(TrAvia_act!D37/TrAvia_act!D27)/TrAvia_png!D15)</f>
        <v>0.68094029292875358</v>
      </c>
      <c r="E21" s="90">
        <f>IF(TrAvia_act!E37=0,0,(TrAvia_act!E37/TrAvia_act!E27)/TrAvia_png!E15)</f>
        <v>0.67707325542479424</v>
      </c>
      <c r="F21" s="90">
        <f>IF(TrAvia_act!F37=0,0,(TrAvia_act!F37/TrAvia_act!F27)/TrAvia_png!F15)</f>
        <v>0.6786031535621212</v>
      </c>
      <c r="G21" s="90">
        <f>IF(TrAvia_act!G37=0,0,(TrAvia_act!G37/TrAvia_act!G27)/TrAvia_png!G15)</f>
        <v>0.6826897464824041</v>
      </c>
      <c r="H21" s="90">
        <f>IF(TrAvia_act!H37=0,0,(TrAvia_act!H37/TrAvia_act!H27)/TrAvia_png!H15)</f>
        <v>0.68180030331385288</v>
      </c>
      <c r="I21" s="90">
        <f>IF(TrAvia_act!I37=0,0,(TrAvia_act!I37/TrAvia_act!I27)/TrAvia_png!I15)</f>
        <v>0.68648778210227679</v>
      </c>
      <c r="J21" s="90">
        <f>IF(TrAvia_act!J37=0,0,(TrAvia_act!J37/TrAvia_act!J27)/TrAvia_png!J15)</f>
        <v>0.67405766354379837</v>
      </c>
      <c r="K21" s="90">
        <f>IF(TrAvia_act!K37=0,0,(TrAvia_act!K37/TrAvia_act!K27)/TrAvia_png!K15)</f>
        <v>0.69373808650443458</v>
      </c>
      <c r="L21" s="90">
        <f>IF(TrAvia_act!L37=0,0,(TrAvia_act!L37/TrAvia_act!L27)/TrAvia_png!L15)</f>
        <v>0.67305950740746479</v>
      </c>
      <c r="M21" s="90">
        <f>IF(TrAvia_act!M37=0,0,(TrAvia_act!M37/TrAvia_act!M27)/TrAvia_png!M15)</f>
        <v>0.67001055489900674</v>
      </c>
      <c r="N21" s="90">
        <f>IF(TrAvia_act!N37=0,0,(TrAvia_act!N37/TrAvia_act!N27)/TrAvia_png!N15)</f>
        <v>0.73794441510963138</v>
      </c>
      <c r="O21" s="90">
        <f>IF(TrAvia_act!O37=0,0,(TrAvia_act!O37/TrAvia_act!O27)/TrAvia_png!O15)</f>
        <v>0.7516530716613502</v>
      </c>
      <c r="P21" s="90">
        <f>IF(TrAvia_act!P37=0,0,(TrAvia_act!P37/TrAvia_act!P27)/TrAvia_png!P15)</f>
        <v>0.7430810219154963</v>
      </c>
      <c r="Q21" s="90">
        <f>IF(TrAvia_act!Q37=0,0,(TrAvia_act!Q37/TrAvia_act!Q27)/TrAvia_png!Q15)</f>
        <v>0.74839553779187606</v>
      </c>
      <c r="R21" s="90">
        <f>IF(TrAvia_act!R37=0,0,(TrAvia_act!R37/TrAvia_act!R27)/TrAvia_png!R15)</f>
        <v>0.77594296909728511</v>
      </c>
      <c r="S21" s="90">
        <f>IF(TrAvia_act!S37=0,0,(TrAvia_act!S37/TrAvia_act!S27)/TrAvia_png!S15)</f>
        <v>0.79970502486708972</v>
      </c>
      <c r="T21" s="90">
        <f>IF(TrAvia_act!T37=0,0,(TrAvia_act!T37/TrAvia_act!T27)/TrAvia_png!T15)</f>
        <v>0.78884625685255316</v>
      </c>
      <c r="U21" s="90">
        <f>IF(TrAvia_act!U37=0,0,(TrAvia_act!U37/TrAvia_act!U27)/TrAvia_png!U15)</f>
        <v>0.80014270306811597</v>
      </c>
      <c r="V21" s="90">
        <f>IF(TrAvia_act!V37=0,0,(TrAvia_act!V37/TrAvia_act!V27)/TrAvia_png!V15)</f>
        <v>0.60880669190564507</v>
      </c>
      <c r="W21" s="90">
        <f>IF(TrAvia_act!W37=0,0,(TrAvia_act!W37/TrAvia_act!W27)/TrAvia_png!W15)</f>
        <v>0.64446871050013832</v>
      </c>
      <c r="X21" s="90">
        <f>IF(TrAvia_act!X37=0,0,(TrAvia_act!X37/TrAvia_act!X27)/TrAvia_png!X15)</f>
        <v>0.78897487622654716</v>
      </c>
      <c r="Y21" s="90">
        <f>IF(TrAvia_act!Y37=0,0,(TrAvia_act!Y37/TrAvia_act!Y27)/TrAvia_png!Y15)</f>
        <v>0.77941912719591266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5.7469746556175323E-2</v>
      </c>
      <c r="C24" s="23">
        <f>IF(TrAvia_ene!C6=0,0,TrAvia_ene!C6/(C12*TrAvia_act!C14))</f>
        <v>5.6621729807774579E-2</v>
      </c>
      <c r="D24" s="23">
        <f>IF(TrAvia_ene!D6=0,0,TrAvia_ene!D6/(D12*TrAvia_act!D14))</f>
        <v>5.4809221548088129E-2</v>
      </c>
      <c r="E24" s="23">
        <f>IF(TrAvia_ene!E6=0,0,TrAvia_ene!E6/(E12*TrAvia_act!E14))</f>
        <v>4.8129929051537512E-2</v>
      </c>
      <c r="F24" s="23">
        <f>IF(TrAvia_ene!F6=0,0,TrAvia_ene!F6/(F12*TrAvia_act!F14))</f>
        <v>4.1588041615365307E-2</v>
      </c>
      <c r="G24" s="23">
        <f>IF(TrAvia_ene!G6=0,0,TrAvia_ene!G6/(G12*TrAvia_act!G14))</f>
        <v>3.7950340827515229E-2</v>
      </c>
      <c r="H24" s="23">
        <f>IF(TrAvia_ene!H6=0,0,TrAvia_ene!H6/(H12*TrAvia_act!H14))</f>
        <v>3.625609132095866E-2</v>
      </c>
      <c r="I24" s="23">
        <f>IF(TrAvia_ene!I6=0,0,TrAvia_ene!I6/(I12*TrAvia_act!I14))</f>
        <v>3.1073628843118182E-2</v>
      </c>
      <c r="J24" s="23">
        <f>IF(TrAvia_ene!J6=0,0,TrAvia_ene!J6/(J12*TrAvia_act!J14))</f>
        <v>3.542769805531943E-2</v>
      </c>
      <c r="K24" s="23">
        <f>IF(TrAvia_ene!K6=0,0,TrAvia_ene!K6/(K12*TrAvia_act!K14))</f>
        <v>3.3484781903032272E-2</v>
      </c>
      <c r="L24" s="23">
        <f>IF(TrAvia_ene!L6=0,0,TrAvia_ene!L6/(L12*TrAvia_act!L14))</f>
        <v>3.3586306357100304E-2</v>
      </c>
      <c r="M24" s="23">
        <f>IF(TrAvia_ene!M6=0,0,TrAvia_ene!M6/(M12*TrAvia_act!M14))</f>
        <v>3.1752931741564162E-2</v>
      </c>
      <c r="N24" s="23">
        <f>IF(TrAvia_ene!N6=0,0,TrAvia_ene!N6/(N12*TrAvia_act!N14))</f>
        <v>2.4777607911082633E-2</v>
      </c>
      <c r="O24" s="23">
        <f>IF(TrAvia_ene!O6=0,0,TrAvia_ene!O6/(O12*TrAvia_act!O14))</f>
        <v>2.4482983528608997E-2</v>
      </c>
      <c r="P24" s="23">
        <f>IF(TrAvia_ene!P6=0,0,TrAvia_ene!P6/(P12*TrAvia_act!P14))</f>
        <v>2.4095763701707896E-2</v>
      </c>
      <c r="Q24" s="23">
        <f>IF(TrAvia_ene!Q6=0,0,TrAvia_ene!Q6/(Q12*TrAvia_act!Q14))</f>
        <v>2.135774051724211E-2</v>
      </c>
      <c r="R24" s="23">
        <f>IF(TrAvia_ene!R6=0,0,TrAvia_ene!R6/(R12*TrAvia_act!R14))</f>
        <v>2.0154446347572175E-2</v>
      </c>
      <c r="S24" s="23">
        <f>IF(TrAvia_ene!S6=0,0,TrAvia_ene!S6/(S12*TrAvia_act!S14))</f>
        <v>2.080705551188277E-2</v>
      </c>
      <c r="T24" s="23">
        <f>IF(TrAvia_ene!T6=0,0,TrAvia_ene!T6/(T12*TrAvia_act!T14))</f>
        <v>2.1172461285926463E-2</v>
      </c>
      <c r="U24" s="23">
        <f>IF(TrAvia_ene!U6=0,0,TrAvia_ene!U6/(U12*TrAvia_act!U14))</f>
        <v>1.9418881897376887E-2</v>
      </c>
      <c r="V24" s="23">
        <f>IF(TrAvia_ene!V6=0,0,TrAvia_ene!V6/(V12*TrAvia_act!V14))</f>
        <v>2.1092783325018502E-2</v>
      </c>
      <c r="W24" s="23">
        <f>IF(TrAvia_ene!W6=0,0,TrAvia_ene!W6/(W12*TrAvia_act!W14))</f>
        <v>2.3137734084693697E-2</v>
      </c>
      <c r="X24" s="23">
        <f>IF(TrAvia_ene!X6=0,0,TrAvia_ene!X6/(X12*TrAvia_act!X14))</f>
        <v>2.2258105892293493E-2</v>
      </c>
      <c r="Y24" s="23">
        <f>IF(TrAvia_ene!Y6=0,0,TrAvia_ene!Y6/(Y12*TrAvia_act!Y14))</f>
        <v>2.1184995532482539E-2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5.7693475839141091E-2</v>
      </c>
      <c r="C26" s="93">
        <f>IF(TrAvia_ene!C8=0,0,TrAvia_ene!C8/(C14*TrAvia_act!C16))</f>
        <v>5.6709180767790822E-2</v>
      </c>
      <c r="D26" s="93">
        <f>IF(TrAvia_ene!D8=0,0,TrAvia_ene!D8/(D14*TrAvia_act!D16))</f>
        <v>5.3733623972255694E-2</v>
      </c>
      <c r="E26" s="93">
        <f>IF(TrAvia_ene!E8=0,0,TrAvia_ene!E8/(E14*TrAvia_act!E16))</f>
        <v>4.7962836257739033E-2</v>
      </c>
      <c r="F26" s="93">
        <f>IF(TrAvia_ene!F8=0,0,TrAvia_ene!F8/(F14*TrAvia_act!F16))</f>
        <v>4.2228998974586977E-2</v>
      </c>
      <c r="G26" s="93">
        <f>IF(TrAvia_ene!G8=0,0,TrAvia_ene!G8/(G14*TrAvia_act!G16))</f>
        <v>3.6343080850466114E-2</v>
      </c>
      <c r="H26" s="93">
        <f>IF(TrAvia_ene!H8=0,0,TrAvia_ene!H8/(H14*TrAvia_act!H16))</f>
        <v>3.5227569635485213E-2</v>
      </c>
      <c r="I26" s="93">
        <f>IF(TrAvia_ene!I8=0,0,TrAvia_ene!I8/(I14*TrAvia_act!I16))</f>
        <v>3.1100232764674978E-2</v>
      </c>
      <c r="J26" s="93">
        <f>IF(TrAvia_ene!J8=0,0,TrAvia_ene!J8/(J14*TrAvia_act!J16))</f>
        <v>3.4822900506316715E-2</v>
      </c>
      <c r="K26" s="93">
        <f>IF(TrAvia_ene!K8=0,0,TrAvia_ene!K8/(K14*TrAvia_act!K16))</f>
        <v>3.038376856977202E-2</v>
      </c>
      <c r="L26" s="93">
        <f>IF(TrAvia_ene!L8=0,0,TrAvia_ene!L8/(L14*TrAvia_act!L16))</f>
        <v>3.0962469444687293E-2</v>
      </c>
      <c r="M26" s="93">
        <f>IF(TrAvia_ene!M8=0,0,TrAvia_ene!M8/(M14*TrAvia_act!M16))</f>
        <v>2.9503590502000167E-2</v>
      </c>
      <c r="N26" s="93">
        <f>IF(TrAvia_ene!N8=0,0,TrAvia_ene!N8/(N14*TrAvia_act!N16))</f>
        <v>2.0363483657258357E-2</v>
      </c>
      <c r="O26" s="93">
        <f>IF(TrAvia_ene!O8=0,0,TrAvia_ene!O8/(O14*TrAvia_act!O16))</f>
        <v>2.0882481230403892E-2</v>
      </c>
      <c r="P26" s="93">
        <f>IF(TrAvia_ene!P8=0,0,TrAvia_ene!P8/(P14*TrAvia_act!P16))</f>
        <v>2.223445589041597E-2</v>
      </c>
      <c r="Q26" s="93">
        <f>IF(TrAvia_ene!Q8=0,0,TrAvia_ene!Q8/(Q14*TrAvia_act!Q16))</f>
        <v>2.0214154784165002E-2</v>
      </c>
      <c r="R26" s="93">
        <f>IF(TrAvia_ene!R8=0,0,TrAvia_ene!R8/(R14*TrAvia_act!R16))</f>
        <v>1.8987571705255651E-2</v>
      </c>
      <c r="S26" s="93">
        <f>IF(TrAvia_ene!S8=0,0,TrAvia_ene!S8/(S14*TrAvia_act!S16))</f>
        <v>2.0537636068000659E-2</v>
      </c>
      <c r="T26" s="93">
        <f>IF(TrAvia_ene!T8=0,0,TrAvia_ene!T8/(T14*TrAvia_act!T16))</f>
        <v>2.2755137667479424E-2</v>
      </c>
      <c r="U26" s="93">
        <f>IF(TrAvia_ene!U8=0,0,TrAvia_ene!U8/(U14*TrAvia_act!U16))</f>
        <v>2.0974938308671389E-2</v>
      </c>
      <c r="V26" s="93">
        <f>IF(TrAvia_ene!V8=0,0,TrAvia_ene!V8/(V14*TrAvia_act!V16))</f>
        <v>1.8815049977906798E-2</v>
      </c>
      <c r="W26" s="93">
        <f>IF(TrAvia_ene!W8=0,0,TrAvia_ene!W8/(W14*TrAvia_act!W16))</f>
        <v>2.2710129653603188E-2</v>
      </c>
      <c r="X26" s="93">
        <f>IF(TrAvia_ene!X8=0,0,TrAvia_ene!X8/(X14*TrAvia_act!X16))</f>
        <v>2.2878447674727884E-2</v>
      </c>
      <c r="Y26" s="93">
        <f>IF(TrAvia_ene!Y8=0,0,TrAvia_ene!Y8/(Y14*TrAvia_act!Y16))</f>
        <v>2.4377012542773743E-2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5.3147906699703429E-2</v>
      </c>
      <c r="C27" s="94">
        <f>IF(TrAvia_ene!C9=0,0,TrAvia_ene!C9/(C15*TrAvia_act!C17))</f>
        <v>5.2787381544651436E-2</v>
      </c>
      <c r="D27" s="94">
        <f>IF(TrAvia_ene!D9=0,0,TrAvia_ene!D9/(D15*TrAvia_act!D17))</f>
        <v>5.519788784663493E-2</v>
      </c>
      <c r="E27" s="94">
        <f>IF(TrAvia_ene!E9=0,0,TrAvia_ene!E9/(E15*TrAvia_act!E17))</f>
        <v>4.5575767413191873E-2</v>
      </c>
      <c r="F27" s="94">
        <f>IF(TrAvia_ene!F9=0,0,TrAvia_ene!F9/(F15*TrAvia_act!F17))</f>
        <v>3.6825768639355834E-2</v>
      </c>
      <c r="G27" s="94">
        <f>IF(TrAvia_ene!G9=0,0,TrAvia_ene!G9/(G15*TrAvia_act!G17))</f>
        <v>3.962612254815609E-2</v>
      </c>
      <c r="H27" s="94">
        <f>IF(TrAvia_ene!H9=0,0,TrAvia_ene!H9/(H15*TrAvia_act!H17))</f>
        <v>3.6971311318060439E-2</v>
      </c>
      <c r="I27" s="94">
        <f>IF(TrAvia_ene!I9=0,0,TrAvia_ene!I9/(I15*TrAvia_act!I17))</f>
        <v>2.9821018553322098E-2</v>
      </c>
      <c r="J27" s="94">
        <f>IF(TrAvia_ene!J9=0,0,TrAvia_ene!J9/(J15*TrAvia_act!J17))</f>
        <v>3.5917902176554904E-2</v>
      </c>
      <c r="K27" s="94">
        <f>IF(TrAvia_ene!K9=0,0,TrAvia_ene!K9/(K15*TrAvia_act!K17))</f>
        <v>4.2856566186414355E-2</v>
      </c>
      <c r="L27" s="94">
        <f>IF(TrAvia_ene!L9=0,0,TrAvia_ene!L9/(L15*TrAvia_act!L17))</f>
        <v>4.0876917829158768E-2</v>
      </c>
      <c r="M27" s="94">
        <f>IF(TrAvia_ene!M9=0,0,TrAvia_ene!M9/(M15*TrAvia_act!M17))</f>
        <v>3.8027310576510306E-2</v>
      </c>
      <c r="N27" s="94">
        <f>IF(TrAvia_ene!N9=0,0,TrAvia_ene!N9/(N15*TrAvia_act!N17))</f>
        <v>4.7492289111393145E-2</v>
      </c>
      <c r="O27" s="94">
        <f>IF(TrAvia_ene!O9=0,0,TrAvia_ene!O9/(O15*TrAvia_act!O17))</f>
        <v>3.8410709964479733E-2</v>
      </c>
      <c r="P27" s="94">
        <f>IF(TrAvia_ene!P9=0,0,TrAvia_ene!P9/(P15*TrAvia_act!P17))</f>
        <v>2.9093478214075819E-2</v>
      </c>
      <c r="Q27" s="94">
        <f>IF(TrAvia_ene!Q9=0,0,TrAvia_ene!Q9/(Q15*TrAvia_act!Q17))</f>
        <v>2.405319297953885E-2</v>
      </c>
      <c r="R27" s="94">
        <f>IF(TrAvia_ene!R9=0,0,TrAvia_ene!R9/(R15*TrAvia_act!R17))</f>
        <v>2.3309768443261509E-2</v>
      </c>
      <c r="S27" s="94">
        <f>IF(TrAvia_ene!S9=0,0,TrAvia_ene!S9/(S15*TrAvia_act!S17))</f>
        <v>2.1076839604746288E-2</v>
      </c>
      <c r="T27" s="94">
        <f>IF(TrAvia_ene!T9=0,0,TrAvia_ene!T9/(T15*TrAvia_act!T17))</f>
        <v>1.7480764697725859E-2</v>
      </c>
      <c r="U27" s="94">
        <f>IF(TrAvia_ene!U9=0,0,TrAvia_ene!U9/(U15*TrAvia_act!U17))</f>
        <v>1.5781079136719132E-2</v>
      </c>
      <c r="V27" s="94">
        <f>IF(TrAvia_ene!V9=0,0,TrAvia_ene!V9/(V15*TrAvia_act!V17))</f>
        <v>2.5946170352863014E-2</v>
      </c>
      <c r="W27" s="94">
        <f>IF(TrAvia_ene!W9=0,0,TrAvia_ene!W9/(W15*TrAvia_act!W17))</f>
        <v>2.3093317058248495E-2</v>
      </c>
      <c r="X27" s="94">
        <f>IF(TrAvia_ene!X9=0,0,TrAvia_ene!X9/(X15*TrAvia_act!X17))</f>
        <v>1.9987695079440863E-2</v>
      </c>
      <c r="Y27" s="94">
        <f>IF(TrAvia_ene!Y9=0,0,TrAvia_ene!Y9/(Y15*TrAvia_act!Y17))</f>
        <v>1.5146040305455129E-2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891</v>
      </c>
      <c r="C3" s="54">
        <f t="shared" si="0"/>
        <v>1087</v>
      </c>
      <c r="D3" s="54">
        <f t="shared" si="0"/>
        <v>1407</v>
      </c>
      <c r="E3" s="54">
        <f t="shared" si="0"/>
        <v>1517</v>
      </c>
      <c r="F3" s="54">
        <f t="shared" si="0"/>
        <v>1904</v>
      </c>
      <c r="G3" s="54">
        <f t="shared" si="0"/>
        <v>2110</v>
      </c>
      <c r="H3" s="54">
        <f t="shared" si="0"/>
        <v>1913</v>
      </c>
      <c r="I3" s="54">
        <f t="shared" si="0"/>
        <v>2212</v>
      </c>
      <c r="J3" s="54">
        <f t="shared" si="0"/>
        <v>2250</v>
      </c>
      <c r="K3" s="54">
        <f t="shared" si="0"/>
        <v>1831</v>
      </c>
      <c r="L3" s="54">
        <f t="shared" si="0"/>
        <v>2393</v>
      </c>
      <c r="M3" s="54">
        <f t="shared" si="0"/>
        <v>1840</v>
      </c>
      <c r="N3" s="54">
        <f t="shared" si="0"/>
        <v>1982</v>
      </c>
      <c r="O3" s="54">
        <f t="shared" si="0"/>
        <v>1924</v>
      </c>
      <c r="P3" s="54">
        <f t="shared" si="0"/>
        <v>1811</v>
      </c>
      <c r="Q3" s="54">
        <f t="shared" si="0"/>
        <v>1824</v>
      </c>
      <c r="R3" s="54">
        <f t="shared" ref="R3:V3" si="1">SUM(R4:R5)</f>
        <v>1975</v>
      </c>
      <c r="S3" s="54">
        <f t="shared" si="1"/>
        <v>1992</v>
      </c>
      <c r="T3" s="54">
        <f t="shared" si="1"/>
        <v>1608</v>
      </c>
      <c r="U3" s="54">
        <f t="shared" si="1"/>
        <v>2120</v>
      </c>
      <c r="V3" s="54">
        <f t="shared" si="1"/>
        <v>1998</v>
      </c>
      <c r="W3" s="54">
        <f t="shared" ref="W3:Y3" si="2">SUM(W4:W5)</f>
        <v>1873</v>
      </c>
      <c r="X3" s="54">
        <f t="shared" si="2"/>
        <v>1508</v>
      </c>
      <c r="Y3" s="54">
        <f t="shared" si="2"/>
        <v>1316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891</v>
      </c>
      <c r="C5" s="58">
        <v>1087</v>
      </c>
      <c r="D5" s="58">
        <v>1407</v>
      </c>
      <c r="E5" s="58">
        <v>1517</v>
      </c>
      <c r="F5" s="58">
        <v>1904</v>
      </c>
      <c r="G5" s="58">
        <v>2110</v>
      </c>
      <c r="H5" s="58">
        <v>1913</v>
      </c>
      <c r="I5" s="58">
        <v>2212</v>
      </c>
      <c r="J5" s="58">
        <v>2250</v>
      </c>
      <c r="K5" s="58">
        <v>1831</v>
      </c>
      <c r="L5" s="58">
        <v>2393</v>
      </c>
      <c r="M5" s="58">
        <v>1840</v>
      </c>
      <c r="N5" s="58">
        <v>1982</v>
      </c>
      <c r="O5" s="58">
        <v>1924</v>
      </c>
      <c r="P5" s="58">
        <v>1811</v>
      </c>
      <c r="Q5" s="58">
        <v>1824</v>
      </c>
      <c r="R5" s="58">
        <v>1975</v>
      </c>
      <c r="S5" s="58">
        <v>1992</v>
      </c>
      <c r="T5" s="58">
        <v>1608</v>
      </c>
      <c r="U5" s="58">
        <v>2120</v>
      </c>
      <c r="V5" s="58">
        <v>1998</v>
      </c>
      <c r="W5" s="58">
        <v>1873</v>
      </c>
      <c r="X5" s="58">
        <v>1508</v>
      </c>
      <c r="Y5" s="58">
        <v>1316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1.6459999999999999</v>
      </c>
      <c r="C7" s="59">
        <f t="shared" si="3"/>
        <v>1.8180000000000001</v>
      </c>
      <c r="D7" s="59">
        <f t="shared" si="3"/>
        <v>2.9239999999999999</v>
      </c>
      <c r="E7" s="59">
        <f t="shared" si="3"/>
        <v>6.4420000000000002</v>
      </c>
      <c r="F7" s="59">
        <f t="shared" si="3"/>
        <v>3.4020000000000001</v>
      </c>
      <c r="G7" s="59">
        <f t="shared" si="3"/>
        <v>2.532</v>
      </c>
      <c r="H7" s="59">
        <f t="shared" si="3"/>
        <v>2.411</v>
      </c>
      <c r="I7" s="59">
        <f t="shared" si="3"/>
        <v>2.5630000000000002</v>
      </c>
      <c r="J7" s="59">
        <f t="shared" si="3"/>
        <v>2.5840000000000001</v>
      </c>
      <c r="K7" s="59">
        <f t="shared" si="3"/>
        <v>2.331</v>
      </c>
      <c r="L7" s="59">
        <f t="shared" si="3"/>
        <v>2.665</v>
      </c>
      <c r="M7" s="59">
        <f t="shared" si="3"/>
        <v>2.3370000000000002</v>
      </c>
      <c r="N7" s="59">
        <f t="shared" si="3"/>
        <v>2.4950000000000001</v>
      </c>
      <c r="O7" s="59">
        <f t="shared" si="3"/>
        <v>2.2440000000000002</v>
      </c>
      <c r="P7" s="59">
        <f t="shared" si="3"/>
        <v>2.3849999999999998</v>
      </c>
      <c r="Q7" s="59">
        <f t="shared" si="3"/>
        <v>2.3940000000000001</v>
      </c>
      <c r="R7" s="59">
        <f t="shared" ref="R7:V7" si="4">SUM(R8:R9)</f>
        <v>2.298</v>
      </c>
      <c r="S7" s="59">
        <f t="shared" si="4"/>
        <v>2.1389999999999998</v>
      </c>
      <c r="T7" s="59">
        <f t="shared" si="4"/>
        <v>2.0289999999999999</v>
      </c>
      <c r="U7" s="59">
        <f t="shared" si="4"/>
        <v>2.33</v>
      </c>
      <c r="V7" s="59">
        <f t="shared" si="4"/>
        <v>2.1120000000000001</v>
      </c>
      <c r="W7" s="59">
        <f t="shared" ref="W7:Y7" si="5">SUM(W8:W9)</f>
        <v>2.06</v>
      </c>
      <c r="X7" s="59">
        <f t="shared" si="5"/>
        <v>1.68</v>
      </c>
      <c r="Y7" s="59">
        <f t="shared" si="5"/>
        <v>1.623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1.6459999999999999</v>
      </c>
      <c r="C9" s="61">
        <v>1.8180000000000001</v>
      </c>
      <c r="D9" s="61">
        <v>2.9239999999999999</v>
      </c>
      <c r="E9" s="61">
        <v>6.4420000000000002</v>
      </c>
      <c r="F9" s="61">
        <v>3.4020000000000001</v>
      </c>
      <c r="G9" s="61">
        <v>2.532</v>
      </c>
      <c r="H9" s="61">
        <v>2.411</v>
      </c>
      <c r="I9" s="61">
        <v>2.5630000000000002</v>
      </c>
      <c r="J9" s="61">
        <v>2.5840000000000001</v>
      </c>
      <c r="K9" s="61">
        <v>2.331</v>
      </c>
      <c r="L9" s="61">
        <v>2.665</v>
      </c>
      <c r="M9" s="61">
        <v>2.3370000000000002</v>
      </c>
      <c r="N9" s="61">
        <v>2.4950000000000001</v>
      </c>
      <c r="O9" s="61">
        <v>2.2440000000000002</v>
      </c>
      <c r="P9" s="61">
        <v>2.3849999999999998</v>
      </c>
      <c r="Q9" s="61">
        <v>2.3940000000000001</v>
      </c>
      <c r="R9" s="61">
        <v>2.298</v>
      </c>
      <c r="S9" s="61">
        <v>2.1389999999999998</v>
      </c>
      <c r="T9" s="61">
        <v>2.0289999999999999</v>
      </c>
      <c r="U9" s="61">
        <v>2.33</v>
      </c>
      <c r="V9" s="61">
        <v>2.1120000000000001</v>
      </c>
      <c r="W9" s="61">
        <v>2.06</v>
      </c>
      <c r="X9" s="61">
        <v>1.68</v>
      </c>
      <c r="Y9" s="61">
        <v>1.623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541.31227217496962</v>
      </c>
      <c r="C13" s="62">
        <f t="shared" si="6"/>
        <v>597.90979097909792</v>
      </c>
      <c r="D13" s="62">
        <f t="shared" si="6"/>
        <v>481.19015047879617</v>
      </c>
      <c r="E13" s="62">
        <f t="shared" si="6"/>
        <v>235.48587395218877</v>
      </c>
      <c r="F13" s="62">
        <f t="shared" ref="F13:V13" si="7">IF(F3=0,0,F3/F7)</f>
        <v>559.67078189300412</v>
      </c>
      <c r="G13" s="62">
        <f t="shared" si="7"/>
        <v>833.33333333333337</v>
      </c>
      <c r="H13" s="62">
        <f t="shared" si="7"/>
        <v>793.4467026130236</v>
      </c>
      <c r="I13" s="62">
        <f t="shared" si="7"/>
        <v>863.05111197815052</v>
      </c>
      <c r="J13" s="62">
        <f t="shared" si="7"/>
        <v>870.74303405572755</v>
      </c>
      <c r="K13" s="62">
        <f t="shared" si="7"/>
        <v>785.4997854997855</v>
      </c>
      <c r="L13" s="62">
        <f t="shared" si="7"/>
        <v>897.93621013133202</v>
      </c>
      <c r="M13" s="62">
        <f t="shared" si="7"/>
        <v>787.33418913136495</v>
      </c>
      <c r="N13" s="62">
        <f t="shared" si="7"/>
        <v>794.38877755511021</v>
      </c>
      <c r="O13" s="62">
        <f t="shared" si="7"/>
        <v>857.39750445632785</v>
      </c>
      <c r="P13" s="62">
        <f t="shared" si="7"/>
        <v>759.32914046121596</v>
      </c>
      <c r="Q13" s="62">
        <f t="shared" si="7"/>
        <v>761.90476190476181</v>
      </c>
      <c r="R13" s="62">
        <f t="shared" si="7"/>
        <v>859.44299390774586</v>
      </c>
      <c r="S13" s="62">
        <f t="shared" si="7"/>
        <v>931.27629733520348</v>
      </c>
      <c r="T13" s="62">
        <f t="shared" si="7"/>
        <v>792.50862493839338</v>
      </c>
      <c r="U13" s="62">
        <f t="shared" si="7"/>
        <v>909.87124463519308</v>
      </c>
      <c r="V13" s="62">
        <f t="shared" si="7"/>
        <v>946.02272727272725</v>
      </c>
      <c r="W13" s="62">
        <f t="shared" ref="W13:Y13" si="8">IF(W3=0,0,W3/W7)</f>
        <v>909.22330097087377</v>
      </c>
      <c r="X13" s="62">
        <f t="shared" si="8"/>
        <v>897.61904761904771</v>
      </c>
      <c r="Y13" s="62">
        <f t="shared" si="8"/>
        <v>810.84411583487372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541.31227217496962</v>
      </c>
      <c r="C15" s="64">
        <f t="shared" si="6"/>
        <v>597.90979097909792</v>
      </c>
      <c r="D15" s="64">
        <f t="shared" si="6"/>
        <v>481.19015047879617</v>
      </c>
      <c r="E15" s="64">
        <f t="shared" si="6"/>
        <v>235.48587395218877</v>
      </c>
      <c r="F15" s="64">
        <f t="shared" ref="F15:V15" si="11">IF(F5=0,0,F5/F9)</f>
        <v>559.67078189300412</v>
      </c>
      <c r="G15" s="64">
        <f t="shared" si="11"/>
        <v>833.33333333333337</v>
      </c>
      <c r="H15" s="64">
        <f t="shared" si="11"/>
        <v>793.4467026130236</v>
      </c>
      <c r="I15" s="64">
        <f t="shared" si="11"/>
        <v>863.05111197815052</v>
      </c>
      <c r="J15" s="64">
        <f t="shared" si="11"/>
        <v>870.74303405572755</v>
      </c>
      <c r="K15" s="64">
        <f t="shared" si="11"/>
        <v>785.4997854997855</v>
      </c>
      <c r="L15" s="64">
        <f t="shared" si="11"/>
        <v>897.93621013133202</v>
      </c>
      <c r="M15" s="64">
        <f t="shared" si="11"/>
        <v>787.33418913136495</v>
      </c>
      <c r="N15" s="64">
        <f t="shared" si="11"/>
        <v>794.38877755511021</v>
      </c>
      <c r="O15" s="64">
        <f t="shared" si="11"/>
        <v>857.39750445632785</v>
      </c>
      <c r="P15" s="64">
        <f t="shared" si="11"/>
        <v>759.32914046121596</v>
      </c>
      <c r="Q15" s="64">
        <f t="shared" si="11"/>
        <v>761.90476190476181</v>
      </c>
      <c r="R15" s="64">
        <f t="shared" si="11"/>
        <v>859.44299390774586</v>
      </c>
      <c r="S15" s="64">
        <f t="shared" si="11"/>
        <v>931.27629733520348</v>
      </c>
      <c r="T15" s="64">
        <f t="shared" si="11"/>
        <v>792.50862493839338</v>
      </c>
      <c r="U15" s="64">
        <f t="shared" si="11"/>
        <v>909.87124463519308</v>
      </c>
      <c r="V15" s="64">
        <f t="shared" si="11"/>
        <v>946.02272727272725</v>
      </c>
      <c r="W15" s="64">
        <f t="shared" ref="W15:Y15" si="12">IF(W5=0,0,W5/W9)</f>
        <v>909.22330097087377</v>
      </c>
      <c r="X15" s="64">
        <f t="shared" si="12"/>
        <v>897.61904761904771</v>
      </c>
      <c r="Y15" s="64">
        <f t="shared" si="12"/>
        <v>810.84411583487372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1.026999140154772</v>
      </c>
      <c r="C3" s="62">
        <f t="shared" ref="C3:V3" si="0">SUM(C4,C10)</f>
        <v>1.026999140154772</v>
      </c>
      <c r="D3" s="62">
        <f t="shared" si="0"/>
        <v>2.0540842648323299</v>
      </c>
      <c r="E3" s="62">
        <f t="shared" si="0"/>
        <v>9.2433361994840926</v>
      </c>
      <c r="F3" s="62">
        <f t="shared" si="0"/>
        <v>2.0540842648323299</v>
      </c>
      <c r="G3" s="62">
        <f t="shared" si="0"/>
        <v>1.026999140154772</v>
      </c>
      <c r="H3" s="62">
        <f t="shared" si="0"/>
        <v>1.026999140154772</v>
      </c>
      <c r="I3" s="62">
        <f t="shared" si="0"/>
        <v>1.0031814273430779</v>
      </c>
      <c r="J3" s="62">
        <f t="shared" si="0"/>
        <v>1.0031814273430779</v>
      </c>
      <c r="K3" s="62">
        <f t="shared" si="0"/>
        <v>1.0031814273430779</v>
      </c>
      <c r="L3" s="62">
        <f t="shared" si="0"/>
        <v>1.0031814273430779</v>
      </c>
      <c r="M3" s="62">
        <f t="shared" si="0"/>
        <v>1.0031814273430779</v>
      </c>
      <c r="N3" s="62">
        <f t="shared" si="0"/>
        <v>6.0189165950128984</v>
      </c>
      <c r="O3" s="62">
        <f t="shared" si="0"/>
        <v>5.0157351676698188</v>
      </c>
      <c r="P3" s="62">
        <f t="shared" si="0"/>
        <v>6.0189165950128984</v>
      </c>
      <c r="Q3" s="62">
        <f t="shared" si="0"/>
        <v>6.0189165950128984</v>
      </c>
      <c r="R3" s="62">
        <f t="shared" si="0"/>
        <v>5.1232158211521934</v>
      </c>
      <c r="S3" s="62">
        <f t="shared" si="0"/>
        <v>5.1232158211521934</v>
      </c>
      <c r="T3" s="62">
        <f t="shared" si="0"/>
        <v>5.1232158211521934</v>
      </c>
      <c r="U3" s="62">
        <f t="shared" si="0"/>
        <v>5.1232158211521934</v>
      </c>
      <c r="V3" s="62">
        <f t="shared" si="0"/>
        <v>4.0986242476354251</v>
      </c>
      <c r="W3" s="62">
        <f t="shared" ref="W3:Y3" si="1">SUM(W4,W10)</f>
        <v>3.0739466895958731</v>
      </c>
      <c r="X3" s="62">
        <f t="shared" si="1"/>
        <v>4.0986242476354251</v>
      </c>
      <c r="Y3" s="62">
        <f t="shared" si="1"/>
        <v>3.0739466895958731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1.026999140154772</v>
      </c>
      <c r="C10" s="71">
        <f t="shared" ref="C10:V10" si="4">SUM(C11:C15)</f>
        <v>1.026999140154772</v>
      </c>
      <c r="D10" s="71">
        <f t="shared" si="4"/>
        <v>2.0540842648323299</v>
      </c>
      <c r="E10" s="71">
        <f t="shared" si="4"/>
        <v>9.2433361994840926</v>
      </c>
      <c r="F10" s="71">
        <f t="shared" si="4"/>
        <v>2.0540842648323299</v>
      </c>
      <c r="G10" s="71">
        <f t="shared" si="4"/>
        <v>1.026999140154772</v>
      </c>
      <c r="H10" s="71">
        <f t="shared" si="4"/>
        <v>1.026999140154772</v>
      </c>
      <c r="I10" s="71">
        <f t="shared" si="4"/>
        <v>1.0031814273430779</v>
      </c>
      <c r="J10" s="71">
        <f t="shared" si="4"/>
        <v>1.0031814273430779</v>
      </c>
      <c r="K10" s="71">
        <f t="shared" si="4"/>
        <v>1.0031814273430779</v>
      </c>
      <c r="L10" s="71">
        <f t="shared" si="4"/>
        <v>1.0031814273430779</v>
      </c>
      <c r="M10" s="71">
        <f t="shared" si="4"/>
        <v>1.0031814273430779</v>
      </c>
      <c r="N10" s="71">
        <f t="shared" si="4"/>
        <v>6.0189165950128984</v>
      </c>
      <c r="O10" s="71">
        <f t="shared" si="4"/>
        <v>5.0157351676698188</v>
      </c>
      <c r="P10" s="71">
        <f t="shared" si="4"/>
        <v>6.0189165950128984</v>
      </c>
      <c r="Q10" s="71">
        <f t="shared" si="4"/>
        <v>6.0189165950128984</v>
      </c>
      <c r="R10" s="71">
        <f t="shared" si="4"/>
        <v>5.1232158211521934</v>
      </c>
      <c r="S10" s="71">
        <f t="shared" si="4"/>
        <v>5.1232158211521934</v>
      </c>
      <c r="T10" s="71">
        <f t="shared" si="4"/>
        <v>5.1232158211521934</v>
      </c>
      <c r="U10" s="71">
        <f t="shared" si="4"/>
        <v>5.1232158211521934</v>
      </c>
      <c r="V10" s="71">
        <f t="shared" si="4"/>
        <v>4.0986242476354251</v>
      </c>
      <c r="W10" s="71">
        <f t="shared" ref="W10:Y10" si="5">SUM(W11:W15)</f>
        <v>3.0739466895958731</v>
      </c>
      <c r="X10" s="71">
        <f t="shared" si="5"/>
        <v>4.0986242476354251</v>
      </c>
      <c r="Y10" s="71">
        <f t="shared" si="5"/>
        <v>3.0739466895958731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1.026999140154772</v>
      </c>
      <c r="C11" s="73">
        <v>1.026999140154772</v>
      </c>
      <c r="D11" s="73">
        <v>2.0540842648323299</v>
      </c>
      <c r="E11" s="73">
        <v>9.2433361994840926</v>
      </c>
      <c r="F11" s="73">
        <v>2.0540842648323299</v>
      </c>
      <c r="G11" s="73">
        <v>1.026999140154772</v>
      </c>
      <c r="H11" s="73">
        <v>1.026999140154772</v>
      </c>
      <c r="I11" s="73">
        <v>1.0031814273430779</v>
      </c>
      <c r="J11" s="73">
        <v>1.0031814273430779</v>
      </c>
      <c r="K11" s="73">
        <v>1.0031814273430779</v>
      </c>
      <c r="L11" s="73">
        <v>1.0031814273430779</v>
      </c>
      <c r="M11" s="73">
        <v>1.0031814273430779</v>
      </c>
      <c r="N11" s="73">
        <v>6.0189165950128984</v>
      </c>
      <c r="O11" s="73">
        <v>5.0157351676698188</v>
      </c>
      <c r="P11" s="73">
        <v>6.0189165950128984</v>
      </c>
      <c r="Q11" s="73">
        <v>6.0189165950128984</v>
      </c>
      <c r="R11" s="73">
        <v>5.1232158211521934</v>
      </c>
      <c r="S11" s="73">
        <v>5.1232158211521934</v>
      </c>
      <c r="T11" s="73">
        <v>5.1232158211521934</v>
      </c>
      <c r="U11" s="73">
        <v>5.1232158211521934</v>
      </c>
      <c r="V11" s="73">
        <v>4.0986242476354251</v>
      </c>
      <c r="W11" s="73">
        <v>3.0739466895958731</v>
      </c>
      <c r="X11" s="73">
        <v>4.0986242476354251</v>
      </c>
      <c r="Y11" s="73">
        <v>3.0739466895958731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62.393629414020168</v>
      </c>
      <c r="C19" s="62">
        <f>IF(C3=0,0,C3/TrNavi_act!C7*100)</f>
        <v>56.490601768689331</v>
      </c>
      <c r="D19" s="62">
        <f>IF(D3=0,0,D3/TrNavi_act!D7*100)</f>
        <v>70.249119864306763</v>
      </c>
      <c r="E19" s="62">
        <f>IF(E3=0,0,E3/TrNavi_act!E7*100)</f>
        <v>143.48550449369904</v>
      </c>
      <c r="F19" s="62">
        <f>IF(F3=0,0,F3/TrNavi_act!F7*100)</f>
        <v>60.378726185547613</v>
      </c>
      <c r="G19" s="62">
        <f>IF(G3=0,0,G3/TrNavi_act!G7*100)</f>
        <v>40.56078752585988</v>
      </c>
      <c r="H19" s="62">
        <f>IF(H3=0,0,H3/TrNavi_act!H7*100)</f>
        <v>42.596397351919201</v>
      </c>
      <c r="I19" s="62">
        <f>IF(I3=0,0,I3/TrNavi_act!I7*100)</f>
        <v>39.140906256070146</v>
      </c>
      <c r="J19" s="62">
        <f>IF(J3=0,0,J3/TrNavi_act!J7*100)</f>
        <v>38.822810655691868</v>
      </c>
      <c r="K19" s="62">
        <f>IF(K3=0,0,K3/TrNavi_act!K7*100)</f>
        <v>43.036526269544311</v>
      </c>
      <c r="L19" s="62">
        <f>IF(L3=0,0,L3/TrNavi_act!L7*100)</f>
        <v>37.642830294299358</v>
      </c>
      <c r="M19" s="62">
        <f>IF(M3=0,0,M3/TrNavi_act!M7*100)</f>
        <v>42.926034546130843</v>
      </c>
      <c r="N19" s="62">
        <f>IF(N3=0,0,N3/TrNavi_act!N7*100)</f>
        <v>241.23914208468528</v>
      </c>
      <c r="O19" s="62">
        <f>IF(O3=0,0,O3/TrNavi_act!O7*100)</f>
        <v>223.51760996746071</v>
      </c>
      <c r="P19" s="62">
        <f>IF(P3=0,0,P3/TrNavi_act!P7*100)</f>
        <v>252.36547568188254</v>
      </c>
      <c r="Q19" s="62">
        <f>IF(Q3=0,0,Q3/TrNavi_act!Q7*100)</f>
        <v>251.41673329210099</v>
      </c>
      <c r="R19" s="62">
        <f>IF(R3=0,0,R3/TrNavi_act!R7*100)</f>
        <v>222.94237689957325</v>
      </c>
      <c r="S19" s="62">
        <f>IF(S3=0,0,S3/TrNavi_act!S7*100)</f>
        <v>239.51453114316007</v>
      </c>
      <c r="T19" s="62">
        <f>IF(T3=0,0,T3/TrNavi_act!T7*100)</f>
        <v>252.49954761716086</v>
      </c>
      <c r="U19" s="62">
        <f>IF(U3=0,0,U3/TrNavi_act!U7*100)</f>
        <v>219.88050734558772</v>
      </c>
      <c r="V19" s="62">
        <f>IF(V3=0,0,V3/TrNavi_act!V7*100)</f>
        <v>194.06364808879852</v>
      </c>
      <c r="W19" s="62">
        <f>IF(W3=0,0,W3/TrNavi_act!W7*100)</f>
        <v>149.2207130871783</v>
      </c>
      <c r="X19" s="62">
        <f>IF(X3=0,0,X3/TrNavi_act!X7*100)</f>
        <v>243.96572902591817</v>
      </c>
      <c r="Y19" s="62">
        <f>IF(Y3=0,0,Y3/TrNavi_act!Y7*100)</f>
        <v>189.39905666025098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62.393629414020168</v>
      </c>
      <c r="C21" s="64">
        <f>IF(C10=0,0,C10/TrNavi_act!C9*100)</f>
        <v>56.490601768689331</v>
      </c>
      <c r="D21" s="64">
        <f>IF(D10=0,0,D10/TrNavi_act!D9*100)</f>
        <v>70.249119864306763</v>
      </c>
      <c r="E21" s="64">
        <f>IF(E10=0,0,E10/TrNavi_act!E9*100)</f>
        <v>143.48550449369904</v>
      </c>
      <c r="F21" s="64">
        <f>IF(F10=0,0,F10/TrNavi_act!F9*100)</f>
        <v>60.378726185547613</v>
      </c>
      <c r="G21" s="64">
        <f>IF(G10=0,0,G10/TrNavi_act!G9*100)</f>
        <v>40.56078752585988</v>
      </c>
      <c r="H21" s="64">
        <f>IF(H10=0,0,H10/TrNavi_act!H9*100)</f>
        <v>42.596397351919201</v>
      </c>
      <c r="I21" s="64">
        <f>IF(I10=0,0,I10/TrNavi_act!I9*100)</f>
        <v>39.140906256070146</v>
      </c>
      <c r="J21" s="64">
        <f>IF(J10=0,0,J10/TrNavi_act!J9*100)</f>
        <v>38.822810655691868</v>
      </c>
      <c r="K21" s="64">
        <f>IF(K10=0,0,K10/TrNavi_act!K9*100)</f>
        <v>43.036526269544311</v>
      </c>
      <c r="L21" s="64">
        <f>IF(L10=0,0,L10/TrNavi_act!L9*100)</f>
        <v>37.642830294299358</v>
      </c>
      <c r="M21" s="64">
        <f>IF(M10=0,0,M10/TrNavi_act!M9*100)</f>
        <v>42.926034546130843</v>
      </c>
      <c r="N21" s="64">
        <f>IF(N10=0,0,N10/TrNavi_act!N9*100)</f>
        <v>241.23914208468528</v>
      </c>
      <c r="O21" s="64">
        <f>IF(O10=0,0,O10/TrNavi_act!O9*100)</f>
        <v>223.51760996746071</v>
      </c>
      <c r="P21" s="64">
        <f>IF(P10=0,0,P10/TrNavi_act!P9*100)</f>
        <v>252.36547568188254</v>
      </c>
      <c r="Q21" s="64">
        <f>IF(Q10=0,0,Q10/TrNavi_act!Q9*100)</f>
        <v>251.41673329210099</v>
      </c>
      <c r="R21" s="64">
        <f>IF(R10=0,0,R10/TrNavi_act!R9*100)</f>
        <v>222.94237689957325</v>
      </c>
      <c r="S21" s="64">
        <f>IF(S10=0,0,S10/TrNavi_act!S9*100)</f>
        <v>239.51453114316007</v>
      </c>
      <c r="T21" s="64">
        <f>IF(T10=0,0,T10/TrNavi_act!T9*100)</f>
        <v>252.49954761716086</v>
      </c>
      <c r="U21" s="64">
        <f>IF(U10=0,0,U10/TrNavi_act!U9*100)</f>
        <v>219.88050734558772</v>
      </c>
      <c r="V21" s="64">
        <f>IF(V10=0,0,V10/TrNavi_act!V9*100)</f>
        <v>194.06364808879852</v>
      </c>
      <c r="W21" s="64">
        <f>IF(W10=0,0,W10/TrNavi_act!W9*100)</f>
        <v>149.2207130871783</v>
      </c>
      <c r="X21" s="64">
        <f>IF(X10=0,0,X10/TrNavi_act!X9*100)</f>
        <v>243.96572902591817</v>
      </c>
      <c r="Y21" s="64">
        <f>IF(Y10=0,0,Y10/TrNavi_act!Y9*100)</f>
        <v>189.39905666025098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1.1526365209368934</v>
      </c>
      <c r="C23" s="62">
        <f>IF(C3=0,0,C3/TrNavi_act!C3*1000)</f>
        <v>0.94480141688571484</v>
      </c>
      <c r="D23" s="62">
        <f>IF(D3=0,0,D3/TrNavi_act!D3*1000)</f>
        <v>1.4599035286654798</v>
      </c>
      <c r="E23" s="62">
        <f>IF(E3=0,0,E3/TrNavi_act!E3*1000)</f>
        <v>6.0931682264232654</v>
      </c>
      <c r="F23" s="62">
        <f>IF(F3=0,0,F3/TrNavi_act!F3*1000)</f>
        <v>1.078825769344711</v>
      </c>
      <c r="G23" s="62">
        <f>IF(G3=0,0,G3/TrNavi_act!G3*1000)</f>
        <v>0.4867294503103185</v>
      </c>
      <c r="H23" s="62">
        <f>IF(H3=0,0,H3/TrNavi_act!H3*1000)</f>
        <v>0.53685266082319494</v>
      </c>
      <c r="I23" s="62">
        <f>IF(I3=0,0,I3/TrNavi_act!I3*1000)</f>
        <v>0.45351782429614734</v>
      </c>
      <c r="J23" s="62">
        <f>IF(J3=0,0,J3/TrNavi_act!J3*1000)</f>
        <v>0.44585841215247907</v>
      </c>
      <c r="K23" s="62">
        <f>IF(K3=0,0,K3/TrNavi_act!K3*1000)</f>
        <v>0.54788718041675477</v>
      </c>
      <c r="L23" s="62">
        <f>IF(L3=0,0,L3/TrNavi_act!L3*1000)</f>
        <v>0.41921497172715333</v>
      </c>
      <c r="M23" s="62">
        <f>IF(M3=0,0,M3/TrNavi_act!M3*1000)</f>
        <v>0.54520729746906405</v>
      </c>
      <c r="N23" s="62">
        <f>IF(N3=0,0,N3/TrNavi_act!N3*1000)</f>
        <v>3.0367894021255797</v>
      </c>
      <c r="O23" s="62">
        <f>IF(O3=0,0,O3/TrNavi_act!O3*1000)</f>
        <v>2.6069309603273489</v>
      </c>
      <c r="P23" s="62">
        <f>IF(P3=0,0,P3/TrNavi_act!P3*1000)</f>
        <v>3.3235320789690217</v>
      </c>
      <c r="Q23" s="62">
        <f>IF(Q3=0,0,Q3/TrNavi_act!Q3*1000)</f>
        <v>3.2998446244588258</v>
      </c>
      <c r="R23" s="62">
        <f>IF(R3=0,0,R3/TrNavi_act!R3*1000)</f>
        <v>2.5940333271656679</v>
      </c>
      <c r="S23" s="62">
        <f>IF(S3=0,0,S3/TrNavi_act!S3*1000)</f>
        <v>2.5718954925462816</v>
      </c>
      <c r="T23" s="62">
        <f>IF(T3=0,0,T3/TrNavi_act!T3*1000)</f>
        <v>3.1860794907662893</v>
      </c>
      <c r="U23" s="62">
        <f>IF(U3=0,0,U3/TrNavi_act!U3*1000)</f>
        <v>2.4166112363925438</v>
      </c>
      <c r="V23" s="62">
        <f>IF(V3=0,0,V3/TrNavi_act!V3*1000)</f>
        <v>2.0513634873050175</v>
      </c>
      <c r="W23" s="62">
        <f>IF(W3=0,0,W3/TrNavi_act!W3*1000)</f>
        <v>1.6411888358760667</v>
      </c>
      <c r="X23" s="62">
        <f>IF(X3=0,0,X3/TrNavi_act!X3*1000)</f>
        <v>2.7179205886176558</v>
      </c>
      <c r="Y23" s="62">
        <f>IF(Y3=0,0,Y3/TrNavi_act!Y3*1000)</f>
        <v>2.335825751972548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1.1526365209368934</v>
      </c>
      <c r="C25" s="64">
        <f>IF(C10=0,0,C10/TrNavi_act!C5*1000)</f>
        <v>0.94480141688571484</v>
      </c>
      <c r="D25" s="64">
        <f>IF(D10=0,0,D10/TrNavi_act!D5*1000)</f>
        <v>1.4599035286654798</v>
      </c>
      <c r="E25" s="64">
        <f>IF(E10=0,0,E10/TrNavi_act!E5*1000)</f>
        <v>6.0931682264232654</v>
      </c>
      <c r="F25" s="64">
        <f>IF(F10=0,0,F10/TrNavi_act!F5*1000)</f>
        <v>1.078825769344711</v>
      </c>
      <c r="G25" s="64">
        <f>IF(G10=0,0,G10/TrNavi_act!G5*1000)</f>
        <v>0.4867294503103185</v>
      </c>
      <c r="H25" s="64">
        <f>IF(H10=0,0,H10/TrNavi_act!H5*1000)</f>
        <v>0.53685266082319494</v>
      </c>
      <c r="I25" s="64">
        <f>IF(I10=0,0,I10/TrNavi_act!I5*1000)</f>
        <v>0.45351782429614734</v>
      </c>
      <c r="J25" s="64">
        <f>IF(J10=0,0,J10/TrNavi_act!J5*1000)</f>
        <v>0.44585841215247907</v>
      </c>
      <c r="K25" s="64">
        <f>IF(K10=0,0,K10/TrNavi_act!K5*1000)</f>
        <v>0.54788718041675477</v>
      </c>
      <c r="L25" s="64">
        <f>IF(L10=0,0,L10/TrNavi_act!L5*1000)</f>
        <v>0.41921497172715333</v>
      </c>
      <c r="M25" s="64">
        <f>IF(M10=0,0,M10/TrNavi_act!M5*1000)</f>
        <v>0.54520729746906405</v>
      </c>
      <c r="N25" s="64">
        <f>IF(N10=0,0,N10/TrNavi_act!N5*1000)</f>
        <v>3.0367894021255797</v>
      </c>
      <c r="O25" s="64">
        <f>IF(O10=0,0,O10/TrNavi_act!O5*1000)</f>
        <v>2.6069309603273489</v>
      </c>
      <c r="P25" s="64">
        <f>IF(P10=0,0,P10/TrNavi_act!P5*1000)</f>
        <v>3.3235320789690217</v>
      </c>
      <c r="Q25" s="64">
        <f>IF(Q10=0,0,Q10/TrNavi_act!Q5*1000)</f>
        <v>3.2998446244588258</v>
      </c>
      <c r="R25" s="64">
        <f>IF(R10=0,0,R10/TrNavi_act!R5*1000)</f>
        <v>2.5940333271656679</v>
      </c>
      <c r="S25" s="64">
        <f>IF(S10=0,0,S10/TrNavi_act!S5*1000)</f>
        <v>2.5718954925462816</v>
      </c>
      <c r="T25" s="64">
        <f>IF(T10=0,0,T10/TrNavi_act!T5*1000)</f>
        <v>3.1860794907662893</v>
      </c>
      <c r="U25" s="64">
        <f>IF(U10=0,0,U10/TrNavi_act!U5*1000)</f>
        <v>2.4166112363925438</v>
      </c>
      <c r="V25" s="64">
        <f>IF(V10=0,0,V10/TrNavi_act!V5*1000)</f>
        <v>2.0513634873050175</v>
      </c>
      <c r="W25" s="64">
        <f>IF(W10=0,0,W10/TrNavi_act!W5*1000)</f>
        <v>1.6411888358760667</v>
      </c>
      <c r="X25" s="64">
        <f>IF(X10=0,0,X10/TrNavi_act!X5*1000)</f>
        <v>2.7179205886176558</v>
      </c>
      <c r="Y25" s="64">
        <f>IF(Y10=0,0,Y10/TrNavi_act!Y5*1000)</f>
        <v>2.335825751972548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3.1861814399999999</v>
      </c>
      <c r="C3" s="54">
        <f t="shared" ref="C3:V3" si="1">SUM(C4:C5)</f>
        <v>3.1861814399999999</v>
      </c>
      <c r="D3" s="54">
        <f t="shared" si="1"/>
        <v>6.3726296399999995</v>
      </c>
      <c r="E3" s="54">
        <f t="shared" si="1"/>
        <v>28.6767</v>
      </c>
      <c r="F3" s="54">
        <f t="shared" si="1"/>
        <v>6.3726296399999995</v>
      </c>
      <c r="G3" s="54">
        <f t="shared" si="1"/>
        <v>3.1861814399999999</v>
      </c>
      <c r="H3" s="54">
        <f t="shared" si="1"/>
        <v>3.1861814399999999</v>
      </c>
      <c r="I3" s="54">
        <f t="shared" si="1"/>
        <v>3.1122889199999992</v>
      </c>
      <c r="J3" s="54">
        <f t="shared" si="1"/>
        <v>3.1122889199999992</v>
      </c>
      <c r="K3" s="54">
        <f t="shared" si="1"/>
        <v>3.1122889199999992</v>
      </c>
      <c r="L3" s="54">
        <f t="shared" si="1"/>
        <v>3.1122889199999992</v>
      </c>
      <c r="M3" s="54">
        <f t="shared" si="1"/>
        <v>3.1122889199999992</v>
      </c>
      <c r="N3" s="54">
        <f t="shared" si="1"/>
        <v>18.673200000000005</v>
      </c>
      <c r="O3" s="54">
        <f t="shared" si="1"/>
        <v>15.560911079999999</v>
      </c>
      <c r="P3" s="54">
        <f t="shared" si="1"/>
        <v>18.673200000000005</v>
      </c>
      <c r="Q3" s="54">
        <f t="shared" si="1"/>
        <v>18.673200000000005</v>
      </c>
      <c r="R3" s="54">
        <f t="shared" si="1"/>
        <v>15.894361080000003</v>
      </c>
      <c r="S3" s="54">
        <f t="shared" si="1"/>
        <v>15.894361080000003</v>
      </c>
      <c r="T3" s="54">
        <f t="shared" si="1"/>
        <v>15.894361080000003</v>
      </c>
      <c r="U3" s="54">
        <f t="shared" si="1"/>
        <v>15.894361080000003</v>
      </c>
      <c r="V3" s="54">
        <f t="shared" si="1"/>
        <v>12.71564892</v>
      </c>
      <c r="W3" s="54">
        <f t="shared" ref="W3:Y3" si="2">SUM(W4:W5)</f>
        <v>9.5366700000000009</v>
      </c>
      <c r="X3" s="54">
        <f t="shared" si="2"/>
        <v>12.71564892</v>
      </c>
      <c r="Y3" s="54">
        <f t="shared" si="2"/>
        <v>9.5366700000000009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3.1861814399999999</v>
      </c>
      <c r="C5" s="58">
        <v>3.1861814399999999</v>
      </c>
      <c r="D5" s="58">
        <v>6.3726296399999995</v>
      </c>
      <c r="E5" s="58">
        <v>28.6767</v>
      </c>
      <c r="F5" s="58">
        <v>6.3726296399999995</v>
      </c>
      <c r="G5" s="58">
        <v>3.1861814399999999</v>
      </c>
      <c r="H5" s="58">
        <v>3.1861814399999999</v>
      </c>
      <c r="I5" s="58">
        <v>3.1122889199999992</v>
      </c>
      <c r="J5" s="58">
        <v>3.1122889199999992</v>
      </c>
      <c r="K5" s="58">
        <v>3.1122889199999992</v>
      </c>
      <c r="L5" s="58">
        <v>3.1122889199999992</v>
      </c>
      <c r="M5" s="58">
        <v>3.1122889199999992</v>
      </c>
      <c r="N5" s="58">
        <v>18.673200000000005</v>
      </c>
      <c r="O5" s="58">
        <v>15.560911079999999</v>
      </c>
      <c r="P5" s="58">
        <v>18.673200000000005</v>
      </c>
      <c r="Q5" s="58">
        <v>18.673200000000005</v>
      </c>
      <c r="R5" s="58">
        <v>15.894361080000003</v>
      </c>
      <c r="S5" s="58">
        <v>15.894361080000003</v>
      </c>
      <c r="T5" s="58">
        <v>15.894361080000003</v>
      </c>
      <c r="U5" s="58">
        <v>15.894361080000003</v>
      </c>
      <c r="V5" s="58">
        <v>12.71564892</v>
      </c>
      <c r="W5" s="58">
        <v>9.5366700000000009</v>
      </c>
      <c r="X5" s="58">
        <v>12.71564892</v>
      </c>
      <c r="Y5" s="58">
        <v>9.5366700000000009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3.1024188000000006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3.1024187999999997</v>
      </c>
      <c r="X9" s="79">
        <f>IF(X3=0,0,X3/TrNavi_ene!X3)</f>
        <v>3.1024188000000001</v>
      </c>
      <c r="Y9" s="79">
        <f>IF(Y3=0,0,Y3/TrNavi_ene!Y3)</f>
        <v>3.1024187999999997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3.1024188000000006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3.1024188000000006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3.1024187999999997</v>
      </c>
      <c r="X11" s="81">
        <f>IF(X5=0,0,X5/TrNavi_ene!X10)</f>
        <v>3.1024188000000001</v>
      </c>
      <c r="Y11" s="81">
        <f>IF(Y5=0,0,Y5/TrNavi_ene!Y10)</f>
        <v>3.1024187999999997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1935.7116889428921</v>
      </c>
      <c r="C13" s="54">
        <f>IF(C3=0,0,C3/TrNavi_act!C7*1000)</f>
        <v>1752.5750495049504</v>
      </c>
      <c r="D13" s="54">
        <f>IF(D3=0,0,D3/TrNavi_act!D7*1000)</f>
        <v>2179.4219015047879</v>
      </c>
      <c r="E13" s="54">
        <f>IF(E3=0,0,E3/TrNavi_act!E7*1000)</f>
        <v>4451.521266687364</v>
      </c>
      <c r="F13" s="54">
        <f>IF(F3=0,0,F3/TrNavi_act!F7*1000)</f>
        <v>1873.200952380952</v>
      </c>
      <c r="G13" s="54">
        <f>IF(G3=0,0,G3/TrNavi_act!G7*1000)</f>
        <v>1258.3654976303317</v>
      </c>
      <c r="H13" s="54">
        <f>IF(H3=0,0,H3/TrNavi_act!H7*1000)</f>
        <v>1321.5186395686435</v>
      </c>
      <c r="I13" s="54">
        <f>IF(I3=0,0,I3/TrNavi_act!I7*1000)</f>
        <v>1214.3148341786964</v>
      </c>
      <c r="J13" s="54">
        <f>IF(J3=0,0,J3/TrNavi_act!J7*1000)</f>
        <v>1204.4461764705877</v>
      </c>
      <c r="K13" s="54">
        <f>IF(K3=0,0,K3/TrNavi_act!K7*1000)</f>
        <v>1335.1732818532817</v>
      </c>
      <c r="L13" s="54">
        <f>IF(L3=0,0,L3/TrNavi_act!L7*1000)</f>
        <v>1167.8382439024385</v>
      </c>
      <c r="M13" s="54">
        <f>IF(M3=0,0,M3/TrNavi_act!M7*1000)</f>
        <v>1331.7453658536581</v>
      </c>
      <c r="N13" s="54">
        <f>IF(N3=0,0,N3/TrNavi_act!N7*1000)</f>
        <v>7484.2484969939896</v>
      </c>
      <c r="O13" s="54">
        <f>IF(O3=0,0,O3/TrNavi_act!O7*1000)</f>
        <v>6934.4523529411754</v>
      </c>
      <c r="P13" s="54">
        <f>IF(P3=0,0,P3/TrNavi_act!P7*1000)</f>
        <v>7829.4339622641537</v>
      </c>
      <c r="Q13" s="54">
        <f>IF(Q3=0,0,Q3/TrNavi_act!Q7*1000)</f>
        <v>7800.0000000000018</v>
      </c>
      <c r="R13" s="54">
        <f>IF(R3=0,0,R3/TrNavi_act!R7*1000)</f>
        <v>6916.6062140992181</v>
      </c>
      <c r="S13" s="54">
        <f>IF(S3=0,0,S3/TrNavi_act!S7*1000)</f>
        <v>7430.7438429172526</v>
      </c>
      <c r="T13" s="54">
        <f>IF(T3=0,0,T3/TrNavi_act!T7*1000)</f>
        <v>7833.5934351897504</v>
      </c>
      <c r="U13" s="54">
        <f>IF(U3=0,0,U3/TrNavi_act!U7*1000)</f>
        <v>6821.614197424894</v>
      </c>
      <c r="V13" s="54">
        <f>IF(V3=0,0,V3/TrNavi_act!V7*1000)</f>
        <v>6020.6671022727269</v>
      </c>
      <c r="W13" s="54">
        <f>IF(W3=0,0,W3/TrNavi_act!W7*1000)</f>
        <v>4629.4514563106804</v>
      </c>
      <c r="X13" s="54">
        <f>IF(X3=0,0,X3/TrNavi_act!X7*1000)</f>
        <v>7568.838642857143</v>
      </c>
      <c r="Y13" s="54">
        <f>IF(Y3=0,0,Y3/TrNavi_act!Y7*1000)</f>
        <v>5875.9519408502774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1935.7116889428921</v>
      </c>
      <c r="C15" s="58">
        <f>IF(C5=0,0,C5/TrNavi_act!C9*1000)</f>
        <v>1752.5750495049504</v>
      </c>
      <c r="D15" s="58">
        <f>IF(D5=0,0,D5/TrNavi_act!D9*1000)</f>
        <v>2179.4219015047879</v>
      </c>
      <c r="E15" s="58">
        <f>IF(E5=0,0,E5/TrNavi_act!E9*1000)</f>
        <v>4451.521266687364</v>
      </c>
      <c r="F15" s="58">
        <f>IF(F5=0,0,F5/TrNavi_act!F9*1000)</f>
        <v>1873.200952380952</v>
      </c>
      <c r="G15" s="58">
        <f>IF(G5=0,0,G5/TrNavi_act!G9*1000)</f>
        <v>1258.3654976303317</v>
      </c>
      <c r="H15" s="58">
        <f>IF(H5=0,0,H5/TrNavi_act!H9*1000)</f>
        <v>1321.5186395686435</v>
      </c>
      <c r="I15" s="58">
        <f>IF(I5=0,0,I5/TrNavi_act!I9*1000)</f>
        <v>1214.3148341786964</v>
      </c>
      <c r="J15" s="58">
        <f>IF(J5=0,0,J5/TrNavi_act!J9*1000)</f>
        <v>1204.4461764705877</v>
      </c>
      <c r="K15" s="58">
        <f>IF(K5=0,0,K5/TrNavi_act!K9*1000)</f>
        <v>1335.1732818532817</v>
      </c>
      <c r="L15" s="58">
        <f>IF(L5=0,0,L5/TrNavi_act!L9*1000)</f>
        <v>1167.8382439024385</v>
      </c>
      <c r="M15" s="58">
        <f>IF(M5=0,0,M5/TrNavi_act!M9*1000)</f>
        <v>1331.7453658536581</v>
      </c>
      <c r="N15" s="58">
        <f>IF(N5=0,0,N5/TrNavi_act!N9*1000)</f>
        <v>7484.2484969939896</v>
      </c>
      <c r="O15" s="58">
        <f>IF(O5=0,0,O5/TrNavi_act!O9*1000)</f>
        <v>6934.4523529411754</v>
      </c>
      <c r="P15" s="58">
        <f>IF(P5=0,0,P5/TrNavi_act!P9*1000)</f>
        <v>7829.4339622641537</v>
      </c>
      <c r="Q15" s="58">
        <f>IF(Q5=0,0,Q5/TrNavi_act!Q9*1000)</f>
        <v>7800.0000000000018</v>
      </c>
      <c r="R15" s="58">
        <f>IF(R5=0,0,R5/TrNavi_act!R9*1000)</f>
        <v>6916.6062140992181</v>
      </c>
      <c r="S15" s="58">
        <f>IF(S5=0,0,S5/TrNavi_act!S9*1000)</f>
        <v>7430.7438429172526</v>
      </c>
      <c r="T15" s="58">
        <f>IF(T5=0,0,T5/TrNavi_act!T9*1000)</f>
        <v>7833.5934351897504</v>
      </c>
      <c r="U15" s="58">
        <f>IF(U5=0,0,U5/TrNavi_act!U9*1000)</f>
        <v>6821.614197424894</v>
      </c>
      <c r="V15" s="58">
        <f>IF(V5=0,0,V5/TrNavi_act!V9*1000)</f>
        <v>6020.6671022727269</v>
      </c>
      <c r="W15" s="58">
        <f>IF(W5=0,0,W5/TrNavi_act!W9*1000)</f>
        <v>4629.4514563106804</v>
      </c>
      <c r="X15" s="58">
        <f>IF(X5=0,0,X5/TrNavi_act!X9*1000)</f>
        <v>7568.838642857143</v>
      </c>
      <c r="Y15" s="58">
        <f>IF(Y5=0,0,Y5/TrNavi_act!Y9*1000)</f>
        <v>5875.9519408502774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3.5759612121212121</v>
      </c>
      <c r="C17" s="62">
        <f>IF(C3=0,0,C3/TrNavi_act!C3*1000)</f>
        <v>2.9311696780128793</v>
      </c>
      <c r="D17" s="62">
        <f>IF(D3=0,0,D3/TrNavi_act!D3*1000)</f>
        <v>4.529232153518123</v>
      </c>
      <c r="E17" s="62">
        <f>IF(E3=0,0,E3/TrNavi_act!E3*1000)</f>
        <v>18.903559657218192</v>
      </c>
      <c r="F17" s="62">
        <f>IF(F3=0,0,F3/TrNavi_act!F3*1000)</f>
        <v>3.3469693487394956</v>
      </c>
      <c r="G17" s="62">
        <f>IF(G3=0,0,G3/TrNavi_act!G3*1000)</f>
        <v>1.5100385971563981</v>
      </c>
      <c r="H17" s="62">
        <f>IF(H3=0,0,H3/TrNavi_act!H3*1000)</f>
        <v>1.6655417877679037</v>
      </c>
      <c r="I17" s="62">
        <f>IF(I3=0,0,I3/TrNavi_act!I3*1000)</f>
        <v>1.4070022242314644</v>
      </c>
      <c r="J17" s="62">
        <f>IF(J3=0,0,J3/TrNavi_act!J3*1000)</f>
        <v>1.3832395199999998</v>
      </c>
      <c r="K17" s="62">
        <f>IF(K3=0,0,K3/TrNavi_act!K3*1000)</f>
        <v>1.699775488803932</v>
      </c>
      <c r="L17" s="62">
        <f>IF(L3=0,0,L3/TrNavi_act!L3*1000)</f>
        <v>1.3005804095277891</v>
      </c>
      <c r="M17" s="62">
        <f>IF(M3=0,0,M3/TrNavi_act!M3*1000)</f>
        <v>1.691461369565217</v>
      </c>
      <c r="N17" s="62">
        <f>IF(N3=0,0,N3/TrNavi_act!N3*1000)</f>
        <v>9.42139253279516</v>
      </c>
      <c r="O17" s="62">
        <f>IF(O3=0,0,O3/TrNavi_act!O3*1000)</f>
        <v>8.087791621621621</v>
      </c>
      <c r="P17" s="62">
        <f>IF(P3=0,0,P3/TrNavi_act!P3*1000)</f>
        <v>10.310988404196578</v>
      </c>
      <c r="Q17" s="62">
        <f>IF(Q3=0,0,Q3/TrNavi_act!Q3*1000)</f>
        <v>10.237500000000004</v>
      </c>
      <c r="R17" s="62">
        <f>IF(R3=0,0,R3/TrNavi_act!R3*1000)</f>
        <v>8.0477777620253192</v>
      </c>
      <c r="S17" s="62">
        <f>IF(S3=0,0,S3/TrNavi_act!S3*1000)</f>
        <v>7.9790969277108452</v>
      </c>
      <c r="T17" s="62">
        <f>IF(T3=0,0,T3/TrNavi_act!T3*1000)</f>
        <v>9.8845529104477627</v>
      </c>
      <c r="U17" s="62">
        <f>IF(U3=0,0,U3/TrNavi_act!U3*1000)</f>
        <v>7.4973401320754727</v>
      </c>
      <c r="V17" s="62">
        <f>IF(V3=0,0,V3/TrNavi_act!V3*1000)</f>
        <v>6.3641886486486481</v>
      </c>
      <c r="W17" s="62">
        <f>IF(W3=0,0,W3/TrNavi_act!W3*1000)</f>
        <v>5.0916550987720237</v>
      </c>
      <c r="X17" s="62">
        <f>IF(X3=0,0,X3/TrNavi_act!X3*1000)</f>
        <v>8.4321279310344828</v>
      </c>
      <c r="Y17" s="62">
        <f>IF(Y3=0,0,Y3/TrNavi_act!Y3*1000)</f>
        <v>7.2467097264437692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3.5759612121212121</v>
      </c>
      <c r="C19" s="64">
        <f>IF(C5=0,0,C5/TrNavi_act!C5*1000)</f>
        <v>2.9311696780128793</v>
      </c>
      <c r="D19" s="64">
        <f>IF(D5=0,0,D5/TrNavi_act!D5*1000)</f>
        <v>4.529232153518123</v>
      </c>
      <c r="E19" s="64">
        <f>IF(E5=0,0,E5/TrNavi_act!E5*1000)</f>
        <v>18.903559657218192</v>
      </c>
      <c r="F19" s="64">
        <f>IF(F5=0,0,F5/TrNavi_act!F5*1000)</f>
        <v>3.3469693487394956</v>
      </c>
      <c r="G19" s="64">
        <f>IF(G5=0,0,G5/TrNavi_act!G5*1000)</f>
        <v>1.5100385971563981</v>
      </c>
      <c r="H19" s="64">
        <f>IF(H5=0,0,H5/TrNavi_act!H5*1000)</f>
        <v>1.6655417877679037</v>
      </c>
      <c r="I19" s="64">
        <f>IF(I5=0,0,I5/TrNavi_act!I5*1000)</f>
        <v>1.4070022242314644</v>
      </c>
      <c r="J19" s="64">
        <f>IF(J5=0,0,J5/TrNavi_act!J5*1000)</f>
        <v>1.3832395199999998</v>
      </c>
      <c r="K19" s="64">
        <f>IF(K5=0,0,K5/TrNavi_act!K5*1000)</f>
        <v>1.699775488803932</v>
      </c>
      <c r="L19" s="64">
        <f>IF(L5=0,0,L5/TrNavi_act!L5*1000)</f>
        <v>1.3005804095277891</v>
      </c>
      <c r="M19" s="64">
        <f>IF(M5=0,0,M5/TrNavi_act!M5*1000)</f>
        <v>1.691461369565217</v>
      </c>
      <c r="N19" s="64">
        <f>IF(N5=0,0,N5/TrNavi_act!N5*1000)</f>
        <v>9.42139253279516</v>
      </c>
      <c r="O19" s="64">
        <f>IF(O5=0,0,O5/TrNavi_act!O5*1000)</f>
        <v>8.087791621621621</v>
      </c>
      <c r="P19" s="64">
        <f>IF(P5=0,0,P5/TrNavi_act!P5*1000)</f>
        <v>10.310988404196578</v>
      </c>
      <c r="Q19" s="64">
        <f>IF(Q5=0,0,Q5/TrNavi_act!Q5*1000)</f>
        <v>10.237500000000004</v>
      </c>
      <c r="R19" s="64">
        <f>IF(R5=0,0,R5/TrNavi_act!R5*1000)</f>
        <v>8.0477777620253192</v>
      </c>
      <c r="S19" s="64">
        <f>IF(S5=0,0,S5/TrNavi_act!S5*1000)</f>
        <v>7.9790969277108452</v>
      </c>
      <c r="T19" s="64">
        <f>IF(T5=0,0,T5/TrNavi_act!T5*1000)</f>
        <v>9.8845529104477627</v>
      </c>
      <c r="U19" s="64">
        <f>IF(U5=0,0,U5/TrNavi_act!U5*1000)</f>
        <v>7.4973401320754727</v>
      </c>
      <c r="V19" s="64">
        <f>IF(V5=0,0,V5/TrNavi_act!V5*1000)</f>
        <v>6.3641886486486481</v>
      </c>
      <c r="W19" s="64">
        <f>IF(W5=0,0,W5/TrNavi_act!W5*1000)</f>
        <v>5.0916550987720237</v>
      </c>
      <c r="X19" s="64">
        <f>IF(X5=0,0,X5/TrNavi_act!X5*1000)</f>
        <v>8.4321279310344828</v>
      </c>
      <c r="Y19" s="64">
        <f>IF(Y5=0,0,Y5/TrNavi_act!Y5*1000)</f>
        <v>7.2467097264437692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9">
        <f t="shared" si="3"/>
        <v>0</v>
      </c>
      <c r="W7" s="59">
        <f t="shared" si="3"/>
        <v>0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0</v>
      </c>
      <c r="J13" s="62">
        <f t="shared" si="5"/>
        <v>0</v>
      </c>
      <c r="K13" s="62">
        <f t="shared" si="5"/>
        <v>0</v>
      </c>
      <c r="L13" s="62">
        <f t="shared" si="5"/>
        <v>0</v>
      </c>
      <c r="M13" s="62">
        <f t="shared" si="5"/>
        <v>0</v>
      </c>
      <c r="N13" s="62">
        <f t="shared" si="5"/>
        <v>0</v>
      </c>
      <c r="O13" s="62">
        <f t="shared" si="5"/>
        <v>0</v>
      </c>
      <c r="P13" s="62">
        <f t="shared" si="5"/>
        <v>0</v>
      </c>
      <c r="Q13" s="62">
        <f t="shared" si="5"/>
        <v>0</v>
      </c>
      <c r="R13" s="62">
        <f t="shared" si="5"/>
        <v>0</v>
      </c>
      <c r="S13" s="62">
        <f t="shared" si="5"/>
        <v>0</v>
      </c>
      <c r="T13" s="62">
        <f t="shared" si="5"/>
        <v>0</v>
      </c>
      <c r="U13" s="62">
        <f t="shared" si="5"/>
        <v>0</v>
      </c>
      <c r="V13" s="62">
        <f t="shared" si="5"/>
        <v>0</v>
      </c>
      <c r="W13" s="62">
        <f t="shared" si="5"/>
        <v>0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0</v>
      </c>
      <c r="J14" s="63">
        <f t="shared" si="5"/>
        <v>0</v>
      </c>
      <c r="K14" s="63">
        <f t="shared" si="5"/>
        <v>0</v>
      </c>
      <c r="L14" s="63">
        <f t="shared" si="5"/>
        <v>0</v>
      </c>
      <c r="M14" s="63">
        <f t="shared" si="5"/>
        <v>0</v>
      </c>
      <c r="N14" s="63">
        <f t="shared" si="5"/>
        <v>0</v>
      </c>
      <c r="O14" s="63">
        <f t="shared" si="5"/>
        <v>0</v>
      </c>
      <c r="P14" s="63">
        <f t="shared" si="5"/>
        <v>0</v>
      </c>
      <c r="Q14" s="63">
        <f t="shared" si="5"/>
        <v>0</v>
      </c>
      <c r="R14" s="63">
        <f t="shared" si="5"/>
        <v>0</v>
      </c>
      <c r="S14" s="63">
        <f t="shared" si="5"/>
        <v>0</v>
      </c>
      <c r="T14" s="63">
        <f t="shared" si="5"/>
        <v>0</v>
      </c>
      <c r="U14" s="63">
        <f t="shared" si="5"/>
        <v>0</v>
      </c>
      <c r="V14" s="63">
        <f t="shared" si="5"/>
        <v>0</v>
      </c>
      <c r="W14" s="63">
        <f t="shared" si="5"/>
        <v>0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0</v>
      </c>
      <c r="J15" s="64">
        <f t="shared" si="5"/>
        <v>0</v>
      </c>
      <c r="K15" s="64">
        <f t="shared" si="5"/>
        <v>0</v>
      </c>
      <c r="L15" s="64">
        <f t="shared" si="5"/>
        <v>0</v>
      </c>
      <c r="M15" s="64">
        <f t="shared" si="5"/>
        <v>0</v>
      </c>
      <c r="N15" s="64">
        <f t="shared" si="5"/>
        <v>0</v>
      </c>
      <c r="O15" s="64">
        <f t="shared" si="5"/>
        <v>0</v>
      </c>
      <c r="P15" s="64">
        <f t="shared" si="5"/>
        <v>0</v>
      </c>
      <c r="Q15" s="64">
        <f t="shared" si="5"/>
        <v>0</v>
      </c>
      <c r="R15" s="64">
        <f t="shared" si="5"/>
        <v>0</v>
      </c>
      <c r="S15" s="64">
        <f t="shared" si="5"/>
        <v>0</v>
      </c>
      <c r="T15" s="64">
        <f t="shared" si="5"/>
        <v>0</v>
      </c>
      <c r="U15" s="64">
        <f t="shared" si="5"/>
        <v>0</v>
      </c>
      <c r="V15" s="64">
        <f t="shared" si="5"/>
        <v>0</v>
      </c>
      <c r="W15" s="64">
        <f t="shared" si="5"/>
        <v>0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0</v>
      </c>
      <c r="J17" s="65">
        <f t="shared" si="9"/>
        <v>0</v>
      </c>
      <c r="K17" s="65">
        <f t="shared" si="9"/>
        <v>0</v>
      </c>
      <c r="L17" s="65">
        <f t="shared" si="9"/>
        <v>0</v>
      </c>
      <c r="M17" s="65">
        <f t="shared" si="9"/>
        <v>0</v>
      </c>
      <c r="N17" s="65">
        <f t="shared" si="9"/>
        <v>0</v>
      </c>
      <c r="O17" s="65">
        <f t="shared" si="9"/>
        <v>0</v>
      </c>
      <c r="P17" s="65">
        <f t="shared" si="9"/>
        <v>0</v>
      </c>
      <c r="Q17" s="65">
        <f t="shared" si="9"/>
        <v>0</v>
      </c>
      <c r="R17" s="65">
        <f t="shared" si="9"/>
        <v>0</v>
      </c>
      <c r="S17" s="65">
        <f t="shared" si="9"/>
        <v>0</v>
      </c>
      <c r="T17" s="65">
        <f t="shared" si="9"/>
        <v>0</v>
      </c>
      <c r="U17" s="65">
        <f t="shared" si="9"/>
        <v>0</v>
      </c>
      <c r="V17" s="65">
        <f t="shared" si="9"/>
        <v>0</v>
      </c>
      <c r="W17" s="65">
        <f t="shared" si="9"/>
        <v>0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</v>
      </c>
      <c r="J18" s="66">
        <f t="shared" si="9"/>
        <v>0</v>
      </c>
      <c r="K18" s="66">
        <f t="shared" si="9"/>
        <v>0</v>
      </c>
      <c r="L18" s="66">
        <f t="shared" si="9"/>
        <v>0</v>
      </c>
      <c r="M18" s="66">
        <f t="shared" si="9"/>
        <v>0</v>
      </c>
      <c r="N18" s="66">
        <f t="shared" si="9"/>
        <v>0</v>
      </c>
      <c r="O18" s="66">
        <f t="shared" si="9"/>
        <v>0</v>
      </c>
      <c r="P18" s="66">
        <f t="shared" si="9"/>
        <v>0</v>
      </c>
      <c r="Q18" s="66">
        <f t="shared" si="9"/>
        <v>0</v>
      </c>
      <c r="R18" s="66">
        <f t="shared" si="9"/>
        <v>0</v>
      </c>
      <c r="S18" s="66">
        <f t="shared" si="9"/>
        <v>0</v>
      </c>
      <c r="T18" s="66">
        <f t="shared" si="9"/>
        <v>0</v>
      </c>
      <c r="U18" s="66">
        <f t="shared" si="9"/>
        <v>0</v>
      </c>
      <c r="V18" s="66">
        <f t="shared" si="9"/>
        <v>0</v>
      </c>
      <c r="W18" s="66">
        <f t="shared" si="9"/>
        <v>0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</v>
      </c>
      <c r="J19" s="67">
        <f t="shared" si="9"/>
        <v>0</v>
      </c>
      <c r="K19" s="67">
        <f t="shared" si="9"/>
        <v>0</v>
      </c>
      <c r="L19" s="67">
        <f t="shared" si="9"/>
        <v>0</v>
      </c>
      <c r="M19" s="67">
        <f t="shared" si="9"/>
        <v>0</v>
      </c>
      <c r="N19" s="67">
        <f t="shared" si="9"/>
        <v>0</v>
      </c>
      <c r="O19" s="67">
        <f t="shared" si="9"/>
        <v>0</v>
      </c>
      <c r="P19" s="67">
        <f t="shared" si="9"/>
        <v>0</v>
      </c>
      <c r="Q19" s="67">
        <f t="shared" si="9"/>
        <v>0</v>
      </c>
      <c r="R19" s="67">
        <f t="shared" si="9"/>
        <v>0</v>
      </c>
      <c r="S19" s="67">
        <f t="shared" si="9"/>
        <v>0</v>
      </c>
      <c r="T19" s="67">
        <f t="shared" si="9"/>
        <v>0</v>
      </c>
      <c r="U19" s="67">
        <f t="shared" si="9"/>
        <v>0</v>
      </c>
      <c r="V19" s="67">
        <f t="shared" si="9"/>
        <v>0</v>
      </c>
      <c r="W19" s="67">
        <f t="shared" si="9"/>
        <v>0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0</v>
      </c>
      <c r="J21" s="65">
        <f t="shared" si="13"/>
        <v>0</v>
      </c>
      <c r="K21" s="65">
        <f t="shared" si="13"/>
        <v>0</v>
      </c>
      <c r="L21" s="65">
        <f t="shared" si="13"/>
        <v>0</v>
      </c>
      <c r="M21" s="65">
        <f t="shared" si="13"/>
        <v>0</v>
      </c>
      <c r="N21" s="65">
        <f t="shared" si="13"/>
        <v>0</v>
      </c>
      <c r="O21" s="65">
        <f t="shared" si="13"/>
        <v>0</v>
      </c>
      <c r="P21" s="65">
        <f t="shared" si="13"/>
        <v>0</v>
      </c>
      <c r="Q21" s="65">
        <f t="shared" si="13"/>
        <v>0</v>
      </c>
      <c r="R21" s="65">
        <f t="shared" si="13"/>
        <v>0</v>
      </c>
      <c r="S21" s="65">
        <f t="shared" si="13"/>
        <v>0</v>
      </c>
      <c r="T21" s="65">
        <f t="shared" si="13"/>
        <v>0</v>
      </c>
      <c r="U21" s="65">
        <f t="shared" si="13"/>
        <v>0</v>
      </c>
      <c r="V21" s="65">
        <f t="shared" si="13"/>
        <v>0</v>
      </c>
      <c r="W21" s="65">
        <f t="shared" si="13"/>
        <v>0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</v>
      </c>
      <c r="J22" s="66">
        <f t="shared" si="13"/>
        <v>0</v>
      </c>
      <c r="K22" s="66">
        <f t="shared" si="13"/>
        <v>0</v>
      </c>
      <c r="L22" s="66">
        <f t="shared" si="13"/>
        <v>0</v>
      </c>
      <c r="M22" s="66">
        <f t="shared" si="13"/>
        <v>0</v>
      </c>
      <c r="N22" s="66">
        <f t="shared" si="13"/>
        <v>0</v>
      </c>
      <c r="O22" s="66">
        <f t="shared" si="13"/>
        <v>0</v>
      </c>
      <c r="P22" s="66">
        <f t="shared" si="13"/>
        <v>0</v>
      </c>
      <c r="Q22" s="66">
        <f t="shared" si="13"/>
        <v>0</v>
      </c>
      <c r="R22" s="66">
        <f t="shared" si="13"/>
        <v>0</v>
      </c>
      <c r="S22" s="66">
        <f t="shared" si="13"/>
        <v>0</v>
      </c>
      <c r="T22" s="66">
        <f t="shared" si="13"/>
        <v>0</v>
      </c>
      <c r="U22" s="66">
        <f t="shared" si="13"/>
        <v>0</v>
      </c>
      <c r="V22" s="66">
        <f t="shared" si="13"/>
        <v>0</v>
      </c>
      <c r="W22" s="66">
        <f t="shared" si="13"/>
        <v>0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</v>
      </c>
      <c r="J23" s="67">
        <f t="shared" si="13"/>
        <v>0</v>
      </c>
      <c r="K23" s="67">
        <f t="shared" si="13"/>
        <v>0</v>
      </c>
      <c r="L23" s="67">
        <f t="shared" si="13"/>
        <v>0</v>
      </c>
      <c r="M23" s="67">
        <f t="shared" si="13"/>
        <v>0</v>
      </c>
      <c r="N23" s="67">
        <f t="shared" si="13"/>
        <v>0</v>
      </c>
      <c r="O23" s="67">
        <f t="shared" si="13"/>
        <v>0</v>
      </c>
      <c r="P23" s="67">
        <f t="shared" si="13"/>
        <v>0</v>
      </c>
      <c r="Q23" s="67">
        <f t="shared" si="13"/>
        <v>0</v>
      </c>
      <c r="R23" s="67">
        <f t="shared" si="13"/>
        <v>0</v>
      </c>
      <c r="S23" s="67">
        <f t="shared" si="13"/>
        <v>0</v>
      </c>
      <c r="T23" s="67">
        <f t="shared" si="13"/>
        <v>0</v>
      </c>
      <c r="U23" s="67">
        <f t="shared" si="13"/>
        <v>0</v>
      </c>
      <c r="V23" s="67">
        <f t="shared" si="13"/>
        <v>0</v>
      </c>
      <c r="W23" s="67">
        <f t="shared" si="13"/>
        <v>0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si="2"/>
        <v>0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si="4"/>
        <v>0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si="6"/>
        <v>0</v>
      </c>
      <c r="W27" s="76">
        <f t="shared" si="6"/>
        <v>0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W28" s="77">
        <f t="shared" si="6"/>
        <v>0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</v>
      </c>
      <c r="J29" s="78">
        <f t="shared" si="9"/>
        <v>0</v>
      </c>
      <c r="K29" s="78">
        <f t="shared" si="9"/>
        <v>0</v>
      </c>
      <c r="L29" s="78">
        <f t="shared" si="9"/>
        <v>0</v>
      </c>
      <c r="M29" s="78">
        <f t="shared" si="9"/>
        <v>0</v>
      </c>
      <c r="N29" s="78">
        <f t="shared" si="9"/>
        <v>0</v>
      </c>
      <c r="O29" s="78">
        <f t="shared" si="9"/>
        <v>0</v>
      </c>
      <c r="P29" s="78">
        <f t="shared" si="9"/>
        <v>0</v>
      </c>
      <c r="Q29" s="78">
        <f t="shared" si="9"/>
        <v>0</v>
      </c>
      <c r="R29" s="78">
        <f t="shared" si="9"/>
        <v>0</v>
      </c>
      <c r="S29" s="78">
        <f t="shared" si="9"/>
        <v>0</v>
      </c>
      <c r="T29" s="78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si="3"/>
        <v>0</v>
      </c>
      <c r="W21" s="76">
        <f t="shared" si="3"/>
        <v>0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77">
        <f t="shared" si="3"/>
        <v>0</v>
      </c>
      <c r="U22" s="77">
        <f t="shared" si="3"/>
        <v>0</v>
      </c>
      <c r="V22" s="77">
        <f t="shared" si="3"/>
        <v>0</v>
      </c>
      <c r="W22" s="77">
        <f t="shared" si="3"/>
        <v>0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</v>
      </c>
      <c r="J23" s="78">
        <f t="shared" si="3"/>
        <v>0</v>
      </c>
      <c r="K23" s="78">
        <f t="shared" si="3"/>
        <v>0</v>
      </c>
      <c r="L23" s="78">
        <f t="shared" si="3"/>
        <v>0</v>
      </c>
      <c r="M23" s="78">
        <f t="shared" si="3"/>
        <v>0</v>
      </c>
      <c r="N23" s="78">
        <f t="shared" si="3"/>
        <v>0</v>
      </c>
      <c r="O23" s="78">
        <f t="shared" si="3"/>
        <v>0</v>
      </c>
      <c r="P23" s="78">
        <f t="shared" si="3"/>
        <v>0</v>
      </c>
      <c r="Q23" s="78">
        <f t="shared" si="3"/>
        <v>0</v>
      </c>
      <c r="R23" s="78">
        <f t="shared" si="3"/>
        <v>0</v>
      </c>
      <c r="S23" s="78">
        <f t="shared" si="3"/>
        <v>0</v>
      </c>
      <c r="T23" s="78">
        <f t="shared" si="3"/>
        <v>0</v>
      </c>
      <c r="U23" s="78">
        <f t="shared" si="3"/>
        <v>0</v>
      </c>
      <c r="V23" s="78">
        <f t="shared" si="3"/>
        <v>0</v>
      </c>
      <c r="W23" s="78">
        <f t="shared" si="3"/>
        <v>0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2025-11-06T10:25:27Z</dcterms:created>
  <dcterms:modified xsi:type="dcterms:W3CDTF">2025-11-06T10:25:28Z</dcterms:modified>
</cp:coreProperties>
</file>