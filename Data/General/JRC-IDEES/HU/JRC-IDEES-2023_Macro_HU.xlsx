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U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88" i="59" l="1"/>
  <c r="AA84" i="59"/>
  <c r="AA82" i="59"/>
  <c r="AA81" i="59"/>
  <c r="AA113" i="59"/>
  <c r="AA79" i="59"/>
  <c r="AA78" i="59"/>
  <c r="AA74" i="59"/>
  <c r="AA106" i="59"/>
  <c r="AA70" i="59"/>
  <c r="AA102" i="59"/>
  <c r="AA66" i="59"/>
  <c r="AA98" i="59"/>
  <c r="AA97" i="59"/>
  <c r="AA94" i="59"/>
  <c r="AA5" i="59"/>
  <c r="Z115" i="59"/>
  <c r="Z111" i="59"/>
  <c r="Z107" i="59"/>
  <c r="Z103" i="59"/>
  <c r="Z99" i="59"/>
  <c r="Y75" i="57"/>
  <c r="U75" i="57"/>
  <c r="T75" i="57"/>
  <c r="K75" i="57"/>
  <c r="F75" i="57"/>
  <c r="Q54" i="57"/>
  <c r="S54" i="57"/>
  <c r="P54" i="57"/>
  <c r="J54" i="57"/>
  <c r="U39" i="57"/>
  <c r="I39" i="57"/>
  <c r="H39" i="57"/>
  <c r="E39" i="57"/>
  <c r="M16" i="57"/>
  <c r="S16" i="57"/>
  <c r="O16" i="57"/>
  <c r="Q75" i="57"/>
  <c r="D75" i="57"/>
  <c r="O75" i="57"/>
  <c r="J75" i="57"/>
  <c r="L54" i="57"/>
  <c r="R54" i="57"/>
  <c r="I54" i="57"/>
  <c r="O39" i="57"/>
  <c r="Y16" i="57"/>
  <c r="G16" i="57"/>
  <c r="AA89" i="59" l="1"/>
  <c r="AA80" i="59"/>
  <c r="AA114" i="59"/>
  <c r="Z54" i="55"/>
  <c r="AA93" i="59"/>
  <c r="AA109" i="59"/>
  <c r="AA117" i="59"/>
  <c r="AA121" i="59"/>
  <c r="E16" i="57"/>
  <c r="Q39" i="57"/>
  <c r="K54" i="57"/>
  <c r="E75" i="57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5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<sst xmlns="http://schemas.openxmlformats.org/spreadsheetml/2006/main" count="722" uniqueCount="281">
  <si>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</si>
  <si>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</si>
  <si>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</si>
  <si>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</si>
  <si>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</si>
  <si>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</si>
  <si>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</si>
  <si>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</si>
  <si>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</si>
  <si>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</si>
  <si>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</si>
  <si>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</si>
  <si>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</si>
  <si>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</si>
  <si>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</si>
  <si>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</si>
  <si>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</si>
  <si>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</si>
  <si>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</si>
  <si>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</si>
  <si>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</si>
  <si>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</si>
  <si>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</si>
  <si>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</si>
  <si>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</si>
  <si>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</si>
  <si>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</si>
  <si>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</si>
  <si>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</si>
  <si>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</si>
  <si>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</si>
  <si>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</si>
  <si>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</si>
  <si>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</si>
  <si>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</si>
  <si>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</si>
  <si>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</si>
  <si>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</si>
  <si>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</si>
  <si>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</si>
  <si>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</si>
  <si>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</si>
  <si>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</si>
  <si>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</si>
  <si>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</si>
  <si>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</si>
  <si>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</si>
  <si>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</si>
  <si>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</si>
  <si>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</si>
  <si>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</si>
  <si>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</si>
  <si>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</si>
  <si>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</si>
  <si>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</si>
  <si>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</si>
  <si>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</si>
  <si>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</si>
  <si>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</si>
  <si>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</si>
  <si>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</si>
  <si>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</si>
  <si>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</si>
  <si>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</si>
  <si>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</si>
  <si>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</si>
  <si>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</si>
  <si>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</si>
  <si>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</si>
  <si>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</si>
  <si>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</si>
  <si>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</si>
  <si>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</si>
  <si>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</si>
  <si>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</si>
  <si>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</si>
  <si>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</si>
  <si>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</si>
  <si>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</si>
  <si>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</si>
  <si>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</si>
  <si>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</si>
  <si>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</si>
  <si>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</si>
  <si>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</si>
  <si>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</si>
  <si>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</si>
  <si>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</si>
  <si>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</si>
  <si>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</si>
  <si>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</si>
  <si>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</si>
  <si>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</si>
  <si>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</si>
  <si>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</si>
  <si>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</si>
  <si>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</si>
  <si>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</si>
  <si>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</si>
  <si>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</si>
  <si>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</si>
  <si>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</si>
  <si>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</si>
  <si>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</si>
  <si>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</si>
  <si>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</si>
  <si>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</si>
  <si>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</si>
  <si>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</si>
  <si>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</si>
  <si>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</si>
  <si>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</si>
  <si>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</si>
  <si>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</si>
  <si>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</si>
  <si>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</si>
  <si>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</si>
  <si>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</si>
  <si>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</si>
  <si>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</si>
  <si>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</si>
  <si>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</si>
  <si>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</si>
  <si>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</si>
  <si>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</si>
  <si>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</si>
  <si>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</si>
  <si>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</si>
  <si>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</si>
  <si>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</si>
  <si>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</si>
  <si>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</si>
  <si>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</si>
  <si>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</si>
  <si>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</si>
  <si>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</si>
  <si>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</si>
  <si>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</si>
  <si>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</si>
  <si>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</si>
  <si>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</si>
  <si>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</si>
  <si>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</si>
  <si>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</si>
  <si>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</si>
  <si>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</si>
  <si>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</si>
  <si>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</si>
  <si>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</si>
  <si>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</si>
  <si>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</si>
  <si>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</si>
  <si>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</si>
  <si>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</si>
  <si>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</si>
  <si>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</si>
  <si>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</si>
  <si>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</si>
  <si>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</si>
  <si>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</si>
  <si>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</si>
  <si>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</si>
  <si>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</si>
  <si>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</si>
  <si>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</si>
  <si>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</si>
  <si>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</si>
  <si>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</si>
  <si>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</si>
  <si>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</si>
  <si>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</si>
  <si>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</si>
  <si>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</si>
  <si>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</si>
  <si>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</si>
  <si>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</si>
  <si>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</si>
  <si>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</si>
  <si>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</si>
  <si>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</si>
  <si>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</si>
  <si>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</si>
  <si>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</si>
  <si>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</si>
  <si>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</si>
  <si>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</si>
  <si>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</si>
  <si>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</si>
  <si>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</si>
  <si>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</si>
  <si>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</si>
  <si>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</si>
  <si>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</si>
  <si>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</si>
  <si>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</si>
  <si>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</si>
  <si>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</si>
  <si>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</si>
  <si>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</si>
  <si>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</si>
  <si>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</si>
  <si>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</si>
  <si>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</si>
  <si>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</si>
  <si>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</si>
  <si>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</si>
  <si>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</si>
  <si>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</si>
  <si>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</si>
  <si>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</si>
  <si>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</si>
  <si>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</si>
  <si>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</si>
  <si>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</si>
  <si>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</si>
  <si>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</si>
  <si>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</si>
  <si>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</si>
  <si>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</si>
  <si>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</si>
  <si>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</si>
  <si>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</si>
  <si>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</si>
  <si>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</si>
  <si>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</si>
  <si>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</si>
  <si>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</si>
  <si>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</si>
  <si>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</si>
  <si>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</si>
  <si>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</si>
  <si>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</si>
  <si>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</si>
  <si>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</si>
  <si>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</si>
  <si>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</si>
  <si>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</si>
  <si>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</si>
  <si>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</si>
  <si>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</si>
  <si>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</si>
  <si>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</si>
  <si>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</si>
  <si>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</si>
  <si>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</si>
  <si>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</si>
  <si>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</si>
  <si>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</si>
  <si>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</si>
  <si>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</si>
  <si>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</si>
  <si>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</si>
  <si>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</si>
  <si>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</si>
  <si>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</si>
  <si>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</si>
  <si>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</si>
  <si>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</si>
  <si>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</si>
  <si>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</si>
  <si>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</si>
  <si>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</si>
  <si>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</si>
  <si>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</si>
  <si>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</si>
  <si>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</si>
  <si>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</si>
  <si>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</si>
  <si>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</si>
  <si>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</si>
  <si>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</si>
  <si>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</si>
  <si>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</si>
  <si>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</si>
  <si>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</si>
  <si>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</si>
  <si>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</si>
  <si>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</si>
  <si>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</si>
  <si>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HU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</si>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</sst>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45967.475810185184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51300.9</v>
      </c>
      <c r="E2" s="19">
        <v>60068.800000000003</v>
      </c>
      <c r="F2" s="19">
        <v>71785.3</v>
      </c>
      <c r="G2" s="19">
        <v>75344.2</v>
      </c>
      <c r="H2" s="19">
        <v>83798.3</v>
      </c>
      <c r="I2" s="19">
        <v>90999.5</v>
      </c>
      <c r="J2" s="19">
        <v>92038</v>
      </c>
      <c r="K2" s="19">
        <v>102368.2</v>
      </c>
      <c r="L2" s="19">
        <v>108278.8</v>
      </c>
      <c r="M2" s="19">
        <v>94416.6</v>
      </c>
      <c r="N2" s="19">
        <v>99562.8</v>
      </c>
      <c r="O2" s="19">
        <v>101986.9</v>
      </c>
      <c r="P2" s="19">
        <v>99979.9</v>
      </c>
      <c r="Q2" s="19">
        <v>102210.9</v>
      </c>
      <c r="R2" s="19">
        <v>106335.3</v>
      </c>
      <c r="S2" s="19">
        <v>112854</v>
      </c>
      <c r="T2" s="19">
        <v>116593.5</v>
      </c>
      <c r="U2" s="19">
        <v>127222.5</v>
      </c>
      <c r="V2" s="19">
        <v>136580</v>
      </c>
      <c r="W2" s="19">
        <v>147373.20000000001</v>
      </c>
      <c r="X2" s="19">
        <v>138954.5</v>
      </c>
      <c r="Y2" s="19">
        <v>154971.70000000001</v>
      </c>
      <c r="Z2" s="19">
        <v>169054.8</v>
      </c>
      <c r="AA2" s="19">
        <v>197902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27871.7</v>
      </c>
      <c r="E3" s="23">
        <v>32373</v>
      </c>
      <c r="F3" s="23">
        <v>39146.1</v>
      </c>
      <c r="G3" s="23">
        <v>42457.5</v>
      </c>
      <c r="H3" s="23">
        <v>46039.6</v>
      </c>
      <c r="I3" s="23">
        <v>49733.9</v>
      </c>
      <c r="J3" s="23">
        <v>49023.5</v>
      </c>
      <c r="K3" s="23">
        <v>55556.800000000003</v>
      </c>
      <c r="L3" s="23">
        <v>57946.6</v>
      </c>
      <c r="M3" s="23">
        <v>50550.6</v>
      </c>
      <c r="N3" s="23">
        <v>52467</v>
      </c>
      <c r="O3" s="23">
        <v>53750.7</v>
      </c>
      <c r="P3" s="23">
        <v>53693.7</v>
      </c>
      <c r="Q3" s="23">
        <v>53219.8</v>
      </c>
      <c r="R3" s="23">
        <v>53050.6</v>
      </c>
      <c r="S3" s="23">
        <v>55149.599999999999</v>
      </c>
      <c r="T3" s="23">
        <v>58098.6</v>
      </c>
      <c r="U3" s="23">
        <v>63767.199999999997</v>
      </c>
      <c r="V3" s="23">
        <v>67208.899999999994</v>
      </c>
      <c r="W3" s="23">
        <v>72400</v>
      </c>
      <c r="X3" s="23">
        <v>68469.899999999994</v>
      </c>
      <c r="Y3" s="23">
        <v>74643.899999999994</v>
      </c>
      <c r="Z3" s="23">
        <v>83896.6</v>
      </c>
      <c r="AA3" s="23">
        <v>97298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43739.4</v>
      </c>
      <c r="E4" s="27">
        <v>51920.2</v>
      </c>
      <c r="F4" s="27">
        <v>62321.3</v>
      </c>
      <c r="G4" s="27">
        <v>64746.9</v>
      </c>
      <c r="H4" s="27">
        <v>71723.199999999997</v>
      </c>
      <c r="I4" s="27">
        <v>78414.600000000006</v>
      </c>
      <c r="J4" s="27">
        <v>79911.3</v>
      </c>
      <c r="K4" s="27">
        <v>88047.4</v>
      </c>
      <c r="L4" s="27">
        <v>92757.4</v>
      </c>
      <c r="M4" s="27">
        <v>80245.3</v>
      </c>
      <c r="N4" s="27">
        <v>84489.8</v>
      </c>
      <c r="O4" s="27">
        <v>86763.199999999997</v>
      </c>
      <c r="P4" s="27">
        <v>84120.9</v>
      </c>
      <c r="Q4" s="27">
        <v>86312.4</v>
      </c>
      <c r="R4" s="27">
        <v>89860.3</v>
      </c>
      <c r="S4" s="27">
        <v>95094.5</v>
      </c>
      <c r="T4" s="27">
        <v>98958.3</v>
      </c>
      <c r="U4" s="27">
        <v>107927.7</v>
      </c>
      <c r="V4" s="27">
        <v>115429.9</v>
      </c>
      <c r="W4" s="27">
        <v>124603</v>
      </c>
      <c r="X4" s="27">
        <v>117436.9</v>
      </c>
      <c r="Y4" s="27">
        <v>131296.29999999999</v>
      </c>
      <c r="Z4" s="27">
        <v>143759</v>
      </c>
      <c r="AA4" s="27">
        <v>171358.8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2598.8000000000002</v>
      </c>
      <c r="E6" s="19">
        <v>3021.1</v>
      </c>
      <c r="F6" s="19">
        <v>3136.9</v>
      </c>
      <c r="G6" s="19">
        <v>2943.2</v>
      </c>
      <c r="H6" s="19">
        <v>3651</v>
      </c>
      <c r="I6" s="19">
        <v>3389.9</v>
      </c>
      <c r="J6" s="19">
        <v>3257</v>
      </c>
      <c r="K6" s="19">
        <v>3570.5</v>
      </c>
      <c r="L6" s="19">
        <v>3766.1</v>
      </c>
      <c r="M6" s="19">
        <v>2828</v>
      </c>
      <c r="N6" s="19">
        <v>2994</v>
      </c>
      <c r="O6" s="19">
        <v>4052</v>
      </c>
      <c r="P6" s="19">
        <v>3887.7</v>
      </c>
      <c r="Q6" s="19">
        <v>4009.3</v>
      </c>
      <c r="R6" s="19">
        <v>4195.2</v>
      </c>
      <c r="S6" s="19">
        <v>4244.8</v>
      </c>
      <c r="T6" s="19">
        <v>4509.5</v>
      </c>
      <c r="U6" s="19">
        <v>4769.5</v>
      </c>
      <c r="V6" s="19">
        <v>4741.5</v>
      </c>
      <c r="W6" s="19">
        <v>4900.2</v>
      </c>
      <c r="X6" s="19">
        <v>4672.3999999999996</v>
      </c>
      <c r="Y6" s="19">
        <v>5358.7</v>
      </c>
      <c r="Z6" s="19">
        <v>5297.6</v>
      </c>
      <c r="AA6" s="19">
        <v>5740.7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11641.7</v>
      </c>
      <c r="E7" s="23">
        <v>13480.3</v>
      </c>
      <c r="F7" s="23">
        <v>15633.5</v>
      </c>
      <c r="G7" s="23">
        <v>16381.5</v>
      </c>
      <c r="H7" s="23">
        <v>18690.2</v>
      </c>
      <c r="I7" s="23">
        <v>20250.3</v>
      </c>
      <c r="J7" s="23">
        <v>20785.900000000001</v>
      </c>
      <c r="K7" s="23">
        <v>23020</v>
      </c>
      <c r="L7" s="23">
        <v>23372.9</v>
      </c>
      <c r="M7" s="23">
        <v>19843.8</v>
      </c>
      <c r="N7" s="23">
        <v>21610.6</v>
      </c>
      <c r="O7" s="23">
        <v>22132.6</v>
      </c>
      <c r="P7" s="23">
        <v>21804.3</v>
      </c>
      <c r="Q7" s="23">
        <v>22117.9</v>
      </c>
      <c r="R7" s="23">
        <v>23553.7</v>
      </c>
      <c r="S7" s="23">
        <v>25777.9</v>
      </c>
      <c r="T7" s="23">
        <v>26141.200000000001</v>
      </c>
      <c r="U7" s="23">
        <v>27416.1</v>
      </c>
      <c r="V7" s="23">
        <v>28267.5</v>
      </c>
      <c r="W7" s="23">
        <v>29110.799999999999</v>
      </c>
      <c r="X7" s="23">
        <v>27150.9</v>
      </c>
      <c r="Y7" s="23">
        <v>28981.599999999999</v>
      </c>
      <c r="Z7" s="23">
        <v>31867</v>
      </c>
      <c r="AA7" s="23">
        <v>40018.6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2217.1</v>
      </c>
      <c r="E8" s="23">
        <v>2805.4</v>
      </c>
      <c r="F8" s="23">
        <v>3601.7</v>
      </c>
      <c r="G8" s="23">
        <v>3523.1</v>
      </c>
      <c r="H8" s="23">
        <v>3833</v>
      </c>
      <c r="I8" s="23">
        <v>4509.7</v>
      </c>
      <c r="J8" s="23">
        <v>4263</v>
      </c>
      <c r="K8" s="23">
        <v>4324.6000000000004</v>
      </c>
      <c r="L8" s="23">
        <v>4535.7</v>
      </c>
      <c r="M8" s="23">
        <v>3889.8</v>
      </c>
      <c r="N8" s="23">
        <v>3505.8</v>
      </c>
      <c r="O8" s="23">
        <v>3502.7</v>
      </c>
      <c r="P8" s="23">
        <v>3240.6</v>
      </c>
      <c r="Q8" s="23">
        <v>3492.2</v>
      </c>
      <c r="R8" s="23">
        <v>3761.1</v>
      </c>
      <c r="S8" s="23">
        <v>4006.2</v>
      </c>
      <c r="T8" s="23">
        <v>3530.2</v>
      </c>
      <c r="U8" s="23">
        <v>4591.5</v>
      </c>
      <c r="V8" s="23">
        <v>5836.2</v>
      </c>
      <c r="W8" s="23">
        <v>7192.7</v>
      </c>
      <c r="X8" s="23">
        <v>6698</v>
      </c>
      <c r="Y8" s="23">
        <v>8052.5</v>
      </c>
      <c r="Z8" s="23">
        <v>9203.2999999999993</v>
      </c>
      <c r="AA8" s="23">
        <v>10505.3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7673.6</v>
      </c>
      <c r="E9" s="23">
        <v>9305.2999999999993</v>
      </c>
      <c r="F9" s="23">
        <v>11225.6</v>
      </c>
      <c r="G9" s="23">
        <v>11078.5</v>
      </c>
      <c r="H9" s="23">
        <v>12442.5</v>
      </c>
      <c r="I9" s="23">
        <v>13578.3</v>
      </c>
      <c r="J9" s="23">
        <v>14207.5</v>
      </c>
      <c r="K9" s="23">
        <v>16256.1</v>
      </c>
      <c r="L9" s="23">
        <v>17311.2</v>
      </c>
      <c r="M9" s="23">
        <v>14195</v>
      </c>
      <c r="N9" s="23">
        <v>14901.8</v>
      </c>
      <c r="O9" s="23">
        <v>15552.4</v>
      </c>
      <c r="P9" s="23">
        <v>15014.5</v>
      </c>
      <c r="Q9" s="23">
        <v>15997.7</v>
      </c>
      <c r="R9" s="23">
        <v>16911.099999999999</v>
      </c>
      <c r="S9" s="23">
        <v>17594.2</v>
      </c>
      <c r="T9" s="23">
        <v>18235.900000000001</v>
      </c>
      <c r="U9" s="23">
        <v>19681.099999999999</v>
      </c>
      <c r="V9" s="23">
        <v>21415.7</v>
      </c>
      <c r="W9" s="23">
        <v>22758.7</v>
      </c>
      <c r="X9" s="23">
        <v>20895.5</v>
      </c>
      <c r="Y9" s="23">
        <v>23726.2</v>
      </c>
      <c r="Z9" s="23">
        <v>25610.799999999999</v>
      </c>
      <c r="AA9" s="23">
        <v>30456.400000000001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2213.1999999999998</v>
      </c>
      <c r="E10" s="23">
        <v>2520.4</v>
      </c>
      <c r="F10" s="23">
        <v>3155.5</v>
      </c>
      <c r="G10" s="23">
        <v>3420.3</v>
      </c>
      <c r="H10" s="23">
        <v>3627.8</v>
      </c>
      <c r="I10" s="23">
        <v>4035.7</v>
      </c>
      <c r="J10" s="23">
        <v>4126.3999999999996</v>
      </c>
      <c r="K10" s="23">
        <v>4719.1000000000004</v>
      </c>
      <c r="L10" s="23">
        <v>4960.2</v>
      </c>
      <c r="M10" s="23">
        <v>4504.5</v>
      </c>
      <c r="N10" s="23">
        <v>4505.8</v>
      </c>
      <c r="O10" s="23">
        <v>4581.1000000000004</v>
      </c>
      <c r="P10" s="23">
        <v>4468.3</v>
      </c>
      <c r="Q10" s="23">
        <v>4533.3</v>
      </c>
      <c r="R10" s="23">
        <v>4626.5</v>
      </c>
      <c r="S10" s="23">
        <v>4614.1000000000004</v>
      </c>
      <c r="T10" s="23">
        <v>4810.7</v>
      </c>
      <c r="U10" s="23">
        <v>5253</v>
      </c>
      <c r="V10" s="23">
        <v>5647.1</v>
      </c>
      <c r="W10" s="23">
        <v>6133.8</v>
      </c>
      <c r="X10" s="23">
        <v>6079.5</v>
      </c>
      <c r="Y10" s="23">
        <v>7002.3</v>
      </c>
      <c r="Z10" s="23">
        <v>7153.4</v>
      </c>
      <c r="AA10" s="23">
        <v>8839.7000000000007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1535.4</v>
      </c>
      <c r="E11" s="23">
        <v>1775.9</v>
      </c>
      <c r="F11" s="23">
        <v>2232.9</v>
      </c>
      <c r="G11" s="23">
        <v>2418.1999999999998</v>
      </c>
      <c r="H11" s="23">
        <v>2732.3</v>
      </c>
      <c r="I11" s="23">
        <v>3316</v>
      </c>
      <c r="J11" s="23">
        <v>3743.1</v>
      </c>
      <c r="K11" s="23">
        <v>3974.3</v>
      </c>
      <c r="L11" s="23">
        <v>4058.1</v>
      </c>
      <c r="M11" s="23">
        <v>3932.4</v>
      </c>
      <c r="N11" s="23">
        <v>4087.1</v>
      </c>
      <c r="O11" s="23">
        <v>4102.5</v>
      </c>
      <c r="P11" s="23">
        <v>3905.1</v>
      </c>
      <c r="Q11" s="23">
        <v>3614.2</v>
      </c>
      <c r="R11" s="23">
        <v>3636.7</v>
      </c>
      <c r="S11" s="23">
        <v>3560</v>
      </c>
      <c r="T11" s="23">
        <v>3604.4</v>
      </c>
      <c r="U11" s="23">
        <v>3975.1</v>
      </c>
      <c r="V11" s="23">
        <v>4267.3999999999996</v>
      </c>
      <c r="W11" s="23">
        <v>4918.8</v>
      </c>
      <c r="X11" s="23">
        <v>4788.8999999999996</v>
      </c>
      <c r="Y11" s="23">
        <v>5346.3</v>
      </c>
      <c r="Z11" s="23">
        <v>5718.1</v>
      </c>
      <c r="AA11" s="23">
        <v>6948.6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3764.9</v>
      </c>
      <c r="E12" s="23">
        <v>4349.2</v>
      </c>
      <c r="F12" s="23">
        <v>5047.1000000000004</v>
      </c>
      <c r="G12" s="23">
        <v>5276.3</v>
      </c>
      <c r="H12" s="23">
        <v>5615.7</v>
      </c>
      <c r="I12" s="23">
        <v>6186.2</v>
      </c>
      <c r="J12" s="23">
        <v>6282.5</v>
      </c>
      <c r="K12" s="23">
        <v>7105</v>
      </c>
      <c r="L12" s="23">
        <v>7652.6</v>
      </c>
      <c r="M12" s="23">
        <v>7170.9</v>
      </c>
      <c r="N12" s="23">
        <v>8180.9</v>
      </c>
      <c r="O12" s="23">
        <v>8145.1</v>
      </c>
      <c r="P12" s="23">
        <v>7678.1</v>
      </c>
      <c r="Q12" s="23">
        <v>7663.4</v>
      </c>
      <c r="R12" s="23">
        <v>7610.5</v>
      </c>
      <c r="S12" s="23">
        <v>7992.9</v>
      </c>
      <c r="T12" s="23">
        <v>8783.5</v>
      </c>
      <c r="U12" s="23">
        <v>9782</v>
      </c>
      <c r="V12" s="23">
        <v>10902.6</v>
      </c>
      <c r="W12" s="23">
        <v>12521.6</v>
      </c>
      <c r="X12" s="23">
        <v>12241.5</v>
      </c>
      <c r="Y12" s="23">
        <v>13811.7</v>
      </c>
      <c r="Z12" s="23">
        <v>16612.8</v>
      </c>
      <c r="AA12" s="23">
        <v>19545.599999999999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3074.5</v>
      </c>
      <c r="E13" s="23">
        <v>3968.8</v>
      </c>
      <c r="F13" s="23">
        <v>4924.6000000000004</v>
      </c>
      <c r="G13" s="23">
        <v>5202.8999999999996</v>
      </c>
      <c r="H13" s="23">
        <v>5722.6</v>
      </c>
      <c r="I13" s="23">
        <v>6400.1</v>
      </c>
      <c r="J13" s="23">
        <v>6678</v>
      </c>
      <c r="K13" s="23">
        <v>7141.1</v>
      </c>
      <c r="L13" s="23">
        <v>7990.8</v>
      </c>
      <c r="M13" s="23">
        <v>7110.4</v>
      </c>
      <c r="N13" s="23">
        <v>7553</v>
      </c>
      <c r="O13" s="23">
        <v>7816.5</v>
      </c>
      <c r="P13" s="23">
        <v>7513.4</v>
      </c>
      <c r="Q13" s="23">
        <v>7770.3</v>
      </c>
      <c r="R13" s="23">
        <v>7962.5</v>
      </c>
      <c r="S13" s="23">
        <v>8657.2999999999993</v>
      </c>
      <c r="T13" s="23">
        <v>9276.2000000000007</v>
      </c>
      <c r="U13" s="23">
        <v>10689.3</v>
      </c>
      <c r="V13" s="23">
        <v>11562.5</v>
      </c>
      <c r="W13" s="23">
        <v>12662.7</v>
      </c>
      <c r="X13" s="23">
        <v>11558.3</v>
      </c>
      <c r="Y13" s="23">
        <v>13416.9</v>
      </c>
      <c r="Z13" s="23">
        <v>14488.3</v>
      </c>
      <c r="AA13" s="23">
        <v>17631.599999999999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7669.3000000000029</v>
      </c>
      <c r="E14" s="23">
        <v>9033.6999999999971</v>
      </c>
      <c r="F14" s="23">
        <v>11307.699999999997</v>
      </c>
      <c r="G14" s="23">
        <v>12558.799999999996</v>
      </c>
      <c r="H14" s="23">
        <v>13356.900000000001</v>
      </c>
      <c r="I14" s="23">
        <v>14469.700000000019</v>
      </c>
      <c r="J14" s="23">
        <v>14312.600000000006</v>
      </c>
      <c r="K14" s="23">
        <v>15385.099999999991</v>
      </c>
      <c r="L14" s="23">
        <v>16344.999999999985</v>
      </c>
      <c r="M14" s="23">
        <v>14386.300000000003</v>
      </c>
      <c r="N14" s="23">
        <v>14684.800000000003</v>
      </c>
      <c r="O14" s="23">
        <v>14437.100000000006</v>
      </c>
      <c r="P14" s="23">
        <v>14262.299999999988</v>
      </c>
      <c r="Q14" s="23">
        <v>14653.899999999994</v>
      </c>
      <c r="R14" s="23">
        <v>15107.500000000015</v>
      </c>
      <c r="S14" s="23">
        <v>15972.799999999988</v>
      </c>
      <c r="T14" s="23">
        <v>17264.200000000012</v>
      </c>
      <c r="U14" s="23">
        <v>18605.199999999997</v>
      </c>
      <c r="V14" s="23">
        <v>19450.599999999991</v>
      </c>
      <c r="W14" s="23">
        <v>20737.199999999997</v>
      </c>
      <c r="X14" s="23">
        <v>20323.299999999988</v>
      </c>
      <c r="Y14" s="23">
        <v>22056.499999999985</v>
      </c>
      <c r="Z14" s="23">
        <v>23873.699999999997</v>
      </c>
      <c r="AA14" s="23">
        <v>27031.799999999988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1350.9</v>
      </c>
      <c r="E15" s="23">
        <v>1660.1</v>
      </c>
      <c r="F15" s="23">
        <v>2055.8000000000002</v>
      </c>
      <c r="G15" s="23">
        <v>1944.1</v>
      </c>
      <c r="H15" s="23">
        <v>2051.1999999999998</v>
      </c>
      <c r="I15" s="23">
        <v>2278.6999999999998</v>
      </c>
      <c r="J15" s="23">
        <v>2255.3000000000002</v>
      </c>
      <c r="K15" s="23">
        <v>2551.6</v>
      </c>
      <c r="L15" s="23">
        <v>2764.8</v>
      </c>
      <c r="M15" s="23">
        <v>2384.1999999999998</v>
      </c>
      <c r="N15" s="23">
        <v>2466</v>
      </c>
      <c r="O15" s="23">
        <v>2441.1999999999998</v>
      </c>
      <c r="P15" s="23">
        <v>2346.6</v>
      </c>
      <c r="Q15" s="23">
        <v>2460.1999999999998</v>
      </c>
      <c r="R15" s="23">
        <v>2495.5</v>
      </c>
      <c r="S15" s="23">
        <v>2674.3</v>
      </c>
      <c r="T15" s="23">
        <v>2802.5</v>
      </c>
      <c r="U15" s="23">
        <v>3164.9</v>
      </c>
      <c r="V15" s="23">
        <v>3338.8</v>
      </c>
      <c r="W15" s="23">
        <v>3666.5</v>
      </c>
      <c r="X15" s="23">
        <v>3028.6</v>
      </c>
      <c r="Y15" s="23">
        <v>3543.6</v>
      </c>
      <c r="Z15" s="23">
        <v>3934</v>
      </c>
      <c r="AA15" s="23">
        <v>4640.5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43739.4</v>
      </c>
      <c r="E16" s="30">
        <f t="shared" ref="E16:Y16" si="0">SUM(E6:E15)</f>
        <v>51920.2</v>
      </c>
      <c r="F16" s="30">
        <f t="shared" si="0"/>
        <v>62321.3</v>
      </c>
      <c r="G16" s="30">
        <f t="shared" si="0"/>
        <v>64746.9</v>
      </c>
      <c r="H16" s="30">
        <f t="shared" si="0"/>
        <v>71723.199999999997</v>
      </c>
      <c r="I16" s="30">
        <f t="shared" si="0"/>
        <v>78414.600000000006</v>
      </c>
      <c r="J16" s="30">
        <f t="shared" si="0"/>
        <v>79911.3</v>
      </c>
      <c r="K16" s="30">
        <f t="shared" si="0"/>
        <v>88047.4</v>
      </c>
      <c r="L16" s="30">
        <f t="shared" si="0"/>
        <v>92757.4</v>
      </c>
      <c r="M16" s="30">
        <f t="shared" si="0"/>
        <v>80245.3</v>
      </c>
      <c r="N16" s="30">
        <f t="shared" si="0"/>
        <v>84489.8</v>
      </c>
      <c r="O16" s="30">
        <f t="shared" si="0"/>
        <v>86763.199999999997</v>
      </c>
      <c r="P16" s="30">
        <f t="shared" si="0"/>
        <v>84120.9</v>
      </c>
      <c r="Q16" s="30">
        <f t="shared" si="0"/>
        <v>86312.4</v>
      </c>
      <c r="R16" s="30">
        <f t="shared" si="0"/>
        <v>89860.3</v>
      </c>
      <c r="S16" s="30">
        <f t="shared" si="0"/>
        <v>95094.5</v>
      </c>
      <c r="T16" s="30">
        <f t="shared" si="0"/>
        <v>98958.3</v>
      </c>
      <c r="U16" s="30">
        <f t="shared" si="0"/>
        <v>107927.7</v>
      </c>
      <c r="V16" s="30">
        <f t="shared" si="0"/>
        <v>115429.9</v>
      </c>
      <c r="W16" s="30">
        <f t="shared" si="0"/>
        <v>124603</v>
      </c>
      <c r="X16" s="30">
        <f t="shared" si="0"/>
        <v>117436.9</v>
      </c>
      <c r="Y16" s="30">
        <f t="shared" si="0"/>
        <v>131296.29999999999</v>
      </c>
      <c r="Z16" s="30">
        <f t="shared" ref="Z16:AA16" si="1">SUM(Z6:Z15)</f>
        <v>143759</v>
      </c>
      <c r="AA16" s="30">
        <f t="shared" si="1"/>
        <v>171358.8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2598.8000000000002</v>
      </c>
      <c r="E18" s="19">
        <v>3021.1</v>
      </c>
      <c r="F18" s="19">
        <v>3136.9</v>
      </c>
      <c r="G18" s="19">
        <v>2943.2</v>
      </c>
      <c r="H18" s="19">
        <v>3651</v>
      </c>
      <c r="I18" s="19">
        <v>3389.9</v>
      </c>
      <c r="J18" s="19">
        <v>3257</v>
      </c>
      <c r="K18" s="19">
        <v>3570.5</v>
      </c>
      <c r="L18" s="19">
        <v>3766.1</v>
      </c>
      <c r="M18" s="19">
        <v>2828</v>
      </c>
      <c r="N18" s="19">
        <v>2994</v>
      </c>
      <c r="O18" s="19">
        <v>4052</v>
      </c>
      <c r="P18" s="19">
        <v>3887.7</v>
      </c>
      <c r="Q18" s="19">
        <v>4009.3</v>
      </c>
      <c r="R18" s="19">
        <v>4195.2</v>
      </c>
      <c r="S18" s="19">
        <v>4244.8</v>
      </c>
      <c r="T18" s="19">
        <v>4509.5</v>
      </c>
      <c r="U18" s="19">
        <v>4769.5</v>
      </c>
      <c r="V18" s="19">
        <v>4741.5</v>
      </c>
      <c r="W18" s="19">
        <v>4900.2</v>
      </c>
      <c r="X18" s="19">
        <v>4672.3999999999996</v>
      </c>
      <c r="Y18" s="19">
        <v>5358.7</v>
      </c>
      <c r="Z18" s="19">
        <v>5297.6</v>
      </c>
      <c r="AA18" s="19">
        <v>5740.7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110.90000000000002</v>
      </c>
      <c r="E19" s="23">
        <v>116.89407711404965</v>
      </c>
      <c r="F19" s="23">
        <v>148.70000000000005</v>
      </c>
      <c r="G19" s="23">
        <v>150.29365340765142</v>
      </c>
      <c r="H19" s="23">
        <v>160.30574531378807</v>
      </c>
      <c r="I19" s="23">
        <v>187.7999999999999</v>
      </c>
      <c r="J19" s="23">
        <v>192.49272734141849</v>
      </c>
      <c r="K19" s="23">
        <v>169.69999999999993</v>
      </c>
      <c r="L19" s="23">
        <v>224.60000000000008</v>
      </c>
      <c r="M19" s="23">
        <v>204.59999999999997</v>
      </c>
      <c r="N19" s="23">
        <v>181.1</v>
      </c>
      <c r="O19" s="23">
        <v>208.29999999999984</v>
      </c>
      <c r="P19" s="23">
        <v>212.79999999999995</v>
      </c>
      <c r="Q19" s="23">
        <v>193.20000000000002</v>
      </c>
      <c r="R19" s="23">
        <v>180.10000000000005</v>
      </c>
      <c r="S19" s="23">
        <v>152.70000000000005</v>
      </c>
      <c r="T19" s="23">
        <v>143.00000000000006</v>
      </c>
      <c r="U19" s="23">
        <v>210.29999999999995</v>
      </c>
      <c r="V19" s="23">
        <v>323.68966804979266</v>
      </c>
      <c r="W19" s="23">
        <v>452.00000000000011</v>
      </c>
      <c r="X19" s="23">
        <v>299.00000000000017</v>
      </c>
      <c r="Y19" s="23">
        <v>443.30000000000007</v>
      </c>
      <c r="Z19" s="23">
        <v>735.77840328734987</v>
      </c>
      <c r="AA19" s="23">
        <v>626.09999999999991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9789.6</v>
      </c>
      <c r="E20" s="23">
        <v>11506.7</v>
      </c>
      <c r="F20" s="23">
        <v>13315.8</v>
      </c>
      <c r="G20" s="23">
        <v>14013.4</v>
      </c>
      <c r="H20" s="23">
        <v>15900</v>
      </c>
      <c r="I20" s="23">
        <v>17321.2</v>
      </c>
      <c r="J20" s="23">
        <v>18139.099999999999</v>
      </c>
      <c r="K20" s="23">
        <v>19513.900000000001</v>
      </c>
      <c r="L20" s="23">
        <v>19786.5</v>
      </c>
      <c r="M20" s="23">
        <v>16204.1</v>
      </c>
      <c r="N20" s="23">
        <v>18056.099999999999</v>
      </c>
      <c r="O20" s="23">
        <v>18826.2</v>
      </c>
      <c r="P20" s="23">
        <v>18490</v>
      </c>
      <c r="Q20" s="23">
        <v>19120.900000000001</v>
      </c>
      <c r="R20" s="23">
        <v>20654</v>
      </c>
      <c r="S20" s="23">
        <v>22805.200000000001</v>
      </c>
      <c r="T20" s="23">
        <v>22802.799999999999</v>
      </c>
      <c r="U20" s="23">
        <v>24303.8</v>
      </c>
      <c r="V20" s="23">
        <v>25134.6</v>
      </c>
      <c r="W20" s="23">
        <v>25534.1</v>
      </c>
      <c r="X20" s="23">
        <v>24003</v>
      </c>
      <c r="Y20" s="23">
        <v>25611.599999999999</v>
      </c>
      <c r="Z20" s="23">
        <v>28460.1</v>
      </c>
      <c r="AA20" s="23">
        <v>34179.5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1302.4000000000003</v>
      </c>
      <c r="E21" s="23">
        <v>1351.131539747681</v>
      </c>
      <c r="F21" s="23">
        <v>1558.1000000000004</v>
      </c>
      <c r="G21" s="23">
        <v>1584.2331010894354</v>
      </c>
      <c r="H21" s="23">
        <v>1890.6677610121503</v>
      </c>
      <c r="I21" s="23">
        <v>1885.4999999999986</v>
      </c>
      <c r="J21" s="23">
        <v>1589.1399599531544</v>
      </c>
      <c r="K21" s="23">
        <v>2377.2999999999993</v>
      </c>
      <c r="L21" s="23">
        <v>2340.3000000000011</v>
      </c>
      <c r="M21" s="23">
        <v>2481.0999999999995</v>
      </c>
      <c r="N21" s="23">
        <v>2339.8000000000002</v>
      </c>
      <c r="O21" s="23">
        <v>2051.8999999999983</v>
      </c>
      <c r="P21" s="23">
        <v>2130.2999999999997</v>
      </c>
      <c r="Q21" s="23">
        <v>1880.5</v>
      </c>
      <c r="R21" s="23">
        <v>1878.0000000000007</v>
      </c>
      <c r="S21" s="23">
        <v>1924.3000000000006</v>
      </c>
      <c r="T21" s="23">
        <v>2223.900000000001</v>
      </c>
      <c r="U21" s="23">
        <v>1881.6999999999994</v>
      </c>
      <c r="V21" s="23">
        <v>1828.4416374082359</v>
      </c>
      <c r="W21" s="23">
        <v>2113.5000000000005</v>
      </c>
      <c r="X21" s="23">
        <v>1922.100000000001</v>
      </c>
      <c r="Y21" s="23">
        <v>1916.5999999999997</v>
      </c>
      <c r="Z21" s="23">
        <v>1762.64826240094</v>
      </c>
      <c r="AA21" s="23">
        <v>4256.8999999999978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438.80000000000007</v>
      </c>
      <c r="E22" s="23">
        <v>505.57438313826782</v>
      </c>
      <c r="F22" s="23">
        <v>610.90000000000032</v>
      </c>
      <c r="G22" s="23">
        <v>633.57324550291378</v>
      </c>
      <c r="H22" s="23">
        <v>739.22649367406211</v>
      </c>
      <c r="I22" s="23">
        <v>855.7999999999995</v>
      </c>
      <c r="J22" s="23">
        <v>865.16731270543005</v>
      </c>
      <c r="K22" s="23">
        <v>959.09999999999957</v>
      </c>
      <c r="L22" s="23">
        <v>1021.5000000000005</v>
      </c>
      <c r="M22" s="23">
        <v>953.99999999999977</v>
      </c>
      <c r="N22" s="23">
        <v>1033.5999999999999</v>
      </c>
      <c r="O22" s="23">
        <v>1046.1999999999994</v>
      </c>
      <c r="P22" s="23">
        <v>971.1999999999997</v>
      </c>
      <c r="Q22" s="23">
        <v>923.3</v>
      </c>
      <c r="R22" s="23">
        <v>841.60000000000025</v>
      </c>
      <c r="S22" s="23">
        <v>895.70000000000039</v>
      </c>
      <c r="T22" s="23">
        <v>971.50000000000045</v>
      </c>
      <c r="U22" s="23">
        <v>1020.2999999999997</v>
      </c>
      <c r="V22" s="23">
        <v>980.76869454197299</v>
      </c>
      <c r="W22" s="23">
        <v>1011.2000000000003</v>
      </c>
      <c r="X22" s="23">
        <v>926.80000000000041</v>
      </c>
      <c r="Y22" s="23">
        <v>1010.1</v>
      </c>
      <c r="Z22" s="23">
        <v>908.4733343117116</v>
      </c>
      <c r="AA22" s="23">
        <v>956.09999999999968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2217.1</v>
      </c>
      <c r="E23" s="23">
        <v>2805.4</v>
      </c>
      <c r="F23" s="23">
        <v>3601.7</v>
      </c>
      <c r="G23" s="23">
        <v>3523.1</v>
      </c>
      <c r="H23" s="23">
        <v>3833</v>
      </c>
      <c r="I23" s="23">
        <v>4509.7</v>
      </c>
      <c r="J23" s="23">
        <v>4263</v>
      </c>
      <c r="K23" s="23">
        <v>4324.6000000000004</v>
      </c>
      <c r="L23" s="23">
        <v>4535.7</v>
      </c>
      <c r="M23" s="23">
        <v>3889.8</v>
      </c>
      <c r="N23" s="23">
        <v>3505.8</v>
      </c>
      <c r="O23" s="23">
        <v>3502.7</v>
      </c>
      <c r="P23" s="23">
        <v>3240.6</v>
      </c>
      <c r="Q23" s="23">
        <v>3492.2</v>
      </c>
      <c r="R23" s="23">
        <v>3761.1</v>
      </c>
      <c r="S23" s="23">
        <v>4006.2</v>
      </c>
      <c r="T23" s="23">
        <v>3530.2</v>
      </c>
      <c r="U23" s="23">
        <v>4591.5</v>
      </c>
      <c r="V23" s="23">
        <v>5836.2</v>
      </c>
      <c r="W23" s="23">
        <v>7192.7</v>
      </c>
      <c r="X23" s="23">
        <v>6698</v>
      </c>
      <c r="Y23" s="23">
        <v>8052.5</v>
      </c>
      <c r="Z23" s="23">
        <v>9203.2999999999993</v>
      </c>
      <c r="AA23" s="23">
        <v>10505.3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4265</v>
      </c>
      <c r="E24" s="23">
        <v>5287.7999999999993</v>
      </c>
      <c r="F24" s="23">
        <v>6497.3</v>
      </c>
      <c r="G24" s="23">
        <v>6421.6</v>
      </c>
      <c r="H24" s="23">
        <v>7194.4</v>
      </c>
      <c r="I24" s="23">
        <v>7908.5</v>
      </c>
      <c r="J24" s="23">
        <v>8328.9</v>
      </c>
      <c r="K24" s="23">
        <v>9334.6</v>
      </c>
      <c r="L24" s="23">
        <v>10305.300000000001</v>
      </c>
      <c r="M24" s="23">
        <v>7994.6</v>
      </c>
      <c r="N24" s="23">
        <v>8316.7999999999993</v>
      </c>
      <c r="O24" s="23">
        <v>8678.7000000000007</v>
      </c>
      <c r="P24" s="23">
        <v>8305.5999999999985</v>
      </c>
      <c r="Q24" s="23">
        <v>9084.6</v>
      </c>
      <c r="R24" s="23">
        <v>9551.5999999999985</v>
      </c>
      <c r="S24" s="23">
        <v>9865.4000000000015</v>
      </c>
      <c r="T24" s="23">
        <v>10092.000000000002</v>
      </c>
      <c r="U24" s="23">
        <v>11078.399999999998</v>
      </c>
      <c r="V24" s="23">
        <v>12224.900000000001</v>
      </c>
      <c r="W24" s="23">
        <v>12697.3</v>
      </c>
      <c r="X24" s="23">
        <v>12649.199999999999</v>
      </c>
      <c r="Y24" s="23">
        <v>14717.3</v>
      </c>
      <c r="Z24" s="23">
        <v>14718.5</v>
      </c>
      <c r="AA24" s="23">
        <v>17669.7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2491.9</v>
      </c>
      <c r="E25" s="23">
        <v>2969</v>
      </c>
      <c r="F25" s="23">
        <v>3416.3</v>
      </c>
      <c r="G25" s="23">
        <v>3319.3</v>
      </c>
      <c r="H25" s="23">
        <v>3750.9</v>
      </c>
      <c r="I25" s="23">
        <v>4106.2</v>
      </c>
      <c r="J25" s="23">
        <v>4343.1000000000004</v>
      </c>
      <c r="K25" s="23">
        <v>5117.3</v>
      </c>
      <c r="L25" s="23">
        <v>5215.8999999999996</v>
      </c>
      <c r="M25" s="23">
        <v>4641.5</v>
      </c>
      <c r="N25" s="23">
        <v>5081.3</v>
      </c>
      <c r="O25" s="23">
        <v>5438.2</v>
      </c>
      <c r="P25" s="23">
        <v>5402.1</v>
      </c>
      <c r="Q25" s="23">
        <v>5631.7</v>
      </c>
      <c r="R25" s="23">
        <v>5874.9</v>
      </c>
      <c r="S25" s="23">
        <v>6165.7</v>
      </c>
      <c r="T25" s="23">
        <v>6526.3</v>
      </c>
      <c r="U25" s="23">
        <v>6653</v>
      </c>
      <c r="V25" s="23">
        <v>6993.2</v>
      </c>
      <c r="W25" s="23">
        <v>7598.1</v>
      </c>
      <c r="X25" s="23">
        <v>6764.1</v>
      </c>
      <c r="Y25" s="23">
        <v>6877.1</v>
      </c>
      <c r="Z25" s="23">
        <v>8000.7</v>
      </c>
      <c r="AA25" s="23">
        <v>8978.4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916.7</v>
      </c>
      <c r="E26" s="23">
        <v>1048.5</v>
      </c>
      <c r="F26" s="23">
        <v>1312</v>
      </c>
      <c r="G26" s="23">
        <v>1337.6</v>
      </c>
      <c r="H26" s="23">
        <v>1497.2</v>
      </c>
      <c r="I26" s="23">
        <v>1563.6</v>
      </c>
      <c r="J26" s="23">
        <v>1535.5</v>
      </c>
      <c r="K26" s="23">
        <v>1804.2</v>
      </c>
      <c r="L26" s="23">
        <v>1790</v>
      </c>
      <c r="M26" s="23">
        <v>1558.9</v>
      </c>
      <c r="N26" s="23">
        <v>1503.7</v>
      </c>
      <c r="O26" s="23">
        <v>1435.5</v>
      </c>
      <c r="P26" s="23">
        <v>1306.8</v>
      </c>
      <c r="Q26" s="23">
        <v>1281.4000000000001</v>
      </c>
      <c r="R26" s="23">
        <v>1484.6</v>
      </c>
      <c r="S26" s="23">
        <v>1563.1</v>
      </c>
      <c r="T26" s="23">
        <v>1617.6</v>
      </c>
      <c r="U26" s="23">
        <v>1949.7</v>
      </c>
      <c r="V26" s="23">
        <v>2197.6</v>
      </c>
      <c r="W26" s="23">
        <v>2463.3000000000002</v>
      </c>
      <c r="X26" s="23">
        <v>1482.2</v>
      </c>
      <c r="Y26" s="23">
        <v>2131.8000000000002</v>
      </c>
      <c r="Z26" s="23">
        <v>2891.6</v>
      </c>
      <c r="AA26" s="23">
        <v>3808.3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2213.1999999999998</v>
      </c>
      <c r="E27" s="23">
        <v>2520.4</v>
      </c>
      <c r="F27" s="23">
        <v>3155.5</v>
      </c>
      <c r="G27" s="23">
        <v>3420.3</v>
      </c>
      <c r="H27" s="23">
        <v>3627.8</v>
      </c>
      <c r="I27" s="23">
        <v>4035.7</v>
      </c>
      <c r="J27" s="23">
        <v>4126.3999999999996</v>
      </c>
      <c r="K27" s="23">
        <v>4719.1000000000004</v>
      </c>
      <c r="L27" s="23">
        <v>4960.2</v>
      </c>
      <c r="M27" s="23">
        <v>4504.5</v>
      </c>
      <c r="N27" s="23">
        <v>4505.8</v>
      </c>
      <c r="O27" s="23">
        <v>4581.1000000000004</v>
      </c>
      <c r="P27" s="23">
        <v>4468.3</v>
      </c>
      <c r="Q27" s="23">
        <v>4533.3</v>
      </c>
      <c r="R27" s="23">
        <v>4626.5</v>
      </c>
      <c r="S27" s="23">
        <v>4614.1000000000004</v>
      </c>
      <c r="T27" s="23">
        <v>4810.7</v>
      </c>
      <c r="U27" s="23">
        <v>5253</v>
      </c>
      <c r="V27" s="23">
        <v>5647.1</v>
      </c>
      <c r="W27" s="23">
        <v>6133.8</v>
      </c>
      <c r="X27" s="23">
        <v>6079.5</v>
      </c>
      <c r="Y27" s="23">
        <v>7002.3</v>
      </c>
      <c r="Z27" s="23">
        <v>7153.4</v>
      </c>
      <c r="AA27" s="23">
        <v>8839.7000000000007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1535.4</v>
      </c>
      <c r="E28" s="23">
        <v>1775.9</v>
      </c>
      <c r="F28" s="23">
        <v>2232.9</v>
      </c>
      <c r="G28" s="23">
        <v>2418.1999999999998</v>
      </c>
      <c r="H28" s="23">
        <v>2732.3</v>
      </c>
      <c r="I28" s="23">
        <v>3316</v>
      </c>
      <c r="J28" s="23">
        <v>3743.1</v>
      </c>
      <c r="K28" s="23">
        <v>3974.3</v>
      </c>
      <c r="L28" s="23">
        <v>4058.1</v>
      </c>
      <c r="M28" s="23">
        <v>3932.4</v>
      </c>
      <c r="N28" s="23">
        <v>4087.1</v>
      </c>
      <c r="O28" s="23">
        <v>4102.5</v>
      </c>
      <c r="P28" s="23">
        <v>3905.1</v>
      </c>
      <c r="Q28" s="23">
        <v>3614.2</v>
      </c>
      <c r="R28" s="23">
        <v>3636.7</v>
      </c>
      <c r="S28" s="23">
        <v>3560</v>
      </c>
      <c r="T28" s="23">
        <v>3604.4</v>
      </c>
      <c r="U28" s="23">
        <v>3975.1</v>
      </c>
      <c r="V28" s="23">
        <v>4267.3999999999996</v>
      </c>
      <c r="W28" s="23">
        <v>4918.8</v>
      </c>
      <c r="X28" s="23">
        <v>4788.8999999999996</v>
      </c>
      <c r="Y28" s="23">
        <v>5346.3</v>
      </c>
      <c r="Z28" s="23">
        <v>5718.1</v>
      </c>
      <c r="AA28" s="23">
        <v>6948.6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3764.9</v>
      </c>
      <c r="E29" s="23">
        <v>4349.2</v>
      </c>
      <c r="F29" s="23">
        <v>5047.1000000000004</v>
      </c>
      <c r="G29" s="23">
        <v>5276.3</v>
      </c>
      <c r="H29" s="23">
        <v>5615.7</v>
      </c>
      <c r="I29" s="23">
        <v>6186.2</v>
      </c>
      <c r="J29" s="23">
        <v>6282.5</v>
      </c>
      <c r="K29" s="23">
        <v>7105</v>
      </c>
      <c r="L29" s="23">
        <v>7652.6</v>
      </c>
      <c r="M29" s="23">
        <v>7170.9</v>
      </c>
      <c r="N29" s="23">
        <v>8180.9</v>
      </c>
      <c r="O29" s="23">
        <v>8145.1</v>
      </c>
      <c r="P29" s="23">
        <v>7678.1</v>
      </c>
      <c r="Q29" s="23">
        <v>7663.4</v>
      </c>
      <c r="R29" s="23">
        <v>7610.5</v>
      </c>
      <c r="S29" s="23">
        <v>7992.9</v>
      </c>
      <c r="T29" s="23">
        <v>8783.5</v>
      </c>
      <c r="U29" s="23">
        <v>9782</v>
      </c>
      <c r="V29" s="23">
        <v>10902.6</v>
      </c>
      <c r="W29" s="23">
        <v>12521.6</v>
      </c>
      <c r="X29" s="23">
        <v>12241.5</v>
      </c>
      <c r="Y29" s="23">
        <v>13811.7</v>
      </c>
      <c r="Z29" s="23">
        <v>16612.8</v>
      </c>
      <c r="AA29" s="23">
        <v>19545.599999999999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1937.3</v>
      </c>
      <c r="E30" s="23">
        <v>2543.2000000000003</v>
      </c>
      <c r="F30" s="23">
        <v>3107.0000000000005</v>
      </c>
      <c r="G30" s="23">
        <v>3276.8999999999996</v>
      </c>
      <c r="H30" s="23">
        <v>3560.5000000000005</v>
      </c>
      <c r="I30" s="23">
        <v>3943.1000000000004</v>
      </c>
      <c r="J30" s="23">
        <v>4151.8999999999996</v>
      </c>
      <c r="K30" s="23">
        <v>4411.6000000000004</v>
      </c>
      <c r="L30" s="23">
        <v>4999.8999999999996</v>
      </c>
      <c r="M30" s="23">
        <v>4449.2999999999993</v>
      </c>
      <c r="N30" s="23">
        <v>4835.3999999999996</v>
      </c>
      <c r="O30" s="23">
        <v>4868.2</v>
      </c>
      <c r="P30" s="23">
        <v>4680.5</v>
      </c>
      <c r="Q30" s="23">
        <v>4873.6000000000004</v>
      </c>
      <c r="R30" s="23">
        <v>4960.5</v>
      </c>
      <c r="S30" s="23">
        <v>5394.9999999999991</v>
      </c>
      <c r="T30" s="23">
        <v>5786.6</v>
      </c>
      <c r="U30" s="23">
        <v>6504.1999999999989</v>
      </c>
      <c r="V30" s="23">
        <v>7114.5</v>
      </c>
      <c r="W30" s="23">
        <v>7810.8000000000011</v>
      </c>
      <c r="X30" s="23">
        <v>7568.9999999999991</v>
      </c>
      <c r="Y30" s="23">
        <v>8507.7999999999993</v>
      </c>
      <c r="Z30" s="23">
        <v>8915.2999999999993</v>
      </c>
      <c r="AA30" s="23">
        <v>10596.899999999998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1137.2</v>
      </c>
      <c r="E31" s="23">
        <v>1425.6</v>
      </c>
      <c r="F31" s="23">
        <v>1817.6</v>
      </c>
      <c r="G31" s="23">
        <v>1926</v>
      </c>
      <c r="H31" s="23">
        <v>2162.1</v>
      </c>
      <c r="I31" s="23">
        <v>2457</v>
      </c>
      <c r="J31" s="23">
        <v>2526.1</v>
      </c>
      <c r="K31" s="23">
        <v>2729.5</v>
      </c>
      <c r="L31" s="23">
        <v>2990.9</v>
      </c>
      <c r="M31" s="23">
        <v>2661.1</v>
      </c>
      <c r="N31" s="23">
        <v>2717.6</v>
      </c>
      <c r="O31" s="23">
        <v>2948.3</v>
      </c>
      <c r="P31" s="23">
        <v>2832.9</v>
      </c>
      <c r="Q31" s="23">
        <v>2896.7</v>
      </c>
      <c r="R31" s="23">
        <v>3002</v>
      </c>
      <c r="S31" s="23">
        <v>3262.3</v>
      </c>
      <c r="T31" s="23">
        <v>3489.6</v>
      </c>
      <c r="U31" s="23">
        <v>4185.1000000000004</v>
      </c>
      <c r="V31" s="23">
        <v>4448</v>
      </c>
      <c r="W31" s="23">
        <v>4851.8999999999996</v>
      </c>
      <c r="X31" s="23">
        <v>3989.3</v>
      </c>
      <c r="Y31" s="23">
        <v>4909.1000000000004</v>
      </c>
      <c r="Z31" s="23">
        <v>5573</v>
      </c>
      <c r="AA31" s="23">
        <v>7034.7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3753.6000000000031</v>
      </c>
      <c r="E32" s="23">
        <v>4474.1999999999971</v>
      </c>
      <c r="F32" s="23">
        <v>5506.0999999999967</v>
      </c>
      <c r="G32" s="23">
        <v>5787.899999999996</v>
      </c>
      <c r="H32" s="23">
        <v>6218.9000000000015</v>
      </c>
      <c r="I32" s="23">
        <v>6687.1000000000186</v>
      </c>
      <c r="J32" s="23">
        <v>6741.5000000000064</v>
      </c>
      <c r="K32" s="23">
        <v>7432.6999999999916</v>
      </c>
      <c r="L32" s="23">
        <v>8041.4999999999854</v>
      </c>
      <c r="M32" s="23">
        <v>7164.9000000000033</v>
      </c>
      <c r="N32" s="23">
        <v>7380.1000000000022</v>
      </c>
      <c r="O32" s="23">
        <v>7189.5000000000055</v>
      </c>
      <c r="P32" s="23">
        <v>6812.9999999999891</v>
      </c>
      <c r="Q32" s="23">
        <v>7243.1999999999935</v>
      </c>
      <c r="R32" s="23">
        <v>7230.2000000000153</v>
      </c>
      <c r="S32" s="23">
        <v>7613.2999999999884</v>
      </c>
      <c r="T32" s="23">
        <v>8217.7000000000116</v>
      </c>
      <c r="U32" s="23">
        <v>8816.4999999999964</v>
      </c>
      <c r="V32" s="23">
        <v>9079.9999999999909</v>
      </c>
      <c r="W32" s="23">
        <v>9733.3999999999978</v>
      </c>
      <c r="X32" s="23">
        <v>9408.9999999999891</v>
      </c>
      <c r="Y32" s="23">
        <v>10005.599999999986</v>
      </c>
      <c r="Z32" s="23">
        <v>11289.799999999996</v>
      </c>
      <c r="AA32" s="23">
        <v>12276.299999999988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2117.4</v>
      </c>
      <c r="E33" s="23">
        <v>2501.6999999999998</v>
      </c>
      <c r="F33" s="23">
        <v>3183.3</v>
      </c>
      <c r="G33" s="23">
        <v>3705.1</v>
      </c>
      <c r="H33" s="23">
        <v>3854.1</v>
      </c>
      <c r="I33" s="23">
        <v>4225.6000000000004</v>
      </c>
      <c r="J33" s="23">
        <v>4147.8999999999996</v>
      </c>
      <c r="K33" s="23">
        <v>4335.5</v>
      </c>
      <c r="L33" s="23">
        <v>4518.6000000000004</v>
      </c>
      <c r="M33" s="23">
        <v>3885.1</v>
      </c>
      <c r="N33" s="23">
        <v>3943.8</v>
      </c>
      <c r="O33" s="23">
        <v>3813.8</v>
      </c>
      <c r="P33" s="23">
        <v>3745.1</v>
      </c>
      <c r="Q33" s="23">
        <v>3505.3</v>
      </c>
      <c r="R33" s="23">
        <v>3983.7</v>
      </c>
      <c r="S33" s="23">
        <v>4318.3</v>
      </c>
      <c r="T33" s="23">
        <v>4680.7</v>
      </c>
      <c r="U33" s="23">
        <v>4935.2</v>
      </c>
      <c r="V33" s="23">
        <v>5139.1000000000004</v>
      </c>
      <c r="W33" s="23">
        <v>5460.7</v>
      </c>
      <c r="X33" s="23">
        <v>5266.9</v>
      </c>
      <c r="Y33" s="23">
        <v>5579</v>
      </c>
      <c r="Z33" s="23">
        <v>6111.8</v>
      </c>
      <c r="AA33" s="23">
        <v>7281.9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1798.3</v>
      </c>
      <c r="E34" s="23">
        <v>2057.8000000000002</v>
      </c>
      <c r="F34" s="23">
        <v>2618.3000000000002</v>
      </c>
      <c r="G34" s="23">
        <v>3065.8</v>
      </c>
      <c r="H34" s="23">
        <v>3283.9</v>
      </c>
      <c r="I34" s="23">
        <v>3557</v>
      </c>
      <c r="J34" s="23">
        <v>3423.2</v>
      </c>
      <c r="K34" s="23">
        <v>3616.9</v>
      </c>
      <c r="L34" s="23">
        <v>3784.9</v>
      </c>
      <c r="M34" s="23">
        <v>3336.3</v>
      </c>
      <c r="N34" s="23">
        <v>3360.9</v>
      </c>
      <c r="O34" s="23">
        <v>3433.8</v>
      </c>
      <c r="P34" s="23">
        <v>3704.2</v>
      </c>
      <c r="Q34" s="23">
        <v>3905.4</v>
      </c>
      <c r="R34" s="23">
        <v>3893.6</v>
      </c>
      <c r="S34" s="23">
        <v>4041.2</v>
      </c>
      <c r="T34" s="23">
        <v>4365.8</v>
      </c>
      <c r="U34" s="23">
        <v>4853.5</v>
      </c>
      <c r="V34" s="23">
        <v>5231.5</v>
      </c>
      <c r="W34" s="23">
        <v>5543.1</v>
      </c>
      <c r="X34" s="23">
        <v>5647.4</v>
      </c>
      <c r="Y34" s="23">
        <v>6471.9</v>
      </c>
      <c r="Z34" s="23">
        <v>6472.1</v>
      </c>
      <c r="AA34" s="23">
        <v>7473.6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547.80000000000018</v>
      </c>
      <c r="E35" s="23">
        <v>688.3</v>
      </c>
      <c r="F35" s="23">
        <v>937.70000000000027</v>
      </c>
      <c r="G35" s="23">
        <v>828</v>
      </c>
      <c r="H35" s="23">
        <v>836.89999999999986</v>
      </c>
      <c r="I35" s="23">
        <v>929.09999999999968</v>
      </c>
      <c r="J35" s="23">
        <v>911.70000000000027</v>
      </c>
      <c r="K35" s="23">
        <v>1025.7</v>
      </c>
      <c r="L35" s="23">
        <v>1127.4000000000003</v>
      </c>
      <c r="M35" s="23">
        <v>882.59999999999968</v>
      </c>
      <c r="N35" s="23">
        <v>1008.3</v>
      </c>
      <c r="O35" s="23">
        <v>997.59999999999968</v>
      </c>
      <c r="P35" s="23">
        <v>952.99999999999977</v>
      </c>
      <c r="Q35" s="23">
        <v>1026.8</v>
      </c>
      <c r="R35" s="23">
        <v>1078</v>
      </c>
      <c r="S35" s="23">
        <v>1191.2000000000003</v>
      </c>
      <c r="T35" s="23">
        <v>1281.3000000000002</v>
      </c>
      <c r="U35" s="23">
        <v>1561.9</v>
      </c>
      <c r="V35" s="23">
        <v>1669.2000000000003</v>
      </c>
      <c r="W35" s="23">
        <v>1823.4</v>
      </c>
      <c r="X35" s="23">
        <v>1559.1999999999998</v>
      </c>
      <c r="Y35" s="23">
        <v>1905.1999999999998</v>
      </c>
      <c r="Z35" s="23">
        <v>2139.3000000000002</v>
      </c>
      <c r="AA35" s="23">
        <v>2552.4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794.3</v>
      </c>
      <c r="E36" s="23">
        <v>960.3</v>
      </c>
      <c r="F36" s="23">
        <v>1104.0999999999999</v>
      </c>
      <c r="G36" s="23">
        <v>1102.8</v>
      </c>
      <c r="H36" s="23">
        <v>1200.8</v>
      </c>
      <c r="I36" s="23">
        <v>1336.7</v>
      </c>
      <c r="J36" s="23">
        <v>1329</v>
      </c>
      <c r="K36" s="23">
        <v>1511.8</v>
      </c>
      <c r="L36" s="23">
        <v>1625.1</v>
      </c>
      <c r="M36" s="23">
        <v>1493.4</v>
      </c>
      <c r="N36" s="23">
        <v>1444.9</v>
      </c>
      <c r="O36" s="23">
        <v>1430.7</v>
      </c>
      <c r="P36" s="23">
        <v>1380.4</v>
      </c>
      <c r="Q36" s="23">
        <v>1420.3</v>
      </c>
      <c r="R36" s="23">
        <v>1404.9</v>
      </c>
      <c r="S36" s="23">
        <v>1464.6</v>
      </c>
      <c r="T36" s="23">
        <v>1500.6</v>
      </c>
      <c r="U36" s="23">
        <v>1582.1</v>
      </c>
      <c r="V36" s="23">
        <v>1632.3</v>
      </c>
      <c r="W36" s="23">
        <v>1815.6</v>
      </c>
      <c r="X36" s="23">
        <v>1443.4</v>
      </c>
      <c r="Y36" s="23">
        <v>1613.9</v>
      </c>
      <c r="Z36" s="23">
        <v>1772</v>
      </c>
      <c r="AA36" s="23">
        <v>2063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8.8000000000000007</v>
      </c>
      <c r="E37" s="23">
        <v>11.5</v>
      </c>
      <c r="F37" s="23">
        <v>14</v>
      </c>
      <c r="G37" s="23">
        <v>13.3</v>
      </c>
      <c r="H37" s="23">
        <v>13.5</v>
      </c>
      <c r="I37" s="23">
        <v>12.9</v>
      </c>
      <c r="J37" s="23">
        <v>14.6</v>
      </c>
      <c r="K37" s="23">
        <v>14.1</v>
      </c>
      <c r="L37" s="23">
        <v>12.3</v>
      </c>
      <c r="M37" s="23">
        <v>8.1999999999999993</v>
      </c>
      <c r="N37" s="23">
        <v>12.8</v>
      </c>
      <c r="O37" s="23">
        <v>12.9</v>
      </c>
      <c r="P37" s="23">
        <v>13.2</v>
      </c>
      <c r="Q37" s="23">
        <v>13.1</v>
      </c>
      <c r="R37" s="23">
        <v>12.6</v>
      </c>
      <c r="S37" s="23">
        <v>18.5</v>
      </c>
      <c r="T37" s="23">
        <v>20.6</v>
      </c>
      <c r="U37" s="23">
        <v>20.9</v>
      </c>
      <c r="V37" s="23">
        <v>37.299999999999997</v>
      </c>
      <c r="W37" s="23">
        <v>27.5</v>
      </c>
      <c r="X37" s="23">
        <v>26</v>
      </c>
      <c r="Y37" s="23">
        <v>24.5</v>
      </c>
      <c r="Z37" s="23">
        <v>22.7</v>
      </c>
      <c r="AA37" s="23">
        <v>25.1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43739.400000000023</v>
      </c>
      <c r="E39" s="30">
        <f t="shared" ref="E39:Y39" si="2">SUM(E18:E38)</f>
        <v>51920.2</v>
      </c>
      <c r="F39" s="30">
        <f t="shared" si="2"/>
        <v>62321.299999999996</v>
      </c>
      <c r="G39" s="30">
        <f t="shared" si="2"/>
        <v>64746.9</v>
      </c>
      <c r="H39" s="30">
        <f t="shared" si="2"/>
        <v>71723.199999999997</v>
      </c>
      <c r="I39" s="30">
        <f t="shared" si="2"/>
        <v>78414.600000000006</v>
      </c>
      <c r="J39" s="30">
        <f t="shared" si="2"/>
        <v>79911.3</v>
      </c>
      <c r="K39" s="30">
        <f t="shared" si="2"/>
        <v>88047.4</v>
      </c>
      <c r="L39" s="30">
        <f t="shared" si="2"/>
        <v>92757.39999999998</v>
      </c>
      <c r="M39" s="30">
        <f t="shared" si="2"/>
        <v>80245.3</v>
      </c>
      <c r="N39" s="30">
        <f t="shared" si="2"/>
        <v>84489.8</v>
      </c>
      <c r="O39" s="30">
        <f t="shared" si="2"/>
        <v>86763.199999999997</v>
      </c>
      <c r="P39" s="30">
        <f t="shared" si="2"/>
        <v>84120.89999999998</v>
      </c>
      <c r="Q39" s="30">
        <f t="shared" si="2"/>
        <v>86312.400000000009</v>
      </c>
      <c r="R39" s="30">
        <f t="shared" si="2"/>
        <v>89860.3</v>
      </c>
      <c r="S39" s="30">
        <f t="shared" si="2"/>
        <v>95094.499999999985</v>
      </c>
      <c r="T39" s="30">
        <f t="shared" si="2"/>
        <v>98958.300000000032</v>
      </c>
      <c r="U39" s="30">
        <f t="shared" si="2"/>
        <v>107927.7</v>
      </c>
      <c r="V39" s="30">
        <f t="shared" si="2"/>
        <v>115429.9</v>
      </c>
      <c r="W39" s="30">
        <f t="shared" si="2"/>
        <v>124603</v>
      </c>
      <c r="X39" s="30">
        <f t="shared" si="2"/>
        <v>117436.89999999997</v>
      </c>
      <c r="Y39" s="30">
        <f t="shared" si="2"/>
        <v>131296.29999999999</v>
      </c>
      <c r="Z39" s="30">
        <f t="shared" ref="Z39:AA39" si="3">SUM(Z18:Z38)</f>
        <v>143759</v>
      </c>
      <c r="AA39" s="30">
        <f t="shared" si="3"/>
        <v>171358.8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1425</v>
      </c>
      <c r="E41" s="19">
        <v>1800.9</v>
      </c>
      <c r="F41" s="19">
        <v>2203.5</v>
      </c>
      <c r="G41" s="19">
        <v>2023</v>
      </c>
      <c r="H41" s="19">
        <v>2141.9</v>
      </c>
      <c r="I41" s="19">
        <v>2057.6</v>
      </c>
      <c r="J41" s="19">
        <v>2048.1</v>
      </c>
      <c r="K41" s="19">
        <v>2033.2</v>
      </c>
      <c r="L41" s="19">
        <v>1947.2</v>
      </c>
      <c r="M41" s="19">
        <v>2086.4</v>
      </c>
      <c r="N41" s="19">
        <v>1987.2</v>
      </c>
      <c r="O41" s="19">
        <v>1871.2</v>
      </c>
      <c r="P41" s="19">
        <v>1807.4</v>
      </c>
      <c r="Q41" s="19">
        <v>1974.3</v>
      </c>
      <c r="R41" s="19">
        <v>2034.3</v>
      </c>
      <c r="S41" s="19">
        <v>2107</v>
      </c>
      <c r="T41" s="19">
        <v>2181.9</v>
      </c>
      <c r="U41" s="19">
        <v>2285.3000000000002</v>
      </c>
      <c r="V41" s="19">
        <v>2466.6</v>
      </c>
      <c r="W41" s="19">
        <v>2496.1</v>
      </c>
      <c r="X41" s="19">
        <v>2456.8000000000002</v>
      </c>
      <c r="Y41" s="19">
        <v>2543.5</v>
      </c>
      <c r="Z41" s="19">
        <v>2844.8</v>
      </c>
      <c r="AA41" s="19">
        <v>3722.9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703.8</v>
      </c>
      <c r="E42" s="23">
        <v>819.4</v>
      </c>
      <c r="F42" s="23">
        <v>814.2</v>
      </c>
      <c r="G42" s="23">
        <v>678.7</v>
      </c>
      <c r="H42" s="23">
        <v>657.7</v>
      </c>
      <c r="I42" s="23">
        <v>577.9</v>
      </c>
      <c r="J42" s="23">
        <v>573.70000000000005</v>
      </c>
      <c r="K42" s="23">
        <v>550.20000000000005</v>
      </c>
      <c r="L42" s="23">
        <v>509.5</v>
      </c>
      <c r="M42" s="23">
        <v>419.7</v>
      </c>
      <c r="N42" s="23">
        <v>420.5</v>
      </c>
      <c r="O42" s="23">
        <v>462.4</v>
      </c>
      <c r="P42" s="23">
        <v>444.1</v>
      </c>
      <c r="Q42" s="23">
        <v>450.2</v>
      </c>
      <c r="R42" s="23">
        <v>455.3</v>
      </c>
      <c r="S42" s="23">
        <v>454.2</v>
      </c>
      <c r="T42" s="23">
        <v>474.7</v>
      </c>
      <c r="U42" s="23">
        <v>502.4</v>
      </c>
      <c r="V42" s="23">
        <v>518.70000000000005</v>
      </c>
      <c r="W42" s="23">
        <v>528.79999999999995</v>
      </c>
      <c r="X42" s="23">
        <v>440</v>
      </c>
      <c r="Y42" s="23">
        <v>457</v>
      </c>
      <c r="Z42" s="23">
        <v>459.2</v>
      </c>
      <c r="AA42" s="23">
        <v>573.79999999999995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575.79999999999995</v>
      </c>
      <c r="E43" s="23">
        <v>740.3</v>
      </c>
      <c r="F43" s="23">
        <v>827.3</v>
      </c>
      <c r="G43" s="23">
        <v>801.5</v>
      </c>
      <c r="H43" s="23">
        <v>838.4</v>
      </c>
      <c r="I43" s="23">
        <v>842</v>
      </c>
      <c r="J43" s="23">
        <v>802.6</v>
      </c>
      <c r="K43" s="23">
        <v>916.8</v>
      </c>
      <c r="L43" s="23">
        <v>899.5</v>
      </c>
      <c r="M43" s="23">
        <v>725</v>
      </c>
      <c r="N43" s="23">
        <v>772.7</v>
      </c>
      <c r="O43" s="23">
        <v>784.6</v>
      </c>
      <c r="P43" s="23">
        <v>766.2</v>
      </c>
      <c r="Q43" s="23">
        <v>800.4</v>
      </c>
      <c r="R43" s="23">
        <v>837.2</v>
      </c>
      <c r="S43" s="23">
        <v>880.5</v>
      </c>
      <c r="T43" s="23">
        <v>929.8</v>
      </c>
      <c r="U43" s="23">
        <v>997.9</v>
      </c>
      <c r="V43" s="23">
        <v>1047.5</v>
      </c>
      <c r="W43" s="23">
        <v>1138</v>
      </c>
      <c r="X43" s="23">
        <v>1095.2</v>
      </c>
      <c r="Y43" s="23">
        <v>1237.8</v>
      </c>
      <c r="Z43" s="23">
        <v>1557.2</v>
      </c>
      <c r="AA43" s="23">
        <v>1666.7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484.5</v>
      </c>
      <c r="E44" s="23">
        <v>564.70000000000005</v>
      </c>
      <c r="F44" s="23">
        <v>792.1</v>
      </c>
      <c r="G44" s="23">
        <v>754.6</v>
      </c>
      <c r="H44" s="23">
        <v>1193.0999999999999</v>
      </c>
      <c r="I44" s="23">
        <v>1378.5</v>
      </c>
      <c r="J44" s="23">
        <v>1518.7</v>
      </c>
      <c r="K44" s="23">
        <v>1317.8</v>
      </c>
      <c r="L44" s="23">
        <v>1497.7</v>
      </c>
      <c r="M44" s="23">
        <v>1037.5</v>
      </c>
      <c r="N44" s="23">
        <v>1147</v>
      </c>
      <c r="O44" s="23">
        <v>1055.3</v>
      </c>
      <c r="P44" s="23">
        <v>1120.7</v>
      </c>
      <c r="Q44" s="23">
        <v>826.2</v>
      </c>
      <c r="R44" s="23">
        <v>906.2</v>
      </c>
      <c r="S44" s="23">
        <v>801</v>
      </c>
      <c r="T44" s="23">
        <v>761.6</v>
      </c>
      <c r="U44" s="23">
        <v>860.4</v>
      </c>
      <c r="V44" s="23">
        <v>886.8</v>
      </c>
      <c r="W44" s="23">
        <v>836.4</v>
      </c>
      <c r="X44" s="23">
        <v>517.4</v>
      </c>
      <c r="Y44" s="23">
        <v>864.6</v>
      </c>
      <c r="Z44" s="23">
        <v>1853.4</v>
      </c>
      <c r="AA44" s="23">
        <v>1618.4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422.2</v>
      </c>
      <c r="E45" s="23">
        <v>539.20000000000005</v>
      </c>
      <c r="F45" s="23">
        <v>556.4</v>
      </c>
      <c r="G45" s="23">
        <v>522.5</v>
      </c>
      <c r="H45" s="23">
        <v>575.4</v>
      </c>
      <c r="I45" s="23">
        <v>574.4</v>
      </c>
      <c r="J45" s="23">
        <v>657.7</v>
      </c>
      <c r="K45" s="23">
        <v>822.3</v>
      </c>
      <c r="L45" s="23">
        <v>736.5</v>
      </c>
      <c r="M45" s="23">
        <v>432.8</v>
      </c>
      <c r="N45" s="23">
        <v>499</v>
      </c>
      <c r="O45" s="23">
        <v>556.1</v>
      </c>
      <c r="P45" s="23">
        <v>635.20000000000005</v>
      </c>
      <c r="Q45" s="23">
        <v>718.3</v>
      </c>
      <c r="R45" s="23">
        <v>936.3</v>
      </c>
      <c r="S45" s="23">
        <v>1264.5999999999999</v>
      </c>
      <c r="T45" s="23">
        <v>1275.2</v>
      </c>
      <c r="U45" s="23">
        <v>1581</v>
      </c>
      <c r="V45" s="23">
        <v>1496.8</v>
      </c>
      <c r="W45" s="23">
        <v>1256.7</v>
      </c>
      <c r="X45" s="23">
        <v>1382.7</v>
      </c>
      <c r="Y45" s="23">
        <v>1901.3</v>
      </c>
      <c r="Z45" s="23">
        <v>1294.0999999999999</v>
      </c>
      <c r="AA45" s="23">
        <v>1281.5999999999999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545.6</v>
      </c>
      <c r="E46" s="23">
        <v>707.9</v>
      </c>
      <c r="F46" s="23">
        <v>800.9</v>
      </c>
      <c r="G46" s="23">
        <v>918.4</v>
      </c>
      <c r="H46" s="23">
        <v>970.8</v>
      </c>
      <c r="I46" s="23">
        <v>1077.2</v>
      </c>
      <c r="J46" s="23">
        <v>1170.0999999999999</v>
      </c>
      <c r="K46" s="23">
        <v>1158.7</v>
      </c>
      <c r="L46" s="23">
        <v>1170.7</v>
      </c>
      <c r="M46" s="23">
        <v>1131.4000000000001</v>
      </c>
      <c r="N46" s="23">
        <v>1386</v>
      </c>
      <c r="O46" s="23">
        <v>1427.4</v>
      </c>
      <c r="P46" s="23">
        <v>1463.6</v>
      </c>
      <c r="Q46" s="23">
        <v>1264.4000000000001</v>
      </c>
      <c r="R46" s="23">
        <v>1376.2</v>
      </c>
      <c r="S46" s="23">
        <v>1455.9</v>
      </c>
      <c r="T46" s="23">
        <v>1404.7</v>
      </c>
      <c r="U46" s="23">
        <v>1651.7</v>
      </c>
      <c r="V46" s="23">
        <v>1523.5</v>
      </c>
      <c r="W46" s="23">
        <v>1630.9</v>
      </c>
      <c r="X46" s="23">
        <v>1627.9</v>
      </c>
      <c r="Y46" s="23">
        <v>1580.1</v>
      </c>
      <c r="Z46" s="23">
        <v>1968.3</v>
      </c>
      <c r="AA46" s="23">
        <v>2318.8000000000002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859.8</v>
      </c>
      <c r="E47" s="23">
        <v>1057</v>
      </c>
      <c r="F47" s="23">
        <v>1216.5</v>
      </c>
      <c r="G47" s="23">
        <v>1258.4000000000001</v>
      </c>
      <c r="H47" s="23">
        <v>1300.2</v>
      </c>
      <c r="I47" s="23">
        <v>1426.8</v>
      </c>
      <c r="J47" s="23">
        <v>1485.5</v>
      </c>
      <c r="K47" s="23">
        <v>1842.3</v>
      </c>
      <c r="L47" s="23">
        <v>1855.5</v>
      </c>
      <c r="M47" s="23">
        <v>1462.1</v>
      </c>
      <c r="N47" s="23">
        <v>1588.8</v>
      </c>
      <c r="O47" s="23">
        <v>1662.3</v>
      </c>
      <c r="P47" s="23">
        <v>1728.7</v>
      </c>
      <c r="Q47" s="23">
        <v>1792</v>
      </c>
      <c r="R47" s="23">
        <v>1929.1</v>
      </c>
      <c r="S47" s="23">
        <v>2144.6999999999998</v>
      </c>
      <c r="T47" s="23">
        <v>2281.4</v>
      </c>
      <c r="U47" s="23">
        <v>2352.9</v>
      </c>
      <c r="V47" s="23">
        <v>2620.6999999999998</v>
      </c>
      <c r="W47" s="23">
        <v>2801.9</v>
      </c>
      <c r="X47" s="23">
        <v>2667</v>
      </c>
      <c r="Y47" s="23">
        <v>2878.2</v>
      </c>
      <c r="Z47" s="23">
        <v>2747.9</v>
      </c>
      <c r="AA47" s="23">
        <v>3139.5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1006.7</v>
      </c>
      <c r="E48" s="23">
        <v>1125.4000000000001</v>
      </c>
      <c r="F48" s="23">
        <v>1203.3</v>
      </c>
      <c r="G48" s="23">
        <v>1285.9000000000001</v>
      </c>
      <c r="H48" s="23">
        <v>1511.6</v>
      </c>
      <c r="I48" s="23">
        <v>1599.5</v>
      </c>
      <c r="J48" s="23">
        <v>1762.5</v>
      </c>
      <c r="K48" s="23">
        <v>2037</v>
      </c>
      <c r="L48" s="23">
        <v>2161</v>
      </c>
      <c r="M48" s="23">
        <v>1324.8</v>
      </c>
      <c r="N48" s="23">
        <v>1533.5</v>
      </c>
      <c r="O48" s="23">
        <v>1735.1</v>
      </c>
      <c r="P48" s="23">
        <v>1678.7</v>
      </c>
      <c r="Q48" s="23">
        <v>1772.6</v>
      </c>
      <c r="R48" s="23">
        <v>1841.1</v>
      </c>
      <c r="S48" s="23">
        <v>2056.6</v>
      </c>
      <c r="T48" s="23">
        <v>2169.3000000000002</v>
      </c>
      <c r="U48" s="23">
        <v>2342</v>
      </c>
      <c r="V48" s="23">
        <v>2612</v>
      </c>
      <c r="W48" s="23">
        <v>2653.8</v>
      </c>
      <c r="X48" s="23">
        <v>2437.6</v>
      </c>
      <c r="Y48" s="23">
        <v>2794</v>
      </c>
      <c r="Z48" s="23">
        <v>2846.8</v>
      </c>
      <c r="AA48" s="23">
        <v>3346.1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791.2</v>
      </c>
      <c r="E49" s="23">
        <v>964.7</v>
      </c>
      <c r="F49" s="23">
        <v>1037</v>
      </c>
      <c r="G49" s="23">
        <v>1440.7</v>
      </c>
      <c r="H49" s="23">
        <v>1804.7</v>
      </c>
      <c r="I49" s="23">
        <v>2100.1</v>
      </c>
      <c r="J49" s="23">
        <v>1977.6</v>
      </c>
      <c r="K49" s="23">
        <v>1562.5</v>
      </c>
      <c r="L49" s="23">
        <v>1648</v>
      </c>
      <c r="M49" s="23">
        <v>1443.4</v>
      </c>
      <c r="N49" s="23">
        <v>1491</v>
      </c>
      <c r="O49" s="23">
        <v>1964.3</v>
      </c>
      <c r="P49" s="23">
        <v>1605.7</v>
      </c>
      <c r="Q49" s="23">
        <v>1685.7</v>
      </c>
      <c r="R49" s="23">
        <v>1694</v>
      </c>
      <c r="S49" s="23">
        <v>1775.5</v>
      </c>
      <c r="T49" s="23">
        <v>1862.5</v>
      </c>
      <c r="U49" s="23">
        <v>2205.3000000000002</v>
      </c>
      <c r="V49" s="23">
        <v>2169</v>
      </c>
      <c r="W49" s="23">
        <v>2223.9</v>
      </c>
      <c r="X49" s="23">
        <v>2079.3000000000002</v>
      </c>
      <c r="Y49" s="23">
        <v>2053.8000000000002</v>
      </c>
      <c r="Z49" s="23">
        <v>2225.4</v>
      </c>
      <c r="AA49" s="23">
        <v>2986.2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775.6</v>
      </c>
      <c r="E50" s="23">
        <v>749.3</v>
      </c>
      <c r="F50" s="23">
        <v>971.3</v>
      </c>
      <c r="G50" s="23">
        <v>1167.7</v>
      </c>
      <c r="H50" s="23">
        <v>1483</v>
      </c>
      <c r="I50" s="23">
        <v>1762.7</v>
      </c>
      <c r="J50" s="23">
        <v>1569.4</v>
      </c>
      <c r="K50" s="23">
        <v>1857.9</v>
      </c>
      <c r="L50" s="23">
        <v>1779.1</v>
      </c>
      <c r="M50" s="23">
        <v>672.8</v>
      </c>
      <c r="N50" s="23">
        <v>769.9</v>
      </c>
      <c r="O50" s="23">
        <v>756.9</v>
      </c>
      <c r="P50" s="23">
        <v>769.2</v>
      </c>
      <c r="Q50" s="23">
        <v>788.2</v>
      </c>
      <c r="R50" s="23">
        <v>933.6</v>
      </c>
      <c r="S50" s="23">
        <v>948.5</v>
      </c>
      <c r="T50" s="23">
        <v>1020</v>
      </c>
      <c r="U50" s="23">
        <v>1072.5999999999999</v>
      </c>
      <c r="V50" s="23">
        <v>1213.0999999999999</v>
      </c>
      <c r="W50" s="23">
        <v>1362.9</v>
      </c>
      <c r="X50" s="23">
        <v>1484.5</v>
      </c>
      <c r="Y50" s="23">
        <v>1658.2</v>
      </c>
      <c r="Z50" s="23">
        <v>2086.4</v>
      </c>
      <c r="AA50" s="23">
        <v>2962.6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458.7</v>
      </c>
      <c r="E51" s="23">
        <v>554.4</v>
      </c>
      <c r="F51" s="23">
        <v>679</v>
      </c>
      <c r="G51" s="23">
        <v>671.2</v>
      </c>
      <c r="H51" s="23">
        <v>738.4</v>
      </c>
      <c r="I51" s="23">
        <v>862.1</v>
      </c>
      <c r="J51" s="23">
        <v>906.9</v>
      </c>
      <c r="K51" s="23">
        <v>1040.3</v>
      </c>
      <c r="L51" s="23">
        <v>1147</v>
      </c>
      <c r="M51" s="23">
        <v>2094.3000000000002</v>
      </c>
      <c r="N51" s="23">
        <v>2305.1</v>
      </c>
      <c r="O51" s="23">
        <v>2514.9</v>
      </c>
      <c r="P51" s="23">
        <v>2750.5</v>
      </c>
      <c r="Q51" s="23">
        <v>2533.6</v>
      </c>
      <c r="R51" s="23">
        <v>2656.5</v>
      </c>
      <c r="S51" s="23">
        <v>3061.2</v>
      </c>
      <c r="T51" s="23">
        <v>2055.6</v>
      </c>
      <c r="U51" s="23">
        <v>1979.8</v>
      </c>
      <c r="V51" s="23">
        <v>1822.8</v>
      </c>
      <c r="W51" s="23">
        <v>1708.3</v>
      </c>
      <c r="X51" s="23">
        <v>1571.3</v>
      </c>
      <c r="Y51" s="23">
        <v>1582.4</v>
      </c>
      <c r="Z51" s="23">
        <v>1895.4</v>
      </c>
      <c r="AA51" s="23">
        <v>2385.6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1322</v>
      </c>
      <c r="E52" s="23">
        <v>1379.2</v>
      </c>
      <c r="F52" s="23">
        <v>1597.5</v>
      </c>
      <c r="G52" s="23">
        <v>1873.7</v>
      </c>
      <c r="H52" s="23">
        <v>2006</v>
      </c>
      <c r="I52" s="23">
        <v>2359.1</v>
      </c>
      <c r="J52" s="23">
        <v>2939</v>
      </c>
      <c r="K52" s="23">
        <v>3566.3</v>
      </c>
      <c r="L52" s="23">
        <v>3553.9</v>
      </c>
      <c r="M52" s="23">
        <v>2485.6999999999998</v>
      </c>
      <c r="N52" s="23">
        <v>3189.7</v>
      </c>
      <c r="O52" s="23">
        <v>3061.8</v>
      </c>
      <c r="P52" s="23">
        <v>2722.9</v>
      </c>
      <c r="Q52" s="23">
        <v>3459.8</v>
      </c>
      <c r="R52" s="23">
        <v>3969.4</v>
      </c>
      <c r="S52" s="23">
        <v>4690.1000000000004</v>
      </c>
      <c r="T52" s="23">
        <v>5088.7</v>
      </c>
      <c r="U52" s="23">
        <v>5060.5</v>
      </c>
      <c r="V52" s="23">
        <v>5229.6000000000004</v>
      </c>
      <c r="W52" s="23">
        <v>5135.7</v>
      </c>
      <c r="X52" s="23">
        <v>4540.2</v>
      </c>
      <c r="Y52" s="23">
        <v>4228.7</v>
      </c>
      <c r="Z52" s="23">
        <v>4672.3</v>
      </c>
      <c r="AA52" s="23">
        <v>5773.1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418.69999999999891</v>
      </c>
      <c r="E53" s="23">
        <v>504.30000000000109</v>
      </c>
      <c r="F53" s="23">
        <v>616.80000000000109</v>
      </c>
      <c r="G53" s="23">
        <v>617.09999999999673</v>
      </c>
      <c r="H53" s="23">
        <v>678.79999999999927</v>
      </c>
      <c r="I53" s="23">
        <v>703.29999999999927</v>
      </c>
      <c r="J53" s="23">
        <v>727.29999999999927</v>
      </c>
      <c r="K53" s="23">
        <v>808.60000000000218</v>
      </c>
      <c r="L53" s="23">
        <v>880.90000000000146</v>
      </c>
      <c r="M53" s="23">
        <v>888.19999999999891</v>
      </c>
      <c r="N53" s="23">
        <v>965.69999999999709</v>
      </c>
      <c r="O53" s="23">
        <v>973.90000000000146</v>
      </c>
      <c r="P53" s="23">
        <v>997.09999999999854</v>
      </c>
      <c r="Q53" s="23">
        <v>1055.1999999999971</v>
      </c>
      <c r="R53" s="23">
        <v>1084.7999999999993</v>
      </c>
      <c r="S53" s="23">
        <v>1165.4000000000051</v>
      </c>
      <c r="T53" s="23">
        <v>1297.4000000000015</v>
      </c>
      <c r="U53" s="23">
        <v>1411.9999999999964</v>
      </c>
      <c r="V53" s="23">
        <v>1527.5</v>
      </c>
      <c r="W53" s="23">
        <v>1760.7000000000007</v>
      </c>
      <c r="X53" s="23">
        <v>1703.0999999999985</v>
      </c>
      <c r="Y53" s="23">
        <v>1831.9999999999964</v>
      </c>
      <c r="Z53" s="23">
        <v>2008.8999999999942</v>
      </c>
      <c r="AA53" s="23">
        <v>2404.2000000000044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9789.6</v>
      </c>
      <c r="E54" s="30">
        <f t="shared" ref="E54:Y54" si="4">SUM(E41:E53)</f>
        <v>11506.7</v>
      </c>
      <c r="F54" s="30">
        <f t="shared" si="4"/>
        <v>13315.8</v>
      </c>
      <c r="G54" s="30">
        <f t="shared" si="4"/>
        <v>14013.4</v>
      </c>
      <c r="H54" s="30">
        <f t="shared" si="4"/>
        <v>15900</v>
      </c>
      <c r="I54" s="30">
        <f t="shared" si="4"/>
        <v>17321.2</v>
      </c>
      <c r="J54" s="30">
        <f t="shared" si="4"/>
        <v>18139.099999999999</v>
      </c>
      <c r="K54" s="30">
        <f t="shared" si="4"/>
        <v>19513.900000000001</v>
      </c>
      <c r="L54" s="30">
        <f t="shared" si="4"/>
        <v>19786.5</v>
      </c>
      <c r="M54" s="30">
        <f t="shared" si="4"/>
        <v>16204.1</v>
      </c>
      <c r="N54" s="30">
        <f t="shared" si="4"/>
        <v>18056.099999999999</v>
      </c>
      <c r="O54" s="30">
        <f t="shared" si="4"/>
        <v>18826.2</v>
      </c>
      <c r="P54" s="30">
        <f t="shared" si="4"/>
        <v>18490</v>
      </c>
      <c r="Q54" s="30">
        <f t="shared" si="4"/>
        <v>19120.900000000001</v>
      </c>
      <c r="R54" s="30">
        <f t="shared" si="4"/>
        <v>20654</v>
      </c>
      <c r="S54" s="30">
        <f t="shared" si="4"/>
        <v>22805.200000000001</v>
      </c>
      <c r="T54" s="30">
        <f t="shared" si="4"/>
        <v>22802.799999999999</v>
      </c>
      <c r="U54" s="30">
        <f t="shared" si="4"/>
        <v>24303.8</v>
      </c>
      <c r="V54" s="30">
        <f t="shared" si="4"/>
        <v>25134.6</v>
      </c>
      <c r="W54" s="30">
        <f t="shared" si="4"/>
        <v>25534.1</v>
      </c>
      <c r="X54" s="30">
        <f t="shared" si="4"/>
        <v>24003</v>
      </c>
      <c r="Y54" s="30">
        <f t="shared" si="4"/>
        <v>25611.599999999999</v>
      </c>
      <c r="Z54" s="30">
        <f t="shared" ref="Z54:AA54" si="5">SUM(Z41:Z53)</f>
        <v>28460.1</v>
      </c>
      <c r="AA54" s="30">
        <f t="shared" si="5"/>
        <v>34179.5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1425</v>
      </c>
      <c r="E56" s="19">
        <v>1800.9</v>
      </c>
      <c r="F56" s="19">
        <v>2203.5</v>
      </c>
      <c r="G56" s="19">
        <v>2023</v>
      </c>
      <c r="H56" s="19">
        <v>2141.9</v>
      </c>
      <c r="I56" s="19">
        <v>2057.6</v>
      </c>
      <c r="J56" s="19">
        <v>2048.1</v>
      </c>
      <c r="K56" s="19">
        <v>2033.2</v>
      </c>
      <c r="L56" s="19">
        <v>1947.2</v>
      </c>
      <c r="M56" s="19">
        <v>2086.4</v>
      </c>
      <c r="N56" s="19">
        <v>1987.2</v>
      </c>
      <c r="O56" s="19">
        <v>1871.2</v>
      </c>
      <c r="P56" s="19">
        <v>1807.4</v>
      </c>
      <c r="Q56" s="19">
        <v>1974.3</v>
      </c>
      <c r="R56" s="19">
        <v>2034.3</v>
      </c>
      <c r="S56" s="19">
        <v>2107</v>
      </c>
      <c r="T56" s="19">
        <v>2181.9</v>
      </c>
      <c r="U56" s="19">
        <v>2285.3000000000002</v>
      </c>
      <c r="V56" s="19">
        <v>2466.6</v>
      </c>
      <c r="W56" s="19">
        <v>2496.1</v>
      </c>
      <c r="X56" s="19">
        <v>2456.8000000000002</v>
      </c>
      <c r="Y56" s="19">
        <v>2543.5</v>
      </c>
      <c r="Z56" s="19">
        <v>2844.8</v>
      </c>
      <c r="AA56" s="19">
        <v>3722.9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703.8</v>
      </c>
      <c r="E57" s="23">
        <v>819.4</v>
      </c>
      <c r="F57" s="23">
        <v>814.2</v>
      </c>
      <c r="G57" s="23">
        <v>678.7</v>
      </c>
      <c r="H57" s="23">
        <v>657.7</v>
      </c>
      <c r="I57" s="23">
        <v>577.9</v>
      </c>
      <c r="J57" s="23">
        <v>573.70000000000005</v>
      </c>
      <c r="K57" s="23">
        <v>550.20000000000005</v>
      </c>
      <c r="L57" s="23">
        <v>509.5</v>
      </c>
      <c r="M57" s="23">
        <v>419.7</v>
      </c>
      <c r="N57" s="23">
        <v>420.5</v>
      </c>
      <c r="O57" s="23">
        <v>462.4</v>
      </c>
      <c r="P57" s="23">
        <v>444.1</v>
      </c>
      <c r="Q57" s="23">
        <v>450.2</v>
      </c>
      <c r="R57" s="23">
        <v>455.3</v>
      </c>
      <c r="S57" s="23">
        <v>454.2</v>
      </c>
      <c r="T57" s="23">
        <v>474.7</v>
      </c>
      <c r="U57" s="23">
        <v>502.4</v>
      </c>
      <c r="V57" s="23">
        <v>518.70000000000005</v>
      </c>
      <c r="W57" s="23">
        <v>528.79999999999995</v>
      </c>
      <c r="X57" s="23">
        <v>440</v>
      </c>
      <c r="Y57" s="23">
        <v>457</v>
      </c>
      <c r="Z57" s="23">
        <v>459.2</v>
      </c>
      <c r="AA57" s="23">
        <v>573.79999999999995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218.4</v>
      </c>
      <c r="E58" s="23">
        <v>264.8</v>
      </c>
      <c r="F58" s="23">
        <v>266</v>
      </c>
      <c r="G58" s="23">
        <v>259.7</v>
      </c>
      <c r="H58" s="23">
        <v>284.3</v>
      </c>
      <c r="I58" s="23">
        <v>270.2</v>
      </c>
      <c r="J58" s="23">
        <v>261.7</v>
      </c>
      <c r="K58" s="23">
        <v>294</v>
      </c>
      <c r="L58" s="23">
        <v>300.7</v>
      </c>
      <c r="M58" s="23">
        <v>215.8</v>
      </c>
      <c r="N58" s="23">
        <v>223.6</v>
      </c>
      <c r="O58" s="23">
        <v>220.7</v>
      </c>
      <c r="P58" s="23">
        <v>212.1</v>
      </c>
      <c r="Q58" s="23">
        <v>217.3</v>
      </c>
      <c r="R58" s="23">
        <v>231.4</v>
      </c>
      <c r="S58" s="23">
        <v>249.6</v>
      </c>
      <c r="T58" s="23">
        <v>258.5</v>
      </c>
      <c r="U58" s="23">
        <v>282.5</v>
      </c>
      <c r="V58" s="23">
        <v>299</v>
      </c>
      <c r="W58" s="23">
        <v>326.10000000000002</v>
      </c>
      <c r="X58" s="23">
        <v>327.2</v>
      </c>
      <c r="Y58" s="23">
        <v>421.8</v>
      </c>
      <c r="Z58" s="23">
        <v>525.1</v>
      </c>
      <c r="AA58" s="23">
        <v>477.1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154.6</v>
      </c>
      <c r="E59" s="23">
        <v>218.3</v>
      </c>
      <c r="F59" s="23">
        <v>249.3</v>
      </c>
      <c r="G59" s="23">
        <v>247.4</v>
      </c>
      <c r="H59" s="23">
        <v>236.9</v>
      </c>
      <c r="I59" s="23">
        <v>236.5</v>
      </c>
      <c r="J59" s="23">
        <v>226.3</v>
      </c>
      <c r="K59" s="23">
        <v>272.60000000000002</v>
      </c>
      <c r="L59" s="23">
        <v>274.39999999999998</v>
      </c>
      <c r="M59" s="23">
        <v>255.3</v>
      </c>
      <c r="N59" s="23">
        <v>292.5</v>
      </c>
      <c r="O59" s="23">
        <v>294.5</v>
      </c>
      <c r="P59" s="23">
        <v>298.60000000000002</v>
      </c>
      <c r="Q59" s="23">
        <v>317</v>
      </c>
      <c r="R59" s="23">
        <v>349.1</v>
      </c>
      <c r="S59" s="23">
        <v>365.9</v>
      </c>
      <c r="T59" s="23">
        <v>417.4</v>
      </c>
      <c r="U59" s="23">
        <v>431.4</v>
      </c>
      <c r="V59" s="23">
        <v>465.1</v>
      </c>
      <c r="W59" s="23">
        <v>522.20000000000005</v>
      </c>
      <c r="X59" s="23">
        <v>508.5</v>
      </c>
      <c r="Y59" s="23">
        <v>500.6</v>
      </c>
      <c r="Z59" s="23">
        <v>689.1</v>
      </c>
      <c r="AA59" s="23">
        <v>757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202.79999999999995</v>
      </c>
      <c r="E60" s="23">
        <v>257.19999999999993</v>
      </c>
      <c r="F60" s="23">
        <v>312</v>
      </c>
      <c r="G60" s="23">
        <v>294.39999999999998</v>
      </c>
      <c r="H60" s="23">
        <v>317.19999999999993</v>
      </c>
      <c r="I60" s="23">
        <v>335.3</v>
      </c>
      <c r="J60" s="23">
        <v>314.60000000000002</v>
      </c>
      <c r="K60" s="23">
        <v>350.19999999999993</v>
      </c>
      <c r="L60" s="23">
        <v>324.40000000000009</v>
      </c>
      <c r="M60" s="23">
        <v>253.89999999999998</v>
      </c>
      <c r="N60" s="23">
        <v>256.60000000000002</v>
      </c>
      <c r="O60" s="23">
        <v>269.39999999999998</v>
      </c>
      <c r="P60" s="23">
        <v>255.5</v>
      </c>
      <c r="Q60" s="23">
        <v>266.10000000000002</v>
      </c>
      <c r="R60" s="23">
        <v>256.70000000000005</v>
      </c>
      <c r="S60" s="23">
        <v>265</v>
      </c>
      <c r="T60" s="23">
        <v>253.89999999999998</v>
      </c>
      <c r="U60" s="23">
        <v>284</v>
      </c>
      <c r="V60" s="23">
        <v>283.39999999999998</v>
      </c>
      <c r="W60" s="23">
        <v>289.69999999999993</v>
      </c>
      <c r="X60" s="23">
        <v>259.5</v>
      </c>
      <c r="Y60" s="23">
        <v>315.39999999999986</v>
      </c>
      <c r="Z60" s="23">
        <v>343</v>
      </c>
      <c r="AA60" s="23">
        <v>432.60000000000014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484.5</v>
      </c>
      <c r="E61" s="23">
        <v>564.70000000000005</v>
      </c>
      <c r="F61" s="23">
        <v>792.1</v>
      </c>
      <c r="G61" s="23">
        <v>754.6</v>
      </c>
      <c r="H61" s="23">
        <v>1193.0999999999999</v>
      </c>
      <c r="I61" s="23">
        <v>1378.5</v>
      </c>
      <c r="J61" s="23">
        <v>1518.7</v>
      </c>
      <c r="K61" s="23">
        <v>1317.8</v>
      </c>
      <c r="L61" s="23">
        <v>1497.7</v>
      </c>
      <c r="M61" s="23">
        <v>1037.5</v>
      </c>
      <c r="N61" s="23">
        <v>1147</v>
      </c>
      <c r="O61" s="23">
        <v>1055.3</v>
      </c>
      <c r="P61" s="23">
        <v>1120.7</v>
      </c>
      <c r="Q61" s="23">
        <v>826.2</v>
      </c>
      <c r="R61" s="23">
        <v>906.2</v>
      </c>
      <c r="S61" s="23">
        <v>801</v>
      </c>
      <c r="T61" s="23">
        <v>761.6</v>
      </c>
      <c r="U61" s="23">
        <v>860.4</v>
      </c>
      <c r="V61" s="23">
        <v>886.8</v>
      </c>
      <c r="W61" s="23">
        <v>836.4</v>
      </c>
      <c r="X61" s="23">
        <v>517.4</v>
      </c>
      <c r="Y61" s="23">
        <v>864.6</v>
      </c>
      <c r="Z61" s="23">
        <v>1853.4</v>
      </c>
      <c r="AA61" s="23">
        <v>1618.4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422.2</v>
      </c>
      <c r="E62" s="23">
        <v>539.20000000000005</v>
      </c>
      <c r="F62" s="23">
        <v>556.4</v>
      </c>
      <c r="G62" s="23">
        <v>522.5</v>
      </c>
      <c r="H62" s="23">
        <v>575.4</v>
      </c>
      <c r="I62" s="23">
        <v>574.4</v>
      </c>
      <c r="J62" s="23">
        <v>657.7</v>
      </c>
      <c r="K62" s="23">
        <v>822.3</v>
      </c>
      <c r="L62" s="23">
        <v>736.5</v>
      </c>
      <c r="M62" s="23">
        <v>432.8</v>
      </c>
      <c r="N62" s="23">
        <v>499</v>
      </c>
      <c r="O62" s="23">
        <v>556.1</v>
      </c>
      <c r="P62" s="23">
        <v>635.20000000000005</v>
      </c>
      <c r="Q62" s="23">
        <v>718.3</v>
      </c>
      <c r="R62" s="23">
        <v>936.3</v>
      </c>
      <c r="S62" s="23">
        <v>1264.5999999999999</v>
      </c>
      <c r="T62" s="23">
        <v>1275.2</v>
      </c>
      <c r="U62" s="23">
        <v>1581</v>
      </c>
      <c r="V62" s="23">
        <v>1496.8</v>
      </c>
      <c r="W62" s="23">
        <v>1256.7</v>
      </c>
      <c r="X62" s="23">
        <v>1382.7</v>
      </c>
      <c r="Y62" s="23">
        <v>1901.3</v>
      </c>
      <c r="Z62" s="23">
        <v>1294.0999999999999</v>
      </c>
      <c r="AA62" s="23">
        <v>1281.5999999999999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545.6</v>
      </c>
      <c r="E63" s="23">
        <v>707.9</v>
      </c>
      <c r="F63" s="23">
        <v>800.9</v>
      </c>
      <c r="G63" s="23">
        <v>918.4</v>
      </c>
      <c r="H63" s="23">
        <v>970.8</v>
      </c>
      <c r="I63" s="23">
        <v>1077.2</v>
      </c>
      <c r="J63" s="23">
        <v>1170.0999999999999</v>
      </c>
      <c r="K63" s="23">
        <v>1158.7</v>
      </c>
      <c r="L63" s="23">
        <v>1170.7</v>
      </c>
      <c r="M63" s="23">
        <v>1131.4000000000001</v>
      </c>
      <c r="N63" s="23">
        <v>1386</v>
      </c>
      <c r="O63" s="23">
        <v>1427.4</v>
      </c>
      <c r="P63" s="23">
        <v>1463.6</v>
      </c>
      <c r="Q63" s="23">
        <v>1264.4000000000001</v>
      </c>
      <c r="R63" s="23">
        <v>1376.2</v>
      </c>
      <c r="S63" s="23">
        <v>1455.9</v>
      </c>
      <c r="T63" s="23">
        <v>1404.7</v>
      </c>
      <c r="U63" s="23">
        <v>1651.7</v>
      </c>
      <c r="V63" s="23">
        <v>1523.5</v>
      </c>
      <c r="W63" s="23">
        <v>1630.9</v>
      </c>
      <c r="X63" s="23">
        <v>1627.9</v>
      </c>
      <c r="Y63" s="23">
        <v>1580.1</v>
      </c>
      <c r="Z63" s="23">
        <v>1968.3</v>
      </c>
      <c r="AA63" s="23">
        <v>2318.8000000000002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384.6</v>
      </c>
      <c r="E64" s="23">
        <v>500.8</v>
      </c>
      <c r="F64" s="23">
        <v>588.79999999999995</v>
      </c>
      <c r="G64" s="23">
        <v>620.20000000000005</v>
      </c>
      <c r="H64" s="23">
        <v>664.6</v>
      </c>
      <c r="I64" s="23">
        <v>721</v>
      </c>
      <c r="J64" s="23">
        <v>711.8</v>
      </c>
      <c r="K64" s="23">
        <v>870.2</v>
      </c>
      <c r="L64" s="23">
        <v>901.3</v>
      </c>
      <c r="M64" s="23">
        <v>847.1</v>
      </c>
      <c r="N64" s="23">
        <v>975.2</v>
      </c>
      <c r="O64" s="23">
        <v>1078.4000000000001</v>
      </c>
      <c r="P64" s="23">
        <v>1182.4000000000001</v>
      </c>
      <c r="Q64" s="23">
        <v>1197.3</v>
      </c>
      <c r="R64" s="23">
        <v>1294.4000000000001</v>
      </c>
      <c r="S64" s="23">
        <v>1427.9</v>
      </c>
      <c r="T64" s="23">
        <v>1533.9</v>
      </c>
      <c r="U64" s="23">
        <v>1538.7</v>
      </c>
      <c r="V64" s="23">
        <v>1745.3</v>
      </c>
      <c r="W64" s="23">
        <v>1821.7</v>
      </c>
      <c r="X64" s="23">
        <v>1788.3</v>
      </c>
      <c r="Y64" s="23">
        <v>1871.7</v>
      </c>
      <c r="Z64" s="23">
        <v>1840.3</v>
      </c>
      <c r="AA64" s="23">
        <v>2115.9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475.19999999999993</v>
      </c>
      <c r="E65" s="23">
        <v>556.20000000000005</v>
      </c>
      <c r="F65" s="23">
        <v>627.70000000000005</v>
      </c>
      <c r="G65" s="23">
        <v>638.20000000000005</v>
      </c>
      <c r="H65" s="23">
        <v>635.6</v>
      </c>
      <c r="I65" s="23">
        <v>705.8</v>
      </c>
      <c r="J65" s="23">
        <v>773.7</v>
      </c>
      <c r="K65" s="23">
        <v>972.09999999999991</v>
      </c>
      <c r="L65" s="23">
        <v>954.2</v>
      </c>
      <c r="M65" s="23">
        <v>614.99999999999989</v>
      </c>
      <c r="N65" s="23">
        <v>613.59999999999991</v>
      </c>
      <c r="O65" s="23">
        <v>583.89999999999986</v>
      </c>
      <c r="P65" s="23">
        <v>546.29999999999995</v>
      </c>
      <c r="Q65" s="23">
        <v>594.70000000000005</v>
      </c>
      <c r="R65" s="23">
        <v>634.69999999999982</v>
      </c>
      <c r="S65" s="23">
        <v>716.79999999999973</v>
      </c>
      <c r="T65" s="23">
        <v>747.5</v>
      </c>
      <c r="U65" s="23">
        <v>814.2</v>
      </c>
      <c r="V65" s="23">
        <v>875.39999999999986</v>
      </c>
      <c r="W65" s="23">
        <v>980.2</v>
      </c>
      <c r="X65" s="23">
        <v>878.7</v>
      </c>
      <c r="Y65" s="23">
        <v>1006.4999999999998</v>
      </c>
      <c r="Z65" s="23">
        <v>907.60000000000014</v>
      </c>
      <c r="AA65" s="23">
        <v>1023.5999999999999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296.8</v>
      </c>
      <c r="E66" s="23">
        <v>308.8</v>
      </c>
      <c r="F66" s="23">
        <v>286.60000000000002</v>
      </c>
      <c r="G66" s="23">
        <v>400.5</v>
      </c>
      <c r="H66" s="23">
        <v>518.20000000000005</v>
      </c>
      <c r="I66" s="23">
        <v>520.79999999999995</v>
      </c>
      <c r="J66" s="23">
        <v>628.5</v>
      </c>
      <c r="K66" s="23">
        <v>657.2</v>
      </c>
      <c r="L66" s="23">
        <v>717.2</v>
      </c>
      <c r="M66" s="23">
        <v>278.3</v>
      </c>
      <c r="N66" s="23">
        <v>417.3</v>
      </c>
      <c r="O66" s="23">
        <v>455.8</v>
      </c>
      <c r="P66" s="23">
        <v>393.8</v>
      </c>
      <c r="Q66" s="23">
        <v>423.5</v>
      </c>
      <c r="R66" s="23">
        <v>476.9</v>
      </c>
      <c r="S66" s="23">
        <v>572.6</v>
      </c>
      <c r="T66" s="23">
        <v>616.6</v>
      </c>
      <c r="U66" s="23">
        <v>721.3</v>
      </c>
      <c r="V66" s="23">
        <v>788.4</v>
      </c>
      <c r="W66" s="23">
        <v>680.4</v>
      </c>
      <c r="X66" s="23">
        <v>580</v>
      </c>
      <c r="Y66" s="23">
        <v>671.9</v>
      </c>
      <c r="Z66" s="23">
        <v>449.1</v>
      </c>
      <c r="AA66" s="23">
        <v>567.20000000000005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709.90000000000009</v>
      </c>
      <c r="E67" s="23">
        <v>816.60000000000014</v>
      </c>
      <c r="F67" s="23">
        <v>916.69999999999993</v>
      </c>
      <c r="G67" s="23">
        <v>885.40000000000009</v>
      </c>
      <c r="H67" s="23">
        <v>993.39999999999986</v>
      </c>
      <c r="I67" s="23">
        <v>1078.7</v>
      </c>
      <c r="J67" s="23">
        <v>1134</v>
      </c>
      <c r="K67" s="23">
        <v>1379.8</v>
      </c>
      <c r="L67" s="23">
        <v>1443.8</v>
      </c>
      <c r="M67" s="23">
        <v>1046.5</v>
      </c>
      <c r="N67" s="23">
        <v>1116.2</v>
      </c>
      <c r="O67" s="23">
        <v>1279.3</v>
      </c>
      <c r="P67" s="23">
        <v>1284.9000000000001</v>
      </c>
      <c r="Q67" s="23">
        <v>1349.1</v>
      </c>
      <c r="R67" s="23">
        <v>1364.1999999999998</v>
      </c>
      <c r="S67" s="23">
        <v>1484</v>
      </c>
      <c r="T67" s="23">
        <v>1552.7000000000003</v>
      </c>
      <c r="U67" s="23">
        <v>1620.7</v>
      </c>
      <c r="V67" s="23">
        <v>1823.6</v>
      </c>
      <c r="W67" s="23">
        <v>1973.4</v>
      </c>
      <c r="X67" s="23">
        <v>1857.6</v>
      </c>
      <c r="Y67" s="23">
        <v>2122.1</v>
      </c>
      <c r="Z67" s="23">
        <v>2397.7000000000003</v>
      </c>
      <c r="AA67" s="23">
        <v>2778.8999999999996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791.2</v>
      </c>
      <c r="E68" s="23">
        <v>964.7</v>
      </c>
      <c r="F68" s="23">
        <v>1037</v>
      </c>
      <c r="G68" s="23">
        <v>1440.7</v>
      </c>
      <c r="H68" s="23">
        <v>1804.7</v>
      </c>
      <c r="I68" s="23">
        <v>2100.1</v>
      </c>
      <c r="J68" s="23">
        <v>1977.6</v>
      </c>
      <c r="K68" s="23">
        <v>1562.5</v>
      </c>
      <c r="L68" s="23">
        <v>1648</v>
      </c>
      <c r="M68" s="23">
        <v>1443.4</v>
      </c>
      <c r="N68" s="23">
        <v>1491</v>
      </c>
      <c r="O68" s="23">
        <v>1964.3</v>
      </c>
      <c r="P68" s="23">
        <v>1605.7</v>
      </c>
      <c r="Q68" s="23">
        <v>1685.7</v>
      </c>
      <c r="R68" s="23">
        <v>1694</v>
      </c>
      <c r="S68" s="23">
        <v>1775.5</v>
      </c>
      <c r="T68" s="23">
        <v>1862.5</v>
      </c>
      <c r="U68" s="23">
        <v>2205.3000000000002</v>
      </c>
      <c r="V68" s="23">
        <v>2169</v>
      </c>
      <c r="W68" s="23">
        <v>2223.9</v>
      </c>
      <c r="X68" s="23">
        <v>2079.3000000000002</v>
      </c>
      <c r="Y68" s="23">
        <v>2053.8000000000002</v>
      </c>
      <c r="Z68" s="23">
        <v>2225.4</v>
      </c>
      <c r="AA68" s="23">
        <v>2986.2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775.6</v>
      </c>
      <c r="E69" s="23">
        <v>749.3</v>
      </c>
      <c r="F69" s="23">
        <v>971.3</v>
      </c>
      <c r="G69" s="23">
        <v>1167.7</v>
      </c>
      <c r="H69" s="23">
        <v>1483</v>
      </c>
      <c r="I69" s="23">
        <v>1762.7</v>
      </c>
      <c r="J69" s="23">
        <v>1569.4</v>
      </c>
      <c r="K69" s="23">
        <v>1857.9</v>
      </c>
      <c r="L69" s="23">
        <v>1779.1</v>
      </c>
      <c r="M69" s="23">
        <v>672.8</v>
      </c>
      <c r="N69" s="23">
        <v>769.9</v>
      </c>
      <c r="O69" s="23">
        <v>756.9</v>
      </c>
      <c r="P69" s="23">
        <v>769.2</v>
      </c>
      <c r="Q69" s="23">
        <v>788.2</v>
      </c>
      <c r="R69" s="23">
        <v>933.6</v>
      </c>
      <c r="S69" s="23">
        <v>948.5</v>
      </c>
      <c r="T69" s="23">
        <v>1020</v>
      </c>
      <c r="U69" s="23">
        <v>1072.5999999999999</v>
      </c>
      <c r="V69" s="23">
        <v>1213.0999999999999</v>
      </c>
      <c r="W69" s="23">
        <v>1362.9</v>
      </c>
      <c r="X69" s="23">
        <v>1484.5</v>
      </c>
      <c r="Y69" s="23">
        <v>1658.2</v>
      </c>
      <c r="Z69" s="23">
        <v>2086.4</v>
      </c>
      <c r="AA69" s="23">
        <v>2962.6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458.7</v>
      </c>
      <c r="E70" s="23">
        <v>554.4</v>
      </c>
      <c r="F70" s="23">
        <v>679</v>
      </c>
      <c r="G70" s="23">
        <v>671.2</v>
      </c>
      <c r="H70" s="23">
        <v>738.4</v>
      </c>
      <c r="I70" s="23">
        <v>862.1</v>
      </c>
      <c r="J70" s="23">
        <v>906.9</v>
      </c>
      <c r="K70" s="23">
        <v>1040.3</v>
      </c>
      <c r="L70" s="23">
        <v>1147</v>
      </c>
      <c r="M70" s="23">
        <v>2094.3000000000002</v>
      </c>
      <c r="N70" s="23">
        <v>2305.1</v>
      </c>
      <c r="O70" s="23">
        <v>2514.9</v>
      </c>
      <c r="P70" s="23">
        <v>2750.5</v>
      </c>
      <c r="Q70" s="23">
        <v>2533.6</v>
      </c>
      <c r="R70" s="23">
        <v>2656.5</v>
      </c>
      <c r="S70" s="23">
        <v>3061.2</v>
      </c>
      <c r="T70" s="23">
        <v>2055.6</v>
      </c>
      <c r="U70" s="23">
        <v>1979.8</v>
      </c>
      <c r="V70" s="23">
        <v>1822.8</v>
      </c>
      <c r="W70" s="23">
        <v>1708.3</v>
      </c>
      <c r="X70" s="23">
        <v>1571.3</v>
      </c>
      <c r="Y70" s="23">
        <v>1582.4</v>
      </c>
      <c r="Z70" s="23">
        <v>1895.4</v>
      </c>
      <c r="AA70" s="23">
        <v>2385.6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1279.4000000000001</v>
      </c>
      <c r="E71" s="23">
        <v>1331.8</v>
      </c>
      <c r="F71" s="23">
        <v>1520.2</v>
      </c>
      <c r="G71" s="23">
        <v>1784.1</v>
      </c>
      <c r="H71" s="23">
        <v>1907.4</v>
      </c>
      <c r="I71" s="23">
        <v>2267.4</v>
      </c>
      <c r="J71" s="23">
        <v>2851.6</v>
      </c>
      <c r="K71" s="23">
        <v>3445</v>
      </c>
      <c r="L71" s="23">
        <v>3359.8</v>
      </c>
      <c r="M71" s="23">
        <v>2375.6</v>
      </c>
      <c r="N71" s="23">
        <v>3062.2</v>
      </c>
      <c r="O71" s="23">
        <v>2923.5</v>
      </c>
      <c r="P71" s="23">
        <v>2596.6999999999998</v>
      </c>
      <c r="Q71" s="23">
        <v>3328.7</v>
      </c>
      <c r="R71" s="23">
        <v>3792.4</v>
      </c>
      <c r="S71" s="23">
        <v>4527.3999999999996</v>
      </c>
      <c r="T71" s="23">
        <v>4928.7</v>
      </c>
      <c r="U71" s="23">
        <v>4889.8</v>
      </c>
      <c r="V71" s="23">
        <v>5030.5</v>
      </c>
      <c r="W71" s="23">
        <v>4878</v>
      </c>
      <c r="X71" s="23">
        <v>4293.2</v>
      </c>
      <c r="Y71" s="23">
        <v>3981.4</v>
      </c>
      <c r="Z71" s="23">
        <v>4413.5</v>
      </c>
      <c r="AA71" s="23">
        <v>5380.8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42.599999999999909</v>
      </c>
      <c r="E72" s="23">
        <v>47.400000000000091</v>
      </c>
      <c r="F72" s="23">
        <v>77.299999999999955</v>
      </c>
      <c r="G72" s="23">
        <v>89.600000000000136</v>
      </c>
      <c r="H72" s="23">
        <v>98.599999999999909</v>
      </c>
      <c r="I72" s="23">
        <v>91.699999999999818</v>
      </c>
      <c r="J72" s="23">
        <v>87.400000000000091</v>
      </c>
      <c r="K72" s="23">
        <v>121.30000000000018</v>
      </c>
      <c r="L72" s="23">
        <v>194.09999999999991</v>
      </c>
      <c r="M72" s="23">
        <v>110.09999999999991</v>
      </c>
      <c r="N72" s="23">
        <v>127.5</v>
      </c>
      <c r="O72" s="23">
        <v>138.30000000000018</v>
      </c>
      <c r="P72" s="23">
        <v>126.20000000000027</v>
      </c>
      <c r="Q72" s="23">
        <v>131.10000000000036</v>
      </c>
      <c r="R72" s="23">
        <v>177</v>
      </c>
      <c r="S72" s="23">
        <v>162.70000000000073</v>
      </c>
      <c r="T72" s="23">
        <v>160</v>
      </c>
      <c r="U72" s="23">
        <v>170.69999999999982</v>
      </c>
      <c r="V72" s="23">
        <v>199.10000000000036</v>
      </c>
      <c r="W72" s="23">
        <v>257.69999999999982</v>
      </c>
      <c r="X72" s="23">
        <v>247</v>
      </c>
      <c r="Y72" s="23">
        <v>247.29999999999973</v>
      </c>
      <c r="Z72" s="23">
        <v>258.80000000000018</v>
      </c>
      <c r="AA72" s="23">
        <v>392.30000000000018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262.3</v>
      </c>
      <c r="E73" s="23">
        <v>321</v>
      </c>
      <c r="F73" s="23">
        <v>378.8</v>
      </c>
      <c r="G73" s="23">
        <v>363.6</v>
      </c>
      <c r="H73" s="23">
        <v>397.2</v>
      </c>
      <c r="I73" s="23">
        <v>404.6</v>
      </c>
      <c r="J73" s="23">
        <v>431.3</v>
      </c>
      <c r="K73" s="23">
        <v>472</v>
      </c>
      <c r="L73" s="23">
        <v>510.1</v>
      </c>
      <c r="M73" s="23">
        <v>474.3</v>
      </c>
      <c r="N73" s="23">
        <v>526.1</v>
      </c>
      <c r="O73" s="23">
        <v>547</v>
      </c>
      <c r="P73" s="23">
        <v>573.70000000000005</v>
      </c>
      <c r="Q73" s="23">
        <v>618.9</v>
      </c>
      <c r="R73" s="23">
        <v>634.20000000000005</v>
      </c>
      <c r="S73" s="23">
        <v>727.6</v>
      </c>
      <c r="T73" s="23">
        <v>827.4</v>
      </c>
      <c r="U73" s="23">
        <v>843.8</v>
      </c>
      <c r="V73" s="23">
        <v>798.5</v>
      </c>
      <c r="W73" s="23">
        <v>920.9</v>
      </c>
      <c r="X73" s="23">
        <v>903.3</v>
      </c>
      <c r="Y73" s="23">
        <v>941.2</v>
      </c>
      <c r="Z73" s="23">
        <v>1065.2</v>
      </c>
      <c r="AA73" s="23">
        <v>1242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156.3999999999989</v>
      </c>
      <c r="E74" s="23">
        <v>183.30000000000109</v>
      </c>
      <c r="F74" s="23">
        <v>238.00000000000108</v>
      </c>
      <c r="G74" s="23">
        <v>253.4999999999967</v>
      </c>
      <c r="H74" s="23">
        <v>281.59999999999928</v>
      </c>
      <c r="I74" s="23">
        <v>298.69999999999925</v>
      </c>
      <c r="J74" s="23">
        <v>295.99999999999926</v>
      </c>
      <c r="K74" s="23">
        <v>336.60000000000218</v>
      </c>
      <c r="L74" s="23">
        <v>370.80000000000143</v>
      </c>
      <c r="M74" s="23">
        <v>413.8999999999989</v>
      </c>
      <c r="N74" s="23">
        <v>439.59999999999707</v>
      </c>
      <c r="O74" s="23">
        <v>426.90000000000146</v>
      </c>
      <c r="P74" s="23">
        <v>423.3999999999985</v>
      </c>
      <c r="Q74" s="23">
        <v>436.29999999999711</v>
      </c>
      <c r="R74" s="23">
        <v>450.59999999999923</v>
      </c>
      <c r="S74" s="23">
        <v>437.80000000000507</v>
      </c>
      <c r="T74" s="23">
        <v>470.00000000000148</v>
      </c>
      <c r="U74" s="23">
        <v>568.19999999999641</v>
      </c>
      <c r="V74" s="23">
        <v>729</v>
      </c>
      <c r="W74" s="23">
        <v>839.80000000000075</v>
      </c>
      <c r="X74" s="23">
        <v>799.79999999999859</v>
      </c>
      <c r="Y74" s="23">
        <v>890.79999999999632</v>
      </c>
      <c r="Z74" s="23">
        <v>943.69999999999413</v>
      </c>
      <c r="AA74" s="23">
        <v>1162.2000000000044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9789.6</v>
      </c>
      <c r="E75" s="30">
        <f t="shared" ref="E75:Y75" si="6">SUM(E56:E74)</f>
        <v>11506.699999999999</v>
      </c>
      <c r="F75" s="30">
        <f t="shared" si="6"/>
        <v>13315.800000000001</v>
      </c>
      <c r="G75" s="30">
        <f t="shared" si="6"/>
        <v>14013.4</v>
      </c>
      <c r="H75" s="30">
        <f t="shared" si="6"/>
        <v>15900</v>
      </c>
      <c r="I75" s="30">
        <f t="shared" si="6"/>
        <v>17321.2</v>
      </c>
      <c r="J75" s="30">
        <f t="shared" si="6"/>
        <v>18139.099999999999</v>
      </c>
      <c r="K75" s="30">
        <f t="shared" si="6"/>
        <v>19513.900000000001</v>
      </c>
      <c r="L75" s="30">
        <f t="shared" si="6"/>
        <v>19786.5</v>
      </c>
      <c r="M75" s="30">
        <f t="shared" si="6"/>
        <v>16204.1</v>
      </c>
      <c r="N75" s="30">
        <f t="shared" si="6"/>
        <v>18056.099999999995</v>
      </c>
      <c r="O75" s="30">
        <f t="shared" si="6"/>
        <v>18826.199999999997</v>
      </c>
      <c r="P75" s="30">
        <f t="shared" si="6"/>
        <v>18490</v>
      </c>
      <c r="Q75" s="30">
        <f t="shared" si="6"/>
        <v>19120.900000000001</v>
      </c>
      <c r="R75" s="30">
        <f t="shared" si="6"/>
        <v>20653.999999999996</v>
      </c>
      <c r="S75" s="30">
        <f t="shared" si="6"/>
        <v>22805.200000000004</v>
      </c>
      <c r="T75" s="30">
        <f t="shared" si="6"/>
        <v>22802.800000000003</v>
      </c>
      <c r="U75" s="30">
        <f t="shared" si="6"/>
        <v>24303.8</v>
      </c>
      <c r="V75" s="30">
        <f t="shared" si="6"/>
        <v>25134.6</v>
      </c>
      <c r="W75" s="30">
        <f t="shared" si="6"/>
        <v>25534.100000000002</v>
      </c>
      <c r="X75" s="30">
        <f t="shared" si="6"/>
        <v>24003</v>
      </c>
      <c r="Y75" s="30">
        <f t="shared" si="6"/>
        <v>25611.600000000002</v>
      </c>
      <c r="Z75" s="30">
        <f t="shared" ref="Z75:AA75" si="7">SUM(Z56:Z74)</f>
        <v>28460.1</v>
      </c>
      <c r="AA75" s="30">
        <f t="shared" si="7"/>
        <v>34179.500000000007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115424.54637634478</v>
      </c>
      <c r="E2" s="19">
        <v>120113.52639624424</v>
      </c>
      <c r="F2" s="19">
        <v>125794.23191801614</v>
      </c>
      <c r="G2" s="19">
        <v>130749.85238994335</v>
      </c>
      <c r="H2" s="19">
        <v>137239.69500720961</v>
      </c>
      <c r="I2" s="19">
        <v>143140.16943083939</v>
      </c>
      <c r="J2" s="19">
        <v>148772.11959087334</v>
      </c>
      <c r="K2" s="19">
        <v>149266.74681974741</v>
      </c>
      <c r="L2" s="19">
        <v>150749.72818974539</v>
      </c>
      <c r="M2" s="19">
        <v>140587.88022553109</v>
      </c>
      <c r="N2" s="19">
        <v>142089.88988977537</v>
      </c>
      <c r="O2" s="19">
        <v>144812.71155921902</v>
      </c>
      <c r="P2" s="19">
        <v>142873.42678750434</v>
      </c>
      <c r="Q2" s="19">
        <v>145776.76613886253</v>
      </c>
      <c r="R2" s="19">
        <v>152095.44957818004</v>
      </c>
      <c r="S2" s="19">
        <v>157661.55216000002</v>
      </c>
      <c r="T2" s="19">
        <v>161506.51757986794</v>
      </c>
      <c r="U2" s="19">
        <v>168167.85228358675</v>
      </c>
      <c r="V2" s="19">
        <v>177594.67907669398</v>
      </c>
      <c r="W2" s="19">
        <v>186611.18593298231</v>
      </c>
      <c r="X2" s="19">
        <v>178515.59137055837</v>
      </c>
      <c r="Y2" s="19">
        <v>191409.7585231945</v>
      </c>
      <c r="Z2" s="19">
        <v>199582.80964380785</v>
      </c>
      <c r="AA2" s="19">
        <v>197902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57178.95926715689</v>
      </c>
      <c r="E3" s="23">
        <v>59845.158012969943</v>
      </c>
      <c r="F3" s="23">
        <v>64315.944176147052</v>
      </c>
      <c r="G3" s="23">
        <v>69550.375247264441</v>
      </c>
      <c r="H3" s="23">
        <v>70909.319068190642</v>
      </c>
      <c r="I3" s="23">
        <v>73007.816246690287</v>
      </c>
      <c r="J3" s="23">
        <v>74606.655467804958</v>
      </c>
      <c r="K3" s="23">
        <v>75329.468516772191</v>
      </c>
      <c r="L3" s="23">
        <v>74358.665644737353</v>
      </c>
      <c r="M3" s="23">
        <v>69452.004072075099</v>
      </c>
      <c r="N3" s="23">
        <v>68375.893237051787</v>
      </c>
      <c r="O3" s="23">
        <v>68771.357161296619</v>
      </c>
      <c r="P3" s="23">
        <v>67561.448551728114</v>
      </c>
      <c r="Q3" s="23">
        <v>67764.093921759428</v>
      </c>
      <c r="R3" s="23">
        <v>69453.279460086836</v>
      </c>
      <c r="S3" s="23">
        <v>72159.391128000003</v>
      </c>
      <c r="T3" s="23">
        <v>75654.808119028661</v>
      </c>
      <c r="U3" s="23">
        <v>79816.057451164204</v>
      </c>
      <c r="V3" s="23">
        <v>83832.846532312629</v>
      </c>
      <c r="W3" s="23">
        <v>88177.016159058738</v>
      </c>
      <c r="X3" s="23">
        <v>87544.776180936911</v>
      </c>
      <c r="Y3" s="23">
        <v>91977.509136883731</v>
      </c>
      <c r="Z3" s="23">
        <v>98300.210742269701</v>
      </c>
      <c r="AA3" s="23">
        <v>97298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97729.092846017098</v>
      </c>
      <c r="E4" s="27">
        <v>101872.71494929398</v>
      </c>
      <c r="F4" s="27">
        <v>106795.15375212675</v>
      </c>
      <c r="G4" s="27">
        <v>111170.37250272036</v>
      </c>
      <c r="H4" s="27">
        <v>116664.49198346066</v>
      </c>
      <c r="I4" s="27">
        <v>121597.42945839705</v>
      </c>
      <c r="J4" s="27">
        <v>126322.60034173002</v>
      </c>
      <c r="K4" s="27">
        <v>126668.98398589851</v>
      </c>
      <c r="L4" s="27">
        <v>127712.29200147366</v>
      </c>
      <c r="M4" s="27">
        <v>119008.27917436846</v>
      </c>
      <c r="N4" s="27">
        <v>120537.35538812373</v>
      </c>
      <c r="O4" s="27">
        <v>122961.72206853882</v>
      </c>
      <c r="P4" s="27">
        <v>121313.86327050794</v>
      </c>
      <c r="Q4" s="27">
        <v>124594.50554691549</v>
      </c>
      <c r="R4" s="27">
        <v>130313.40151846256</v>
      </c>
      <c r="S4" s="27">
        <v>135046.55228500001</v>
      </c>
      <c r="T4" s="27">
        <v>138530.49955542851</v>
      </c>
      <c r="U4" s="27">
        <v>144103.49993512721</v>
      </c>
      <c r="V4" s="27">
        <v>152535.62850642522</v>
      </c>
      <c r="W4" s="27">
        <v>160025.01256126896</v>
      </c>
      <c r="X4" s="27">
        <v>152649.48175535907</v>
      </c>
      <c r="Y4" s="27">
        <v>164295.93574619564</v>
      </c>
      <c r="Z4" s="27">
        <v>171786.70066390111</v>
      </c>
      <c r="AA4" s="27">
        <v>171358.8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5806.626668135119</v>
      </c>
      <c r="E6" s="19">
        <v>5927.7055776617208</v>
      </c>
      <c r="F6" s="19">
        <v>5375.4610029804644</v>
      </c>
      <c r="G6" s="19">
        <v>5053.4719090799181</v>
      </c>
      <c r="H6" s="19">
        <v>5938.6929226751572</v>
      </c>
      <c r="I6" s="19">
        <v>5256.7140063332608</v>
      </c>
      <c r="J6" s="19">
        <v>5148.6173959504431</v>
      </c>
      <c r="K6" s="19">
        <v>5136.6832787981321</v>
      </c>
      <c r="L6" s="19">
        <v>5185.3249757620415</v>
      </c>
      <c r="M6" s="19">
        <v>4194.0825631546522</v>
      </c>
      <c r="N6" s="19">
        <v>4271.3894698773393</v>
      </c>
      <c r="O6" s="19">
        <v>5742.5371335049804</v>
      </c>
      <c r="P6" s="19">
        <v>5606.5960568271821</v>
      </c>
      <c r="Q6" s="19">
        <v>5787.5432856605585</v>
      </c>
      <c r="R6" s="19">
        <v>6083.7854096887513</v>
      </c>
      <c r="S6" s="19">
        <v>6028.167824000001</v>
      </c>
      <c r="T6" s="19">
        <v>6312.7932446818995</v>
      </c>
      <c r="U6" s="19">
        <v>6368.167235478837</v>
      </c>
      <c r="V6" s="19">
        <v>6265.6875087236085</v>
      </c>
      <c r="W6" s="19">
        <v>6293.2238112463592</v>
      </c>
      <c r="X6" s="19">
        <v>6073.3844179618136</v>
      </c>
      <c r="Y6" s="19">
        <v>6705.5402999409635</v>
      </c>
      <c r="Z6" s="19">
        <v>6330.4365322315998</v>
      </c>
      <c r="AA6" s="19">
        <v>5740.7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26011.622934596206</v>
      </c>
      <c r="E7" s="23">
        <v>26449.720134571278</v>
      </c>
      <c r="F7" s="23">
        <v>26789.910290444415</v>
      </c>
      <c r="G7" s="23">
        <v>28127.021635836056</v>
      </c>
      <c r="H7" s="23">
        <v>30401.358111033482</v>
      </c>
      <c r="I7" s="23">
        <v>31402.116771129069</v>
      </c>
      <c r="J7" s="23">
        <v>32858.043085810968</v>
      </c>
      <c r="K7" s="23">
        <v>33117.616322064976</v>
      </c>
      <c r="L7" s="23">
        <v>32180.792365043046</v>
      </c>
      <c r="M7" s="23">
        <v>29429.468022181147</v>
      </c>
      <c r="N7" s="23">
        <v>30830.757941793996</v>
      </c>
      <c r="O7" s="23">
        <v>31366.554136478851</v>
      </c>
      <c r="P7" s="23">
        <v>31444.788024250054</v>
      </c>
      <c r="Q7" s="23">
        <v>31927.843672938332</v>
      </c>
      <c r="R7" s="23">
        <v>34157.050058206034</v>
      </c>
      <c r="S7" s="23">
        <v>36607.969127000004</v>
      </c>
      <c r="T7" s="23">
        <v>36594.742381168311</v>
      </c>
      <c r="U7" s="23">
        <v>36605.579147627912</v>
      </c>
      <c r="V7" s="23">
        <v>37354.280639638215</v>
      </c>
      <c r="W7" s="23">
        <v>37386.388254444821</v>
      </c>
      <c r="X7" s="23">
        <v>35291.895598330499</v>
      </c>
      <c r="Y7" s="23">
        <v>36265.752282600071</v>
      </c>
      <c r="Z7" s="23">
        <v>38079.889189939669</v>
      </c>
      <c r="AA7" s="23">
        <v>40018.6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4953.7755833162892</v>
      </c>
      <c r="E8" s="23">
        <v>5504.4802315620773</v>
      </c>
      <c r="F8" s="23">
        <v>6171.9525309811388</v>
      </c>
      <c r="G8" s="23">
        <v>6049.1597182928308</v>
      </c>
      <c r="H8" s="23">
        <v>6234.7329423757546</v>
      </c>
      <c r="I8" s="23">
        <v>6993.1865702118366</v>
      </c>
      <c r="J8" s="23">
        <v>6738.8873070115878</v>
      </c>
      <c r="K8" s="23">
        <v>6221.5657491921029</v>
      </c>
      <c r="L8" s="23">
        <v>6244.9426442643289</v>
      </c>
      <c r="M8" s="23">
        <v>5768.7914972273575</v>
      </c>
      <c r="N8" s="23">
        <v>5001.5488321629855</v>
      </c>
      <c r="O8" s="23">
        <v>4964.0633804363015</v>
      </c>
      <c r="P8" s="23">
        <v>4673.3891971484854</v>
      </c>
      <c r="Q8" s="23">
        <v>5041.0941217129675</v>
      </c>
      <c r="R8" s="23">
        <v>5454.263278122703</v>
      </c>
      <c r="S8" s="23">
        <v>5689.3248060000005</v>
      </c>
      <c r="T8" s="23">
        <v>4941.8832935749069</v>
      </c>
      <c r="U8" s="23">
        <v>6130.5042167315405</v>
      </c>
      <c r="V8" s="23">
        <v>7712.2862888142408</v>
      </c>
      <c r="W8" s="23">
        <v>9237.4333511186669</v>
      </c>
      <c r="X8" s="23">
        <v>8706.3455251066334</v>
      </c>
      <c r="Y8" s="23">
        <v>10076.392271497678</v>
      </c>
      <c r="Z8" s="23">
        <v>10997.603921981099</v>
      </c>
      <c r="AA8" s="23">
        <v>10505.3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17145.501924196418</v>
      </c>
      <c r="E9" s="23">
        <v>18257.945354942109</v>
      </c>
      <c r="F9" s="23">
        <v>19236.43566420909</v>
      </c>
      <c r="G9" s="23">
        <v>19021.775123926975</v>
      </c>
      <c r="H9" s="23">
        <v>20238.889808377335</v>
      </c>
      <c r="I9" s="23">
        <v>21055.854093688577</v>
      </c>
      <c r="J9" s="23">
        <v>22459.00572703897</v>
      </c>
      <c r="K9" s="23">
        <v>23386.76293193399</v>
      </c>
      <c r="L9" s="23">
        <v>23834.788699294189</v>
      </c>
      <c r="M9" s="23">
        <v>21051.980899568702</v>
      </c>
      <c r="N9" s="23">
        <v>21259.649833740194</v>
      </c>
      <c r="O9" s="23">
        <v>22041.025299882243</v>
      </c>
      <c r="P9" s="23">
        <v>21652.966148424966</v>
      </c>
      <c r="Q9" s="23">
        <v>23093.153722847357</v>
      </c>
      <c r="R9" s="23">
        <v>24524.099790662527</v>
      </c>
      <c r="S9" s="23">
        <v>24986.051246000003</v>
      </c>
      <c r="T9" s="23">
        <v>25528.210739703885</v>
      </c>
      <c r="U9" s="23">
        <v>26277.919316109139</v>
      </c>
      <c r="V9" s="23">
        <v>28299.922805140184</v>
      </c>
      <c r="W9" s="23">
        <v>29228.519805928845</v>
      </c>
      <c r="X9" s="23">
        <v>27160.860394127449</v>
      </c>
      <c r="Y9" s="23">
        <v>29689.475108600833</v>
      </c>
      <c r="Z9" s="23">
        <v>30603.961027574194</v>
      </c>
      <c r="AA9" s="23">
        <v>30456.400000000001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4945.0616214855481</v>
      </c>
      <c r="E10" s="23">
        <v>4945.2812346293076</v>
      </c>
      <c r="F10" s="23">
        <v>5407.3343730768765</v>
      </c>
      <c r="G10" s="23">
        <v>5872.6522052956116</v>
      </c>
      <c r="H10" s="23">
        <v>5900.955953130906</v>
      </c>
      <c r="I10" s="23">
        <v>6258.1553188469097</v>
      </c>
      <c r="J10" s="23">
        <v>6522.9520487104419</v>
      </c>
      <c r="K10" s="23">
        <v>6789.1113460233209</v>
      </c>
      <c r="L10" s="23">
        <v>6829.4121092841069</v>
      </c>
      <c r="M10" s="23">
        <v>6680.4260628465809</v>
      </c>
      <c r="N10" s="23">
        <v>6428.1986217011745</v>
      </c>
      <c r="O10" s="23">
        <v>6492.3832335389106</v>
      </c>
      <c r="P10" s="23">
        <v>6443.9008052887057</v>
      </c>
      <c r="Q10" s="23">
        <v>6543.9528039520637</v>
      </c>
      <c r="R10" s="23">
        <v>6709.2470437464262</v>
      </c>
      <c r="S10" s="23">
        <v>6552.6218330000011</v>
      </c>
      <c r="T10" s="23">
        <v>6734.4393973148271</v>
      </c>
      <c r="U10" s="23">
        <v>7013.7294240424217</v>
      </c>
      <c r="V10" s="23">
        <v>7462.3988042841065</v>
      </c>
      <c r="W10" s="23">
        <v>7877.5103492557291</v>
      </c>
      <c r="X10" s="23">
        <v>7902.3928963699273</v>
      </c>
      <c r="Y10" s="23">
        <v>8762.2380133757451</v>
      </c>
      <c r="Z10" s="23">
        <v>8548.0490580008918</v>
      </c>
      <c r="AA10" s="23">
        <v>8839.7000000000007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3430.6197422866944</v>
      </c>
      <c r="E11" s="23">
        <v>3484.4964865014235</v>
      </c>
      <c r="F11" s="23">
        <v>3826.3466714128849</v>
      </c>
      <c r="G11" s="23">
        <v>4152.0473534034581</v>
      </c>
      <c r="H11" s="23">
        <v>4444.3414605930793</v>
      </c>
      <c r="I11" s="23">
        <v>5142.1173618694038</v>
      </c>
      <c r="J11" s="23">
        <v>5917.0370816033483</v>
      </c>
      <c r="K11" s="23">
        <v>5717.6082775318355</v>
      </c>
      <c r="L11" s="23">
        <v>5587.3628645388972</v>
      </c>
      <c r="M11" s="23">
        <v>5831.9696857670979</v>
      </c>
      <c r="N11" s="23">
        <v>5830.8603548215342</v>
      </c>
      <c r="O11" s="23">
        <v>5814.1062660918515</v>
      </c>
      <c r="P11" s="23">
        <v>5631.6892408148342</v>
      </c>
      <c r="Q11" s="23">
        <v>5217.2047347503021</v>
      </c>
      <c r="R11" s="23">
        <v>5273.8611745363942</v>
      </c>
      <c r="S11" s="23">
        <v>5055.6628000000001</v>
      </c>
      <c r="T11" s="23">
        <v>5045.7549553457011</v>
      </c>
      <c r="U11" s="23">
        <v>5307.4958754066311</v>
      </c>
      <c r="V11" s="23">
        <v>5639.184830692212</v>
      </c>
      <c r="W11" s="23">
        <v>6317.1114000976686</v>
      </c>
      <c r="X11" s="23">
        <v>6224.8160772145638</v>
      </c>
      <c r="Y11" s="23">
        <v>6690.0237194794208</v>
      </c>
      <c r="Z11" s="23">
        <v>6832.9185168667909</v>
      </c>
      <c r="AA11" s="23">
        <v>6948.6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8412.1012555263624</v>
      </c>
      <c r="E12" s="23">
        <v>8533.5729033684274</v>
      </c>
      <c r="F12" s="23">
        <v>8648.8218394410724</v>
      </c>
      <c r="G12" s="23">
        <v>9059.4026345061066</v>
      </c>
      <c r="H12" s="23">
        <v>9134.4612012782472</v>
      </c>
      <c r="I12" s="23">
        <v>9592.9331797335672</v>
      </c>
      <c r="J12" s="23">
        <v>9931.2830181328409</v>
      </c>
      <c r="K12" s="23">
        <v>10221.575324425356</v>
      </c>
      <c r="L12" s="23">
        <v>10536.421738540294</v>
      </c>
      <c r="M12" s="23">
        <v>10634.846765249538</v>
      </c>
      <c r="N12" s="23">
        <v>11671.279263232975</v>
      </c>
      <c r="O12" s="23">
        <v>11543.321620461849</v>
      </c>
      <c r="P12" s="23">
        <v>11072.872182505027</v>
      </c>
      <c r="Q12" s="23">
        <v>11062.34485205176</v>
      </c>
      <c r="R12" s="23">
        <v>11036.577245527327</v>
      </c>
      <c r="S12" s="23">
        <v>11350.957077000001</v>
      </c>
      <c r="T12" s="23">
        <v>12295.912953689649</v>
      </c>
      <c r="U12" s="23">
        <v>13060.784547112693</v>
      </c>
      <c r="V12" s="23">
        <v>14407.315118129287</v>
      </c>
      <c r="W12" s="23">
        <v>16081.227557018574</v>
      </c>
      <c r="X12" s="23">
        <v>15912.022804657039</v>
      </c>
      <c r="Y12" s="23">
        <v>17283.093093603788</v>
      </c>
      <c r="Z12" s="23">
        <v>19851.683030552911</v>
      </c>
      <c r="AA12" s="23">
        <v>19545.599999999999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6869.506576566655</v>
      </c>
      <c r="E13" s="23">
        <v>7787.1894000939519</v>
      </c>
      <c r="F13" s="23">
        <v>8438.90313853728</v>
      </c>
      <c r="G13" s="23">
        <v>8933.3748966267685</v>
      </c>
      <c r="H13" s="23">
        <v>9308.3440480144782</v>
      </c>
      <c r="I13" s="23">
        <v>9924.6276621533088</v>
      </c>
      <c r="J13" s="23">
        <v>10556.48356467825</v>
      </c>
      <c r="K13" s="23">
        <v>10273.510422132851</v>
      </c>
      <c r="L13" s="23">
        <v>11002.069731637323</v>
      </c>
      <c r="M13" s="23">
        <v>10545.121873074553</v>
      </c>
      <c r="N13" s="23">
        <v>10775.485860381945</v>
      </c>
      <c r="O13" s="23">
        <v>11077.626234955991</v>
      </c>
      <c r="P13" s="23">
        <v>10835.352216828807</v>
      </c>
      <c r="Q13" s="23">
        <v>11216.658167901687</v>
      </c>
      <c r="R13" s="23">
        <v>11547.039789437138</v>
      </c>
      <c r="S13" s="23">
        <v>12294.491448999999</v>
      </c>
      <c r="T13" s="23">
        <v>12985.637586499222</v>
      </c>
      <c r="U13" s="23">
        <v>14272.198349974617</v>
      </c>
      <c r="V13" s="23">
        <v>15279.344473187119</v>
      </c>
      <c r="W13" s="23">
        <v>16262.439319756189</v>
      </c>
      <c r="X13" s="23">
        <v>15023.970361725887</v>
      </c>
      <c r="Y13" s="23">
        <v>16789.065193102415</v>
      </c>
      <c r="Z13" s="23">
        <v>17312.983919120183</v>
      </c>
      <c r="AA13" s="23">
        <v>17631.599999999999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17135.894222690735</v>
      </c>
      <c r="E14" s="23">
        <v>17725.038521373892</v>
      </c>
      <c r="F14" s="23">
        <v>19377.124034365832</v>
      </c>
      <c r="G14" s="23">
        <v>21563.448971103851</v>
      </c>
      <c r="H14" s="23">
        <v>21726.246918345609</v>
      </c>
      <c r="I14" s="23">
        <v>22438.147041930584</v>
      </c>
      <c r="J14" s="23">
        <v>22625.146251544473</v>
      </c>
      <c r="K14" s="23">
        <v>22133.702818271136</v>
      </c>
      <c r="L14" s="23">
        <v>22504.48387690993</v>
      </c>
      <c r="M14" s="23">
        <v>21335.689525569938</v>
      </c>
      <c r="N14" s="23">
        <v>20950.066829410411</v>
      </c>
      <c r="O14" s="23">
        <v>20460.410377622109</v>
      </c>
      <c r="P14" s="23">
        <v>20568.190688912793</v>
      </c>
      <c r="Q14" s="23">
        <v>21153.338626129553</v>
      </c>
      <c r="R14" s="23">
        <v>21908.559324197391</v>
      </c>
      <c r="S14" s="23">
        <v>22683.452463999984</v>
      </c>
      <c r="T14" s="23">
        <v>24167.939934546474</v>
      </c>
      <c r="U14" s="23">
        <v>24841.393238186571</v>
      </c>
      <c r="V14" s="23">
        <v>25703.128009528496</v>
      </c>
      <c r="W14" s="23">
        <v>26632.349867062159</v>
      </c>
      <c r="X14" s="23">
        <v>26417.09047632122</v>
      </c>
      <c r="Y14" s="23">
        <v>27600.117495968752</v>
      </c>
      <c r="Z14" s="23">
        <v>28528.190622081227</v>
      </c>
      <c r="AA14" s="23">
        <v>27031.799999999988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3018.3823172170742</v>
      </c>
      <c r="E15" s="23">
        <v>3257.2851045897924</v>
      </c>
      <c r="F15" s="23">
        <v>3522.8642066776879</v>
      </c>
      <c r="G15" s="23">
        <v>3338.0180546487727</v>
      </c>
      <c r="H15" s="23">
        <v>3336.4686176366154</v>
      </c>
      <c r="I15" s="23">
        <v>3533.5774525005459</v>
      </c>
      <c r="J15" s="23">
        <v>3565.1448612487061</v>
      </c>
      <c r="K15" s="23">
        <v>3670.8475155248043</v>
      </c>
      <c r="L15" s="23">
        <v>3806.6929961994883</v>
      </c>
      <c r="M15" s="23">
        <v>3535.9022797288972</v>
      </c>
      <c r="N15" s="23">
        <v>3518.1183810011753</v>
      </c>
      <c r="O15" s="23">
        <v>3459.6943855657346</v>
      </c>
      <c r="P15" s="23">
        <v>3384.1187095070777</v>
      </c>
      <c r="Q15" s="23">
        <v>3551.3715589709186</v>
      </c>
      <c r="R15" s="23">
        <v>3618.9184043378814</v>
      </c>
      <c r="S15" s="23">
        <v>3797.8536590000008</v>
      </c>
      <c r="T15" s="23">
        <v>3923.1850689036532</v>
      </c>
      <c r="U15" s="23">
        <v>4225.728584456856</v>
      </c>
      <c r="V15" s="23">
        <v>4412.0800282877535</v>
      </c>
      <c r="W15" s="23">
        <v>4708.8088453399405</v>
      </c>
      <c r="X15" s="23">
        <v>3936.7032035440352</v>
      </c>
      <c r="Y15" s="23">
        <v>4434.2382680259761</v>
      </c>
      <c r="Z15" s="23">
        <v>4700.9848455525353</v>
      </c>
      <c r="AA15" s="23">
        <v>4640.5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97729.092846017098</v>
      </c>
      <c r="E16" s="30">
        <f t="shared" ref="E16:S16" si="0">SUM(E6:E15)</f>
        <v>101872.71494929399</v>
      </c>
      <c r="F16" s="30">
        <f t="shared" si="0"/>
        <v>106795.15375212672</v>
      </c>
      <c r="G16" s="30">
        <f t="shared" si="0"/>
        <v>111170.37250272033</v>
      </c>
      <c r="H16" s="30">
        <f t="shared" si="0"/>
        <v>116664.49198346066</v>
      </c>
      <c r="I16" s="30">
        <f t="shared" si="0"/>
        <v>121597.42945839705</v>
      </c>
      <c r="J16" s="30">
        <f t="shared" si="0"/>
        <v>126322.60034173004</v>
      </c>
      <c r="K16" s="30">
        <f t="shared" si="0"/>
        <v>126668.98398589849</v>
      </c>
      <c r="L16" s="30">
        <f t="shared" si="0"/>
        <v>127712.29200147364</v>
      </c>
      <c r="M16" s="30">
        <f t="shared" si="0"/>
        <v>119008.27917436846</v>
      </c>
      <c r="N16" s="30">
        <f t="shared" si="0"/>
        <v>120537.35538812373</v>
      </c>
      <c r="O16" s="30">
        <f t="shared" si="0"/>
        <v>122961.72206853883</v>
      </c>
      <c r="P16" s="30">
        <f t="shared" si="0"/>
        <v>121313.86327050795</v>
      </c>
      <c r="Q16" s="30">
        <f t="shared" si="0"/>
        <v>124594.50554691548</v>
      </c>
      <c r="R16" s="30">
        <f t="shared" si="0"/>
        <v>130313.40151846256</v>
      </c>
      <c r="S16" s="30">
        <f t="shared" si="0"/>
        <v>135046.55228500001</v>
      </c>
      <c r="T16" s="30">
        <f t="shared" ref="T16:Y16" si="1">SUM(T6:T15)</f>
        <v>138530.49955542857</v>
      </c>
      <c r="U16" s="30">
        <f t="shared" si="1"/>
        <v>144103.49993512721</v>
      </c>
      <c r="V16" s="30">
        <f t="shared" si="1"/>
        <v>152535.62850642522</v>
      </c>
      <c r="W16" s="30">
        <f t="shared" si="1"/>
        <v>160025.01256126896</v>
      </c>
      <c r="X16" s="30">
        <f t="shared" si="1"/>
        <v>152649.4817553591</v>
      </c>
      <c r="Y16" s="30">
        <f t="shared" si="1"/>
        <v>164295.93574619564</v>
      </c>
      <c r="Z16" s="30">
        <f t="shared" ref="Z16:AA16" si="2">SUM(Z6:Z15)</f>
        <v>171786.70066390111</v>
      </c>
      <c r="AA16" s="30">
        <f t="shared" si="2"/>
        <v>171358.8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5806.626668135119</v>
      </c>
      <c r="E18" s="19">
        <v>5927.7055776617208</v>
      </c>
      <c r="F18" s="19">
        <v>5375.4610029804644</v>
      </c>
      <c r="G18" s="19">
        <v>5053.4719090799181</v>
      </c>
      <c r="H18" s="19">
        <v>5938.6929226751572</v>
      </c>
      <c r="I18" s="19">
        <v>5256.7140063332608</v>
      </c>
      <c r="J18" s="19">
        <v>5148.6173959504431</v>
      </c>
      <c r="K18" s="19">
        <v>5136.6832787981321</v>
      </c>
      <c r="L18" s="19">
        <v>5185.3249757620415</v>
      </c>
      <c r="M18" s="19">
        <v>4194.0825631546522</v>
      </c>
      <c r="N18" s="19">
        <v>4271.3894698773393</v>
      </c>
      <c r="O18" s="19">
        <v>5742.5371335049804</v>
      </c>
      <c r="P18" s="19">
        <v>5606.5960568271821</v>
      </c>
      <c r="Q18" s="19">
        <v>5787.5432856605585</v>
      </c>
      <c r="R18" s="19">
        <v>6083.7854096887513</v>
      </c>
      <c r="S18" s="19">
        <v>6028.167824000001</v>
      </c>
      <c r="T18" s="19">
        <v>6312.7932446818995</v>
      </c>
      <c r="U18" s="19">
        <v>6368.167235478837</v>
      </c>
      <c r="V18" s="19">
        <v>6265.6875087236085</v>
      </c>
      <c r="W18" s="19">
        <v>6293.2238112463592</v>
      </c>
      <c r="X18" s="19">
        <v>6073.3844179618136</v>
      </c>
      <c r="Y18" s="19">
        <v>6705.5402999409635</v>
      </c>
      <c r="Z18" s="19">
        <v>6330.4365322315998</v>
      </c>
      <c r="AA18" s="19">
        <v>5740.7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247.7893248792461</v>
      </c>
      <c r="E19" s="23">
        <v>229.35807252476627</v>
      </c>
      <c r="F19" s="23">
        <v>254.8155985664813</v>
      </c>
      <c r="G19" s="23">
        <v>258.05407570282676</v>
      </c>
      <c r="H19" s="23">
        <v>260.7522857187509</v>
      </c>
      <c r="I19" s="23">
        <v>291.22124262939491</v>
      </c>
      <c r="J19" s="23">
        <v>304.28965446238033</v>
      </c>
      <c r="K19" s="23">
        <v>244.13811858620437</v>
      </c>
      <c r="L19" s="23">
        <v>309.23873225781443</v>
      </c>
      <c r="M19" s="23">
        <v>303.43327171903877</v>
      </c>
      <c r="N19" s="23">
        <v>258.36627688536612</v>
      </c>
      <c r="O19" s="23">
        <v>295.20495678901443</v>
      </c>
      <c r="P19" s="23">
        <v>306.88675589495699</v>
      </c>
      <c r="Q19" s="23">
        <v>278.88992162961608</v>
      </c>
      <c r="R19" s="23">
        <v>261.17700044930979</v>
      </c>
      <c r="S19" s="23">
        <v>216.85385100000008</v>
      </c>
      <c r="T19" s="23">
        <v>200.1839303668948</v>
      </c>
      <c r="U19" s="23">
        <v>280.78951035144127</v>
      </c>
      <c r="V19" s="23">
        <v>427.74191918221601</v>
      </c>
      <c r="W19" s="23">
        <v>580.49409466620853</v>
      </c>
      <c r="X19" s="23">
        <v>388.65292803924825</v>
      </c>
      <c r="Y19" s="23">
        <v>554.71775150014548</v>
      </c>
      <c r="Z19" s="23">
        <v>879.2280436041367</v>
      </c>
      <c r="AA19" s="23">
        <v>626.09999999999991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21873.384804669677</v>
      </c>
      <c r="E20" s="23">
        <v>22577.316133355442</v>
      </c>
      <c r="F20" s="23">
        <v>22818.248469344657</v>
      </c>
      <c r="G20" s="23">
        <v>24060.995940031436</v>
      </c>
      <c r="H20" s="23">
        <v>25862.836885931254</v>
      </c>
      <c r="I20" s="23">
        <v>26859.964791439183</v>
      </c>
      <c r="J20" s="23">
        <v>28674.020818816298</v>
      </c>
      <c r="K20" s="23">
        <v>28073.58180482814</v>
      </c>
      <c r="L20" s="23">
        <v>27242.885911928952</v>
      </c>
      <c r="M20" s="23">
        <v>24031.588847812694</v>
      </c>
      <c r="N20" s="23">
        <v>25759.731264880502</v>
      </c>
      <c r="O20" s="23">
        <v>26680.689186276275</v>
      </c>
      <c r="P20" s="23">
        <v>26665.113329406748</v>
      </c>
      <c r="Q20" s="23">
        <v>27601.585416603139</v>
      </c>
      <c r="R20" s="23">
        <v>29951.969834980806</v>
      </c>
      <c r="S20" s="23">
        <v>32386.348676000005</v>
      </c>
      <c r="T20" s="23">
        <v>31921.35753405753</v>
      </c>
      <c r="U20" s="23">
        <v>32450.081320396384</v>
      </c>
      <c r="V20" s="23">
        <v>33214.288570444878</v>
      </c>
      <c r="W20" s="23">
        <v>32792.907660655823</v>
      </c>
      <c r="X20" s="23">
        <v>31200.12117634137</v>
      </c>
      <c r="Y20" s="23">
        <v>32048.746141035692</v>
      </c>
      <c r="Z20" s="23">
        <v>34008.769395757423</v>
      </c>
      <c r="AA20" s="23">
        <v>34179.5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2910.0163816296676</v>
      </c>
      <c r="E21" s="23">
        <v>2651.0575500039713</v>
      </c>
      <c r="F21" s="23">
        <v>2669.9945132914222</v>
      </c>
      <c r="G21" s="23">
        <v>2720.1268937856848</v>
      </c>
      <c r="H21" s="23">
        <v>3075.3479187764842</v>
      </c>
      <c r="I21" s="23">
        <v>2923.8426676130139</v>
      </c>
      <c r="J21" s="23">
        <v>2512.0889292031939</v>
      </c>
      <c r="K21" s="23">
        <v>3420.0916282556495</v>
      </c>
      <c r="L21" s="23">
        <v>3222.2235311797112</v>
      </c>
      <c r="M21" s="23">
        <v>3679.6104128157726</v>
      </c>
      <c r="N21" s="23">
        <v>3338.0751775614563</v>
      </c>
      <c r="O21" s="23">
        <v>2907.9743199010018</v>
      </c>
      <c r="P21" s="23">
        <v>3072.1844740743745</v>
      </c>
      <c r="Q21" s="23">
        <v>2714.5574411205644</v>
      </c>
      <c r="R21" s="23">
        <v>2723.4336859733694</v>
      </c>
      <c r="S21" s="23">
        <v>2732.7561590000009</v>
      </c>
      <c r="T21" s="23">
        <v>3113.2100891114501</v>
      </c>
      <c r="U21" s="23">
        <v>2512.4185526785877</v>
      </c>
      <c r="V21" s="23">
        <v>2416.2066704500526</v>
      </c>
      <c r="W21" s="23">
        <v>2714.3236041527252</v>
      </c>
      <c r="X21" s="23">
        <v>2498.4274012850806</v>
      </c>
      <c r="Y21" s="23">
        <v>2398.3127510155164</v>
      </c>
      <c r="Z21" s="23">
        <v>2106.2996363971347</v>
      </c>
      <c r="AA21" s="23">
        <v>4256.8999999999978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980.4324234176122</v>
      </c>
      <c r="E22" s="23">
        <v>991.9883786870987</v>
      </c>
      <c r="F22" s="23">
        <v>1046.8517092418524</v>
      </c>
      <c r="G22" s="23">
        <v>1087.8447263161081</v>
      </c>
      <c r="H22" s="23">
        <v>1202.4210206069913</v>
      </c>
      <c r="I22" s="23">
        <v>1327.088069447477</v>
      </c>
      <c r="J22" s="23">
        <v>1367.6436833290986</v>
      </c>
      <c r="K22" s="23">
        <v>1379.8047703949828</v>
      </c>
      <c r="L22" s="23">
        <v>1406.4441896765693</v>
      </c>
      <c r="M22" s="23">
        <v>1414.8354898336411</v>
      </c>
      <c r="N22" s="23">
        <v>1474.5852224666726</v>
      </c>
      <c r="O22" s="23">
        <v>1482.6856735125632</v>
      </c>
      <c r="P22" s="23">
        <v>1400.6034648739765</v>
      </c>
      <c r="Q22" s="23">
        <v>1332.810893585013</v>
      </c>
      <c r="R22" s="23">
        <v>1220.4695368025493</v>
      </c>
      <c r="S22" s="23">
        <v>1272.0104410000006</v>
      </c>
      <c r="T22" s="23">
        <v>1359.9908276324356</v>
      </c>
      <c r="U22" s="23">
        <v>1362.2897642015002</v>
      </c>
      <c r="V22" s="23">
        <v>1296.0434795610672</v>
      </c>
      <c r="W22" s="23">
        <v>1298.6628949700666</v>
      </c>
      <c r="X22" s="23">
        <v>1204.6940926648001</v>
      </c>
      <c r="Y22" s="23">
        <v>1263.9756390487184</v>
      </c>
      <c r="Z22" s="23">
        <v>1085.5921141809706</v>
      </c>
      <c r="AA22" s="23">
        <v>956.09999999999968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4953.7755833162892</v>
      </c>
      <c r="E23" s="23">
        <v>5504.4802315620773</v>
      </c>
      <c r="F23" s="23">
        <v>6171.9525309811388</v>
      </c>
      <c r="G23" s="23">
        <v>6049.1597182928308</v>
      </c>
      <c r="H23" s="23">
        <v>6234.7329423757546</v>
      </c>
      <c r="I23" s="23">
        <v>6993.1865702118366</v>
      </c>
      <c r="J23" s="23">
        <v>6738.8873070115878</v>
      </c>
      <c r="K23" s="23">
        <v>6221.5657491921029</v>
      </c>
      <c r="L23" s="23">
        <v>6244.9426442643289</v>
      </c>
      <c r="M23" s="23">
        <v>5768.7914972273575</v>
      </c>
      <c r="N23" s="23">
        <v>5001.5488321629855</v>
      </c>
      <c r="O23" s="23">
        <v>4964.0633804363015</v>
      </c>
      <c r="P23" s="23">
        <v>4673.3891971484854</v>
      </c>
      <c r="Q23" s="23">
        <v>5041.0941217129675</v>
      </c>
      <c r="R23" s="23">
        <v>5454.263278122703</v>
      </c>
      <c r="S23" s="23">
        <v>5689.3248060000005</v>
      </c>
      <c r="T23" s="23">
        <v>4941.8832935749069</v>
      </c>
      <c r="U23" s="23">
        <v>6130.5042167315405</v>
      </c>
      <c r="V23" s="23">
        <v>7712.2862888142408</v>
      </c>
      <c r="W23" s="23">
        <v>9237.4333511186669</v>
      </c>
      <c r="X23" s="23">
        <v>8706.3455251066334</v>
      </c>
      <c r="Y23" s="23">
        <v>10076.392271497678</v>
      </c>
      <c r="Z23" s="23">
        <v>10997.603921981099</v>
      </c>
      <c r="AA23" s="23">
        <v>10505.3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9529.4992841297062</v>
      </c>
      <c r="E24" s="23">
        <v>10375.20159993368</v>
      </c>
      <c r="F24" s="23">
        <v>11133.916533732337</v>
      </c>
      <c r="G24" s="23">
        <v>11025.881765203725</v>
      </c>
      <c r="H24" s="23">
        <v>11702.364383153697</v>
      </c>
      <c r="I24" s="23">
        <v>12263.701796243722</v>
      </c>
      <c r="J24" s="23">
        <v>13166.20185113038</v>
      </c>
      <c r="K24" s="23">
        <v>13429.179032143691</v>
      </c>
      <c r="L24" s="23">
        <v>14188.770737027846</v>
      </c>
      <c r="M24" s="23">
        <v>11856.440049291437</v>
      </c>
      <c r="N24" s="23">
        <v>11865.160969631213</v>
      </c>
      <c r="O24" s="23">
        <v>12299.545167954017</v>
      </c>
      <c r="P24" s="23">
        <v>11977.813156772343</v>
      </c>
      <c r="Q24" s="23">
        <v>13113.889140975209</v>
      </c>
      <c r="R24" s="23">
        <v>13851.517143207253</v>
      </c>
      <c r="S24" s="23">
        <v>14010.150502000004</v>
      </c>
      <c r="T24" s="23">
        <v>14127.665910927984</v>
      </c>
      <c r="U24" s="23">
        <v>14791.719027472216</v>
      </c>
      <c r="V24" s="23">
        <v>16154.677470293209</v>
      </c>
      <c r="W24" s="23">
        <v>16306.875372135504</v>
      </c>
      <c r="X24" s="23">
        <v>16441.96861991323</v>
      </c>
      <c r="Y24" s="23">
        <v>18416.304002149987</v>
      </c>
      <c r="Z24" s="23">
        <v>17588.064425334265</v>
      </c>
      <c r="AA24" s="23">
        <v>17669.7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5567.7747400053495</v>
      </c>
      <c r="E25" s="23">
        <v>5825.4800768189234</v>
      </c>
      <c r="F25" s="23">
        <v>5854.2470032459305</v>
      </c>
      <c r="G25" s="23">
        <v>5699.2352907749973</v>
      </c>
      <c r="H25" s="23">
        <v>6101.1896148075184</v>
      </c>
      <c r="I25" s="23">
        <v>6367.4795872461236</v>
      </c>
      <c r="J25" s="23">
        <v>6865.5082015205317</v>
      </c>
      <c r="K25" s="23">
        <v>7361.9799307082158</v>
      </c>
      <c r="L25" s="23">
        <v>7181.4706303808262</v>
      </c>
      <c r="M25" s="23">
        <v>6883.6047443006782</v>
      </c>
      <c r="N25" s="23">
        <v>7249.2355755804028</v>
      </c>
      <c r="O25" s="23">
        <v>7707.0743927509329</v>
      </c>
      <c r="P25" s="23">
        <v>7790.5683459593401</v>
      </c>
      <c r="Q25" s="23">
        <v>8129.5257331341036</v>
      </c>
      <c r="R25" s="23">
        <v>8519.6488614083828</v>
      </c>
      <c r="S25" s="23">
        <v>8756.0955410000006</v>
      </c>
      <c r="T25" s="23">
        <v>9136.0866066675881</v>
      </c>
      <c r="U25" s="23">
        <v>8882.9891220548707</v>
      </c>
      <c r="V25" s="23">
        <v>9241.2118287474295</v>
      </c>
      <c r="W25" s="23">
        <v>9758.0800457595542</v>
      </c>
      <c r="X25" s="23">
        <v>8792.2651188972504</v>
      </c>
      <c r="Y25" s="23">
        <v>8605.5706041995254</v>
      </c>
      <c r="Z25" s="23">
        <v>9560.5412948175326</v>
      </c>
      <c r="AA25" s="23">
        <v>8978.4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2048.2279000613603</v>
      </c>
      <c r="E26" s="23">
        <v>2057.2636781895053</v>
      </c>
      <c r="F26" s="23">
        <v>2248.2721272308231</v>
      </c>
      <c r="G26" s="23">
        <v>2296.6580679482527</v>
      </c>
      <c r="H26" s="23">
        <v>2435.335810416118</v>
      </c>
      <c r="I26" s="23">
        <v>2424.6727101987335</v>
      </c>
      <c r="J26" s="23">
        <v>2427.2956743880582</v>
      </c>
      <c r="K26" s="23">
        <v>2595.6039690820867</v>
      </c>
      <c r="L26" s="23">
        <v>2464.5473318855193</v>
      </c>
      <c r="M26" s="23">
        <v>2311.936105976587</v>
      </c>
      <c r="N26" s="23">
        <v>2145.2532885285755</v>
      </c>
      <c r="O26" s="23">
        <v>2034.4057391772949</v>
      </c>
      <c r="P26" s="23">
        <v>1884.5846456932793</v>
      </c>
      <c r="Q26" s="23">
        <v>1849.738848738044</v>
      </c>
      <c r="R26" s="23">
        <v>2152.9337860468918</v>
      </c>
      <c r="S26" s="23">
        <v>2219.8052029999999</v>
      </c>
      <c r="T26" s="23">
        <v>2264.4582221083137</v>
      </c>
      <c r="U26" s="23">
        <v>2603.2111665820503</v>
      </c>
      <c r="V26" s="23">
        <v>2904.0335060995467</v>
      </c>
      <c r="W26" s="23">
        <v>3163.5643880337861</v>
      </c>
      <c r="X26" s="23">
        <v>1926.626655316968</v>
      </c>
      <c r="Y26" s="23">
        <v>2667.6005022513195</v>
      </c>
      <c r="Z26" s="23">
        <v>3455.3553074223973</v>
      </c>
      <c r="AA26" s="23">
        <v>3808.3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4945.0616214855481</v>
      </c>
      <c r="E27" s="23">
        <v>4945.2812346293076</v>
      </c>
      <c r="F27" s="23">
        <v>5407.3343730768765</v>
      </c>
      <c r="G27" s="23">
        <v>5872.6522052956116</v>
      </c>
      <c r="H27" s="23">
        <v>5900.955953130906</v>
      </c>
      <c r="I27" s="23">
        <v>6258.1553188469097</v>
      </c>
      <c r="J27" s="23">
        <v>6522.9520487104419</v>
      </c>
      <c r="K27" s="23">
        <v>6789.1113460233209</v>
      </c>
      <c r="L27" s="23">
        <v>6829.4121092841069</v>
      </c>
      <c r="M27" s="23">
        <v>6680.4260628465809</v>
      </c>
      <c r="N27" s="23">
        <v>6428.1986217011745</v>
      </c>
      <c r="O27" s="23">
        <v>6492.3832335389106</v>
      </c>
      <c r="P27" s="23">
        <v>6443.9008052887057</v>
      </c>
      <c r="Q27" s="23">
        <v>6543.9528039520637</v>
      </c>
      <c r="R27" s="23">
        <v>6709.2470437464262</v>
      </c>
      <c r="S27" s="23">
        <v>6552.6218330000011</v>
      </c>
      <c r="T27" s="23">
        <v>6734.4393973148271</v>
      </c>
      <c r="U27" s="23">
        <v>7013.7294240424217</v>
      </c>
      <c r="V27" s="23">
        <v>7462.3988042841065</v>
      </c>
      <c r="W27" s="23">
        <v>7877.5103492557291</v>
      </c>
      <c r="X27" s="23">
        <v>7902.3928963699273</v>
      </c>
      <c r="Y27" s="23">
        <v>8762.2380133757451</v>
      </c>
      <c r="Z27" s="23">
        <v>8548.0490580008918</v>
      </c>
      <c r="AA27" s="23">
        <v>8839.7000000000007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3430.6197422866944</v>
      </c>
      <c r="E28" s="23">
        <v>3484.4964865014235</v>
      </c>
      <c r="F28" s="23">
        <v>3826.3466714128849</v>
      </c>
      <c r="G28" s="23">
        <v>4152.0473534034581</v>
      </c>
      <c r="H28" s="23">
        <v>4444.3414605930793</v>
      </c>
      <c r="I28" s="23">
        <v>5142.1173618694038</v>
      </c>
      <c r="J28" s="23">
        <v>5917.0370816033483</v>
      </c>
      <c r="K28" s="23">
        <v>5717.6082775318355</v>
      </c>
      <c r="L28" s="23">
        <v>5587.3628645388972</v>
      </c>
      <c r="M28" s="23">
        <v>5831.9696857670979</v>
      </c>
      <c r="N28" s="23">
        <v>5830.8603548215342</v>
      </c>
      <c r="O28" s="23">
        <v>5814.1062660918515</v>
      </c>
      <c r="P28" s="23">
        <v>5631.6892408148342</v>
      </c>
      <c r="Q28" s="23">
        <v>5217.2047347503021</v>
      </c>
      <c r="R28" s="23">
        <v>5273.8611745363942</v>
      </c>
      <c r="S28" s="23">
        <v>5055.6628000000001</v>
      </c>
      <c r="T28" s="23">
        <v>5045.7549553457011</v>
      </c>
      <c r="U28" s="23">
        <v>5307.4958754066311</v>
      </c>
      <c r="V28" s="23">
        <v>5639.184830692212</v>
      </c>
      <c r="W28" s="23">
        <v>6317.1114000976686</v>
      </c>
      <c r="X28" s="23">
        <v>6224.8160772145638</v>
      </c>
      <c r="Y28" s="23">
        <v>6690.0237194794208</v>
      </c>
      <c r="Z28" s="23">
        <v>6832.9185168667909</v>
      </c>
      <c r="AA28" s="23">
        <v>6948.6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8412.1012555263624</v>
      </c>
      <c r="E29" s="23">
        <v>8533.5729033684274</v>
      </c>
      <c r="F29" s="23">
        <v>8648.8218394410724</v>
      </c>
      <c r="G29" s="23">
        <v>9059.4026345061066</v>
      </c>
      <c r="H29" s="23">
        <v>9134.4612012782472</v>
      </c>
      <c r="I29" s="23">
        <v>9592.9331797335672</v>
      </c>
      <c r="J29" s="23">
        <v>9931.2830181328409</v>
      </c>
      <c r="K29" s="23">
        <v>10221.575324425356</v>
      </c>
      <c r="L29" s="23">
        <v>10536.421738540294</v>
      </c>
      <c r="M29" s="23">
        <v>10634.846765249538</v>
      </c>
      <c r="N29" s="23">
        <v>11671.279263232975</v>
      </c>
      <c r="O29" s="23">
        <v>11543.321620461849</v>
      </c>
      <c r="P29" s="23">
        <v>11072.872182505027</v>
      </c>
      <c r="Q29" s="23">
        <v>11062.34485205176</v>
      </c>
      <c r="R29" s="23">
        <v>11036.577245527327</v>
      </c>
      <c r="S29" s="23">
        <v>11350.957077000001</v>
      </c>
      <c r="T29" s="23">
        <v>12295.912953689649</v>
      </c>
      <c r="U29" s="23">
        <v>13060.784547112693</v>
      </c>
      <c r="V29" s="23">
        <v>14407.315118129287</v>
      </c>
      <c r="W29" s="23">
        <v>16081.227557018574</v>
      </c>
      <c r="X29" s="23">
        <v>15912.022804657039</v>
      </c>
      <c r="Y29" s="23">
        <v>17283.093093603788</v>
      </c>
      <c r="Z29" s="23">
        <v>19851.683030552911</v>
      </c>
      <c r="AA29" s="23">
        <v>19545.599999999999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4328.6046806903823</v>
      </c>
      <c r="E30" s="23">
        <v>4990.0171543839297</v>
      </c>
      <c r="F30" s="23">
        <v>5324.2237037394571</v>
      </c>
      <c r="G30" s="23">
        <v>5626.4345266594119</v>
      </c>
      <c r="H30" s="23">
        <v>5791.4862095822791</v>
      </c>
      <c r="I30" s="23">
        <v>6114.5606060275177</v>
      </c>
      <c r="J30" s="23">
        <v>6563.2620713069218</v>
      </c>
      <c r="K30" s="23">
        <v>6346.7278960218018</v>
      </c>
      <c r="L30" s="23">
        <v>6884.0727400527412</v>
      </c>
      <c r="M30" s="23">
        <v>6598.5613678373375</v>
      </c>
      <c r="N30" s="23">
        <v>6898.422392332961</v>
      </c>
      <c r="O30" s="23">
        <v>6899.2643813743689</v>
      </c>
      <c r="P30" s="23">
        <v>6749.922278977192</v>
      </c>
      <c r="Q30" s="23">
        <v>7035.185931957024</v>
      </c>
      <c r="R30" s="23">
        <v>7193.6063893881228</v>
      </c>
      <c r="S30" s="23">
        <v>7661.601349999999</v>
      </c>
      <c r="T30" s="23">
        <v>8100.589730497014</v>
      </c>
      <c r="U30" s="23">
        <v>8684.3135198661166</v>
      </c>
      <c r="V30" s="23">
        <v>9401.5045409288432</v>
      </c>
      <c r="W30" s="23">
        <v>10031.246182785004</v>
      </c>
      <c r="X30" s="23">
        <v>9838.5084024383541</v>
      </c>
      <c r="Y30" s="23">
        <v>10646.126068605767</v>
      </c>
      <c r="Z30" s="23">
        <v>10653.454548437854</v>
      </c>
      <c r="AA30" s="23">
        <v>10596.899999999998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2540.9018958762726</v>
      </c>
      <c r="E31" s="23">
        <v>2797.1722457100223</v>
      </c>
      <c r="F31" s="23">
        <v>3114.679434797823</v>
      </c>
      <c r="G31" s="23">
        <v>3306.9403699673558</v>
      </c>
      <c r="H31" s="23">
        <v>3516.8578384321986</v>
      </c>
      <c r="I31" s="23">
        <v>3810.0670561257916</v>
      </c>
      <c r="J31" s="23">
        <v>3993.2214933713276</v>
      </c>
      <c r="K31" s="23">
        <v>3926.7825261110493</v>
      </c>
      <c r="L31" s="23">
        <v>4117.9969915845804</v>
      </c>
      <c r="M31" s="23">
        <v>3946.5605052372152</v>
      </c>
      <c r="N31" s="23">
        <v>3877.0634680489839</v>
      </c>
      <c r="O31" s="23">
        <v>4178.3618535816222</v>
      </c>
      <c r="P31" s="23">
        <v>4085.4299378516157</v>
      </c>
      <c r="Q31" s="23">
        <v>4181.4722359446632</v>
      </c>
      <c r="R31" s="23">
        <v>4353.4334000490162</v>
      </c>
      <c r="S31" s="23">
        <v>4632.8900990000002</v>
      </c>
      <c r="T31" s="23">
        <v>4885.0478560022084</v>
      </c>
      <c r="U31" s="23">
        <v>5587.8848301084981</v>
      </c>
      <c r="V31" s="23">
        <v>5877.8399322582745</v>
      </c>
      <c r="W31" s="23">
        <v>6231.1931369711865</v>
      </c>
      <c r="X31" s="23">
        <v>5185.4619592875324</v>
      </c>
      <c r="Y31" s="23">
        <v>6142.9391244966473</v>
      </c>
      <c r="Z31" s="23">
        <v>6659.5293706823286</v>
      </c>
      <c r="AA31" s="23">
        <v>7034.7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8386.8531097090963</v>
      </c>
      <c r="E32" s="23">
        <v>8778.8356213213901</v>
      </c>
      <c r="F32" s="23">
        <v>9435.3743595622163</v>
      </c>
      <c r="G32" s="23">
        <v>9937.8194015233894</v>
      </c>
      <c r="H32" s="23">
        <v>10115.622409428799</v>
      </c>
      <c r="I32" s="23">
        <v>10369.678229962903</v>
      </c>
      <c r="J32" s="23">
        <v>10656.863424869496</v>
      </c>
      <c r="K32" s="23">
        <v>10693.019410817205</v>
      </c>
      <c r="L32" s="23">
        <v>11071.875625339311</v>
      </c>
      <c r="M32" s="23">
        <v>10625.948428835494</v>
      </c>
      <c r="N32" s="23">
        <v>10528.818111770795</v>
      </c>
      <c r="O32" s="23">
        <v>10189.035222441778</v>
      </c>
      <c r="P32" s="23">
        <v>9825.2794544752778</v>
      </c>
      <c r="Q32" s="23">
        <v>10455.773707803486</v>
      </c>
      <c r="R32" s="23">
        <v>10485.074673229334</v>
      </c>
      <c r="S32" s="23">
        <v>10811.875728999985</v>
      </c>
      <c r="T32" s="23">
        <v>11503.856535496734</v>
      </c>
      <c r="U32" s="23">
        <v>11771.662948233388</v>
      </c>
      <c r="V32" s="23">
        <v>11998.827919268229</v>
      </c>
      <c r="W32" s="23">
        <v>12500.400931469185</v>
      </c>
      <c r="X32" s="23">
        <v>12230.218728833714</v>
      </c>
      <c r="Y32" s="23">
        <v>12520.378827904007</v>
      </c>
      <c r="Z32" s="23">
        <v>13490.894435515758</v>
      </c>
      <c r="AA32" s="23">
        <v>12276.299999999988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4731.010969335578</v>
      </c>
      <c r="E33" s="23">
        <v>4908.589932023543</v>
      </c>
      <c r="F33" s="23">
        <v>5454.9730660166761</v>
      </c>
      <c r="G33" s="23">
        <v>6361.6535642606696</v>
      </c>
      <c r="H33" s="23">
        <v>6269.054065538845</v>
      </c>
      <c r="I33" s="23">
        <v>6552.6330290456444</v>
      </c>
      <c r="J33" s="23">
        <v>6556.9389305074737</v>
      </c>
      <c r="K33" s="23">
        <v>6237.246983679961</v>
      </c>
      <c r="L33" s="23">
        <v>6221.3986446133567</v>
      </c>
      <c r="M33" s="23">
        <v>5761.8211337030189</v>
      </c>
      <c r="N33" s="23">
        <v>5626.4214399807124</v>
      </c>
      <c r="O33" s="23">
        <v>5404.9575813823531</v>
      </c>
      <c r="P33" s="23">
        <v>5400.9473190893023</v>
      </c>
      <c r="Q33" s="23">
        <v>5060.0043596702553</v>
      </c>
      <c r="R33" s="23">
        <v>5777.0728300383962</v>
      </c>
      <c r="S33" s="23">
        <v>6132.5473790000005</v>
      </c>
      <c r="T33" s="23">
        <v>6552.4540060721956</v>
      </c>
      <c r="U33" s="23">
        <v>6589.4074725935961</v>
      </c>
      <c r="V33" s="23">
        <v>6791.0987400783506</v>
      </c>
      <c r="W33" s="23">
        <v>7013.0621742118683</v>
      </c>
      <c r="X33" s="23">
        <v>6846.1408250498835</v>
      </c>
      <c r="Y33" s="23">
        <v>6981.209870560142</v>
      </c>
      <c r="Z33" s="23">
        <v>7303.3754903528188</v>
      </c>
      <c r="AA33" s="23">
        <v>7281.9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4018.0301436460613</v>
      </c>
      <c r="E34" s="23">
        <v>4037.6129680289596</v>
      </c>
      <c r="F34" s="23">
        <v>4486.7766087869395</v>
      </c>
      <c r="G34" s="23">
        <v>5263.9760053197924</v>
      </c>
      <c r="H34" s="23">
        <v>5341.5704433779647</v>
      </c>
      <c r="I34" s="23">
        <v>5515.8357829220358</v>
      </c>
      <c r="J34" s="23">
        <v>5411.3438961675029</v>
      </c>
      <c r="K34" s="23">
        <v>5203.436423773971</v>
      </c>
      <c r="L34" s="23">
        <v>5211.2096069572635</v>
      </c>
      <c r="M34" s="23">
        <v>4947.9199630314233</v>
      </c>
      <c r="N34" s="23">
        <v>4794.827277658901</v>
      </c>
      <c r="O34" s="23">
        <v>4866.4175737979767</v>
      </c>
      <c r="P34" s="23">
        <v>5341.963915348213</v>
      </c>
      <c r="Q34" s="23">
        <v>5637.5605586558113</v>
      </c>
      <c r="R34" s="23">
        <v>5646.411820929663</v>
      </c>
      <c r="S34" s="23">
        <v>5739.029356</v>
      </c>
      <c r="T34" s="23">
        <v>6111.6293929775447</v>
      </c>
      <c r="U34" s="23">
        <v>6480.3228173595844</v>
      </c>
      <c r="V34" s="23">
        <v>6913.2013501819165</v>
      </c>
      <c r="W34" s="23">
        <v>7118.8867613811062</v>
      </c>
      <c r="X34" s="23">
        <v>7340.7309224376222</v>
      </c>
      <c r="Y34" s="23">
        <v>8098.5287975046031</v>
      </c>
      <c r="Z34" s="23">
        <v>7733.9206962126509</v>
      </c>
      <c r="AA34" s="23">
        <v>7473.6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1223.976484840857</v>
      </c>
      <c r="E35" s="23">
        <v>1350.5146301362292</v>
      </c>
      <c r="F35" s="23">
        <v>1606.8633945917252</v>
      </c>
      <c r="G35" s="23">
        <v>1421.6752992383026</v>
      </c>
      <c r="H35" s="23">
        <v>1361.2961125682932</v>
      </c>
      <c r="I35" s="23">
        <v>1440.7542946058088</v>
      </c>
      <c r="J35" s="23">
        <v>1441.2018667141606</v>
      </c>
      <c r="K35" s="23">
        <v>1475.6185517611664</v>
      </c>
      <c r="L35" s="23">
        <v>1552.2517664624218</v>
      </c>
      <c r="M35" s="23">
        <v>1308.9452865064691</v>
      </c>
      <c r="N35" s="23">
        <v>1438.4909827913564</v>
      </c>
      <c r="O35" s="23">
        <v>1413.8092409636147</v>
      </c>
      <c r="P35" s="23">
        <v>1374.3565712776974</v>
      </c>
      <c r="Q35" s="23">
        <v>1482.2162087437359</v>
      </c>
      <c r="R35" s="23">
        <v>1563.2915407237972</v>
      </c>
      <c r="S35" s="23">
        <v>1691.6588560000005</v>
      </c>
      <c r="T35" s="23">
        <v>1793.6760138398756</v>
      </c>
      <c r="U35" s="23">
        <v>2085.4262302326024</v>
      </c>
      <c r="V35" s="23">
        <v>2205.7757227800166</v>
      </c>
      <c r="W35" s="23">
        <v>2341.7542748105411</v>
      </c>
      <c r="X35" s="23">
        <v>2026.7145331063393</v>
      </c>
      <c r="Y35" s="23">
        <v>2384.0475076879693</v>
      </c>
      <c r="Z35" s="23">
        <v>2556.3845653509252</v>
      </c>
      <c r="AA35" s="23">
        <v>2552.4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1774.7435595273682</v>
      </c>
      <c r="E36" s="23">
        <v>1884.2063044018901</v>
      </c>
      <c r="F36" s="23">
        <v>1892.0101034112436</v>
      </c>
      <c r="G36" s="23">
        <v>1893.5066666666667</v>
      </c>
      <c r="H36" s="23">
        <v>1953.2134926180031</v>
      </c>
      <c r="I36" s="23">
        <v>2072.8191428259447</v>
      </c>
      <c r="J36" s="23">
        <v>2100.8635306165611</v>
      </c>
      <c r="K36" s="23">
        <v>2174.9440641050319</v>
      </c>
      <c r="L36" s="23">
        <v>2237.5060720933839</v>
      </c>
      <c r="M36" s="23">
        <v>2214.7959334565621</v>
      </c>
      <c r="N36" s="23">
        <v>2061.3662809037301</v>
      </c>
      <c r="O36" s="23">
        <v>2027.6031285551765</v>
      </c>
      <c r="P36" s="23">
        <v>1990.7259296870241</v>
      </c>
      <c r="Q36" s="23">
        <v>2050.2451122698949</v>
      </c>
      <c r="R36" s="23">
        <v>2037.3546248264033</v>
      </c>
      <c r="S36" s="23">
        <v>2079.9223980000002</v>
      </c>
      <c r="T36" s="23">
        <v>2100.6713699899451</v>
      </c>
      <c r="U36" s="23">
        <v>2112.3969773039244</v>
      </c>
      <c r="V36" s="23">
        <v>2157.0139661477479</v>
      </c>
      <c r="W36" s="23">
        <v>2331.736898840637</v>
      </c>
      <c r="X36" s="23">
        <v>1876.1927636516743</v>
      </c>
      <c r="Y36" s="23">
        <v>2019.53300055512</v>
      </c>
      <c r="Z36" s="23">
        <v>2117.4746177730281</v>
      </c>
      <c r="AA36" s="23">
        <v>2063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19.662272848849103</v>
      </c>
      <c r="E37" s="23">
        <v>22.564170051673162</v>
      </c>
      <c r="F37" s="23">
        <v>23.990708674719148</v>
      </c>
      <c r="G37" s="23">
        <v>22.836088743803654</v>
      </c>
      <c r="H37" s="23">
        <v>21.959012450318987</v>
      </c>
      <c r="I37" s="23">
        <v>20.004015068792313</v>
      </c>
      <c r="J37" s="23">
        <v>23.079463917984793</v>
      </c>
      <c r="K37" s="23">
        <v>20.284899658606264</v>
      </c>
      <c r="L37" s="23">
        <v>16.935157643682619</v>
      </c>
      <c r="M37" s="23">
        <v>12.16105976586568</v>
      </c>
      <c r="N37" s="23">
        <v>18.261117306088828</v>
      </c>
      <c r="O37" s="23">
        <v>18.282016046943298</v>
      </c>
      <c r="P37" s="23">
        <v>19.036208542356356</v>
      </c>
      <c r="Q37" s="23">
        <v>18.910237957287631</v>
      </c>
      <c r="R37" s="23">
        <v>18.272238787680745</v>
      </c>
      <c r="S37" s="23">
        <v>26.272405000000003</v>
      </c>
      <c r="T37" s="23">
        <v>28.837685073832386</v>
      </c>
      <c r="U37" s="23">
        <v>27.905376920328692</v>
      </c>
      <c r="V37" s="23">
        <v>49.290339359989574</v>
      </c>
      <c r="W37" s="23">
        <v>35.31767168876268</v>
      </c>
      <c r="X37" s="23">
        <v>33.795906786021568</v>
      </c>
      <c r="Y37" s="23">
        <v>30.657759782886448</v>
      </c>
      <c r="Z37" s="23">
        <v>27.125662428582245</v>
      </c>
      <c r="AA37" s="23">
        <v>25.1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97729.092846017084</v>
      </c>
      <c r="E39" s="30">
        <f t="shared" ref="E39:S39" si="3">SUM(E18:E38)</f>
        <v>101872.71494929398</v>
      </c>
      <c r="F39" s="30">
        <f t="shared" si="3"/>
        <v>106795.15375212675</v>
      </c>
      <c r="G39" s="30">
        <f t="shared" si="3"/>
        <v>111170.37250272035</v>
      </c>
      <c r="H39" s="30">
        <f t="shared" si="3"/>
        <v>116664.49198346064</v>
      </c>
      <c r="I39" s="30">
        <f t="shared" si="3"/>
        <v>121597.42945839703</v>
      </c>
      <c r="J39" s="30">
        <f t="shared" si="3"/>
        <v>126322.60034173005</v>
      </c>
      <c r="K39" s="30">
        <f t="shared" si="3"/>
        <v>126668.98398589849</v>
      </c>
      <c r="L39" s="30">
        <f t="shared" si="3"/>
        <v>127712.29200147363</v>
      </c>
      <c r="M39" s="30">
        <f t="shared" si="3"/>
        <v>119008.27917436848</v>
      </c>
      <c r="N39" s="30">
        <f t="shared" si="3"/>
        <v>120537.35538812373</v>
      </c>
      <c r="O39" s="30">
        <f t="shared" si="3"/>
        <v>122961.72206853882</v>
      </c>
      <c r="P39" s="30">
        <f t="shared" si="3"/>
        <v>121313.86327050794</v>
      </c>
      <c r="Q39" s="30">
        <f t="shared" si="3"/>
        <v>124594.50554691548</v>
      </c>
      <c r="R39" s="30">
        <f t="shared" si="3"/>
        <v>130313.40151846256</v>
      </c>
      <c r="S39" s="30">
        <f t="shared" si="3"/>
        <v>135046.55228499998</v>
      </c>
      <c r="T39" s="30">
        <f t="shared" ref="T39:Y39" si="4">SUM(T18:T38)</f>
        <v>138530.49955542854</v>
      </c>
      <c r="U39" s="30">
        <f t="shared" si="4"/>
        <v>144103.49993512724</v>
      </c>
      <c r="V39" s="30">
        <f t="shared" si="4"/>
        <v>152535.62850642522</v>
      </c>
      <c r="W39" s="30">
        <f t="shared" si="4"/>
        <v>160025.01256126896</v>
      </c>
      <c r="X39" s="30">
        <f t="shared" si="4"/>
        <v>152649.48175535907</v>
      </c>
      <c r="Y39" s="30">
        <f t="shared" si="4"/>
        <v>164295.93574619564</v>
      </c>
      <c r="Z39" s="30">
        <f t="shared" ref="Z39:AA39" si="5">SUM(Z18:Z38)</f>
        <v>171786.70066390111</v>
      </c>
      <c r="AA39" s="30">
        <f t="shared" si="5"/>
        <v>171358.8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3183.9475920011328</v>
      </c>
      <c r="E41" s="19">
        <v>3533.5490300920173</v>
      </c>
      <c r="F41" s="19">
        <v>3775.9661831959743</v>
      </c>
      <c r="G41" s="19">
        <v>3473.4892878732926</v>
      </c>
      <c r="H41" s="19">
        <v>3484.0006494324625</v>
      </c>
      <c r="I41" s="19">
        <v>3190.7179384145011</v>
      </c>
      <c r="J41" s="19">
        <v>3237.6061678373053</v>
      </c>
      <c r="K41" s="19">
        <v>2925.0537578637063</v>
      </c>
      <c r="L41" s="19">
        <v>2680.9869076242921</v>
      </c>
      <c r="M41" s="19">
        <v>3094.2481823783119</v>
      </c>
      <c r="N41" s="19">
        <v>2835.0384617702903</v>
      </c>
      <c r="O41" s="19">
        <v>2651.8843741891706</v>
      </c>
      <c r="P41" s="19">
        <v>2606.5184332920367</v>
      </c>
      <c r="Q41" s="19">
        <v>2849.9605190132042</v>
      </c>
      <c r="R41" s="19">
        <v>2950.0964576015035</v>
      </c>
      <c r="S41" s="19">
        <v>2992.2139100000004</v>
      </c>
      <c r="T41" s="19">
        <v>3054.4148088638294</v>
      </c>
      <c r="U41" s="19">
        <v>3051.2994199056061</v>
      </c>
      <c r="V41" s="19">
        <v>3259.505390491965</v>
      </c>
      <c r="W41" s="19">
        <v>3205.6887382662007</v>
      </c>
      <c r="X41" s="19">
        <v>3193.4532227652999</v>
      </c>
      <c r="Y41" s="19">
        <v>3182.7760003172111</v>
      </c>
      <c r="Z41" s="19">
        <v>3399.4310342216204</v>
      </c>
      <c r="AA41" s="19">
        <v>3722.9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1572.5349580704542</v>
      </c>
      <c r="E42" s="23">
        <v>1607.7461687253033</v>
      </c>
      <c r="F42" s="23">
        <v>1395.2310716397378</v>
      </c>
      <c r="G42" s="23">
        <v>1165.3273255954541</v>
      </c>
      <c r="H42" s="23">
        <v>1069.8105547092443</v>
      </c>
      <c r="I42" s="23">
        <v>896.14886110504483</v>
      </c>
      <c r="J42" s="23">
        <v>906.89646916081347</v>
      </c>
      <c r="K42" s="23">
        <v>791.54268029540196</v>
      </c>
      <c r="L42" s="23">
        <v>701.50104223221899</v>
      </c>
      <c r="M42" s="23">
        <v>622.43863216266175</v>
      </c>
      <c r="N42" s="23">
        <v>599.90623650080875</v>
      </c>
      <c r="O42" s="23">
        <v>655.31815659740937</v>
      </c>
      <c r="P42" s="23">
        <v>640.45304648942874</v>
      </c>
      <c r="Q42" s="23">
        <v>649.87703270006807</v>
      </c>
      <c r="R42" s="23">
        <v>660.26589841516227</v>
      </c>
      <c r="S42" s="23">
        <v>645.02304600000002</v>
      </c>
      <c r="T42" s="23">
        <v>664.52665556059378</v>
      </c>
      <c r="U42" s="23">
        <v>670.7971944867528</v>
      </c>
      <c r="V42" s="23">
        <v>685.43965217229481</v>
      </c>
      <c r="W42" s="23">
        <v>679.12671960064381</v>
      </c>
      <c r="X42" s="23">
        <v>571.93073022498038</v>
      </c>
      <c r="Y42" s="23">
        <v>571.86107023588193</v>
      </c>
      <c r="Z42" s="23">
        <v>548.72705670506468</v>
      </c>
      <c r="AA42" s="23">
        <v>573.79999999999995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1286.5382620871944</v>
      </c>
      <c r="E43" s="23">
        <v>1452.5439208046644</v>
      </c>
      <c r="F43" s="23">
        <v>1417.679520471082</v>
      </c>
      <c r="G43" s="23">
        <v>1376.1748216660621</v>
      </c>
      <c r="H43" s="23">
        <v>1363.736002840551</v>
      </c>
      <c r="I43" s="23">
        <v>1305.6884254203976</v>
      </c>
      <c r="J43" s="23">
        <v>1268.7382014092188</v>
      </c>
      <c r="K43" s="23">
        <v>1318.9500714191647</v>
      </c>
      <c r="L43" s="23">
        <v>1238.4694553245947</v>
      </c>
      <c r="M43" s="23">
        <v>1075.2156500308072</v>
      </c>
      <c r="N43" s="23">
        <v>1102.3722923761591</v>
      </c>
      <c r="O43" s="23">
        <v>1111.9433946071094</v>
      </c>
      <c r="P43" s="23">
        <v>1104.9653776631396</v>
      </c>
      <c r="Q43" s="23">
        <v>1155.4011038941237</v>
      </c>
      <c r="R43" s="23">
        <v>1214.0887550036764</v>
      </c>
      <c r="S43" s="23">
        <v>1250.4244650000001</v>
      </c>
      <c r="T43" s="23">
        <v>1301.6155136722984</v>
      </c>
      <c r="U43" s="23">
        <v>1332.3816090333014</v>
      </c>
      <c r="V43" s="23">
        <v>1384.2260182195464</v>
      </c>
      <c r="W43" s="23">
        <v>1461.5094684295248</v>
      </c>
      <c r="X43" s="23">
        <v>1423.587581232724</v>
      </c>
      <c r="Y43" s="23">
        <v>1548.905104459463</v>
      </c>
      <c r="Z43" s="23">
        <v>1860.7965433386905</v>
      </c>
      <c r="AA43" s="23">
        <v>1666.7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1082.5421812803852</v>
      </c>
      <c r="E44" s="23">
        <v>1107.9988546243335</v>
      </c>
      <c r="F44" s="23">
        <v>1357.3600243746455</v>
      </c>
      <c r="G44" s="23">
        <v>1295.647561358965</v>
      </c>
      <c r="H44" s="23">
        <v>1940.6887225537469</v>
      </c>
      <c r="I44" s="23">
        <v>2137.6383544442019</v>
      </c>
      <c r="J44" s="23">
        <v>2400.7384830303772</v>
      </c>
      <c r="K44" s="23">
        <v>1895.8468631284634</v>
      </c>
      <c r="L44" s="23">
        <v>2062.0963904832079</v>
      </c>
      <c r="M44" s="23">
        <v>1538.6706715958103</v>
      </c>
      <c r="N44" s="23">
        <v>1636.3673086003034</v>
      </c>
      <c r="O44" s="23">
        <v>1495.5822894836638</v>
      </c>
      <c r="P44" s="23">
        <v>1616.2029479862706</v>
      </c>
      <c r="Q44" s="23">
        <v>1192.6441679626751</v>
      </c>
      <c r="R44" s="23">
        <v>1314.1510150314518</v>
      </c>
      <c r="S44" s="23">
        <v>1137.52413</v>
      </c>
      <c r="T44" s="23">
        <v>1066.1544151568323</v>
      </c>
      <c r="U44" s="23">
        <v>1148.7936029785076</v>
      </c>
      <c r="V44" s="23">
        <v>1171.8679073576075</v>
      </c>
      <c r="W44" s="23">
        <v>1074.1709309265857</v>
      </c>
      <c r="X44" s="23">
        <v>672.53854504182914</v>
      </c>
      <c r="Y44" s="23">
        <v>1081.9060860523928</v>
      </c>
      <c r="Z44" s="23">
        <v>2214.7446143230986</v>
      </c>
      <c r="AA44" s="23">
        <v>1618.4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943.34222690728302</v>
      </c>
      <c r="E45" s="23">
        <v>1057.9652601619277</v>
      </c>
      <c r="F45" s="23">
        <v>953.45930761526665</v>
      </c>
      <c r="G45" s="23">
        <v>897.13205779228633</v>
      </c>
      <c r="H45" s="23">
        <v>935.9419084380404</v>
      </c>
      <c r="I45" s="23">
        <v>890.7214151561476</v>
      </c>
      <c r="J45" s="23">
        <v>1039.6824259492191</v>
      </c>
      <c r="K45" s="23">
        <v>1182.9980843455269</v>
      </c>
      <c r="L45" s="23">
        <v>1014.0441954936787</v>
      </c>
      <c r="M45" s="23">
        <v>641.86666666666667</v>
      </c>
      <c r="N45" s="23">
        <v>711.89824497955658</v>
      </c>
      <c r="O45" s="23">
        <v>788.11078478334639</v>
      </c>
      <c r="P45" s="23">
        <v>916.0454292503606</v>
      </c>
      <c r="Q45" s="23">
        <v>1036.8873224976876</v>
      </c>
      <c r="R45" s="23">
        <v>1357.801363246467</v>
      </c>
      <c r="S45" s="23">
        <v>1795.8963980000001</v>
      </c>
      <c r="T45" s="23">
        <v>1785.1366993277213</v>
      </c>
      <c r="U45" s="23">
        <v>2110.9282732554861</v>
      </c>
      <c r="V45" s="23">
        <v>1977.9565671322359</v>
      </c>
      <c r="W45" s="23">
        <v>1613.9533822279295</v>
      </c>
      <c r="X45" s="23">
        <v>1797.2923197320008</v>
      </c>
      <c r="Y45" s="23">
        <v>2379.1672928653879</v>
      </c>
      <c r="Z45" s="23">
        <v>1546.401751049704</v>
      </c>
      <c r="AA45" s="23">
        <v>1281.5999999999999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1219.0609166286442</v>
      </c>
      <c r="E46" s="23">
        <v>1388.9718243112547</v>
      </c>
      <c r="F46" s="23">
        <v>1372.4398983987546</v>
      </c>
      <c r="G46" s="23">
        <v>1576.8920227300207</v>
      </c>
      <c r="H46" s="23">
        <v>1579.0969842051609</v>
      </c>
      <c r="I46" s="23">
        <v>1670.4127931862854</v>
      </c>
      <c r="J46" s="23">
        <v>1849.6767623584935</v>
      </c>
      <c r="K46" s="23">
        <v>1666.9583854203602</v>
      </c>
      <c r="L46" s="23">
        <v>1611.8690287365237</v>
      </c>
      <c r="M46" s="23">
        <v>1677.9296364756626</v>
      </c>
      <c r="N46" s="23">
        <v>1977.3366082999307</v>
      </c>
      <c r="O46" s="23">
        <v>2022.9263337524701</v>
      </c>
      <c r="P46" s="23">
        <v>2110.7117289843004</v>
      </c>
      <c r="Q46" s="23">
        <v>1825.1988452820217</v>
      </c>
      <c r="R46" s="23">
        <v>1995.7345253655749</v>
      </c>
      <c r="S46" s="23">
        <v>2067.5672670000004</v>
      </c>
      <c r="T46" s="23">
        <v>1966.4221467578811</v>
      </c>
      <c r="U46" s="23">
        <v>2205.3258880051148</v>
      </c>
      <c r="V46" s="23">
        <v>2013.2394642076172</v>
      </c>
      <c r="W46" s="23">
        <v>2094.530572989202</v>
      </c>
      <c r="X46" s="23">
        <v>2116.0137175755581</v>
      </c>
      <c r="Y46" s="23">
        <v>1977.2378054260764</v>
      </c>
      <c r="Z46" s="23">
        <v>2352.0458748096225</v>
      </c>
      <c r="AA46" s="23">
        <v>2318.8000000000002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1921.0934313000519</v>
      </c>
      <c r="E47" s="23">
        <v>2073.9415430103072</v>
      </c>
      <c r="F47" s="23">
        <v>2084.6212216282743</v>
      </c>
      <c r="G47" s="23">
        <v>2160.6717349776332</v>
      </c>
      <c r="H47" s="23">
        <v>2114.8968879929444</v>
      </c>
      <c r="I47" s="23">
        <v>2212.5371085389825</v>
      </c>
      <c r="J47" s="23">
        <v>2348.2564143949598</v>
      </c>
      <c r="K47" s="23">
        <v>2650.4163575212992</v>
      </c>
      <c r="L47" s="23">
        <v>2554.7304884433411</v>
      </c>
      <c r="M47" s="23">
        <v>2168.3762784966111</v>
      </c>
      <c r="N47" s="23">
        <v>2266.6611856182753</v>
      </c>
      <c r="O47" s="23">
        <v>2355.8290910723908</v>
      </c>
      <c r="P47" s="23">
        <v>2493.0222505432907</v>
      </c>
      <c r="Q47" s="23">
        <v>2586.8050701877432</v>
      </c>
      <c r="R47" s="23">
        <v>2797.5377655011848</v>
      </c>
      <c r="S47" s="23">
        <v>3045.7528109999998</v>
      </c>
      <c r="T47" s="23">
        <v>3193.7036275456894</v>
      </c>
      <c r="U47" s="23">
        <v>3141.5579596096354</v>
      </c>
      <c r="V47" s="23">
        <v>3463.141886346506</v>
      </c>
      <c r="W47" s="23">
        <v>3598.421247445242</v>
      </c>
      <c r="X47" s="23">
        <v>3466.6801307045971</v>
      </c>
      <c r="Y47" s="23">
        <v>3601.5985390654596</v>
      </c>
      <c r="Z47" s="23">
        <v>3283.6391095815488</v>
      </c>
      <c r="AA47" s="23">
        <v>3139.5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2249.3193269245899</v>
      </c>
      <c r="E48" s="23">
        <v>2208.149302274172</v>
      </c>
      <c r="F48" s="23">
        <v>2062.0014105921105</v>
      </c>
      <c r="G48" s="23">
        <v>2207.889211703543</v>
      </c>
      <c r="H48" s="23">
        <v>2458.758757029791</v>
      </c>
      <c r="I48" s="23">
        <v>2480.3427986459928</v>
      </c>
      <c r="J48" s="23">
        <v>2786.133914756726</v>
      </c>
      <c r="K48" s="23">
        <v>2930.5206102539687</v>
      </c>
      <c r="L48" s="23">
        <v>2975.3557453657022</v>
      </c>
      <c r="M48" s="23">
        <v>1964.7526802218115</v>
      </c>
      <c r="N48" s="23">
        <v>2187.7674522568136</v>
      </c>
      <c r="O48" s="23">
        <v>2459.0020188411872</v>
      </c>
      <c r="P48" s="23">
        <v>2420.9154000040621</v>
      </c>
      <c r="Q48" s="23">
        <v>2558.8005956555767</v>
      </c>
      <c r="R48" s="23">
        <v>2669.9221295237317</v>
      </c>
      <c r="S48" s="23">
        <v>2920.6393579999999</v>
      </c>
      <c r="T48" s="23">
        <v>3036.7762247895434</v>
      </c>
      <c r="U48" s="23">
        <v>3127.0044376751098</v>
      </c>
      <c r="V48" s="23">
        <v>3451.6452120185731</v>
      </c>
      <c r="W48" s="23">
        <v>3408.2195319141242</v>
      </c>
      <c r="X48" s="23">
        <v>3168.4962454463912</v>
      </c>
      <c r="Y48" s="23">
        <v>3496.2359523830501</v>
      </c>
      <c r="Z48" s="23">
        <v>3401.8209604267818</v>
      </c>
      <c r="AA48" s="23">
        <v>3346.1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1767.8170770465238</v>
      </c>
      <c r="E49" s="23">
        <v>1892.8395520738347</v>
      </c>
      <c r="F49" s="23">
        <v>1777.0260639774112</v>
      </c>
      <c r="G49" s="23">
        <v>2473.6806806915733</v>
      </c>
      <c r="H49" s="23">
        <v>2935.5133162289394</v>
      </c>
      <c r="I49" s="23">
        <v>3256.6226392225376</v>
      </c>
      <c r="J49" s="23">
        <v>3126.1608112470362</v>
      </c>
      <c r="K49" s="23">
        <v>2247.8833841540627</v>
      </c>
      <c r="L49" s="23">
        <v>2269.0357558365004</v>
      </c>
      <c r="M49" s="23">
        <v>2140.6431300061618</v>
      </c>
      <c r="N49" s="23">
        <v>2127.1348362014405</v>
      </c>
      <c r="O49" s="23">
        <v>2783.8266760473425</v>
      </c>
      <c r="P49" s="23">
        <v>2315.6393982167883</v>
      </c>
      <c r="Q49" s="23">
        <v>2433.357872106852</v>
      </c>
      <c r="R49" s="23">
        <v>2456.6009925659669</v>
      </c>
      <c r="S49" s="23">
        <v>2521.4408150000004</v>
      </c>
      <c r="T49" s="23">
        <v>2607.2907014569328</v>
      </c>
      <c r="U49" s="23">
        <v>2944.4845800191806</v>
      </c>
      <c r="V49" s="23">
        <v>2866.2398410674905</v>
      </c>
      <c r="W49" s="23">
        <v>2856.1080024959756</v>
      </c>
      <c r="X49" s="23">
        <v>2702.7626530836405</v>
      </c>
      <c r="Y49" s="23">
        <v>2569.9962057996813</v>
      </c>
      <c r="Z49" s="23">
        <v>2659.270888483125</v>
      </c>
      <c r="AA49" s="23">
        <v>2986.2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1732.961229723564</v>
      </c>
      <c r="E50" s="23">
        <v>1470.2028364972782</v>
      </c>
      <c r="F50" s="23">
        <v>1664.4410954110506</v>
      </c>
      <c r="G50" s="23">
        <v>2004.9399117398141</v>
      </c>
      <c r="H50" s="23">
        <v>2412.2381825054117</v>
      </c>
      <c r="I50" s="23">
        <v>2733.4168497488536</v>
      </c>
      <c r="J50" s="23">
        <v>2480.8842926633793</v>
      </c>
      <c r="K50" s="23">
        <v>2672.8592252286935</v>
      </c>
      <c r="L50" s="23">
        <v>2449.5397531606295</v>
      </c>
      <c r="M50" s="23">
        <v>997.80012322858897</v>
      </c>
      <c r="N50" s="23">
        <v>1098.3776729654521</v>
      </c>
      <c r="O50" s="23">
        <v>1072.6866624753009</v>
      </c>
      <c r="P50" s="23">
        <v>1109.2917886954933</v>
      </c>
      <c r="Q50" s="23">
        <v>1137.7900425903904</v>
      </c>
      <c r="R50" s="23">
        <v>1353.8858835062497</v>
      </c>
      <c r="S50" s="23">
        <v>1346.9933050000002</v>
      </c>
      <c r="T50" s="23">
        <v>1427.8853774421859</v>
      </c>
      <c r="U50" s="23">
        <v>1432.1199657772513</v>
      </c>
      <c r="V50" s="23">
        <v>1603.0592674960685</v>
      </c>
      <c r="W50" s="23">
        <v>1750.3438088950786</v>
      </c>
      <c r="X50" s="23">
        <v>1929.6162932249622</v>
      </c>
      <c r="Y50" s="23">
        <v>2074.9672355911148</v>
      </c>
      <c r="Z50" s="23">
        <v>2493.1710172244052</v>
      </c>
      <c r="AA50" s="23">
        <v>2962.6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1024.8959722462594</v>
      </c>
      <c r="E51" s="23">
        <v>1087.7892066650086</v>
      </c>
      <c r="F51" s="23">
        <v>1163.5493707238786</v>
      </c>
      <c r="G51" s="23">
        <v>1152.4498319429333</v>
      </c>
      <c r="H51" s="23">
        <v>1201.0766513567066</v>
      </c>
      <c r="I51" s="23">
        <v>1336.8574721554926</v>
      </c>
      <c r="J51" s="23">
        <v>1433.6140977548225</v>
      </c>
      <c r="K51" s="23">
        <v>1496.6227741027017</v>
      </c>
      <c r="L51" s="23">
        <v>1579.2378713255255</v>
      </c>
      <c r="M51" s="23">
        <v>3105.9643253234754</v>
      </c>
      <c r="N51" s="23">
        <v>3288.5704298644805</v>
      </c>
      <c r="O51" s="23">
        <v>3564.1428028261785</v>
      </c>
      <c r="P51" s="23">
        <v>3966.5978481629668</v>
      </c>
      <c r="Q51" s="23">
        <v>3657.3266327163319</v>
      </c>
      <c r="R51" s="23">
        <v>3852.3970110693576</v>
      </c>
      <c r="S51" s="23">
        <v>4347.3019560000002</v>
      </c>
      <c r="T51" s="23">
        <v>2877.6090018334876</v>
      </c>
      <c r="U51" s="23">
        <v>2643.400250089318</v>
      </c>
      <c r="V51" s="23">
        <v>2408.7514902249063</v>
      </c>
      <c r="W51" s="23">
        <v>2193.9337653059379</v>
      </c>
      <c r="X51" s="23">
        <v>2042.4426281875265</v>
      </c>
      <c r="Y51" s="23">
        <v>1980.1158808342659</v>
      </c>
      <c r="Z51" s="23">
        <v>2264.9330646314888</v>
      </c>
      <c r="AA51" s="23">
        <v>2385.6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2953.8096257021039</v>
      </c>
      <c r="E52" s="23">
        <v>2706.1307248058802</v>
      </c>
      <c r="F52" s="23">
        <v>2737.511221990274</v>
      </c>
      <c r="G52" s="23">
        <v>3217.1413142304441</v>
      </c>
      <c r="H52" s="23">
        <v>3262.9465907659178</v>
      </c>
      <c r="I52" s="23">
        <v>3658.2536394409258</v>
      </c>
      <c r="J52" s="23">
        <v>4645.9277023943359</v>
      </c>
      <c r="K52" s="23">
        <v>5130.6409682615267</v>
      </c>
      <c r="L52" s="23">
        <v>4893.1590853563948</v>
      </c>
      <c r="M52" s="23">
        <v>3686.4324707332098</v>
      </c>
      <c r="N52" s="23">
        <v>4550.5848336899626</v>
      </c>
      <c r="O52" s="23">
        <v>4339.2152505837976</v>
      </c>
      <c r="P52" s="23">
        <v>3926.7948666653128</v>
      </c>
      <c r="Q52" s="23">
        <v>4994.3237621850194</v>
      </c>
      <c r="R52" s="23">
        <v>5756.3352891920604</v>
      </c>
      <c r="S52" s="23">
        <v>6660.5517130000007</v>
      </c>
      <c r="T52" s="23">
        <v>7123.6081570490705</v>
      </c>
      <c r="U52" s="23">
        <v>6756.7062155657104</v>
      </c>
      <c r="V52" s="23">
        <v>6910.690582225242</v>
      </c>
      <c r="W52" s="23">
        <v>6595.6715087992179</v>
      </c>
      <c r="X52" s="23">
        <v>5901.5452303805814</v>
      </c>
      <c r="Y52" s="23">
        <v>5291.5293385262003</v>
      </c>
      <c r="Z52" s="23">
        <v>5583.2261041878783</v>
      </c>
      <c r="AA52" s="23">
        <v>5773.1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935.52200475148834</v>
      </c>
      <c r="E53" s="23">
        <v>989.48790930946086</v>
      </c>
      <c r="F53" s="23">
        <v>1056.9620793261997</v>
      </c>
      <c r="G53" s="23">
        <v>1059.5601777294105</v>
      </c>
      <c r="H53" s="23">
        <v>1104.1316778723344</v>
      </c>
      <c r="I53" s="23">
        <v>1090.6064959598154</v>
      </c>
      <c r="J53" s="23">
        <v>1149.7050758596113</v>
      </c>
      <c r="K53" s="23">
        <v>1163.2886428332672</v>
      </c>
      <c r="L53" s="23">
        <v>1212.8601925463449</v>
      </c>
      <c r="M53" s="23">
        <v>1317.2504004929128</v>
      </c>
      <c r="N53" s="23">
        <v>1377.7157017570255</v>
      </c>
      <c r="O53" s="23">
        <v>1380.2213510169074</v>
      </c>
      <c r="P53" s="23">
        <v>1437.9548134532952</v>
      </c>
      <c r="Q53" s="23">
        <v>1523.2124498114395</v>
      </c>
      <c r="R53" s="23">
        <v>1573.1527489584175</v>
      </c>
      <c r="S53" s="23">
        <v>1655.0195020000074</v>
      </c>
      <c r="T53" s="23">
        <v>1816.2142046014649</v>
      </c>
      <c r="U53" s="23">
        <v>1885.2819239954072</v>
      </c>
      <c r="V53" s="23">
        <v>2018.5252914848279</v>
      </c>
      <c r="W53" s="23">
        <v>2261.2299833601628</v>
      </c>
      <c r="X53" s="23">
        <v>2213.7618787412803</v>
      </c>
      <c r="Y53" s="23">
        <v>2292.4496294795044</v>
      </c>
      <c r="Z53" s="23">
        <v>2400.561376774393</v>
      </c>
      <c r="AA53" s="23">
        <v>2404.2000000000044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21873.384804669677</v>
      </c>
      <c r="E54" s="30">
        <f t="shared" ref="E54:S54" si="6">SUM(E41:E53)</f>
        <v>22577.316133355442</v>
      </c>
      <c r="F54" s="30">
        <f t="shared" si="6"/>
        <v>22818.24846934466</v>
      </c>
      <c r="G54" s="30">
        <f t="shared" si="6"/>
        <v>24060.995940031433</v>
      </c>
      <c r="H54" s="30">
        <f t="shared" si="6"/>
        <v>25862.83688593125</v>
      </c>
      <c r="I54" s="30">
        <f t="shared" si="6"/>
        <v>26859.964791439179</v>
      </c>
      <c r="J54" s="30">
        <f t="shared" si="6"/>
        <v>28674.020818816301</v>
      </c>
      <c r="K54" s="30">
        <f t="shared" si="6"/>
        <v>28073.581804828147</v>
      </c>
      <c r="L54" s="30">
        <f t="shared" si="6"/>
        <v>27242.885911928952</v>
      </c>
      <c r="M54" s="30">
        <f t="shared" si="6"/>
        <v>24031.588847812691</v>
      </c>
      <c r="N54" s="30">
        <f t="shared" si="6"/>
        <v>25759.731264880498</v>
      </c>
      <c r="O54" s="30">
        <f t="shared" si="6"/>
        <v>26680.689186276275</v>
      </c>
      <c r="P54" s="30">
        <f t="shared" si="6"/>
        <v>26665.113329406748</v>
      </c>
      <c r="Q54" s="30">
        <f t="shared" si="6"/>
        <v>27601.585416603135</v>
      </c>
      <c r="R54" s="30">
        <f t="shared" si="6"/>
        <v>29951.96983498081</v>
      </c>
      <c r="S54" s="30">
        <f t="shared" si="6"/>
        <v>32386.348676000009</v>
      </c>
      <c r="T54" s="30">
        <f t="shared" ref="T54:Y54" si="7">SUM(T41:T53)</f>
        <v>31921.357534057533</v>
      </c>
      <c r="U54" s="30">
        <f t="shared" si="7"/>
        <v>32450.081320396384</v>
      </c>
      <c r="V54" s="30">
        <f t="shared" si="7"/>
        <v>33214.288570444885</v>
      </c>
      <c r="W54" s="30">
        <f t="shared" si="7"/>
        <v>32792.907660655823</v>
      </c>
      <c r="X54" s="30">
        <f t="shared" si="7"/>
        <v>31200.121176341374</v>
      </c>
      <c r="Y54" s="30">
        <f t="shared" si="7"/>
        <v>32048.746141035692</v>
      </c>
      <c r="Z54" s="30">
        <f t="shared" ref="Z54:AA54" si="8">SUM(Z41:Z53)</f>
        <v>34008.769395757423</v>
      </c>
      <c r="AA54" s="30">
        <f t="shared" si="8"/>
        <v>34179.5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3183.9475920011328</v>
      </c>
      <c r="E56" s="19">
        <v>3533.5490300920173</v>
      </c>
      <c r="F56" s="19">
        <v>3775.9661831959743</v>
      </c>
      <c r="G56" s="19">
        <v>3473.4892878732926</v>
      </c>
      <c r="H56" s="19">
        <v>3484.0006494324625</v>
      </c>
      <c r="I56" s="19">
        <v>3190.7179384145011</v>
      </c>
      <c r="J56" s="19">
        <v>3237.6061678373053</v>
      </c>
      <c r="K56" s="19">
        <v>2925.0537578637063</v>
      </c>
      <c r="L56" s="19">
        <v>2680.9869076242921</v>
      </c>
      <c r="M56" s="19">
        <v>3094.2481823783119</v>
      </c>
      <c r="N56" s="19">
        <v>2835.0384617702903</v>
      </c>
      <c r="O56" s="19">
        <v>2651.8843741891706</v>
      </c>
      <c r="P56" s="19">
        <v>2606.5184332920367</v>
      </c>
      <c r="Q56" s="19">
        <v>2849.9605190132042</v>
      </c>
      <c r="R56" s="19">
        <v>2950.0964576015035</v>
      </c>
      <c r="S56" s="19">
        <v>2992.2139100000004</v>
      </c>
      <c r="T56" s="19">
        <v>3054.4148088638294</v>
      </c>
      <c r="U56" s="19">
        <v>3051.2994199056061</v>
      </c>
      <c r="V56" s="19">
        <v>3259.505390491965</v>
      </c>
      <c r="W56" s="19">
        <v>3205.6887382662007</v>
      </c>
      <c r="X56" s="19">
        <v>3193.4532227652999</v>
      </c>
      <c r="Y56" s="19">
        <v>3182.7760003172111</v>
      </c>
      <c r="Z56" s="19">
        <v>3399.4310342216204</v>
      </c>
      <c r="AA56" s="19">
        <v>3722.9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1572.5349580704542</v>
      </c>
      <c r="E57" s="23">
        <v>1607.7461687253033</v>
      </c>
      <c r="F57" s="23">
        <v>1395.2310716397378</v>
      </c>
      <c r="G57" s="23">
        <v>1165.3273255954541</v>
      </c>
      <c r="H57" s="23">
        <v>1069.8105547092443</v>
      </c>
      <c r="I57" s="23">
        <v>896.14886110504483</v>
      </c>
      <c r="J57" s="23">
        <v>906.89646916081347</v>
      </c>
      <c r="K57" s="23">
        <v>791.54268029540196</v>
      </c>
      <c r="L57" s="23">
        <v>701.50104223221899</v>
      </c>
      <c r="M57" s="23">
        <v>622.43863216266175</v>
      </c>
      <c r="N57" s="23">
        <v>599.90623650080875</v>
      </c>
      <c r="O57" s="23">
        <v>655.31815659740937</v>
      </c>
      <c r="P57" s="23">
        <v>640.45304648942874</v>
      </c>
      <c r="Q57" s="23">
        <v>649.87703270006807</v>
      </c>
      <c r="R57" s="23">
        <v>660.26589841516227</v>
      </c>
      <c r="S57" s="23">
        <v>645.02304600000002</v>
      </c>
      <c r="T57" s="23">
        <v>664.52665556059378</v>
      </c>
      <c r="U57" s="23">
        <v>670.7971944867528</v>
      </c>
      <c r="V57" s="23">
        <v>685.43965217229481</v>
      </c>
      <c r="W57" s="23">
        <v>679.12671960064381</v>
      </c>
      <c r="X57" s="23">
        <v>571.93073022498038</v>
      </c>
      <c r="Y57" s="23">
        <v>571.86107023588193</v>
      </c>
      <c r="Z57" s="23">
        <v>548.72705670506468</v>
      </c>
      <c r="AA57" s="23">
        <v>573.79999999999995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487.98186252143682</v>
      </c>
      <c r="E58" s="23">
        <v>519.56454171156986</v>
      </c>
      <c r="F58" s="23">
        <v>455.8234648196638</v>
      </c>
      <c r="G58" s="23">
        <v>445.90468020795549</v>
      </c>
      <c r="H58" s="23">
        <v>462.44053626856953</v>
      </c>
      <c r="I58" s="23">
        <v>418.99882725485912</v>
      </c>
      <c r="J58" s="23">
        <v>413.69148680387809</v>
      </c>
      <c r="K58" s="23">
        <v>422.96173756242848</v>
      </c>
      <c r="L58" s="23">
        <v>414.01641491507019</v>
      </c>
      <c r="M58" s="23">
        <v>320.04349969192856</v>
      </c>
      <c r="N58" s="23">
        <v>318.99889294073915</v>
      </c>
      <c r="O58" s="23">
        <v>312.77836756282056</v>
      </c>
      <c r="P58" s="23">
        <v>305.87725998740785</v>
      </c>
      <c r="Q58" s="23">
        <v>313.67898535256512</v>
      </c>
      <c r="R58" s="23">
        <v>335.57111551343849</v>
      </c>
      <c r="S58" s="23">
        <v>354.464448</v>
      </c>
      <c r="T58" s="23">
        <v>361.87095104784811</v>
      </c>
      <c r="U58" s="23">
        <v>377.18990334894045</v>
      </c>
      <c r="V58" s="23">
        <v>395.11558897149825</v>
      </c>
      <c r="W58" s="23">
        <v>418.80337228020039</v>
      </c>
      <c r="X58" s="23">
        <v>425.30848847639447</v>
      </c>
      <c r="Y58" s="23">
        <v>527.81400311924506</v>
      </c>
      <c r="Z58" s="23">
        <v>627.47512516513382</v>
      </c>
      <c r="AA58" s="23">
        <v>477.1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345.43038436728079</v>
      </c>
      <c r="E59" s="23">
        <v>428.32681063306535</v>
      </c>
      <c r="F59" s="23">
        <v>427.20597661482026</v>
      </c>
      <c r="G59" s="23">
        <v>424.78559061782136</v>
      </c>
      <c r="H59" s="23">
        <v>385.3400036652273</v>
      </c>
      <c r="I59" s="23">
        <v>366.74027626119243</v>
      </c>
      <c r="J59" s="23">
        <v>357.73169072876431</v>
      </c>
      <c r="K59" s="23">
        <v>392.17472673305446</v>
      </c>
      <c r="L59" s="23">
        <v>377.80546808345611</v>
      </c>
      <c r="M59" s="23">
        <v>378.62421441774495</v>
      </c>
      <c r="N59" s="23">
        <v>417.29506343992045</v>
      </c>
      <c r="O59" s="23">
        <v>417.36850587789155</v>
      </c>
      <c r="P59" s="23">
        <v>430.62211142027343</v>
      </c>
      <c r="Q59" s="23">
        <v>457.59888797405949</v>
      </c>
      <c r="R59" s="23">
        <v>506.25702863328166</v>
      </c>
      <c r="S59" s="23">
        <v>519.62556700000005</v>
      </c>
      <c r="T59" s="23">
        <v>584.31309465134154</v>
      </c>
      <c r="U59" s="23">
        <v>575.99902408755008</v>
      </c>
      <c r="V59" s="23">
        <v>614.60956665767173</v>
      </c>
      <c r="W59" s="23">
        <v>670.65047839534088</v>
      </c>
      <c r="X59" s="23">
        <v>660.96994618046028</v>
      </c>
      <c r="Y59" s="23">
        <v>626.41936927807978</v>
      </c>
      <c r="Z59" s="23">
        <v>823.4490739883712</v>
      </c>
      <c r="AA59" s="23">
        <v>757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453.12601519847692</v>
      </c>
      <c r="E60" s="23">
        <v>504.65256846002916</v>
      </c>
      <c r="F60" s="23">
        <v>534.65007903659819</v>
      </c>
      <c r="G60" s="23">
        <v>505.48455084028529</v>
      </c>
      <c r="H60" s="23">
        <v>515.95546290675418</v>
      </c>
      <c r="I60" s="23">
        <v>519.94932190434599</v>
      </c>
      <c r="J60" s="23">
        <v>497.3150238765765</v>
      </c>
      <c r="K60" s="23">
        <v>503.81360712368172</v>
      </c>
      <c r="L60" s="23">
        <v>446.64757232606854</v>
      </c>
      <c r="M60" s="23">
        <v>376.54793592113367</v>
      </c>
      <c r="N60" s="23">
        <v>366.07833599549946</v>
      </c>
      <c r="O60" s="23">
        <v>381.79652116639721</v>
      </c>
      <c r="P60" s="23">
        <v>368.4660062554583</v>
      </c>
      <c r="Q60" s="23">
        <v>384.12323056749921</v>
      </c>
      <c r="R60" s="23">
        <v>372.26061085695625</v>
      </c>
      <c r="S60" s="23">
        <v>376.33445</v>
      </c>
      <c r="T60" s="23">
        <v>355.43146797310885</v>
      </c>
      <c r="U60" s="23">
        <v>379.19268159681093</v>
      </c>
      <c r="V60" s="23">
        <v>374.50086259037653</v>
      </c>
      <c r="W60" s="23">
        <v>372.05561775398348</v>
      </c>
      <c r="X60" s="23">
        <v>337.30914657586908</v>
      </c>
      <c r="Y60" s="23">
        <v>394.67173206213801</v>
      </c>
      <c r="Z60" s="23">
        <v>409.87234418518551</v>
      </c>
      <c r="AA60" s="23">
        <v>432.60000000000014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1082.5421812803852</v>
      </c>
      <c r="E61" s="23">
        <v>1107.9988546243335</v>
      </c>
      <c r="F61" s="23">
        <v>1357.3600243746455</v>
      </c>
      <c r="G61" s="23">
        <v>1295.647561358965</v>
      </c>
      <c r="H61" s="23">
        <v>1940.6887225537469</v>
      </c>
      <c r="I61" s="23">
        <v>2137.6383544442019</v>
      </c>
      <c r="J61" s="23">
        <v>2400.7384830303772</v>
      </c>
      <c r="K61" s="23">
        <v>1895.8468631284634</v>
      </c>
      <c r="L61" s="23">
        <v>2062.0963904832079</v>
      </c>
      <c r="M61" s="23">
        <v>1538.6706715958103</v>
      </c>
      <c r="N61" s="23">
        <v>1636.3673086003034</v>
      </c>
      <c r="O61" s="23">
        <v>1495.5822894836638</v>
      </c>
      <c r="P61" s="23">
        <v>1616.2029479862706</v>
      </c>
      <c r="Q61" s="23">
        <v>1192.6441679626751</v>
      </c>
      <c r="R61" s="23">
        <v>1314.1510150314518</v>
      </c>
      <c r="S61" s="23">
        <v>1137.52413</v>
      </c>
      <c r="T61" s="23">
        <v>1066.1544151568323</v>
      </c>
      <c r="U61" s="23">
        <v>1148.7936029785076</v>
      </c>
      <c r="V61" s="23">
        <v>1171.8679073576075</v>
      </c>
      <c r="W61" s="23">
        <v>1074.1709309265857</v>
      </c>
      <c r="X61" s="23">
        <v>672.53854504182914</v>
      </c>
      <c r="Y61" s="23">
        <v>1081.9060860523928</v>
      </c>
      <c r="Z61" s="23">
        <v>2214.7446143230986</v>
      </c>
      <c r="AA61" s="23">
        <v>1618.4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943.34222690728302</v>
      </c>
      <c r="E62" s="23">
        <v>1057.9652601619277</v>
      </c>
      <c r="F62" s="23">
        <v>953.45930761526665</v>
      </c>
      <c r="G62" s="23">
        <v>897.13205779228633</v>
      </c>
      <c r="H62" s="23">
        <v>935.9419084380404</v>
      </c>
      <c r="I62" s="23">
        <v>890.7214151561476</v>
      </c>
      <c r="J62" s="23">
        <v>1039.6824259492191</v>
      </c>
      <c r="K62" s="23">
        <v>1182.9980843455269</v>
      </c>
      <c r="L62" s="23">
        <v>1014.0441954936787</v>
      </c>
      <c r="M62" s="23">
        <v>641.86666666666667</v>
      </c>
      <c r="N62" s="23">
        <v>711.89824497955658</v>
      </c>
      <c r="O62" s="23">
        <v>788.11078478334639</v>
      </c>
      <c r="P62" s="23">
        <v>916.0454292503606</v>
      </c>
      <c r="Q62" s="23">
        <v>1036.8873224976876</v>
      </c>
      <c r="R62" s="23">
        <v>1357.801363246467</v>
      </c>
      <c r="S62" s="23">
        <v>1795.8963980000001</v>
      </c>
      <c r="T62" s="23">
        <v>1785.1366993277213</v>
      </c>
      <c r="U62" s="23">
        <v>2110.9282732554861</v>
      </c>
      <c r="V62" s="23">
        <v>1977.9565671322359</v>
      </c>
      <c r="W62" s="23">
        <v>1613.9533822279295</v>
      </c>
      <c r="X62" s="23">
        <v>1797.2923197320008</v>
      </c>
      <c r="Y62" s="23">
        <v>2379.1672928653879</v>
      </c>
      <c r="Z62" s="23">
        <v>1546.401751049704</v>
      </c>
      <c r="AA62" s="23">
        <v>1281.5999999999999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1219.0609166286442</v>
      </c>
      <c r="E63" s="23">
        <v>1388.9718243112547</v>
      </c>
      <c r="F63" s="23">
        <v>1372.4398983987546</v>
      </c>
      <c r="G63" s="23">
        <v>1576.8920227300207</v>
      </c>
      <c r="H63" s="23">
        <v>1579.0969842051609</v>
      </c>
      <c r="I63" s="23">
        <v>1670.4127931862854</v>
      </c>
      <c r="J63" s="23">
        <v>1849.6767623584935</v>
      </c>
      <c r="K63" s="23">
        <v>1666.9583854203602</v>
      </c>
      <c r="L63" s="23">
        <v>1611.8690287365237</v>
      </c>
      <c r="M63" s="23">
        <v>1677.9296364756626</v>
      </c>
      <c r="N63" s="23">
        <v>1977.3366082999307</v>
      </c>
      <c r="O63" s="23">
        <v>2022.9263337524701</v>
      </c>
      <c r="P63" s="23">
        <v>2110.7117289843004</v>
      </c>
      <c r="Q63" s="23">
        <v>1825.1988452820217</v>
      </c>
      <c r="R63" s="23">
        <v>1995.7345253655749</v>
      </c>
      <c r="S63" s="23">
        <v>2067.5672670000004</v>
      </c>
      <c r="T63" s="23">
        <v>1966.4221467578811</v>
      </c>
      <c r="U63" s="23">
        <v>2205.3258880051148</v>
      </c>
      <c r="V63" s="23">
        <v>2013.2394642076172</v>
      </c>
      <c r="W63" s="23">
        <v>2094.530572989202</v>
      </c>
      <c r="X63" s="23">
        <v>2116.0137175755581</v>
      </c>
      <c r="Y63" s="23">
        <v>1977.2378054260764</v>
      </c>
      <c r="Z63" s="23">
        <v>2352.0458748096225</v>
      </c>
      <c r="AA63" s="23">
        <v>2318.8000000000002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859.33069746220053</v>
      </c>
      <c r="E64" s="23">
        <v>982.62055320677553</v>
      </c>
      <c r="F64" s="23">
        <v>1008.9806619767595</v>
      </c>
      <c r="G64" s="23">
        <v>1064.8828751057915</v>
      </c>
      <c r="H64" s="23">
        <v>1081.0340499616298</v>
      </c>
      <c r="I64" s="23">
        <v>1118.0538654728107</v>
      </c>
      <c r="J64" s="23">
        <v>1125.2029052617518</v>
      </c>
      <c r="K64" s="23">
        <v>1251.9091973701541</v>
      </c>
      <c r="L64" s="23">
        <v>1240.9477710773288</v>
      </c>
      <c r="M64" s="23">
        <v>1256.2967960566853</v>
      </c>
      <c r="N64" s="23">
        <v>1391.2688747576426</v>
      </c>
      <c r="O64" s="23">
        <v>1528.3198531026089</v>
      </c>
      <c r="P64" s="23">
        <v>1705.1828015516787</v>
      </c>
      <c r="Q64" s="23">
        <v>1728.3380081114872</v>
      </c>
      <c r="R64" s="23">
        <v>1877.1099910138064</v>
      </c>
      <c r="S64" s="23">
        <v>2027.8036270000002</v>
      </c>
      <c r="T64" s="23">
        <v>2147.2876279005582</v>
      </c>
      <c r="U64" s="23">
        <v>2054.4499266655389</v>
      </c>
      <c r="V64" s="23">
        <v>2306.3385867289494</v>
      </c>
      <c r="W64" s="23">
        <v>2339.5710005606902</v>
      </c>
      <c r="X64" s="23">
        <v>2324.5084655939372</v>
      </c>
      <c r="Y64" s="23">
        <v>2342.1277136991253</v>
      </c>
      <c r="Z64" s="23">
        <v>2199.090597679291</v>
      </c>
      <c r="AA64" s="23">
        <v>2115.9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1061.7627338378513</v>
      </c>
      <c r="E65" s="23">
        <v>1091.3209898035316</v>
      </c>
      <c r="F65" s="23">
        <v>1075.6405596515151</v>
      </c>
      <c r="G65" s="23">
        <v>1095.7888598718414</v>
      </c>
      <c r="H65" s="23">
        <v>1033.8628380313148</v>
      </c>
      <c r="I65" s="23">
        <v>1094.4832430661716</v>
      </c>
      <c r="J65" s="23">
        <v>1223.0535091332079</v>
      </c>
      <c r="K65" s="23">
        <v>1398.5071601511452</v>
      </c>
      <c r="L65" s="23">
        <v>1313.7827173660125</v>
      </c>
      <c r="M65" s="23">
        <v>912.07948243992587</v>
      </c>
      <c r="N65" s="23">
        <v>875.39231086063296</v>
      </c>
      <c r="O65" s="23">
        <v>827.50923796978213</v>
      </c>
      <c r="P65" s="23">
        <v>787.8394489916119</v>
      </c>
      <c r="Q65" s="23">
        <v>858.46706207625618</v>
      </c>
      <c r="R65" s="23">
        <v>920.42777448737831</v>
      </c>
      <c r="S65" s="23">
        <v>1017.9491839999997</v>
      </c>
      <c r="T65" s="23">
        <v>1046.4159996451315</v>
      </c>
      <c r="U65" s="23">
        <v>1087.1080329440967</v>
      </c>
      <c r="V65" s="23">
        <v>1156.8032996175568</v>
      </c>
      <c r="W65" s="23">
        <v>1258.850246884552</v>
      </c>
      <c r="X65" s="23">
        <v>1142.1716651106597</v>
      </c>
      <c r="Y65" s="23">
        <v>1259.4708253663348</v>
      </c>
      <c r="Z65" s="23">
        <v>1084.5485119022578</v>
      </c>
      <c r="AA65" s="23">
        <v>1023.5999999999999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663.15483881118337</v>
      </c>
      <c r="E66" s="23">
        <v>605.897018431015</v>
      </c>
      <c r="F66" s="23">
        <v>491.12407901246485</v>
      </c>
      <c r="G66" s="23">
        <v>687.65816104461373</v>
      </c>
      <c r="H66" s="23">
        <v>842.90075938928157</v>
      </c>
      <c r="I66" s="23">
        <v>807.60395719589428</v>
      </c>
      <c r="J66" s="23">
        <v>993.5234981132495</v>
      </c>
      <c r="K66" s="23">
        <v>945.47773444227221</v>
      </c>
      <c r="L66" s="23">
        <v>987.47114325603047</v>
      </c>
      <c r="M66" s="23">
        <v>412.73450400492919</v>
      </c>
      <c r="N66" s="23">
        <v>595.34095717428647</v>
      </c>
      <c r="O66" s="23">
        <v>645.96456699199655</v>
      </c>
      <c r="P66" s="23">
        <v>567.91355484696464</v>
      </c>
      <c r="Q66" s="23">
        <v>611.33479197796282</v>
      </c>
      <c r="R66" s="23">
        <v>691.58973633690061</v>
      </c>
      <c r="S66" s="23">
        <v>813.16643800000008</v>
      </c>
      <c r="T66" s="23">
        <v>863.17070954005089</v>
      </c>
      <c r="U66" s="23">
        <v>963.06930012598491</v>
      </c>
      <c r="V66" s="23">
        <v>1041.8365563382247</v>
      </c>
      <c r="W66" s="23">
        <v>873.8234115285137</v>
      </c>
      <c r="X66" s="23">
        <v>753.90868984201961</v>
      </c>
      <c r="Y66" s="23">
        <v>840.7734203314858</v>
      </c>
      <c r="Z66" s="23">
        <v>536.65792936899948</v>
      </c>
      <c r="AA66" s="23">
        <v>567.20000000000005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1586.1644881134066</v>
      </c>
      <c r="E67" s="23">
        <v>1602.2522838431571</v>
      </c>
      <c r="F67" s="23">
        <v>1570.8773315796457</v>
      </c>
      <c r="G67" s="23">
        <v>1520.231050658929</v>
      </c>
      <c r="H67" s="23">
        <v>1615.8579976405097</v>
      </c>
      <c r="I67" s="23">
        <v>1672.7388414500983</v>
      </c>
      <c r="J67" s="23">
        <v>1792.6104166434764</v>
      </c>
      <c r="K67" s="23">
        <v>1985.0428758116966</v>
      </c>
      <c r="L67" s="23">
        <v>1987.8846021096717</v>
      </c>
      <c r="M67" s="23">
        <v>1552.0181762168825</v>
      </c>
      <c r="N67" s="23">
        <v>1592.4264950825273</v>
      </c>
      <c r="O67" s="23">
        <v>1813.0374518491908</v>
      </c>
      <c r="P67" s="23">
        <v>1853.0018451570975</v>
      </c>
      <c r="Q67" s="23">
        <v>1947.4658036776141</v>
      </c>
      <c r="R67" s="23">
        <v>1978.332393186831</v>
      </c>
      <c r="S67" s="23">
        <v>2107.4729200000002</v>
      </c>
      <c r="T67" s="23">
        <v>2173.6055152494928</v>
      </c>
      <c r="U67" s="23">
        <v>2163.9351375491251</v>
      </c>
      <c r="V67" s="23">
        <v>2409.8086556803482</v>
      </c>
      <c r="W67" s="23">
        <v>2534.3961203856102</v>
      </c>
      <c r="X67" s="23">
        <v>2414.5875556043716</v>
      </c>
      <c r="Y67" s="23">
        <v>2655.4625320515643</v>
      </c>
      <c r="Z67" s="23">
        <v>2865.1630310577825</v>
      </c>
      <c r="AA67" s="23">
        <v>2778.8999999999996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1767.8170770465238</v>
      </c>
      <c r="E68" s="23">
        <v>1892.8395520738347</v>
      </c>
      <c r="F68" s="23">
        <v>1777.0260639774112</v>
      </c>
      <c r="G68" s="23">
        <v>2473.6806806915733</v>
      </c>
      <c r="H68" s="23">
        <v>2935.5133162289394</v>
      </c>
      <c r="I68" s="23">
        <v>3256.6226392225376</v>
      </c>
      <c r="J68" s="23">
        <v>3126.1608112470362</v>
      </c>
      <c r="K68" s="23">
        <v>2247.8833841540627</v>
      </c>
      <c r="L68" s="23">
        <v>2269.0357558365004</v>
      </c>
      <c r="M68" s="23">
        <v>2140.6431300061618</v>
      </c>
      <c r="N68" s="23">
        <v>2127.1348362014405</v>
      </c>
      <c r="O68" s="23">
        <v>2783.8266760473425</v>
      </c>
      <c r="P68" s="23">
        <v>2315.6393982167883</v>
      </c>
      <c r="Q68" s="23">
        <v>2433.357872106852</v>
      </c>
      <c r="R68" s="23">
        <v>2456.6009925659669</v>
      </c>
      <c r="S68" s="23">
        <v>2521.4408150000004</v>
      </c>
      <c r="T68" s="23">
        <v>2607.2907014569328</v>
      </c>
      <c r="U68" s="23">
        <v>2944.4845800191806</v>
      </c>
      <c r="V68" s="23">
        <v>2866.2398410674905</v>
      </c>
      <c r="W68" s="23">
        <v>2856.1080024959756</v>
      </c>
      <c r="X68" s="23">
        <v>2702.7626530836405</v>
      </c>
      <c r="Y68" s="23">
        <v>2569.9962057996813</v>
      </c>
      <c r="Z68" s="23">
        <v>2659.270888483125</v>
      </c>
      <c r="AA68" s="23">
        <v>2986.2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1732.961229723564</v>
      </c>
      <c r="E69" s="23">
        <v>1470.2028364972782</v>
      </c>
      <c r="F69" s="23">
        <v>1664.4410954110506</v>
      </c>
      <c r="G69" s="23">
        <v>2004.9399117398141</v>
      </c>
      <c r="H69" s="23">
        <v>2412.2381825054117</v>
      </c>
      <c r="I69" s="23">
        <v>2733.4168497488536</v>
      </c>
      <c r="J69" s="23">
        <v>2480.8842926633793</v>
      </c>
      <c r="K69" s="23">
        <v>2672.8592252286935</v>
      </c>
      <c r="L69" s="23">
        <v>2449.5397531606295</v>
      </c>
      <c r="M69" s="23">
        <v>997.80012322858897</v>
      </c>
      <c r="N69" s="23">
        <v>1098.3776729654521</v>
      </c>
      <c r="O69" s="23">
        <v>1072.6866624753009</v>
      </c>
      <c r="P69" s="23">
        <v>1109.2917886954933</v>
      </c>
      <c r="Q69" s="23">
        <v>1137.7900425903904</v>
      </c>
      <c r="R69" s="23">
        <v>1353.8858835062497</v>
      </c>
      <c r="S69" s="23">
        <v>1346.9933050000002</v>
      </c>
      <c r="T69" s="23">
        <v>1427.8853774421859</v>
      </c>
      <c r="U69" s="23">
        <v>1432.1199657772513</v>
      </c>
      <c r="V69" s="23">
        <v>1603.0592674960685</v>
      </c>
      <c r="W69" s="23">
        <v>1750.3438088950786</v>
      </c>
      <c r="X69" s="23">
        <v>1929.6162932249622</v>
      </c>
      <c r="Y69" s="23">
        <v>2074.9672355911148</v>
      </c>
      <c r="Z69" s="23">
        <v>2493.1710172244052</v>
      </c>
      <c r="AA69" s="23">
        <v>2962.6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1024.8959722462594</v>
      </c>
      <c r="E70" s="23">
        <v>1087.7892066650086</v>
      </c>
      <c r="F70" s="23">
        <v>1163.5493707238786</v>
      </c>
      <c r="G70" s="23">
        <v>1152.4498319429333</v>
      </c>
      <c r="H70" s="23">
        <v>1201.0766513567066</v>
      </c>
      <c r="I70" s="23">
        <v>1336.8574721554926</v>
      </c>
      <c r="J70" s="23">
        <v>1433.6140977548225</v>
      </c>
      <c r="K70" s="23">
        <v>1496.6227741027017</v>
      </c>
      <c r="L70" s="23">
        <v>1579.2378713255255</v>
      </c>
      <c r="M70" s="23">
        <v>3105.9643253234754</v>
      </c>
      <c r="N70" s="23">
        <v>3288.5704298644805</v>
      </c>
      <c r="O70" s="23">
        <v>3564.1428028261785</v>
      </c>
      <c r="P70" s="23">
        <v>3966.5978481629668</v>
      </c>
      <c r="Q70" s="23">
        <v>3657.3266327163319</v>
      </c>
      <c r="R70" s="23">
        <v>3852.3970110693576</v>
      </c>
      <c r="S70" s="23">
        <v>4347.3019560000002</v>
      </c>
      <c r="T70" s="23">
        <v>2877.6090018334876</v>
      </c>
      <c r="U70" s="23">
        <v>2643.400250089318</v>
      </c>
      <c r="V70" s="23">
        <v>2408.7514902249063</v>
      </c>
      <c r="W70" s="23">
        <v>2193.9337653059379</v>
      </c>
      <c r="X70" s="23">
        <v>2042.4426281875265</v>
      </c>
      <c r="Y70" s="23">
        <v>1980.1158808342659</v>
      </c>
      <c r="Z70" s="23">
        <v>2264.9330646314888</v>
      </c>
      <c r="AA70" s="23">
        <v>2385.6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2858.6263503201753</v>
      </c>
      <c r="E71" s="23">
        <v>2613.1271021581142</v>
      </c>
      <c r="F71" s="23">
        <v>2605.0482376648606</v>
      </c>
      <c r="G71" s="23">
        <v>3063.2981900616614</v>
      </c>
      <c r="H71" s="23">
        <v>3102.5644702028476</v>
      </c>
      <c r="I71" s="23">
        <v>3516.0545555798212</v>
      </c>
      <c r="J71" s="23">
        <v>4507.7670759264001</v>
      </c>
      <c r="K71" s="23">
        <v>4956.1332853828781</v>
      </c>
      <c r="L71" s="23">
        <v>4625.914036686574</v>
      </c>
      <c r="M71" s="23">
        <v>3523.1479975354282</v>
      </c>
      <c r="N71" s="23">
        <v>4368.6869855238438</v>
      </c>
      <c r="O71" s="23">
        <v>4143.2150320340097</v>
      </c>
      <c r="P71" s="23">
        <v>3744.7971759042994</v>
      </c>
      <c r="Q71" s="23">
        <v>4805.0770296506371</v>
      </c>
      <c r="R71" s="23">
        <v>5499.6538395555926</v>
      </c>
      <c r="S71" s="23">
        <v>6429.4965620000003</v>
      </c>
      <c r="T71" s="23">
        <v>6899.6261370581396</v>
      </c>
      <c r="U71" s="23">
        <v>6528.7900509580504</v>
      </c>
      <c r="V71" s="23">
        <v>6647.5885295020798</v>
      </c>
      <c r="W71" s="23">
        <v>6264.7128181012495</v>
      </c>
      <c r="X71" s="23">
        <v>5580.4841159133766</v>
      </c>
      <c r="Y71" s="23">
        <v>4982.0736652891474</v>
      </c>
      <c r="Z71" s="23">
        <v>5273.9696532399885</v>
      </c>
      <c r="AA71" s="23">
        <v>5380.8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95.183275381928397</v>
      </c>
      <c r="E72" s="23">
        <v>93.003622647766079</v>
      </c>
      <c r="F72" s="23">
        <v>132.46298432541349</v>
      </c>
      <c r="G72" s="23">
        <v>153.84312416878274</v>
      </c>
      <c r="H72" s="23">
        <v>160.3821205630704</v>
      </c>
      <c r="I72" s="23">
        <v>142.19908386110478</v>
      </c>
      <c r="J72" s="23">
        <v>138.16062646793651</v>
      </c>
      <c r="K72" s="23">
        <v>174.50768287864847</v>
      </c>
      <c r="L72" s="23">
        <v>267.24504866982068</v>
      </c>
      <c r="M72" s="23">
        <v>163.28447319778175</v>
      </c>
      <c r="N72" s="23">
        <v>181.89784816611916</v>
      </c>
      <c r="O72" s="23">
        <v>196.00021854978772</v>
      </c>
      <c r="P72" s="23">
        <v>181.99769076101344</v>
      </c>
      <c r="Q72" s="23">
        <v>189.24673253438286</v>
      </c>
      <c r="R72" s="23">
        <v>256.68144963646762</v>
      </c>
      <c r="S72" s="23">
        <v>231.05515100000105</v>
      </c>
      <c r="T72" s="23">
        <v>223.98201999093115</v>
      </c>
      <c r="U72" s="23">
        <v>227.91616460766042</v>
      </c>
      <c r="V72" s="23">
        <v>263.10205272316199</v>
      </c>
      <c r="W72" s="23">
        <v>330.95869069796862</v>
      </c>
      <c r="X72" s="23">
        <v>321.0611144672049</v>
      </c>
      <c r="Y72" s="23">
        <v>309.45567323705347</v>
      </c>
      <c r="Z72" s="23">
        <v>309.25645094788945</v>
      </c>
      <c r="AA72" s="23">
        <v>392.30000000000018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586.06979184694535</v>
      </c>
      <c r="E73" s="23">
        <v>629.8346597032247</v>
      </c>
      <c r="F73" s="23">
        <v>649.12003185597234</v>
      </c>
      <c r="G73" s="23">
        <v>624.30089227421115</v>
      </c>
      <c r="H73" s="23">
        <v>646.08294409382984</v>
      </c>
      <c r="I73" s="23">
        <v>627.41275169250935</v>
      </c>
      <c r="J73" s="23">
        <v>681.79265670046857</v>
      </c>
      <c r="K73" s="23">
        <v>679.04061268525936</v>
      </c>
      <c r="L73" s="23">
        <v>702.32714748313037</v>
      </c>
      <c r="M73" s="23">
        <v>703.41349353049907</v>
      </c>
      <c r="N73" s="23">
        <v>750.56045427604158</v>
      </c>
      <c r="O73" s="23">
        <v>775.21416881224684</v>
      </c>
      <c r="P73" s="23">
        <v>827.35400308710939</v>
      </c>
      <c r="Q73" s="23">
        <v>893.40047876071117</v>
      </c>
      <c r="R73" s="23">
        <v>919.70268564659762</v>
      </c>
      <c r="S73" s="23">
        <v>1033.2865880000002</v>
      </c>
      <c r="T73" s="23">
        <v>1158.2670208781026</v>
      </c>
      <c r="U73" s="23">
        <v>1126.629523702074</v>
      </c>
      <c r="V73" s="23">
        <v>1055.1832702131817</v>
      </c>
      <c r="W73" s="23">
        <v>1182.6925039338746</v>
      </c>
      <c r="X73" s="23">
        <v>1174.1477923005107</v>
      </c>
      <c r="Y73" s="23">
        <v>1177.7585105164378</v>
      </c>
      <c r="Z73" s="23">
        <v>1272.8746968689784</v>
      </c>
      <c r="AA73" s="23">
        <v>1242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349.45221290454293</v>
      </c>
      <c r="E74" s="23">
        <v>359.6532496062361</v>
      </c>
      <c r="F74" s="23">
        <v>407.84204747022733</v>
      </c>
      <c r="G74" s="23">
        <v>435.25928545519929</v>
      </c>
      <c r="H74" s="23">
        <v>458.04873377850458</v>
      </c>
      <c r="I74" s="23">
        <v>463.19374426730616</v>
      </c>
      <c r="J74" s="23">
        <v>467.91241915914259</v>
      </c>
      <c r="K74" s="23">
        <v>484.24803014800801</v>
      </c>
      <c r="L74" s="23">
        <v>510.53304506321456</v>
      </c>
      <c r="M74" s="23">
        <v>613.83690696241365</v>
      </c>
      <c r="N74" s="23">
        <v>627.15524748098392</v>
      </c>
      <c r="O74" s="23">
        <v>605.00718220466047</v>
      </c>
      <c r="P74" s="23">
        <v>610.6008103661859</v>
      </c>
      <c r="Q74" s="23">
        <v>629.81197105072818</v>
      </c>
      <c r="R74" s="23">
        <v>653.45006331181992</v>
      </c>
      <c r="S74" s="23">
        <v>621.73291400000721</v>
      </c>
      <c r="T74" s="23">
        <v>657.94718372336229</v>
      </c>
      <c r="U74" s="23">
        <v>758.65240029333313</v>
      </c>
      <c r="V74" s="23">
        <v>963.34202127164622</v>
      </c>
      <c r="W74" s="23">
        <v>1078.5374794262882</v>
      </c>
      <c r="X74" s="23">
        <v>1039.6140864407694</v>
      </c>
      <c r="Y74" s="23">
        <v>1114.6911189630666</v>
      </c>
      <c r="Z74" s="23">
        <v>1127.6866799054144</v>
      </c>
      <c r="AA74" s="23">
        <v>1162.2000000000044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21873.384804669677</v>
      </c>
      <c r="E75" s="30">
        <f t="shared" ref="E75:S75" si="9">SUM(E56:E74)</f>
        <v>22577.316133355442</v>
      </c>
      <c r="F75" s="30">
        <f t="shared" si="9"/>
        <v>22818.248469344664</v>
      </c>
      <c r="G75" s="30">
        <f t="shared" si="9"/>
        <v>24060.995940031433</v>
      </c>
      <c r="H75" s="30">
        <f t="shared" si="9"/>
        <v>25862.83688593125</v>
      </c>
      <c r="I75" s="30">
        <f t="shared" si="9"/>
        <v>26859.964791439183</v>
      </c>
      <c r="J75" s="30">
        <f t="shared" si="9"/>
        <v>28674.020818816298</v>
      </c>
      <c r="K75" s="30">
        <f t="shared" si="9"/>
        <v>28073.581804828144</v>
      </c>
      <c r="L75" s="30">
        <f t="shared" si="9"/>
        <v>27242.885911928955</v>
      </c>
      <c r="M75" s="30">
        <f t="shared" si="9"/>
        <v>24031.588847812691</v>
      </c>
      <c r="N75" s="30">
        <f t="shared" si="9"/>
        <v>25759.731264880498</v>
      </c>
      <c r="O75" s="30">
        <f t="shared" si="9"/>
        <v>26680.689186276275</v>
      </c>
      <c r="P75" s="30">
        <f t="shared" si="9"/>
        <v>26665.113329406744</v>
      </c>
      <c r="Q75" s="30">
        <f t="shared" si="9"/>
        <v>27601.585416603135</v>
      </c>
      <c r="R75" s="30">
        <f t="shared" si="9"/>
        <v>29951.969834980806</v>
      </c>
      <c r="S75" s="30">
        <f t="shared" si="9"/>
        <v>32386.348676000009</v>
      </c>
      <c r="T75" s="30">
        <f t="shared" ref="T75:Y75" si="10">SUM(T56:T74)</f>
        <v>31921.357534057526</v>
      </c>
      <c r="U75" s="30">
        <f t="shared" si="10"/>
        <v>32450.081320396384</v>
      </c>
      <c r="V75" s="30">
        <f t="shared" si="10"/>
        <v>33214.288570444885</v>
      </c>
      <c r="W75" s="30">
        <f t="shared" si="10"/>
        <v>32792.90766065583</v>
      </c>
      <c r="X75" s="30">
        <f t="shared" si="10"/>
        <v>31200.121176341363</v>
      </c>
      <c r="Y75" s="30">
        <f t="shared" si="10"/>
        <v>32048.746141035692</v>
      </c>
      <c r="Z75" s="30">
        <f t="shared" ref="Z75:AA75" si="11">SUM(Z56:Z74)</f>
        <v>34008.769395757423</v>
      </c>
      <c r="AA75" s="30">
        <f t="shared" si="11"/>
        <v>34179.500000000007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10221644</v>
      </c>
      <c r="E3" s="42">
        <v>10200298</v>
      </c>
      <c r="F3" s="42">
        <v>10174853</v>
      </c>
      <c r="G3" s="42">
        <v>10142362</v>
      </c>
      <c r="H3" s="42">
        <v>10116742</v>
      </c>
      <c r="I3" s="42">
        <v>10097549</v>
      </c>
      <c r="J3" s="42">
        <v>10076581</v>
      </c>
      <c r="K3" s="42">
        <v>10066158</v>
      </c>
      <c r="L3" s="42">
        <v>10045401</v>
      </c>
      <c r="M3" s="42">
        <v>10030975</v>
      </c>
      <c r="N3" s="42">
        <v>10014324</v>
      </c>
      <c r="O3" s="42">
        <v>9985722</v>
      </c>
      <c r="P3" s="42">
        <v>9931925</v>
      </c>
      <c r="Q3" s="42">
        <v>9895250</v>
      </c>
      <c r="R3" s="42">
        <v>9850217</v>
      </c>
      <c r="S3" s="42">
        <v>9815858</v>
      </c>
      <c r="T3" s="42">
        <v>9779652</v>
      </c>
      <c r="U3" s="42">
        <v>9739857</v>
      </c>
      <c r="V3" s="42">
        <v>9713655</v>
      </c>
      <c r="W3" s="42">
        <v>9700272</v>
      </c>
      <c r="X3" s="42">
        <v>9689376</v>
      </c>
      <c r="Y3" s="42">
        <v>9651461</v>
      </c>
      <c r="Z3" s="42">
        <v>9610403</v>
      </c>
      <c r="AA3" s="42">
        <v>9599744</v>
      </c>
    </row>
    <row r="4" spans="1:27" x14ac:dyDescent="0.25">
      <c r="A4" s="43" t="s">
        <v>239</v>
      </c>
      <c r="B4" s="44"/>
      <c r="C4" s="44"/>
      <c r="D4" s="45">
        <v>4009997</v>
      </c>
      <c r="E4" s="45">
        <v>4032644</v>
      </c>
      <c r="F4" s="45">
        <v>4054011</v>
      </c>
      <c r="G4" s="45">
        <v>4072884</v>
      </c>
      <c r="H4" s="45">
        <v>4094839</v>
      </c>
      <c r="I4" s="45">
        <v>4119767</v>
      </c>
      <c r="J4" s="45">
        <v>4124279</v>
      </c>
      <c r="K4" s="45">
        <v>4125632</v>
      </c>
      <c r="L4" s="45">
        <v>4125162</v>
      </c>
      <c r="M4" s="45">
        <v>4130758</v>
      </c>
      <c r="N4" s="45">
        <v>4140443</v>
      </c>
      <c r="O4" s="45">
        <v>4152413</v>
      </c>
      <c r="P4" s="45">
        <v>4164329</v>
      </c>
      <c r="Q4" s="45">
        <v>4182270</v>
      </c>
      <c r="R4" s="45">
        <v>4191582</v>
      </c>
      <c r="S4" s="45">
        <v>4211007</v>
      </c>
      <c r="T4" s="45">
        <v>4226297</v>
      </c>
      <c r="U4" s="45">
        <v>4221871</v>
      </c>
      <c r="V4" s="45">
        <v>4217771</v>
      </c>
      <c r="W4" s="45">
        <v>4215677</v>
      </c>
      <c r="X4" s="45">
        <v>4198170</v>
      </c>
      <c r="Y4" s="45">
        <v>4185369</v>
      </c>
      <c r="Z4" s="45">
        <v>4174806</v>
      </c>
      <c r="AA4" s="45">
        <v>4161137</v>
      </c>
    </row>
    <row r="5" spans="1:27" x14ac:dyDescent="0.25">
      <c r="A5" s="46" t="s">
        <v>240</v>
      </c>
      <c r="B5" s="47"/>
      <c r="C5" s="47"/>
      <c r="D5" s="48">
        <f>D3/D4</f>
        <v>2.5490403110027264</v>
      </c>
      <c r="E5" s="48">
        <f t="shared" ref="E5:S5" si="0">E3/E4</f>
        <v>2.5294318070228861</v>
      </c>
      <c r="F5" s="48">
        <f t="shared" si="0"/>
        <v>2.5098237276613209</v>
      </c>
      <c r="G5" s="48">
        <f t="shared" si="0"/>
        <v>2.490216269356063</v>
      </c>
      <c r="H5" s="48">
        <f t="shared" si="0"/>
        <v>2.4706080019263275</v>
      </c>
      <c r="I5" s="48">
        <f t="shared" si="0"/>
        <v>2.4510000201467705</v>
      </c>
      <c r="J5" s="48">
        <f t="shared" si="0"/>
        <v>2.4432345629381524</v>
      </c>
      <c r="K5" s="48">
        <f t="shared" si="0"/>
        <v>2.4399069039604115</v>
      </c>
      <c r="L5" s="48">
        <f t="shared" si="0"/>
        <v>2.4351530921694713</v>
      </c>
      <c r="M5" s="48">
        <f t="shared" si="0"/>
        <v>2.4283618164027039</v>
      </c>
      <c r="N5" s="48">
        <f t="shared" si="0"/>
        <v>2.4186600322719092</v>
      </c>
      <c r="O5" s="48">
        <f t="shared" si="0"/>
        <v>2.4047998115794358</v>
      </c>
      <c r="P5" s="48">
        <f t="shared" si="0"/>
        <v>2.385000080445133</v>
      </c>
      <c r="Q5" s="48">
        <f t="shared" si="0"/>
        <v>2.3659998039342272</v>
      </c>
      <c r="R5" s="48">
        <f t="shared" si="0"/>
        <v>2.3499998329986149</v>
      </c>
      <c r="S5" s="48">
        <f t="shared" si="0"/>
        <v>2.3310001621939835</v>
      </c>
      <c r="T5" s="48">
        <f t="shared" ref="T5:Y5" si="1">T3/T4</f>
        <v>2.3140001755674056</v>
      </c>
      <c r="U5" s="48">
        <f t="shared" si="1"/>
        <v>2.3070001428276705</v>
      </c>
      <c r="V5" s="48">
        <f t="shared" si="1"/>
        <v>2.3030304395378507</v>
      </c>
      <c r="W5" s="48">
        <f t="shared" si="1"/>
        <v>2.3009998156879665</v>
      </c>
      <c r="X5" s="48">
        <f t="shared" si="1"/>
        <v>2.3079999142483509</v>
      </c>
      <c r="Y5" s="48">
        <f t="shared" si="1"/>
        <v>2.3060000205477702</v>
      </c>
      <c r="Z5" s="48">
        <f t="shared" ref="Z5:AA5" si="2">Z3/Z4</f>
        <v>2.3019999013127794</v>
      </c>
      <c r="AA5" s="48">
        <f t="shared" si="2"/>
        <v>2.307000226140115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3267.08</v>
      </c>
      <c r="E8" s="42">
        <v>2910.68</v>
      </c>
      <c r="F8" s="42">
        <v>2971.58</v>
      </c>
      <c r="G8" s="42">
        <v>2822.91</v>
      </c>
      <c r="H8" s="42">
        <v>2979.61</v>
      </c>
      <c r="I8" s="42">
        <v>3270.22</v>
      </c>
      <c r="J8" s="42">
        <v>3074.62</v>
      </c>
      <c r="K8" s="42">
        <v>3176.22</v>
      </c>
      <c r="L8" s="42">
        <v>2933.1</v>
      </c>
      <c r="M8" s="42">
        <v>2694.29</v>
      </c>
      <c r="N8" s="42">
        <v>2683.06</v>
      </c>
      <c r="O8" s="42">
        <v>3121.3</v>
      </c>
      <c r="P8" s="42">
        <v>2813.35</v>
      </c>
      <c r="Q8" s="42">
        <v>2976.4</v>
      </c>
      <c r="R8" s="42">
        <v>2662.85</v>
      </c>
      <c r="S8" s="42">
        <v>2905.42</v>
      </c>
      <c r="T8" s="42">
        <v>3200.1</v>
      </c>
      <c r="U8" s="42">
        <v>3039.79</v>
      </c>
      <c r="V8" s="42">
        <v>2910.01</v>
      </c>
      <c r="W8" s="42">
        <v>2833.52</v>
      </c>
      <c r="X8" s="42">
        <v>2502.9499999999998</v>
      </c>
      <c r="Y8" s="42">
        <v>2856.12</v>
      </c>
      <c r="Z8" s="42">
        <v>2650.18</v>
      </c>
      <c r="AA8" s="42">
        <v>3110.57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2940.4314285714286</v>
      </c>
      <c r="E9" s="45">
        <f t="shared" si="3"/>
        <v>2940.4314285714286</v>
      </c>
      <c r="F9" s="45">
        <f t="shared" si="3"/>
        <v>2940.4314285714286</v>
      </c>
      <c r="G9" s="45">
        <f t="shared" si="3"/>
        <v>2940.4314285714286</v>
      </c>
      <c r="H9" s="45">
        <f t="shared" si="3"/>
        <v>2940.4314285714286</v>
      </c>
      <c r="I9" s="45">
        <f t="shared" si="3"/>
        <v>2940.4314285714286</v>
      </c>
      <c r="J9" s="45">
        <f t="shared" si="3"/>
        <v>2940.4314285714286</v>
      </c>
      <c r="K9" s="45">
        <f t="shared" si="3"/>
        <v>2940.4314285714286</v>
      </c>
      <c r="L9" s="45">
        <f t="shared" si="3"/>
        <v>2940.4314285714286</v>
      </c>
      <c r="M9" s="45">
        <f t="shared" si="3"/>
        <v>2940.4314285714286</v>
      </c>
      <c r="N9" s="45">
        <f t="shared" si="3"/>
        <v>2940.4314285714286</v>
      </c>
      <c r="O9" s="45">
        <f t="shared" si="3"/>
        <v>2940.4314285714286</v>
      </c>
      <c r="P9" s="45">
        <f t="shared" si="3"/>
        <v>2940.4314285714286</v>
      </c>
      <c r="Q9" s="45">
        <f t="shared" si="3"/>
        <v>2940.4314285714286</v>
      </c>
      <c r="R9" s="45">
        <f t="shared" si="3"/>
        <v>2940.4314285714286</v>
      </c>
      <c r="S9" s="45">
        <f t="shared" si="3"/>
        <v>2940.4314285714286</v>
      </c>
      <c r="T9" s="45">
        <f t="shared" si="3"/>
        <v>2940.4314285714286</v>
      </c>
      <c r="U9" s="45">
        <f t="shared" si="3"/>
        <v>2940.4314285714286</v>
      </c>
      <c r="V9" s="45">
        <f t="shared" si="3"/>
        <v>2940.4314285714286</v>
      </c>
      <c r="W9" s="45">
        <f t="shared" si="3"/>
        <v>2940.4314285714286</v>
      </c>
      <c r="X9" s="45">
        <f>AVERAGE($D8:$X8)</f>
        <v>2940.4314285714286</v>
      </c>
      <c r="Y9" s="45">
        <f t="shared" ref="Y9:AA9" si="4">AVERAGE($D8:$X8)</f>
        <v>2940.4314285714286</v>
      </c>
      <c r="Z9" s="45">
        <f t="shared" si="4"/>
        <v>2940.4314285714286</v>
      </c>
      <c r="AA9" s="45">
        <f t="shared" si="4"/>
        <v>2940.4314285714286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1.1110886546289125</v>
      </c>
      <c r="E10" s="53">
        <f t="shared" si="5"/>
        <v>0.98988195123941958</v>
      </c>
      <c r="F10" s="53">
        <f t="shared" si="5"/>
        <v>1.0105931976940215</v>
      </c>
      <c r="G10" s="53">
        <f t="shared" si="5"/>
        <v>0.96003258996979057</v>
      </c>
      <c r="H10" s="53">
        <f t="shared" si="5"/>
        <v>1.0133240894679207</v>
      </c>
      <c r="I10" s="53">
        <f t="shared" si="5"/>
        <v>1.1121565251357672</v>
      </c>
      <c r="J10" s="53">
        <f t="shared" si="5"/>
        <v>1.0456356744539916</v>
      </c>
      <c r="K10" s="53">
        <f t="shared" si="5"/>
        <v>1.0801884271598627</v>
      </c>
      <c r="L10" s="53">
        <f t="shared" si="5"/>
        <v>0.9975066826928215</v>
      </c>
      <c r="M10" s="53">
        <f t="shared" si="5"/>
        <v>0.91629070952659031</v>
      </c>
      <c r="N10" s="53">
        <f t="shared" si="5"/>
        <v>0.91247154207691583</v>
      </c>
      <c r="O10" s="53">
        <f t="shared" si="5"/>
        <v>1.0615108958743664</v>
      </c>
      <c r="P10" s="53">
        <f t="shared" si="5"/>
        <v>0.95678136638841138</v>
      </c>
      <c r="Q10" s="53">
        <f t="shared" si="5"/>
        <v>1.0122324129306584</v>
      </c>
      <c r="R10" s="53">
        <f t="shared" si="5"/>
        <v>0.90559840101209632</v>
      </c>
      <c r="S10" s="53">
        <f t="shared" si="5"/>
        <v>0.98809309809736379</v>
      </c>
      <c r="T10" s="53">
        <f t="shared" ref="T10:Y10" si="6">IF(T8=0,0,T8/T9)</f>
        <v>1.0883096843903373</v>
      </c>
      <c r="U10" s="53">
        <f t="shared" si="6"/>
        <v>1.0337904738954731</v>
      </c>
      <c r="V10" s="53">
        <f t="shared" si="6"/>
        <v>0.98965409351980427</v>
      </c>
      <c r="W10" s="53">
        <f t="shared" si="6"/>
        <v>0.96364090400728364</v>
      </c>
      <c r="X10" s="53">
        <f t="shared" si="6"/>
        <v>0.85121862583819086</v>
      </c>
      <c r="Y10" s="53">
        <f t="shared" si="6"/>
        <v>0.97132685096744786</v>
      </c>
      <c r="Z10" s="53">
        <f t="shared" ref="Z10:AA10" si="7">IF(Z8=0,0,Z8/Z9)</f>
        <v>0.90128950950832287</v>
      </c>
      <c r="AA10" s="53">
        <f t="shared" si="7"/>
        <v>1.0578617714990317</v>
      </c>
    </row>
    <row r="11" spans="1:27" x14ac:dyDescent="0.25">
      <c r="A11" s="43" t="s">
        <v>251</v>
      </c>
      <c r="B11" s="44"/>
      <c r="C11" s="44"/>
      <c r="D11" s="45">
        <v>10.95</v>
      </c>
      <c r="E11" s="45">
        <v>33.64</v>
      </c>
      <c r="F11" s="45">
        <v>25.45</v>
      </c>
      <c r="G11" s="45">
        <v>40.75</v>
      </c>
      <c r="H11" s="45">
        <v>15.54</v>
      </c>
      <c r="I11" s="45">
        <v>36.89</v>
      </c>
      <c r="J11" s="45">
        <v>46.56</v>
      </c>
      <c r="K11" s="45">
        <v>58.8</v>
      </c>
      <c r="L11" s="45">
        <v>72.150000000000006</v>
      </c>
      <c r="M11" s="45">
        <v>37.409999999999997</v>
      </c>
      <c r="N11" s="45">
        <v>24.48</v>
      </c>
      <c r="O11" s="45">
        <v>41.01</v>
      </c>
      <c r="P11" s="45">
        <v>115.96</v>
      </c>
      <c r="Q11" s="45">
        <v>59.47</v>
      </c>
      <c r="R11" s="45">
        <v>130.59</v>
      </c>
      <c r="S11" s="45">
        <v>39.729999999999997</v>
      </c>
      <c r="T11" s="45">
        <v>34.24</v>
      </c>
      <c r="U11" s="45">
        <v>14.96</v>
      </c>
      <c r="V11" s="45">
        <v>76.33</v>
      </c>
      <c r="W11" s="45">
        <v>33.47</v>
      </c>
      <c r="X11" s="45">
        <v>109.11</v>
      </c>
      <c r="Y11" s="45">
        <v>64.86</v>
      </c>
      <c r="Z11" s="45">
        <v>93.72</v>
      </c>
      <c r="AA11" s="45">
        <v>145.96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50.356666666666676</v>
      </c>
      <c r="E12" s="45">
        <f t="shared" ref="E12" si="9">AVERAGE($D11:$X11)</f>
        <v>50.356666666666676</v>
      </c>
      <c r="F12" s="45">
        <f t="shared" ref="F12" si="10">AVERAGE($D11:$X11)</f>
        <v>50.356666666666676</v>
      </c>
      <c r="G12" s="45">
        <f t="shared" ref="G12" si="11">AVERAGE($D11:$X11)</f>
        <v>50.356666666666676</v>
      </c>
      <c r="H12" s="45">
        <f t="shared" ref="H12" si="12">AVERAGE($D11:$X11)</f>
        <v>50.356666666666676</v>
      </c>
      <c r="I12" s="45">
        <f t="shared" ref="I12" si="13">AVERAGE($D11:$X11)</f>
        <v>50.356666666666676</v>
      </c>
      <c r="J12" s="45">
        <f t="shared" ref="J12" si="14">AVERAGE($D11:$X11)</f>
        <v>50.356666666666676</v>
      </c>
      <c r="K12" s="45">
        <f t="shared" ref="K12" si="15">AVERAGE($D11:$X11)</f>
        <v>50.356666666666676</v>
      </c>
      <c r="L12" s="45">
        <f t="shared" ref="L12" si="16">AVERAGE($D11:$X11)</f>
        <v>50.356666666666676</v>
      </c>
      <c r="M12" s="45">
        <f t="shared" ref="M12" si="17">AVERAGE($D11:$X11)</f>
        <v>50.356666666666676</v>
      </c>
      <c r="N12" s="45">
        <f t="shared" ref="N12" si="18">AVERAGE($D11:$X11)</f>
        <v>50.356666666666676</v>
      </c>
      <c r="O12" s="45">
        <f t="shared" ref="O12" si="19">AVERAGE($D11:$X11)</f>
        <v>50.356666666666676</v>
      </c>
      <c r="P12" s="45">
        <f t="shared" ref="P12" si="20">AVERAGE($D11:$X11)</f>
        <v>50.356666666666676</v>
      </c>
      <c r="Q12" s="45">
        <f t="shared" ref="Q12" si="21">AVERAGE($D11:$X11)</f>
        <v>50.356666666666676</v>
      </c>
      <c r="R12" s="45">
        <f t="shared" ref="R12" si="22">AVERAGE($D11:$X11)</f>
        <v>50.356666666666676</v>
      </c>
      <c r="S12" s="45">
        <f t="shared" ref="S12" si="23">AVERAGE($D11:$X11)</f>
        <v>50.356666666666676</v>
      </c>
      <c r="T12" s="45">
        <f t="shared" ref="T12" si="24">AVERAGE($D11:$X11)</f>
        <v>50.356666666666676</v>
      </c>
      <c r="U12" s="45">
        <f t="shared" ref="U12" si="25">AVERAGE($D11:$X11)</f>
        <v>50.356666666666676</v>
      </c>
      <c r="V12" s="45">
        <f t="shared" ref="V12" si="26">AVERAGE($D11:$X11)</f>
        <v>50.356666666666676</v>
      </c>
      <c r="W12" s="45">
        <f t="shared" ref="W12" si="27">AVERAGE($D11:$X11)</f>
        <v>50.356666666666676</v>
      </c>
      <c r="X12" s="45">
        <f>AVERAGE($D11:$X11)</f>
        <v>50.356666666666676</v>
      </c>
      <c r="Y12" s="45">
        <f t="shared" ref="Y12:AA12" si="28">AVERAGE($D11:$X11)</f>
        <v>50.356666666666676</v>
      </c>
      <c r="Z12" s="45">
        <f t="shared" si="28"/>
        <v>50.356666666666676</v>
      </c>
      <c r="AA12" s="45">
        <f t="shared" si="28"/>
        <v>50.356666666666676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0.21744886476467856</v>
      </c>
      <c r="E13" s="55">
        <f t="shared" si="29"/>
        <v>0.66803468590719517</v>
      </c>
      <c r="F13" s="55">
        <f t="shared" ref="F13" si="30">IF(F11=0,0,F11/F12)</f>
        <v>0.50539485006950413</v>
      </c>
      <c r="G13" s="55">
        <f t="shared" ref="G13" si="31">IF(G11=0,0,G11/G12)</f>
        <v>0.80922751042563035</v>
      </c>
      <c r="H13" s="55">
        <f t="shared" ref="H13" si="32">IF(H11=0,0,H11/H12)</f>
        <v>0.30859866287151644</v>
      </c>
      <c r="I13" s="55">
        <f t="shared" ref="I13" si="33">IF(I11=0,0,I11/I12)</f>
        <v>0.73257430330310436</v>
      </c>
      <c r="J13" s="55">
        <f t="shared" ref="J13" si="34">IF(J11=0,0,J11/J12)</f>
        <v>0.92460448798570183</v>
      </c>
      <c r="K13" s="55">
        <f t="shared" ref="K13" si="35">IF(K11=0,0,K11/K12)</f>
        <v>1.1676706162706028</v>
      </c>
      <c r="L13" s="55">
        <f t="shared" ref="L13" si="36">IF(L11=0,0,L11/L12)</f>
        <v>1.4327795061891837</v>
      </c>
      <c r="M13" s="55">
        <f t="shared" ref="M13" si="37">IF(M11=0,0,M11/M12)</f>
        <v>0.74290064208644979</v>
      </c>
      <c r="N13" s="55">
        <f t="shared" ref="N13" si="38">IF(N11=0,0,N11/N12)</f>
        <v>0.48613225656980197</v>
      </c>
      <c r="O13" s="55">
        <f t="shared" ref="O13" si="39">IF(O11=0,0,O11/O12)</f>
        <v>0.81439067981730306</v>
      </c>
      <c r="P13" s="55">
        <f t="shared" ref="P13" si="40">IF(P11=0,0,P11/P12)</f>
        <v>2.302773548686039</v>
      </c>
      <c r="Q13" s="55">
        <f t="shared" ref="Q13" si="41">IF(Q11=0,0,Q11/Q12)</f>
        <v>1.1809757066260671</v>
      </c>
      <c r="R13" s="55">
        <f t="shared" ref="R13" si="42">IF(R11=0,0,R11/R12)</f>
        <v>2.5933011186867012</v>
      </c>
      <c r="S13" s="55">
        <f t="shared" ref="S13:Y13" si="43">IF(S11=0,0,S11/S12)</f>
        <v>0.78897199973522192</v>
      </c>
      <c r="T13" s="55">
        <f t="shared" si="43"/>
        <v>0.67994969219567081</v>
      </c>
      <c r="U13" s="55">
        <f t="shared" si="43"/>
        <v>0.29708082345932346</v>
      </c>
      <c r="V13" s="55">
        <f t="shared" si="43"/>
        <v>1.5157873833322297</v>
      </c>
      <c r="W13" s="55">
        <f t="shared" si="43"/>
        <v>0.66465876745879382</v>
      </c>
      <c r="X13" s="55">
        <f t="shared" si="43"/>
        <v>2.1667438935592767</v>
      </c>
      <c r="Y13" s="55">
        <f t="shared" si="43"/>
        <v>1.2880121797842057</v>
      </c>
      <c r="Z13" s="55">
        <f t="shared" ref="Z13:AA13" si="44">IF(Z11=0,0,Z11/Z12)</f>
        <v>1.8611239822598791</v>
      </c>
      <c r="AA13" s="55">
        <f t="shared" si="44"/>
        <v>2.8985238631098165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115424.54637634478</v>
      </c>
      <c r="E16" s="42">
        <v>120113.52639624424</v>
      </c>
      <c r="F16" s="42">
        <v>125794.23191801614</v>
      </c>
      <c r="G16" s="42">
        <v>130749.85238994335</v>
      </c>
      <c r="H16" s="42">
        <v>137239.69500720961</v>
      </c>
      <c r="I16" s="42">
        <v>143140.16943083939</v>
      </c>
      <c r="J16" s="42">
        <v>148772.11959087334</v>
      </c>
      <c r="K16" s="42">
        <v>149266.74681974741</v>
      </c>
      <c r="L16" s="42">
        <v>150749.72818974539</v>
      </c>
      <c r="M16" s="42">
        <v>140587.88022553109</v>
      </c>
      <c r="N16" s="42">
        <v>142089.88988977537</v>
      </c>
      <c r="O16" s="42">
        <v>144812.71155921902</v>
      </c>
      <c r="P16" s="42">
        <v>142873.42678750434</v>
      </c>
      <c r="Q16" s="42">
        <v>145776.76613886253</v>
      </c>
      <c r="R16" s="42">
        <v>152095.44957818004</v>
      </c>
      <c r="S16" s="42">
        <v>157661.55216000002</v>
      </c>
      <c r="T16" s="42">
        <v>161506.51757986794</v>
      </c>
      <c r="U16" s="42">
        <v>168167.85228358675</v>
      </c>
      <c r="V16" s="42">
        <v>177594.67907669398</v>
      </c>
      <c r="W16" s="42">
        <v>186611.18593298231</v>
      </c>
      <c r="X16" s="42">
        <v>178515.59137055837</v>
      </c>
      <c r="Y16" s="42">
        <v>191409.7585231945</v>
      </c>
      <c r="Z16" s="42">
        <v>199582.80964380785</v>
      </c>
      <c r="AA16" s="42">
        <v>197902</v>
      </c>
    </row>
    <row r="17" spans="1:27" x14ac:dyDescent="0.25">
      <c r="A17" s="46" t="s">
        <v>141</v>
      </c>
      <c r="B17" s="47"/>
      <c r="C17" s="47"/>
      <c r="D17" s="57">
        <v>57178.95926715689</v>
      </c>
      <c r="E17" s="57">
        <v>59845.158012969943</v>
      </c>
      <c r="F17" s="57">
        <v>64315.944176147052</v>
      </c>
      <c r="G17" s="57">
        <v>69550.375247264441</v>
      </c>
      <c r="H17" s="57">
        <v>70909.319068190642</v>
      </c>
      <c r="I17" s="57">
        <v>73007.816246690287</v>
      </c>
      <c r="J17" s="57">
        <v>74606.655467804958</v>
      </c>
      <c r="K17" s="57">
        <v>75329.468516772191</v>
      </c>
      <c r="L17" s="57">
        <v>74358.665644737353</v>
      </c>
      <c r="M17" s="57">
        <v>69452.004072075099</v>
      </c>
      <c r="N17" s="57">
        <v>68375.893237051787</v>
      </c>
      <c r="O17" s="57">
        <v>68771.357161296619</v>
      </c>
      <c r="P17" s="57">
        <v>67561.448551728114</v>
      </c>
      <c r="Q17" s="57">
        <v>67764.093921759428</v>
      </c>
      <c r="R17" s="57">
        <v>69453.279460086836</v>
      </c>
      <c r="S17" s="57">
        <v>72159.391128000003</v>
      </c>
      <c r="T17" s="57">
        <v>75654.808119028661</v>
      </c>
      <c r="U17" s="57">
        <v>79816.057451164204</v>
      </c>
      <c r="V17" s="57">
        <v>83832.846532312629</v>
      </c>
      <c r="W17" s="57">
        <v>88177.016159058738</v>
      </c>
      <c r="X17" s="57">
        <v>87544.776180936911</v>
      </c>
      <c r="Y17" s="57">
        <v>91977.509136883731</v>
      </c>
      <c r="Z17" s="57">
        <v>98300.210742269701</v>
      </c>
      <c r="AA17" s="57">
        <v>97298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11292.170454805975</v>
      </c>
      <c r="E20" s="42">
        <f t="shared" ref="E20:S20" si="45">1000000*E16/E$3</f>
        <v>11775.491892123568</v>
      </c>
      <c r="F20" s="42">
        <f t="shared" si="45"/>
        <v>12363.248089973991</v>
      </c>
      <c r="G20" s="42">
        <f t="shared" si="45"/>
        <v>12891.459838442302</v>
      </c>
      <c r="H20" s="42">
        <f t="shared" si="45"/>
        <v>13565.601950431237</v>
      </c>
      <c r="I20" s="42">
        <f t="shared" si="45"/>
        <v>14175.73407475808</v>
      </c>
      <c r="J20" s="42">
        <f t="shared" si="45"/>
        <v>14764.146647645002</v>
      </c>
      <c r="K20" s="42">
        <f t="shared" si="45"/>
        <v>14828.571816550804</v>
      </c>
      <c r="L20" s="42">
        <f t="shared" si="45"/>
        <v>15006.840263494249</v>
      </c>
      <c r="M20" s="42">
        <f t="shared" si="45"/>
        <v>14015.375397260097</v>
      </c>
      <c r="N20" s="42">
        <f t="shared" si="45"/>
        <v>14188.665145023804</v>
      </c>
      <c r="O20" s="42">
        <f t="shared" si="45"/>
        <v>14501.977078795006</v>
      </c>
      <c r="P20" s="42">
        <f t="shared" si="45"/>
        <v>14385.270407046402</v>
      </c>
      <c r="Q20" s="42">
        <f t="shared" si="45"/>
        <v>14731.994253693692</v>
      </c>
      <c r="R20" s="42">
        <f t="shared" si="45"/>
        <v>15440.822225356053</v>
      </c>
      <c r="S20" s="42">
        <f t="shared" si="45"/>
        <v>16061.922672475501</v>
      </c>
      <c r="T20" s="42">
        <f t="shared" ref="T20:Y20" si="46">1000000*T16/T$3</f>
        <v>16514.546486916708</v>
      </c>
      <c r="U20" s="42">
        <f t="shared" si="46"/>
        <v>17265.946746814327</v>
      </c>
      <c r="V20" s="42">
        <f t="shared" si="46"/>
        <v>18282.992249229974</v>
      </c>
      <c r="W20" s="42">
        <f t="shared" si="46"/>
        <v>19237.72714136081</v>
      </c>
      <c r="X20" s="42">
        <f t="shared" si="46"/>
        <v>18423.848075516769</v>
      </c>
      <c r="Y20" s="42">
        <f t="shared" si="46"/>
        <v>19832.205561748058</v>
      </c>
      <c r="Z20" s="42">
        <f t="shared" ref="Z20:AA20" si="47">1000000*Z16/Z$3</f>
        <v>20767.371528936703</v>
      </c>
      <c r="AA20" s="42">
        <f t="shared" si="47"/>
        <v>20615.341409104243</v>
      </c>
    </row>
    <row r="21" spans="1:27" x14ac:dyDescent="0.25">
      <c r="A21" s="46" t="s">
        <v>141</v>
      </c>
      <c r="B21" s="47"/>
      <c r="C21" s="47"/>
      <c r="D21" s="57">
        <f>1000000*D17/D$3</f>
        <v>5593.9102621023476</v>
      </c>
      <c r="E21" s="57">
        <f t="shared" ref="E21:S21" si="48">1000000*E17/E$3</f>
        <v>5867.0009457537362</v>
      </c>
      <c r="F21" s="57">
        <f t="shared" si="48"/>
        <v>6321.0686361903263</v>
      </c>
      <c r="G21" s="57">
        <f t="shared" si="48"/>
        <v>6857.4140074338138</v>
      </c>
      <c r="H21" s="57">
        <f t="shared" si="48"/>
        <v>7009.1061992280365</v>
      </c>
      <c r="I21" s="57">
        <f t="shared" si="48"/>
        <v>7230.2512467817978</v>
      </c>
      <c r="J21" s="57">
        <f t="shared" si="48"/>
        <v>7403.9652405716743</v>
      </c>
      <c r="K21" s="57">
        <f t="shared" si="48"/>
        <v>7483.4379230657996</v>
      </c>
      <c r="L21" s="57">
        <f t="shared" si="48"/>
        <v>7402.2595658189603</v>
      </c>
      <c r="M21" s="57">
        <f t="shared" si="48"/>
        <v>6923.754078947969</v>
      </c>
      <c r="N21" s="57">
        <f t="shared" si="48"/>
        <v>6827.8091698502849</v>
      </c>
      <c r="O21" s="57">
        <f t="shared" si="48"/>
        <v>6886.9689303684418</v>
      </c>
      <c r="P21" s="57">
        <f t="shared" si="48"/>
        <v>6802.4525509131527</v>
      </c>
      <c r="Q21" s="57">
        <f t="shared" si="48"/>
        <v>6848.1436974062735</v>
      </c>
      <c r="R21" s="57">
        <f t="shared" si="48"/>
        <v>7050.9390260221517</v>
      </c>
      <c r="S21" s="57">
        <f t="shared" si="48"/>
        <v>7351.3075604801943</v>
      </c>
      <c r="T21" s="57">
        <f t="shared" ref="T21:Y21" si="49">1000000*T17/T$3</f>
        <v>7735.9407184456722</v>
      </c>
      <c r="U21" s="57">
        <f t="shared" si="49"/>
        <v>8194.7874030557323</v>
      </c>
      <c r="V21" s="57">
        <f t="shared" si="49"/>
        <v>8630.4121911178263</v>
      </c>
      <c r="W21" s="57">
        <f t="shared" si="49"/>
        <v>9090.1591377085842</v>
      </c>
      <c r="X21" s="57">
        <f t="shared" si="49"/>
        <v>9035.130454317894</v>
      </c>
      <c r="Y21" s="57">
        <f t="shared" si="49"/>
        <v>9529.9052793026603</v>
      </c>
      <c r="Z21" s="57">
        <f t="shared" ref="Z21:AA21" si="50">1000000*Z17/Z$3</f>
        <v>10228.521191282998</v>
      </c>
      <c r="AA21" s="57">
        <f t="shared" si="50"/>
        <v>10135.478612763007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97729.092846017098</v>
      </c>
      <c r="E23" s="60">
        <v>101872.71494929398</v>
      </c>
      <c r="F23" s="60">
        <v>106795.15375212675</v>
      </c>
      <c r="G23" s="60">
        <v>111170.37250272036</v>
      </c>
      <c r="H23" s="60">
        <v>116664.49198346066</v>
      </c>
      <c r="I23" s="60">
        <v>121597.42945839705</v>
      </c>
      <c r="J23" s="60">
        <v>126322.60034173002</v>
      </c>
      <c r="K23" s="60">
        <v>126668.98398589851</v>
      </c>
      <c r="L23" s="60">
        <v>127712.29200147366</v>
      </c>
      <c r="M23" s="60">
        <v>119008.27917436846</v>
      </c>
      <c r="N23" s="60">
        <v>120537.35538812373</v>
      </c>
      <c r="O23" s="60">
        <v>122961.72206853882</v>
      </c>
      <c r="P23" s="60">
        <v>121313.86327050794</v>
      </c>
      <c r="Q23" s="60">
        <v>124594.50554691549</v>
      </c>
      <c r="R23" s="60">
        <v>130313.40151846256</v>
      </c>
      <c r="S23" s="60">
        <v>135046.55228500001</v>
      </c>
      <c r="T23" s="60">
        <v>138530.49955542851</v>
      </c>
      <c r="U23" s="60">
        <v>144103.49993512721</v>
      </c>
      <c r="V23" s="60">
        <v>152535.62850642522</v>
      </c>
      <c r="W23" s="60">
        <v>160025.01256126896</v>
      </c>
      <c r="X23" s="60">
        <v>152649.48175535907</v>
      </c>
      <c r="Y23" s="60">
        <v>164295.93574619564</v>
      </c>
      <c r="Z23" s="60">
        <v>171786.70066390111</v>
      </c>
      <c r="AA23" s="60">
        <v>171358.8</v>
      </c>
    </row>
    <row r="24" spans="1:27" x14ac:dyDescent="0.25">
      <c r="A24" s="61" t="s">
        <v>33</v>
      </c>
      <c r="B24" s="62"/>
      <c r="C24" s="62"/>
      <c r="D24" s="63">
        <v>5806.626668135119</v>
      </c>
      <c r="E24" s="63">
        <v>5927.7055776617208</v>
      </c>
      <c r="F24" s="63">
        <v>5375.4610029804644</v>
      </c>
      <c r="G24" s="63">
        <v>5053.4719090799181</v>
      </c>
      <c r="H24" s="63">
        <v>5938.6929226751572</v>
      </c>
      <c r="I24" s="63">
        <v>5256.7140063332608</v>
      </c>
      <c r="J24" s="63">
        <v>5148.6173959504431</v>
      </c>
      <c r="K24" s="63">
        <v>5136.6832787981321</v>
      </c>
      <c r="L24" s="63">
        <v>5185.3249757620415</v>
      </c>
      <c r="M24" s="63">
        <v>4194.0825631546522</v>
      </c>
      <c r="N24" s="63">
        <v>4271.3894698773393</v>
      </c>
      <c r="O24" s="63">
        <v>5742.5371335049804</v>
      </c>
      <c r="P24" s="63">
        <v>5606.5960568271821</v>
      </c>
      <c r="Q24" s="63">
        <v>5787.5432856605585</v>
      </c>
      <c r="R24" s="63">
        <v>6083.7854096887513</v>
      </c>
      <c r="S24" s="63">
        <v>6028.167824000001</v>
      </c>
      <c r="T24" s="63">
        <v>6312.7932446818995</v>
      </c>
      <c r="U24" s="63">
        <v>6368.167235478837</v>
      </c>
      <c r="V24" s="63">
        <v>6265.6875087236085</v>
      </c>
      <c r="W24" s="63">
        <v>6293.2238112463592</v>
      </c>
      <c r="X24" s="63">
        <v>6073.3844179618136</v>
      </c>
      <c r="Y24" s="63">
        <v>6705.5402999409635</v>
      </c>
      <c r="Z24" s="63">
        <v>6330.4365322315998</v>
      </c>
      <c r="AA24" s="63">
        <v>5740.7</v>
      </c>
    </row>
    <row r="25" spans="1:27" x14ac:dyDescent="0.25">
      <c r="A25" s="64" t="s">
        <v>56</v>
      </c>
      <c r="B25" s="65"/>
      <c r="C25" s="65"/>
      <c r="D25" s="66">
        <v>247.7893248792461</v>
      </c>
      <c r="E25" s="66">
        <v>229.35807252476627</v>
      </c>
      <c r="F25" s="66">
        <v>254.8155985664813</v>
      </c>
      <c r="G25" s="66">
        <v>258.05407570282676</v>
      </c>
      <c r="H25" s="66">
        <v>260.7522857187509</v>
      </c>
      <c r="I25" s="66">
        <v>291.22124262939491</v>
      </c>
      <c r="J25" s="66">
        <v>304.28965446238033</v>
      </c>
      <c r="K25" s="66">
        <v>244.13811858620437</v>
      </c>
      <c r="L25" s="66">
        <v>309.23873225781443</v>
      </c>
      <c r="M25" s="66">
        <v>303.43327171903877</v>
      </c>
      <c r="N25" s="66">
        <v>258.36627688536612</v>
      </c>
      <c r="O25" s="66">
        <v>295.20495678901443</v>
      </c>
      <c r="P25" s="66">
        <v>306.88675589495699</v>
      </c>
      <c r="Q25" s="66">
        <v>278.88992162961608</v>
      </c>
      <c r="R25" s="66">
        <v>261.17700044930979</v>
      </c>
      <c r="S25" s="66">
        <v>216.85385100000008</v>
      </c>
      <c r="T25" s="66">
        <v>200.1839303668948</v>
      </c>
      <c r="U25" s="66">
        <v>280.78951035144127</v>
      </c>
      <c r="V25" s="66">
        <v>427.74191918221601</v>
      </c>
      <c r="W25" s="66">
        <v>580.49409466620853</v>
      </c>
      <c r="X25" s="66">
        <v>388.65292803924825</v>
      </c>
      <c r="Y25" s="66">
        <v>554.71775150014548</v>
      </c>
      <c r="Z25" s="66">
        <v>879.2280436041367</v>
      </c>
      <c r="AA25" s="66">
        <v>626.09999999999991</v>
      </c>
    </row>
    <row r="26" spans="1:27" x14ac:dyDescent="0.25">
      <c r="A26" s="67" t="s">
        <v>146</v>
      </c>
      <c r="B26" s="44"/>
      <c r="C26" s="44"/>
      <c r="D26" s="45">
        <v>62286.952296291645</v>
      </c>
      <c r="E26" s="45">
        <v>65342.450633792236</v>
      </c>
      <c r="F26" s="45">
        <v>69912.523684432788</v>
      </c>
      <c r="G26" s="45">
        <v>73463.823251282854</v>
      </c>
      <c r="H26" s="45">
        <v>75750.177761761763</v>
      </c>
      <c r="I26" s="45">
        <v>79735.693924437684</v>
      </c>
      <c r="J26" s="45">
        <v>83412.608655445263</v>
      </c>
      <c r="K26" s="45">
        <v>84057.171436386285</v>
      </c>
      <c r="L26" s="45">
        <v>86018.209251144013</v>
      </c>
      <c r="M26" s="45">
        <v>81644.60948860136</v>
      </c>
      <c r="N26" s="45">
        <v>82535.39961423706</v>
      </c>
      <c r="O26" s="45">
        <v>82976.260273835913</v>
      </c>
      <c r="P26" s="45">
        <v>81600.294267522375</v>
      </c>
      <c r="Q26" s="45">
        <v>83800.647331239394</v>
      </c>
      <c r="R26" s="45">
        <v>86492.222372559423</v>
      </c>
      <c r="S26" s="45">
        <v>88614.833882999999</v>
      </c>
      <c r="T26" s="45">
        <v>92699.018647359204</v>
      </c>
      <c r="U26" s="45">
        <v>97120.191499783759</v>
      </c>
      <c r="V26" s="45">
        <v>103462.75957008185</v>
      </c>
      <c r="W26" s="45">
        <v>109485.16751885547</v>
      </c>
      <c r="X26" s="45">
        <v>104822.16439306569</v>
      </c>
      <c r="Y26" s="45">
        <v>113626.91765016872</v>
      </c>
      <c r="Z26" s="45">
        <v>118592.04981383511</v>
      </c>
      <c r="AA26" s="45">
        <v>117212.5</v>
      </c>
    </row>
    <row r="27" spans="1:27" x14ac:dyDescent="0.25">
      <c r="A27" s="68" t="s">
        <v>148</v>
      </c>
      <c r="B27" s="69"/>
      <c r="C27" s="69"/>
      <c r="D27" s="70">
        <v>25975.873347598303</v>
      </c>
      <c r="E27" s="70">
        <v>26958.296906518553</v>
      </c>
      <c r="F27" s="70">
        <v>29086.50655943431</v>
      </c>
      <c r="G27" s="70">
        <v>30981.017629065405</v>
      </c>
      <c r="H27" s="70">
        <v>31624.068456137542</v>
      </c>
      <c r="I27" s="70">
        <v>32671.05363398125</v>
      </c>
      <c r="J27" s="70">
        <v>33359.151994167223</v>
      </c>
      <c r="K27" s="70">
        <v>33566.905269822608</v>
      </c>
      <c r="L27" s="70">
        <v>33702.753605638703</v>
      </c>
      <c r="M27" s="70">
        <v>31840.175662353675</v>
      </c>
      <c r="N27" s="70">
        <v>31783.046676310743</v>
      </c>
      <c r="O27" s="70">
        <v>31615.699750513952</v>
      </c>
      <c r="P27" s="70">
        <v>31617.700251843111</v>
      </c>
      <c r="Q27" s="70">
        <v>32614.819416745439</v>
      </c>
      <c r="R27" s="70">
        <v>34144.433512376461</v>
      </c>
      <c r="S27" s="70">
        <v>35351.012063999988</v>
      </c>
      <c r="T27" s="70">
        <v>37362.160777162251</v>
      </c>
      <c r="U27" s="70">
        <v>38413.019757056092</v>
      </c>
      <c r="V27" s="70">
        <v>40054.149067155486</v>
      </c>
      <c r="W27" s="70">
        <v>41895.748575666039</v>
      </c>
      <c r="X27" s="70">
        <v>39162.696783641775</v>
      </c>
      <c r="Y27" s="70">
        <v>41257.336110107564</v>
      </c>
      <c r="Z27" s="70">
        <v>44100.471789672083</v>
      </c>
      <c r="AA27" s="70">
        <v>42370.899999999987</v>
      </c>
    </row>
    <row r="28" spans="1:27" x14ac:dyDescent="0.25">
      <c r="A28" s="68" t="s">
        <v>150</v>
      </c>
      <c r="B28" s="71"/>
      <c r="C28" s="71"/>
      <c r="D28" s="70">
        <v>25451.695028241473</v>
      </c>
      <c r="E28" s="70">
        <v>26657.310499046675</v>
      </c>
      <c r="F28" s="70">
        <v>28237.40683455408</v>
      </c>
      <c r="G28" s="70">
        <v>29933.819845242419</v>
      </c>
      <c r="H28" s="70">
        <v>30763.275168085034</v>
      </c>
      <c r="I28" s="70">
        <v>33010.656680497923</v>
      </c>
      <c r="J28" s="70">
        <v>35051.698707659431</v>
      </c>
      <c r="K28" s="70">
        <v>35197.034333876996</v>
      </c>
      <c r="L28" s="70">
        <v>36209.707673737685</v>
      </c>
      <c r="M28" s="70">
        <v>35919.321380160196</v>
      </c>
      <c r="N28" s="70">
        <v>36785.451498347444</v>
      </c>
      <c r="O28" s="70">
        <v>36973.322499650727</v>
      </c>
      <c r="P28" s="70">
        <v>35993.576583666756</v>
      </c>
      <c r="Q28" s="70">
        <v>36109.315908883</v>
      </c>
      <c r="R28" s="70">
        <v>36622.352116861373</v>
      </c>
      <c r="S28" s="70">
        <v>37359.927962000002</v>
      </c>
      <c r="T28" s="70">
        <v>39191.253947913181</v>
      </c>
      <c r="U28" s="70">
        <v>41794.51055076062</v>
      </c>
      <c r="V28" s="70">
        <v>44994.547531800468</v>
      </c>
      <c r="W28" s="70">
        <v>48905.343196657566</v>
      </c>
      <c r="X28" s="70">
        <v>46973.190810405118</v>
      </c>
      <c r="Y28" s="70">
        <v>51574.610779899376</v>
      </c>
      <c r="Z28" s="70">
        <v>54690.234804742387</v>
      </c>
      <c r="AA28" s="70">
        <v>55053.599999999999</v>
      </c>
    </row>
    <row r="29" spans="1:27" x14ac:dyDescent="0.25">
      <c r="A29" s="68" t="s">
        <v>152</v>
      </c>
      <c r="B29" s="71"/>
      <c r="C29" s="71"/>
      <c r="D29" s="70">
        <v>10859.383920451863</v>
      </c>
      <c r="E29" s="70">
        <v>11726.843228227015</v>
      </c>
      <c r="F29" s="70">
        <v>12588.610290444418</v>
      </c>
      <c r="G29" s="70">
        <v>12548.985776975032</v>
      </c>
      <c r="H29" s="70">
        <v>13362.834137539194</v>
      </c>
      <c r="I29" s="70">
        <v>14053.983609958505</v>
      </c>
      <c r="J29" s="70">
        <v>15001.75795361862</v>
      </c>
      <c r="K29" s="70">
        <v>15293.231832686683</v>
      </c>
      <c r="L29" s="70">
        <v>16105.747971767629</v>
      </c>
      <c r="M29" s="70">
        <v>13885.112446087493</v>
      </c>
      <c r="N29" s="70">
        <v>13966.901439578869</v>
      </c>
      <c r="O29" s="70">
        <v>14387.238023671242</v>
      </c>
      <c r="P29" s="70">
        <v>13989.017432012506</v>
      </c>
      <c r="Q29" s="70">
        <v>15076.51200561095</v>
      </c>
      <c r="R29" s="70">
        <v>15725.436743321623</v>
      </c>
      <c r="S29" s="70">
        <v>15903.893857000012</v>
      </c>
      <c r="T29" s="70">
        <v>16145.603922283783</v>
      </c>
      <c r="U29" s="70">
        <v>16912.66119196705</v>
      </c>
      <c r="V29" s="70">
        <v>18414.062971125921</v>
      </c>
      <c r="W29" s="70">
        <v>18684.07574653186</v>
      </c>
      <c r="X29" s="70">
        <v>18686.276799018797</v>
      </c>
      <c r="Y29" s="70">
        <v>20794.970760161774</v>
      </c>
      <c r="Z29" s="70">
        <v>19801.343219420651</v>
      </c>
      <c r="AA29" s="70">
        <v>19788.000000000004</v>
      </c>
    </row>
    <row r="30" spans="1:27" x14ac:dyDescent="0.25">
      <c r="A30" s="64" t="s">
        <v>154</v>
      </c>
      <c r="B30" s="65"/>
      <c r="C30" s="65"/>
      <c r="D30" s="66">
        <v>3992.5585629100528</v>
      </c>
      <c r="E30" s="66">
        <v>3759.0564046283048</v>
      </c>
      <c r="F30" s="66">
        <v>4027.3545376660677</v>
      </c>
      <c r="G30" s="66">
        <v>4015.7744551446499</v>
      </c>
      <c r="H30" s="66">
        <v>5016.0366413302309</v>
      </c>
      <c r="I30" s="66">
        <v>5061.4810220572163</v>
      </c>
      <c r="J30" s="66">
        <v>4912.8274122335715</v>
      </c>
      <c r="K30" s="66">
        <v>5315.9384913841131</v>
      </c>
      <c r="L30" s="66">
        <v>5284.3199216629191</v>
      </c>
      <c r="M30" s="66">
        <v>5218.2810844115829</v>
      </c>
      <c r="N30" s="66">
        <v>4974.4424861617599</v>
      </c>
      <c r="O30" s="66">
        <v>4403.5566093846655</v>
      </c>
      <c r="P30" s="66">
        <v>4688.3874220606449</v>
      </c>
      <c r="Q30" s="66">
        <v>3907.2016090832394</v>
      </c>
      <c r="R30" s="66">
        <v>4037.584701004821</v>
      </c>
      <c r="S30" s="66">
        <v>3870.2802890000012</v>
      </c>
      <c r="T30" s="66">
        <v>4179.364504268282</v>
      </c>
      <c r="U30" s="66">
        <v>3661.2121556570955</v>
      </c>
      <c r="V30" s="66">
        <v>3588.0745778076598</v>
      </c>
      <c r="W30" s="66">
        <v>3788.4945350793109</v>
      </c>
      <c r="X30" s="66">
        <v>3170.9659463269099</v>
      </c>
      <c r="Y30" s="66">
        <v>3480.2188370679091</v>
      </c>
      <c r="Z30" s="66">
        <v>4321.0442507202333</v>
      </c>
      <c r="AA30" s="66">
        <v>5875.2999999999975</v>
      </c>
    </row>
    <row r="31" spans="1:27" x14ac:dyDescent="0.25">
      <c r="A31" s="64" t="s">
        <v>37</v>
      </c>
      <c r="B31" s="65"/>
      <c r="C31" s="65"/>
      <c r="D31" s="66">
        <v>4953.7755833162892</v>
      </c>
      <c r="E31" s="66">
        <v>5504.4802315620773</v>
      </c>
      <c r="F31" s="66">
        <v>6171.9525309811388</v>
      </c>
      <c r="G31" s="66">
        <v>6049.1597182928308</v>
      </c>
      <c r="H31" s="66">
        <v>6234.7329423757546</v>
      </c>
      <c r="I31" s="66">
        <v>6993.1865702118366</v>
      </c>
      <c r="J31" s="66">
        <v>6738.8873070115878</v>
      </c>
      <c r="K31" s="66">
        <v>6221.5657491921029</v>
      </c>
      <c r="L31" s="66">
        <v>6244.9426442643289</v>
      </c>
      <c r="M31" s="66">
        <v>5768.7914972273575</v>
      </c>
      <c r="N31" s="66">
        <v>5001.5488321629855</v>
      </c>
      <c r="O31" s="66">
        <v>4964.0633804363015</v>
      </c>
      <c r="P31" s="66">
        <v>4673.3891971484854</v>
      </c>
      <c r="Q31" s="66">
        <v>5041.0941217129675</v>
      </c>
      <c r="R31" s="66">
        <v>5454.263278122703</v>
      </c>
      <c r="S31" s="66">
        <v>5689.3248060000005</v>
      </c>
      <c r="T31" s="66">
        <v>4941.8832935749069</v>
      </c>
      <c r="U31" s="66">
        <v>6130.5042167315405</v>
      </c>
      <c r="V31" s="66">
        <v>7712.2862888142408</v>
      </c>
      <c r="W31" s="66">
        <v>9237.4333511186669</v>
      </c>
      <c r="X31" s="66">
        <v>8706.3455251066334</v>
      </c>
      <c r="Y31" s="66">
        <v>10076.392271497678</v>
      </c>
      <c r="Z31" s="66">
        <v>10997.603921981099</v>
      </c>
      <c r="AA31" s="66">
        <v>10505.3</v>
      </c>
    </row>
    <row r="32" spans="1:27" x14ac:dyDescent="0.25">
      <c r="A32" s="64" t="s">
        <v>58</v>
      </c>
      <c r="B32" s="65"/>
      <c r="C32" s="65"/>
      <c r="D32" s="66">
        <v>20441.390410484746</v>
      </c>
      <c r="E32" s="66">
        <v>21109.664029124873</v>
      </c>
      <c r="F32" s="66">
        <v>21053.046397499784</v>
      </c>
      <c r="G32" s="66">
        <v>22330.089093217273</v>
      </c>
      <c r="H32" s="66">
        <v>23464.099429599002</v>
      </c>
      <c r="I32" s="66">
        <v>24259.132692727671</v>
      </c>
      <c r="J32" s="66">
        <v>25805.369916626776</v>
      </c>
      <c r="K32" s="66">
        <v>25693.48691155167</v>
      </c>
      <c r="L32" s="66">
        <v>24670.256476382528</v>
      </c>
      <c r="M32" s="66">
        <v>21879.081269254471</v>
      </c>
      <c r="N32" s="66">
        <v>23496.208708799215</v>
      </c>
      <c r="O32" s="66">
        <v>24580.099714587952</v>
      </c>
      <c r="P32" s="66">
        <v>24438.309571054291</v>
      </c>
      <c r="Q32" s="66">
        <v>25779.129277589738</v>
      </c>
      <c r="R32" s="66">
        <v>27984.368756637534</v>
      </c>
      <c r="S32" s="66">
        <v>30627.091631999996</v>
      </c>
      <c r="T32" s="66">
        <v>30197.255935177338</v>
      </c>
      <c r="U32" s="66">
        <v>30542.635317124543</v>
      </c>
      <c r="V32" s="66">
        <v>31079.078641815628</v>
      </c>
      <c r="W32" s="66">
        <v>30640.199250302947</v>
      </c>
      <c r="X32" s="66">
        <v>29487.968544858773</v>
      </c>
      <c r="Y32" s="66">
        <v>29852.148936020232</v>
      </c>
      <c r="Z32" s="66">
        <v>30666.338101528912</v>
      </c>
      <c r="AA32" s="66">
        <v>31398.899999999994</v>
      </c>
    </row>
    <row r="33" spans="1:27" x14ac:dyDescent="0.25">
      <c r="A33" s="72" t="s">
        <v>158</v>
      </c>
      <c r="B33" s="65"/>
      <c r="C33" s="65"/>
      <c r="D33" s="66">
        <v>663.15483881118337</v>
      </c>
      <c r="E33" s="66">
        <v>605.897018431015</v>
      </c>
      <c r="F33" s="66">
        <v>491.12407901246485</v>
      </c>
      <c r="G33" s="66">
        <v>687.65816104461373</v>
      </c>
      <c r="H33" s="66">
        <v>842.90075938928157</v>
      </c>
      <c r="I33" s="66">
        <v>807.60395719589428</v>
      </c>
      <c r="J33" s="66">
        <v>993.5234981132495</v>
      </c>
      <c r="K33" s="66">
        <v>945.47773444227221</v>
      </c>
      <c r="L33" s="66">
        <v>987.47114325603047</v>
      </c>
      <c r="M33" s="66">
        <v>412.73450400492919</v>
      </c>
      <c r="N33" s="66">
        <v>595.34095717428647</v>
      </c>
      <c r="O33" s="66">
        <v>645.96456699199655</v>
      </c>
      <c r="P33" s="66">
        <v>567.91355484696464</v>
      </c>
      <c r="Q33" s="66">
        <v>611.33479197796282</v>
      </c>
      <c r="R33" s="66">
        <v>691.58973633690061</v>
      </c>
      <c r="S33" s="66">
        <v>813.16643800000008</v>
      </c>
      <c r="T33" s="66">
        <v>863.17070954005089</v>
      </c>
      <c r="U33" s="66">
        <v>963.06930012598491</v>
      </c>
      <c r="V33" s="66">
        <v>1041.8365563382247</v>
      </c>
      <c r="W33" s="66">
        <v>873.8234115285137</v>
      </c>
      <c r="X33" s="66">
        <v>753.90868984201961</v>
      </c>
      <c r="Y33" s="66">
        <v>840.7734203314858</v>
      </c>
      <c r="Z33" s="66">
        <v>536.65792936899948</v>
      </c>
      <c r="AA33" s="66">
        <v>567.20000000000005</v>
      </c>
    </row>
    <row r="34" spans="1:27" x14ac:dyDescent="0.25">
      <c r="A34" s="73" t="s">
        <v>5</v>
      </c>
      <c r="B34" s="65"/>
      <c r="C34" s="65"/>
      <c r="D34" s="66">
        <v>347.60166920763487</v>
      </c>
      <c r="E34" s="66">
        <v>317.58920036247531</v>
      </c>
      <c r="F34" s="66">
        <v>257.42939606507508</v>
      </c>
      <c r="G34" s="66">
        <v>360.44542033631819</v>
      </c>
      <c r="H34" s="66">
        <v>441.81794928215828</v>
      </c>
      <c r="I34" s="66">
        <v>423.31664816505003</v>
      </c>
      <c r="J34" s="66">
        <v>520.76891568833719</v>
      </c>
      <c r="K34" s="66">
        <v>538.40891900263375</v>
      </c>
      <c r="L34" s="66">
        <v>562.322359817809</v>
      </c>
      <c r="M34" s="66">
        <v>192.03789666240516</v>
      </c>
      <c r="N34" s="66">
        <v>264.1536445310569</v>
      </c>
      <c r="O34" s="66">
        <v>291.33778535989859</v>
      </c>
      <c r="P34" s="66">
        <v>214.03218100564101</v>
      </c>
      <c r="Q34" s="66">
        <v>247.58473560738506</v>
      </c>
      <c r="R34" s="66">
        <v>451.26619868836752</v>
      </c>
      <c r="S34" s="66">
        <v>491.71678378222794</v>
      </c>
      <c r="T34" s="66">
        <v>516.81896233463976</v>
      </c>
      <c r="U34" s="66">
        <v>521.27102946026957</v>
      </c>
      <c r="V34" s="66">
        <v>572.84653849105746</v>
      </c>
      <c r="W34" s="66">
        <v>390.42123368168569</v>
      </c>
      <c r="X34" s="66">
        <v>333.07680931625896</v>
      </c>
      <c r="Y34" s="66">
        <v>391.52521801137095</v>
      </c>
      <c r="Z34" s="66">
        <v>149.86652488972311</v>
      </c>
      <c r="AA34" s="66">
        <v>113.08532186924236</v>
      </c>
    </row>
    <row r="35" spans="1:27" x14ac:dyDescent="0.25">
      <c r="A35" s="74" t="s">
        <v>264</v>
      </c>
      <c r="B35" s="44"/>
      <c r="C35" s="44"/>
      <c r="D35" s="45">
        <v>309.57079564714428</v>
      </c>
      <c r="E35" s="45">
        <v>251.14326539158478</v>
      </c>
      <c r="F35" s="45">
        <v>212.83856986421011</v>
      </c>
      <c r="G35" s="45">
        <v>304.31777783623187</v>
      </c>
      <c r="H35" s="45">
        <v>385.22687539965796</v>
      </c>
      <c r="I35" s="45">
        <v>362.80478409316794</v>
      </c>
      <c r="J35" s="45">
        <v>424.10718597462466</v>
      </c>
      <c r="K35" s="45">
        <v>430.66747156461827</v>
      </c>
      <c r="L35" s="45">
        <v>436.82382366943796</v>
      </c>
      <c r="M35" s="45">
        <v>176.32865820405911</v>
      </c>
      <c r="N35" s="45">
        <v>251.71138499536022</v>
      </c>
      <c r="O35" s="45">
        <v>265.71785544635071</v>
      </c>
      <c r="P35" s="45">
        <v>207.7259456121549</v>
      </c>
      <c r="Q35" s="45">
        <v>213.05475718567831</v>
      </c>
      <c r="R35" s="45">
        <v>389.38700342873466</v>
      </c>
      <c r="S35" s="45">
        <v>448.39523485550831</v>
      </c>
      <c r="T35" s="45">
        <v>432.70483101828626</v>
      </c>
      <c r="U35" s="45">
        <v>448.77368091686503</v>
      </c>
      <c r="V35" s="45">
        <v>488.6475404337541</v>
      </c>
      <c r="W35" s="45">
        <v>321.3447165944533</v>
      </c>
      <c r="X35" s="45">
        <v>268.24232793769715</v>
      </c>
      <c r="Y35" s="45">
        <v>315.16378859483137</v>
      </c>
      <c r="Z35" s="45">
        <v>107.70943133496441</v>
      </c>
      <c r="AA35" s="45">
        <v>63.096449861519851</v>
      </c>
    </row>
    <row r="36" spans="1:27" x14ac:dyDescent="0.25">
      <c r="A36" s="74" t="s">
        <v>15</v>
      </c>
      <c r="B36" s="44"/>
      <c r="C36" s="44"/>
      <c r="D36" s="45">
        <v>38.030873560490591</v>
      </c>
      <c r="E36" s="45">
        <v>66.445934970890534</v>
      </c>
      <c r="F36" s="45">
        <v>44.590826200864967</v>
      </c>
      <c r="G36" s="45">
        <v>56.127642500086324</v>
      </c>
      <c r="H36" s="45">
        <v>56.591073882500325</v>
      </c>
      <c r="I36" s="45">
        <v>60.511864071882087</v>
      </c>
      <c r="J36" s="45">
        <v>96.661729713712532</v>
      </c>
      <c r="K36" s="45">
        <v>107.74144743801548</v>
      </c>
      <c r="L36" s="45">
        <v>125.49853614837104</v>
      </c>
      <c r="M36" s="45">
        <v>15.70923845834605</v>
      </c>
      <c r="N36" s="45">
        <v>12.442259535696678</v>
      </c>
      <c r="O36" s="45">
        <v>25.619929913547878</v>
      </c>
      <c r="P36" s="45">
        <v>6.3062353934861051</v>
      </c>
      <c r="Q36" s="45">
        <v>34.529978421706744</v>
      </c>
      <c r="R36" s="45">
        <v>61.879195259632866</v>
      </c>
      <c r="S36" s="45">
        <v>43.321548926719629</v>
      </c>
      <c r="T36" s="45">
        <v>84.114131316353507</v>
      </c>
      <c r="U36" s="45">
        <v>72.497348543404541</v>
      </c>
      <c r="V36" s="45">
        <v>84.198998057303356</v>
      </c>
      <c r="W36" s="45">
        <v>69.076517087232389</v>
      </c>
      <c r="X36" s="45">
        <v>64.834481378561804</v>
      </c>
      <c r="Y36" s="45">
        <v>76.361429416539579</v>
      </c>
      <c r="Z36" s="45">
        <v>42.157093554758703</v>
      </c>
      <c r="AA36" s="45">
        <v>49.988872007722513</v>
      </c>
    </row>
    <row r="37" spans="1:27" x14ac:dyDescent="0.25">
      <c r="A37" s="73" t="s">
        <v>263</v>
      </c>
      <c r="B37" s="65"/>
      <c r="C37" s="65"/>
      <c r="D37" s="66">
        <v>315.55316960354844</v>
      </c>
      <c r="E37" s="66">
        <v>288.30781806853975</v>
      </c>
      <c r="F37" s="66">
        <v>233.69468294738977</v>
      </c>
      <c r="G37" s="66">
        <v>327.21274070829554</v>
      </c>
      <c r="H37" s="66">
        <v>401.08281010712324</v>
      </c>
      <c r="I37" s="66">
        <v>384.28730903084431</v>
      </c>
      <c r="J37" s="66">
        <v>472.75458242491231</v>
      </c>
      <c r="K37" s="66">
        <v>407.06881543963846</v>
      </c>
      <c r="L37" s="66">
        <v>425.14878343822159</v>
      </c>
      <c r="M37" s="66">
        <v>220.69660734252409</v>
      </c>
      <c r="N37" s="66">
        <v>331.18731264322969</v>
      </c>
      <c r="O37" s="66">
        <v>354.6267816320979</v>
      </c>
      <c r="P37" s="66">
        <v>353.88137384132358</v>
      </c>
      <c r="Q37" s="66">
        <v>363.75005637057768</v>
      </c>
      <c r="R37" s="66">
        <v>240.32353764853312</v>
      </c>
      <c r="S37" s="66">
        <v>321.44965421777215</v>
      </c>
      <c r="T37" s="66">
        <v>346.35174720541102</v>
      </c>
      <c r="U37" s="66">
        <v>441.79827066571562</v>
      </c>
      <c r="V37" s="66">
        <v>468.99001784716717</v>
      </c>
      <c r="W37" s="66">
        <v>483.40217784682807</v>
      </c>
      <c r="X37" s="66">
        <v>420.83188052576077</v>
      </c>
      <c r="Y37" s="66">
        <v>449.24820232011484</v>
      </c>
      <c r="Z37" s="66">
        <v>386.79140447927637</v>
      </c>
      <c r="AA37" s="66">
        <v>454.11467813075762</v>
      </c>
    </row>
    <row r="38" spans="1:27" x14ac:dyDescent="0.25">
      <c r="A38" s="74" t="s">
        <v>14</v>
      </c>
      <c r="B38" s="44"/>
      <c r="C38" s="44"/>
      <c r="D38" s="45">
        <v>128.59523695691396</v>
      </c>
      <c r="E38" s="45">
        <v>117.49212415655541</v>
      </c>
      <c r="F38" s="45">
        <v>103.34173985518652</v>
      </c>
      <c r="G38" s="45">
        <v>116.69276668803201</v>
      </c>
      <c r="H38" s="45">
        <v>124.65046606227668</v>
      </c>
      <c r="I38" s="45">
        <v>119.43067856665081</v>
      </c>
      <c r="J38" s="45">
        <v>134.62285517760739</v>
      </c>
      <c r="K38" s="45">
        <v>124.52857472195434</v>
      </c>
      <c r="L38" s="45">
        <v>130.05951337528865</v>
      </c>
      <c r="M38" s="45">
        <v>83.278642937009636</v>
      </c>
      <c r="N38" s="45">
        <v>92.47492505729187</v>
      </c>
      <c r="O38" s="45">
        <v>101.85071265283918</v>
      </c>
      <c r="P38" s="45">
        <v>81.552549536529426</v>
      </c>
      <c r="Q38" s="45">
        <v>95.500022548231101</v>
      </c>
      <c r="R38" s="45">
        <v>86.129415059413247</v>
      </c>
      <c r="S38" s="45">
        <v>83.57986168710886</v>
      </c>
      <c r="T38" s="45">
        <v>78.540698882164378</v>
      </c>
      <c r="U38" s="45">
        <v>176.71930826628625</v>
      </c>
      <c r="V38" s="45">
        <v>187.59600713886687</v>
      </c>
      <c r="W38" s="45">
        <v>193.36087113873126</v>
      </c>
      <c r="X38" s="45">
        <v>168.33275221030431</v>
      </c>
      <c r="Y38" s="45">
        <v>229.69928092804591</v>
      </c>
      <c r="Z38" s="45">
        <v>204.71656179171055</v>
      </c>
      <c r="AA38" s="45">
        <v>231.64587125230307</v>
      </c>
    </row>
    <row r="39" spans="1:27" x14ac:dyDescent="0.25">
      <c r="A39" s="74" t="s">
        <v>19</v>
      </c>
      <c r="B39" s="44"/>
      <c r="C39" s="44"/>
      <c r="D39" s="45">
        <v>164.75776105406783</v>
      </c>
      <c r="E39" s="45">
        <v>150.53231966909058</v>
      </c>
      <c r="F39" s="45">
        <v>122.01751223423365</v>
      </c>
      <c r="G39" s="45">
        <v>170.84549844704767</v>
      </c>
      <c r="H39" s="45">
        <v>209.41480598514127</v>
      </c>
      <c r="I39" s="45">
        <v>200.64547827854423</v>
      </c>
      <c r="J39" s="45">
        <v>246.83633070850775</v>
      </c>
      <c r="K39" s="45">
        <v>212.54024071768413</v>
      </c>
      <c r="L39" s="45">
        <v>295.08927006293294</v>
      </c>
      <c r="M39" s="45">
        <v>137.41796440551445</v>
      </c>
      <c r="N39" s="45">
        <v>238.71238758593779</v>
      </c>
      <c r="O39" s="45">
        <v>252.77606897925872</v>
      </c>
      <c r="P39" s="45">
        <v>272.32882430479413</v>
      </c>
      <c r="Q39" s="45">
        <v>268.25003382234661</v>
      </c>
      <c r="R39" s="45">
        <v>154.19412258911987</v>
      </c>
      <c r="S39" s="45">
        <v>237.86979253066329</v>
      </c>
      <c r="T39" s="45">
        <v>267.81104832324661</v>
      </c>
      <c r="U39" s="45">
        <v>265.07896239942937</v>
      </c>
      <c r="V39" s="45">
        <v>281.3940107083003</v>
      </c>
      <c r="W39" s="45">
        <v>290.04130670809684</v>
      </c>
      <c r="X39" s="45">
        <v>252.49912831545646</v>
      </c>
      <c r="Y39" s="45">
        <v>219.54892139206891</v>
      </c>
      <c r="Z39" s="45">
        <v>182.07484268756582</v>
      </c>
      <c r="AA39" s="45">
        <v>222.46880687845456</v>
      </c>
    </row>
    <row r="40" spans="1:27" x14ac:dyDescent="0.25">
      <c r="A40" s="75" t="s">
        <v>267</v>
      </c>
      <c r="B40" s="76"/>
      <c r="C40" s="76"/>
      <c r="D40" s="45">
        <v>71.577026721142943</v>
      </c>
      <c r="E40" s="45">
        <v>54.088616340894326</v>
      </c>
      <c r="F40" s="45">
        <v>45.246334749313235</v>
      </c>
      <c r="G40" s="45">
        <v>78.370034244263721</v>
      </c>
      <c r="H40" s="45">
        <v>96.298903380402919</v>
      </c>
      <c r="I40" s="45">
        <v>87.032229644089114</v>
      </c>
      <c r="J40" s="45">
        <v>113.13448537532844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93.180734332924885</v>
      </c>
      <c r="E41" s="45">
        <v>96.44370332819625</v>
      </c>
      <c r="F41" s="45">
        <v>76.771177484920415</v>
      </c>
      <c r="G41" s="45">
        <v>92.475464202783954</v>
      </c>
      <c r="H41" s="45">
        <v>113.11590260473835</v>
      </c>
      <c r="I41" s="45">
        <v>113.61324863445512</v>
      </c>
      <c r="J41" s="45">
        <v>133.70184533317931</v>
      </c>
      <c r="K41" s="45">
        <v>212.54024071768413</v>
      </c>
      <c r="L41" s="45">
        <v>295.08927006293294</v>
      </c>
      <c r="M41" s="45">
        <v>137.41796440551445</v>
      </c>
      <c r="N41" s="45">
        <v>238.71238758593779</v>
      </c>
      <c r="O41" s="45">
        <v>252.77606897925872</v>
      </c>
      <c r="P41" s="45">
        <v>272.32882430479413</v>
      </c>
      <c r="Q41" s="45">
        <v>268.25003382234661</v>
      </c>
      <c r="R41" s="45">
        <v>154.19412258911987</v>
      </c>
      <c r="S41" s="45">
        <v>237.86979253066329</v>
      </c>
      <c r="T41" s="45">
        <v>267.81104832324661</v>
      </c>
      <c r="U41" s="45">
        <v>265.07896239942937</v>
      </c>
      <c r="V41" s="45">
        <v>281.3940107083003</v>
      </c>
      <c r="W41" s="45">
        <v>290.04130670809684</v>
      </c>
      <c r="X41" s="45">
        <v>252.49912831545646</v>
      </c>
      <c r="Y41" s="45">
        <v>219.54892139206891</v>
      </c>
      <c r="Z41" s="45">
        <v>182.07484268756582</v>
      </c>
      <c r="AA41" s="45">
        <v>222.46880687845456</v>
      </c>
    </row>
    <row r="42" spans="1:27" x14ac:dyDescent="0.25">
      <c r="A42" s="74" t="s">
        <v>13</v>
      </c>
      <c r="B42" s="44"/>
      <c r="C42" s="44"/>
      <c r="D42" s="45">
        <v>22.200171592566704</v>
      </c>
      <c r="E42" s="45">
        <v>20.2833742428937</v>
      </c>
      <c r="F42" s="45">
        <v>8.3354308579695982</v>
      </c>
      <c r="G42" s="45">
        <v>39.674475573215858</v>
      </c>
      <c r="H42" s="45">
        <v>67.017538059705288</v>
      </c>
      <c r="I42" s="45">
        <v>64.21115218564924</v>
      </c>
      <c r="J42" s="45">
        <v>91.295396538797178</v>
      </c>
      <c r="K42" s="45">
        <v>70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2162.4031435359275</v>
      </c>
      <c r="E43" s="66">
        <v>2446.9370844731825</v>
      </c>
      <c r="F43" s="66">
        <v>2325.8992060140213</v>
      </c>
      <c r="G43" s="66">
        <v>2474.024080522307</v>
      </c>
      <c r="H43" s="66">
        <v>2515.0388926432015</v>
      </c>
      <c r="I43" s="66">
        <v>2561.1342083424329</v>
      </c>
      <c r="J43" s="66">
        <v>2889.3591883077124</v>
      </c>
      <c r="K43" s="66">
        <v>2849.9564697658871</v>
      </c>
      <c r="L43" s="66">
        <v>2625.9132242302021</v>
      </c>
      <c r="M43" s="66">
        <v>2319.7963031423292</v>
      </c>
      <c r="N43" s="66">
        <v>2689.2348532794872</v>
      </c>
      <c r="O43" s="66">
        <v>2811.0371185358163</v>
      </c>
      <c r="P43" s="66">
        <v>3026.7571582346609</v>
      </c>
      <c r="Q43" s="66">
        <v>2862.0861677797093</v>
      </c>
      <c r="R43" s="66">
        <v>3353.5358886120421</v>
      </c>
      <c r="S43" s="66">
        <v>3863.4636650000002</v>
      </c>
      <c r="T43" s="66">
        <v>3751.5588460856025</v>
      </c>
      <c r="U43" s="66">
        <v>4316.254161260601</v>
      </c>
      <c r="V43" s="66">
        <v>3991.1960313398531</v>
      </c>
      <c r="W43" s="66">
        <v>3708.4839552171316</v>
      </c>
      <c r="X43" s="66">
        <v>3913.3060373075587</v>
      </c>
      <c r="Y43" s="66">
        <v>4356.4050982914641</v>
      </c>
      <c r="Z43" s="66">
        <v>3898.4476258593268</v>
      </c>
      <c r="AA43" s="66">
        <v>3600.4</v>
      </c>
    </row>
    <row r="44" spans="1:27" x14ac:dyDescent="0.25">
      <c r="A44" s="73" t="s">
        <v>266</v>
      </c>
      <c r="B44" s="65"/>
      <c r="C44" s="65"/>
      <c r="D44" s="66">
        <v>943.34222690728302</v>
      </c>
      <c r="E44" s="66">
        <v>1057.9652601619277</v>
      </c>
      <c r="F44" s="66">
        <v>953.45930761526665</v>
      </c>
      <c r="G44" s="66">
        <v>897.13205779228633</v>
      </c>
      <c r="H44" s="66">
        <v>935.9419084380404</v>
      </c>
      <c r="I44" s="66">
        <v>890.7214151561476</v>
      </c>
      <c r="J44" s="66">
        <v>1039.6824259492191</v>
      </c>
      <c r="K44" s="66">
        <v>1182.9980843455269</v>
      </c>
      <c r="L44" s="66">
        <v>1014.0441954936787</v>
      </c>
      <c r="M44" s="66">
        <v>641.86666666666667</v>
      </c>
      <c r="N44" s="66">
        <v>711.89824497955658</v>
      </c>
      <c r="O44" s="66">
        <v>788.11078478334639</v>
      </c>
      <c r="P44" s="66">
        <v>916.0454292503606</v>
      </c>
      <c r="Q44" s="66">
        <v>1036.8873224976876</v>
      </c>
      <c r="R44" s="66">
        <v>1357.801363246467</v>
      </c>
      <c r="S44" s="66">
        <v>1795.8963980000001</v>
      </c>
      <c r="T44" s="66">
        <v>1785.1366993277213</v>
      </c>
      <c r="U44" s="66">
        <v>2110.9282732554861</v>
      </c>
      <c r="V44" s="66">
        <v>1977.9565671322359</v>
      </c>
      <c r="W44" s="66">
        <v>1613.9533822279295</v>
      </c>
      <c r="X44" s="66">
        <v>1797.2923197320008</v>
      </c>
      <c r="Y44" s="66">
        <v>2379.1672928653879</v>
      </c>
      <c r="Z44" s="66">
        <v>1546.401751049704</v>
      </c>
      <c r="AA44" s="66">
        <v>1281.5999999999999</v>
      </c>
    </row>
    <row r="45" spans="1:27" x14ac:dyDescent="0.25">
      <c r="A45" s="74" t="s">
        <v>20</v>
      </c>
      <c r="B45" s="44"/>
      <c r="C45" s="44"/>
      <c r="D45" s="45">
        <v>760.60044195536341</v>
      </c>
      <c r="E45" s="45">
        <v>732.25939806377562</v>
      </c>
      <c r="F45" s="45">
        <v>772.3920988668051</v>
      </c>
      <c r="G45" s="45">
        <v>749.22960401600483</v>
      </c>
      <c r="H45" s="45">
        <v>546.61702296408214</v>
      </c>
      <c r="I45" s="45">
        <v>484.77137484176603</v>
      </c>
      <c r="J45" s="45">
        <v>523.74075735845543</v>
      </c>
      <c r="K45" s="45">
        <v>558.67346069113</v>
      </c>
      <c r="L45" s="45">
        <v>574.71423291319979</v>
      </c>
      <c r="M45" s="45">
        <v>280.32168884841752</v>
      </c>
      <c r="N45" s="45">
        <v>370.97842965097647</v>
      </c>
      <c r="O45" s="45">
        <v>551.75845926759803</v>
      </c>
      <c r="P45" s="45">
        <v>494.2429256698008</v>
      </c>
      <c r="Q45" s="45">
        <v>616.39092451317993</v>
      </c>
      <c r="R45" s="45">
        <v>833.58091490227559</v>
      </c>
      <c r="S45" s="45">
        <v>1331.3639973669276</v>
      </c>
      <c r="T45" s="45">
        <v>1483.5260958928538</v>
      </c>
      <c r="U45" s="45">
        <v>1672.2796310016492</v>
      </c>
      <c r="V45" s="45">
        <v>1569.1329515361388</v>
      </c>
      <c r="W45" s="45">
        <v>1182.3410791738127</v>
      </c>
      <c r="X45" s="45">
        <v>1275.7619607206827</v>
      </c>
      <c r="Y45" s="45">
        <v>1837.4082653689507</v>
      </c>
      <c r="Z45" s="45">
        <v>1118.0250245996576</v>
      </c>
      <c r="AA45" s="45">
        <v>846.11045920647064</v>
      </c>
    </row>
    <row r="46" spans="1:27" x14ac:dyDescent="0.25">
      <c r="A46" s="74" t="s">
        <v>12</v>
      </c>
      <c r="B46" s="44"/>
      <c r="C46" s="44"/>
      <c r="D46" s="45">
        <v>182.74178495191961</v>
      </c>
      <c r="E46" s="45">
        <v>325.70586209815212</v>
      </c>
      <c r="F46" s="45">
        <v>181.06720874846155</v>
      </c>
      <c r="G46" s="45">
        <v>147.9024537762815</v>
      </c>
      <c r="H46" s="45">
        <v>389.32488547395826</v>
      </c>
      <c r="I46" s="45">
        <v>405.95004031438157</v>
      </c>
      <c r="J46" s="45">
        <v>515.9416685907637</v>
      </c>
      <c r="K46" s="45">
        <v>624.32462365439687</v>
      </c>
      <c r="L46" s="45">
        <v>439.32996258047888</v>
      </c>
      <c r="M46" s="45">
        <v>361.54497781824915</v>
      </c>
      <c r="N46" s="45">
        <v>340.91981532858011</v>
      </c>
      <c r="O46" s="45">
        <v>236.35232551574836</v>
      </c>
      <c r="P46" s="45">
        <v>421.8025035805598</v>
      </c>
      <c r="Q46" s="45">
        <v>420.49639798450767</v>
      </c>
      <c r="R46" s="45">
        <v>524.22044834419137</v>
      </c>
      <c r="S46" s="45">
        <v>464.53240063307248</v>
      </c>
      <c r="T46" s="45">
        <v>301.61060343486747</v>
      </c>
      <c r="U46" s="45">
        <v>438.6486422538369</v>
      </c>
      <c r="V46" s="45">
        <v>408.82361559609717</v>
      </c>
      <c r="W46" s="45">
        <v>431.61230305411686</v>
      </c>
      <c r="X46" s="45">
        <v>521.53035901131807</v>
      </c>
      <c r="Y46" s="45">
        <v>541.75902749643728</v>
      </c>
      <c r="Z46" s="45">
        <v>428.37672645004636</v>
      </c>
      <c r="AA46" s="45">
        <v>435.48954079352927</v>
      </c>
    </row>
    <row r="47" spans="1:27" x14ac:dyDescent="0.25">
      <c r="A47" s="73" t="s">
        <v>11</v>
      </c>
      <c r="B47" s="65"/>
      <c r="C47" s="65"/>
      <c r="D47" s="66">
        <v>1219.0609166286442</v>
      </c>
      <c r="E47" s="66">
        <v>1388.9718243112547</v>
      </c>
      <c r="F47" s="66">
        <v>1372.4398983987546</v>
      </c>
      <c r="G47" s="66">
        <v>1576.8920227300207</v>
      </c>
      <c r="H47" s="66">
        <v>1579.0969842051609</v>
      </c>
      <c r="I47" s="66">
        <v>1670.4127931862854</v>
      </c>
      <c r="J47" s="66">
        <v>1849.6767623584935</v>
      </c>
      <c r="K47" s="66">
        <v>1666.9583854203602</v>
      </c>
      <c r="L47" s="66">
        <v>1611.8690287365237</v>
      </c>
      <c r="M47" s="66">
        <v>1677.9296364756626</v>
      </c>
      <c r="N47" s="66">
        <v>1977.3366082999307</v>
      </c>
      <c r="O47" s="66">
        <v>2022.9263337524701</v>
      </c>
      <c r="P47" s="66">
        <v>2110.7117289843004</v>
      </c>
      <c r="Q47" s="66">
        <v>1825.1988452820217</v>
      </c>
      <c r="R47" s="66">
        <v>1995.7345253655749</v>
      </c>
      <c r="S47" s="66">
        <v>2067.5672670000004</v>
      </c>
      <c r="T47" s="66">
        <v>1966.4221467578811</v>
      </c>
      <c r="U47" s="66">
        <v>2205.3258880051148</v>
      </c>
      <c r="V47" s="66">
        <v>2013.2394642076172</v>
      </c>
      <c r="W47" s="66">
        <v>2094.530572989202</v>
      </c>
      <c r="X47" s="66">
        <v>2116.0137175755581</v>
      </c>
      <c r="Y47" s="66">
        <v>1977.2378054260764</v>
      </c>
      <c r="Z47" s="66">
        <v>2352.0458748096225</v>
      </c>
      <c r="AA47" s="66">
        <v>2318.8000000000002</v>
      </c>
    </row>
    <row r="48" spans="1:27" x14ac:dyDescent="0.25">
      <c r="A48" s="72" t="s">
        <v>4</v>
      </c>
      <c r="B48" s="65"/>
      <c r="C48" s="65"/>
      <c r="D48" s="66">
        <v>1061.7627338378513</v>
      </c>
      <c r="E48" s="66">
        <v>1091.3209898035316</v>
      </c>
      <c r="F48" s="66">
        <v>1075.6405596515151</v>
      </c>
      <c r="G48" s="66">
        <v>1095.7888598718414</v>
      </c>
      <c r="H48" s="66">
        <v>1033.8628380313148</v>
      </c>
      <c r="I48" s="66">
        <v>1094.4832430661716</v>
      </c>
      <c r="J48" s="66">
        <v>1223.0535091332079</v>
      </c>
      <c r="K48" s="66">
        <v>1398.5071601511452</v>
      </c>
      <c r="L48" s="66">
        <v>1313.7827173660125</v>
      </c>
      <c r="M48" s="66">
        <v>912.07948243992587</v>
      </c>
      <c r="N48" s="66">
        <v>875.39231086063296</v>
      </c>
      <c r="O48" s="66">
        <v>827.50923796978213</v>
      </c>
      <c r="P48" s="66">
        <v>787.8394489916119</v>
      </c>
      <c r="Q48" s="66">
        <v>858.46706207625618</v>
      </c>
      <c r="R48" s="66">
        <v>920.42777448737831</v>
      </c>
      <c r="S48" s="66">
        <v>1017.9491839999997</v>
      </c>
      <c r="T48" s="66">
        <v>1046.4159996451315</v>
      </c>
      <c r="U48" s="66">
        <v>1087.1080329440967</v>
      </c>
      <c r="V48" s="66">
        <v>1156.8032996175568</v>
      </c>
      <c r="W48" s="66">
        <v>1258.850246884552</v>
      </c>
      <c r="X48" s="66">
        <v>1142.1716651106597</v>
      </c>
      <c r="Y48" s="66">
        <v>1259.4708253663348</v>
      </c>
      <c r="Z48" s="66">
        <v>1084.5485119022578</v>
      </c>
      <c r="AA48" s="66">
        <v>1023.5999999999999</v>
      </c>
    </row>
    <row r="49" spans="1:27" x14ac:dyDescent="0.25">
      <c r="A49" s="77" t="s">
        <v>10</v>
      </c>
      <c r="B49" s="44"/>
      <c r="C49" s="44"/>
      <c r="D49" s="45">
        <v>531.12950054377086</v>
      </c>
      <c r="E49" s="45">
        <v>461.26356767772421</v>
      </c>
      <c r="F49" s="45">
        <v>451.64223272000771</v>
      </c>
      <c r="G49" s="45">
        <v>411.98391744299141</v>
      </c>
      <c r="H49" s="45">
        <v>415.13143048433119</v>
      </c>
      <c r="I49" s="45">
        <v>421.81949086926596</v>
      </c>
      <c r="J49" s="45">
        <v>516.04546071472532</v>
      </c>
      <c r="K49" s="45">
        <v>559.97658809290749</v>
      </c>
      <c r="L49" s="45">
        <v>540.35652228505649</v>
      </c>
      <c r="M49" s="45">
        <v>439.71441644642016</v>
      </c>
      <c r="N49" s="45">
        <v>351.93040598979735</v>
      </c>
      <c r="O49" s="45">
        <v>265.29667029214869</v>
      </c>
      <c r="P49" s="45">
        <v>250.49845994357267</v>
      </c>
      <c r="Q49" s="45">
        <v>262.06291264030159</v>
      </c>
      <c r="R49" s="45">
        <v>290.91469510588593</v>
      </c>
      <c r="S49" s="45">
        <v>324.17818742577288</v>
      </c>
      <c r="T49" s="45">
        <v>349.74210292563055</v>
      </c>
      <c r="U49" s="45">
        <v>429.25932236082497</v>
      </c>
      <c r="V49" s="45">
        <v>334.75861360427547</v>
      </c>
      <c r="W49" s="45">
        <v>497.62912409229489</v>
      </c>
      <c r="X49" s="45">
        <v>431.32575305635703</v>
      </c>
      <c r="Y49" s="45">
        <v>469.49203528201934</v>
      </c>
      <c r="Z49" s="45">
        <v>347.9741824948635</v>
      </c>
      <c r="AA49" s="45">
        <v>413.3895377869801</v>
      </c>
    </row>
    <row r="50" spans="1:27" x14ac:dyDescent="0.25">
      <c r="A50" s="77" t="s">
        <v>18</v>
      </c>
      <c r="B50" s="44"/>
      <c r="C50" s="44"/>
      <c r="D50" s="45">
        <v>178.41283342646443</v>
      </c>
      <c r="E50" s="45">
        <v>151.10750122690442</v>
      </c>
      <c r="F50" s="45">
        <v>148.70401188673986</v>
      </c>
      <c r="G50" s="45">
        <v>124.92298811250107</v>
      </c>
      <c r="H50" s="45">
        <v>119.48015411805335</v>
      </c>
      <c r="I50" s="45">
        <v>150.1871346541848</v>
      </c>
      <c r="J50" s="45">
        <v>154.40404825313919</v>
      </c>
      <c r="K50" s="45">
        <v>179.59721242707397</v>
      </c>
      <c r="L50" s="45">
        <v>183.73537532851807</v>
      </c>
      <c r="M50" s="45">
        <v>131.09031658665054</v>
      </c>
      <c r="N50" s="45">
        <v>150.19344084106368</v>
      </c>
      <c r="O50" s="45">
        <v>159.99307468338759</v>
      </c>
      <c r="P50" s="45">
        <v>141.46940752363219</v>
      </c>
      <c r="Q50" s="45">
        <v>174.21234440831057</v>
      </c>
      <c r="R50" s="45">
        <v>176.88745994400105</v>
      </c>
      <c r="S50" s="45">
        <v>179.83469314622778</v>
      </c>
      <c r="T50" s="45">
        <v>202.4891943103199</v>
      </c>
      <c r="U50" s="45">
        <v>201.6629242172811</v>
      </c>
      <c r="V50" s="45">
        <v>195.95473938258741</v>
      </c>
      <c r="W50" s="45">
        <v>188.29684578526724</v>
      </c>
      <c r="X50" s="45">
        <v>146.88056926808861</v>
      </c>
      <c r="Y50" s="45">
        <v>162.24358865839125</v>
      </c>
      <c r="Z50" s="45">
        <v>145.55257494170223</v>
      </c>
      <c r="AA50" s="45">
        <v>204.97473966262712</v>
      </c>
    </row>
    <row r="51" spans="1:27" x14ac:dyDescent="0.25">
      <c r="A51" s="77" t="s">
        <v>9</v>
      </c>
      <c r="B51" s="44"/>
      <c r="C51" s="44"/>
      <c r="D51" s="45">
        <v>352.22039986761604</v>
      </c>
      <c r="E51" s="45">
        <v>478.94992089890286</v>
      </c>
      <c r="F51" s="45">
        <v>475.29431504476747</v>
      </c>
      <c r="G51" s="45">
        <v>558.88195431634881</v>
      </c>
      <c r="H51" s="45">
        <v>499.25125342893028</v>
      </c>
      <c r="I51" s="45">
        <v>522.47661754272076</v>
      </c>
      <c r="J51" s="45">
        <v>552.60400016534334</v>
      </c>
      <c r="K51" s="45">
        <v>658.93335963116374</v>
      </c>
      <c r="L51" s="45">
        <v>589.69081975243796</v>
      </c>
      <c r="M51" s="45">
        <v>341.27474940685516</v>
      </c>
      <c r="N51" s="45">
        <v>373.26846402977196</v>
      </c>
      <c r="O51" s="45">
        <v>402.2194929942458</v>
      </c>
      <c r="P51" s="45">
        <v>395.87158152440702</v>
      </c>
      <c r="Q51" s="45">
        <v>422.19180502764408</v>
      </c>
      <c r="R51" s="45">
        <v>452.62561943749131</v>
      </c>
      <c r="S51" s="45">
        <v>513.93630342799906</v>
      </c>
      <c r="T51" s="45">
        <v>494.184702409181</v>
      </c>
      <c r="U51" s="45">
        <v>456.18578636599068</v>
      </c>
      <c r="V51" s="45">
        <v>626.08994663069393</v>
      </c>
      <c r="W51" s="45">
        <v>572.92427700698988</v>
      </c>
      <c r="X51" s="45">
        <v>563.96534278621402</v>
      </c>
      <c r="Y51" s="45">
        <v>627.73520142592429</v>
      </c>
      <c r="Z51" s="45">
        <v>591.02175446569208</v>
      </c>
      <c r="AA51" s="45">
        <v>405.23572255039267</v>
      </c>
    </row>
    <row r="52" spans="1:27" x14ac:dyDescent="0.25">
      <c r="A52" s="72" t="s">
        <v>3</v>
      </c>
      <c r="B52" s="65"/>
      <c r="C52" s="65"/>
      <c r="D52" s="66">
        <v>798.55639956575772</v>
      </c>
      <c r="E52" s="66">
        <v>932.97937909309451</v>
      </c>
      <c r="F52" s="66">
        <v>961.8560556514185</v>
      </c>
      <c r="G52" s="66">
        <v>930.27014145810665</v>
      </c>
      <c r="H52" s="66">
        <v>901.29546657198148</v>
      </c>
      <c r="I52" s="66">
        <v>886.68959816553843</v>
      </c>
      <c r="J52" s="66">
        <v>855.04671460534087</v>
      </c>
      <c r="K52" s="66">
        <v>895.98833385673618</v>
      </c>
      <c r="L52" s="66">
        <v>824.45304040952465</v>
      </c>
      <c r="M52" s="66">
        <v>755.17215033887862</v>
      </c>
      <c r="N52" s="66">
        <v>783.37339943541997</v>
      </c>
      <c r="O52" s="66">
        <v>799.16502704428876</v>
      </c>
      <c r="P52" s="66">
        <v>799.08811767573172</v>
      </c>
      <c r="Q52" s="66">
        <v>841.72211854155876</v>
      </c>
      <c r="R52" s="66">
        <v>878.51763949023791</v>
      </c>
      <c r="S52" s="66">
        <v>895.96001700000011</v>
      </c>
      <c r="T52" s="66">
        <v>939.7445626244504</v>
      </c>
      <c r="U52" s="66">
        <v>955.19170568436107</v>
      </c>
      <c r="V52" s="66">
        <v>989.11042924804826</v>
      </c>
      <c r="W52" s="66">
        <v>1042.7060961493244</v>
      </c>
      <c r="X52" s="66">
        <v>998.27909275632942</v>
      </c>
      <c r="Y52" s="66">
        <v>1021.0911013402178</v>
      </c>
      <c r="Z52" s="66">
        <v>1233.3214181735566</v>
      </c>
      <c r="AA52" s="66">
        <v>1189.6000000000001</v>
      </c>
    </row>
    <row r="53" spans="1:27" x14ac:dyDescent="0.25">
      <c r="A53" s="73" t="s">
        <v>21</v>
      </c>
      <c r="B53" s="65"/>
      <c r="C53" s="65"/>
      <c r="D53" s="66">
        <v>345.43038436728079</v>
      </c>
      <c r="E53" s="66">
        <v>428.32681063306535</v>
      </c>
      <c r="F53" s="66">
        <v>427.20597661482026</v>
      </c>
      <c r="G53" s="66">
        <v>424.78559061782136</v>
      </c>
      <c r="H53" s="66">
        <v>385.3400036652273</v>
      </c>
      <c r="I53" s="66">
        <v>366.74027626119243</v>
      </c>
      <c r="J53" s="66">
        <v>357.73169072876431</v>
      </c>
      <c r="K53" s="66">
        <v>392.17472673305446</v>
      </c>
      <c r="L53" s="66">
        <v>377.80546808345611</v>
      </c>
      <c r="M53" s="66">
        <v>378.62421441774495</v>
      </c>
      <c r="N53" s="66">
        <v>417.29506343992045</v>
      </c>
      <c r="O53" s="66">
        <v>417.36850587789155</v>
      </c>
      <c r="P53" s="66">
        <v>430.62211142027343</v>
      </c>
      <c r="Q53" s="66">
        <v>457.59888797405949</v>
      </c>
      <c r="R53" s="66">
        <v>506.25702863328166</v>
      </c>
      <c r="S53" s="66">
        <v>519.62556700000005</v>
      </c>
      <c r="T53" s="66">
        <v>584.31309465134154</v>
      </c>
      <c r="U53" s="66">
        <v>575.99902408755008</v>
      </c>
      <c r="V53" s="66">
        <v>614.60956665767173</v>
      </c>
      <c r="W53" s="66">
        <v>670.65047839534088</v>
      </c>
      <c r="X53" s="66">
        <v>660.96994618046028</v>
      </c>
      <c r="Y53" s="66">
        <v>626.41936927807978</v>
      </c>
      <c r="Z53" s="66">
        <v>823.4490739883712</v>
      </c>
      <c r="AA53" s="66">
        <v>757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10.126126087652358</v>
      </c>
      <c r="Y54" s="45">
        <v>8.4077973453879409</v>
      </c>
      <c r="Z54" s="45">
        <v>10.584382470877998</v>
      </c>
      <c r="AA54" s="45">
        <v>19.943192180553972</v>
      </c>
    </row>
    <row r="55" spans="1:27" x14ac:dyDescent="0.25">
      <c r="A55" s="74" t="s">
        <v>17</v>
      </c>
      <c r="B55" s="44"/>
      <c r="C55" s="44"/>
      <c r="D55" s="45">
        <v>345.43038436728079</v>
      </c>
      <c r="E55" s="45">
        <v>428.32681063306535</v>
      </c>
      <c r="F55" s="45">
        <v>427.20597661482026</v>
      </c>
      <c r="G55" s="45">
        <v>424.78559061782136</v>
      </c>
      <c r="H55" s="45">
        <v>385.3400036652273</v>
      </c>
      <c r="I55" s="45">
        <v>366.74027626119243</v>
      </c>
      <c r="J55" s="45">
        <v>357.73169072876431</v>
      </c>
      <c r="K55" s="45">
        <v>392.17472673305446</v>
      </c>
      <c r="L55" s="45">
        <v>377.80546808345611</v>
      </c>
      <c r="M55" s="45">
        <v>378.62421441774495</v>
      </c>
      <c r="N55" s="45">
        <v>417.29506343992045</v>
      </c>
      <c r="O55" s="45">
        <v>417.36850587789155</v>
      </c>
      <c r="P55" s="45">
        <v>430.62211142027343</v>
      </c>
      <c r="Q55" s="45">
        <v>457.59888797405949</v>
      </c>
      <c r="R55" s="45">
        <v>506.25702863328166</v>
      </c>
      <c r="S55" s="45">
        <v>519.62556700000005</v>
      </c>
      <c r="T55" s="45">
        <v>584.31309465134154</v>
      </c>
      <c r="U55" s="45">
        <v>575.99902408755008</v>
      </c>
      <c r="V55" s="45">
        <v>614.60956665767173</v>
      </c>
      <c r="W55" s="45">
        <v>670.65047839534088</v>
      </c>
      <c r="X55" s="45">
        <v>650.84382009280796</v>
      </c>
      <c r="Y55" s="45">
        <v>618.01157193269182</v>
      </c>
      <c r="Z55" s="45">
        <v>812.86469151749316</v>
      </c>
      <c r="AA55" s="45">
        <v>737.05680781944602</v>
      </c>
    </row>
    <row r="56" spans="1:27" x14ac:dyDescent="0.25">
      <c r="A56" s="73" t="s">
        <v>16</v>
      </c>
      <c r="B56" s="65"/>
      <c r="C56" s="65"/>
      <c r="D56" s="66">
        <v>453.12601519847692</v>
      </c>
      <c r="E56" s="66">
        <v>504.65256846002916</v>
      </c>
      <c r="F56" s="66">
        <v>534.65007903659819</v>
      </c>
      <c r="G56" s="66">
        <v>505.48455084028529</v>
      </c>
      <c r="H56" s="66">
        <v>515.95546290675418</v>
      </c>
      <c r="I56" s="66">
        <v>519.94932190434599</v>
      </c>
      <c r="J56" s="66">
        <v>497.3150238765765</v>
      </c>
      <c r="K56" s="66">
        <v>503.81360712368172</v>
      </c>
      <c r="L56" s="66">
        <v>446.64757232606854</v>
      </c>
      <c r="M56" s="66">
        <v>376.54793592113367</v>
      </c>
      <c r="N56" s="66">
        <v>366.07833599549946</v>
      </c>
      <c r="O56" s="66">
        <v>381.79652116639721</v>
      </c>
      <c r="P56" s="66">
        <v>368.4660062554583</v>
      </c>
      <c r="Q56" s="66">
        <v>384.12323056749921</v>
      </c>
      <c r="R56" s="66">
        <v>372.26061085695625</v>
      </c>
      <c r="S56" s="66">
        <v>376.33445</v>
      </c>
      <c r="T56" s="66">
        <v>355.43146797310885</v>
      </c>
      <c r="U56" s="66">
        <v>379.19268159681093</v>
      </c>
      <c r="V56" s="66">
        <v>374.50086259037653</v>
      </c>
      <c r="W56" s="66">
        <v>372.05561775398348</v>
      </c>
      <c r="X56" s="66">
        <v>337.30914657586908</v>
      </c>
      <c r="Y56" s="66">
        <v>394.67173206213801</v>
      </c>
      <c r="Z56" s="66">
        <v>409.87234418518551</v>
      </c>
      <c r="AA56" s="66">
        <v>432.60000000000014</v>
      </c>
    </row>
    <row r="57" spans="1:27" x14ac:dyDescent="0.25">
      <c r="A57" s="72" t="s">
        <v>2</v>
      </c>
      <c r="B57" s="65"/>
      <c r="C57" s="65"/>
      <c r="D57" s="66">
        <v>3183.9475920011328</v>
      </c>
      <c r="E57" s="66">
        <v>3533.5490300920173</v>
      </c>
      <c r="F57" s="66">
        <v>3775.9661831959743</v>
      </c>
      <c r="G57" s="66">
        <v>3473.4892878732926</v>
      </c>
      <c r="H57" s="66">
        <v>3484.0006494324625</v>
      </c>
      <c r="I57" s="66">
        <v>3190.7179384145011</v>
      </c>
      <c r="J57" s="66">
        <v>3237.6061678373053</v>
      </c>
      <c r="K57" s="66">
        <v>2925.0537578637063</v>
      </c>
      <c r="L57" s="66">
        <v>2680.9869076242921</v>
      </c>
      <c r="M57" s="66">
        <v>3094.2481823783119</v>
      </c>
      <c r="N57" s="66">
        <v>2835.0384617702903</v>
      </c>
      <c r="O57" s="66">
        <v>2651.8843741891706</v>
      </c>
      <c r="P57" s="66">
        <v>2606.5184332920367</v>
      </c>
      <c r="Q57" s="66">
        <v>2849.9605190132042</v>
      </c>
      <c r="R57" s="66">
        <v>2950.0964576015035</v>
      </c>
      <c r="S57" s="66">
        <v>2992.2139100000004</v>
      </c>
      <c r="T57" s="66">
        <v>3054.4148088638294</v>
      </c>
      <c r="U57" s="66">
        <v>3051.2994199056061</v>
      </c>
      <c r="V57" s="66">
        <v>3259.505390491965</v>
      </c>
      <c r="W57" s="66">
        <v>3205.6887382662007</v>
      </c>
      <c r="X57" s="66">
        <v>3193.4532227652999</v>
      </c>
      <c r="Y57" s="66">
        <v>3182.7760003172111</v>
      </c>
      <c r="Z57" s="66">
        <v>3399.4310342216204</v>
      </c>
      <c r="AA57" s="66">
        <v>3722.9</v>
      </c>
    </row>
    <row r="58" spans="1:27" x14ac:dyDescent="0.25">
      <c r="A58" s="72" t="s">
        <v>269</v>
      </c>
      <c r="B58" s="65"/>
      <c r="C58" s="65"/>
      <c r="D58" s="66">
        <v>2953.8096257021039</v>
      </c>
      <c r="E58" s="66">
        <v>2706.1307248058802</v>
      </c>
      <c r="F58" s="66">
        <v>2737.511221990274</v>
      </c>
      <c r="G58" s="66">
        <v>3217.1413142304441</v>
      </c>
      <c r="H58" s="66">
        <v>3262.9465907659178</v>
      </c>
      <c r="I58" s="66">
        <v>3658.2536394409258</v>
      </c>
      <c r="J58" s="66">
        <v>4645.9277023943359</v>
      </c>
      <c r="K58" s="66">
        <v>5130.6409682615267</v>
      </c>
      <c r="L58" s="66">
        <v>4893.1590853563948</v>
      </c>
      <c r="M58" s="66">
        <v>3686.4324707332098</v>
      </c>
      <c r="N58" s="66">
        <v>4550.5848336899626</v>
      </c>
      <c r="O58" s="66">
        <v>4339.2152505837976</v>
      </c>
      <c r="P58" s="66">
        <v>3926.7948666653128</v>
      </c>
      <c r="Q58" s="66">
        <v>4994.3237621850194</v>
      </c>
      <c r="R58" s="66">
        <v>5756.3352891920604</v>
      </c>
      <c r="S58" s="66">
        <v>6660.5517130000007</v>
      </c>
      <c r="T58" s="66">
        <v>7123.6081570490705</v>
      </c>
      <c r="U58" s="66">
        <v>6756.7062155657104</v>
      </c>
      <c r="V58" s="66">
        <v>6910.690582225242</v>
      </c>
      <c r="W58" s="66">
        <v>6595.6715087992179</v>
      </c>
      <c r="X58" s="66">
        <v>5901.5452303805814</v>
      </c>
      <c r="Y58" s="66">
        <v>5291.5293385262003</v>
      </c>
      <c r="Z58" s="66">
        <v>5583.2261041878783</v>
      </c>
      <c r="AA58" s="66">
        <v>5773.1</v>
      </c>
    </row>
    <row r="59" spans="1:27" x14ac:dyDescent="0.25">
      <c r="A59" s="72" t="s">
        <v>270</v>
      </c>
      <c r="B59" s="65"/>
      <c r="C59" s="65"/>
      <c r="D59" s="66">
        <v>6111.8387671297533</v>
      </c>
      <c r="E59" s="66">
        <v>6053.0838790792786</v>
      </c>
      <c r="F59" s="66">
        <v>6175.8938616919859</v>
      </c>
      <c r="G59" s="66">
        <v>7151.3014750332495</v>
      </c>
      <c r="H59" s="66">
        <v>8164.6861477315679</v>
      </c>
      <c r="I59" s="66">
        <v>8999.6358025769823</v>
      </c>
      <c r="J59" s="66">
        <v>8833.2696183087137</v>
      </c>
      <c r="K59" s="66">
        <v>8402.4082592971536</v>
      </c>
      <c r="L59" s="66">
        <v>8285.697982432328</v>
      </c>
      <c r="M59" s="66">
        <v>7796.4257547751085</v>
      </c>
      <c r="N59" s="66">
        <v>8106.5094341139002</v>
      </c>
      <c r="O59" s="66">
        <v>9233.6935931980115</v>
      </c>
      <c r="P59" s="66">
        <v>9244.5308802323452</v>
      </c>
      <c r="Q59" s="66">
        <v>9175.9403510911889</v>
      </c>
      <c r="R59" s="66">
        <v>9641.2162803284045</v>
      </c>
      <c r="S59" s="66">
        <v>10323.208996000001</v>
      </c>
      <c r="T59" s="66">
        <v>9086.3905959820986</v>
      </c>
      <c r="U59" s="66">
        <v>9183.9399334348745</v>
      </c>
      <c r="V59" s="66">
        <v>9287.8592544688127</v>
      </c>
      <c r="W59" s="66">
        <v>9334.7816970826025</v>
      </c>
      <c r="X59" s="66">
        <v>9089.409130100501</v>
      </c>
      <c r="Y59" s="66">
        <v>9280.5418542766274</v>
      </c>
      <c r="Z59" s="66">
        <v>10282.538001396801</v>
      </c>
      <c r="AA59" s="66">
        <v>11113.3</v>
      </c>
    </row>
    <row r="60" spans="1:27" x14ac:dyDescent="0.25">
      <c r="A60" s="72" t="s">
        <v>1</v>
      </c>
      <c r="B60" s="65"/>
      <c r="C60" s="65"/>
      <c r="D60" s="66">
        <v>1572.5349580704542</v>
      </c>
      <c r="E60" s="66">
        <v>1607.7461687253033</v>
      </c>
      <c r="F60" s="66">
        <v>1395.2310716397378</v>
      </c>
      <c r="G60" s="66">
        <v>1165.3273255954541</v>
      </c>
      <c r="H60" s="66">
        <v>1069.8105547092443</v>
      </c>
      <c r="I60" s="66">
        <v>896.14886110504483</v>
      </c>
      <c r="J60" s="66">
        <v>906.89646916081347</v>
      </c>
      <c r="K60" s="66">
        <v>791.54268029540196</v>
      </c>
      <c r="L60" s="66">
        <v>701.50104223221899</v>
      </c>
      <c r="M60" s="66">
        <v>622.43863216266175</v>
      </c>
      <c r="N60" s="66">
        <v>599.90623650080875</v>
      </c>
      <c r="O60" s="66">
        <v>655.31815659740937</v>
      </c>
      <c r="P60" s="66">
        <v>640.45304648942874</v>
      </c>
      <c r="Q60" s="66">
        <v>649.87703270006807</v>
      </c>
      <c r="R60" s="66">
        <v>660.26589841516227</v>
      </c>
      <c r="S60" s="66">
        <v>645.02304600000002</v>
      </c>
      <c r="T60" s="66">
        <v>664.52665556059378</v>
      </c>
      <c r="U60" s="66">
        <v>670.7971944867528</v>
      </c>
      <c r="V60" s="66">
        <v>685.43965217229481</v>
      </c>
      <c r="W60" s="66">
        <v>679.12671960064381</v>
      </c>
      <c r="X60" s="66">
        <v>571.93073022498038</v>
      </c>
      <c r="Y60" s="66">
        <v>571.86107023588193</v>
      </c>
      <c r="Z60" s="66">
        <v>548.72705670506468</v>
      </c>
      <c r="AA60" s="66">
        <v>573.79999999999995</v>
      </c>
    </row>
    <row r="61" spans="1:27" x14ac:dyDescent="0.25">
      <c r="A61" s="72" t="s">
        <v>0</v>
      </c>
      <c r="B61" s="65"/>
      <c r="C61" s="65"/>
      <c r="D61" s="66">
        <v>487.98186252143682</v>
      </c>
      <c r="E61" s="66">
        <v>519.56454171156986</v>
      </c>
      <c r="F61" s="66">
        <v>455.8234648196638</v>
      </c>
      <c r="G61" s="66">
        <v>445.90468020795549</v>
      </c>
      <c r="H61" s="66">
        <v>462.44053626856953</v>
      </c>
      <c r="I61" s="66">
        <v>418.99882725485912</v>
      </c>
      <c r="J61" s="66">
        <v>413.69148680387809</v>
      </c>
      <c r="K61" s="66">
        <v>422.96173756242848</v>
      </c>
      <c r="L61" s="66">
        <v>414.01641491507019</v>
      </c>
      <c r="M61" s="66">
        <v>320.04349969192856</v>
      </c>
      <c r="N61" s="66">
        <v>318.99889294073915</v>
      </c>
      <c r="O61" s="66">
        <v>312.77836756282056</v>
      </c>
      <c r="P61" s="66">
        <v>305.87725998740785</v>
      </c>
      <c r="Q61" s="66">
        <v>313.67898535256512</v>
      </c>
      <c r="R61" s="66">
        <v>335.57111551343849</v>
      </c>
      <c r="S61" s="66">
        <v>354.464448</v>
      </c>
      <c r="T61" s="66">
        <v>361.87095104784811</v>
      </c>
      <c r="U61" s="66">
        <v>377.18990334894045</v>
      </c>
      <c r="V61" s="66">
        <v>395.11558897149825</v>
      </c>
      <c r="W61" s="66">
        <v>418.80337228020039</v>
      </c>
      <c r="X61" s="66">
        <v>425.30848847639447</v>
      </c>
      <c r="Y61" s="66">
        <v>527.81400311924506</v>
      </c>
      <c r="Z61" s="66">
        <v>627.47512516513382</v>
      </c>
      <c r="AA61" s="66">
        <v>477.1</v>
      </c>
    </row>
    <row r="62" spans="1:27" x14ac:dyDescent="0.25">
      <c r="A62" s="78" t="s">
        <v>271</v>
      </c>
      <c r="B62" s="79"/>
      <c r="C62" s="79"/>
      <c r="D62" s="80">
        <v>1445.400489309146</v>
      </c>
      <c r="E62" s="80">
        <v>1612.4552129100002</v>
      </c>
      <c r="F62" s="80">
        <v>1658.1006938327318</v>
      </c>
      <c r="G62" s="80">
        <v>1689.1837673800028</v>
      </c>
      <c r="H62" s="80">
        <v>1727.1169940554596</v>
      </c>
      <c r="I62" s="80">
        <v>1745.46661716532</v>
      </c>
      <c r="J62" s="80">
        <v>1806.9955619622203</v>
      </c>
      <c r="K62" s="80">
        <v>1930.9498100554133</v>
      </c>
      <c r="L62" s="80">
        <v>1943.2749185604591</v>
      </c>
      <c r="M62" s="80">
        <v>1959.7102895871844</v>
      </c>
      <c r="N62" s="80">
        <v>2141.8293290336842</v>
      </c>
      <c r="O62" s="80">
        <v>2303.5340219148557</v>
      </c>
      <c r="P62" s="80">
        <v>2532.536804638788</v>
      </c>
      <c r="Q62" s="80">
        <v>2621.7384868721983</v>
      </c>
      <c r="R62" s="80">
        <v>2796.8126766604041</v>
      </c>
      <c r="S62" s="80">
        <v>3061.0902150000002</v>
      </c>
      <c r="T62" s="80">
        <v>3305.5546487786605</v>
      </c>
      <c r="U62" s="80">
        <v>3181.0794503676129</v>
      </c>
      <c r="V62" s="80">
        <v>3361.5218569421313</v>
      </c>
      <c r="W62" s="80">
        <v>3522.2635044945646</v>
      </c>
      <c r="X62" s="80">
        <v>3498.6562578944477</v>
      </c>
      <c r="Y62" s="80">
        <v>3519.8862242155628</v>
      </c>
      <c r="Z62" s="80">
        <v>3471.9652945482694</v>
      </c>
      <c r="AA62" s="80">
        <v>3357.9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5.9415538393302145E-2</v>
      </c>
      <c r="E66" s="83">
        <f t="shared" ref="E66:S66" si="55">E24/E$23</f>
        <v>5.8187372159583368E-2</v>
      </c>
      <c r="F66" s="83">
        <f t="shared" si="55"/>
        <v>5.033431587595253E-2</v>
      </c>
      <c r="G66" s="83">
        <f t="shared" si="55"/>
        <v>4.5457002574640637E-2</v>
      </c>
      <c r="H66" s="83">
        <f t="shared" si="55"/>
        <v>5.0904031052713766E-2</v>
      </c>
      <c r="I66" s="83">
        <f t="shared" si="55"/>
        <v>4.3230469835974422E-2</v>
      </c>
      <c r="J66" s="83">
        <f t="shared" si="55"/>
        <v>4.075769008888605E-2</v>
      </c>
      <c r="K66" s="83">
        <f t="shared" si="55"/>
        <v>4.0552020843318486E-2</v>
      </c>
      <c r="L66" s="83">
        <f t="shared" si="55"/>
        <v>4.060161237809598E-2</v>
      </c>
      <c r="M66" s="83">
        <f t="shared" si="55"/>
        <v>3.5241939403304619E-2</v>
      </c>
      <c r="N66" s="83">
        <f t="shared" si="55"/>
        <v>3.543623017216279E-2</v>
      </c>
      <c r="O66" s="83">
        <f t="shared" si="55"/>
        <v>4.6701827502904462E-2</v>
      </c>
      <c r="P66" s="83">
        <f t="shared" si="55"/>
        <v>4.6215625367774238E-2</v>
      </c>
      <c r="Q66" s="83">
        <f t="shared" si="55"/>
        <v>4.6451031369768435E-2</v>
      </c>
      <c r="R66" s="83">
        <f t="shared" si="55"/>
        <v>4.6685800069663684E-2</v>
      </c>
      <c r="S66" s="83">
        <f t="shared" si="55"/>
        <v>4.4637702495938257E-2</v>
      </c>
      <c r="T66" s="83">
        <f t="shared" ref="T66:Y66" si="56">T24/T$23</f>
        <v>4.5569699560319844E-2</v>
      </c>
      <c r="U66" s="83">
        <f t="shared" si="56"/>
        <v>4.4191620872120876E-2</v>
      </c>
      <c r="V66" s="83">
        <f t="shared" si="56"/>
        <v>4.1076878694341769E-2</v>
      </c>
      <c r="W66" s="83">
        <f t="shared" si="56"/>
        <v>3.9326500967071416E-2</v>
      </c>
      <c r="X66" s="83">
        <f t="shared" si="56"/>
        <v>3.9786472565266962E-2</v>
      </c>
      <c r="Y66" s="83">
        <f t="shared" si="56"/>
        <v>4.0813792924857754E-2</v>
      </c>
      <c r="Z66" s="83">
        <f t="shared" ref="Z66:AA66" si="57">Z24/Z$23</f>
        <v>3.6850562399571504E-2</v>
      </c>
      <c r="AA66" s="83">
        <f t="shared" si="57"/>
        <v>3.3501051594665696E-2</v>
      </c>
    </row>
    <row r="67" spans="1:27" x14ac:dyDescent="0.25">
      <c r="A67" s="64" t="s">
        <v>56</v>
      </c>
      <c r="B67" s="65"/>
      <c r="C67" s="65"/>
      <c r="D67" s="83">
        <f t="shared" si="51"/>
        <v>2.5354714513687888E-3</v>
      </c>
      <c r="E67" s="83">
        <f t="shared" ref="E67:S67" si="58">E25/E$23</f>
        <v>2.2514180822502546E-3</v>
      </c>
      <c r="F67" s="83">
        <f t="shared" si="58"/>
        <v>2.3860221144295776E-3</v>
      </c>
      <c r="G67" s="83">
        <f t="shared" si="58"/>
        <v>2.3212486375046746E-3</v>
      </c>
      <c r="H67" s="83">
        <f t="shared" si="58"/>
        <v>2.2350612537336326E-3</v>
      </c>
      <c r="I67" s="83">
        <f t="shared" si="58"/>
        <v>2.3949621626584831E-3</v>
      </c>
      <c r="J67" s="83">
        <f t="shared" si="58"/>
        <v>2.4088298818992866E-3</v>
      </c>
      <c r="K67" s="83">
        <f t="shared" si="58"/>
        <v>1.9273709388352178E-3</v>
      </c>
      <c r="L67" s="83">
        <f t="shared" si="58"/>
        <v>2.4213701548340088E-3</v>
      </c>
      <c r="M67" s="83">
        <f t="shared" si="58"/>
        <v>2.5496820374526601E-3</v>
      </c>
      <c r="N67" s="83">
        <f t="shared" si="58"/>
        <v>2.1434540027316907E-3</v>
      </c>
      <c r="O67" s="83">
        <f t="shared" si="58"/>
        <v>2.4007874306157433E-3</v>
      </c>
      <c r="P67" s="83">
        <f t="shared" si="58"/>
        <v>2.5296923832246205E-3</v>
      </c>
      <c r="Q67" s="83">
        <f t="shared" si="58"/>
        <v>2.2383805803105929E-3</v>
      </c>
      <c r="R67" s="83">
        <f t="shared" si="58"/>
        <v>2.004222109207292E-3</v>
      </c>
      <c r="S67" s="83">
        <f t="shared" si="58"/>
        <v>1.6057711013781032E-3</v>
      </c>
      <c r="T67" s="83">
        <f t="shared" ref="T67:Y67" si="59">T25/T$23</f>
        <v>1.4450531183336827E-3</v>
      </c>
      <c r="U67" s="83">
        <f t="shared" si="59"/>
        <v>1.9485266525646331E-3</v>
      </c>
      <c r="V67" s="83">
        <f t="shared" si="59"/>
        <v>2.8042098975204232E-3</v>
      </c>
      <c r="W67" s="83">
        <f t="shared" si="59"/>
        <v>3.6275210067173349E-3</v>
      </c>
      <c r="X67" s="83">
        <f t="shared" si="59"/>
        <v>2.5460481330825337E-3</v>
      </c>
      <c r="Y67" s="83">
        <f t="shared" si="59"/>
        <v>3.3763327679454803E-3</v>
      </c>
      <c r="Z67" s="83">
        <f t="shared" ref="Z67:AA67" si="60">Z25/Z$23</f>
        <v>5.1181380177056732E-3</v>
      </c>
      <c r="AA67" s="83">
        <f t="shared" si="60"/>
        <v>3.653737070987892E-3</v>
      </c>
    </row>
    <row r="68" spans="1:27" x14ac:dyDescent="0.25">
      <c r="A68" s="64" t="s">
        <v>146</v>
      </c>
      <c r="B68" s="65"/>
      <c r="C68" s="65"/>
      <c r="D68" s="83">
        <f t="shared" si="51"/>
        <v>0.6373429905302771</v>
      </c>
      <c r="E68" s="83">
        <f t="shared" ref="E68:S68" si="61">E26/E$23</f>
        <v>0.64141267528126367</v>
      </c>
      <c r="F68" s="83">
        <f t="shared" si="61"/>
        <v>0.65464135054949091</v>
      </c>
      <c r="G68" s="83">
        <f t="shared" si="61"/>
        <v>0.6608219582019047</v>
      </c>
      <c r="H68" s="83">
        <f t="shared" si="61"/>
        <v>0.64929934098972242</v>
      </c>
      <c r="I68" s="83">
        <f t="shared" si="61"/>
        <v>0.65573502893593816</v>
      </c>
      <c r="J68" s="83">
        <f t="shared" si="61"/>
        <v>0.66031421479447128</v>
      </c>
      <c r="K68" s="83">
        <f t="shared" si="61"/>
        <v>0.66359710792141502</v>
      </c>
      <c r="L68" s="83">
        <f t="shared" si="61"/>
        <v>0.67353116840273652</v>
      </c>
      <c r="M68" s="83">
        <f t="shared" si="61"/>
        <v>0.68604142547912461</v>
      </c>
      <c r="N68" s="83">
        <f t="shared" si="61"/>
        <v>0.68472880750102372</v>
      </c>
      <c r="O68" s="83">
        <f t="shared" si="61"/>
        <v>0.67481374591992926</v>
      </c>
      <c r="P68" s="83">
        <f t="shared" si="61"/>
        <v>0.67263783435507696</v>
      </c>
      <c r="Q68" s="83">
        <f t="shared" si="61"/>
        <v>0.67258702110009694</v>
      </c>
      <c r="R68" s="83">
        <f t="shared" si="61"/>
        <v>0.66372469266183165</v>
      </c>
      <c r="S68" s="83">
        <f t="shared" si="61"/>
        <v>0.65617990525214387</v>
      </c>
      <c r="T68" s="83">
        <f t="shared" ref="T68:Y68" si="62">T26/T$23</f>
        <v>0.66915963592745642</v>
      </c>
      <c r="U68" s="83">
        <f t="shared" si="62"/>
        <v>0.67396136487667202</v>
      </c>
      <c r="V68" s="83">
        <f t="shared" si="62"/>
        <v>0.67828585742985104</v>
      </c>
      <c r="W68" s="83">
        <f t="shared" si="62"/>
        <v>0.68417534088264331</v>
      </c>
      <c r="X68" s="83">
        <f t="shared" si="62"/>
        <v>0.68668536039353889</v>
      </c>
      <c r="Y68" s="83">
        <f t="shared" si="62"/>
        <v>0.69159907781102736</v>
      </c>
      <c r="Z68" s="83">
        <f t="shared" ref="Z68:AA68" si="63">Z26/Z$23</f>
        <v>0.69034476682720169</v>
      </c>
      <c r="AA68" s="83">
        <f t="shared" si="63"/>
        <v>0.68401797865064418</v>
      </c>
    </row>
    <row r="69" spans="1:27" x14ac:dyDescent="0.25">
      <c r="A69" s="68" t="s">
        <v>148</v>
      </c>
      <c r="B69" s="69"/>
      <c r="C69" s="69"/>
      <c r="D69" s="84">
        <f t="shared" si="51"/>
        <v>0.26579468396914457</v>
      </c>
      <c r="E69" s="84">
        <f t="shared" ref="E69:S69" si="64">E27/E$23</f>
        <v>0.2646272549027161</v>
      </c>
      <c r="F69" s="84">
        <f t="shared" si="64"/>
        <v>0.27235792578139412</v>
      </c>
      <c r="G69" s="84">
        <f t="shared" si="64"/>
        <v>0.27868052370074853</v>
      </c>
      <c r="H69" s="84">
        <f t="shared" si="64"/>
        <v>0.27106849666495642</v>
      </c>
      <c r="I69" s="84">
        <f t="shared" si="64"/>
        <v>0.26868210766872519</v>
      </c>
      <c r="J69" s="84">
        <f t="shared" si="64"/>
        <v>0.26407904764407542</v>
      </c>
      <c r="K69" s="84">
        <f t="shared" si="64"/>
        <v>0.26499703568759547</v>
      </c>
      <c r="L69" s="84">
        <f t="shared" si="64"/>
        <v>0.26389592636274833</v>
      </c>
      <c r="M69" s="84">
        <f t="shared" si="64"/>
        <v>0.2675458874226902</v>
      </c>
      <c r="N69" s="84">
        <f t="shared" si="64"/>
        <v>0.26367798243101537</v>
      </c>
      <c r="O69" s="84">
        <f t="shared" si="64"/>
        <v>0.25711822523834998</v>
      </c>
      <c r="P69" s="84">
        <f t="shared" si="64"/>
        <v>0.26062726385476132</v>
      </c>
      <c r="Q69" s="84">
        <f t="shared" si="64"/>
        <v>0.26176771819576328</v>
      </c>
      <c r="R69" s="84">
        <f t="shared" si="64"/>
        <v>0.26201782099547866</v>
      </c>
      <c r="S69" s="84">
        <f t="shared" si="64"/>
        <v>0.26176908233388879</v>
      </c>
      <c r="T69" s="84">
        <f t="shared" ref="T69:Y69" si="65">T27/T$23</f>
        <v>0.26970350137381111</v>
      </c>
      <c r="U69" s="84">
        <f t="shared" si="65"/>
        <v>0.26656548782194006</v>
      </c>
      <c r="V69" s="84">
        <f t="shared" si="65"/>
        <v>0.26258880931197198</v>
      </c>
      <c r="W69" s="84">
        <f t="shared" si="65"/>
        <v>0.26180750062197539</v>
      </c>
      <c r="X69" s="84">
        <f t="shared" si="65"/>
        <v>0.25655309361878581</v>
      </c>
      <c r="Y69" s="84">
        <f t="shared" si="65"/>
        <v>0.25111598727458417</v>
      </c>
      <c r="Z69" s="84">
        <f t="shared" ref="Z69:AA69" si="66">Z27/Z$23</f>
        <v>0.2567164490571025</v>
      </c>
      <c r="AA69" s="84">
        <f t="shared" si="66"/>
        <v>0.2472642198708207</v>
      </c>
    </row>
    <row r="70" spans="1:27" x14ac:dyDescent="0.25">
      <c r="A70" s="68" t="s">
        <v>150</v>
      </c>
      <c r="B70" s="71"/>
      <c r="C70" s="71"/>
      <c r="D70" s="84">
        <f t="shared" si="51"/>
        <v>0.2604310987347791</v>
      </c>
      <c r="E70" s="84">
        <f t="shared" ref="E70:S70" si="67">E28/E$23</f>
        <v>0.26167272082927268</v>
      </c>
      <c r="F70" s="84">
        <f t="shared" si="67"/>
        <v>0.26440719304635818</v>
      </c>
      <c r="G70" s="84">
        <f t="shared" si="67"/>
        <v>0.26926076769698626</v>
      </c>
      <c r="H70" s="84">
        <f t="shared" si="67"/>
        <v>0.26369013094786625</v>
      </c>
      <c r="I70" s="84">
        <f t="shared" si="67"/>
        <v>0.27147495491910939</v>
      </c>
      <c r="J70" s="84">
        <f t="shared" si="67"/>
        <v>0.27747765334814978</v>
      </c>
      <c r="K70" s="84">
        <f t="shared" si="67"/>
        <v>0.27786624022969447</v>
      </c>
      <c r="L70" s="84">
        <f t="shared" si="67"/>
        <v>0.28352562706587292</v>
      </c>
      <c r="M70" s="84">
        <f t="shared" si="67"/>
        <v>0.30182203817544451</v>
      </c>
      <c r="N70" s="84">
        <f t="shared" si="67"/>
        <v>0.30517884999135986</v>
      </c>
      <c r="O70" s="84">
        <f t="shared" si="67"/>
        <v>0.30068969332620288</v>
      </c>
      <c r="P70" s="84">
        <f t="shared" si="67"/>
        <v>0.29669796685484823</v>
      </c>
      <c r="Q70" s="84">
        <f t="shared" si="67"/>
        <v>0.28981467321033832</v>
      </c>
      <c r="R70" s="84">
        <f t="shared" si="67"/>
        <v>0.28103289216706379</v>
      </c>
      <c r="S70" s="84">
        <f t="shared" si="67"/>
        <v>0.27664481121410806</v>
      </c>
      <c r="T70" s="84">
        <f t="shared" ref="T70:Y70" si="68">T28/T$23</f>
        <v>0.28290704266342492</v>
      </c>
      <c r="U70" s="84">
        <f t="shared" si="68"/>
        <v>0.29003119681045741</v>
      </c>
      <c r="V70" s="84">
        <f t="shared" si="68"/>
        <v>0.29497729790981375</v>
      </c>
      <c r="W70" s="84">
        <f t="shared" si="68"/>
        <v>0.30561061932698252</v>
      </c>
      <c r="X70" s="84">
        <f t="shared" si="68"/>
        <v>0.30771929436148271</v>
      </c>
      <c r="Y70" s="84">
        <f t="shared" si="68"/>
        <v>0.31391288254124455</v>
      </c>
      <c r="Z70" s="84">
        <f t="shared" ref="Z70:AA70" si="69">Z28/Z$23</f>
        <v>0.31836128520649143</v>
      </c>
      <c r="AA70" s="84">
        <f t="shared" si="69"/>
        <v>0.32127675964117397</v>
      </c>
    </row>
    <row r="71" spans="1:27" x14ac:dyDescent="0.25">
      <c r="A71" s="68" t="s">
        <v>152</v>
      </c>
      <c r="B71" s="71"/>
      <c r="C71" s="71"/>
      <c r="D71" s="84">
        <f t="shared" si="51"/>
        <v>0.11111720782635333</v>
      </c>
      <c r="E71" s="84">
        <f t="shared" ref="E71:S71" si="70">E29/E$23</f>
        <v>0.11511269954927501</v>
      </c>
      <c r="F71" s="84">
        <f t="shared" si="70"/>
        <v>0.11787623172173882</v>
      </c>
      <c r="G71" s="84">
        <f t="shared" si="70"/>
        <v>0.11288066680416993</v>
      </c>
      <c r="H71" s="84">
        <f t="shared" si="70"/>
        <v>0.11454071337689982</v>
      </c>
      <c r="I71" s="84">
        <f t="shared" si="70"/>
        <v>0.11557796634810351</v>
      </c>
      <c r="J71" s="84">
        <f t="shared" si="70"/>
        <v>0.1187575138022461</v>
      </c>
      <c r="K71" s="84">
        <f t="shared" si="70"/>
        <v>0.1207338320041251</v>
      </c>
      <c r="L71" s="84">
        <f t="shared" si="70"/>
        <v>0.1261096149741153</v>
      </c>
      <c r="M71" s="84">
        <f t="shared" si="70"/>
        <v>0.11667349988098991</v>
      </c>
      <c r="N71" s="84">
        <f t="shared" si="70"/>
        <v>0.11587197507864849</v>
      </c>
      <c r="O71" s="84">
        <f t="shared" si="70"/>
        <v>0.1170058273553765</v>
      </c>
      <c r="P71" s="84">
        <f t="shared" si="70"/>
        <v>0.11531260364546739</v>
      </c>
      <c r="Q71" s="84">
        <f t="shared" si="70"/>
        <v>0.12100462969399528</v>
      </c>
      <c r="R71" s="84">
        <f t="shared" si="70"/>
        <v>0.12067397949928943</v>
      </c>
      <c r="S71" s="84">
        <f t="shared" si="70"/>
        <v>0.11776601170414701</v>
      </c>
      <c r="T71" s="84">
        <f t="shared" ref="T71:Y71" si="71">T29/T$23</f>
        <v>0.11654909189022046</v>
      </c>
      <c r="U71" s="84">
        <f t="shared" si="71"/>
        <v>0.1173646802442746</v>
      </c>
      <c r="V71" s="84">
        <f t="shared" si="71"/>
        <v>0.12071975020806545</v>
      </c>
      <c r="W71" s="84">
        <f t="shared" si="71"/>
        <v>0.11675722093368539</v>
      </c>
      <c r="X71" s="84">
        <f t="shared" si="71"/>
        <v>0.12241297241327043</v>
      </c>
      <c r="Y71" s="84">
        <f t="shared" si="71"/>
        <v>0.12657020799519864</v>
      </c>
      <c r="Z71" s="84">
        <f t="shared" ref="Z71:AA71" si="72">Z29/Z$23</f>
        <v>0.11526703256360789</v>
      </c>
      <c r="AA71" s="84">
        <f t="shared" si="72"/>
        <v>0.11547699913864946</v>
      </c>
    </row>
    <row r="72" spans="1:27" x14ac:dyDescent="0.25">
      <c r="A72" s="64" t="s">
        <v>154</v>
      </c>
      <c r="B72" s="65"/>
      <c r="C72" s="65"/>
      <c r="D72" s="83">
        <f t="shared" si="51"/>
        <v>4.0853326748880876E-2</v>
      </c>
      <c r="E72" s="83">
        <f t="shared" ref="E72:S72" si="73">E30/E$23</f>
        <v>3.6899540828958313E-2</v>
      </c>
      <c r="F72" s="83">
        <f t="shared" si="73"/>
        <v>3.7711023357985159E-2</v>
      </c>
      <c r="G72" s="83">
        <f t="shared" si="73"/>
        <v>3.6122703960953115E-2</v>
      </c>
      <c r="H72" s="83">
        <f t="shared" si="73"/>
        <v>4.2995401223204631E-2</v>
      </c>
      <c r="I72" s="83">
        <f t="shared" si="73"/>
        <v>4.1624901485182587E-2</v>
      </c>
      <c r="J72" s="83">
        <f t="shared" si="73"/>
        <v>3.8891120028746305E-2</v>
      </c>
      <c r="K72" s="83">
        <f t="shared" si="73"/>
        <v>4.1967167684678931E-2</v>
      </c>
      <c r="L72" s="83">
        <f t="shared" si="73"/>
        <v>4.1376752690351404E-2</v>
      </c>
      <c r="M72" s="83">
        <f t="shared" si="73"/>
        <v>4.3848050913885293E-2</v>
      </c>
      <c r="N72" s="83">
        <f t="shared" si="73"/>
        <v>4.1268886895222859E-2</v>
      </c>
      <c r="O72" s="83">
        <f t="shared" si="73"/>
        <v>3.5812418168071236E-2</v>
      </c>
      <c r="P72" s="83">
        <f t="shared" si="73"/>
        <v>3.864675722680095E-2</v>
      </c>
      <c r="Q72" s="83">
        <f t="shared" si="73"/>
        <v>3.1359341183885517E-2</v>
      </c>
      <c r="R72" s="83">
        <f t="shared" si="73"/>
        <v>3.0983649064158483E-2</v>
      </c>
      <c r="S72" s="83">
        <f t="shared" si="73"/>
        <v>2.8658860396763224E-2</v>
      </c>
      <c r="T72" s="83">
        <f t="shared" ref="T72:Y72" si="74">T30/T$23</f>
        <v>3.0169273320176285E-2</v>
      </c>
      <c r="U72" s="83">
        <f t="shared" si="74"/>
        <v>2.5406823271504904E-2</v>
      </c>
      <c r="V72" s="83">
        <f t="shared" si="74"/>
        <v>2.352286225153306E-2</v>
      </c>
      <c r="W72" s="83">
        <f t="shared" si="74"/>
        <v>2.3674389862202359E-2</v>
      </c>
      <c r="X72" s="83">
        <f t="shared" si="74"/>
        <v>2.0772857594163346E-2</v>
      </c>
      <c r="Y72" s="83">
        <f t="shared" si="74"/>
        <v>2.1182622815722911E-2</v>
      </c>
      <c r="Z72" s="83">
        <f t="shared" ref="Z72:AA72" si="75">Z30/Z$23</f>
        <v>2.5153543516586371E-2</v>
      </c>
      <c r="AA72" s="83">
        <f t="shared" si="75"/>
        <v>3.4286537954280716E-2</v>
      </c>
    </row>
    <row r="73" spans="1:27" x14ac:dyDescent="0.25">
      <c r="A73" s="64" t="s">
        <v>37</v>
      </c>
      <c r="B73" s="65"/>
      <c r="C73" s="65"/>
      <c r="D73" s="83">
        <f t="shared" si="51"/>
        <v>5.0688852613433193E-2</v>
      </c>
      <c r="E73" s="83">
        <f t="shared" ref="E73:S73" si="76">E31/E$23</f>
        <v>5.4032919749923927E-2</v>
      </c>
      <c r="F73" s="83">
        <f t="shared" si="76"/>
        <v>5.7792440144862185E-2</v>
      </c>
      <c r="G73" s="83">
        <f t="shared" si="76"/>
        <v>5.4413415931882453E-2</v>
      </c>
      <c r="H73" s="83">
        <f t="shared" si="76"/>
        <v>5.3441564235840011E-2</v>
      </c>
      <c r="I73" s="83">
        <f t="shared" si="76"/>
        <v>5.7510973721730384E-2</v>
      </c>
      <c r="J73" s="83">
        <f t="shared" si="76"/>
        <v>5.3346648096076525E-2</v>
      </c>
      <c r="K73" s="83">
        <f t="shared" si="76"/>
        <v>4.9116725763622783E-2</v>
      </c>
      <c r="L73" s="83">
        <f t="shared" si="76"/>
        <v>4.8898524538203959E-2</v>
      </c>
      <c r="M73" s="83">
        <f t="shared" si="76"/>
        <v>4.8473867005295018E-2</v>
      </c>
      <c r="N73" s="83">
        <f t="shared" si="76"/>
        <v>4.149376611141227E-2</v>
      </c>
      <c r="O73" s="83">
        <f t="shared" si="76"/>
        <v>4.0370802367824143E-2</v>
      </c>
      <c r="P73" s="83">
        <f t="shared" si="76"/>
        <v>3.8523125644162153E-2</v>
      </c>
      <c r="Q73" s="83">
        <f t="shared" si="76"/>
        <v>4.0460003429402966E-2</v>
      </c>
      <c r="R73" s="83">
        <f t="shared" si="76"/>
        <v>4.1854968211768713E-2</v>
      </c>
      <c r="S73" s="83">
        <f t="shared" si="76"/>
        <v>4.2128619425939463E-2</v>
      </c>
      <c r="T73" s="83">
        <f t="shared" ref="T73:Y73" si="77">T31/T$23</f>
        <v>3.5673612016374576E-2</v>
      </c>
      <c r="U73" s="83">
        <f t="shared" si="77"/>
        <v>4.2542368641229275E-2</v>
      </c>
      <c r="V73" s="83">
        <f t="shared" si="77"/>
        <v>5.056055666686015E-2</v>
      </c>
      <c r="W73" s="83">
        <f t="shared" si="77"/>
        <v>5.7724934391627812E-2</v>
      </c>
      <c r="X73" s="83">
        <f t="shared" si="77"/>
        <v>5.70348842655077E-2</v>
      </c>
      <c r="Y73" s="83">
        <f t="shared" si="77"/>
        <v>6.1330745801671492E-2</v>
      </c>
      <c r="Z73" s="83">
        <f t="shared" ref="Z73:AA73" si="78">Z31/Z$23</f>
        <v>6.4018948378884097E-2</v>
      </c>
      <c r="AA73" s="83">
        <f t="shared" si="78"/>
        <v>6.1305868155005751E-2</v>
      </c>
    </row>
    <row r="74" spans="1:27" x14ac:dyDescent="0.25">
      <c r="A74" s="64" t="s">
        <v>58</v>
      </c>
      <c r="B74" s="65"/>
      <c r="C74" s="65"/>
      <c r="D74" s="83">
        <f t="shared" si="51"/>
        <v>0.20916382026273792</v>
      </c>
      <c r="E74" s="83">
        <f t="shared" ref="E74:S74" si="79">E32/E$23</f>
        <v>0.20721607389802044</v>
      </c>
      <c r="F74" s="83">
        <f t="shared" si="79"/>
        <v>0.19713484795727942</v>
      </c>
      <c r="G74" s="83">
        <f t="shared" si="79"/>
        <v>0.20086367069311431</v>
      </c>
      <c r="H74" s="83">
        <f t="shared" si="79"/>
        <v>0.20112460124478554</v>
      </c>
      <c r="I74" s="83">
        <f t="shared" si="79"/>
        <v>0.19950366385851612</v>
      </c>
      <c r="J74" s="83">
        <f t="shared" si="79"/>
        <v>0.20428149710992061</v>
      </c>
      <c r="K74" s="83">
        <f t="shared" si="79"/>
        <v>0.20283960684812954</v>
      </c>
      <c r="L74" s="83">
        <f t="shared" si="79"/>
        <v>0.19317057183577804</v>
      </c>
      <c r="M74" s="83">
        <f t="shared" si="79"/>
        <v>0.18384503516093778</v>
      </c>
      <c r="N74" s="83">
        <f t="shared" si="79"/>
        <v>0.19492885531744661</v>
      </c>
      <c r="O74" s="83">
        <f t="shared" si="79"/>
        <v>0.19990041861065522</v>
      </c>
      <c r="P74" s="83">
        <f t="shared" si="79"/>
        <v>0.20144696502296106</v>
      </c>
      <c r="Q74" s="83">
        <f t="shared" si="79"/>
        <v>0.20690422233653574</v>
      </c>
      <c r="R74" s="83">
        <f t="shared" si="79"/>
        <v>0.21474666788337007</v>
      </c>
      <c r="S74" s="83">
        <f t="shared" si="79"/>
        <v>0.22678914132783701</v>
      </c>
      <c r="T74" s="83">
        <f t="shared" ref="T74:Y74" si="80">T32/T$23</f>
        <v>0.21798272605733932</v>
      </c>
      <c r="U74" s="83">
        <f t="shared" si="80"/>
        <v>0.21194929568590828</v>
      </c>
      <c r="V74" s="83">
        <f t="shared" si="80"/>
        <v>0.20374963505989352</v>
      </c>
      <c r="W74" s="83">
        <f t="shared" si="80"/>
        <v>0.19147131288973779</v>
      </c>
      <c r="X74" s="83">
        <f t="shared" si="80"/>
        <v>0.19317437704844051</v>
      </c>
      <c r="Y74" s="83">
        <f t="shared" si="80"/>
        <v>0.18169742787877499</v>
      </c>
      <c r="Z74" s="83">
        <f t="shared" ref="Z74:AA74" si="81">Z32/Z$23</f>
        <v>0.17851404086005054</v>
      </c>
      <c r="AA74" s="83">
        <f t="shared" si="81"/>
        <v>0.18323482657441575</v>
      </c>
    </row>
    <row r="75" spans="1:27" x14ac:dyDescent="0.25">
      <c r="A75" s="85" t="s">
        <v>158</v>
      </c>
      <c r="B75" s="86"/>
      <c r="C75" s="86"/>
      <c r="D75" s="87">
        <f t="shared" si="51"/>
        <v>6.7856440646190848E-3</v>
      </c>
      <c r="E75" s="87">
        <f t="shared" ref="E75:S75" si="82">E33/E$23</f>
        <v>5.9475887997349789E-3</v>
      </c>
      <c r="F75" s="87">
        <f t="shared" si="82"/>
        <v>4.5987487424042827E-3</v>
      </c>
      <c r="G75" s="87">
        <f t="shared" si="82"/>
        <v>6.1856243310490534E-3</v>
      </c>
      <c r="H75" s="87">
        <f t="shared" si="82"/>
        <v>7.2249983269011987E-3</v>
      </c>
      <c r="I75" s="87">
        <f t="shared" si="82"/>
        <v>6.6416203105033999E-3</v>
      </c>
      <c r="J75" s="87">
        <f t="shared" si="82"/>
        <v>7.8649702858043843E-3</v>
      </c>
      <c r="K75" s="87">
        <f t="shared" si="82"/>
        <v>7.4641613494549541E-3</v>
      </c>
      <c r="L75" s="87">
        <f t="shared" si="82"/>
        <v>7.7319976627201721E-3</v>
      </c>
      <c r="M75" s="87">
        <f t="shared" si="82"/>
        <v>3.4681158896533505E-3</v>
      </c>
      <c r="N75" s="87">
        <f t="shared" si="82"/>
        <v>4.9390577324126697E-3</v>
      </c>
      <c r="O75" s="87">
        <f t="shared" si="82"/>
        <v>5.2533793128884138E-3</v>
      </c>
      <c r="P75" s="87">
        <f t="shared" si="82"/>
        <v>4.6813574272267658E-3</v>
      </c>
      <c r="Q75" s="87">
        <f t="shared" si="82"/>
        <v>4.9065951126373505E-3</v>
      </c>
      <c r="R75" s="87">
        <f t="shared" si="82"/>
        <v>5.3071267289336891E-3</v>
      </c>
      <c r="S75" s="87">
        <f t="shared" si="82"/>
        <v>6.0213787337858654E-3</v>
      </c>
      <c r="T75" s="87">
        <f t="shared" ref="T75:Y75" si="83">T33/T$23</f>
        <v>6.2309073619898478E-3</v>
      </c>
      <c r="U75" s="87">
        <f t="shared" si="83"/>
        <v>6.6831777198995256E-3</v>
      </c>
      <c r="V75" s="87">
        <f t="shared" si="83"/>
        <v>6.8301194058038688E-3</v>
      </c>
      <c r="W75" s="87">
        <f t="shared" si="83"/>
        <v>5.4605426835629958E-3</v>
      </c>
      <c r="X75" s="87">
        <f t="shared" si="83"/>
        <v>4.9388224655112665E-3</v>
      </c>
      <c r="Y75" s="87">
        <f t="shared" si="83"/>
        <v>5.117432859874955E-3</v>
      </c>
      <c r="Z75" s="87">
        <f t="shared" ref="Z75:AA75" si="84">Z33/Z$23</f>
        <v>3.1239783248353148E-3</v>
      </c>
      <c r="AA75" s="87">
        <f t="shared" si="84"/>
        <v>3.3100138423004834E-3</v>
      </c>
    </row>
    <row r="76" spans="1:27" x14ac:dyDescent="0.25">
      <c r="A76" s="88" t="s">
        <v>5</v>
      </c>
      <c r="B76" s="44"/>
      <c r="C76" s="44"/>
      <c r="D76" s="89">
        <f t="shared" si="51"/>
        <v>3.5567880462711284E-3</v>
      </c>
      <c r="E76" s="89">
        <f t="shared" ref="E76:S76" si="85">E34/E$23</f>
        <v>3.1175099291360971E-3</v>
      </c>
      <c r="F76" s="89">
        <f t="shared" si="85"/>
        <v>2.4104969843722762E-3</v>
      </c>
      <c r="G76" s="89">
        <f t="shared" si="85"/>
        <v>3.2422795050677557E-3</v>
      </c>
      <c r="H76" s="89">
        <f t="shared" si="85"/>
        <v>3.7870815855847052E-3</v>
      </c>
      <c r="I76" s="89">
        <f t="shared" si="85"/>
        <v>3.4812960278069217E-3</v>
      </c>
      <c r="J76" s="89">
        <f t="shared" si="85"/>
        <v>4.1225316315492587E-3</v>
      </c>
      <c r="K76" s="89">
        <f t="shared" si="85"/>
        <v>4.2505189673154118E-3</v>
      </c>
      <c r="L76" s="89">
        <f t="shared" si="85"/>
        <v>4.4030402321126646E-3</v>
      </c>
      <c r="M76" s="89">
        <f t="shared" si="85"/>
        <v>1.6136515710897324E-3</v>
      </c>
      <c r="N76" s="89">
        <f t="shared" si="85"/>
        <v>2.191467065794637E-3</v>
      </c>
      <c r="O76" s="89">
        <f t="shared" si="85"/>
        <v>2.3693372251041428E-3</v>
      </c>
      <c r="P76" s="89">
        <f t="shared" si="85"/>
        <v>1.7642846022336955E-3</v>
      </c>
      <c r="Q76" s="89">
        <f t="shared" si="85"/>
        <v>1.9871240270234723E-3</v>
      </c>
      <c r="R76" s="89">
        <f t="shared" si="85"/>
        <v>3.4629300857013773E-3</v>
      </c>
      <c r="S76" s="89">
        <f t="shared" si="85"/>
        <v>3.6410909827932292E-3</v>
      </c>
      <c r="T76" s="89">
        <f t="shared" ref="T76:Y76" si="86">T34/T$23</f>
        <v>3.7307232991522659E-3</v>
      </c>
      <c r="U76" s="89">
        <f t="shared" si="86"/>
        <v>3.6173377447108251E-3</v>
      </c>
      <c r="V76" s="89">
        <f t="shared" si="86"/>
        <v>3.755493349981035E-3</v>
      </c>
      <c r="W76" s="89">
        <f t="shared" si="86"/>
        <v>2.43975130782886E-3</v>
      </c>
      <c r="X76" s="89">
        <f t="shared" si="86"/>
        <v>2.1819714386587864E-3</v>
      </c>
      <c r="Y76" s="89">
        <f t="shared" si="86"/>
        <v>2.3830487116625887E-3</v>
      </c>
      <c r="Z76" s="89">
        <f t="shared" ref="Z76:AA76" si="87">Z34/Z$23</f>
        <v>8.7239887785571599E-4</v>
      </c>
      <c r="AA76" s="89">
        <f t="shared" si="87"/>
        <v>6.5993297028948831E-4</v>
      </c>
    </row>
    <row r="77" spans="1:27" x14ac:dyDescent="0.25">
      <c r="A77" s="88" t="s">
        <v>263</v>
      </c>
      <c r="B77" s="44"/>
      <c r="C77" s="44"/>
      <c r="D77" s="89">
        <f>D37/D$23</f>
        <v>3.2288560183479555E-3</v>
      </c>
      <c r="E77" s="89">
        <f t="shared" ref="E77:S77" si="88">E37/E$23</f>
        <v>2.8300788705988818E-3</v>
      </c>
      <c r="F77" s="89">
        <f t="shared" si="88"/>
        <v>2.1882517580320061E-3</v>
      </c>
      <c r="G77" s="89">
        <f t="shared" si="88"/>
        <v>2.9433448259812982E-3</v>
      </c>
      <c r="H77" s="89">
        <f t="shared" si="88"/>
        <v>3.4379167413164935E-3</v>
      </c>
      <c r="I77" s="89">
        <f t="shared" si="88"/>
        <v>3.1603242826964786E-3</v>
      </c>
      <c r="J77" s="89">
        <f t="shared" si="88"/>
        <v>3.7424386542551265E-3</v>
      </c>
      <c r="K77" s="89">
        <f t="shared" si="88"/>
        <v>3.2136423821395427E-3</v>
      </c>
      <c r="L77" s="89">
        <f t="shared" si="88"/>
        <v>3.3289574306075084E-3</v>
      </c>
      <c r="M77" s="89">
        <f t="shared" si="88"/>
        <v>1.8544643185636185E-3</v>
      </c>
      <c r="N77" s="89">
        <f t="shared" si="88"/>
        <v>2.7475906666180336E-3</v>
      </c>
      <c r="O77" s="89">
        <f t="shared" si="88"/>
        <v>2.8840420877842706E-3</v>
      </c>
      <c r="P77" s="89">
        <f t="shared" si="88"/>
        <v>2.9170728249930697E-3</v>
      </c>
      <c r="Q77" s="89">
        <f t="shared" si="88"/>
        <v>2.9194710856138778E-3</v>
      </c>
      <c r="R77" s="89">
        <f t="shared" si="88"/>
        <v>1.844196643232312E-3</v>
      </c>
      <c r="S77" s="89">
        <f t="shared" si="88"/>
        <v>2.3802877509926362E-3</v>
      </c>
      <c r="T77" s="89">
        <f t="shared" ref="T77:Y77" si="89">T37/T$23</f>
        <v>2.5001840628375814E-3</v>
      </c>
      <c r="U77" s="89">
        <f t="shared" si="89"/>
        <v>3.0658399751887027E-3</v>
      </c>
      <c r="V77" s="89">
        <f t="shared" si="89"/>
        <v>3.0746260558228338E-3</v>
      </c>
      <c r="W77" s="89">
        <f t="shared" si="89"/>
        <v>3.0207913757341362E-3</v>
      </c>
      <c r="X77" s="89">
        <f t="shared" si="89"/>
        <v>2.7568510268524814E-3</v>
      </c>
      <c r="Y77" s="89">
        <f t="shared" si="89"/>
        <v>2.7343841482123663E-3</v>
      </c>
      <c r="Z77" s="89">
        <f t="shared" ref="Z77:AA77" si="90">Z37/Z$23</f>
        <v>2.2515794469795988E-3</v>
      </c>
      <c r="AA77" s="89">
        <f t="shared" si="90"/>
        <v>2.6500808720109946E-3</v>
      </c>
    </row>
    <row r="78" spans="1:27" x14ac:dyDescent="0.25">
      <c r="A78" s="68" t="s">
        <v>265</v>
      </c>
      <c r="B78" s="44"/>
      <c r="C78" s="44"/>
      <c r="D78" s="89">
        <f>D43/D$23</f>
        <v>2.2126503792918969E-2</v>
      </c>
      <c r="E78" s="89">
        <f t="shared" ref="E78:S78" si="91">E43/E$23</f>
        <v>2.4019553083385659E-2</v>
      </c>
      <c r="F78" s="89">
        <f t="shared" si="91"/>
        <v>2.1779070718999764E-2</v>
      </c>
      <c r="G78" s="89">
        <f t="shared" si="91"/>
        <v>2.2254347312380979E-2</v>
      </c>
      <c r="H78" s="89">
        <f t="shared" si="91"/>
        <v>2.1557878064559305E-2</v>
      </c>
      <c r="I78" s="89">
        <f t="shared" si="91"/>
        <v>2.1062404195137129E-2</v>
      </c>
      <c r="J78" s="89">
        <f t="shared" si="91"/>
        <v>2.2872860283839704E-2</v>
      </c>
      <c r="K78" s="89">
        <f t="shared" si="91"/>
        <v>2.2499244725000398E-2</v>
      </c>
      <c r="L78" s="89">
        <f t="shared" si="91"/>
        <v>2.0561162775153248E-2</v>
      </c>
      <c r="M78" s="89">
        <f t="shared" si="91"/>
        <v>1.9492730415363889E-2</v>
      </c>
      <c r="N78" s="89">
        <f t="shared" si="91"/>
        <v>2.2310385395633556E-2</v>
      </c>
      <c r="O78" s="89">
        <f t="shared" si="91"/>
        <v>2.2861074741365003E-2</v>
      </c>
      <c r="P78" s="89">
        <f t="shared" si="91"/>
        <v>2.4949804388683435E-2</v>
      </c>
      <c r="Q78" s="89">
        <f t="shared" si="91"/>
        <v>2.2971206918125323E-2</v>
      </c>
      <c r="R78" s="89">
        <f t="shared" si="91"/>
        <v>2.5734389936379026E-2</v>
      </c>
      <c r="S78" s="89">
        <f t="shared" si="91"/>
        <v>2.8608384291415382E-2</v>
      </c>
      <c r="T78" s="89">
        <f t="shared" ref="T78:Y78" si="92">T43/T$23</f>
        <v>2.7081103858898142E-2</v>
      </c>
      <c r="U78" s="89">
        <f t="shared" si="92"/>
        <v>2.9952458914625255E-2</v>
      </c>
      <c r="V78" s="89">
        <f t="shared" si="92"/>
        <v>2.6165664182330576E-2</v>
      </c>
      <c r="W78" s="89">
        <f t="shared" si="92"/>
        <v>2.3174401900435782E-2</v>
      </c>
      <c r="X78" s="89">
        <f t="shared" si="92"/>
        <v>2.5635894680462446E-2</v>
      </c>
      <c r="Y78" s="89">
        <f t="shared" si="92"/>
        <v>2.6515598687853355E-2</v>
      </c>
      <c r="Z78" s="89">
        <f t="shared" ref="Z78:AA78" si="93">Z43/Z$23</f>
        <v>2.2693535709068648E-2</v>
      </c>
      <c r="AA78" s="89">
        <f t="shared" si="93"/>
        <v>2.1010884763432051E-2</v>
      </c>
    </row>
    <row r="79" spans="1:27" x14ac:dyDescent="0.25">
      <c r="A79" s="88" t="s">
        <v>266</v>
      </c>
      <c r="B79" s="44"/>
      <c r="C79" s="44"/>
      <c r="D79" s="89">
        <f>D44/D$23</f>
        <v>9.6526244072849647E-3</v>
      </c>
      <c r="E79" s="89">
        <f t="shared" ref="E79:S79" si="94">E44/E$23</f>
        <v>1.0385168007827399E-2</v>
      </c>
      <c r="F79" s="89">
        <f t="shared" si="94"/>
        <v>8.927926728100985E-3</v>
      </c>
      <c r="G79" s="89">
        <f t="shared" si="94"/>
        <v>8.0698844268992029E-3</v>
      </c>
      <c r="H79" s="89">
        <f t="shared" si="94"/>
        <v>8.02250875588373E-3</v>
      </c>
      <c r="I79" s="89">
        <f t="shared" si="94"/>
        <v>7.3251664868532124E-3</v>
      </c>
      <c r="J79" s="89">
        <f t="shared" si="94"/>
        <v>8.2303754287566342E-3</v>
      </c>
      <c r="K79" s="89">
        <f t="shared" si="94"/>
        <v>9.3392877018515022E-3</v>
      </c>
      <c r="L79" s="89">
        <f t="shared" si="94"/>
        <v>7.9400673153840022E-3</v>
      </c>
      <c r="M79" s="89">
        <f t="shared" si="94"/>
        <v>5.3934622962341717E-3</v>
      </c>
      <c r="N79" s="89">
        <f t="shared" si="94"/>
        <v>5.906038362027132E-3</v>
      </c>
      <c r="O79" s="89">
        <f t="shared" si="94"/>
        <v>6.4093993766942674E-3</v>
      </c>
      <c r="P79" s="89">
        <f t="shared" si="94"/>
        <v>7.5510366627080799E-3</v>
      </c>
      <c r="Q79" s="89">
        <f t="shared" si="94"/>
        <v>8.3220950871485452E-3</v>
      </c>
      <c r="R79" s="89">
        <f t="shared" si="94"/>
        <v>1.0419506723213699E-2</v>
      </c>
      <c r="S79" s="89">
        <f t="shared" si="94"/>
        <v>1.3298350588099205E-2</v>
      </c>
      <c r="T79" s="89">
        <f t="shared" ref="T79:Y79" si="95">T44/T$23</f>
        <v>1.2886235919574204E-2</v>
      </c>
      <c r="U79" s="89">
        <f t="shared" si="95"/>
        <v>1.4648695376627132E-2</v>
      </c>
      <c r="V79" s="89">
        <f t="shared" si="95"/>
        <v>1.2967177481744332E-2</v>
      </c>
      <c r="W79" s="89">
        <f t="shared" si="95"/>
        <v>1.0085631967127598E-2</v>
      </c>
      <c r="X79" s="89">
        <f t="shared" si="95"/>
        <v>1.177398245355591E-2</v>
      </c>
      <c r="Y79" s="89">
        <f t="shared" si="95"/>
        <v>1.4480986897574421E-2</v>
      </c>
      <c r="Z79" s="89">
        <f t="shared" ref="Z79:AA79" si="96">Z44/Z$23</f>
        <v>9.0018711871952348E-3</v>
      </c>
      <c r="AA79" s="89">
        <f t="shared" si="96"/>
        <v>7.4790439708961546E-3</v>
      </c>
    </row>
    <row r="80" spans="1:27" x14ac:dyDescent="0.25">
      <c r="A80" s="88" t="s">
        <v>11</v>
      </c>
      <c r="B80" s="44"/>
      <c r="C80" s="44"/>
      <c r="D80" s="89">
        <f>D47/D$23</f>
        <v>1.2473879385634004E-2</v>
      </c>
      <c r="E80" s="89">
        <f t="shared" ref="E80:S80" si="97">E47/E$23</f>
        <v>1.3634385075558262E-2</v>
      </c>
      <c r="F80" s="89">
        <f t="shared" si="97"/>
        <v>1.2851143990898777E-2</v>
      </c>
      <c r="G80" s="89">
        <f t="shared" si="97"/>
        <v>1.4184462885481775E-2</v>
      </c>
      <c r="H80" s="89">
        <f t="shared" si="97"/>
        <v>1.3535369308675573E-2</v>
      </c>
      <c r="I80" s="89">
        <f t="shared" si="97"/>
        <v>1.3737237708283915E-2</v>
      </c>
      <c r="J80" s="89">
        <f t="shared" si="97"/>
        <v>1.4642484855083071E-2</v>
      </c>
      <c r="K80" s="89">
        <f t="shared" si="97"/>
        <v>1.3159957023148896E-2</v>
      </c>
      <c r="L80" s="89">
        <f t="shared" si="97"/>
        <v>1.2621095459769248E-2</v>
      </c>
      <c r="M80" s="89">
        <f t="shared" si="97"/>
        <v>1.409926811912972E-2</v>
      </c>
      <c r="N80" s="89">
        <f t="shared" si="97"/>
        <v>1.6404347033606423E-2</v>
      </c>
      <c r="O80" s="89">
        <f t="shared" si="97"/>
        <v>1.6451675364670737E-2</v>
      </c>
      <c r="P80" s="89">
        <f t="shared" si="97"/>
        <v>1.7398767725975355E-2</v>
      </c>
      <c r="Q80" s="89">
        <f t="shared" si="97"/>
        <v>1.464911183097678E-2</v>
      </c>
      <c r="R80" s="89">
        <f t="shared" si="97"/>
        <v>1.5314883213165324E-2</v>
      </c>
      <c r="S80" s="89">
        <f t="shared" si="97"/>
        <v>1.5310033703316177E-2</v>
      </c>
      <c r="T80" s="89">
        <f t="shared" ref="T80:Y80" si="98">T47/T$23</f>
        <v>1.4194867939323938E-2</v>
      </c>
      <c r="U80" s="89">
        <f t="shared" si="98"/>
        <v>1.5303763537998123E-2</v>
      </c>
      <c r="V80" s="89">
        <f t="shared" si="98"/>
        <v>1.3198486700586244E-2</v>
      </c>
      <c r="W80" s="89">
        <f t="shared" si="98"/>
        <v>1.3088769933308186E-2</v>
      </c>
      <c r="X80" s="89">
        <f t="shared" si="98"/>
        <v>1.3861912226906536E-2</v>
      </c>
      <c r="Y80" s="89">
        <f t="shared" si="98"/>
        <v>1.2034611790278935E-2</v>
      </c>
      <c r="Z80" s="89">
        <f t="shared" ref="Z80:AA80" si="99">Z47/Z$23</f>
        <v>1.3691664521873412E-2</v>
      </c>
      <c r="AA80" s="89">
        <f t="shared" si="99"/>
        <v>1.3531840792535898E-2</v>
      </c>
    </row>
    <row r="81" spans="1:27" x14ac:dyDescent="0.25">
      <c r="A81" s="68" t="s">
        <v>4</v>
      </c>
      <c r="B81" s="44"/>
      <c r="C81" s="44"/>
      <c r="D81" s="89">
        <f>D48/D$23</f>
        <v>1.0864346561681228E-2</v>
      </c>
      <c r="E81" s="89">
        <f t="shared" ref="E81:S81" si="100">E48/E$23</f>
        <v>1.0712593557035606E-2</v>
      </c>
      <c r="F81" s="89">
        <f t="shared" si="100"/>
        <v>1.0071997856270651E-2</v>
      </c>
      <c r="G81" s="89">
        <f t="shared" si="100"/>
        <v>9.8568425669800404E-3</v>
      </c>
      <c r="H81" s="89">
        <f t="shared" si="100"/>
        <v>8.8618466549177967E-3</v>
      </c>
      <c r="I81" s="89">
        <f t="shared" si="100"/>
        <v>9.0008748370839081E-3</v>
      </c>
      <c r="J81" s="89">
        <f t="shared" si="100"/>
        <v>9.6819849007587153E-3</v>
      </c>
      <c r="K81" s="89">
        <f t="shared" si="100"/>
        <v>1.1040644016745526E-2</v>
      </c>
      <c r="L81" s="89">
        <f t="shared" si="100"/>
        <v>1.0287049874187937E-2</v>
      </c>
      <c r="M81" s="89">
        <f t="shared" si="100"/>
        <v>7.6640002592052101E-3</v>
      </c>
      <c r="N81" s="89">
        <f t="shared" si="100"/>
        <v>7.2624151080958868E-3</v>
      </c>
      <c r="O81" s="89">
        <f t="shared" si="100"/>
        <v>6.7298117174101448E-3</v>
      </c>
      <c r="P81" s="89">
        <f t="shared" si="100"/>
        <v>6.4942243841898985E-3</v>
      </c>
      <c r="Q81" s="89">
        <f t="shared" si="100"/>
        <v>6.8900876351486008E-3</v>
      </c>
      <c r="R81" s="89">
        <f t="shared" si="100"/>
        <v>7.0631858562680049E-3</v>
      </c>
      <c r="S81" s="89">
        <f t="shared" si="100"/>
        <v>7.5377650652771692E-3</v>
      </c>
      <c r="T81" s="89">
        <f t="shared" ref="T81:Y81" si="101">T48/T$23</f>
        <v>7.5536867549260648E-3</v>
      </c>
      <c r="U81" s="89">
        <f t="shared" si="101"/>
        <v>7.5439391370334041E-3</v>
      </c>
      <c r="V81" s="89">
        <f t="shared" si="101"/>
        <v>7.5838236020303222E-3</v>
      </c>
      <c r="W81" s="89">
        <f t="shared" si="101"/>
        <v>7.8665842716467496E-3</v>
      </c>
      <c r="X81" s="89">
        <f t="shared" si="101"/>
        <v>7.482316035249569E-3</v>
      </c>
      <c r="Y81" s="89">
        <f t="shared" si="101"/>
        <v>7.665867202655368E-3</v>
      </c>
      <c r="Z81" s="89">
        <f t="shared" ref="Z81:AA81" si="102">Z48/Z$23</f>
        <v>6.3133438602104922E-3</v>
      </c>
      <c r="AA81" s="89">
        <f t="shared" si="102"/>
        <v>5.9734311864929023E-3</v>
      </c>
    </row>
    <row r="82" spans="1:27" x14ac:dyDescent="0.25">
      <c r="A82" s="68" t="s">
        <v>3</v>
      </c>
      <c r="B82" s="44"/>
      <c r="C82" s="44"/>
      <c r="D82" s="89">
        <f>D52/D$23</f>
        <v>8.1711226034193417E-3</v>
      </c>
      <c r="E82" s="89">
        <f t="shared" ref="E82:S82" si="103">E52/E$23</f>
        <v>9.158285214617817E-3</v>
      </c>
      <c r="F82" s="89">
        <f t="shared" si="103"/>
        <v>9.0065515321406976E-3</v>
      </c>
      <c r="G82" s="89">
        <f t="shared" si="103"/>
        <v>8.3679681961607421E-3</v>
      </c>
      <c r="H82" s="89">
        <f t="shared" si="103"/>
        <v>7.7255337185178569E-3</v>
      </c>
      <c r="I82" s="89">
        <f t="shared" si="103"/>
        <v>7.292009396209379E-3</v>
      </c>
      <c r="J82" s="89">
        <f t="shared" si="103"/>
        <v>6.7687548569476414E-3</v>
      </c>
      <c r="K82" s="89">
        <f t="shared" si="103"/>
        <v>7.0734627030440422E-3</v>
      </c>
      <c r="L82" s="89">
        <f t="shared" si="103"/>
        <v>6.4555496380881757E-3</v>
      </c>
      <c r="M82" s="89">
        <f t="shared" si="103"/>
        <v>6.345542978841128E-3</v>
      </c>
      <c r="N82" s="89">
        <f t="shared" si="103"/>
        <v>6.499009347873945E-3</v>
      </c>
      <c r="O82" s="89">
        <f t="shared" si="103"/>
        <v>6.4992992420749808E-3</v>
      </c>
      <c r="P82" s="89">
        <f t="shared" si="103"/>
        <v>6.5869480711689974E-3</v>
      </c>
      <c r="Q82" s="89">
        <f t="shared" si="103"/>
        <v>6.7556921137634932E-3</v>
      </c>
      <c r="R82" s="89">
        <f t="shared" si="103"/>
        <v>6.741575534468503E-3</v>
      </c>
      <c r="S82" s="89">
        <f t="shared" si="103"/>
        <v>6.6344530966564843E-3</v>
      </c>
      <c r="T82" s="89">
        <f t="shared" ref="T82:Y82" si="104">T52/T$23</f>
        <v>6.7836654429188851E-3</v>
      </c>
      <c r="U82" s="89">
        <f t="shared" si="104"/>
        <v>6.6285114942688491E-3</v>
      </c>
      <c r="V82" s="89">
        <f t="shared" si="104"/>
        <v>6.4844550675344954E-3</v>
      </c>
      <c r="W82" s="89">
        <f t="shared" si="104"/>
        <v>6.5158944808712468E-3</v>
      </c>
      <c r="X82" s="89">
        <f t="shared" si="104"/>
        <v>6.5396821612287116E-3</v>
      </c>
      <c r="Y82" s="89">
        <f t="shared" si="104"/>
        <v>6.2149504593808054E-3</v>
      </c>
      <c r="Z82" s="89">
        <f t="shared" ref="Z82:AA82" si="105">Z52/Z$23</f>
        <v>7.179376595552278E-3</v>
      </c>
      <c r="AA82" s="89">
        <f t="shared" si="105"/>
        <v>6.9421587919616633E-3</v>
      </c>
    </row>
    <row r="83" spans="1:27" x14ac:dyDescent="0.25">
      <c r="A83" s="88" t="s">
        <v>21</v>
      </c>
      <c r="B83" s="44"/>
      <c r="C83" s="44"/>
      <c r="D83" s="89">
        <f>D53/D$23</f>
        <v>3.5345706616917464E-3</v>
      </c>
      <c r="E83" s="89">
        <f t="shared" ref="E83:S83" si="106">E53/E$23</f>
        <v>4.2045292583618712E-3</v>
      </c>
      <c r="F83" s="89">
        <f t="shared" si="106"/>
        <v>4.0002374789999571E-3</v>
      </c>
      <c r="G83" s="89">
        <f t="shared" si="106"/>
        <v>3.8210323583059576E-3</v>
      </c>
      <c r="H83" s="89">
        <f t="shared" si="106"/>
        <v>3.3029758850692667E-3</v>
      </c>
      <c r="I83" s="89">
        <f t="shared" si="106"/>
        <v>3.0160199758718399E-3</v>
      </c>
      <c r="J83" s="89">
        <f t="shared" si="106"/>
        <v>2.8318898578799244E-3</v>
      </c>
      <c r="K83" s="89">
        <f t="shared" si="106"/>
        <v>3.0960596224306461E-3</v>
      </c>
      <c r="L83" s="89">
        <f t="shared" si="106"/>
        <v>2.958254543572804E-3</v>
      </c>
      <c r="M83" s="89">
        <f t="shared" si="106"/>
        <v>3.1814947417481147E-3</v>
      </c>
      <c r="N83" s="89">
        <f t="shared" si="106"/>
        <v>3.4619563544948623E-3</v>
      </c>
      <c r="O83" s="89">
        <f t="shared" si="106"/>
        <v>3.3942961993103067E-3</v>
      </c>
      <c r="P83" s="89">
        <f t="shared" si="106"/>
        <v>3.5496529399946992E-3</v>
      </c>
      <c r="Q83" s="89">
        <f t="shared" si="106"/>
        <v>3.6727051964723493E-3</v>
      </c>
      <c r="R83" s="89">
        <f t="shared" si="106"/>
        <v>3.8849191467199644E-3</v>
      </c>
      <c r="S83" s="89">
        <f t="shared" si="106"/>
        <v>3.8477514472445829E-3</v>
      </c>
      <c r="T83" s="89">
        <f t="shared" ref="T83:Y83" si="107">T53/T$23</f>
        <v>4.2179382628844669E-3</v>
      </c>
      <c r="U83" s="89">
        <f t="shared" si="107"/>
        <v>3.9971202944193195E-3</v>
      </c>
      <c r="V83" s="89">
        <f t="shared" si="107"/>
        <v>4.0292853064933789E-3</v>
      </c>
      <c r="W83" s="89">
        <f t="shared" si="107"/>
        <v>4.1909103312119294E-3</v>
      </c>
      <c r="X83" s="89">
        <f t="shared" si="107"/>
        <v>4.3299848684697911E-3</v>
      </c>
      <c r="Y83" s="89">
        <f t="shared" si="107"/>
        <v>3.8127502450564111E-3</v>
      </c>
      <c r="Z83" s="89">
        <f t="shared" ref="Z83:AA83" si="108">Z53/Z$23</f>
        <v>4.7934390194700853E-3</v>
      </c>
      <c r="AA83" s="89">
        <f t="shared" si="108"/>
        <v>4.4176313092762088E-3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4.6365519417275944E-3</v>
      </c>
      <c r="E84" s="89">
        <f t="shared" ref="E84:S84" si="110">E56/E$23</f>
        <v>4.9537559562559457E-3</v>
      </c>
      <c r="F84" s="89">
        <f t="shared" si="110"/>
        <v>5.0063140531407405E-3</v>
      </c>
      <c r="G84" s="89">
        <f t="shared" si="110"/>
        <v>4.546935837854784E-3</v>
      </c>
      <c r="H84" s="89">
        <f t="shared" si="110"/>
        <v>4.4225578334485902E-3</v>
      </c>
      <c r="I84" s="89">
        <f t="shared" si="110"/>
        <v>4.2759894203375391E-3</v>
      </c>
      <c r="J84" s="89">
        <f t="shared" si="110"/>
        <v>3.9368649990677166E-3</v>
      </c>
      <c r="K84" s="89">
        <f t="shared" si="110"/>
        <v>3.9774030806133962E-3</v>
      </c>
      <c r="L84" s="89">
        <f t="shared" si="110"/>
        <v>3.4972950945153713E-3</v>
      </c>
      <c r="M84" s="89">
        <f t="shared" si="110"/>
        <v>3.1640482370930128E-3</v>
      </c>
      <c r="N84" s="89">
        <f t="shared" si="110"/>
        <v>3.0370529933790827E-3</v>
      </c>
      <c r="O84" s="89">
        <f t="shared" si="110"/>
        <v>3.105003042764674E-3</v>
      </c>
      <c r="P84" s="89">
        <f t="shared" si="110"/>
        <v>3.0372951311742982E-3</v>
      </c>
      <c r="Q84" s="89">
        <f t="shared" si="110"/>
        <v>3.082986917291143E-3</v>
      </c>
      <c r="R84" s="89">
        <f t="shared" si="110"/>
        <v>2.856656387748539E-3</v>
      </c>
      <c r="S84" s="89">
        <f t="shared" si="110"/>
        <v>2.7867016494119005E-3</v>
      </c>
      <c r="T84" s="89">
        <f t="shared" ref="T84:Y84" si="111">T56/T$23</f>
        <v>2.5657271800344182E-3</v>
      </c>
      <c r="U84" s="89">
        <f t="shared" si="111"/>
        <v>2.6313911998495291E-3</v>
      </c>
      <c r="V84" s="89">
        <f t="shared" si="111"/>
        <v>2.4551697610411165E-3</v>
      </c>
      <c r="W84" s="89">
        <f t="shared" si="111"/>
        <v>2.3249841496593175E-3</v>
      </c>
      <c r="X84" s="89">
        <f t="shared" si="111"/>
        <v>2.20969729275892E-3</v>
      </c>
      <c r="Y84" s="89">
        <f t="shared" si="111"/>
        <v>2.4022002143243939E-3</v>
      </c>
      <c r="Z84" s="89">
        <f t="shared" ref="Z84:AA84" si="112">Z56/Z$23</f>
        <v>2.3859375760821931E-3</v>
      </c>
      <c r="AA84" s="89">
        <f t="shared" si="112"/>
        <v>2.524527482685454E-3</v>
      </c>
    </row>
    <row r="85" spans="1:27" x14ac:dyDescent="0.25">
      <c r="A85" s="68" t="s">
        <v>2</v>
      </c>
      <c r="B85" s="44"/>
      <c r="C85" s="44"/>
      <c r="D85" s="89">
        <f t="shared" si="109"/>
        <v>3.2579322075748637E-2</v>
      </c>
      <c r="E85" s="89">
        <f t="shared" ref="E85:S85" si="113">E57/E$23</f>
        <v>3.4685921857003636E-2</v>
      </c>
      <c r="F85" s="89">
        <f t="shared" si="113"/>
        <v>3.5357093000306476E-2</v>
      </c>
      <c r="G85" s="89">
        <f t="shared" si="113"/>
        <v>3.124473913036763E-2</v>
      </c>
      <c r="H85" s="89">
        <f t="shared" si="113"/>
        <v>2.9863419367791733E-2</v>
      </c>
      <c r="I85" s="89">
        <f t="shared" si="113"/>
        <v>2.6240011426443541E-2</v>
      </c>
      <c r="J85" s="89">
        <f t="shared" si="113"/>
        <v>2.5629666893167799E-2</v>
      </c>
      <c r="K85" s="89">
        <f t="shared" si="113"/>
        <v>2.3092107205891377E-2</v>
      </c>
      <c r="L85" s="89">
        <f t="shared" si="113"/>
        <v>2.0992395215907303E-2</v>
      </c>
      <c r="M85" s="89">
        <f t="shared" si="113"/>
        <v>2.6000276651716673E-2</v>
      </c>
      <c r="N85" s="89">
        <f t="shared" si="113"/>
        <v>2.3519998863768168E-2</v>
      </c>
      <c r="O85" s="89">
        <f t="shared" si="113"/>
        <v>2.156674719235805E-2</v>
      </c>
      <c r="P85" s="89">
        <f t="shared" si="113"/>
        <v>2.1485742544361749E-2</v>
      </c>
      <c r="Q85" s="89">
        <f t="shared" si="113"/>
        <v>2.2873886023329213E-2</v>
      </c>
      <c r="R85" s="89">
        <f t="shared" si="113"/>
        <v>2.2638473274627393E-2</v>
      </c>
      <c r="S85" s="89">
        <f t="shared" si="113"/>
        <v>2.2156907076644812E-2</v>
      </c>
      <c r="T85" s="89">
        <f t="shared" ref="T85:Y85" si="114">T57/T$23</f>
        <v>2.2048681111134692E-2</v>
      </c>
      <c r="U85" s="89">
        <f t="shared" si="114"/>
        <v>2.1174360243014542E-2</v>
      </c>
      <c r="V85" s="89">
        <f t="shared" si="114"/>
        <v>2.1368813453013478E-2</v>
      </c>
      <c r="W85" s="89">
        <f t="shared" si="114"/>
        <v>2.0032422975369772E-2</v>
      </c>
      <c r="X85" s="89">
        <f t="shared" si="114"/>
        <v>2.0920170747013932E-2</v>
      </c>
      <c r="Y85" s="89">
        <f t="shared" si="114"/>
        <v>1.9372213839993969E-2</v>
      </c>
      <c r="Z85" s="89">
        <f t="shared" ref="Z85:AA85" si="115">Z57/Z$23</f>
        <v>1.9788674100404149E-2</v>
      </c>
      <c r="AA85" s="89">
        <f t="shared" si="115"/>
        <v>2.1725759050600264E-2</v>
      </c>
    </row>
    <row r="86" spans="1:27" x14ac:dyDescent="0.25">
      <c r="A86" s="68" t="s">
        <v>269</v>
      </c>
      <c r="B86" s="44"/>
      <c r="C86" s="44"/>
      <c r="D86" s="89">
        <f t="shared" si="109"/>
        <v>3.0224465813431366E-2</v>
      </c>
      <c r="E86" s="89">
        <f t="shared" ref="E86:S86" si="116">E58/E$23</f>
        <v>2.6563842203997674E-2</v>
      </c>
      <c r="F86" s="89">
        <f t="shared" si="116"/>
        <v>2.5633290704783113E-2</v>
      </c>
      <c r="G86" s="89">
        <f t="shared" si="116"/>
        <v>2.8938837226183803E-2</v>
      </c>
      <c r="H86" s="89">
        <f t="shared" si="116"/>
        <v>2.7968634974457358E-2</v>
      </c>
      <c r="I86" s="89">
        <f t="shared" si="116"/>
        <v>3.0084958668411235E-2</v>
      </c>
      <c r="J86" s="89">
        <f t="shared" si="116"/>
        <v>3.6778277915638959E-2</v>
      </c>
      <c r="K86" s="89">
        <f t="shared" si="116"/>
        <v>4.0504319264396231E-2</v>
      </c>
      <c r="L86" s="89">
        <f t="shared" si="116"/>
        <v>3.8313924279895731E-2</v>
      </c>
      <c r="M86" s="89">
        <f t="shared" si="116"/>
        <v>3.0976269015132344E-2</v>
      </c>
      <c r="N86" s="89">
        <f t="shared" si="116"/>
        <v>3.7752486098913705E-2</v>
      </c>
      <c r="O86" s="89">
        <f t="shared" si="116"/>
        <v>3.5289154849060429E-2</v>
      </c>
      <c r="P86" s="89">
        <f t="shared" si="116"/>
        <v>3.2368888112228954E-2</v>
      </c>
      <c r="Q86" s="89">
        <f t="shared" si="116"/>
        <v>4.008462283518939E-2</v>
      </c>
      <c r="R86" s="89">
        <f t="shared" si="116"/>
        <v>4.4173010773389365E-2</v>
      </c>
      <c r="S86" s="89">
        <f t="shared" si="116"/>
        <v>4.9320412852478325E-2</v>
      </c>
      <c r="T86" s="89">
        <f t="shared" ref="T86:Y86" si="117">T58/T$23</f>
        <v>5.1422669952899347E-2</v>
      </c>
      <c r="U86" s="89">
        <f t="shared" si="117"/>
        <v>4.6887870305769512E-2</v>
      </c>
      <c r="V86" s="89">
        <f t="shared" si="117"/>
        <v>4.5305419133170877E-2</v>
      </c>
      <c r="W86" s="89">
        <f t="shared" si="117"/>
        <v>4.121650361548277E-2</v>
      </c>
      <c r="X86" s="89">
        <f t="shared" si="117"/>
        <v>3.8660761651576295E-2</v>
      </c>
      <c r="Y86" s="89">
        <f t="shared" si="117"/>
        <v>3.2207305156352464E-2</v>
      </c>
      <c r="Z86" s="89">
        <f t="shared" ref="Z86:AA86" si="118">Z58/Z$23</f>
        <v>3.2500921681425161E-2</v>
      </c>
      <c r="AA86" s="89">
        <f t="shared" si="118"/>
        <v>3.3690128548986106E-2</v>
      </c>
    </row>
    <row r="87" spans="1:27" x14ac:dyDescent="0.25">
      <c r="A87" s="68" t="s">
        <v>270</v>
      </c>
      <c r="B87" s="44"/>
      <c r="C87" s="44"/>
      <c r="D87" s="89">
        <f t="shared" si="109"/>
        <v>6.2538580776142327E-2</v>
      </c>
      <c r="E87" s="89">
        <f t="shared" ref="E87:S87" si="119">E59/E$23</f>
        <v>5.9418107018077752E-2</v>
      </c>
      <c r="F87" s="89">
        <f t="shared" si="119"/>
        <v>5.7829345665125723E-2</v>
      </c>
      <c r="G87" s="89">
        <f t="shared" si="119"/>
        <v>6.4327404091933355E-2</v>
      </c>
      <c r="H87" s="89">
        <f t="shared" si="119"/>
        <v>6.99843286412207E-2</v>
      </c>
      <c r="I87" s="89">
        <f t="shared" si="119"/>
        <v>7.401172740790618E-2</v>
      </c>
      <c r="J87" s="89">
        <f t="shared" si="119"/>
        <v>6.9926280763796853E-2</v>
      </c>
      <c r="K87" s="89">
        <f t="shared" si="119"/>
        <v>6.6333588498922166E-2</v>
      </c>
      <c r="L87" s="89">
        <f t="shared" si="119"/>
        <v>6.4877842630345406E-2</v>
      </c>
      <c r="M87" s="89">
        <f t="shared" si="119"/>
        <v>6.551162497990537E-2</v>
      </c>
      <c r="N87" s="89">
        <f t="shared" si="119"/>
        <v>6.7253088538498138E-2</v>
      </c>
      <c r="O87" s="89">
        <f t="shared" si="119"/>
        <v>7.5094049089936735E-2</v>
      </c>
      <c r="P87" s="89">
        <f t="shared" si="119"/>
        <v>7.6203416748988659E-2</v>
      </c>
      <c r="Q87" s="89">
        <f t="shared" si="119"/>
        <v>7.3646428554877408E-2</v>
      </c>
      <c r="R87" s="89">
        <f t="shared" si="119"/>
        <v>7.3984840914174552E-2</v>
      </c>
      <c r="S87" s="89">
        <f t="shared" si="119"/>
        <v>7.6441855207188644E-2</v>
      </c>
      <c r="T87" s="89">
        <f t="shared" ref="T87:Y87" si="120">T59/T$23</f>
        <v>6.5591264199162669E-2</v>
      </c>
      <c r="U87" s="89">
        <f t="shared" si="120"/>
        <v>6.3731553623397885E-2</v>
      </c>
      <c r="V87" s="89">
        <f t="shared" si="120"/>
        <v>6.0889769461811884E-2</v>
      </c>
      <c r="W87" s="89">
        <f t="shared" si="120"/>
        <v>5.833326645425873E-2</v>
      </c>
      <c r="X87" s="89">
        <f t="shared" si="120"/>
        <v>5.9544316990656265E-2</v>
      </c>
      <c r="Y87" s="89">
        <f t="shared" si="120"/>
        <v>5.6486740296565877E-2</v>
      </c>
      <c r="Z87" s="89">
        <f t="shared" ref="Z87:AA87" si="121">Z59/Z$23</f>
        <v>5.985642638026141E-2</v>
      </c>
      <c r="AA87" s="89">
        <f t="shared" si="121"/>
        <v>6.4853978902746745E-2</v>
      </c>
    </row>
    <row r="88" spans="1:27" x14ac:dyDescent="0.25">
      <c r="A88" s="68" t="s">
        <v>1</v>
      </c>
      <c r="B88" s="44"/>
      <c r="C88" s="44"/>
      <c r="D88" s="89">
        <f t="shared" si="109"/>
        <v>1.6090755703096062E-2</v>
      </c>
      <c r="E88" s="89">
        <f t="shared" ref="E88:S88" si="122">E60/E$23</f>
        <v>1.5781911471835625E-2</v>
      </c>
      <c r="F88" s="89">
        <f t="shared" si="122"/>
        <v>1.3064554173292277E-2</v>
      </c>
      <c r="G88" s="89">
        <f t="shared" si="122"/>
        <v>1.0482355139782754E-2</v>
      </c>
      <c r="H88" s="89">
        <f t="shared" si="122"/>
        <v>9.1699756842974108E-3</v>
      </c>
      <c r="I88" s="89">
        <f t="shared" si="122"/>
        <v>7.3698010319506822E-3</v>
      </c>
      <c r="J88" s="89">
        <f t="shared" si="122"/>
        <v>7.1792099490309881E-3</v>
      </c>
      <c r="K88" s="89">
        <f t="shared" si="122"/>
        <v>6.2489068388163664E-3</v>
      </c>
      <c r="L88" s="89">
        <f t="shared" si="122"/>
        <v>5.4928232141047504E-3</v>
      </c>
      <c r="M88" s="89">
        <f t="shared" si="122"/>
        <v>5.2302128598185806E-3</v>
      </c>
      <c r="N88" s="89">
        <f t="shared" si="122"/>
        <v>4.9769321267182547E-3</v>
      </c>
      <c r="O88" s="89">
        <f t="shared" si="122"/>
        <v>5.3294484297490181E-3</v>
      </c>
      <c r="P88" s="89">
        <f t="shared" si="122"/>
        <v>5.2793063317201801E-3</v>
      </c>
      <c r="Q88" s="89">
        <f t="shared" si="122"/>
        <v>5.2159365282392796E-3</v>
      </c>
      <c r="R88" s="89">
        <f t="shared" si="122"/>
        <v>5.0667536164468625E-3</v>
      </c>
      <c r="S88" s="89">
        <f t="shared" si="122"/>
        <v>4.7763014685391894E-3</v>
      </c>
      <c r="T88" s="89">
        <f t="shared" ref="T88:Y88" si="123">T60/T$23</f>
        <v>4.7969700368741168E-3</v>
      </c>
      <c r="U88" s="89">
        <f t="shared" si="123"/>
        <v>4.6549680943817019E-3</v>
      </c>
      <c r="V88" s="89">
        <f t="shared" si="123"/>
        <v>4.4936363975018609E-3</v>
      </c>
      <c r="W88" s="89">
        <f t="shared" si="123"/>
        <v>4.2438785583011644E-3</v>
      </c>
      <c r="X88" s="89">
        <f t="shared" si="123"/>
        <v>3.7466929048706162E-3</v>
      </c>
      <c r="Y88" s="89">
        <f t="shared" si="123"/>
        <v>3.4806769116875352E-3</v>
      </c>
      <c r="Z88" s="89">
        <f t="shared" ref="Z88:AA88" si="124">Z60/Z$23</f>
        <v>3.194234795734528E-3</v>
      </c>
      <c r="AA88" s="89">
        <f t="shared" si="124"/>
        <v>3.348529518180566E-3</v>
      </c>
    </row>
    <row r="89" spans="1:27" x14ac:dyDescent="0.25">
      <c r="A89" s="68" t="s">
        <v>0</v>
      </c>
      <c r="B89" s="44"/>
      <c r="C89" s="44"/>
      <c r="D89" s="89">
        <f t="shared" si="109"/>
        <v>4.9932097833989492E-3</v>
      </c>
      <c r="E89" s="89">
        <f t="shared" ref="E89:S89" si="125">E61/E$23</f>
        <v>5.1001344370784404E-3</v>
      </c>
      <c r="F89" s="89">
        <f t="shared" si="125"/>
        <v>4.2682036478699894E-3</v>
      </c>
      <c r="G89" s="89">
        <f t="shared" si="125"/>
        <v>4.0110028433793738E-3</v>
      </c>
      <c r="H89" s="89">
        <f t="shared" si="125"/>
        <v>3.963849911883463E-3</v>
      </c>
      <c r="I89" s="89">
        <f t="shared" si="125"/>
        <v>3.4457868815246134E-3</v>
      </c>
      <c r="J89" s="89">
        <f t="shared" si="125"/>
        <v>3.2748810243357317E-3</v>
      </c>
      <c r="K89" s="89">
        <f t="shared" si="125"/>
        <v>3.3391105245583635E-3</v>
      </c>
      <c r="L89" s="89">
        <f t="shared" si="125"/>
        <v>3.2417898733685942E-3</v>
      </c>
      <c r="M89" s="89">
        <f t="shared" si="125"/>
        <v>2.6892540746934713E-3</v>
      </c>
      <c r="N89" s="89">
        <f t="shared" si="125"/>
        <v>2.6464733021027385E-3</v>
      </c>
      <c r="O89" s="89">
        <f t="shared" si="125"/>
        <v>2.5437051653235468E-3</v>
      </c>
      <c r="P89" s="89">
        <f t="shared" si="125"/>
        <v>2.5213710267008561E-3</v>
      </c>
      <c r="Q89" s="89">
        <f t="shared" si="125"/>
        <v>2.5175988618089643E-3</v>
      </c>
      <c r="R89" s="89">
        <f t="shared" si="125"/>
        <v>2.5751082513635055E-3</v>
      </c>
      <c r="S89" s="89">
        <f t="shared" si="125"/>
        <v>2.6247574780875861E-3</v>
      </c>
      <c r="T89" s="89">
        <f t="shared" ref="T89:Y89" si="126">T61/T$23</f>
        <v>2.6122114062185789E-3</v>
      </c>
      <c r="U89" s="89">
        <f t="shared" si="126"/>
        <v>2.6174930068925775E-3</v>
      </c>
      <c r="V89" s="89">
        <f t="shared" si="126"/>
        <v>2.5903167203644812E-3</v>
      </c>
      <c r="W89" s="89">
        <f t="shared" si="126"/>
        <v>2.6171119475454042E-3</v>
      </c>
      <c r="X89" s="89">
        <f t="shared" si="126"/>
        <v>2.7861770874401488E-3</v>
      </c>
      <c r="Y89" s="89">
        <f t="shared" si="126"/>
        <v>3.212581009518167E-3</v>
      </c>
      <c r="Z89" s="89">
        <f t="shared" ref="Z89:AA89" si="127">Z61/Z$23</f>
        <v>3.6526408781363253E-3</v>
      </c>
      <c r="AA89" s="89">
        <f t="shared" si="127"/>
        <v>2.7842165094526809E-3</v>
      </c>
    </row>
    <row r="90" spans="1:27" x14ac:dyDescent="0.25">
      <c r="A90" s="90" t="s">
        <v>272</v>
      </c>
      <c r="B90" s="47"/>
      <c r="C90" s="47"/>
      <c r="D90" s="91">
        <f t="shared" si="109"/>
        <v>1.478986908828196E-2</v>
      </c>
      <c r="E90" s="91">
        <f t="shared" ref="E90:S90" si="128">E62/E$23</f>
        <v>1.5828136255253256E-2</v>
      </c>
      <c r="F90" s="91">
        <f t="shared" si="128"/>
        <v>1.5525991916086473E-2</v>
      </c>
      <c r="G90" s="91">
        <f t="shared" si="128"/>
        <v>1.519454985489653E-2</v>
      </c>
      <c r="H90" s="91">
        <f t="shared" si="128"/>
        <v>1.4804135900238697E-2</v>
      </c>
      <c r="I90" s="91">
        <f t="shared" si="128"/>
        <v>1.4354469703346058E-2</v>
      </c>
      <c r="J90" s="91">
        <f t="shared" si="128"/>
        <v>1.4304610236599829E-2</v>
      </c>
      <c r="K90" s="91">
        <f t="shared" si="128"/>
        <v>1.524406172130012E-2</v>
      </c>
      <c r="L90" s="91">
        <f t="shared" si="128"/>
        <v>1.5216036672006763E-2</v>
      </c>
      <c r="M90" s="91">
        <f t="shared" si="128"/>
        <v>1.6467008036607753E-2</v>
      </c>
      <c r="N90" s="91">
        <f t="shared" si="128"/>
        <v>1.7769008803429527E-2</v>
      </c>
      <c r="O90" s="91">
        <f t="shared" si="128"/>
        <v>1.8733748870488873E-2</v>
      </c>
      <c r="P90" s="91">
        <f t="shared" si="128"/>
        <v>2.0875905987691529E-2</v>
      </c>
      <c r="Q90" s="91">
        <f t="shared" si="128"/>
        <v>2.1042167753416659E-2</v>
      </c>
      <c r="R90" s="91">
        <f t="shared" si="128"/>
        <v>2.1462202997319175E-2</v>
      </c>
      <c r="S90" s="91">
        <f t="shared" si="128"/>
        <v>2.2666926057763593E-2</v>
      </c>
      <c r="T90" s="91">
        <f t="shared" ref="T90:Y90" si="129">T62/T$23</f>
        <v>2.3861565932316944E-2</v>
      </c>
      <c r="U90" s="91">
        <f t="shared" si="129"/>
        <v>2.207496314662501E-2</v>
      </c>
      <c r="V90" s="91">
        <f t="shared" si="129"/>
        <v>2.2037617636331663E-2</v>
      </c>
      <c r="W90" s="91">
        <f t="shared" si="129"/>
        <v>2.2010706002263188E-2</v>
      </c>
      <c r="X90" s="91">
        <f t="shared" si="129"/>
        <v>2.2919542324431247E-2</v>
      </c>
      <c r="Y90" s="91">
        <f t="shared" si="129"/>
        <v>2.1424061454892489E-2</v>
      </c>
      <c r="Z90" s="91">
        <f t="shared" ref="Z90:AA90" si="130">Z62/Z$23</f>
        <v>2.0210908534422194E-2</v>
      </c>
      <c r="AA90" s="91">
        <f t="shared" si="130"/>
        <v>1.959572546026233E-2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4.0623768228734702E-2</v>
      </c>
      <c r="F93" s="92">
        <f t="shared" ref="F93:F94" si="132">IF(E16=0,"",F16/E16-1)</f>
        <v>4.7294469592306765E-2</v>
      </c>
      <c r="G93" s="92">
        <f t="shared" ref="G93:G94" si="133">IF(F16=0,"",G16/F16-1)</f>
        <v>3.9394655830936154E-2</v>
      </c>
      <c r="H93" s="92">
        <f t="shared" ref="H93:H94" si="134">IF(G16=0,"",H16/G16-1)</f>
        <v>4.9635563625044954E-2</v>
      </c>
      <c r="I93" s="92">
        <f t="shared" ref="I93:I94" si="135">IF(H16=0,"",I16/H16-1)</f>
        <v>4.2993934249998311E-2</v>
      </c>
      <c r="J93" s="92">
        <f t="shared" ref="J93:J94" si="136">IF(I16=0,"",J16/I16-1)</f>
        <v>3.9345699969672854E-2</v>
      </c>
      <c r="K93" s="92">
        <f t="shared" ref="K93:K94" si="137">IF(J16=0,"",K16/J16-1)</f>
        <v>3.3247306701975621E-3</v>
      </c>
      <c r="L93" s="92">
        <f t="shared" ref="L93:L94" si="138">IF(K16=0,"",L16/K16-1)</f>
        <v>9.9351088008154953E-3</v>
      </c>
      <c r="M93" s="92">
        <f t="shared" ref="M93:M94" si="139">IF(L16=0,"",M16/L16-1)</f>
        <v>-6.7408731586061754E-2</v>
      </c>
      <c r="N93" s="92">
        <f t="shared" ref="N93:N94" si="140">IF(M16=0,"",N16/M16-1)</f>
        <v>1.068377773272311E-2</v>
      </c>
      <c r="O93" s="92">
        <f t="shared" ref="O93:O94" si="141">IF(N16=0,"",O16/N16-1)</f>
        <v>1.9162669994014836E-2</v>
      </c>
      <c r="P93" s="92">
        <f t="shared" ref="P93:P94" si="142">IF(O16=0,"",P16/O16-1)</f>
        <v>-1.3391675018264104E-2</v>
      </c>
      <c r="Q93" s="92">
        <f t="shared" ref="Q93:Q94" si="143">IF(P16=0,"",Q16/P16-1)</f>
        <v>2.0321059112527129E-2</v>
      </c>
      <c r="R93" s="92">
        <f t="shared" ref="R93:R94" si="144">IF(Q16=0,"",R16/Q16-1)</f>
        <v>4.3344928047714504E-2</v>
      </c>
      <c r="S93" s="92">
        <f t="shared" ref="S93:S94" si="145">IF(R16=0,"",S16/R16-1)</f>
        <v>3.6596115118874062E-2</v>
      </c>
      <c r="T93" s="92">
        <f t="shared" ref="T93:T94" si="146">IF(S16=0,"",T16/S16-1)</f>
        <v>2.4387463951680122E-2</v>
      </c>
      <c r="U93" s="92">
        <f t="shared" ref="U93:U94" si="147">IF(T16=0,"",U16/T16-1)</f>
        <v>4.1244990007444526E-2</v>
      </c>
      <c r="V93" s="92">
        <f t="shared" ref="V93:V94" si="148">IF(U16=0,"",V16/U16-1)</f>
        <v>5.6056057475304399E-2</v>
      </c>
      <c r="W93" s="92">
        <f t="shared" ref="W93:W94" si="149">IF(V16=0,"",W16/V16-1)</f>
        <v>5.0770140767531391E-2</v>
      </c>
      <c r="X93" s="92">
        <f t="shared" ref="X93:X94" si="150">IF(W16=0,"",X16/W16-1)</f>
        <v>-4.3382150549813869E-2</v>
      </c>
      <c r="Y93" s="92">
        <f t="shared" ref="Y93:Y94" si="151">IF(X16=0,"",Y16/X16-1)</f>
        <v>7.2229921507924288E-2</v>
      </c>
      <c r="Z93" s="92">
        <f t="shared" ref="Z93:Z94" si="152">IF(Y16=0,"",Z16/Y16-1)</f>
        <v>4.2699239493700913E-2</v>
      </c>
      <c r="AA93" s="92">
        <f t="shared" ref="AA93:AA94" si="153">IF(Z16=0,"",AA16/Z16-1)</f>
        <v>-8.4216153024779805E-3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4.6629018435886405E-2</v>
      </c>
      <c r="F94" s="93">
        <f t="shared" si="132"/>
        <v>7.4705896209818379E-2</v>
      </c>
      <c r="G94" s="93">
        <f t="shared" si="133"/>
        <v>8.1386212053133233E-2</v>
      </c>
      <c r="H94" s="93">
        <f t="shared" si="134"/>
        <v>1.9538986182244145E-2</v>
      </c>
      <c r="I94" s="93">
        <f t="shared" si="135"/>
        <v>2.9594095756040328E-2</v>
      </c>
      <c r="J94" s="93">
        <f t="shared" si="136"/>
        <v>2.1899562311414211E-2</v>
      </c>
      <c r="K94" s="93">
        <f t="shared" si="137"/>
        <v>9.6883186149410161E-3</v>
      </c>
      <c r="L94" s="93">
        <f t="shared" si="138"/>
        <v>-1.2887424950020598E-2</v>
      </c>
      <c r="M94" s="93">
        <f t="shared" si="139"/>
        <v>-6.5986412345062306E-2</v>
      </c>
      <c r="N94" s="93">
        <f t="shared" si="140"/>
        <v>-1.549430933492657E-2</v>
      </c>
      <c r="O94" s="93">
        <f t="shared" si="141"/>
        <v>5.7836747064319294E-3</v>
      </c>
      <c r="P94" s="93">
        <f t="shared" si="142"/>
        <v>-1.7593205362092523E-2</v>
      </c>
      <c r="Q94" s="93">
        <f t="shared" si="143"/>
        <v>2.9994231085226364E-3</v>
      </c>
      <c r="R94" s="93">
        <f t="shared" si="144"/>
        <v>2.4927442256923671E-2</v>
      </c>
      <c r="S94" s="93">
        <f t="shared" si="145"/>
        <v>3.896305097397601E-2</v>
      </c>
      <c r="T94" s="93">
        <f t="shared" si="146"/>
        <v>4.8440222906375618E-2</v>
      </c>
      <c r="U94" s="93">
        <f t="shared" si="147"/>
        <v>5.5003104701403682E-2</v>
      </c>
      <c r="V94" s="93">
        <f t="shared" si="148"/>
        <v>5.0325576198825939E-2</v>
      </c>
      <c r="W94" s="93">
        <f t="shared" si="149"/>
        <v>5.1819421699723422E-2</v>
      </c>
      <c r="X94" s="93">
        <f t="shared" si="150"/>
        <v>-7.1701221663177384E-3</v>
      </c>
      <c r="Y94" s="93">
        <f t="shared" si="151"/>
        <v>5.0633894440317961E-2</v>
      </c>
      <c r="Z94" s="93">
        <f t="shared" si="152"/>
        <v>6.8741822481584336E-2</v>
      </c>
      <c r="AA94" s="93">
        <f t="shared" si="153"/>
        <v>-1.0195407870460915E-2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4.2801464895695807E-2</v>
      </c>
      <c r="F95" s="92">
        <f t="shared" ref="F95:F96" si="155">IF(E20=0,"",F20/E20-1)</f>
        <v>4.9913515565626954E-2</v>
      </c>
      <c r="G95" s="92">
        <f t="shared" ref="G95:G96" si="156">IF(F20=0,"",G20/F20-1)</f>
        <v>4.2724350803626354E-2</v>
      </c>
      <c r="H95" s="92">
        <f t="shared" ref="H95:H96" si="157">IF(G20=0,"",H20/G20-1)</f>
        <v>5.2293698342731121E-2</v>
      </c>
      <c r="I95" s="92">
        <f t="shared" ref="I95:I96" si="158">IF(H20=0,"",I20/H20-1)</f>
        <v>4.4976413619997713E-2</v>
      </c>
      <c r="J95" s="92">
        <f t="shared" ref="J95:J96" si="159">IF(I20=0,"",J20/I20-1)</f>
        <v>4.1508437572532753E-2</v>
      </c>
      <c r="K95" s="92">
        <f t="shared" ref="K95:K96" si="160">IF(J20=0,"",K20/J20-1)</f>
        <v>4.3636229335393129E-3</v>
      </c>
      <c r="L95" s="92">
        <f t="shared" ref="L95:L96" si="161">IF(K20=0,"",L20/K20-1)</f>
        <v>1.2021956608422091E-2</v>
      </c>
      <c r="M95" s="92">
        <f t="shared" ref="M95:M96" si="162">IF(L20=0,"",M20/L20-1)</f>
        <v>-6.6067529794796021E-2</v>
      </c>
      <c r="N95" s="92">
        <f t="shared" ref="N95:N96" si="163">IF(M20=0,"",N20/M20-1)</f>
        <v>1.2364260167985419E-2</v>
      </c>
      <c r="O95" s="92">
        <f t="shared" ref="O95:O96" si="164">IF(N20=0,"",O20/N20-1)</f>
        <v>2.2081847063751825E-2</v>
      </c>
      <c r="P95" s="92">
        <f t="shared" ref="P95:P96" si="165">IF(O20=0,"",P20/O20-1)</f>
        <v>-8.0476386850213411E-3</v>
      </c>
      <c r="Q95" s="92">
        <f t="shared" ref="Q95:Q96" si="166">IF(P20=0,"",Q20/P20-1)</f>
        <v>2.4102699277550821E-2</v>
      </c>
      <c r="R95" s="92">
        <f t="shared" ref="R95:R96" si="167">IF(Q20=0,"",R20/Q20-1)</f>
        <v>4.8114868866761862E-2</v>
      </c>
      <c r="S95" s="92">
        <f t="shared" ref="S95:S96" si="168">IF(R20=0,"",S20/R20-1)</f>
        <v>4.0224570819778815E-2</v>
      </c>
      <c r="T95" s="92">
        <f t="shared" ref="T95:T96" si="169">IF(S20=0,"",T20/S20-1)</f>
        <v>2.817992737674202E-2</v>
      </c>
      <c r="U95" s="92">
        <f t="shared" ref="U95:U96" si="170">IF(T20=0,"",U20/T20-1)</f>
        <v>4.5499297270615191E-2</v>
      </c>
      <c r="V95" s="92">
        <f t="shared" ref="V95:V96" si="171">IF(U20=0,"",V20/U20-1)</f>
        <v>5.8904705159205761E-2</v>
      </c>
      <c r="W95" s="92">
        <f t="shared" ref="W95:W96" si="172">IF(V20=0,"",W20/V20-1)</f>
        <v>5.2219837930032931E-2</v>
      </c>
      <c r="X95" s="92">
        <f t="shared" ref="X95:X96" si="173">IF(W20=0,"",X20/W20-1)</f>
        <v>-4.2306404486536997E-2</v>
      </c>
      <c r="Y95" s="92">
        <f t="shared" ref="Y95:Y96" si="174">IF(X20=0,"",Y20/X20-1)</f>
        <v>7.6442091818095248E-2</v>
      </c>
      <c r="Z95" s="92">
        <f t="shared" ref="Z95:Z96" si="175">IF(Y20=0,"",Z20/Y20-1)</f>
        <v>4.715390652224638E-2</v>
      </c>
      <c r="AA95" s="92">
        <f t="shared" ref="AA95:AA96" si="176">IF(Z20=0,"",AA20/Z20-1)</f>
        <v>-7.3206240674523748E-3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4.8819282193624858E-2</v>
      </c>
      <c r="F96" s="93">
        <f t="shared" si="155"/>
        <v>7.7393491945015436E-2</v>
      </c>
      <c r="G96" s="93">
        <f t="shared" si="156"/>
        <v>8.4850426741567508E-2</v>
      </c>
      <c r="H96" s="93">
        <f t="shared" si="157"/>
        <v>2.2120903248626922E-2</v>
      </c>
      <c r="I96" s="93">
        <f t="shared" si="158"/>
        <v>3.1551105271898638E-2</v>
      </c>
      <c r="J96" s="93">
        <f t="shared" si="159"/>
        <v>2.402599686521234E-2</v>
      </c>
      <c r="K96" s="93">
        <f t="shared" si="160"/>
        <v>1.0733800053333242E-2</v>
      </c>
      <c r="L96" s="93">
        <f t="shared" si="161"/>
        <v>-1.0847735770831757E-2</v>
      </c>
      <c r="M96" s="93">
        <f t="shared" si="162"/>
        <v>-6.4643165052001406E-2</v>
      </c>
      <c r="N96" s="93">
        <f t="shared" si="163"/>
        <v>-1.3857353684673668E-2</v>
      </c>
      <c r="O96" s="93">
        <f t="shared" si="164"/>
        <v>8.6645304586703276E-3</v>
      </c>
      <c r="P96" s="93">
        <f t="shared" si="165"/>
        <v>-1.2271926926025412E-2</v>
      </c>
      <c r="Q96" s="93">
        <f t="shared" si="166"/>
        <v>6.7168636827885653E-3</v>
      </c>
      <c r="R96" s="93">
        <f t="shared" si="167"/>
        <v>2.9613182429668816E-2</v>
      </c>
      <c r="S96" s="93">
        <f t="shared" si="168"/>
        <v>4.2599791793618502E-2</v>
      </c>
      <c r="T96" s="93">
        <f t="shared" si="169"/>
        <v>5.2321733895779765E-2</v>
      </c>
      <c r="U96" s="93">
        <f t="shared" si="170"/>
        <v>5.9313624717415525E-2</v>
      </c>
      <c r="V96" s="93">
        <f t="shared" si="171"/>
        <v>5.3158766254223444E-2</v>
      </c>
      <c r="W96" s="93">
        <f t="shared" si="172"/>
        <v>5.3270566504797667E-2</v>
      </c>
      <c r="X96" s="93">
        <f t="shared" si="173"/>
        <v>-6.0536545683139709E-3</v>
      </c>
      <c r="Y96" s="93">
        <f t="shared" si="174"/>
        <v>5.4761226468878821E-2</v>
      </c>
      <c r="Z96" s="93">
        <f t="shared" si="175"/>
        <v>7.3307749815479717E-2</v>
      </c>
      <c r="AA96" s="93">
        <f t="shared" si="176"/>
        <v>-9.0963861520162448E-3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4.2399064419902155E-2</v>
      </c>
      <c r="F97" s="89">
        <f t="shared" ref="F97:F106" si="178">IF(E23=0,"",F23/E23-1)</f>
        <v>4.831950150030706E-2</v>
      </c>
      <c r="G97" s="89">
        <f t="shared" ref="G97:G106" si="179">IF(F23=0,"",G23/F23-1)</f>
        <v>4.0968326715915993E-2</v>
      </c>
      <c r="H97" s="89">
        <f t="shared" ref="H97:H106" si="180">IF(G23=0,"",H23/G23-1)</f>
        <v>4.9420716662668784E-2</v>
      </c>
      <c r="I97" s="89">
        <f t="shared" ref="I97:I106" si="181">IF(H23=0,"",I23/H23-1)</f>
        <v>4.2283109376893613E-2</v>
      </c>
      <c r="J97" s="89">
        <f t="shared" ref="J97:J106" si="182">IF(I23=0,"",J23/I23-1)</f>
        <v>3.8859134641079152E-2</v>
      </c>
      <c r="K97" s="89">
        <f t="shared" ref="K97:K106" si="183">IF(J23=0,"",K23/J23-1)</f>
        <v>2.7420559997295424E-3</v>
      </c>
      <c r="L97" s="89">
        <f t="shared" ref="L97:L106" si="184">IF(K23=0,"",L23/K23-1)</f>
        <v>8.2364915446964115E-3</v>
      </c>
      <c r="M97" s="89">
        <f t="shared" ref="M97:M106" si="185">IF(L23=0,"",M23/L23-1)</f>
        <v>-6.8153289637968073E-2</v>
      </c>
      <c r="N97" s="89">
        <f t="shared" ref="N97:N106" si="186">IF(M23=0,"",N23/M23-1)</f>
        <v>1.2848486041167728E-2</v>
      </c>
      <c r="O97" s="89">
        <f t="shared" ref="O97:O106" si="187">IF(N23=0,"",O23/N23-1)</f>
        <v>2.0112990471781611E-2</v>
      </c>
      <c r="P97" s="89">
        <f t="shared" ref="P97:P106" si="188">IF(O23=0,"",P23/O23-1)</f>
        <v>-1.3401396550971945E-2</v>
      </c>
      <c r="Q97" s="89">
        <f t="shared" ref="Q97:Q106" si="189">IF(P23=0,"",Q23/P23-1)</f>
        <v>2.7042599979627324E-2</v>
      </c>
      <c r="R97" s="89">
        <f t="shared" ref="R97:R106" si="190">IF(Q23=0,"",R23/Q23-1)</f>
        <v>4.5900065548184488E-2</v>
      </c>
      <c r="S97" s="89">
        <f t="shared" ref="S97:S106" si="191">IF(R23=0,"",S23/R23-1)</f>
        <v>3.6321289379180666E-2</v>
      </c>
      <c r="T97" s="89">
        <f t="shared" ref="T97:T106" si="192">IF(S23=0,"",T23/S23-1)</f>
        <v>2.5798120807083214E-2</v>
      </c>
      <c r="U97" s="89">
        <f t="shared" ref="U97:U106" si="193">IF(T23=0,"",U23/T23-1)</f>
        <v>4.0229410834318413E-2</v>
      </c>
      <c r="V97" s="89">
        <f t="shared" ref="V97:V106" si="194">IF(U23=0,"",V23/U23-1)</f>
        <v>5.8514391219463668E-2</v>
      </c>
      <c r="W97" s="89">
        <f t="shared" ref="W97:W106" si="195">IF(V23=0,"",W23/V23-1)</f>
        <v>4.9099244079413795E-2</v>
      </c>
      <c r="X97" s="89">
        <f t="shared" ref="X97:X106" si="196">IF(W23=0,"",X23/W23-1)</f>
        <v>-4.6089862377520552E-2</v>
      </c>
      <c r="Y97" s="89">
        <f t="shared" ref="Y97:Y106" si="197">IF(X23=0,"",Y23/X23-1)</f>
        <v>7.6295404720086335E-2</v>
      </c>
      <c r="Z97" s="89">
        <f t="shared" ref="Z97:Z108" si="198">IF(Y23=0,"",Z23/Y23-1)</f>
        <v>4.5593123674569691E-2</v>
      </c>
      <c r="AA97" s="89">
        <f t="shared" ref="AA97:AA108" si="199">IF(Z23=0,"",AA23/Z23-1)</f>
        <v>-2.4908835331688417E-3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2.0851850212971978E-2</v>
      </c>
      <c r="F98" s="83">
        <f t="shared" si="178"/>
        <v>-9.3163293528336522E-2</v>
      </c>
      <c r="G98" s="83">
        <f t="shared" si="179"/>
        <v>-5.9899810215722327E-2</v>
      </c>
      <c r="H98" s="83">
        <f t="shared" si="180"/>
        <v>0.17517085867336113</v>
      </c>
      <c r="I98" s="83">
        <f t="shared" si="181"/>
        <v>-0.11483653477652633</v>
      </c>
      <c r="J98" s="83">
        <f t="shared" si="182"/>
        <v>-2.0563532703621212E-2</v>
      </c>
      <c r="K98" s="83">
        <f t="shared" si="183"/>
        <v>-2.3179265877665278E-3</v>
      </c>
      <c r="L98" s="83">
        <f t="shared" si="184"/>
        <v>9.4694755981314938E-3</v>
      </c>
      <c r="M98" s="83">
        <f t="shared" si="185"/>
        <v>-0.1911630258934186</v>
      </c>
      <c r="N98" s="83">
        <f t="shared" si="186"/>
        <v>1.8432375986547012E-2</v>
      </c>
      <c r="O98" s="83">
        <f t="shared" si="187"/>
        <v>0.34441899386662289</v>
      </c>
      <c r="P98" s="83">
        <f t="shared" si="188"/>
        <v>-2.3672650871449541E-2</v>
      </c>
      <c r="Q98" s="83">
        <f t="shared" si="189"/>
        <v>3.2273990670869779E-2</v>
      </c>
      <c r="R98" s="83">
        <f t="shared" si="190"/>
        <v>5.1186161278858E-2</v>
      </c>
      <c r="S98" s="83">
        <f t="shared" si="191"/>
        <v>-9.1419374523263874E-3</v>
      </c>
      <c r="T98" s="83">
        <f t="shared" si="192"/>
        <v>4.7215908546659247E-2</v>
      </c>
      <c r="U98" s="83">
        <f t="shared" si="193"/>
        <v>8.7717098676700633E-3</v>
      </c>
      <c r="V98" s="83">
        <f t="shared" si="194"/>
        <v>-1.6092499296231577E-2</v>
      </c>
      <c r="W98" s="83">
        <f t="shared" si="195"/>
        <v>4.3947775059660632E-3</v>
      </c>
      <c r="X98" s="83">
        <f t="shared" si="196"/>
        <v>-3.493271491340888E-2</v>
      </c>
      <c r="Y98" s="83">
        <f t="shared" si="197"/>
        <v>0.10408626203695781</v>
      </c>
      <c r="Z98" s="83">
        <f t="shared" si="198"/>
        <v>-5.593938011418198E-2</v>
      </c>
      <c r="AA98" s="83">
        <f t="shared" si="199"/>
        <v>-9.3158904481379645E-2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-7.4382753831150006E-2</v>
      </c>
      <c r="F99" s="83">
        <f t="shared" si="178"/>
        <v>0.11099468076915464</v>
      </c>
      <c r="G99" s="83">
        <f t="shared" si="179"/>
        <v>1.2709100834345399E-2</v>
      </c>
      <c r="H99" s="83">
        <f t="shared" si="180"/>
        <v>1.0455986825921526E-2</v>
      </c>
      <c r="I99" s="83">
        <f t="shared" si="181"/>
        <v>0.11685020066711149</v>
      </c>
      <c r="J99" s="83">
        <f t="shared" si="182"/>
        <v>4.4874514355452311E-2</v>
      </c>
      <c r="K99" s="83">
        <f t="shared" si="183"/>
        <v>-0.19767854409132579</v>
      </c>
      <c r="L99" s="83">
        <f t="shared" si="184"/>
        <v>0.26665485114985543</v>
      </c>
      <c r="M99" s="83">
        <f t="shared" si="185"/>
        <v>-1.8773393928984361E-2</v>
      </c>
      <c r="N99" s="83">
        <f t="shared" si="186"/>
        <v>-0.1485235767928641</v>
      </c>
      <c r="O99" s="83">
        <f t="shared" si="187"/>
        <v>0.14258315886942619</v>
      </c>
      <c r="P99" s="83">
        <f t="shared" si="188"/>
        <v>3.9571825734252997E-2</v>
      </c>
      <c r="Q99" s="83">
        <f t="shared" si="189"/>
        <v>-9.1228551664588098E-2</v>
      </c>
      <c r="R99" s="83">
        <f t="shared" si="190"/>
        <v>-6.3512231194321145E-2</v>
      </c>
      <c r="S99" s="83">
        <f t="shared" si="191"/>
        <v>-0.16970540810660739</v>
      </c>
      <c r="T99" s="83">
        <f t="shared" si="192"/>
        <v>-7.6871683653454093E-2</v>
      </c>
      <c r="U99" s="83">
        <f t="shared" si="193"/>
        <v>0.40265759512670907</v>
      </c>
      <c r="V99" s="83">
        <f t="shared" si="194"/>
        <v>0.52335433986421509</v>
      </c>
      <c r="W99" s="83">
        <f t="shared" si="195"/>
        <v>0.35711294272030614</v>
      </c>
      <c r="X99" s="83">
        <f t="shared" si="196"/>
        <v>-0.33047910114791323</v>
      </c>
      <c r="Y99" s="83">
        <f t="shared" si="197"/>
        <v>0.42728308853529873</v>
      </c>
      <c r="Z99" s="83">
        <f t="shared" si="198"/>
        <v>0.58500073456529011</v>
      </c>
      <c r="AA99" s="83">
        <f t="shared" si="199"/>
        <v>-0.28789805494205223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4.9055190932539849E-2</v>
      </c>
      <c r="F100" s="83">
        <f t="shared" si="178"/>
        <v>6.9940337503612282E-2</v>
      </c>
      <c r="G100" s="83">
        <f t="shared" si="179"/>
        <v>5.0796329179586319E-2</v>
      </c>
      <c r="H100" s="83">
        <f t="shared" si="180"/>
        <v>3.1122182446977176E-2</v>
      </c>
      <c r="I100" s="83">
        <f t="shared" si="181"/>
        <v>5.2613951286168303E-2</v>
      </c>
      <c r="J100" s="83">
        <f t="shared" si="182"/>
        <v>4.6113786060381523E-2</v>
      </c>
      <c r="K100" s="83">
        <f t="shared" si="183"/>
        <v>7.727402263649763E-3</v>
      </c>
      <c r="L100" s="83">
        <f t="shared" si="184"/>
        <v>2.3329809714591976E-2</v>
      </c>
      <c r="M100" s="83">
        <f t="shared" si="185"/>
        <v>-5.0845045492323937E-2</v>
      </c>
      <c r="N100" s="83">
        <f t="shared" si="186"/>
        <v>1.0910581007311571E-2</v>
      </c>
      <c r="O100" s="83">
        <f t="shared" si="187"/>
        <v>5.3414736181007783E-3</v>
      </c>
      <c r="P100" s="83">
        <f t="shared" si="188"/>
        <v>-1.658264667234477E-2</v>
      </c>
      <c r="Q100" s="83">
        <f t="shared" si="189"/>
        <v>2.6965013833201157E-2</v>
      </c>
      <c r="R100" s="83">
        <f t="shared" si="190"/>
        <v>3.2118785797453642E-2</v>
      </c>
      <c r="S100" s="83">
        <f t="shared" si="191"/>
        <v>2.4541067996814547E-2</v>
      </c>
      <c r="T100" s="83">
        <f t="shared" si="192"/>
        <v>4.6089177007899496E-2</v>
      </c>
      <c r="U100" s="83">
        <f t="shared" si="193"/>
        <v>4.7693847431582226E-2</v>
      </c>
      <c r="V100" s="83">
        <f t="shared" si="194"/>
        <v>6.5306379367180423E-2</v>
      </c>
      <c r="W100" s="83">
        <f t="shared" si="195"/>
        <v>5.8208460452809252E-2</v>
      </c>
      <c r="X100" s="83">
        <f t="shared" si="196"/>
        <v>-4.2590272558944764E-2</v>
      </c>
      <c r="Y100" s="83">
        <f t="shared" si="197"/>
        <v>8.3997056424886196E-2</v>
      </c>
      <c r="Z100" s="83">
        <f t="shared" si="198"/>
        <v>4.3696795322327509E-2</v>
      </c>
      <c r="AA100" s="83">
        <f t="shared" si="199"/>
        <v>-1.1632734369637077E-2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3.7820617069303841E-2</v>
      </c>
      <c r="F101" s="84">
        <f t="shared" si="178"/>
        <v>7.894451419893489E-2</v>
      </c>
      <c r="G101" s="84">
        <f t="shared" si="179"/>
        <v>6.5133675154832371E-2</v>
      </c>
      <c r="H101" s="84">
        <f t="shared" si="180"/>
        <v>2.075628485711345E-2</v>
      </c>
      <c r="I101" s="84">
        <f t="shared" si="181"/>
        <v>3.3107225887013092E-2</v>
      </c>
      <c r="J101" s="84">
        <f t="shared" si="182"/>
        <v>2.1061407075965377E-2</v>
      </c>
      <c r="K101" s="84">
        <f t="shared" si="183"/>
        <v>6.2277744857455186E-3</v>
      </c>
      <c r="L101" s="84">
        <f t="shared" si="184"/>
        <v>4.0470914647656731E-3</v>
      </c>
      <c r="M101" s="84">
        <f t="shared" si="185"/>
        <v>-5.5264859515022136E-2</v>
      </c>
      <c r="N101" s="84">
        <f t="shared" si="186"/>
        <v>-1.7942421753180948E-3</v>
      </c>
      <c r="O101" s="84">
        <f t="shared" si="187"/>
        <v>-5.2652889919934109E-3</v>
      </c>
      <c r="P101" s="84">
        <f t="shared" si="188"/>
        <v>6.3275567042442304E-5</v>
      </c>
      <c r="Q101" s="84">
        <f t="shared" si="189"/>
        <v>3.153673913535826E-2</v>
      </c>
      <c r="R101" s="84">
        <f t="shared" si="190"/>
        <v>4.6899358113436929E-2</v>
      </c>
      <c r="S101" s="84">
        <f t="shared" si="191"/>
        <v>3.533748923338198E-2</v>
      </c>
      <c r="T101" s="84">
        <f t="shared" si="192"/>
        <v>5.6890838359061613E-2</v>
      </c>
      <c r="U101" s="84">
        <f t="shared" si="193"/>
        <v>2.8126290290367395E-2</v>
      </c>
      <c r="V101" s="84">
        <f t="shared" si="194"/>
        <v>4.2723256866519455E-2</v>
      </c>
      <c r="W101" s="84">
        <f t="shared" si="195"/>
        <v>4.5977746410812426E-2</v>
      </c>
      <c r="X101" s="84">
        <f t="shared" si="196"/>
        <v>-6.5234585487551788E-2</v>
      </c>
      <c r="Y101" s="84">
        <f t="shared" si="197"/>
        <v>5.3485574245252687E-2</v>
      </c>
      <c r="Z101" s="84">
        <f t="shared" si="198"/>
        <v>6.8912245618009793E-2</v>
      </c>
      <c r="AA101" s="84">
        <f t="shared" si="199"/>
        <v>-3.9218895387807318E-2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4.7368769328228977E-2</v>
      </c>
      <c r="F102" s="84">
        <f t="shared" si="178"/>
        <v>5.9274409380642989E-2</v>
      </c>
      <c r="G102" s="84">
        <f t="shared" si="179"/>
        <v>6.0076798858613278E-2</v>
      </c>
      <c r="H102" s="84">
        <f t="shared" si="180"/>
        <v>2.7709638366599787E-2</v>
      </c>
      <c r="I102" s="84">
        <f t="shared" si="181"/>
        <v>7.3054039276819527E-2</v>
      </c>
      <c r="J102" s="84">
        <f t="shared" si="182"/>
        <v>6.1829791721996097E-2</v>
      </c>
      <c r="K102" s="84">
        <f t="shared" si="183"/>
        <v>4.1463219066699697E-3</v>
      </c>
      <c r="L102" s="84">
        <f t="shared" si="184"/>
        <v>2.877155303070511E-2</v>
      </c>
      <c r="M102" s="84">
        <f t="shared" si="185"/>
        <v>-8.0195702266909752E-3</v>
      </c>
      <c r="N102" s="84">
        <f t="shared" si="186"/>
        <v>2.4113209406724678E-2</v>
      </c>
      <c r="O102" s="84">
        <f t="shared" si="187"/>
        <v>5.107209335509344E-3</v>
      </c>
      <c r="P102" s="84">
        <f t="shared" si="188"/>
        <v>-2.649872529019337E-2</v>
      </c>
      <c r="Q102" s="84">
        <f t="shared" si="189"/>
        <v>3.2155550017989309E-3</v>
      </c>
      <c r="R102" s="84">
        <f t="shared" si="190"/>
        <v>1.4207862848273134E-2</v>
      </c>
      <c r="S102" s="84">
        <f t="shared" si="191"/>
        <v>2.0140045696274145E-2</v>
      </c>
      <c r="T102" s="84">
        <f t="shared" si="192"/>
        <v>4.9018456025286872E-2</v>
      </c>
      <c r="U102" s="84">
        <f t="shared" si="193"/>
        <v>6.6424427406871933E-2</v>
      </c>
      <c r="V102" s="84">
        <f t="shared" si="194"/>
        <v>7.6565963780178992E-2</v>
      </c>
      <c r="W102" s="84">
        <f t="shared" si="195"/>
        <v>8.6917101724227619E-2</v>
      </c>
      <c r="X102" s="84">
        <f t="shared" si="196"/>
        <v>-3.9508001783831737E-2</v>
      </c>
      <c r="Y102" s="84">
        <f t="shared" si="197"/>
        <v>9.7958428842244816E-2</v>
      </c>
      <c r="Z102" s="84">
        <f t="shared" si="198"/>
        <v>6.0410034661033007E-2</v>
      </c>
      <c r="AA102" s="84">
        <f t="shared" si="199"/>
        <v>6.6440598866490674E-3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7.9881079270200273E-2</v>
      </c>
      <c r="F103" s="84">
        <f t="shared" si="178"/>
        <v>7.3486704430659744E-2</v>
      </c>
      <c r="G103" s="84">
        <f t="shared" si="179"/>
        <v>-3.1476479575718308E-3</v>
      </c>
      <c r="H103" s="84">
        <f t="shared" si="180"/>
        <v>6.485371607141488E-2</v>
      </c>
      <c r="I103" s="84">
        <f t="shared" si="181"/>
        <v>5.1721772889309348E-2</v>
      </c>
      <c r="J103" s="84">
        <f t="shared" si="182"/>
        <v>6.7438127862091246E-2</v>
      </c>
      <c r="K103" s="84">
        <f t="shared" si="183"/>
        <v>1.9429314882243753E-2</v>
      </c>
      <c r="L103" s="84">
        <f t="shared" si="184"/>
        <v>5.3129132414270419E-2</v>
      </c>
      <c r="M103" s="84">
        <f t="shared" si="185"/>
        <v>-0.1378784474693614</v>
      </c>
      <c r="N103" s="84">
        <f t="shared" si="186"/>
        <v>5.8904091564935257E-3</v>
      </c>
      <c r="O103" s="84">
        <f t="shared" si="187"/>
        <v>3.0095192259411263E-2</v>
      </c>
      <c r="P103" s="84">
        <f t="shared" si="188"/>
        <v>-2.7678737990123325E-2</v>
      </c>
      <c r="Q103" s="84">
        <f t="shared" si="189"/>
        <v>7.7739167806726517E-2</v>
      </c>
      <c r="R103" s="84">
        <f t="shared" si="190"/>
        <v>4.3042100020824758E-2</v>
      </c>
      <c r="S103" s="84">
        <f t="shared" si="191"/>
        <v>1.13483088954065E-2</v>
      </c>
      <c r="T103" s="84">
        <f t="shared" si="192"/>
        <v>1.5198168917442967E-2</v>
      </c>
      <c r="U103" s="84">
        <f t="shared" si="193"/>
        <v>4.7508738191241795E-2</v>
      </c>
      <c r="V103" s="84">
        <f t="shared" si="194"/>
        <v>8.8773834118547112E-2</v>
      </c>
      <c r="W103" s="84">
        <f t="shared" si="195"/>
        <v>1.4663400240855662E-2</v>
      </c>
      <c r="X103" s="84">
        <f t="shared" si="196"/>
        <v>1.1780365894442646E-4</v>
      </c>
      <c r="Y103" s="84">
        <f t="shared" si="197"/>
        <v>0.11284719710743563</v>
      </c>
      <c r="Z103" s="84">
        <f t="shared" si="198"/>
        <v>-4.7782108097246145E-2</v>
      </c>
      <c r="AA103" s="84">
        <f t="shared" si="199"/>
        <v>-6.7385425689503453E-4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-5.8484341457362476E-2</v>
      </c>
      <c r="F104" s="83">
        <f t="shared" si="178"/>
        <v>7.1373798144508616E-2</v>
      </c>
      <c r="G104" s="83">
        <f t="shared" si="179"/>
        <v>-2.8753571142332568E-3</v>
      </c>
      <c r="H104" s="83">
        <f t="shared" si="180"/>
        <v>0.24908325837476619</v>
      </c>
      <c r="I104" s="83">
        <f t="shared" si="181"/>
        <v>9.0598183339694049E-3</v>
      </c>
      <c r="J104" s="83">
        <f t="shared" si="182"/>
        <v>-2.9369587513187079E-2</v>
      </c>
      <c r="K104" s="83">
        <f t="shared" si="183"/>
        <v>8.2052766223120965E-2</v>
      </c>
      <c r="L104" s="83">
        <f t="shared" si="184"/>
        <v>-5.9478810321903497E-3</v>
      </c>
      <c r="M104" s="83">
        <f t="shared" si="185"/>
        <v>-1.2497130800240175E-2</v>
      </c>
      <c r="N104" s="83">
        <f t="shared" si="186"/>
        <v>-4.6727762323542699E-2</v>
      </c>
      <c r="O104" s="83">
        <f t="shared" si="187"/>
        <v>-0.11476379078966603</v>
      </c>
      <c r="P104" s="83">
        <f t="shared" si="188"/>
        <v>6.4681991840177755E-2</v>
      </c>
      <c r="Q104" s="83">
        <f t="shared" si="189"/>
        <v>-0.16662142921500667</v>
      </c>
      <c r="R104" s="83">
        <f t="shared" si="190"/>
        <v>3.3369942216054271E-2</v>
      </c>
      <c r="S104" s="83">
        <f t="shared" si="191"/>
        <v>-4.1436755980173823E-2</v>
      </c>
      <c r="T104" s="83">
        <f t="shared" si="192"/>
        <v>7.9860938275388316E-2</v>
      </c>
      <c r="U104" s="83">
        <f t="shared" si="193"/>
        <v>-0.12397874080664906</v>
      </c>
      <c r="V104" s="83">
        <f t="shared" si="194"/>
        <v>-1.9976328805864974E-2</v>
      </c>
      <c r="W104" s="83">
        <f t="shared" si="195"/>
        <v>5.5857244024763109E-2</v>
      </c>
      <c r="X104" s="83">
        <f t="shared" si="196"/>
        <v>-0.16300105042634649</v>
      </c>
      <c r="Y104" s="83">
        <f t="shared" si="197"/>
        <v>9.7526399203126779E-2</v>
      </c>
      <c r="Z104" s="83">
        <f t="shared" si="198"/>
        <v>0.24160130526755075</v>
      </c>
      <c r="AA104" s="83">
        <f t="shared" si="199"/>
        <v>0.35969447640363783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0.1111686710436568</v>
      </c>
      <c r="F105" s="83">
        <f t="shared" si="178"/>
        <v>0.12125982315130313</v>
      </c>
      <c r="G105" s="83">
        <f t="shared" si="179"/>
        <v>-1.9895294409982722E-2</v>
      </c>
      <c r="H105" s="83">
        <f t="shared" si="180"/>
        <v>3.0677520965721072E-2</v>
      </c>
      <c r="I105" s="83">
        <f t="shared" si="181"/>
        <v>0.12164973782294397</v>
      </c>
      <c r="J105" s="83">
        <f t="shared" si="182"/>
        <v>-3.6363860830406214E-2</v>
      </c>
      <c r="K105" s="83">
        <f t="shared" si="183"/>
        <v>-7.6766613574503428E-2</v>
      </c>
      <c r="L105" s="83">
        <f t="shared" si="184"/>
        <v>3.7573974164399893E-3</v>
      </c>
      <c r="M105" s="83">
        <f t="shared" si="185"/>
        <v>-7.6245879932026694E-2</v>
      </c>
      <c r="N105" s="83">
        <f t="shared" si="186"/>
        <v>-0.13299885520791144</v>
      </c>
      <c r="O105" s="83">
        <f t="shared" si="187"/>
        <v>-7.4947687175680455E-3</v>
      </c>
      <c r="P105" s="83">
        <f t="shared" si="188"/>
        <v>-5.8555695407391806E-2</v>
      </c>
      <c r="Q105" s="83">
        <f t="shared" si="189"/>
        <v>7.8680569722042515E-2</v>
      </c>
      <c r="R105" s="83">
        <f t="shared" si="190"/>
        <v>8.1960214674456466E-2</v>
      </c>
      <c r="S105" s="83">
        <f t="shared" si="191"/>
        <v>4.3096842944883029E-2</v>
      </c>
      <c r="T105" s="83">
        <f t="shared" si="192"/>
        <v>-0.13137613652095181</v>
      </c>
      <c r="U105" s="83">
        <f t="shared" si="193"/>
        <v>0.24051982868595778</v>
      </c>
      <c r="V105" s="83">
        <f t="shared" si="194"/>
        <v>0.25801826671379779</v>
      </c>
      <c r="W105" s="83">
        <f t="shared" si="195"/>
        <v>0.19775550403470787</v>
      </c>
      <c r="X105" s="83">
        <f t="shared" si="196"/>
        <v>-5.7493007616419511E-2</v>
      </c>
      <c r="Y105" s="83">
        <f t="shared" si="197"/>
        <v>0.15736186238419059</v>
      </c>
      <c r="Z105" s="83">
        <f t="shared" si="198"/>
        <v>9.1422765773935044E-2</v>
      </c>
      <c r="AA105" s="83">
        <f t="shared" si="199"/>
        <v>-4.4764652871078892E-2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3.2692180190314168E-2</v>
      </c>
      <c r="F106" s="83">
        <f t="shared" si="178"/>
        <v>-2.6820716590739702E-3</v>
      </c>
      <c r="G106" s="83">
        <f t="shared" si="179"/>
        <v>6.0658332841994289E-2</v>
      </c>
      <c r="H106" s="83">
        <f t="shared" si="180"/>
        <v>5.078395933163482E-2</v>
      </c>
      <c r="I106" s="83">
        <f t="shared" si="181"/>
        <v>3.3882965144861554E-2</v>
      </c>
      <c r="J106" s="83">
        <f t="shared" si="182"/>
        <v>6.3738355508588862E-2</v>
      </c>
      <c r="K106" s="83">
        <f t="shared" si="183"/>
        <v>-4.3356481785218337E-3</v>
      </c>
      <c r="L106" s="83">
        <f t="shared" si="184"/>
        <v>-3.9824506447550423E-2</v>
      </c>
      <c r="M106" s="83">
        <f t="shared" si="185"/>
        <v>-0.11313928616024405</v>
      </c>
      <c r="N106" s="83">
        <f t="shared" si="186"/>
        <v>7.3912035868581416E-2</v>
      </c>
      <c r="O106" s="83">
        <f t="shared" si="187"/>
        <v>4.6130463821715484E-2</v>
      </c>
      <c r="P106" s="83">
        <f t="shared" si="188"/>
        <v>-5.7684934227305584E-3</v>
      </c>
      <c r="Q106" s="83">
        <f t="shared" si="189"/>
        <v>5.4865484972969059E-2</v>
      </c>
      <c r="R106" s="83">
        <f t="shared" si="190"/>
        <v>8.5543598284556932E-2</v>
      </c>
      <c r="S106" s="83">
        <f t="shared" si="191"/>
        <v>9.4435679373173098E-2</v>
      </c>
      <c r="T106" s="83">
        <f t="shared" si="192"/>
        <v>-1.4034492794397613E-2</v>
      </c>
      <c r="U106" s="83">
        <f t="shared" si="193"/>
        <v>1.1437442616925475E-2</v>
      </c>
      <c r="V106" s="83">
        <f t="shared" si="194"/>
        <v>1.7563753720698516E-2</v>
      </c>
      <c r="W106" s="83">
        <f t="shared" si="195"/>
        <v>-1.4121377167281457E-2</v>
      </c>
      <c r="X106" s="83">
        <f t="shared" si="196"/>
        <v>-3.7605196233597593E-2</v>
      </c>
      <c r="Y106" s="83">
        <f t="shared" si="197"/>
        <v>1.2350134957836989E-2</v>
      </c>
      <c r="Z106" s="83">
        <f t="shared" si="198"/>
        <v>2.7274055454221013E-2</v>
      </c>
      <c r="AA106" s="83">
        <f t="shared" si="199"/>
        <v>2.3888143933121109E-2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-8.6341555590264019E-2</v>
      </c>
      <c r="F107" s="87">
        <f t="shared" ref="F107:F108" si="201">IF(E33=0,"",F33/E33-1)</f>
        <v>-0.18942647995819073</v>
      </c>
      <c r="G107" s="87">
        <f t="shared" ref="G107:G108" si="202">IF(F33=0,"",G33/F33-1)</f>
        <v>0.40017195334289601</v>
      </c>
      <c r="H107" s="87">
        <f t="shared" ref="H107:H108" si="203">IF(G33=0,"",H33/G33-1)</f>
        <v>0.22575548017759361</v>
      </c>
      <c r="I107" s="87">
        <f t="shared" ref="I107:I108" si="204">IF(H33=0,"",I33/H33-1)</f>
        <v>-4.1875394938499455E-2</v>
      </c>
      <c r="J107" s="87">
        <f t="shared" ref="J107:J108" si="205">IF(I33=0,"",J33/I33-1)</f>
        <v>0.23021128024544613</v>
      </c>
      <c r="K107" s="87">
        <f t="shared" ref="K107:K108" si="206">IF(J33=0,"",K33/J33-1)</f>
        <v>-4.8358960570352494E-2</v>
      </c>
      <c r="L107" s="87">
        <f t="shared" ref="L107:L108" si="207">IF(K33=0,"",L33/K33-1)</f>
        <v>4.4415016117253847E-2</v>
      </c>
      <c r="M107" s="87">
        <f t="shared" ref="M107:M108" si="208">IF(L33=0,"",M33/L33-1)</f>
        <v>-0.58202879464001123</v>
      </c>
      <c r="N107" s="87">
        <f t="shared" ref="N107:N108" si="209">IF(M33=0,"",N33/M33-1)</f>
        <v>0.44243079121675866</v>
      </c>
      <c r="O107" s="87">
        <f t="shared" ref="O107:O108" si="210">IF(N33=0,"",O33/N33-1)</f>
        <v>8.5032970111764028E-2</v>
      </c>
      <c r="P107" s="87">
        <f t="shared" ref="P107:P108" si="211">IF(O33=0,"",P33/O33-1)</f>
        <v>-0.12082862765752744</v>
      </c>
      <c r="Q107" s="87">
        <f t="shared" ref="Q107:Q108" si="212">IF(P33=0,"",Q33/P33-1)</f>
        <v>7.6457476248650069E-2</v>
      </c>
      <c r="R107" s="87">
        <f t="shared" ref="R107:R108" si="213">IF(Q33=0,"",R33/Q33-1)</f>
        <v>0.13127822170773951</v>
      </c>
      <c r="S107" s="87">
        <f t="shared" ref="S107:S108" si="214">IF(R33=0,"",S33/R33-1)</f>
        <v>0.17579309708534296</v>
      </c>
      <c r="T107" s="87">
        <f t="shared" ref="T107:T108" si="215">IF(S33=0,"",T33/S33-1)</f>
        <v>6.1493280100242798E-2</v>
      </c>
      <c r="U107" s="87">
        <f t="shared" ref="U107:U108" si="216">IF(T33=0,"",U33/T33-1)</f>
        <v>0.11573445377817082</v>
      </c>
      <c r="V107" s="87">
        <f t="shared" ref="V107:V108" si="217">IF(U33=0,"",V33/U33-1)</f>
        <v>8.178773448799137E-2</v>
      </c>
      <c r="W107" s="87">
        <f t="shared" ref="W107:W108" si="218">IF(V33=0,"",W33/V33-1)</f>
        <v>-0.16126631743488828</v>
      </c>
      <c r="X107" s="87">
        <f t="shared" ref="X107:X108" si="219">IF(W33=0,"",X33/W33-1)</f>
        <v>-0.13722992552549751</v>
      </c>
      <c r="Y107" s="87">
        <f t="shared" ref="Y107:Y108" si="220">IF(X33=0,"",Y33/X33-1)</f>
        <v>0.11521916600758186</v>
      </c>
      <c r="Z107" s="87">
        <f t="shared" si="198"/>
        <v>-0.36170921155260216</v>
      </c>
      <c r="AA107" s="87">
        <f t="shared" si="199"/>
        <v>5.6911617176535145E-2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-8.6341555590264019E-2</v>
      </c>
      <c r="F108" s="89">
        <f t="shared" si="201"/>
        <v>-0.18942647995819062</v>
      </c>
      <c r="G108" s="89">
        <f t="shared" si="202"/>
        <v>0.40017195334289601</v>
      </c>
      <c r="H108" s="89">
        <f t="shared" si="203"/>
        <v>0.22575548017759361</v>
      </c>
      <c r="I108" s="89">
        <f t="shared" si="204"/>
        <v>-4.1875394938499344E-2</v>
      </c>
      <c r="J108" s="89">
        <f t="shared" si="205"/>
        <v>0.2302112802454459</v>
      </c>
      <c r="K108" s="89">
        <f t="shared" si="206"/>
        <v>3.3872995839201669E-2</v>
      </c>
      <c r="L108" s="89">
        <f t="shared" si="207"/>
        <v>4.4415016117253847E-2</v>
      </c>
      <c r="M108" s="89">
        <f t="shared" si="208"/>
        <v>-0.65849144479222743</v>
      </c>
      <c r="N108" s="89">
        <f t="shared" si="209"/>
        <v>0.37552873220345817</v>
      </c>
      <c r="O108" s="89">
        <f t="shared" si="210"/>
        <v>0.10291033794782867</v>
      </c>
      <c r="P108" s="89">
        <f t="shared" si="211"/>
        <v>-0.2653469897794396</v>
      </c>
      <c r="Q108" s="89">
        <f t="shared" si="212"/>
        <v>0.15676406437618717</v>
      </c>
      <c r="R108" s="89">
        <f t="shared" si="213"/>
        <v>0.82267375079203786</v>
      </c>
      <c r="S108" s="89">
        <f t="shared" si="214"/>
        <v>8.9637968036233362E-2</v>
      </c>
      <c r="T108" s="89">
        <f t="shared" si="215"/>
        <v>5.1050074718476779E-2</v>
      </c>
      <c r="U108" s="89">
        <f t="shared" si="216"/>
        <v>8.6143648938854511E-3</v>
      </c>
      <c r="V108" s="89">
        <f t="shared" si="217"/>
        <v>9.8941828944896004E-2</v>
      </c>
      <c r="W108" s="89">
        <f t="shared" si="218"/>
        <v>-0.31845405802730453</v>
      </c>
      <c r="X108" s="89">
        <f t="shared" si="219"/>
        <v>-0.14687834425568214</v>
      </c>
      <c r="Y108" s="89">
        <f t="shared" si="220"/>
        <v>0.17548027079728268</v>
      </c>
      <c r="Z108" s="89">
        <f t="shared" si="198"/>
        <v>-0.6172238262175731</v>
      </c>
      <c r="AA108" s="89">
        <f t="shared" si="199"/>
        <v>-0.24542640891650491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-8.6341555590263686E-2</v>
      </c>
      <c r="F109" s="89">
        <f t="shared" ref="F109" si="222">IF(E37=0,"",F37/E37-1)</f>
        <v>-0.18942647995819084</v>
      </c>
      <c r="G109" s="89">
        <f t="shared" ref="G109" si="223">IF(F37=0,"",G37/F37-1)</f>
        <v>0.40017195334289624</v>
      </c>
      <c r="H109" s="89">
        <f t="shared" ref="H109" si="224">IF(G37=0,"",H37/G37-1)</f>
        <v>0.22575548017759361</v>
      </c>
      <c r="I109" s="89">
        <f t="shared" ref="I109" si="225">IF(H37=0,"",I37/H37-1)</f>
        <v>-4.1875394938499344E-2</v>
      </c>
      <c r="J109" s="89">
        <f t="shared" ref="J109" si="226">IF(I37=0,"",J37/I37-1)</f>
        <v>0.2302112802454459</v>
      </c>
      <c r="K109" s="89">
        <f t="shared" ref="K109" si="227">IF(J37=0,"",K37/J37-1)</f>
        <v>-0.13894263414296304</v>
      </c>
      <c r="L109" s="89">
        <f t="shared" ref="L109" si="228">IF(K37=0,"",L37/K37-1)</f>
        <v>4.4415016117254291E-2</v>
      </c>
      <c r="M109" s="89">
        <f t="shared" ref="M109" si="229">IF(L37=0,"",M37/L37-1)</f>
        <v>-0.48089559246123648</v>
      </c>
      <c r="N109" s="89">
        <f t="shared" ref="N109" si="230">IF(M37=0,"",N37/M37-1)</f>
        <v>0.50064523705714481</v>
      </c>
      <c r="O109" s="89">
        <f t="shared" ref="O109" si="231">IF(N37=0,"",O37/N37-1)</f>
        <v>7.077405472388465E-2</v>
      </c>
      <c r="P109" s="89">
        <f t="shared" ref="P109" si="232">IF(O37=0,"",P37/O37-1)</f>
        <v>-2.1019500764825061E-3</v>
      </c>
      <c r="Q109" s="89">
        <f t="shared" ref="Q109" si="233">IF(P37=0,"",Q37/P37-1)</f>
        <v>2.7886979249942323E-2</v>
      </c>
      <c r="R109" s="89">
        <f t="shared" ref="R109" si="234">IF(Q37=0,"",R37/Q37-1)</f>
        <v>-0.33931683737335649</v>
      </c>
      <c r="S109" s="89">
        <f t="shared" ref="S109" si="235">IF(R37=0,"",S37/R37-1)</f>
        <v>0.33757041596101933</v>
      </c>
      <c r="T109" s="89">
        <f t="shared" ref="T109" si="236">IF(S37=0,"",T37/S37-1)</f>
        <v>7.7468096981583523E-2</v>
      </c>
      <c r="U109" s="89">
        <f t="shared" ref="U109" si="237">IF(T37=0,"",U37/T37-1)</f>
        <v>0.27557684992331821</v>
      </c>
      <c r="V109" s="89">
        <f t="shared" ref="V109" si="238">IF(U37=0,"",V37/U37-1)</f>
        <v>6.1547880530356425E-2</v>
      </c>
      <c r="W109" s="89">
        <f t="shared" ref="W109" si="239">IF(V37=0,"",W37/V37-1)</f>
        <v>3.0730206296965434E-2</v>
      </c>
      <c r="X109" s="89">
        <f t="shared" ref="X109" si="240">IF(W37=0,"",X37/W37-1)</f>
        <v>-0.12943735090265451</v>
      </c>
      <c r="Y109" s="89">
        <f t="shared" ref="Y109" si="241">IF(X37=0,"",Y37/X37-1)</f>
        <v>6.7524166084690362E-2</v>
      </c>
      <c r="Z109" s="89">
        <f t="shared" ref="Z109" si="242">IF(Y37=0,"",Z37/Y37-1)</f>
        <v>-0.13902514805464816</v>
      </c>
      <c r="AA109" s="89">
        <f t="shared" ref="AA109" si="243">IF(Z37=0,"",AA37/Z37-1)</f>
        <v>0.17405576461068528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0.13158228232686975</v>
      </c>
      <c r="F110" s="89">
        <f t="shared" ref="F110:F111" si="245">IF(E43=0,"",F43/E43-1)</f>
        <v>-4.9465055406285763E-2</v>
      </c>
      <c r="G110" s="89">
        <f t="shared" ref="G110:G111" si="246">IF(F43=0,"",G43/F43-1)</f>
        <v>6.3684992937476759E-2</v>
      </c>
      <c r="H110" s="89">
        <f t="shared" ref="H110:H111" si="247">IF(G43=0,"",H43/G43-1)</f>
        <v>1.6578178217341977E-2</v>
      </c>
      <c r="I110" s="89">
        <f t="shared" ref="I110:I111" si="248">IF(H43=0,"",I43/H43-1)</f>
        <v>1.8327873908457581E-2</v>
      </c>
      <c r="J110" s="89">
        <f t="shared" ref="J110:J111" si="249">IF(I43=0,"",J43/I43-1)</f>
        <v>0.12815610322026316</v>
      </c>
      <c r="K110" s="89">
        <f t="shared" ref="K110:K111" si="250">IF(J43=0,"",K43/J43-1)</f>
        <v>-1.3637182494054434E-2</v>
      </c>
      <c r="L110" s="89">
        <f t="shared" ref="L110:L111" si="251">IF(K43=0,"",L43/K43-1)</f>
        <v>-7.8612865814785327E-2</v>
      </c>
      <c r="M110" s="89">
        <f t="shared" ref="M110:M111" si="252">IF(L43=0,"",M43/L43-1)</f>
        <v>-0.11657541394103477</v>
      </c>
      <c r="N110" s="89">
        <f t="shared" ref="N110:N111" si="253">IF(M43=0,"",N43/M43-1)</f>
        <v>0.15925473699424697</v>
      </c>
      <c r="O110" s="89">
        <f t="shared" ref="O110:O111" si="254">IF(N43=0,"",O43/N43-1)</f>
        <v>4.5292535573006054E-2</v>
      </c>
      <c r="P110" s="89">
        <f t="shared" ref="P110:P111" si="255">IF(O43=0,"",P43/O43-1)</f>
        <v>7.6740373962477904E-2</v>
      </c>
      <c r="Q110" s="89">
        <f t="shared" ref="Q110:Q111" si="256">IF(P43=0,"",Q43/P43-1)</f>
        <v>-5.4405088299516957E-2</v>
      </c>
      <c r="R110" s="89">
        <f t="shared" ref="R110:R111" si="257">IF(Q43=0,"",R43/Q43-1)</f>
        <v>0.17171031618994892</v>
      </c>
      <c r="S110" s="89">
        <f t="shared" ref="S110:S111" si="258">IF(R43=0,"",S43/R43-1)</f>
        <v>0.15205675243243233</v>
      </c>
      <c r="T110" s="89">
        <f t="shared" ref="T110:T111" si="259">IF(S43=0,"",T43/S43-1)</f>
        <v>-2.8964894876110536E-2</v>
      </c>
      <c r="U110" s="89">
        <f t="shared" ref="U110:U111" si="260">IF(T43=0,"",U43/T43-1)</f>
        <v>0.15052284619344425</v>
      </c>
      <c r="V110" s="89">
        <f t="shared" ref="V110:V111" si="261">IF(U43=0,"",V43/U43-1)</f>
        <v>-7.5310238409549979E-2</v>
      </c>
      <c r="W110" s="89">
        <f t="shared" ref="W110:W111" si="262">IF(V43=0,"",W43/V43-1)</f>
        <v>-7.0833923942296151E-2</v>
      </c>
      <c r="X110" s="89">
        <f t="shared" ref="X110:X111" si="263">IF(W43=0,"",X43/W43-1)</f>
        <v>5.5230677701134878E-2</v>
      </c>
      <c r="Y110" s="89">
        <f t="shared" ref="Y110:Y111" si="264">IF(X43=0,"",Y43/X43-1)</f>
        <v>0.11322882922000321</v>
      </c>
      <c r="Z110" s="89">
        <f t="shared" ref="Z110:Z111" si="265">IF(Y43=0,"",Z43/Y43-1)</f>
        <v>-0.10512279324338858</v>
      </c>
      <c r="AA110" s="89">
        <f t="shared" ref="AA110:AA111" si="266">IF(Z43=0,"",AA43/Z43-1)</f>
        <v>-7.645289983692638E-2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0.12150737026840464</v>
      </c>
      <c r="F111" s="89">
        <f t="shared" si="245"/>
        <v>-9.8780136250093742E-2</v>
      </c>
      <c r="G111" s="89">
        <f t="shared" si="246"/>
        <v>-5.9076721337864457E-2</v>
      </c>
      <c r="H111" s="89">
        <f t="shared" si="247"/>
        <v>4.3259908403295189E-2</v>
      </c>
      <c r="I111" s="89">
        <f t="shared" si="248"/>
        <v>-4.8315491457540993E-2</v>
      </c>
      <c r="J111" s="89">
        <f t="shared" si="249"/>
        <v>0.16723636398363451</v>
      </c>
      <c r="K111" s="89">
        <f t="shared" si="250"/>
        <v>0.13784561017799457</v>
      </c>
      <c r="L111" s="89">
        <f t="shared" si="251"/>
        <v>-0.14281839597848467</v>
      </c>
      <c r="M111" s="89">
        <f t="shared" si="252"/>
        <v>-0.3670229862573402</v>
      </c>
      <c r="N111" s="89">
        <f t="shared" si="253"/>
        <v>0.10910611494530009</v>
      </c>
      <c r="O111" s="89">
        <f t="shared" si="254"/>
        <v>0.10705538374515644</v>
      </c>
      <c r="P111" s="89">
        <f t="shared" si="255"/>
        <v>0.16233078767242581</v>
      </c>
      <c r="Q111" s="89">
        <f t="shared" si="256"/>
        <v>0.13191692179089531</v>
      </c>
      <c r="R111" s="89">
        <f t="shared" si="257"/>
        <v>0.30949750641733309</v>
      </c>
      <c r="S111" s="89">
        <f t="shared" si="258"/>
        <v>0.32265031293388868</v>
      </c>
      <c r="T111" s="89">
        <f t="shared" si="259"/>
        <v>-5.9912691423966713E-3</v>
      </c>
      <c r="U111" s="89">
        <f t="shared" si="260"/>
        <v>0.18250231147589835</v>
      </c>
      <c r="V111" s="89">
        <f t="shared" si="261"/>
        <v>-6.2992053215612298E-2</v>
      </c>
      <c r="W111" s="89">
        <f t="shared" si="262"/>
        <v>-0.18402991802396385</v>
      </c>
      <c r="X111" s="89">
        <f t="shared" si="263"/>
        <v>0.11359617912320807</v>
      </c>
      <c r="Y111" s="89">
        <f t="shared" si="264"/>
        <v>0.32375088167079702</v>
      </c>
      <c r="Z111" s="89">
        <f t="shared" si="265"/>
        <v>-0.35002395347017801</v>
      </c>
      <c r="AA111" s="89">
        <f t="shared" si="266"/>
        <v>-0.17123735851304844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0.13937852109351945</v>
      </c>
      <c r="F112" s="89">
        <f t="shared" ref="F112:F113" si="268">IF(E47=0,"",F47/E47-1)</f>
        <v>-1.1902275930397499E-2</v>
      </c>
      <c r="G112" s="89">
        <f t="shared" ref="G112:G113" si="269">IF(F47=0,"",G47/F47-1)</f>
        <v>0.14896981978577228</v>
      </c>
      <c r="H112" s="89">
        <f t="shared" ref="H112:H113" si="270">IF(G47=0,"",H47/G47-1)</f>
        <v>1.3982957890310566E-3</v>
      </c>
      <c r="I112" s="89">
        <f t="shared" ref="I112:I113" si="271">IF(H47=0,"",I47/H47-1)</f>
        <v>5.7827866112408755E-2</v>
      </c>
      <c r="J112" s="89">
        <f t="shared" ref="J112:J113" si="272">IF(I47=0,"",J47/I47-1)</f>
        <v>0.10731716729148433</v>
      </c>
      <c r="K112" s="89">
        <f t="shared" ref="K112:K113" si="273">IF(J47=0,"",K47/J47-1)</f>
        <v>-9.878395006982299E-2</v>
      </c>
      <c r="L112" s="89">
        <f t="shared" ref="L112:L113" si="274">IF(K47=0,"",L47/K47-1)</f>
        <v>-3.3047829607302681E-2</v>
      </c>
      <c r="M112" s="89">
        <f t="shared" ref="M112:M113" si="275">IF(L47=0,"",M47/L47-1)</f>
        <v>4.0983855736046459E-2</v>
      </c>
      <c r="N112" s="89">
        <f t="shared" ref="N112:N113" si="276">IF(M47=0,"",N47/M47-1)</f>
        <v>0.17843833574162571</v>
      </c>
      <c r="O112" s="89">
        <f t="shared" ref="O112:O113" si="277">IF(N47=0,"",O47/N47-1)</f>
        <v>2.3056127753451339E-2</v>
      </c>
      <c r="P112" s="89">
        <f t="shared" ref="P112:P113" si="278">IF(O47=0,"",P47/O47-1)</f>
        <v>4.3395250616462544E-2</v>
      </c>
      <c r="Q112" s="89">
        <f t="shared" ref="Q112:Q113" si="279">IF(P47=0,"",Q47/P47-1)</f>
        <v>-0.13526853514935977</v>
      </c>
      <c r="R112" s="89">
        <f t="shared" ref="R112:R113" si="280">IF(Q47=0,"",R47/Q47-1)</f>
        <v>9.3434028037204131E-2</v>
      </c>
      <c r="S112" s="89">
        <f t="shared" ref="S112:S113" si="281">IF(R47=0,"",S47/R47-1)</f>
        <v>3.5993134718790953E-2</v>
      </c>
      <c r="T112" s="89">
        <f t="shared" ref="T112:T113" si="282">IF(S47=0,"",T47/S47-1)</f>
        <v>-4.8919869189493759E-2</v>
      </c>
      <c r="U112" s="89">
        <f t="shared" ref="U112:U113" si="283">IF(T47=0,"",U47/T47-1)</f>
        <v>0.12149158391097448</v>
      </c>
      <c r="V112" s="89">
        <f t="shared" ref="V112:V113" si="284">IF(U47=0,"",V47/U47-1)</f>
        <v>-8.7101151282114819E-2</v>
      </c>
      <c r="W112" s="89">
        <f t="shared" ref="W112:W113" si="285">IF(V47=0,"",W47/V47-1)</f>
        <v>4.03782611193646E-2</v>
      </c>
      <c r="X112" s="89">
        <f t="shared" ref="X112:X113" si="286">IF(W47=0,"",X47/W47-1)</f>
        <v>1.0256782528457631E-2</v>
      </c>
      <c r="Y112" s="89">
        <f t="shared" ref="Y112:Y113" si="287">IF(X47=0,"",Y47/X47-1)</f>
        <v>-6.5583654300920835E-2</v>
      </c>
      <c r="Z112" s="89">
        <f t="shared" ref="Z112:Z113" si="288">IF(Y47=0,"",Z47/Y47-1)</f>
        <v>0.18956145201905983</v>
      </c>
      <c r="AA112" s="89">
        <f t="shared" ref="AA112:AA113" si="289">IF(Z47=0,"",AA47/Z47-1)</f>
        <v>-1.4134875159402815E-2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2.7838852338355258E-2</v>
      </c>
      <c r="F113" s="89">
        <f t="shared" si="268"/>
        <v>-1.4368302542077327E-2</v>
      </c>
      <c r="G113" s="89">
        <f t="shared" si="269"/>
        <v>1.8731443361390099E-2</v>
      </c>
      <c r="H113" s="89">
        <f t="shared" si="270"/>
        <v>-5.6512731702500707E-2</v>
      </c>
      <c r="I113" s="89">
        <f t="shared" si="271"/>
        <v>5.863486219341274E-2</v>
      </c>
      <c r="J113" s="89">
        <f t="shared" si="272"/>
        <v>0.11747120559548208</v>
      </c>
      <c r="K113" s="89">
        <f t="shared" si="273"/>
        <v>0.14345541687892571</v>
      </c>
      <c r="L113" s="89">
        <f t="shared" si="274"/>
        <v>-6.058205864028321E-2</v>
      </c>
      <c r="M113" s="89">
        <f t="shared" si="275"/>
        <v>-0.3057607849580003</v>
      </c>
      <c r="N113" s="89">
        <f t="shared" si="276"/>
        <v>-4.0223656255428675E-2</v>
      </c>
      <c r="O113" s="89">
        <f t="shared" si="277"/>
        <v>-5.4698987296078805E-2</v>
      </c>
      <c r="P113" s="89">
        <f t="shared" si="278"/>
        <v>-4.7938786853300219E-2</v>
      </c>
      <c r="Q113" s="89">
        <f t="shared" si="279"/>
        <v>8.9647215781138545E-2</v>
      </c>
      <c r="R113" s="89">
        <f t="shared" si="280"/>
        <v>7.2175992706425163E-2</v>
      </c>
      <c r="S113" s="89">
        <f t="shared" si="281"/>
        <v>0.10595226721285633</v>
      </c>
      <c r="T113" s="89">
        <f t="shared" si="282"/>
        <v>2.7964869064752707E-2</v>
      </c>
      <c r="U113" s="89">
        <f t="shared" si="283"/>
        <v>3.8887051911252302E-2</v>
      </c>
      <c r="V113" s="89">
        <f t="shared" si="284"/>
        <v>6.4110708928083238E-2</v>
      </c>
      <c r="W113" s="89">
        <f t="shared" si="285"/>
        <v>8.8214605975564186E-2</v>
      </c>
      <c r="X113" s="89">
        <f t="shared" si="286"/>
        <v>-9.2686625802118061E-2</v>
      </c>
      <c r="Y113" s="89">
        <f t="shared" si="287"/>
        <v>0.10269836298583934</v>
      </c>
      <c r="Z113" s="89">
        <f t="shared" si="288"/>
        <v>-0.13888556204801206</v>
      </c>
      <c r="AA113" s="89">
        <f t="shared" si="289"/>
        <v>-5.6197128328871582E-2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0.16833248046153515</v>
      </c>
      <c r="F114" s="89">
        <f t="shared" ref="F114:F115" si="291">IF(E52=0,"",F52/E52-1)</f>
        <v>3.0951034080081818E-2</v>
      </c>
      <c r="G114" s="89">
        <f t="shared" ref="G114:G115" si="292">IF(F52=0,"",G52/F52-1)</f>
        <v>-3.2838504272783564E-2</v>
      </c>
      <c r="H114" s="89">
        <f t="shared" ref="H114:H115" si="293">IF(G52=0,"",H52/G52-1)</f>
        <v>-3.1146517118898598E-2</v>
      </c>
      <c r="I114" s="89">
        <f t="shared" ref="I114:I115" si="294">IF(H52=0,"",I52/H52-1)</f>
        <v>-1.6205416479010526E-2</v>
      </c>
      <c r="J114" s="89">
        <f t="shared" ref="J114:J115" si="295">IF(I52=0,"",J52/I52-1)</f>
        <v>-3.5686539715435006E-2</v>
      </c>
      <c r="K114" s="89">
        <f t="shared" ref="K114:K115" si="296">IF(J52=0,"",K52/J52-1)</f>
        <v>4.788231865237047E-2</v>
      </c>
      <c r="L114" s="89">
        <f t="shared" ref="L114:L115" si="297">IF(K52=0,"",L52/K52-1)</f>
        <v>-7.9839536681567624E-2</v>
      </c>
      <c r="M114" s="89">
        <f t="shared" ref="M114:M115" si="298">IF(L52=0,"",M52/L52-1)</f>
        <v>-8.4032548459318734E-2</v>
      </c>
      <c r="N114" s="89">
        <f t="shared" ref="N114:N115" si="299">IF(M52=0,"",N52/M52-1)</f>
        <v>3.7344132836315769E-2</v>
      </c>
      <c r="O114" s="89">
        <f t="shared" ref="O114:O115" si="300">IF(N52=0,"",O52/N52-1)</f>
        <v>2.0158493536096334E-2</v>
      </c>
      <c r="P114" s="89">
        <f t="shared" ref="P114:P115" si="301">IF(O52=0,"",P52/O52-1)</f>
        <v>-9.6237154973422001E-5</v>
      </c>
      <c r="Q114" s="89">
        <f t="shared" ref="Q114:Q115" si="302">IF(P52=0,"",Q52/P52-1)</f>
        <v>5.3353316014552288E-2</v>
      </c>
      <c r="R114" s="89">
        <f t="shared" ref="R114:R115" si="303">IF(Q52=0,"",R52/Q52-1)</f>
        <v>4.3714570566868671E-2</v>
      </c>
      <c r="S114" s="89">
        <f t="shared" ref="S114:S115" si="304">IF(R52=0,"",S52/R52-1)</f>
        <v>1.9854328161109214E-2</v>
      </c>
      <c r="T114" s="89">
        <f t="shared" ref="T114:T115" si="305">IF(S52=0,"",T52/S52-1)</f>
        <v>4.8868861102816741E-2</v>
      </c>
      <c r="U114" s="89">
        <f t="shared" ref="U114:U115" si="306">IF(T52=0,"",U52/T52-1)</f>
        <v>1.6437597698645945E-2</v>
      </c>
      <c r="V114" s="89">
        <f t="shared" ref="V114:V115" si="307">IF(U52=0,"",V52/U52-1)</f>
        <v>3.5509859813309008E-2</v>
      </c>
      <c r="W114" s="89">
        <f t="shared" ref="W114:W115" si="308">IF(V52=0,"",W52/V52-1)</f>
        <v>5.4185726200482121E-2</v>
      </c>
      <c r="X114" s="89">
        <f t="shared" ref="X114:X115" si="309">IF(W52=0,"",X52/W52-1)</f>
        <v>-4.2607407357703408E-2</v>
      </c>
      <c r="Y114" s="89">
        <f t="shared" ref="Y114:Y115" si="310">IF(X52=0,"",Y52/X52-1)</f>
        <v>2.2851333609424485E-2</v>
      </c>
      <c r="Z114" s="89">
        <f t="shared" ref="Z114:Z115" si="311">IF(Y52=0,"",Z52/Y52-1)</f>
        <v>0.20784660306487734</v>
      </c>
      <c r="AA114" s="89">
        <f t="shared" ref="AA114:AA115" si="312">IF(Z52=0,"",AA52/Z52-1)</f>
        <v>-3.5450141000797797E-2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0.23998012339772767</v>
      </c>
      <c r="F115" s="89">
        <f t="shared" si="291"/>
        <v>-2.6167729649901883E-3</v>
      </c>
      <c r="G115" s="89">
        <f t="shared" si="292"/>
        <v>-5.6656182953666034E-3</v>
      </c>
      <c r="H115" s="89">
        <f t="shared" si="293"/>
        <v>-9.2859992956030313E-2</v>
      </c>
      <c r="I115" s="89">
        <f t="shared" si="294"/>
        <v>-4.8268353213059556E-2</v>
      </c>
      <c r="J115" s="89">
        <f t="shared" si="295"/>
        <v>-2.4563938338782898E-2</v>
      </c>
      <c r="K115" s="89">
        <f t="shared" si="296"/>
        <v>9.628175780044379E-2</v>
      </c>
      <c r="L115" s="89">
        <f t="shared" si="297"/>
        <v>-3.6639940491063894E-2</v>
      </c>
      <c r="M115" s="89">
        <f t="shared" si="298"/>
        <v>2.1671108638057213E-3</v>
      </c>
      <c r="N115" s="89">
        <f t="shared" si="299"/>
        <v>0.10213517136415651</v>
      </c>
      <c r="O115" s="89">
        <f t="shared" si="300"/>
        <v>1.7599642173027341E-4</v>
      </c>
      <c r="P115" s="89">
        <f t="shared" si="301"/>
        <v>3.1755164454740692E-2</v>
      </c>
      <c r="Q115" s="89">
        <f t="shared" si="302"/>
        <v>6.2646055180054505E-2</v>
      </c>
      <c r="R115" s="89">
        <f t="shared" si="303"/>
        <v>0.10633360774683642</v>
      </c>
      <c r="S115" s="89">
        <f t="shared" si="304"/>
        <v>2.6406622744199248E-2</v>
      </c>
      <c r="T115" s="89">
        <f t="shared" si="305"/>
        <v>0.12448873142406702</v>
      </c>
      <c r="U115" s="89">
        <f t="shared" si="306"/>
        <v>-1.4228793843397369E-2</v>
      </c>
      <c r="V115" s="89">
        <f t="shared" si="307"/>
        <v>6.7032305534345804E-2</v>
      </c>
      <c r="W115" s="89">
        <f t="shared" si="308"/>
        <v>9.1181320268779897E-2</v>
      </c>
      <c r="X115" s="89">
        <f t="shared" si="309"/>
        <v>-1.4434541578264626E-2</v>
      </c>
      <c r="Y115" s="89">
        <f t="shared" si="310"/>
        <v>-5.2272538414246394E-2</v>
      </c>
      <c r="Z115" s="89">
        <f t="shared" si="311"/>
        <v>0.3145332254610187</v>
      </c>
      <c r="AA115" s="89">
        <f t="shared" si="312"/>
        <v>-8.0696033412880563E-2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0.11371351794706097</v>
      </c>
      <c r="F116" s="89">
        <f t="shared" ref="F116:F122" si="314">IF(E56=0,"",F56/E56-1)</f>
        <v>5.9441906078290252E-2</v>
      </c>
      <c r="G116" s="89">
        <f t="shared" ref="G116:G122" si="315">IF(F56=0,"",G56/F56-1)</f>
        <v>-5.455068527973872E-2</v>
      </c>
      <c r="H116" s="89">
        <f t="shared" ref="H116:H122" si="316">IF(G56=0,"",H56/G56-1)</f>
        <v>2.0714603540429977E-2</v>
      </c>
      <c r="I116" s="89">
        <f t="shared" ref="I116:I122" si="317">IF(H56=0,"",I56/H56-1)</f>
        <v>7.7407049342814727E-3</v>
      </c>
      <c r="J116" s="89">
        <f t="shared" ref="J116:J122" si="318">IF(I56=0,"",J56/I56-1)</f>
        <v>-4.3531738718054269E-2</v>
      </c>
      <c r="K116" s="89">
        <f t="shared" ref="K116:K122" si="319">IF(J56=0,"",K56/J56-1)</f>
        <v>1.3067337472430829E-2</v>
      </c>
      <c r="L116" s="89">
        <f t="shared" ref="L116:L122" si="320">IF(K56=0,"",L56/K56-1)</f>
        <v>-0.11346663525818479</v>
      </c>
      <c r="M116" s="89">
        <f t="shared" ref="M116:M122" si="321">IF(L56=0,"",M56/L56-1)</f>
        <v>-0.15694619370674567</v>
      </c>
      <c r="N116" s="89">
        <f t="shared" ref="N116:N122" si="322">IF(M56=0,"",N56/M56-1)</f>
        <v>-2.7804162304124302E-2</v>
      </c>
      <c r="O116" s="89">
        <f t="shared" ref="O116:O122" si="323">IF(N56=0,"",O56/N56-1)</f>
        <v>4.2936671267788329E-2</v>
      </c>
      <c r="P116" s="89">
        <f t="shared" ref="P116:P122" si="324">IF(O56=0,"",P56/O56-1)</f>
        <v>-3.4915234089126557E-2</v>
      </c>
      <c r="Q116" s="89">
        <f t="shared" ref="Q116:Q122" si="325">IF(P56=0,"",Q56/P56-1)</f>
        <v>4.2492995408606848E-2</v>
      </c>
      <c r="R116" s="89">
        <f t="shared" ref="R116:R122" si="326">IF(Q56=0,"",R56/Q56-1)</f>
        <v>-3.0882328290890548E-2</v>
      </c>
      <c r="S116" s="89">
        <f t="shared" ref="S116:S122" si="327">IF(R56=0,"",S56/R56-1)</f>
        <v>1.0943513829372531E-2</v>
      </c>
      <c r="T116" s="89">
        <f t="shared" ref="T116:T122" si="328">IF(S56=0,"",T56/S56-1)</f>
        <v>-5.5543631540750926E-2</v>
      </c>
      <c r="U116" s="89">
        <f t="shared" ref="U116:U122" si="329">IF(T56=0,"",U56/T56-1)</f>
        <v>6.6851744329795126E-2</v>
      </c>
      <c r="V116" s="89">
        <f t="shared" ref="V116:V122" si="330">IF(U56=0,"",V56/U56-1)</f>
        <v>-1.2373179215054431E-2</v>
      </c>
      <c r="W116" s="89">
        <f t="shared" ref="W116:W122" si="331">IF(V56=0,"",W56/V56-1)</f>
        <v>-6.529343669543497E-3</v>
      </c>
      <c r="X116" s="89">
        <f t="shared" ref="X116:X122" si="332">IF(W56=0,"",X56/W56-1)</f>
        <v>-9.3390529587675797E-2</v>
      </c>
      <c r="Y116" s="89">
        <f t="shared" ref="Y116:Y122" si="333">IF(X56=0,"",Y56/X56-1)</f>
        <v>0.17005938341303373</v>
      </c>
      <c r="Z116" s="89">
        <f t="shared" ref="Z116:Z122" si="334">IF(Y56=0,"",Z56/Y56-1)</f>
        <v>3.8514570181211516E-2</v>
      </c>
      <c r="AA116" s="89">
        <f t="shared" ref="AA116:AA122" si="335">IF(Z56=0,"",AA56/Z56-1)</f>
        <v>5.5450571713972385E-2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0.10980125394311457</v>
      </c>
      <c r="F117" s="89">
        <f t="shared" si="314"/>
        <v>6.8604440192993277E-2</v>
      </c>
      <c r="G117" s="89">
        <f t="shared" si="315"/>
        <v>-8.0105827395590024E-2</v>
      </c>
      <c r="H117" s="89">
        <f t="shared" si="316"/>
        <v>3.0261678352851984E-3</v>
      </c>
      <c r="I117" s="89">
        <f t="shared" si="317"/>
        <v>-8.4179866919868895E-2</v>
      </c>
      <c r="J117" s="89">
        <f t="shared" si="318"/>
        <v>1.4695197233918877E-2</v>
      </c>
      <c r="K117" s="89">
        <f t="shared" si="319"/>
        <v>-9.6538119144485512E-2</v>
      </c>
      <c r="L117" s="89">
        <f t="shared" si="320"/>
        <v>-8.3440124675748462E-2</v>
      </c>
      <c r="M117" s="89">
        <f t="shared" si="321"/>
        <v>0.15414520435693713</v>
      </c>
      <c r="N117" s="89">
        <f t="shared" si="322"/>
        <v>-8.3771470589921071E-2</v>
      </c>
      <c r="O117" s="89">
        <f t="shared" si="323"/>
        <v>-6.4603739967165175E-2</v>
      </c>
      <c r="P117" s="89">
        <f t="shared" si="324"/>
        <v>-1.7107058414266185E-2</v>
      </c>
      <c r="Q117" s="89">
        <f t="shared" si="325"/>
        <v>9.3397415729648214E-2</v>
      </c>
      <c r="R117" s="89">
        <f t="shared" si="326"/>
        <v>3.5135903785421974E-2</v>
      </c>
      <c r="S117" s="89">
        <f t="shared" si="327"/>
        <v>1.4276635697783036E-2</v>
      </c>
      <c r="T117" s="89">
        <f t="shared" si="328"/>
        <v>2.0787584288661121E-2</v>
      </c>
      <c r="U117" s="89">
        <f t="shared" si="329"/>
        <v>-1.0199626289076891E-3</v>
      </c>
      <c r="V117" s="89">
        <f t="shared" si="330"/>
        <v>6.8235181781275411E-2</v>
      </c>
      <c r="W117" s="89">
        <f t="shared" si="331"/>
        <v>-1.6510680541516609E-2</v>
      </c>
      <c r="X117" s="89">
        <f t="shared" si="332"/>
        <v>-3.8168133277712846E-3</v>
      </c>
      <c r="Y117" s="89">
        <f t="shared" si="333"/>
        <v>-3.3434723176696268E-3</v>
      </c>
      <c r="Z117" s="89">
        <f t="shared" si="334"/>
        <v>6.8071090734257211E-2</v>
      </c>
      <c r="AA117" s="89">
        <f t="shared" si="335"/>
        <v>9.515385443095048E-2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-8.3850664829948851E-2</v>
      </c>
      <c r="F118" s="89">
        <f t="shared" si="314"/>
        <v>1.1596075864607425E-2</v>
      </c>
      <c r="G118" s="89">
        <f t="shared" si="315"/>
        <v>0.17520662139659149</v>
      </c>
      <c r="H118" s="89">
        <f t="shared" si="316"/>
        <v>1.4237881417537457E-2</v>
      </c>
      <c r="I118" s="89">
        <f t="shared" si="317"/>
        <v>0.12115032768042244</v>
      </c>
      <c r="J118" s="89">
        <f t="shared" si="318"/>
        <v>0.26998512413271381</v>
      </c>
      <c r="K118" s="89">
        <f t="shared" si="319"/>
        <v>0.10433078104452376</v>
      </c>
      <c r="L118" s="89">
        <f t="shared" si="320"/>
        <v>-4.6286981368255931E-2</v>
      </c>
      <c r="M118" s="89">
        <f t="shared" si="321"/>
        <v>-0.24661503817329755</v>
      </c>
      <c r="N118" s="89">
        <f t="shared" si="322"/>
        <v>0.234414266317722</v>
      </c>
      <c r="O118" s="89">
        <f t="shared" si="323"/>
        <v>-4.6448883128450635E-2</v>
      </c>
      <c r="P118" s="89">
        <f t="shared" si="324"/>
        <v>-9.5044924047729129E-2</v>
      </c>
      <c r="Q118" s="89">
        <f t="shared" si="325"/>
        <v>0.27185756622582802</v>
      </c>
      <c r="R118" s="89">
        <f t="shared" si="326"/>
        <v>0.15257551638455658</v>
      </c>
      <c r="S118" s="89">
        <f t="shared" si="327"/>
        <v>0.15708195898624466</v>
      </c>
      <c r="T118" s="89">
        <f t="shared" si="328"/>
        <v>6.9522235394596565E-2</v>
      </c>
      <c r="U118" s="89">
        <f t="shared" si="329"/>
        <v>-5.1505070660055496E-2</v>
      </c>
      <c r="V118" s="89">
        <f t="shared" si="330"/>
        <v>2.2789856735933256E-2</v>
      </c>
      <c r="W118" s="89">
        <f t="shared" si="331"/>
        <v>-4.5584311680264555E-2</v>
      </c>
      <c r="X118" s="89">
        <f t="shared" si="332"/>
        <v>-0.10523966778706451</v>
      </c>
      <c r="Y118" s="89">
        <f t="shared" si="333"/>
        <v>-0.10336545227410587</v>
      </c>
      <c r="Z118" s="89">
        <f t="shared" si="334"/>
        <v>5.5125228832789919E-2</v>
      </c>
      <c r="AA118" s="89">
        <f t="shared" si="335"/>
        <v>3.4007918051124797E-2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-9.6132915623471371E-3</v>
      </c>
      <c r="F119" s="89">
        <f t="shared" si="314"/>
        <v>2.0288828812890625E-2</v>
      </c>
      <c r="G119" s="89">
        <f t="shared" si="315"/>
        <v>0.15793788481235893</v>
      </c>
      <c r="H119" s="89">
        <f t="shared" si="316"/>
        <v>0.14170632803501082</v>
      </c>
      <c r="I119" s="89">
        <f t="shared" si="317"/>
        <v>0.10226353343384686</v>
      </c>
      <c r="J119" s="89">
        <f t="shared" si="318"/>
        <v>-1.8485879641999658E-2</v>
      </c>
      <c r="K119" s="89">
        <f t="shared" si="319"/>
        <v>-4.8777109454296919E-2</v>
      </c>
      <c r="L119" s="89">
        <f t="shared" si="320"/>
        <v>-1.3890098322190791E-2</v>
      </c>
      <c r="M119" s="89">
        <f t="shared" si="321"/>
        <v>-5.9050212630800014E-2</v>
      </c>
      <c r="N119" s="89">
        <f t="shared" si="322"/>
        <v>3.977254309756928E-2</v>
      </c>
      <c r="O119" s="89">
        <f t="shared" si="323"/>
        <v>0.13904679544819665</v>
      </c>
      <c r="P119" s="89">
        <f t="shared" si="324"/>
        <v>1.173667603862949E-3</v>
      </c>
      <c r="Q119" s="89">
        <f t="shared" si="325"/>
        <v>-7.4195792117287551E-3</v>
      </c>
      <c r="R119" s="89">
        <f t="shared" si="326"/>
        <v>5.070607604613353E-2</v>
      </c>
      <c r="S119" s="89">
        <f t="shared" si="327"/>
        <v>7.0737207406404767E-2</v>
      </c>
      <c r="T119" s="89">
        <f t="shared" si="328"/>
        <v>-0.11980948951989057</v>
      </c>
      <c r="U119" s="89">
        <f t="shared" si="329"/>
        <v>1.0735763163858714E-2</v>
      </c>
      <c r="V119" s="89">
        <f t="shared" si="330"/>
        <v>1.1315331087435654E-2</v>
      </c>
      <c r="W119" s="89">
        <f t="shared" si="331"/>
        <v>5.0520191282197313E-3</v>
      </c>
      <c r="X119" s="89">
        <f t="shared" si="332"/>
        <v>-2.6285838806363038E-2</v>
      </c>
      <c r="Y119" s="89">
        <f t="shared" si="333"/>
        <v>2.1028069200138777E-2</v>
      </c>
      <c r="Z119" s="89">
        <f t="shared" si="334"/>
        <v>0.10796741858972769</v>
      </c>
      <c r="AA119" s="89">
        <f t="shared" si="335"/>
        <v>8.0793477105588707E-2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2.2391369091123048E-2</v>
      </c>
      <c r="F120" s="89">
        <f t="shared" si="314"/>
        <v>-0.13218199565299382</v>
      </c>
      <c r="G120" s="89">
        <f t="shared" si="315"/>
        <v>-0.16477825839564375</v>
      </c>
      <c r="H120" s="89">
        <f t="shared" si="316"/>
        <v>-8.1965614972087764E-2</v>
      </c>
      <c r="I120" s="89">
        <f t="shared" si="317"/>
        <v>-0.16232938891820681</v>
      </c>
      <c r="J120" s="89">
        <f t="shared" si="318"/>
        <v>1.1993105746422206E-2</v>
      </c>
      <c r="K120" s="89">
        <f t="shared" si="319"/>
        <v>-0.12719620462537784</v>
      </c>
      <c r="L120" s="89">
        <f t="shared" si="320"/>
        <v>-0.11375462158222427</v>
      </c>
      <c r="M120" s="89">
        <f t="shared" si="321"/>
        <v>-0.11270462238798085</v>
      </c>
      <c r="N120" s="89">
        <f t="shared" si="322"/>
        <v>-3.6200188255610444E-2</v>
      </c>
      <c r="O120" s="89">
        <f t="shared" si="323"/>
        <v>9.2367634682067434E-2</v>
      </c>
      <c r="P120" s="89">
        <f t="shared" si="324"/>
        <v>-2.268380626772859E-2</v>
      </c>
      <c r="Q120" s="89">
        <f t="shared" si="325"/>
        <v>1.4714562234180661E-2</v>
      </c>
      <c r="R120" s="89">
        <f t="shared" si="326"/>
        <v>1.5985894549821467E-2</v>
      </c>
      <c r="S120" s="89">
        <f t="shared" si="327"/>
        <v>-2.3085930155941292E-2</v>
      </c>
      <c r="T120" s="89">
        <f t="shared" si="328"/>
        <v>3.0237073979824558E-2</v>
      </c>
      <c r="U120" s="89">
        <f t="shared" si="329"/>
        <v>9.436098422371364E-3</v>
      </c>
      <c r="V120" s="89">
        <f t="shared" si="330"/>
        <v>2.1828442047592933E-2</v>
      </c>
      <c r="W120" s="89">
        <f t="shared" si="331"/>
        <v>-9.210048691586592E-3</v>
      </c>
      <c r="X120" s="89">
        <f t="shared" si="332"/>
        <v>-0.15784386960757391</v>
      </c>
      <c r="Y120" s="89">
        <f t="shared" si="333"/>
        <v>-1.2179794757849471E-4</v>
      </c>
      <c r="Z120" s="89">
        <f t="shared" si="334"/>
        <v>-4.0453905213857055E-2</v>
      </c>
      <c r="AA120" s="89">
        <f t="shared" si="335"/>
        <v>4.5692923264055052E-2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6.4721010381293853E-2</v>
      </c>
      <c r="F121" s="89">
        <f t="shared" si="314"/>
        <v>-0.12268173013102035</v>
      </c>
      <c r="G121" s="89">
        <f t="shared" si="315"/>
        <v>-2.1760144830702099E-2</v>
      </c>
      <c r="H121" s="89">
        <f t="shared" si="316"/>
        <v>3.7083836063129594E-2</v>
      </c>
      <c r="I121" s="89">
        <f t="shared" si="317"/>
        <v>-9.394009738904241E-2</v>
      </c>
      <c r="J121" s="89">
        <f t="shared" si="318"/>
        <v>-1.2666719106955382E-2</v>
      </c>
      <c r="K121" s="89">
        <f t="shared" si="319"/>
        <v>2.240860896164687E-2</v>
      </c>
      <c r="L121" s="89">
        <f t="shared" si="320"/>
        <v>-2.1149247917580216E-2</v>
      </c>
      <c r="M121" s="89">
        <f t="shared" si="321"/>
        <v>-0.22697871832550143</v>
      </c>
      <c r="N121" s="89">
        <f t="shared" si="322"/>
        <v>-3.263952407078885E-3</v>
      </c>
      <c r="O121" s="89">
        <f t="shared" si="323"/>
        <v>-1.9500147228016185E-2</v>
      </c>
      <c r="P121" s="89">
        <f t="shared" si="324"/>
        <v>-2.2063890252981277E-2</v>
      </c>
      <c r="Q121" s="89">
        <f t="shared" si="325"/>
        <v>2.5506065293897429E-2</v>
      </c>
      <c r="R121" s="89">
        <f t="shared" si="326"/>
        <v>6.9791510375702526E-2</v>
      </c>
      <c r="S121" s="89">
        <f t="shared" si="327"/>
        <v>5.6302022471909963E-2</v>
      </c>
      <c r="T121" s="89">
        <f t="shared" si="328"/>
        <v>2.0894910870858707E-2</v>
      </c>
      <c r="U121" s="89">
        <f t="shared" si="329"/>
        <v>4.2332638905483222E-2</v>
      </c>
      <c r="V121" s="89">
        <f t="shared" si="330"/>
        <v>4.7524298671310472E-2</v>
      </c>
      <c r="W121" s="89">
        <f t="shared" si="331"/>
        <v>5.9951528033511448E-2</v>
      </c>
      <c r="X121" s="89">
        <f t="shared" si="332"/>
        <v>1.5532626112288783E-2</v>
      </c>
      <c r="Y121" s="89">
        <f t="shared" si="333"/>
        <v>0.24101450457775164</v>
      </c>
      <c r="Z121" s="89">
        <f t="shared" si="334"/>
        <v>0.18881863962857581</v>
      </c>
      <c r="AA121" s="89">
        <f t="shared" si="335"/>
        <v>-0.23965113378089575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0.11557677255298349</v>
      </c>
      <c r="F122" s="91">
        <f t="shared" si="314"/>
        <v>2.8308061245530647E-2</v>
      </c>
      <c r="G122" s="91">
        <f t="shared" si="315"/>
        <v>1.8746191749924312E-2</v>
      </c>
      <c r="H122" s="91">
        <f t="shared" si="316"/>
        <v>2.2456542270882007E-2</v>
      </c>
      <c r="I122" s="91">
        <f t="shared" si="317"/>
        <v>1.0624423923230264E-2</v>
      </c>
      <c r="J122" s="91">
        <f t="shared" si="318"/>
        <v>3.5250714159646757E-2</v>
      </c>
      <c r="K122" s="91">
        <f t="shared" si="319"/>
        <v>6.8596874670013408E-2</v>
      </c>
      <c r="L122" s="91">
        <f t="shared" si="320"/>
        <v>6.3829253566627386E-3</v>
      </c>
      <c r="M122" s="91">
        <f t="shared" si="321"/>
        <v>8.4575635025949669E-3</v>
      </c>
      <c r="N122" s="91">
        <f t="shared" si="322"/>
        <v>9.2931613623799203E-2</v>
      </c>
      <c r="O122" s="91">
        <f t="shared" si="323"/>
        <v>7.5498402552049537E-2</v>
      </c>
      <c r="P122" s="91">
        <f t="shared" si="324"/>
        <v>9.9413675051158723E-2</v>
      </c>
      <c r="Q122" s="91">
        <f t="shared" si="325"/>
        <v>3.5222264912407875E-2</v>
      </c>
      <c r="R122" s="91">
        <f t="shared" si="326"/>
        <v>6.6777899727548329E-2</v>
      </c>
      <c r="S122" s="91">
        <f t="shared" si="327"/>
        <v>9.4492398631131236E-2</v>
      </c>
      <c r="T122" s="91">
        <f t="shared" si="328"/>
        <v>7.9861884690863416E-2</v>
      </c>
      <c r="U122" s="91">
        <f t="shared" si="329"/>
        <v>-3.7656372874379396E-2</v>
      </c>
      <c r="V122" s="91">
        <f t="shared" si="330"/>
        <v>5.6723640320792912E-2</v>
      </c>
      <c r="W122" s="91">
        <f t="shared" si="331"/>
        <v>4.7818117624454315E-2</v>
      </c>
      <c r="X122" s="91">
        <f t="shared" si="332"/>
        <v>-6.7022942974007682E-3</v>
      </c>
      <c r="Y122" s="91">
        <f t="shared" si="333"/>
        <v>6.0680343412449211E-3</v>
      </c>
      <c r="Z122" s="91">
        <f t="shared" si="334"/>
        <v>-1.3614340525444968E-2</v>
      </c>
      <c r="AA122" s="91">
        <f t="shared" si="335"/>
        <v>-3.2853235810673675E-2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2025-11-06T10:25:10Z</dcterms:created>
  <dcterms:modified xsi:type="dcterms:W3CDTF">2025-11-06T10:25:10Z</dcterms:modified>
</cp:coreProperties>
</file>